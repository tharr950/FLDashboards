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MonthlyMetric" sheetId="1" state="visible" r:id="rId1"/>
    <sheet xmlns:r="http://schemas.openxmlformats.org/officeDocument/2006/relationships" name="ProgressUpdateEmails" sheetId="2" state="visible" r:id="rId2"/>
    <sheet xmlns:r="http://schemas.openxmlformats.org/officeDocument/2006/relationships" name="MonthlyMetricFullData" sheetId="3" state="visible" r:id="rId3"/>
    <sheet xmlns:r="http://schemas.openxmlformats.org/officeDocument/2006/relationships" name="MasterTutor" sheetId="4" state="visible" r:id="rId4"/>
    <sheet xmlns:r="http://schemas.openxmlformats.org/officeDocument/2006/relationships" name="AnnualReview" sheetId="5" state="visible" r:id="rId5"/>
    <sheet xmlns:r="http://schemas.openxmlformats.org/officeDocument/2006/relationships" name="SubjectAddition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_xlnm._FilterDatabase" localSheetId="0" hidden="1">'MonthlyMetric'!$A$1:$M$2659</definedName>
    <definedName name="_xlnm._FilterDatabase" localSheetId="2" hidden="1">'MonthlyMetricFullData'!$A$4:$V$277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0.0%"/>
    <numFmt numFmtId="166" formatCode="0.0"/>
  </numFmts>
  <fonts count="8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family val="2"/>
      <color rgb="FF000000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242424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31C1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6" fillId="0" borderId="0"/>
    <xf numFmtId="9" fontId="6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14" fontId="0" fillId="0" borderId="0" pivotButton="0" quotePrefix="0" xfId="0"/>
    <xf numFmtId="47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3" fontId="0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2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14" fontId="5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/>
    </xf>
    <xf numFmtId="14" fontId="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left"/>
    </xf>
    <xf numFmtId="0" fontId="4" fillId="0" borderId="0" pivotButton="0" quotePrefix="0" xfId="0"/>
    <xf numFmtId="14" fontId="4" fillId="0" borderId="0" pivotButton="0" quotePrefix="0" xfId="0"/>
    <xf numFmtId="9" fontId="1" fillId="0" borderId="0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9" fontId="1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9" fontId="0" fillId="0" borderId="0" pivotButton="0" quotePrefix="0" xfId="0"/>
    <xf numFmtId="49" fontId="2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 vertical="center"/>
    </xf>
    <xf numFmtId="9" fontId="0" fillId="0" borderId="1" applyAlignment="1" pivotButton="0" quotePrefix="0" xfId="1">
      <alignment horizontal="center"/>
    </xf>
    <xf numFmtId="166" fontId="0" fillId="0" borderId="0" pivotButton="0" quotePrefix="0" xfId="0"/>
    <xf numFmtId="49" fontId="0" fillId="0" borderId="1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revprepllc.sharepoint.com/sites/InstructionLeadership/Shared%20Documents/General/Senior%20Master%20Trackers/Monthly%20Metrics/Dashboard%20Spreadsheets/6.17.26%20Dashboard%20Metrics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revprepllc.sharepoint.com/sites/InstructionLeadership/Shared%20Documents/General/Senior%20Master%20Trackers/Monthly%20Metrics/Dashboard%20Spreadsheets/7.15.26%20Dashboard%20Metrics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nthlyMetric"/>
      <sheetName val="MonthlyMetricFullData"/>
      <sheetName val="Master Tutor List"/>
    </sheetNames>
    <sheetDataSet>
      <sheetData sheetId="0"/>
      <sheetData sheetId="1"/>
      <sheetData sheetId="2">
        <row r="1">
          <cell r="A1" t="str">
            <v>Full Name</v>
          </cell>
          <cell r="B1" t="str">
            <v>Faculty Leader</v>
          </cell>
          <cell r="C1" t="str">
            <v>Type</v>
          </cell>
          <cell r="D1" t="str">
            <v>Tier</v>
          </cell>
        </row>
        <row r="2">
          <cell r="A2" t="str">
            <v>Alex Small</v>
          </cell>
          <cell r="B2" t="str">
            <v>Ela Cross</v>
          </cell>
          <cell r="C2" t="str">
            <v>Adjunct</v>
          </cell>
          <cell r="D2" t="str">
            <v>Premium</v>
          </cell>
        </row>
        <row r="3">
          <cell r="A3" t="str">
            <v>Alexandra Berrios</v>
          </cell>
          <cell r="B3" t="str">
            <v>Kristin Haase-Alvey</v>
          </cell>
          <cell r="C3" t="str">
            <v>Adjunct</v>
          </cell>
          <cell r="D3" t="str">
            <v>Distinguished</v>
          </cell>
        </row>
        <row r="4">
          <cell r="A4" t="str">
            <v>Alison Trumbull</v>
          </cell>
          <cell r="B4" t="str">
            <v>Geoff St. Marie</v>
          </cell>
          <cell r="C4" t="str">
            <v>Adjunct</v>
          </cell>
          <cell r="D4" t="str">
            <v>Premium</v>
          </cell>
        </row>
        <row r="5">
          <cell r="A5" t="str">
            <v>Allison Peck</v>
          </cell>
          <cell r="B5" t="str">
            <v>Kristin Haase-Alvey</v>
          </cell>
          <cell r="C5" t="str">
            <v>Adjunct</v>
          </cell>
          <cell r="D5" t="str">
            <v>Distinguished</v>
          </cell>
        </row>
        <row r="6">
          <cell r="A6" t="str">
            <v>Ayman Smoot</v>
          </cell>
          <cell r="B6" t="str">
            <v>Annelies de Groot</v>
          </cell>
          <cell r="C6" t="str">
            <v>Adjunct</v>
          </cell>
          <cell r="D6" t="str">
            <v>Distinguished</v>
          </cell>
        </row>
        <row r="7">
          <cell r="A7" t="str">
            <v>Brenna Hubnik</v>
          </cell>
          <cell r="B7" t="str">
            <v>Annelies de Groot</v>
          </cell>
          <cell r="C7" t="str">
            <v>Adjunct</v>
          </cell>
          <cell r="D7" t="str">
            <v>Distinguished</v>
          </cell>
        </row>
        <row r="8">
          <cell r="A8" t="str">
            <v>Brian Cohen</v>
          </cell>
          <cell r="B8" t="str">
            <v>Annelies de Groot</v>
          </cell>
          <cell r="C8" t="str">
            <v>Adjunct</v>
          </cell>
          <cell r="D8" t="str">
            <v>Premium</v>
          </cell>
        </row>
        <row r="9">
          <cell r="A9" t="str">
            <v>Cait White</v>
          </cell>
          <cell r="B9" t="str">
            <v>Ela Cross</v>
          </cell>
          <cell r="C9" t="str">
            <v>Adjunct</v>
          </cell>
          <cell r="D9" t="str">
            <v>Premium</v>
          </cell>
        </row>
        <row r="10">
          <cell r="A10" t="str">
            <v>Chris Prouty</v>
          </cell>
          <cell r="B10" t="str">
            <v>Annelies de Groot</v>
          </cell>
          <cell r="C10" t="str">
            <v>Adjunct</v>
          </cell>
          <cell r="D10" t="str">
            <v>Premium</v>
          </cell>
        </row>
        <row r="11">
          <cell r="A11" t="str">
            <v>Christine Santos</v>
          </cell>
          <cell r="B11" t="str">
            <v>Ela Cross</v>
          </cell>
          <cell r="C11" t="str">
            <v>Adjunct</v>
          </cell>
          <cell r="D11" t="str">
            <v>Premium</v>
          </cell>
        </row>
        <row r="12">
          <cell r="A12" t="str">
            <v>Daniel Esquivel-Reynoso</v>
          </cell>
          <cell r="B12" t="str">
            <v>Annelies de Groot</v>
          </cell>
          <cell r="C12" t="str">
            <v>Adjunct</v>
          </cell>
          <cell r="D12" t="str">
            <v>Distinguished</v>
          </cell>
        </row>
        <row r="13">
          <cell r="A13" t="str">
            <v>Dehavion Knight</v>
          </cell>
          <cell r="B13" t="str">
            <v>Ela Cross</v>
          </cell>
          <cell r="C13" t="str">
            <v>Adjunct</v>
          </cell>
          <cell r="D13" t="str">
            <v>Distinguished</v>
          </cell>
        </row>
        <row r="14">
          <cell r="A14" t="str">
            <v>Diamond Anderson</v>
          </cell>
          <cell r="B14" t="str">
            <v>Kristin Haase-Alvey</v>
          </cell>
          <cell r="C14" t="str">
            <v>Adjunct</v>
          </cell>
          <cell r="D14" t="str">
            <v>Distinguished</v>
          </cell>
        </row>
        <row r="15">
          <cell r="A15" t="str">
            <v>Edwin West</v>
          </cell>
          <cell r="B15" t="str">
            <v>Ela Cross</v>
          </cell>
          <cell r="C15" t="str">
            <v>Adjunct</v>
          </cell>
          <cell r="D15" t="str">
            <v>Distinguished</v>
          </cell>
        </row>
        <row r="16">
          <cell r="A16" t="str">
            <v>Elizabeth Simons</v>
          </cell>
          <cell r="B16" t="str">
            <v>Kristin Haase-Alvey</v>
          </cell>
          <cell r="C16" t="str">
            <v>Adjunct</v>
          </cell>
          <cell r="D16" t="str">
            <v>Distinguished</v>
          </cell>
        </row>
        <row r="17">
          <cell r="A17" t="str">
            <v>Gabriel Saint Cyr</v>
          </cell>
          <cell r="B17" t="str">
            <v>Geoff St. Marie</v>
          </cell>
          <cell r="C17" t="str">
            <v>Adjunct</v>
          </cell>
          <cell r="D17" t="str">
            <v>Distinguished</v>
          </cell>
        </row>
        <row r="18">
          <cell r="A18" t="str">
            <v>Hannah Ervitz</v>
          </cell>
          <cell r="B18" t="str">
            <v>Kristin Haase-Alvey</v>
          </cell>
          <cell r="C18" t="str">
            <v>Adjunct</v>
          </cell>
          <cell r="D18" t="str">
            <v>Distinguished</v>
          </cell>
        </row>
        <row r="19">
          <cell r="A19" t="str">
            <v>Jacey Clifton</v>
          </cell>
          <cell r="B19" t="str">
            <v>Ela Cross</v>
          </cell>
          <cell r="C19" t="str">
            <v>Adjunct</v>
          </cell>
          <cell r="D19" t="str">
            <v>Distinguished</v>
          </cell>
        </row>
        <row r="20">
          <cell r="A20" t="str">
            <v>Jake Corvino</v>
          </cell>
          <cell r="B20" t="str">
            <v>Ela Cross</v>
          </cell>
          <cell r="C20" t="str">
            <v>Adjunct</v>
          </cell>
          <cell r="D20" t="str">
            <v>Distinguished</v>
          </cell>
        </row>
        <row r="21">
          <cell r="A21" t="str">
            <v>Jennifer Hernandez</v>
          </cell>
          <cell r="B21" t="str">
            <v>Kristin Haase-Alvey</v>
          </cell>
          <cell r="C21" t="str">
            <v>Adjunct</v>
          </cell>
          <cell r="D21" t="str">
            <v>Distinguished</v>
          </cell>
        </row>
        <row r="22">
          <cell r="A22" t="str">
            <v>Jessica Peterson</v>
          </cell>
          <cell r="B22" t="str">
            <v>Annelies de Groot</v>
          </cell>
          <cell r="C22" t="str">
            <v>Adjunct</v>
          </cell>
          <cell r="D22" t="str">
            <v>Premium</v>
          </cell>
        </row>
        <row r="23">
          <cell r="A23" t="str">
            <v>Jessica Menkhus</v>
          </cell>
          <cell r="B23" t="str">
            <v>Ela Cross</v>
          </cell>
          <cell r="C23" t="str">
            <v>Adjunct</v>
          </cell>
          <cell r="D23" t="str">
            <v>Premium</v>
          </cell>
        </row>
        <row r="24">
          <cell r="A24" t="str">
            <v>Jimmy Works</v>
          </cell>
          <cell r="B24" t="str">
            <v>Kristin Haase-Alvey</v>
          </cell>
          <cell r="C24" t="str">
            <v>Adjunct</v>
          </cell>
          <cell r="D24" t="str">
            <v>Distinguished</v>
          </cell>
        </row>
        <row r="25">
          <cell r="A25" t="str">
            <v>John Corbett</v>
          </cell>
          <cell r="B25" t="str">
            <v>Geoff St. Marie</v>
          </cell>
          <cell r="C25" t="str">
            <v>Adjunct</v>
          </cell>
          <cell r="D25" t="str">
            <v>Distinguished</v>
          </cell>
        </row>
        <row r="26">
          <cell r="A26" t="str">
            <v>Joyraj D'souza</v>
          </cell>
          <cell r="B26" t="str">
            <v>Kristin Haase-Alvey</v>
          </cell>
          <cell r="C26" t="str">
            <v>Adjunct</v>
          </cell>
          <cell r="D26" t="str">
            <v>Distinguished</v>
          </cell>
        </row>
        <row r="27">
          <cell r="A27" t="str">
            <v>Lisa Bartle</v>
          </cell>
          <cell r="B27" t="str">
            <v>Annelies de Groot</v>
          </cell>
          <cell r="C27" t="str">
            <v>Adjunct</v>
          </cell>
          <cell r="D27" t="str">
            <v>Premium</v>
          </cell>
        </row>
        <row r="28">
          <cell r="A28" t="str">
            <v>Maia Gerlinger</v>
          </cell>
          <cell r="B28" t="str">
            <v>Annelies de Groot</v>
          </cell>
          <cell r="C28" t="str">
            <v>Adjunct</v>
          </cell>
          <cell r="D28" t="str">
            <v>Distinguished</v>
          </cell>
        </row>
        <row r="29">
          <cell r="A29" t="str">
            <v>Mark Duncan</v>
          </cell>
          <cell r="B29" t="str">
            <v>Kristin Haase-Alvey</v>
          </cell>
          <cell r="C29" t="str">
            <v>Adjunct</v>
          </cell>
          <cell r="D29" t="str">
            <v>Distinguished</v>
          </cell>
        </row>
        <row r="30">
          <cell r="A30" t="str">
            <v>Matthew Wert</v>
          </cell>
          <cell r="B30" t="str">
            <v>Geoff St. Marie</v>
          </cell>
          <cell r="C30" t="str">
            <v>Adjunct</v>
          </cell>
          <cell r="D30" t="str">
            <v>Distinguished</v>
          </cell>
        </row>
        <row r="31">
          <cell r="A31" t="str">
            <v>Matty Burge</v>
          </cell>
          <cell r="B31" t="str">
            <v>Annelies de Groot</v>
          </cell>
          <cell r="C31" t="str">
            <v>Adjunct</v>
          </cell>
          <cell r="D31" t="str">
            <v>Distinguished</v>
          </cell>
        </row>
        <row r="32">
          <cell r="A32" t="str">
            <v>Megan Hoelting</v>
          </cell>
          <cell r="B32" t="str">
            <v>Annelies de Groot</v>
          </cell>
          <cell r="C32" t="str">
            <v>Adjunct</v>
          </cell>
          <cell r="D32" t="str">
            <v>Distinguished</v>
          </cell>
        </row>
        <row r="33">
          <cell r="A33" t="str">
            <v>Melanie Leong</v>
          </cell>
          <cell r="B33" t="str">
            <v>Kristin Haase-Alvey</v>
          </cell>
          <cell r="C33" t="str">
            <v>Adjunct</v>
          </cell>
          <cell r="D33" t="str">
            <v>Premium</v>
          </cell>
        </row>
        <row r="34">
          <cell r="A34" t="str">
            <v>Melinda Mergendahl</v>
          </cell>
          <cell r="B34" t="str">
            <v>Geoff St. Marie</v>
          </cell>
          <cell r="C34" t="str">
            <v>Adjunct</v>
          </cell>
          <cell r="D34" t="str">
            <v>Distinguished</v>
          </cell>
        </row>
        <row r="35">
          <cell r="A35" t="str">
            <v>Michelle Testerman</v>
          </cell>
          <cell r="B35" t="str">
            <v>Ela Cross</v>
          </cell>
          <cell r="C35" t="str">
            <v>Adjunct</v>
          </cell>
          <cell r="D35" t="str">
            <v>Distinguished</v>
          </cell>
        </row>
        <row r="36">
          <cell r="A36" t="str">
            <v>Miki Cornwell</v>
          </cell>
          <cell r="B36" t="str">
            <v>Ela Cross</v>
          </cell>
          <cell r="C36" t="str">
            <v>Adjunct</v>
          </cell>
          <cell r="D36" t="str">
            <v>Distinguished</v>
          </cell>
        </row>
        <row r="37">
          <cell r="A37" t="str">
            <v>Nik Kososik</v>
          </cell>
          <cell r="B37" t="str">
            <v>Geoff St. Marie</v>
          </cell>
          <cell r="C37" t="str">
            <v>Adjunct</v>
          </cell>
          <cell r="D37" t="str">
            <v>Distinguished</v>
          </cell>
        </row>
        <row r="38">
          <cell r="A38" t="str">
            <v>Nisan Hubbard</v>
          </cell>
          <cell r="B38" t="str">
            <v>Annelies de Groot</v>
          </cell>
          <cell r="C38" t="str">
            <v>Adjunct</v>
          </cell>
          <cell r="D38" t="str">
            <v>Distinguished</v>
          </cell>
        </row>
        <row r="39">
          <cell r="A39" t="str">
            <v>Patricia Flores</v>
          </cell>
          <cell r="B39" t="str">
            <v>Ela Cross</v>
          </cell>
          <cell r="C39" t="str">
            <v>Adjunct</v>
          </cell>
          <cell r="D39" t="str">
            <v>Distinguished</v>
          </cell>
        </row>
        <row r="40">
          <cell r="A40" t="str">
            <v>Q. Monet Travis</v>
          </cell>
          <cell r="B40" t="str">
            <v>Ela Cross</v>
          </cell>
          <cell r="C40" t="str">
            <v>Adjunct</v>
          </cell>
          <cell r="D40" t="str">
            <v>Distinguished</v>
          </cell>
        </row>
        <row r="41">
          <cell r="A41" t="str">
            <v>Rachel Daku</v>
          </cell>
          <cell r="B41" t="str">
            <v>Annelies de Groot</v>
          </cell>
          <cell r="C41" t="str">
            <v>Adjunct</v>
          </cell>
          <cell r="D41" t="str">
            <v>Distinguished</v>
          </cell>
        </row>
        <row r="42">
          <cell r="A42" t="str">
            <v>Ralph Strope</v>
          </cell>
          <cell r="B42" t="str">
            <v>Ela Cross</v>
          </cell>
          <cell r="C42" t="str">
            <v>Adjunct</v>
          </cell>
          <cell r="D42" t="str">
            <v>Distinguished</v>
          </cell>
        </row>
        <row r="43">
          <cell r="A43" t="str">
            <v>Raymond Elliot</v>
          </cell>
          <cell r="B43" t="str">
            <v>Kristin Haase-Alvey</v>
          </cell>
          <cell r="C43" t="str">
            <v>Adjunct</v>
          </cell>
          <cell r="D43" t="str">
            <v>Distinguished</v>
          </cell>
        </row>
        <row r="44">
          <cell r="A44" t="str">
            <v>Ries Scerbin</v>
          </cell>
          <cell r="B44" t="str">
            <v>Annelies de Groot</v>
          </cell>
          <cell r="C44" t="str">
            <v>Adjunct</v>
          </cell>
          <cell r="D44" t="str">
            <v>Distinguished</v>
          </cell>
        </row>
        <row r="45">
          <cell r="A45" t="str">
            <v>Scott Boyd</v>
          </cell>
          <cell r="B45" t="str">
            <v>Geoff St. Marie</v>
          </cell>
          <cell r="C45" t="str">
            <v>Adjunct</v>
          </cell>
          <cell r="D45" t="str">
            <v>Premium</v>
          </cell>
        </row>
        <row r="46">
          <cell r="A46" t="str">
            <v>Sharon Vincuilla</v>
          </cell>
          <cell r="B46" t="str">
            <v>Annelies de Groot</v>
          </cell>
          <cell r="C46" t="str">
            <v>Adjunct</v>
          </cell>
          <cell r="D46" t="str">
            <v>Distinguished</v>
          </cell>
        </row>
        <row r="47">
          <cell r="A47" t="str">
            <v>Shaun Leonard</v>
          </cell>
          <cell r="B47" t="str">
            <v>Kristin Haase-Alvey</v>
          </cell>
          <cell r="C47" t="str">
            <v>Adjunct</v>
          </cell>
          <cell r="D47" t="str">
            <v>Distinguished</v>
          </cell>
        </row>
        <row r="48">
          <cell r="A48" t="str">
            <v>Shawn Kane</v>
          </cell>
          <cell r="B48" t="str">
            <v>Ela Cross</v>
          </cell>
          <cell r="C48" t="str">
            <v>Adjunct</v>
          </cell>
          <cell r="D48" t="str">
            <v>Premium</v>
          </cell>
        </row>
        <row r="49">
          <cell r="A49" t="str">
            <v>Stacey Jones</v>
          </cell>
          <cell r="B49" t="str">
            <v>Annelies de Groot</v>
          </cell>
          <cell r="C49" t="str">
            <v>Adjunct</v>
          </cell>
          <cell r="D49" t="str">
            <v>Distinguished</v>
          </cell>
        </row>
        <row r="50">
          <cell r="A50" t="str">
            <v>Steven Colome</v>
          </cell>
          <cell r="B50" t="str">
            <v>Ela Cross</v>
          </cell>
          <cell r="C50" t="str">
            <v>Adjunct</v>
          </cell>
          <cell r="D50" t="str">
            <v>Distinguished</v>
          </cell>
        </row>
        <row r="51">
          <cell r="A51" t="str">
            <v>Sunho Kum</v>
          </cell>
          <cell r="B51" t="str">
            <v>Ela Cross</v>
          </cell>
          <cell r="C51" t="str">
            <v>Adjunct</v>
          </cell>
          <cell r="D51" t="str">
            <v>Distinguished</v>
          </cell>
        </row>
        <row r="52">
          <cell r="A52" t="str">
            <v>Tea Stewart</v>
          </cell>
          <cell r="B52" t="str">
            <v>Kristin Haase-Alvey</v>
          </cell>
          <cell r="C52" t="str">
            <v>Adjunct</v>
          </cell>
          <cell r="D52" t="str">
            <v>Distinguished</v>
          </cell>
        </row>
        <row r="53">
          <cell r="A53" t="str">
            <v>Tom Pluth</v>
          </cell>
          <cell r="B53" t="str">
            <v>Ela Cross</v>
          </cell>
          <cell r="C53" t="str">
            <v>Adjunct</v>
          </cell>
          <cell r="D53" t="str">
            <v>Distinguished</v>
          </cell>
        </row>
        <row r="54">
          <cell r="A54" t="str">
            <v>Tommaso Marsella</v>
          </cell>
          <cell r="B54" t="str">
            <v>Ian Plamondon</v>
          </cell>
          <cell r="C54" t="str">
            <v>Adjunct</v>
          </cell>
          <cell r="D54" t="str">
            <v>Distinguished</v>
          </cell>
        </row>
        <row r="55">
          <cell r="A55" t="str">
            <v>Judi Abo Hana</v>
          </cell>
          <cell r="B55" t="str">
            <v>Geoff St. Marie</v>
          </cell>
          <cell r="C55" t="str">
            <v>Adjunct</v>
          </cell>
          <cell r="D55" t="str">
            <v>Advanced</v>
          </cell>
        </row>
        <row r="56">
          <cell r="A56" t="str">
            <v>Denise Jefferson</v>
          </cell>
          <cell r="B56" t="str">
            <v>Ela Cross</v>
          </cell>
          <cell r="C56" t="str">
            <v>Adjunct</v>
          </cell>
          <cell r="D56" t="str">
            <v>Distinguished</v>
          </cell>
        </row>
        <row r="57">
          <cell r="A57" t="str">
            <v>Johan Falconi</v>
          </cell>
          <cell r="B57" t="str">
            <v>Ela Cross</v>
          </cell>
          <cell r="C57" t="str">
            <v>Adjunct</v>
          </cell>
          <cell r="D57" t="str">
            <v>Advanced</v>
          </cell>
        </row>
        <row r="58">
          <cell r="A58" t="str">
            <v>Lana Kargetta</v>
          </cell>
          <cell r="B58" t="str">
            <v>Geoff St. Marie</v>
          </cell>
          <cell r="C58" t="str">
            <v>Adjunct</v>
          </cell>
          <cell r="D58" t="str">
            <v>Advanced</v>
          </cell>
        </row>
        <row r="59">
          <cell r="A59" t="str">
            <v>Loren Lijewski</v>
          </cell>
          <cell r="B59" t="str">
            <v>Annelies de Groot</v>
          </cell>
          <cell r="C59" t="str">
            <v>Adjunct</v>
          </cell>
          <cell r="D59" t="str">
            <v>Advanced</v>
          </cell>
        </row>
        <row r="60">
          <cell r="A60" t="str">
            <v>Megan Ingle</v>
          </cell>
          <cell r="B60" t="str">
            <v>Geoff St. Marie</v>
          </cell>
          <cell r="C60" t="str">
            <v>Adjunct</v>
          </cell>
          <cell r="D60" t="str">
            <v>Advanced</v>
          </cell>
        </row>
        <row r="61">
          <cell r="A61" t="str">
            <v>Naima Chaudhry</v>
          </cell>
          <cell r="B61" t="str">
            <v>Kristin Haase-Alvey</v>
          </cell>
          <cell r="C61" t="str">
            <v>Adjunct</v>
          </cell>
          <cell r="D61" t="str">
            <v>Advanced</v>
          </cell>
        </row>
        <row r="62">
          <cell r="A62" t="str">
            <v>Syrae Jennings</v>
          </cell>
          <cell r="B62" t="str">
            <v>Ian Plamondon</v>
          </cell>
          <cell r="C62" t="str">
            <v>Adjunct</v>
          </cell>
          <cell r="D62" t="str">
            <v>Advanced</v>
          </cell>
        </row>
        <row r="63">
          <cell r="A63" t="str">
            <v>Taryn Parks</v>
          </cell>
          <cell r="B63" t="str">
            <v>Annelies de Groot</v>
          </cell>
          <cell r="C63" t="str">
            <v>Adjunct</v>
          </cell>
          <cell r="D63" t="str">
            <v>Advanced</v>
          </cell>
        </row>
        <row r="64">
          <cell r="A64" t="str">
            <v>Teresa Fuller</v>
          </cell>
          <cell r="B64" t="str">
            <v>Ela Cross</v>
          </cell>
          <cell r="C64" t="str">
            <v>Adjunct</v>
          </cell>
          <cell r="D64" t="str">
            <v>Advanced</v>
          </cell>
        </row>
        <row r="65">
          <cell r="A65" t="str">
            <v>Valerie Duran</v>
          </cell>
          <cell r="B65" t="str">
            <v>Ela Cross</v>
          </cell>
          <cell r="C65" t="str">
            <v>Adjunct</v>
          </cell>
          <cell r="D65" t="str">
            <v>Advanced</v>
          </cell>
        </row>
        <row r="66">
          <cell r="A66" t="str">
            <v>Autumn Reed</v>
          </cell>
          <cell r="B66" t="str">
            <v>Geoff St. Marie</v>
          </cell>
          <cell r="C66" t="str">
            <v>Adjunct</v>
          </cell>
          <cell r="D66" t="str">
            <v>Advanced</v>
          </cell>
        </row>
        <row r="67">
          <cell r="A67" t="str">
            <v>Ore Williams</v>
          </cell>
          <cell r="B67" t="str">
            <v>Ela Cross</v>
          </cell>
          <cell r="C67" t="str">
            <v>Adjunct</v>
          </cell>
          <cell r="D67" t="str">
            <v>Advanced</v>
          </cell>
        </row>
        <row r="68">
          <cell r="A68" t="str">
            <v>Parthav Elangovan</v>
          </cell>
          <cell r="B68" t="str">
            <v>Ian Plamondon</v>
          </cell>
          <cell r="C68" t="str">
            <v>Adjunct</v>
          </cell>
          <cell r="D68" t="str">
            <v>Advanced</v>
          </cell>
        </row>
        <row r="69">
          <cell r="A69" t="str">
            <v>Caitlin Tytler</v>
          </cell>
          <cell r="B69" t="str">
            <v>Annelies de Groot</v>
          </cell>
          <cell r="C69" t="str">
            <v>Adjunct</v>
          </cell>
          <cell r="D69" t="str">
            <v>Advanced</v>
          </cell>
        </row>
        <row r="70">
          <cell r="A70" t="str">
            <v>Cadence Liles</v>
          </cell>
          <cell r="B70" t="str">
            <v>Geoff St. Marie</v>
          </cell>
          <cell r="C70" t="str">
            <v>Adjunct</v>
          </cell>
          <cell r="D70" t="str">
            <v>Advanced</v>
          </cell>
        </row>
        <row r="71">
          <cell r="A71" t="str">
            <v>Derek Fox</v>
          </cell>
          <cell r="B71" t="str">
            <v>Geoff St. Marie</v>
          </cell>
          <cell r="C71" t="str">
            <v>Adjunct</v>
          </cell>
          <cell r="D71" t="str">
            <v>Advanced</v>
          </cell>
        </row>
        <row r="72">
          <cell r="A72" t="str">
            <v>Guha Sriram</v>
          </cell>
          <cell r="B72" t="str">
            <v>Annelies de Groot</v>
          </cell>
          <cell r="C72" t="str">
            <v>Adjunct</v>
          </cell>
          <cell r="D72" t="str">
            <v>Advanced</v>
          </cell>
        </row>
        <row r="73">
          <cell r="A73" t="str">
            <v>Jayna Boaz</v>
          </cell>
          <cell r="B73" t="str">
            <v>Ela Cross</v>
          </cell>
          <cell r="C73" t="str">
            <v>Adjunct</v>
          </cell>
          <cell r="D73" t="str">
            <v>Advanced</v>
          </cell>
        </row>
        <row r="74">
          <cell r="A74" t="str">
            <v>Johnny Kaplan</v>
          </cell>
          <cell r="B74" t="str">
            <v>Ian Plamondon</v>
          </cell>
          <cell r="C74" t="str">
            <v>Adjunct</v>
          </cell>
          <cell r="D74" t="str">
            <v>Advanced</v>
          </cell>
        </row>
        <row r="75">
          <cell r="A75" t="str">
            <v>Kai Tsung</v>
          </cell>
          <cell r="B75" t="str">
            <v>Kristin Haase-Alvey</v>
          </cell>
          <cell r="C75" t="str">
            <v>Adjunct</v>
          </cell>
          <cell r="D75" t="str">
            <v>Advanced</v>
          </cell>
        </row>
        <row r="76">
          <cell r="A76" t="str">
            <v>Saahithi Punnam</v>
          </cell>
          <cell r="B76" t="str">
            <v>Annelies de Groot</v>
          </cell>
          <cell r="C76" t="str">
            <v>Adjunct</v>
          </cell>
          <cell r="D76" t="str">
            <v>Advanced</v>
          </cell>
        </row>
        <row r="77">
          <cell r="A77" t="str">
            <v>Nisha Fletcher</v>
          </cell>
          <cell r="B77" t="str">
            <v>Kristin Haase-Alvey</v>
          </cell>
          <cell r="C77" t="str">
            <v>Adjunct</v>
          </cell>
          <cell r="D77" t="str">
            <v>Distinguished</v>
          </cell>
        </row>
        <row r="78">
          <cell r="A78" t="str">
            <v>Aaron Schneberger</v>
          </cell>
          <cell r="B78" t="str">
            <v>Ian Plamondon</v>
          </cell>
          <cell r="C78" t="str">
            <v>Professional</v>
          </cell>
          <cell r="D78" t="str">
            <v>Distinguished</v>
          </cell>
        </row>
        <row r="79">
          <cell r="A79" t="str">
            <v>Akeema Williams</v>
          </cell>
          <cell r="B79" t="str">
            <v>Geoff St. Marie</v>
          </cell>
          <cell r="C79" t="str">
            <v>Professional</v>
          </cell>
          <cell r="D79" t="str">
            <v>Distinguished</v>
          </cell>
        </row>
        <row r="80">
          <cell r="A80" t="str">
            <v>Alexa Pinera</v>
          </cell>
          <cell r="B80" t="str">
            <v>Ian Plamondon</v>
          </cell>
          <cell r="C80" t="str">
            <v>Professional</v>
          </cell>
          <cell r="D80" t="str">
            <v>Premium</v>
          </cell>
        </row>
        <row r="81">
          <cell r="A81" t="str">
            <v>Alexis Boucher</v>
          </cell>
          <cell r="B81" t="str">
            <v>Geoff St. Marie</v>
          </cell>
          <cell r="C81" t="str">
            <v>Professional</v>
          </cell>
          <cell r="D81" t="str">
            <v>Distinguished</v>
          </cell>
        </row>
        <row r="82">
          <cell r="A82" t="str">
            <v>Amber Maldonado</v>
          </cell>
          <cell r="B82" t="str">
            <v>Annelies de Groot</v>
          </cell>
          <cell r="C82" t="str">
            <v>Professional</v>
          </cell>
          <cell r="D82" t="str">
            <v>Distinguished</v>
          </cell>
        </row>
        <row r="83">
          <cell r="A83" t="str">
            <v>Amelia Sain</v>
          </cell>
          <cell r="B83" t="str">
            <v>Geoff St. Marie</v>
          </cell>
          <cell r="C83" t="str">
            <v>Professional</v>
          </cell>
          <cell r="D83" t="str">
            <v>Premium</v>
          </cell>
        </row>
        <row r="84">
          <cell r="A84" t="str">
            <v>Amy Kim</v>
          </cell>
          <cell r="B84" t="str">
            <v>Ela Cross</v>
          </cell>
          <cell r="C84" t="str">
            <v>Professional</v>
          </cell>
          <cell r="D84" t="str">
            <v>Distinguished</v>
          </cell>
        </row>
        <row r="85">
          <cell r="A85" t="str">
            <v>Ana Heiser</v>
          </cell>
          <cell r="B85" t="str">
            <v>Kristin Haase-Alvey</v>
          </cell>
          <cell r="C85" t="str">
            <v>Professional</v>
          </cell>
          <cell r="D85" t="str">
            <v>Distinguished</v>
          </cell>
        </row>
        <row r="86">
          <cell r="A86" t="str">
            <v>Andres Jarquin</v>
          </cell>
          <cell r="B86" t="str">
            <v>Ian Plamondon</v>
          </cell>
          <cell r="C86" t="str">
            <v>Professional</v>
          </cell>
          <cell r="D86" t="str">
            <v>Distinguished</v>
          </cell>
        </row>
        <row r="87">
          <cell r="A87" t="str">
            <v>Andrew Brown</v>
          </cell>
          <cell r="B87" t="str">
            <v>Geoff St. Marie</v>
          </cell>
          <cell r="C87" t="str">
            <v>Professional</v>
          </cell>
          <cell r="D87" t="str">
            <v>Distinguished</v>
          </cell>
        </row>
        <row r="88">
          <cell r="A88" t="str">
            <v>Andrew League</v>
          </cell>
          <cell r="B88" t="str">
            <v>Ian Plamondon</v>
          </cell>
          <cell r="C88" t="str">
            <v>Professional</v>
          </cell>
          <cell r="D88" t="str">
            <v>Distinguished</v>
          </cell>
        </row>
        <row r="89">
          <cell r="A89" t="str">
            <v>Andrew Gehlot</v>
          </cell>
          <cell r="B89" t="str">
            <v>Ela Cross</v>
          </cell>
          <cell r="C89" t="str">
            <v>Professional</v>
          </cell>
          <cell r="D89" t="str">
            <v>Premium</v>
          </cell>
        </row>
        <row r="90">
          <cell r="A90" t="str">
            <v>Anna Jasko</v>
          </cell>
          <cell r="B90" t="str">
            <v>Ela Cross</v>
          </cell>
          <cell r="C90" t="str">
            <v>Professional</v>
          </cell>
          <cell r="D90" t="str">
            <v>Distinguished</v>
          </cell>
        </row>
        <row r="91">
          <cell r="A91" t="str">
            <v>Annie Sylvester</v>
          </cell>
          <cell r="B91" t="str">
            <v>Ela Cross</v>
          </cell>
          <cell r="C91" t="str">
            <v>Professional</v>
          </cell>
          <cell r="D91" t="str">
            <v>Distinguished</v>
          </cell>
        </row>
        <row r="92">
          <cell r="A92" t="str">
            <v>Armand Brouty</v>
          </cell>
          <cell r="B92" t="str">
            <v>Geoff St. Marie</v>
          </cell>
          <cell r="C92" t="str">
            <v>Professional</v>
          </cell>
          <cell r="D92" t="str">
            <v>Distinguished</v>
          </cell>
        </row>
        <row r="93">
          <cell r="A93" t="str">
            <v>Ashley Scorsone</v>
          </cell>
          <cell r="B93" t="str">
            <v>Geoff St. Marie</v>
          </cell>
          <cell r="C93" t="str">
            <v>Professional</v>
          </cell>
          <cell r="D93" t="str">
            <v>Premium</v>
          </cell>
        </row>
        <row r="94">
          <cell r="A94" t="str">
            <v>Ben Taylor</v>
          </cell>
          <cell r="B94" t="str">
            <v>Kristin Haase-Alvey</v>
          </cell>
          <cell r="C94" t="str">
            <v>Professional</v>
          </cell>
          <cell r="D94" t="str">
            <v>Premium</v>
          </cell>
        </row>
        <row r="95">
          <cell r="A95" t="str">
            <v>Blake Maly</v>
          </cell>
          <cell r="B95" t="str">
            <v>Annelies de Groot</v>
          </cell>
          <cell r="C95" t="str">
            <v>Professional</v>
          </cell>
          <cell r="D95" t="str">
            <v>Distinguished</v>
          </cell>
        </row>
        <row r="96">
          <cell r="A96" t="str">
            <v>Brandon Engle</v>
          </cell>
          <cell r="B96" t="str">
            <v>Annelies de Groot</v>
          </cell>
          <cell r="C96" t="str">
            <v>Professional</v>
          </cell>
          <cell r="D96" t="str">
            <v>Distinguished</v>
          </cell>
        </row>
        <row r="97">
          <cell r="A97" t="str">
            <v>Brian James</v>
          </cell>
          <cell r="B97" t="str">
            <v>Annelies de Groot</v>
          </cell>
          <cell r="C97" t="str">
            <v>Professional</v>
          </cell>
          <cell r="D97" t="str">
            <v>Distinguished</v>
          </cell>
        </row>
        <row r="98">
          <cell r="A98" t="str">
            <v>Brian Johnson</v>
          </cell>
          <cell r="B98" t="str">
            <v>Kristin Haase-Alvey</v>
          </cell>
          <cell r="C98" t="str">
            <v>Professional</v>
          </cell>
          <cell r="D98" t="str">
            <v>Distinguished</v>
          </cell>
        </row>
        <row r="99">
          <cell r="A99" t="str">
            <v>Brittany Drew</v>
          </cell>
          <cell r="B99" t="str">
            <v>Ela Cross</v>
          </cell>
          <cell r="C99" t="str">
            <v>Professional</v>
          </cell>
          <cell r="D99" t="str">
            <v>Distinguished</v>
          </cell>
        </row>
        <row r="100">
          <cell r="A100" t="str">
            <v>Brock Dilley</v>
          </cell>
          <cell r="B100" t="str">
            <v>Annelies de Groot</v>
          </cell>
          <cell r="C100" t="str">
            <v>Professional</v>
          </cell>
          <cell r="D100" t="str">
            <v>Distinguished</v>
          </cell>
        </row>
        <row r="101">
          <cell r="A101" t="str">
            <v>Bryant Salinas</v>
          </cell>
          <cell r="B101" t="str">
            <v>Geoff St. Marie</v>
          </cell>
          <cell r="C101" t="str">
            <v>Professional</v>
          </cell>
          <cell r="D101" t="str">
            <v>Premium</v>
          </cell>
        </row>
        <row r="102">
          <cell r="A102" t="str">
            <v>Cara Rabaev (McLaughlin)</v>
          </cell>
          <cell r="B102" t="str">
            <v>Ian Plamondon</v>
          </cell>
          <cell r="C102" t="str">
            <v>Professional</v>
          </cell>
          <cell r="D102" t="str">
            <v>Distinguished</v>
          </cell>
        </row>
        <row r="103">
          <cell r="A103" t="str">
            <v>Carina Shanahan</v>
          </cell>
          <cell r="B103" t="str">
            <v>Kristin Haase-Alvey</v>
          </cell>
          <cell r="C103" t="str">
            <v>Professional</v>
          </cell>
          <cell r="D103" t="str">
            <v>Distinguished</v>
          </cell>
        </row>
        <row r="104">
          <cell r="A104" t="str">
            <v>Casey Young</v>
          </cell>
          <cell r="B104" t="str">
            <v>Ela Cross</v>
          </cell>
          <cell r="C104" t="str">
            <v>Professional</v>
          </cell>
          <cell r="D104" t="str">
            <v>Distinguished</v>
          </cell>
        </row>
        <row r="105">
          <cell r="A105" t="str">
            <v>Charlie Anderson</v>
          </cell>
          <cell r="B105" t="str">
            <v>Annelies de Groot</v>
          </cell>
          <cell r="C105" t="str">
            <v>Professional</v>
          </cell>
          <cell r="D105" t="str">
            <v>Distinguished</v>
          </cell>
        </row>
        <row r="106">
          <cell r="A106" t="str">
            <v>Chazlee Myers</v>
          </cell>
          <cell r="B106" t="str">
            <v>Geoff St. Marie</v>
          </cell>
          <cell r="C106" t="str">
            <v>Professional</v>
          </cell>
          <cell r="D106" t="str">
            <v>Distinguished</v>
          </cell>
        </row>
        <row r="107">
          <cell r="A107" t="str">
            <v>Chelsea Kobea</v>
          </cell>
          <cell r="B107" t="str">
            <v>Kristin Haase-Alvey</v>
          </cell>
          <cell r="C107" t="str">
            <v>Professional</v>
          </cell>
          <cell r="D107" t="str">
            <v>Distinguished</v>
          </cell>
        </row>
        <row r="108">
          <cell r="A108" t="str">
            <v>Cheyanne Jones</v>
          </cell>
          <cell r="B108" t="str">
            <v>Kristin Haase-Alvey</v>
          </cell>
          <cell r="C108" t="str">
            <v>Professional</v>
          </cell>
          <cell r="D108" t="str">
            <v>Distinguished</v>
          </cell>
        </row>
        <row r="109">
          <cell r="A109" t="str">
            <v>Chris Yoon</v>
          </cell>
          <cell r="B109" t="str">
            <v>Ian Plamondon</v>
          </cell>
          <cell r="C109" t="str">
            <v>Professional</v>
          </cell>
          <cell r="D109" t="str">
            <v>Distinguished</v>
          </cell>
        </row>
        <row r="110">
          <cell r="A110" t="str">
            <v>Christelle Rocha</v>
          </cell>
          <cell r="B110" t="str">
            <v>Annelies de Groot</v>
          </cell>
          <cell r="C110" t="str">
            <v>Professional</v>
          </cell>
          <cell r="D110" t="str">
            <v>Distinguished</v>
          </cell>
        </row>
        <row r="111">
          <cell r="A111" t="str">
            <v>Christian Steiner</v>
          </cell>
          <cell r="B111" t="str">
            <v>Kristin Haase-Alvey</v>
          </cell>
          <cell r="C111" t="str">
            <v>Professional</v>
          </cell>
          <cell r="D111" t="str">
            <v>Distinguished</v>
          </cell>
        </row>
        <row r="112">
          <cell r="A112" t="str">
            <v>Christian Collins</v>
          </cell>
          <cell r="B112" t="str">
            <v>Ian Plamondon</v>
          </cell>
          <cell r="C112" t="str">
            <v>Professional</v>
          </cell>
          <cell r="D112" t="str">
            <v>Premium</v>
          </cell>
        </row>
        <row r="113">
          <cell r="A113" t="str">
            <v>Clark Howard</v>
          </cell>
          <cell r="B113" t="str">
            <v>Ela Cross</v>
          </cell>
          <cell r="C113" t="str">
            <v>Professional</v>
          </cell>
          <cell r="D113" t="str">
            <v>Distinguished</v>
          </cell>
        </row>
        <row r="114">
          <cell r="A114" t="str">
            <v>Colin Cody</v>
          </cell>
          <cell r="B114" t="str">
            <v>Ela Cross</v>
          </cell>
          <cell r="C114" t="str">
            <v>Professional</v>
          </cell>
          <cell r="D114" t="str">
            <v>Distinguished</v>
          </cell>
        </row>
        <row r="115">
          <cell r="A115" t="str">
            <v>Cristina Ascenzi Pettenuzzo</v>
          </cell>
          <cell r="B115" t="str">
            <v>Ian Plamondon</v>
          </cell>
          <cell r="C115" t="str">
            <v>Professional</v>
          </cell>
          <cell r="D115" t="str">
            <v>Distinguished</v>
          </cell>
        </row>
        <row r="116">
          <cell r="A116" t="str">
            <v>Daniel Olson</v>
          </cell>
          <cell r="B116" t="str">
            <v>Annelies de Groot</v>
          </cell>
          <cell r="C116" t="str">
            <v>Professional</v>
          </cell>
          <cell r="D116" t="str">
            <v>Distinguished</v>
          </cell>
        </row>
        <row r="117">
          <cell r="A117" t="str">
            <v>Daniel Severance</v>
          </cell>
          <cell r="B117" t="str">
            <v>Annelies de Groot</v>
          </cell>
          <cell r="C117" t="str">
            <v>Professional</v>
          </cell>
          <cell r="D117" t="str">
            <v>Premium</v>
          </cell>
        </row>
        <row r="118">
          <cell r="A118" t="str">
            <v>David Alcantara</v>
          </cell>
          <cell r="B118" t="str">
            <v>Ela Cross</v>
          </cell>
          <cell r="C118" t="str">
            <v>Professional</v>
          </cell>
          <cell r="D118" t="str">
            <v>Distinguished</v>
          </cell>
        </row>
        <row r="119">
          <cell r="A119" t="str">
            <v>Diana Hoyer</v>
          </cell>
          <cell r="B119" t="str">
            <v>Geoff St. Marie</v>
          </cell>
          <cell r="C119" t="str">
            <v>Professional</v>
          </cell>
          <cell r="D119" t="str">
            <v>Distinguished</v>
          </cell>
        </row>
        <row r="120">
          <cell r="A120" t="str">
            <v>Dorothy McDaniel</v>
          </cell>
          <cell r="B120" t="str">
            <v>Ian Plamondon</v>
          </cell>
          <cell r="C120" t="str">
            <v>Professional</v>
          </cell>
          <cell r="D120" t="str">
            <v>Premium</v>
          </cell>
        </row>
        <row r="121">
          <cell r="A121" t="str">
            <v>Eddie Rodriguez</v>
          </cell>
          <cell r="B121" t="str">
            <v>Ian Plamondon</v>
          </cell>
          <cell r="C121" t="str">
            <v>Professional</v>
          </cell>
          <cell r="D121" t="str">
            <v>Distinguished</v>
          </cell>
        </row>
        <row r="122">
          <cell r="A122" t="str">
            <v>Eddie Cayia</v>
          </cell>
          <cell r="B122" t="str">
            <v>Annelies de Groot</v>
          </cell>
          <cell r="C122" t="str">
            <v>Professional</v>
          </cell>
          <cell r="D122" t="str">
            <v>Distinguished</v>
          </cell>
        </row>
        <row r="123">
          <cell r="A123" t="str">
            <v>Eden Rasmussen</v>
          </cell>
          <cell r="B123" t="str">
            <v>Ian Plamondon</v>
          </cell>
          <cell r="C123" t="str">
            <v>Professional</v>
          </cell>
          <cell r="D123" t="str">
            <v>Distinguished</v>
          </cell>
        </row>
        <row r="124">
          <cell r="A124" t="str">
            <v>Elijah Ramirez</v>
          </cell>
          <cell r="B124" t="str">
            <v>Ian Plamondon</v>
          </cell>
          <cell r="C124" t="str">
            <v>Professional</v>
          </cell>
          <cell r="D124" t="str">
            <v>Premium</v>
          </cell>
        </row>
        <row r="125">
          <cell r="A125" t="str">
            <v>Elliot Emadian</v>
          </cell>
          <cell r="B125" t="str">
            <v>Annelies de Groot</v>
          </cell>
          <cell r="C125" t="str">
            <v>Professional</v>
          </cell>
          <cell r="D125" t="str">
            <v>Distinguished</v>
          </cell>
        </row>
        <row r="126">
          <cell r="A126" t="str">
            <v>Eric Chang</v>
          </cell>
          <cell r="B126" t="str">
            <v>Annelies de Groot</v>
          </cell>
          <cell r="C126" t="str">
            <v>Professional</v>
          </cell>
          <cell r="D126" t="str">
            <v>Distinguished</v>
          </cell>
        </row>
        <row r="127">
          <cell r="A127" t="str">
            <v>Ernie Chu</v>
          </cell>
          <cell r="B127" t="str">
            <v>Geoff St. Marie</v>
          </cell>
          <cell r="C127" t="str">
            <v>Professional</v>
          </cell>
          <cell r="D127" t="str">
            <v>Distinguished</v>
          </cell>
        </row>
        <row r="128">
          <cell r="A128" t="str">
            <v>Faith Rogers</v>
          </cell>
          <cell r="B128" t="str">
            <v>Geoff St. Marie</v>
          </cell>
          <cell r="C128" t="str">
            <v>Professional</v>
          </cell>
          <cell r="D128" t="str">
            <v>Distinguished</v>
          </cell>
        </row>
        <row r="129">
          <cell r="A129" t="str">
            <v>Gale Hermes</v>
          </cell>
          <cell r="B129" t="str">
            <v>Ian Plamondon</v>
          </cell>
          <cell r="C129" t="str">
            <v>Professional</v>
          </cell>
          <cell r="D129" t="str">
            <v>Premium</v>
          </cell>
        </row>
        <row r="130">
          <cell r="A130" t="str">
            <v>Gene Costa</v>
          </cell>
          <cell r="B130" t="str">
            <v>Ela Cross</v>
          </cell>
          <cell r="C130" t="str">
            <v>Professional</v>
          </cell>
          <cell r="D130" t="str">
            <v>Distinguished</v>
          </cell>
        </row>
        <row r="131">
          <cell r="A131" t="str">
            <v>Gigi Glover</v>
          </cell>
          <cell r="B131" t="str">
            <v>Geoff St. Marie</v>
          </cell>
          <cell r="C131" t="str">
            <v>Professional</v>
          </cell>
          <cell r="D131" t="str">
            <v>Distinguished</v>
          </cell>
        </row>
        <row r="132">
          <cell r="A132" t="str">
            <v>Hannah Lodge</v>
          </cell>
          <cell r="B132" t="str">
            <v>Ian Plamondon</v>
          </cell>
          <cell r="C132" t="str">
            <v>Professional</v>
          </cell>
          <cell r="D132" t="str">
            <v>Premium</v>
          </cell>
        </row>
        <row r="133">
          <cell r="A133" t="str">
            <v>Hannah Duliere</v>
          </cell>
          <cell r="B133" t="str">
            <v>Ela Cross</v>
          </cell>
          <cell r="C133" t="str">
            <v>Professional</v>
          </cell>
          <cell r="D133" t="str">
            <v>Premium</v>
          </cell>
        </row>
        <row r="134">
          <cell r="A134" t="str">
            <v>Jacob Karn</v>
          </cell>
          <cell r="B134" t="str">
            <v>Ian Plamondon</v>
          </cell>
          <cell r="C134" t="str">
            <v>Professional</v>
          </cell>
          <cell r="D134" t="str">
            <v>Distinguished</v>
          </cell>
        </row>
        <row r="135">
          <cell r="A135" t="str">
            <v>James Falconer</v>
          </cell>
          <cell r="B135" t="str">
            <v>Geoff St. Marie</v>
          </cell>
          <cell r="C135" t="str">
            <v>Professional</v>
          </cell>
          <cell r="D135" t="str">
            <v>Distinguished</v>
          </cell>
        </row>
        <row r="136">
          <cell r="A136" t="str">
            <v>Jason Noble</v>
          </cell>
          <cell r="B136" t="str">
            <v>Kristin Haase-Alvey</v>
          </cell>
          <cell r="C136" t="str">
            <v>Professional</v>
          </cell>
          <cell r="D136" t="str">
            <v>Distinguished</v>
          </cell>
        </row>
        <row r="137">
          <cell r="A137" t="str">
            <v>Jason Keller</v>
          </cell>
          <cell r="B137" t="str">
            <v>Kristin Haase-Alvey</v>
          </cell>
          <cell r="C137" t="str">
            <v>Professional</v>
          </cell>
          <cell r="D137" t="str">
            <v>Premium</v>
          </cell>
        </row>
        <row r="138">
          <cell r="A138" t="str">
            <v>Jesse Squires</v>
          </cell>
          <cell r="B138" t="str">
            <v>Kristin Haase-Alvey</v>
          </cell>
          <cell r="C138" t="str">
            <v>Professional</v>
          </cell>
          <cell r="D138" t="str">
            <v>Distinguished</v>
          </cell>
        </row>
        <row r="139">
          <cell r="A139" t="str">
            <v>Jessica Wall</v>
          </cell>
          <cell r="B139" t="str">
            <v>Kristin Haase-Alvey</v>
          </cell>
          <cell r="C139" t="str">
            <v>Professional</v>
          </cell>
          <cell r="D139" t="str">
            <v>Distinguished</v>
          </cell>
        </row>
        <row r="140">
          <cell r="A140" t="str">
            <v>Jill Watson</v>
          </cell>
          <cell r="B140" t="str">
            <v>Ian Plamondon</v>
          </cell>
          <cell r="C140" t="str">
            <v>Professional</v>
          </cell>
          <cell r="D140" t="str">
            <v>Distinguished</v>
          </cell>
        </row>
        <row r="141">
          <cell r="A141" t="str">
            <v>John Olmos</v>
          </cell>
          <cell r="B141" t="str">
            <v>Geoff St. Marie</v>
          </cell>
          <cell r="C141" t="str">
            <v>Professional</v>
          </cell>
          <cell r="D141" t="str">
            <v>Distinguished</v>
          </cell>
        </row>
        <row r="142">
          <cell r="A142" t="str">
            <v>John Licitra</v>
          </cell>
          <cell r="B142" t="str">
            <v>Geoff St. Marie</v>
          </cell>
          <cell r="C142" t="str">
            <v>Professional</v>
          </cell>
          <cell r="D142" t="str">
            <v>Distinguished</v>
          </cell>
        </row>
        <row r="143">
          <cell r="A143" t="str">
            <v>John Salcedo</v>
          </cell>
          <cell r="B143" t="str">
            <v>Ela Cross</v>
          </cell>
          <cell r="C143" t="str">
            <v>Professional</v>
          </cell>
          <cell r="D143" t="str">
            <v>Distinguished</v>
          </cell>
        </row>
        <row r="144">
          <cell r="A144" t="str">
            <v>Jon Cathapermal</v>
          </cell>
          <cell r="B144" t="str">
            <v>Geoff St. Marie</v>
          </cell>
          <cell r="C144" t="str">
            <v>Professional</v>
          </cell>
          <cell r="D144" t="str">
            <v>Distinguished</v>
          </cell>
        </row>
        <row r="145">
          <cell r="A145" t="str">
            <v>Juan Nunez</v>
          </cell>
          <cell r="B145" t="str">
            <v>Kristin Haase-Alvey</v>
          </cell>
          <cell r="C145" t="str">
            <v>Professional</v>
          </cell>
          <cell r="D145" t="str">
            <v>Distinguished</v>
          </cell>
        </row>
        <row r="146">
          <cell r="A146" t="str">
            <v>Julia Saderholm</v>
          </cell>
          <cell r="B146" t="str">
            <v>Ela Cross</v>
          </cell>
          <cell r="C146" t="str">
            <v>Professional</v>
          </cell>
          <cell r="D146" t="str">
            <v>Distinguished</v>
          </cell>
        </row>
        <row r="147">
          <cell r="A147" t="str">
            <v>Julie Byrom</v>
          </cell>
          <cell r="B147" t="str">
            <v>Ela Cross</v>
          </cell>
          <cell r="C147" t="str">
            <v>Professional</v>
          </cell>
          <cell r="D147" t="str">
            <v>Premium</v>
          </cell>
        </row>
        <row r="148">
          <cell r="A148" t="str">
            <v>Justin Hill</v>
          </cell>
          <cell r="B148" t="str">
            <v>Kristin Haase-Alvey</v>
          </cell>
          <cell r="C148" t="str">
            <v>Professional</v>
          </cell>
          <cell r="D148" t="str">
            <v>Distinguished</v>
          </cell>
        </row>
        <row r="149">
          <cell r="A149" t="str">
            <v>Kailot Harris</v>
          </cell>
          <cell r="B149" t="str">
            <v>Kristin Haase-Alvey</v>
          </cell>
          <cell r="C149" t="str">
            <v>Professional</v>
          </cell>
          <cell r="D149" t="str">
            <v>Distinguished</v>
          </cell>
        </row>
        <row r="150">
          <cell r="A150" t="str">
            <v>Karleigh Arrington</v>
          </cell>
          <cell r="B150" t="str">
            <v>Annelies de Groot</v>
          </cell>
          <cell r="C150" t="str">
            <v>Professional</v>
          </cell>
          <cell r="D150" t="str">
            <v>Distinguished</v>
          </cell>
        </row>
        <row r="151">
          <cell r="A151" t="str">
            <v>Katherine Clarke</v>
          </cell>
          <cell r="B151" t="str">
            <v>Kristin Haase-Alvey</v>
          </cell>
          <cell r="C151" t="str">
            <v>Professional</v>
          </cell>
          <cell r="D151" t="str">
            <v>Distinguished</v>
          </cell>
        </row>
        <row r="152">
          <cell r="A152" t="str">
            <v>Katherine Dickerson</v>
          </cell>
          <cell r="B152" t="str">
            <v>Geoff St. Marie</v>
          </cell>
          <cell r="C152" t="str">
            <v>Professional</v>
          </cell>
          <cell r="D152" t="str">
            <v>Premium</v>
          </cell>
        </row>
        <row r="153">
          <cell r="A153" t="str">
            <v>Kiersten Guetlein</v>
          </cell>
          <cell r="B153" t="str">
            <v>Ela Cross</v>
          </cell>
          <cell r="C153" t="str">
            <v>Professional</v>
          </cell>
          <cell r="D153" t="str">
            <v>Premium</v>
          </cell>
        </row>
        <row r="154">
          <cell r="A154" t="str">
            <v>Kristen Luigart</v>
          </cell>
          <cell r="B154" t="str">
            <v>Ian Plamondon</v>
          </cell>
          <cell r="C154" t="str">
            <v>Professional</v>
          </cell>
          <cell r="D154" t="str">
            <v>Distinguished</v>
          </cell>
        </row>
        <row r="155">
          <cell r="A155" t="str">
            <v>Kristen Fox</v>
          </cell>
          <cell r="B155" t="str">
            <v>Kristin Haase-Alvey</v>
          </cell>
          <cell r="C155" t="str">
            <v>Professional</v>
          </cell>
          <cell r="D155" t="str">
            <v>Distinguished</v>
          </cell>
        </row>
        <row r="156">
          <cell r="A156" t="str">
            <v>Levi Fox</v>
          </cell>
          <cell r="B156" t="str">
            <v>Geoff St. Marie</v>
          </cell>
          <cell r="C156" t="str">
            <v>Professional</v>
          </cell>
          <cell r="D156" t="str">
            <v>Premium</v>
          </cell>
        </row>
        <row r="157">
          <cell r="A157" t="str">
            <v>Liz Pirie</v>
          </cell>
          <cell r="B157" t="str">
            <v>Kristin Haase-Alvey</v>
          </cell>
          <cell r="C157" t="str">
            <v>Professional</v>
          </cell>
          <cell r="D157" t="str">
            <v>Distinguished</v>
          </cell>
        </row>
        <row r="158">
          <cell r="A158" t="str">
            <v>Liz Garcia</v>
          </cell>
          <cell r="B158" t="str">
            <v>Ian Plamondon</v>
          </cell>
          <cell r="C158" t="str">
            <v>Professional</v>
          </cell>
          <cell r="D158" t="str">
            <v>Distinguished</v>
          </cell>
        </row>
        <row r="159">
          <cell r="A159" t="str">
            <v>Machaela Verhage</v>
          </cell>
          <cell r="B159" t="str">
            <v>Annelies de Groot</v>
          </cell>
          <cell r="C159" t="str">
            <v>Professional</v>
          </cell>
          <cell r="D159" t="str">
            <v>Distinguished</v>
          </cell>
        </row>
        <row r="160">
          <cell r="A160" t="str">
            <v>Margaret Webb</v>
          </cell>
          <cell r="B160" t="str">
            <v>Kristin Haase-Alvey</v>
          </cell>
          <cell r="C160" t="str">
            <v>Professional</v>
          </cell>
          <cell r="D160" t="str">
            <v>Distinguished</v>
          </cell>
        </row>
        <row r="161">
          <cell r="A161" t="str">
            <v>Mariah Lutz</v>
          </cell>
          <cell r="B161" t="str">
            <v>Ian Plamondon</v>
          </cell>
          <cell r="C161" t="str">
            <v>Professional</v>
          </cell>
          <cell r="D161" t="str">
            <v>Distinguished</v>
          </cell>
        </row>
        <row r="162">
          <cell r="A162" t="str">
            <v>Mary Logan</v>
          </cell>
          <cell r="B162" t="str">
            <v>Ela Cross</v>
          </cell>
          <cell r="C162" t="str">
            <v>Professional</v>
          </cell>
          <cell r="D162" t="str">
            <v>Distinguished</v>
          </cell>
        </row>
        <row r="163">
          <cell r="A163" t="str">
            <v>Mary Felix</v>
          </cell>
          <cell r="B163" t="str">
            <v>Ian Plamondon</v>
          </cell>
          <cell r="C163" t="str">
            <v>Professional</v>
          </cell>
          <cell r="D163" t="str">
            <v>Premium</v>
          </cell>
        </row>
        <row r="164">
          <cell r="A164" t="str">
            <v>Matthew Urso</v>
          </cell>
          <cell r="B164" t="str">
            <v>Geoff St. Marie</v>
          </cell>
          <cell r="C164" t="str">
            <v>Professional</v>
          </cell>
          <cell r="D164" t="str">
            <v>Distinguished</v>
          </cell>
        </row>
        <row r="165">
          <cell r="A165" t="str">
            <v>Maximilian Tsimerman</v>
          </cell>
          <cell r="B165" t="str">
            <v>Geoff St. Marie</v>
          </cell>
          <cell r="C165" t="str">
            <v>Professional</v>
          </cell>
          <cell r="D165" t="str">
            <v>Distinguished</v>
          </cell>
        </row>
        <row r="166">
          <cell r="A166" t="str">
            <v>Megan Osgood</v>
          </cell>
          <cell r="B166" t="str">
            <v>Annelies de Groot</v>
          </cell>
          <cell r="C166" t="str">
            <v>Professional</v>
          </cell>
          <cell r="D166" t="str">
            <v>Distinguished</v>
          </cell>
        </row>
        <row r="167">
          <cell r="A167" t="str">
            <v>Myles Oldroyd</v>
          </cell>
          <cell r="B167" t="str">
            <v>Ian Plamondon</v>
          </cell>
          <cell r="C167" t="str">
            <v>Professional</v>
          </cell>
          <cell r="D167" t="str">
            <v>Premium</v>
          </cell>
        </row>
        <row r="168">
          <cell r="A168" t="str">
            <v>Nando Reyes</v>
          </cell>
          <cell r="B168" t="str">
            <v>Geoff St. Marie</v>
          </cell>
          <cell r="C168" t="str">
            <v>Professional</v>
          </cell>
          <cell r="D168" t="str">
            <v>Distinguished</v>
          </cell>
        </row>
        <row r="169">
          <cell r="A169" t="str">
            <v>Nayely Rolon-Gomez</v>
          </cell>
          <cell r="B169" t="str">
            <v>Ela Cross</v>
          </cell>
          <cell r="C169" t="str">
            <v>Professional</v>
          </cell>
          <cell r="D169" t="str">
            <v>Distinguished</v>
          </cell>
        </row>
        <row r="170">
          <cell r="A170" t="str">
            <v>Nicholas Ulfik</v>
          </cell>
          <cell r="B170" t="str">
            <v>Kristin Haase-Alvey</v>
          </cell>
          <cell r="C170" t="str">
            <v>Professional</v>
          </cell>
          <cell r="D170" t="str">
            <v>Distinguished</v>
          </cell>
        </row>
        <row r="171">
          <cell r="A171" t="str">
            <v>Nick Kocik</v>
          </cell>
          <cell r="B171" t="str">
            <v>Ela Cross</v>
          </cell>
          <cell r="C171" t="str">
            <v>Professional</v>
          </cell>
          <cell r="D171" t="str">
            <v>Distinguished</v>
          </cell>
        </row>
        <row r="172">
          <cell r="A172" t="str">
            <v>Nick Lucido</v>
          </cell>
          <cell r="B172" t="str">
            <v>Kristin Haase-Alvey</v>
          </cell>
          <cell r="C172" t="str">
            <v>Professional</v>
          </cell>
          <cell r="D172" t="str">
            <v>Distinguished</v>
          </cell>
        </row>
        <row r="173">
          <cell r="A173" t="str">
            <v>Nicole Bishop</v>
          </cell>
          <cell r="B173" t="str">
            <v>Ela Cross</v>
          </cell>
          <cell r="C173" t="str">
            <v>Professional</v>
          </cell>
          <cell r="D173" t="str">
            <v>Distinguished</v>
          </cell>
        </row>
        <row r="174">
          <cell r="A174" t="str">
            <v>Penny Russell</v>
          </cell>
          <cell r="B174" t="str">
            <v>Ian Plamondon</v>
          </cell>
          <cell r="C174" t="str">
            <v>Professional</v>
          </cell>
          <cell r="D174" t="str">
            <v>Distinguished</v>
          </cell>
        </row>
        <row r="175">
          <cell r="A175" t="str">
            <v>Philip Thomas</v>
          </cell>
          <cell r="B175" t="str">
            <v>Annelies de Groot</v>
          </cell>
          <cell r="C175" t="str">
            <v>Professional</v>
          </cell>
          <cell r="D175" t="str">
            <v>Premium</v>
          </cell>
        </row>
        <row r="176">
          <cell r="A176" t="str">
            <v>Preston Peoples</v>
          </cell>
          <cell r="B176" t="str">
            <v>Annelies de Groot</v>
          </cell>
          <cell r="C176" t="str">
            <v>Professional</v>
          </cell>
          <cell r="D176" t="str">
            <v>Distinguished</v>
          </cell>
        </row>
        <row r="177">
          <cell r="A177" t="str">
            <v>Rafi Overton</v>
          </cell>
          <cell r="B177" t="str">
            <v>Geoff St. Marie</v>
          </cell>
          <cell r="C177" t="str">
            <v>Professional</v>
          </cell>
          <cell r="D177" t="str">
            <v>Distinguished</v>
          </cell>
        </row>
        <row r="178">
          <cell r="A178" t="str">
            <v>Rain Real</v>
          </cell>
          <cell r="B178" t="str">
            <v>Annelies de Groot</v>
          </cell>
          <cell r="C178" t="str">
            <v>Professional</v>
          </cell>
          <cell r="D178" t="str">
            <v>Distinguished</v>
          </cell>
        </row>
        <row r="179">
          <cell r="A179" t="str">
            <v>Raymond Serrano</v>
          </cell>
          <cell r="B179" t="str">
            <v>Kristin Haase-Alvey</v>
          </cell>
          <cell r="C179" t="str">
            <v>Professional</v>
          </cell>
          <cell r="D179" t="str">
            <v>Distinguished</v>
          </cell>
        </row>
        <row r="180">
          <cell r="A180" t="str">
            <v>Rebekah Nachian</v>
          </cell>
          <cell r="B180" t="str">
            <v>Annelies de Groot</v>
          </cell>
          <cell r="C180" t="str">
            <v>Professional</v>
          </cell>
          <cell r="D180" t="str">
            <v>Distinguished</v>
          </cell>
        </row>
        <row r="181">
          <cell r="A181" t="str">
            <v>Rehan Zaib</v>
          </cell>
          <cell r="B181" t="str">
            <v>Ela Cross</v>
          </cell>
          <cell r="C181" t="str">
            <v>Professional</v>
          </cell>
          <cell r="D181" t="str">
            <v>Distinguished</v>
          </cell>
        </row>
        <row r="182">
          <cell r="A182" t="str">
            <v>Richard Kralik</v>
          </cell>
          <cell r="B182" t="str">
            <v>Ian Plamondon</v>
          </cell>
          <cell r="C182" t="str">
            <v>Professional</v>
          </cell>
          <cell r="D182" t="str">
            <v>Distinguished</v>
          </cell>
        </row>
        <row r="183">
          <cell r="A183" t="str">
            <v>River Nunez</v>
          </cell>
          <cell r="B183" t="str">
            <v>Annelies de Groot</v>
          </cell>
          <cell r="C183" t="str">
            <v>Professional</v>
          </cell>
          <cell r="D183" t="str">
            <v>Distinguished</v>
          </cell>
        </row>
        <row r="184">
          <cell r="A184" t="str">
            <v>Robert Nantze</v>
          </cell>
          <cell r="B184" t="str">
            <v>Ela Cross</v>
          </cell>
          <cell r="C184" t="str">
            <v>Professional</v>
          </cell>
          <cell r="D184" t="str">
            <v>Distinguished</v>
          </cell>
        </row>
        <row r="185">
          <cell r="A185" t="str">
            <v>Samantha Wetz</v>
          </cell>
          <cell r="B185" t="str">
            <v>Ian Plamondon</v>
          </cell>
          <cell r="C185" t="str">
            <v>Professional</v>
          </cell>
          <cell r="D185" t="str">
            <v>Premium</v>
          </cell>
        </row>
        <row r="186">
          <cell r="A186" t="str">
            <v>Sarah Goodstein</v>
          </cell>
          <cell r="B186" t="str">
            <v>Kristin Haase-Alvey</v>
          </cell>
          <cell r="C186" t="str">
            <v>Professional</v>
          </cell>
          <cell r="D186" t="str">
            <v>Distinguished</v>
          </cell>
        </row>
        <row r="187">
          <cell r="A187" t="str">
            <v>Savannah Padgett</v>
          </cell>
          <cell r="B187" t="str">
            <v>Kristin Haase-Alvey</v>
          </cell>
          <cell r="C187" t="str">
            <v>Professional</v>
          </cell>
          <cell r="D187" t="str">
            <v>Distinguished</v>
          </cell>
        </row>
        <row r="188">
          <cell r="A188" t="str">
            <v>Scott Holdcraft</v>
          </cell>
          <cell r="B188" t="str">
            <v>Ela Cross</v>
          </cell>
          <cell r="C188" t="str">
            <v>Professional</v>
          </cell>
          <cell r="D188" t="str">
            <v>Distinguished</v>
          </cell>
        </row>
        <row r="189">
          <cell r="A189" t="str">
            <v>Shannon Huang</v>
          </cell>
          <cell r="B189" t="str">
            <v>Ela Cross</v>
          </cell>
          <cell r="C189" t="str">
            <v>Professional</v>
          </cell>
          <cell r="D189" t="str">
            <v>Distinguished</v>
          </cell>
        </row>
        <row r="190">
          <cell r="A190" t="str">
            <v>Silvester Harrison</v>
          </cell>
          <cell r="B190" t="str">
            <v>Ela Cross</v>
          </cell>
          <cell r="C190" t="str">
            <v>Professional</v>
          </cell>
          <cell r="D190" t="str">
            <v>Distinguished</v>
          </cell>
        </row>
        <row r="191">
          <cell r="A191" t="str">
            <v>Skye Silmenna</v>
          </cell>
          <cell r="B191" t="str">
            <v>Annelies de Groot</v>
          </cell>
          <cell r="C191" t="str">
            <v>Professional</v>
          </cell>
          <cell r="D191" t="str">
            <v>Distinguished</v>
          </cell>
        </row>
        <row r="192">
          <cell r="A192" t="str">
            <v>Sonja Tomasko</v>
          </cell>
          <cell r="B192" t="str">
            <v>Ian Plamondon</v>
          </cell>
          <cell r="C192" t="str">
            <v>Professional</v>
          </cell>
          <cell r="D192" t="str">
            <v>Premium</v>
          </cell>
        </row>
        <row r="193">
          <cell r="A193" t="str">
            <v>Tim Schlotzhauer</v>
          </cell>
          <cell r="B193" t="str">
            <v>Geoff St. Marie</v>
          </cell>
          <cell r="C193" t="str">
            <v>Professional</v>
          </cell>
          <cell r="D193" t="str">
            <v>Premium</v>
          </cell>
        </row>
        <row r="194">
          <cell r="A194" t="str">
            <v>Trevor Ferguson</v>
          </cell>
          <cell r="B194" t="str">
            <v>Geoff St. Marie</v>
          </cell>
          <cell r="C194" t="str">
            <v>Professional</v>
          </cell>
          <cell r="D194" t="str">
            <v>Distinguished</v>
          </cell>
        </row>
        <row r="195">
          <cell r="A195" t="str">
            <v>Tyler Henry</v>
          </cell>
          <cell r="B195" t="str">
            <v>Annelies de Groot</v>
          </cell>
          <cell r="C195" t="str">
            <v>Professional</v>
          </cell>
          <cell r="D195" t="str">
            <v>Distinguished</v>
          </cell>
        </row>
        <row r="196">
          <cell r="A196" t="str">
            <v>Tyler Greer</v>
          </cell>
          <cell r="B196" t="str">
            <v>Kristin Haase-Alvey</v>
          </cell>
          <cell r="C196" t="str">
            <v>Professional</v>
          </cell>
          <cell r="D196" t="str">
            <v>Distinguished</v>
          </cell>
        </row>
        <row r="197">
          <cell r="A197" t="str">
            <v>Tyler Thornton</v>
          </cell>
          <cell r="B197" t="str">
            <v>Kristin Haase-Alvey</v>
          </cell>
          <cell r="C197" t="str">
            <v>Professional</v>
          </cell>
          <cell r="D197" t="str">
            <v>Distinguished</v>
          </cell>
        </row>
        <row r="198">
          <cell r="A198" t="str">
            <v>Valdenis Iancu</v>
          </cell>
          <cell r="B198" t="str">
            <v>Ian Plamondon</v>
          </cell>
          <cell r="C198" t="str">
            <v>Professional</v>
          </cell>
          <cell r="D198" t="str">
            <v>Premium</v>
          </cell>
        </row>
        <row r="199">
          <cell r="A199" t="str">
            <v>Vincent Cross</v>
          </cell>
          <cell r="B199" t="str">
            <v>Kristin Haase-Alvey</v>
          </cell>
          <cell r="C199" t="str">
            <v>Professional</v>
          </cell>
          <cell r="D199" t="str">
            <v>Distinguished</v>
          </cell>
        </row>
        <row r="200">
          <cell r="A200" t="str">
            <v>Yvanna Ramirez</v>
          </cell>
          <cell r="B200" t="str">
            <v>Ela Cross</v>
          </cell>
          <cell r="C200" t="str">
            <v>Professional</v>
          </cell>
          <cell r="D200" t="str">
            <v>Distinguished</v>
          </cell>
        </row>
        <row r="201">
          <cell r="A201" t="str">
            <v>Zach McFatridge</v>
          </cell>
          <cell r="B201" t="str">
            <v>Annelies de Groot</v>
          </cell>
          <cell r="C201" t="str">
            <v>Professional</v>
          </cell>
          <cell r="D201" t="str">
            <v>Distinguished</v>
          </cell>
        </row>
        <row r="202">
          <cell r="A202" t="str">
            <v>Zachary Doenges</v>
          </cell>
          <cell r="B202" t="str">
            <v>Ian Plamondon</v>
          </cell>
          <cell r="C202" t="str">
            <v>Professional</v>
          </cell>
          <cell r="D202" t="str">
            <v>Premium</v>
          </cell>
        </row>
        <row r="203">
          <cell r="A203" t="str">
            <v>Zack Anthony</v>
          </cell>
          <cell r="B203" t="str">
            <v>Kristin Haase-Alvey</v>
          </cell>
          <cell r="C203" t="str">
            <v>Professional</v>
          </cell>
          <cell r="D203" t="str">
            <v>Distinguished</v>
          </cell>
        </row>
        <row r="204">
          <cell r="A204" t="str">
            <v>Zack Robertson</v>
          </cell>
          <cell r="B204" t="str">
            <v>Kristin Haase-Alvey</v>
          </cell>
          <cell r="C204" t="str">
            <v>Professional</v>
          </cell>
          <cell r="D204" t="str">
            <v>Distinguished</v>
          </cell>
        </row>
        <row r="205">
          <cell r="A205" t="str">
            <v>Zoe Shanley</v>
          </cell>
          <cell r="B205" t="str">
            <v>Ian Plamondon</v>
          </cell>
          <cell r="C205" t="str">
            <v>Professional</v>
          </cell>
          <cell r="D205" t="str">
            <v>Distinguished</v>
          </cell>
        </row>
        <row r="206">
          <cell r="A206" t="str">
            <v>Jason  Anderson</v>
          </cell>
          <cell r="B206" t="str">
            <v>Kristin Haase-Alvey</v>
          </cell>
          <cell r="C206" t="str">
            <v>Professional</v>
          </cell>
          <cell r="D206" t="str">
            <v>Advanced</v>
          </cell>
        </row>
        <row r="207">
          <cell r="A207" t="str">
            <v>Kate Haldeman</v>
          </cell>
          <cell r="B207" t="str">
            <v>Geoff St. Marie</v>
          </cell>
          <cell r="C207" t="str">
            <v>Professional</v>
          </cell>
          <cell r="D207" t="str">
            <v>Advanced</v>
          </cell>
        </row>
        <row r="208">
          <cell r="A208" t="str">
            <v>Madia Banda</v>
          </cell>
          <cell r="B208" t="str">
            <v>Geoff St. Marie</v>
          </cell>
          <cell r="C208" t="str">
            <v>Professional</v>
          </cell>
          <cell r="D208" t="str">
            <v>Advanced</v>
          </cell>
        </row>
        <row r="209">
          <cell r="A209" t="str">
            <v>Tim Page</v>
          </cell>
          <cell r="B209" t="str">
            <v>Annelies de Groot</v>
          </cell>
          <cell r="C209" t="str">
            <v>Professional</v>
          </cell>
          <cell r="D209" t="str">
            <v>Advanced</v>
          </cell>
        </row>
        <row r="221">
          <cell r="B221"/>
        </row>
        <row r="222">
          <cell r="B222"/>
        </row>
        <row r="223">
          <cell r="B223"/>
        </row>
        <row r="224">
          <cell r="B224"/>
        </row>
        <row r="225">
          <cell r="B225"/>
        </row>
        <row r="226">
          <cell r="B226"/>
        </row>
        <row r="227">
          <cell r="B227"/>
        </row>
        <row r="228">
          <cell r="B228"/>
        </row>
        <row r="229">
          <cell r="B229"/>
        </row>
        <row r="230">
          <cell r="B230"/>
        </row>
        <row r="231">
          <cell r="B231"/>
        </row>
        <row r="232">
          <cell r="B232"/>
        </row>
        <row r="233">
          <cell r="B233"/>
        </row>
        <row r="234">
          <cell r="B234"/>
        </row>
        <row r="235">
          <cell r="B235"/>
        </row>
        <row r="236">
          <cell r="B236"/>
        </row>
        <row r="237">
          <cell r="B237"/>
        </row>
        <row r="238">
          <cell r="B238"/>
        </row>
        <row r="239">
          <cell r="B239"/>
        </row>
        <row r="240">
          <cell r="B240"/>
        </row>
        <row r="241">
          <cell r="B241"/>
        </row>
        <row r="242">
          <cell r="B242"/>
        </row>
        <row r="243">
          <cell r="B243"/>
        </row>
        <row r="244">
          <cell r="B244"/>
        </row>
        <row r="245">
          <cell r="B245"/>
        </row>
        <row r="246">
          <cell r="B246"/>
        </row>
        <row r="247">
          <cell r="B247"/>
        </row>
        <row r="248">
          <cell r="B248"/>
        </row>
        <row r="249">
          <cell r="B249"/>
        </row>
        <row r="250">
          <cell r="B250"/>
        </row>
        <row r="251">
          <cell r="B251"/>
        </row>
        <row r="252">
          <cell r="B252"/>
        </row>
        <row r="253">
          <cell r="B253"/>
        </row>
        <row r="254">
          <cell r="B254"/>
        </row>
        <row r="255">
          <cell r="B255"/>
        </row>
        <row r="256">
          <cell r="B256"/>
        </row>
        <row r="257">
          <cell r="B257"/>
        </row>
        <row r="258">
          <cell r="B258"/>
        </row>
        <row r="259">
          <cell r="B259"/>
        </row>
        <row r="260">
          <cell r="B260"/>
        </row>
        <row r="261">
          <cell r="B261"/>
        </row>
        <row r="262">
          <cell r="B262"/>
        </row>
        <row r="263">
          <cell r="B263"/>
        </row>
        <row r="264">
          <cell r="B264"/>
        </row>
        <row r="265">
          <cell r="B265"/>
        </row>
        <row r="266">
          <cell r="B266"/>
        </row>
        <row r="267">
          <cell r="B267"/>
        </row>
        <row r="268">
          <cell r="B268"/>
        </row>
        <row r="269">
          <cell r="B269"/>
        </row>
        <row r="270">
          <cell r="B270"/>
        </row>
        <row r="271">
          <cell r="B271"/>
        </row>
        <row r="272">
          <cell r="B272"/>
        </row>
        <row r="273">
          <cell r="B273"/>
        </row>
        <row r="274">
          <cell r="B274"/>
        </row>
        <row r="275">
          <cell r="B275"/>
        </row>
        <row r="276">
          <cell r="B276"/>
        </row>
        <row r="277">
          <cell r="B277"/>
        </row>
        <row r="278">
          <cell r="B278"/>
        </row>
        <row r="279">
          <cell r="B279"/>
        </row>
        <row r="280">
          <cell r="B280"/>
        </row>
        <row r="281">
          <cell r="B281"/>
        </row>
        <row r="282">
          <cell r="B282"/>
        </row>
        <row r="283">
          <cell r="B283"/>
        </row>
        <row r="284">
          <cell r="B284"/>
        </row>
        <row r="285">
          <cell r="B285"/>
        </row>
        <row r="286">
          <cell r="B286"/>
        </row>
        <row r="287">
          <cell r="B287"/>
        </row>
        <row r="288">
          <cell r="B288"/>
        </row>
        <row r="289">
          <cell r="B289"/>
        </row>
        <row r="290">
          <cell r="B290"/>
        </row>
        <row r="291">
          <cell r="B291"/>
        </row>
        <row r="292">
          <cell r="B292"/>
        </row>
        <row r="293">
          <cell r="B293"/>
        </row>
        <row r="294">
          <cell r="B294"/>
        </row>
        <row r="295">
          <cell r="B295"/>
        </row>
        <row r="296">
          <cell r="B296"/>
        </row>
        <row r="297">
          <cell r="B297"/>
        </row>
        <row r="298">
          <cell r="B298"/>
        </row>
        <row r="299">
          <cell r="B299"/>
        </row>
        <row r="300">
          <cell r="B300"/>
        </row>
        <row r="301">
          <cell r="B301"/>
        </row>
        <row r="302">
          <cell r="B302"/>
        </row>
        <row r="303">
          <cell r="B303"/>
        </row>
        <row r="304">
          <cell r="B304"/>
        </row>
        <row r="305">
          <cell r="B305"/>
        </row>
        <row r="306">
          <cell r="B306"/>
        </row>
        <row r="307">
          <cell r="B307"/>
        </row>
        <row r="308">
          <cell r="B308"/>
        </row>
        <row r="309">
          <cell r="B309"/>
        </row>
        <row r="310">
          <cell r="B310"/>
        </row>
        <row r="311">
          <cell r="B311"/>
        </row>
        <row r="312">
          <cell r="B312"/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  <row r="318">
          <cell r="B318"/>
        </row>
        <row r="319">
          <cell r="B319"/>
        </row>
        <row r="320">
          <cell r="B320"/>
        </row>
        <row r="321">
          <cell r="B321"/>
        </row>
        <row r="322">
          <cell r="B322"/>
        </row>
        <row r="323">
          <cell r="B323"/>
        </row>
        <row r="324">
          <cell r="B324"/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  <row r="330">
          <cell r="B330"/>
        </row>
        <row r="331">
          <cell r="B331"/>
        </row>
        <row r="332">
          <cell r="B332"/>
        </row>
        <row r="333">
          <cell r="B333"/>
        </row>
        <row r="334">
          <cell r="B334"/>
        </row>
        <row r="335">
          <cell r="B335"/>
        </row>
        <row r="336">
          <cell r="B336"/>
        </row>
        <row r="337">
          <cell r="B337"/>
        </row>
        <row r="338">
          <cell r="B338"/>
        </row>
        <row r="339">
          <cell r="B339"/>
        </row>
        <row r="340">
          <cell r="B340"/>
        </row>
        <row r="341">
          <cell r="B341"/>
        </row>
        <row r="342">
          <cell r="B342"/>
        </row>
        <row r="343">
          <cell r="B343"/>
        </row>
        <row r="344">
          <cell r="B344"/>
        </row>
        <row r="345">
          <cell r="B345"/>
        </row>
        <row r="346">
          <cell r="B346"/>
        </row>
        <row r="347">
          <cell r="B347"/>
        </row>
        <row r="348">
          <cell r="B348"/>
        </row>
        <row r="349">
          <cell r="B349"/>
        </row>
        <row r="350">
          <cell r="B350"/>
        </row>
        <row r="351">
          <cell r="B351"/>
        </row>
        <row r="352">
          <cell r="B352"/>
        </row>
        <row r="353">
          <cell r="B353"/>
        </row>
        <row r="354">
          <cell r="B354"/>
        </row>
        <row r="355">
          <cell r="B355"/>
        </row>
        <row r="356">
          <cell r="B356"/>
        </row>
        <row r="357">
          <cell r="B357"/>
        </row>
        <row r="358">
          <cell r="B358"/>
        </row>
        <row r="359">
          <cell r="B359"/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  <row r="365">
          <cell r="B365"/>
        </row>
        <row r="366">
          <cell r="B366"/>
        </row>
        <row r="367">
          <cell r="B367"/>
        </row>
        <row r="368">
          <cell r="B368"/>
        </row>
        <row r="369">
          <cell r="B369"/>
        </row>
        <row r="370">
          <cell r="B370"/>
        </row>
        <row r="371">
          <cell r="B371"/>
        </row>
        <row r="372">
          <cell r="B372"/>
        </row>
        <row r="373">
          <cell r="B373"/>
        </row>
        <row r="374">
          <cell r="B374"/>
        </row>
        <row r="375">
          <cell r="B375"/>
        </row>
        <row r="376">
          <cell r="B376"/>
        </row>
        <row r="377">
          <cell r="B377"/>
        </row>
        <row r="378">
          <cell r="B378"/>
        </row>
        <row r="379">
          <cell r="B379"/>
        </row>
        <row r="380">
          <cell r="B380"/>
        </row>
        <row r="381">
          <cell r="B381"/>
        </row>
        <row r="382">
          <cell r="B382"/>
        </row>
        <row r="383">
          <cell r="B383"/>
        </row>
        <row r="384">
          <cell r="B384"/>
        </row>
        <row r="385">
          <cell r="B385"/>
        </row>
        <row r="386">
          <cell r="B386"/>
        </row>
        <row r="387">
          <cell r="B387"/>
        </row>
        <row r="388">
          <cell r="B388"/>
        </row>
        <row r="389">
          <cell r="B389"/>
        </row>
        <row r="390">
          <cell r="B390"/>
        </row>
        <row r="391">
          <cell r="B391"/>
        </row>
        <row r="392">
          <cell r="B392"/>
        </row>
        <row r="393">
          <cell r="B393"/>
        </row>
        <row r="394">
          <cell r="B394"/>
        </row>
        <row r="395">
          <cell r="B395"/>
        </row>
        <row r="396">
          <cell r="B396"/>
        </row>
        <row r="397">
          <cell r="B397"/>
        </row>
        <row r="398">
          <cell r="B398"/>
        </row>
        <row r="399">
          <cell r="B399"/>
        </row>
        <row r="400">
          <cell r="B400"/>
        </row>
        <row r="401">
          <cell r="B401"/>
        </row>
        <row r="402">
          <cell r="B402"/>
        </row>
        <row r="403">
          <cell r="B403"/>
        </row>
        <row r="404">
          <cell r="B404"/>
        </row>
        <row r="405">
          <cell r="B405"/>
        </row>
        <row r="406">
          <cell r="B406"/>
        </row>
        <row r="407">
          <cell r="B407"/>
        </row>
        <row r="408">
          <cell r="B408"/>
        </row>
        <row r="409">
          <cell r="B409"/>
        </row>
        <row r="410">
          <cell r="B410"/>
        </row>
        <row r="411">
          <cell r="B411"/>
        </row>
        <row r="412">
          <cell r="B412"/>
        </row>
        <row r="413">
          <cell r="B413"/>
        </row>
        <row r="414">
          <cell r="B414"/>
        </row>
        <row r="415">
          <cell r="B415"/>
        </row>
        <row r="416">
          <cell r="B416"/>
        </row>
        <row r="417">
          <cell r="B417"/>
        </row>
        <row r="418">
          <cell r="B418"/>
        </row>
        <row r="419">
          <cell r="B419"/>
        </row>
        <row r="420">
          <cell r="B420"/>
        </row>
        <row r="421">
          <cell r="B421"/>
        </row>
        <row r="422">
          <cell r="B422"/>
        </row>
        <row r="423">
          <cell r="B423"/>
        </row>
        <row r="424">
          <cell r="B424"/>
        </row>
        <row r="425">
          <cell r="B425"/>
        </row>
        <row r="426">
          <cell r="B426"/>
        </row>
        <row r="427">
          <cell r="B427"/>
        </row>
        <row r="428">
          <cell r="B428"/>
        </row>
        <row r="429">
          <cell r="B429"/>
        </row>
        <row r="430">
          <cell r="B430"/>
        </row>
        <row r="431">
          <cell r="B431"/>
        </row>
        <row r="432">
          <cell r="B432"/>
        </row>
        <row r="433">
          <cell r="B433"/>
        </row>
        <row r="434">
          <cell r="B434"/>
        </row>
        <row r="435">
          <cell r="B435"/>
        </row>
        <row r="436">
          <cell r="B436"/>
        </row>
        <row r="437">
          <cell r="B437"/>
        </row>
        <row r="438">
          <cell r="B438"/>
        </row>
        <row r="439">
          <cell r="B439"/>
        </row>
        <row r="440">
          <cell r="B440"/>
        </row>
        <row r="441">
          <cell r="B441"/>
        </row>
        <row r="442">
          <cell r="B442"/>
        </row>
        <row r="443">
          <cell r="B443"/>
        </row>
        <row r="444">
          <cell r="B444"/>
        </row>
        <row r="445">
          <cell r="B445"/>
        </row>
        <row r="446">
          <cell r="B446"/>
        </row>
        <row r="447">
          <cell r="B447"/>
        </row>
        <row r="448">
          <cell r="B448"/>
        </row>
        <row r="449">
          <cell r="B449"/>
        </row>
        <row r="450">
          <cell r="B450"/>
        </row>
        <row r="451">
          <cell r="B451"/>
        </row>
        <row r="452">
          <cell r="B452"/>
        </row>
        <row r="453">
          <cell r="B453"/>
        </row>
        <row r="454">
          <cell r="B454"/>
        </row>
        <row r="455">
          <cell r="B455"/>
        </row>
        <row r="456">
          <cell r="B456"/>
        </row>
        <row r="457">
          <cell r="B457"/>
        </row>
        <row r="458">
          <cell r="B458"/>
        </row>
        <row r="459">
          <cell r="B459"/>
        </row>
        <row r="460">
          <cell r="B460"/>
        </row>
        <row r="461">
          <cell r="B461"/>
        </row>
        <row r="462">
          <cell r="B462"/>
        </row>
        <row r="463">
          <cell r="B463"/>
        </row>
        <row r="464">
          <cell r="B464"/>
        </row>
        <row r="465">
          <cell r="B465"/>
        </row>
        <row r="466">
          <cell r="B466"/>
        </row>
        <row r="467">
          <cell r="B467"/>
        </row>
        <row r="468">
          <cell r="B468"/>
        </row>
        <row r="469">
          <cell r="B469"/>
        </row>
        <row r="470">
          <cell r="B470"/>
        </row>
        <row r="471">
          <cell r="B471"/>
        </row>
        <row r="472">
          <cell r="B472"/>
        </row>
        <row r="473">
          <cell r="B473"/>
        </row>
        <row r="474">
          <cell r="B474"/>
        </row>
        <row r="475">
          <cell r="B475"/>
        </row>
        <row r="476">
          <cell r="B476"/>
        </row>
        <row r="477">
          <cell r="B477"/>
        </row>
        <row r="478">
          <cell r="B478"/>
        </row>
        <row r="479">
          <cell r="B479"/>
        </row>
        <row r="480">
          <cell r="B480"/>
        </row>
        <row r="481">
          <cell r="B481"/>
        </row>
        <row r="482">
          <cell r="B482"/>
        </row>
        <row r="483">
          <cell r="B483"/>
        </row>
        <row r="484">
          <cell r="B484"/>
        </row>
        <row r="485">
          <cell r="B485"/>
        </row>
        <row r="486">
          <cell r="B486"/>
        </row>
        <row r="487">
          <cell r="B487"/>
        </row>
        <row r="488">
          <cell r="B488"/>
        </row>
        <row r="489">
          <cell r="B489"/>
        </row>
        <row r="490">
          <cell r="B490"/>
        </row>
        <row r="491">
          <cell r="B491"/>
        </row>
        <row r="492">
          <cell r="B492"/>
        </row>
        <row r="493">
          <cell r="B493"/>
        </row>
        <row r="494">
          <cell r="B494"/>
        </row>
        <row r="495">
          <cell r="B495"/>
        </row>
        <row r="496">
          <cell r="B496"/>
        </row>
        <row r="497">
          <cell r="B497"/>
        </row>
        <row r="498">
          <cell r="B498"/>
        </row>
        <row r="499">
          <cell r="B499"/>
        </row>
        <row r="500">
          <cell r="B500"/>
        </row>
        <row r="501">
          <cell r="B501"/>
        </row>
        <row r="502">
          <cell r="B502"/>
        </row>
        <row r="503">
          <cell r="B503"/>
        </row>
        <row r="504">
          <cell r="B504"/>
        </row>
        <row r="505">
          <cell r="B505"/>
        </row>
        <row r="506">
          <cell r="B506"/>
        </row>
        <row r="507">
          <cell r="B507"/>
        </row>
        <row r="508">
          <cell r="B508"/>
        </row>
        <row r="509">
          <cell r="B509"/>
        </row>
        <row r="510">
          <cell r="B510"/>
        </row>
        <row r="511">
          <cell r="B511"/>
        </row>
        <row r="512">
          <cell r="B512"/>
        </row>
        <row r="513">
          <cell r="B513"/>
        </row>
        <row r="514">
          <cell r="B514"/>
        </row>
        <row r="515">
          <cell r="B515"/>
        </row>
        <row r="516">
          <cell r="B516"/>
        </row>
        <row r="517">
          <cell r="B517"/>
        </row>
        <row r="518">
          <cell r="B518"/>
        </row>
        <row r="519">
          <cell r="B519"/>
        </row>
        <row r="520">
          <cell r="B520"/>
        </row>
        <row r="521">
          <cell r="B521"/>
        </row>
        <row r="522">
          <cell r="B522"/>
        </row>
        <row r="523">
          <cell r="B523"/>
        </row>
        <row r="524">
          <cell r="B524"/>
        </row>
        <row r="525">
          <cell r="B525"/>
        </row>
        <row r="526">
          <cell r="B526"/>
        </row>
        <row r="527">
          <cell r="B527"/>
        </row>
        <row r="528">
          <cell r="B528"/>
        </row>
        <row r="529">
          <cell r="B529"/>
        </row>
        <row r="530">
          <cell r="B530"/>
        </row>
        <row r="531">
          <cell r="B531"/>
        </row>
        <row r="532">
          <cell r="B532"/>
        </row>
        <row r="533">
          <cell r="B533"/>
        </row>
        <row r="534">
          <cell r="B534"/>
        </row>
        <row r="535">
          <cell r="B535"/>
        </row>
        <row r="536">
          <cell r="B536"/>
        </row>
        <row r="537">
          <cell r="B537"/>
        </row>
        <row r="538">
          <cell r="B538"/>
        </row>
        <row r="539">
          <cell r="B539"/>
        </row>
        <row r="540">
          <cell r="B540"/>
        </row>
        <row r="541">
          <cell r="B541"/>
        </row>
        <row r="542">
          <cell r="B542"/>
        </row>
        <row r="543">
          <cell r="B543"/>
        </row>
        <row r="544">
          <cell r="B544"/>
        </row>
        <row r="545">
          <cell r="B545"/>
        </row>
        <row r="546">
          <cell r="B546"/>
        </row>
        <row r="547">
          <cell r="B547"/>
        </row>
        <row r="548">
          <cell r="B548"/>
        </row>
        <row r="549">
          <cell r="B549"/>
        </row>
        <row r="550">
          <cell r="B550"/>
        </row>
        <row r="551">
          <cell r="B551"/>
        </row>
        <row r="552">
          <cell r="B552"/>
        </row>
        <row r="553">
          <cell r="B553"/>
        </row>
        <row r="554">
          <cell r="B554"/>
        </row>
        <row r="555">
          <cell r="B555"/>
        </row>
        <row r="556">
          <cell r="B556"/>
        </row>
        <row r="557">
          <cell r="B557"/>
        </row>
        <row r="558">
          <cell r="B558"/>
        </row>
        <row r="559">
          <cell r="B559"/>
        </row>
        <row r="560">
          <cell r="B560"/>
        </row>
        <row r="561">
          <cell r="B561"/>
        </row>
        <row r="562">
          <cell r="B562"/>
        </row>
        <row r="563">
          <cell r="B563"/>
        </row>
        <row r="564">
          <cell r="B564"/>
        </row>
        <row r="565">
          <cell r="B565"/>
        </row>
        <row r="566">
          <cell r="B566"/>
        </row>
        <row r="567">
          <cell r="B567"/>
        </row>
        <row r="568">
          <cell r="B568"/>
        </row>
        <row r="569">
          <cell r="B569"/>
        </row>
        <row r="570">
          <cell r="B570"/>
        </row>
        <row r="571">
          <cell r="B571"/>
        </row>
        <row r="572">
          <cell r="B572"/>
        </row>
        <row r="573">
          <cell r="B573"/>
        </row>
        <row r="574">
          <cell r="B574"/>
        </row>
        <row r="575">
          <cell r="B575"/>
        </row>
        <row r="576">
          <cell r="B576"/>
        </row>
        <row r="577">
          <cell r="B577"/>
        </row>
        <row r="578">
          <cell r="B578"/>
        </row>
        <row r="579">
          <cell r="B579"/>
        </row>
        <row r="580">
          <cell r="B580"/>
        </row>
        <row r="581">
          <cell r="B581"/>
        </row>
        <row r="582">
          <cell r="B582"/>
        </row>
        <row r="583">
          <cell r="B583"/>
        </row>
        <row r="584">
          <cell r="B584"/>
        </row>
        <row r="585">
          <cell r="B585"/>
        </row>
        <row r="586">
          <cell r="B586"/>
        </row>
        <row r="587">
          <cell r="B587"/>
        </row>
        <row r="588">
          <cell r="B588"/>
        </row>
        <row r="589">
          <cell r="B589"/>
        </row>
        <row r="590">
          <cell r="B590"/>
        </row>
        <row r="591">
          <cell r="B591"/>
        </row>
        <row r="592">
          <cell r="B592"/>
        </row>
        <row r="593">
          <cell r="B593"/>
        </row>
        <row r="594">
          <cell r="B594"/>
        </row>
        <row r="595">
          <cell r="B595"/>
        </row>
        <row r="596">
          <cell r="B596"/>
        </row>
        <row r="597">
          <cell r="B597"/>
        </row>
        <row r="598">
          <cell r="B598"/>
        </row>
        <row r="599">
          <cell r="B599"/>
        </row>
        <row r="600">
          <cell r="B600"/>
        </row>
        <row r="601">
          <cell r="B601"/>
        </row>
        <row r="602">
          <cell r="B602"/>
        </row>
        <row r="603">
          <cell r="B603"/>
        </row>
        <row r="604">
          <cell r="B604"/>
        </row>
        <row r="605">
          <cell r="B605"/>
        </row>
        <row r="606">
          <cell r="B606"/>
        </row>
        <row r="607">
          <cell r="B607"/>
        </row>
        <row r="608">
          <cell r="B608"/>
        </row>
        <row r="609">
          <cell r="B609"/>
        </row>
        <row r="610">
          <cell r="B610"/>
        </row>
        <row r="611">
          <cell r="B611"/>
        </row>
        <row r="612">
          <cell r="B612"/>
        </row>
        <row r="613">
          <cell r="B613"/>
        </row>
        <row r="614">
          <cell r="B614"/>
        </row>
        <row r="615">
          <cell r="B615"/>
        </row>
        <row r="616">
          <cell r="B616"/>
        </row>
        <row r="617">
          <cell r="B617"/>
        </row>
        <row r="618">
          <cell r="B618"/>
        </row>
        <row r="619">
          <cell r="B619"/>
        </row>
        <row r="620">
          <cell r="B620"/>
        </row>
        <row r="621">
          <cell r="B621"/>
        </row>
        <row r="622">
          <cell r="B622"/>
        </row>
        <row r="623">
          <cell r="B623"/>
        </row>
        <row r="624">
          <cell r="B624"/>
        </row>
        <row r="625">
          <cell r="B625"/>
        </row>
        <row r="626">
          <cell r="B626"/>
        </row>
        <row r="627">
          <cell r="B627"/>
        </row>
        <row r="628">
          <cell r="B628"/>
        </row>
        <row r="629">
          <cell r="B629"/>
        </row>
        <row r="630">
          <cell r="B630"/>
        </row>
        <row r="631">
          <cell r="B631"/>
        </row>
        <row r="632">
          <cell r="B632"/>
        </row>
        <row r="633">
          <cell r="B633"/>
        </row>
        <row r="634">
          <cell r="B634"/>
        </row>
        <row r="635">
          <cell r="B635"/>
        </row>
        <row r="636">
          <cell r="B636"/>
        </row>
        <row r="637">
          <cell r="B637"/>
        </row>
        <row r="638">
          <cell r="B638"/>
        </row>
        <row r="639">
          <cell r="B639"/>
        </row>
        <row r="640">
          <cell r="B640"/>
        </row>
        <row r="641">
          <cell r="B641"/>
        </row>
        <row r="642">
          <cell r="B642"/>
        </row>
        <row r="643">
          <cell r="B643"/>
        </row>
        <row r="644">
          <cell r="B644"/>
        </row>
        <row r="645">
          <cell r="B645"/>
        </row>
        <row r="646">
          <cell r="B646"/>
        </row>
        <row r="647">
          <cell r="B647"/>
        </row>
        <row r="648">
          <cell r="B648"/>
        </row>
        <row r="649">
          <cell r="B649"/>
        </row>
        <row r="650">
          <cell r="B650"/>
        </row>
        <row r="651">
          <cell r="B651"/>
        </row>
        <row r="652">
          <cell r="B652"/>
        </row>
        <row r="653">
          <cell r="B653"/>
        </row>
        <row r="654">
          <cell r="B654"/>
        </row>
        <row r="655">
          <cell r="B655"/>
        </row>
        <row r="656">
          <cell r="B656"/>
        </row>
        <row r="657">
          <cell r="B657"/>
        </row>
        <row r="658">
          <cell r="B658"/>
        </row>
        <row r="659">
          <cell r="B659"/>
        </row>
        <row r="660">
          <cell r="B660"/>
        </row>
        <row r="661">
          <cell r="B661"/>
        </row>
        <row r="662">
          <cell r="B662"/>
        </row>
        <row r="663">
          <cell r="B663"/>
        </row>
        <row r="664">
          <cell r="B664"/>
        </row>
        <row r="665">
          <cell r="B665"/>
        </row>
        <row r="666">
          <cell r="B666"/>
        </row>
        <row r="667">
          <cell r="B667"/>
        </row>
        <row r="668">
          <cell r="B668"/>
        </row>
        <row r="669">
          <cell r="B669"/>
        </row>
        <row r="670">
          <cell r="B670"/>
        </row>
        <row r="671">
          <cell r="B671"/>
        </row>
        <row r="672">
          <cell r="B672"/>
        </row>
        <row r="673">
          <cell r="B673"/>
        </row>
        <row r="674">
          <cell r="B674"/>
        </row>
        <row r="675">
          <cell r="B675"/>
        </row>
        <row r="676">
          <cell r="B676"/>
        </row>
        <row r="677">
          <cell r="B677"/>
        </row>
        <row r="678">
          <cell r="B678"/>
        </row>
        <row r="679">
          <cell r="B679"/>
        </row>
        <row r="680">
          <cell r="B680"/>
        </row>
        <row r="681">
          <cell r="B681"/>
        </row>
        <row r="682">
          <cell r="B682"/>
        </row>
        <row r="683">
          <cell r="B683"/>
        </row>
        <row r="684">
          <cell r="B684"/>
        </row>
        <row r="685">
          <cell r="B685"/>
        </row>
        <row r="686">
          <cell r="B686"/>
        </row>
        <row r="687">
          <cell r="B687"/>
        </row>
        <row r="688">
          <cell r="B688"/>
        </row>
        <row r="689">
          <cell r="B689"/>
        </row>
        <row r="690">
          <cell r="B690"/>
        </row>
        <row r="691">
          <cell r="B691"/>
        </row>
        <row r="692">
          <cell r="B692"/>
        </row>
        <row r="693">
          <cell r="B693"/>
        </row>
        <row r="694">
          <cell r="B694"/>
        </row>
        <row r="695">
          <cell r="B695"/>
        </row>
        <row r="696">
          <cell r="B696"/>
        </row>
        <row r="697">
          <cell r="B697"/>
        </row>
        <row r="698">
          <cell r="B698"/>
        </row>
        <row r="699">
          <cell r="B699"/>
        </row>
        <row r="700">
          <cell r="B700"/>
        </row>
        <row r="701">
          <cell r="B701"/>
        </row>
        <row r="702">
          <cell r="B702"/>
        </row>
        <row r="703">
          <cell r="B703"/>
        </row>
        <row r="704">
          <cell r="B704"/>
        </row>
        <row r="705">
          <cell r="B705"/>
        </row>
        <row r="706">
          <cell r="B706"/>
        </row>
        <row r="707">
          <cell r="B707"/>
        </row>
        <row r="708">
          <cell r="B708"/>
        </row>
        <row r="709">
          <cell r="B709"/>
        </row>
        <row r="710">
          <cell r="B710"/>
        </row>
        <row r="711">
          <cell r="B711"/>
        </row>
        <row r="712">
          <cell r="B712"/>
        </row>
        <row r="713">
          <cell r="B713"/>
        </row>
        <row r="714">
          <cell r="B714"/>
        </row>
        <row r="715">
          <cell r="B715"/>
        </row>
        <row r="716">
          <cell r="B716"/>
        </row>
        <row r="717">
          <cell r="B717"/>
        </row>
        <row r="718">
          <cell r="B718"/>
        </row>
        <row r="719">
          <cell r="B719"/>
        </row>
        <row r="720">
          <cell r="B720"/>
        </row>
        <row r="721">
          <cell r="B721"/>
        </row>
        <row r="722">
          <cell r="B722"/>
        </row>
        <row r="723">
          <cell r="B723"/>
        </row>
        <row r="724">
          <cell r="B724"/>
        </row>
        <row r="725">
          <cell r="B725"/>
        </row>
        <row r="726">
          <cell r="B726"/>
        </row>
        <row r="727">
          <cell r="B727"/>
        </row>
        <row r="728">
          <cell r="B728"/>
        </row>
        <row r="729">
          <cell r="B729"/>
        </row>
        <row r="730">
          <cell r="B730"/>
        </row>
        <row r="731">
          <cell r="B731"/>
        </row>
        <row r="732">
          <cell r="B732"/>
        </row>
        <row r="733">
          <cell r="B733"/>
        </row>
        <row r="734">
          <cell r="B734"/>
        </row>
        <row r="735">
          <cell r="B735"/>
        </row>
        <row r="736">
          <cell r="B736"/>
        </row>
        <row r="737">
          <cell r="B737"/>
        </row>
        <row r="738">
          <cell r="B738"/>
        </row>
        <row r="739">
          <cell r="B739"/>
        </row>
        <row r="740">
          <cell r="B740"/>
        </row>
        <row r="741">
          <cell r="B741"/>
        </row>
        <row r="742">
          <cell r="B742"/>
        </row>
        <row r="743">
          <cell r="B743"/>
        </row>
        <row r="744">
          <cell r="B744"/>
        </row>
        <row r="745">
          <cell r="B745"/>
        </row>
        <row r="746">
          <cell r="B746"/>
        </row>
        <row r="747">
          <cell r="B747"/>
        </row>
        <row r="748">
          <cell r="B748"/>
        </row>
        <row r="749">
          <cell r="B749"/>
        </row>
        <row r="750">
          <cell r="B750"/>
        </row>
        <row r="751">
          <cell r="B751"/>
        </row>
        <row r="752">
          <cell r="B752"/>
        </row>
        <row r="753">
          <cell r="B753"/>
        </row>
        <row r="754">
          <cell r="B754"/>
        </row>
        <row r="755">
          <cell r="B755"/>
        </row>
        <row r="756">
          <cell r="B756"/>
        </row>
        <row r="757">
          <cell r="B757"/>
        </row>
        <row r="758">
          <cell r="B758"/>
        </row>
        <row r="759">
          <cell r="B759"/>
        </row>
        <row r="760">
          <cell r="B760"/>
        </row>
        <row r="761">
          <cell r="B761"/>
        </row>
        <row r="762">
          <cell r="B762"/>
        </row>
        <row r="763">
          <cell r="B763"/>
        </row>
        <row r="764">
          <cell r="B764"/>
        </row>
        <row r="765">
          <cell r="B765"/>
        </row>
        <row r="766">
          <cell r="B766"/>
        </row>
        <row r="767">
          <cell r="B767"/>
        </row>
        <row r="768">
          <cell r="B768"/>
        </row>
        <row r="769">
          <cell r="B769"/>
        </row>
        <row r="770">
          <cell r="B770"/>
        </row>
        <row r="771">
          <cell r="B771"/>
        </row>
        <row r="772">
          <cell r="B772"/>
        </row>
        <row r="773">
          <cell r="B773"/>
        </row>
        <row r="774">
          <cell r="B774"/>
        </row>
        <row r="775">
          <cell r="B775"/>
        </row>
        <row r="776">
          <cell r="B776"/>
        </row>
        <row r="777">
          <cell r="B777"/>
        </row>
        <row r="778">
          <cell r="B778"/>
        </row>
        <row r="779">
          <cell r="B779"/>
        </row>
        <row r="780">
          <cell r="B780"/>
        </row>
        <row r="781">
          <cell r="B781"/>
        </row>
        <row r="782">
          <cell r="B782"/>
        </row>
        <row r="783">
          <cell r="B783"/>
        </row>
        <row r="784">
          <cell r="B784"/>
        </row>
        <row r="785">
          <cell r="B785"/>
        </row>
        <row r="786">
          <cell r="B786"/>
        </row>
        <row r="787">
          <cell r="B787"/>
        </row>
        <row r="788">
          <cell r="B788"/>
        </row>
        <row r="789">
          <cell r="B789"/>
        </row>
        <row r="790">
          <cell r="B790"/>
        </row>
        <row r="791">
          <cell r="B791"/>
        </row>
        <row r="792">
          <cell r="B792"/>
        </row>
        <row r="793">
          <cell r="B793"/>
        </row>
        <row r="794">
          <cell r="B794"/>
        </row>
        <row r="795">
          <cell r="B795"/>
        </row>
        <row r="796">
          <cell r="B796"/>
        </row>
        <row r="797">
          <cell r="B797"/>
        </row>
        <row r="798">
          <cell r="B798"/>
        </row>
        <row r="799">
          <cell r="B799"/>
        </row>
        <row r="800">
          <cell r="B800"/>
        </row>
        <row r="801">
          <cell r="B801"/>
        </row>
        <row r="802">
          <cell r="B802"/>
        </row>
        <row r="803">
          <cell r="B803"/>
        </row>
        <row r="804">
          <cell r="B804"/>
        </row>
        <row r="805">
          <cell r="B805"/>
        </row>
        <row r="806">
          <cell r="B806"/>
        </row>
        <row r="807">
          <cell r="B807"/>
        </row>
        <row r="808">
          <cell r="B808"/>
        </row>
        <row r="809">
          <cell r="B809"/>
        </row>
        <row r="810">
          <cell r="B810"/>
        </row>
        <row r="811">
          <cell r="B811"/>
        </row>
        <row r="812">
          <cell r="B812"/>
        </row>
        <row r="813">
          <cell r="B813"/>
        </row>
        <row r="814">
          <cell r="B814"/>
        </row>
        <row r="815">
          <cell r="B815"/>
        </row>
        <row r="816">
          <cell r="B816"/>
        </row>
        <row r="817">
          <cell r="B817"/>
        </row>
        <row r="818">
          <cell r="B818"/>
        </row>
        <row r="819">
          <cell r="B819"/>
        </row>
        <row r="820">
          <cell r="B820"/>
        </row>
        <row r="821">
          <cell r="B821"/>
        </row>
        <row r="822">
          <cell r="B822"/>
        </row>
        <row r="823">
          <cell r="B823"/>
        </row>
        <row r="824">
          <cell r="B824"/>
        </row>
        <row r="825">
          <cell r="B825"/>
        </row>
        <row r="826">
          <cell r="B826"/>
        </row>
        <row r="827">
          <cell r="B827"/>
        </row>
        <row r="828">
          <cell r="B828"/>
        </row>
        <row r="829">
          <cell r="B829"/>
        </row>
        <row r="830">
          <cell r="B830"/>
        </row>
        <row r="831">
          <cell r="B831"/>
        </row>
        <row r="832">
          <cell r="B832"/>
        </row>
        <row r="833">
          <cell r="B833"/>
        </row>
        <row r="834">
          <cell r="B834"/>
        </row>
        <row r="835">
          <cell r="B835"/>
        </row>
        <row r="836">
          <cell r="B836"/>
        </row>
        <row r="837">
          <cell r="B837"/>
        </row>
        <row r="838">
          <cell r="B838"/>
        </row>
        <row r="839">
          <cell r="B839"/>
        </row>
        <row r="840">
          <cell r="B840"/>
        </row>
        <row r="841">
          <cell r="B841"/>
        </row>
        <row r="842">
          <cell r="B842"/>
        </row>
        <row r="843">
          <cell r="B843"/>
        </row>
        <row r="844">
          <cell r="B844"/>
        </row>
        <row r="845">
          <cell r="B845"/>
        </row>
        <row r="846">
          <cell r="B846"/>
        </row>
        <row r="847">
          <cell r="B847"/>
        </row>
        <row r="848">
          <cell r="B848"/>
        </row>
        <row r="849">
          <cell r="B849"/>
        </row>
        <row r="850">
          <cell r="B850"/>
        </row>
        <row r="851">
          <cell r="B851"/>
        </row>
        <row r="852">
          <cell r="B852"/>
        </row>
        <row r="853">
          <cell r="B853"/>
        </row>
        <row r="854">
          <cell r="B854"/>
        </row>
        <row r="855">
          <cell r="B855"/>
        </row>
        <row r="856">
          <cell r="B856"/>
        </row>
        <row r="857">
          <cell r="B857"/>
        </row>
        <row r="858">
          <cell r="B858"/>
        </row>
        <row r="859">
          <cell r="B859"/>
        </row>
        <row r="860">
          <cell r="B860"/>
        </row>
        <row r="861">
          <cell r="B861"/>
        </row>
        <row r="862">
          <cell r="B862"/>
        </row>
        <row r="863">
          <cell r="B863"/>
        </row>
        <row r="864">
          <cell r="B864"/>
        </row>
        <row r="865">
          <cell r="B865"/>
        </row>
        <row r="866">
          <cell r="B866"/>
        </row>
        <row r="867">
          <cell r="B867"/>
        </row>
        <row r="868">
          <cell r="B868"/>
        </row>
        <row r="869">
          <cell r="B869"/>
        </row>
        <row r="870">
          <cell r="B870"/>
        </row>
        <row r="871">
          <cell r="B871"/>
        </row>
        <row r="872">
          <cell r="B872"/>
        </row>
        <row r="873">
          <cell r="B873"/>
        </row>
        <row r="874">
          <cell r="B874"/>
        </row>
        <row r="875">
          <cell r="B875"/>
        </row>
        <row r="876">
          <cell r="B876"/>
        </row>
        <row r="877">
          <cell r="B877"/>
        </row>
        <row r="878">
          <cell r="B878"/>
        </row>
        <row r="879">
          <cell r="B879"/>
        </row>
        <row r="880">
          <cell r="B880"/>
        </row>
        <row r="881">
          <cell r="B881"/>
        </row>
        <row r="882">
          <cell r="B882"/>
        </row>
        <row r="883">
          <cell r="B883"/>
        </row>
        <row r="884">
          <cell r="B884"/>
        </row>
        <row r="885">
          <cell r="B885"/>
        </row>
        <row r="886">
          <cell r="B886"/>
        </row>
        <row r="887">
          <cell r="B887"/>
        </row>
        <row r="888">
          <cell r="B888"/>
        </row>
        <row r="889">
          <cell r="B889"/>
        </row>
        <row r="890">
          <cell r="B890"/>
        </row>
        <row r="891">
          <cell r="B891"/>
        </row>
        <row r="892">
          <cell r="B892"/>
        </row>
        <row r="893">
          <cell r="B893"/>
        </row>
        <row r="894">
          <cell r="B894"/>
        </row>
        <row r="895">
          <cell r="B895"/>
        </row>
        <row r="896">
          <cell r="B896"/>
        </row>
        <row r="897">
          <cell r="B897"/>
        </row>
        <row r="898">
          <cell r="B898"/>
        </row>
        <row r="899">
          <cell r="B899"/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onthlyMetric"/>
      <sheetName val="MonthlyMetricFullData"/>
      <sheetName val="Master Tutor List"/>
    </sheetNames>
    <sheetDataSet>
      <sheetData sheetId="0"/>
      <sheetData sheetId="1"/>
      <sheetData sheetId="2">
        <row r="1">
          <cell r="A1" t="str">
            <v>Full Name</v>
          </cell>
          <cell r="B1" t="str">
            <v>Faculty Leader</v>
          </cell>
          <cell r="C1" t="str">
            <v>Type</v>
          </cell>
          <cell r="D1" t="str">
            <v>Tier</v>
          </cell>
        </row>
        <row r="2">
          <cell r="A2" t="str">
            <v>Aaron Schneberger</v>
          </cell>
          <cell r="B2" t="str">
            <v>Ian Plamondon</v>
          </cell>
          <cell r="C2" t="str">
            <v>Professional</v>
          </cell>
          <cell r="D2" t="str">
            <v>Distinguished</v>
          </cell>
        </row>
        <row r="3">
          <cell r="A3" t="str">
            <v>Akeema Williams</v>
          </cell>
          <cell r="B3" t="str">
            <v>Geoff St. Marie</v>
          </cell>
          <cell r="C3" t="str">
            <v>Professional</v>
          </cell>
          <cell r="D3" t="str">
            <v>Distinguished</v>
          </cell>
        </row>
        <row r="4">
          <cell r="A4" t="str">
            <v>Alex Small</v>
          </cell>
          <cell r="B4" t="str">
            <v>Ela Cross</v>
          </cell>
          <cell r="C4" t="str">
            <v>Adjunct</v>
          </cell>
          <cell r="D4" t="str">
            <v>Premium</v>
          </cell>
        </row>
        <row r="5">
          <cell r="A5" t="str">
            <v>Alexa Pinera</v>
          </cell>
          <cell r="B5" t="str">
            <v>Ian Plamondon</v>
          </cell>
          <cell r="C5" t="str">
            <v>Professional</v>
          </cell>
          <cell r="D5" t="str">
            <v>Premium</v>
          </cell>
        </row>
        <row r="6">
          <cell r="A6" t="str">
            <v>Alexandra Berrios</v>
          </cell>
          <cell r="B6" t="str">
            <v>Kristin Haase-Alvey</v>
          </cell>
          <cell r="C6" t="str">
            <v>Adjunct</v>
          </cell>
          <cell r="D6" t="str">
            <v>Distinguished</v>
          </cell>
        </row>
        <row r="7">
          <cell r="A7" t="str">
            <v>Alexis Boucher</v>
          </cell>
          <cell r="B7" t="str">
            <v>Geoff St. Marie</v>
          </cell>
          <cell r="C7" t="str">
            <v>Professional</v>
          </cell>
          <cell r="D7" t="str">
            <v>Distinguished</v>
          </cell>
        </row>
        <row r="8">
          <cell r="A8" t="str">
            <v>Allison Peck</v>
          </cell>
          <cell r="B8" t="str">
            <v>Kristin Haase-Alvey</v>
          </cell>
          <cell r="C8" t="str">
            <v>Adjunct</v>
          </cell>
          <cell r="D8" t="str">
            <v>Distinguished</v>
          </cell>
        </row>
        <row r="9">
          <cell r="A9" t="str">
            <v>Amber Maldonado</v>
          </cell>
          <cell r="B9" t="str">
            <v>Annelies de Groot</v>
          </cell>
          <cell r="C9" t="str">
            <v>Professional</v>
          </cell>
          <cell r="D9" t="str">
            <v>Distinguished</v>
          </cell>
        </row>
        <row r="10">
          <cell r="A10" t="str">
            <v>Amelia Sain</v>
          </cell>
          <cell r="B10" t="str">
            <v>Geoff St. Marie</v>
          </cell>
          <cell r="C10" t="str">
            <v>Professional</v>
          </cell>
          <cell r="D10" t="str">
            <v>Premium</v>
          </cell>
        </row>
        <row r="11">
          <cell r="A11" t="str">
            <v>Ana Heiser</v>
          </cell>
          <cell r="B11" t="str">
            <v>Kristin Haase-Alvey</v>
          </cell>
          <cell r="C11" t="str">
            <v>Professional</v>
          </cell>
          <cell r="D11" t="str">
            <v>Distinguished</v>
          </cell>
        </row>
        <row r="12">
          <cell r="A12" t="str">
            <v>Andres Jarquin</v>
          </cell>
          <cell r="B12" t="str">
            <v>Ian Plamondon</v>
          </cell>
          <cell r="C12" t="str">
            <v>Professional</v>
          </cell>
          <cell r="D12" t="str">
            <v>Distinguished</v>
          </cell>
        </row>
        <row r="13">
          <cell r="A13" t="str">
            <v>Andrew Brown</v>
          </cell>
          <cell r="B13" t="str">
            <v>Geoff St. Marie</v>
          </cell>
          <cell r="C13" t="str">
            <v>Professional</v>
          </cell>
          <cell r="D13" t="str">
            <v>Distinguished</v>
          </cell>
        </row>
        <row r="14">
          <cell r="A14" t="str">
            <v>Andrew Frohmader</v>
          </cell>
          <cell r="B14" t="str">
            <v>Katherine Marino</v>
          </cell>
          <cell r="C14" t="str">
            <v>Professional</v>
          </cell>
          <cell r="D14" t="str">
            <v>Distinguished</v>
          </cell>
        </row>
        <row r="15">
          <cell r="A15" t="str">
            <v>Andrew Gehlot</v>
          </cell>
          <cell r="B15" t="str">
            <v>Ela Cross</v>
          </cell>
          <cell r="C15" t="str">
            <v>Professional</v>
          </cell>
          <cell r="D15" t="str">
            <v>Premium</v>
          </cell>
        </row>
        <row r="16">
          <cell r="A16" t="str">
            <v>Andrew League</v>
          </cell>
          <cell r="B16" t="str">
            <v>Ian Plamondon</v>
          </cell>
          <cell r="C16" t="str">
            <v>Professional</v>
          </cell>
          <cell r="D16" t="str">
            <v>Distinguished</v>
          </cell>
        </row>
        <row r="17">
          <cell r="A17" t="str">
            <v>Anna Jasko</v>
          </cell>
          <cell r="B17" t="str">
            <v>Ela Cross</v>
          </cell>
          <cell r="C17" t="str">
            <v>Professional</v>
          </cell>
          <cell r="D17" t="str">
            <v>Distinguished</v>
          </cell>
        </row>
        <row r="18">
          <cell r="A18" t="str">
            <v>Annie Sylvester</v>
          </cell>
          <cell r="B18" t="str">
            <v>Ela Cross</v>
          </cell>
          <cell r="C18" t="str">
            <v>Professional</v>
          </cell>
          <cell r="D18" t="str">
            <v>Distinguished</v>
          </cell>
        </row>
        <row r="19">
          <cell r="A19" t="str">
            <v>Armand Brouty</v>
          </cell>
          <cell r="B19" t="str">
            <v>Geoff St. Marie</v>
          </cell>
          <cell r="C19" t="str">
            <v>Professional</v>
          </cell>
          <cell r="D19" t="str">
            <v>Distinguished</v>
          </cell>
        </row>
        <row r="20">
          <cell r="A20" t="str">
            <v>Ashley Scorsone</v>
          </cell>
          <cell r="B20" t="str">
            <v>Geoff St. Marie</v>
          </cell>
          <cell r="C20" t="str">
            <v>Professional</v>
          </cell>
          <cell r="D20" t="str">
            <v>Premium</v>
          </cell>
        </row>
        <row r="21">
          <cell r="A21" t="str">
            <v>Autumn Reed</v>
          </cell>
          <cell r="B21" t="str">
            <v>Geoff St. Marie</v>
          </cell>
          <cell r="C21" t="str">
            <v>Adjunct</v>
          </cell>
          <cell r="D21" t="str">
            <v>Advanced</v>
          </cell>
        </row>
        <row r="22">
          <cell r="A22" t="str">
            <v>Ayman Smoot</v>
          </cell>
          <cell r="B22" t="str">
            <v>Annelies de Groot</v>
          </cell>
          <cell r="C22" t="str">
            <v>Adjunct</v>
          </cell>
          <cell r="D22" t="str">
            <v>Distinguished</v>
          </cell>
        </row>
        <row r="23">
          <cell r="A23" t="str">
            <v>Ben Taylor</v>
          </cell>
          <cell r="B23" t="str">
            <v>Kristin Haase-Alvey</v>
          </cell>
          <cell r="C23" t="str">
            <v>Professional</v>
          </cell>
          <cell r="D23" t="str">
            <v>Premium</v>
          </cell>
        </row>
        <row r="24">
          <cell r="A24" t="str">
            <v>Brandon Engle</v>
          </cell>
          <cell r="B24" t="str">
            <v>Annelies de Groot</v>
          </cell>
          <cell r="C24" t="str">
            <v>Professional</v>
          </cell>
          <cell r="D24" t="str">
            <v>Distinguished</v>
          </cell>
        </row>
        <row r="25">
          <cell r="A25" t="str">
            <v>Breille Duncan</v>
          </cell>
          <cell r="B25" t="str">
            <v>Nikki Pencak</v>
          </cell>
          <cell r="C25" t="str">
            <v>Professional</v>
          </cell>
          <cell r="D25" t="str">
            <v>Distinguished</v>
          </cell>
        </row>
        <row r="26">
          <cell r="A26" t="str">
            <v>Brenna Hubnik</v>
          </cell>
          <cell r="B26" t="str">
            <v>Annelies de Groot</v>
          </cell>
          <cell r="C26" t="str">
            <v>Adjunct</v>
          </cell>
          <cell r="D26" t="str">
            <v>Distinguished</v>
          </cell>
        </row>
        <row r="27">
          <cell r="A27" t="str">
            <v>Brian Cohen</v>
          </cell>
          <cell r="B27" t="str">
            <v>Annelies de Groot</v>
          </cell>
          <cell r="C27" t="str">
            <v>Adjunct</v>
          </cell>
          <cell r="D27" t="str">
            <v>Premium</v>
          </cell>
        </row>
        <row r="28">
          <cell r="A28" t="str">
            <v>Brian James</v>
          </cell>
          <cell r="B28" t="str">
            <v>Annelies de Groot</v>
          </cell>
          <cell r="C28" t="str">
            <v>Professional</v>
          </cell>
          <cell r="D28" t="str">
            <v>Distinguished</v>
          </cell>
        </row>
        <row r="29">
          <cell r="A29" t="str">
            <v>Brian Johnson</v>
          </cell>
          <cell r="B29" t="str">
            <v>Kristin Haase-Alvey</v>
          </cell>
          <cell r="C29" t="str">
            <v>Professional</v>
          </cell>
          <cell r="D29" t="str">
            <v>Distinguished</v>
          </cell>
        </row>
        <row r="30">
          <cell r="A30" t="str">
            <v>Brittany Drew</v>
          </cell>
          <cell r="B30" t="str">
            <v>Ela Cross</v>
          </cell>
          <cell r="C30" t="str">
            <v>Professional</v>
          </cell>
          <cell r="D30" t="str">
            <v>Distinguished</v>
          </cell>
        </row>
        <row r="31">
          <cell r="A31" t="str">
            <v>Brock Dilley</v>
          </cell>
          <cell r="B31" t="str">
            <v>Annelies de Groot</v>
          </cell>
          <cell r="C31" t="str">
            <v>Professional</v>
          </cell>
          <cell r="D31" t="str">
            <v>Distinguished</v>
          </cell>
        </row>
        <row r="32">
          <cell r="A32" t="str">
            <v>Bryant Salinas</v>
          </cell>
          <cell r="B32" t="str">
            <v>Geoff St. Marie</v>
          </cell>
          <cell r="C32" t="str">
            <v>Professional</v>
          </cell>
          <cell r="D32" t="str">
            <v>Premium</v>
          </cell>
        </row>
        <row r="33">
          <cell r="A33" t="str">
            <v>Cadence Liles</v>
          </cell>
          <cell r="B33" t="str">
            <v>Geoff St. Marie</v>
          </cell>
          <cell r="C33" t="str">
            <v>Adjunct</v>
          </cell>
          <cell r="D33" t="str">
            <v>Advanced</v>
          </cell>
        </row>
        <row r="34">
          <cell r="A34" t="str">
            <v>Cait White</v>
          </cell>
          <cell r="B34" t="str">
            <v>Ela Cross</v>
          </cell>
          <cell r="C34" t="str">
            <v>Adjunct</v>
          </cell>
          <cell r="D34" t="str">
            <v>Premium</v>
          </cell>
        </row>
        <row r="35">
          <cell r="A35" t="str">
            <v>Caitlin Tytler</v>
          </cell>
          <cell r="B35" t="str">
            <v>Annelies de Groot</v>
          </cell>
          <cell r="C35" t="str">
            <v>Adjunct</v>
          </cell>
          <cell r="D35" t="str">
            <v>Advanced</v>
          </cell>
        </row>
        <row r="36">
          <cell r="A36" t="str">
            <v>Carina Shanahan</v>
          </cell>
          <cell r="B36" t="str">
            <v>Kristin Haase-Alvey</v>
          </cell>
          <cell r="C36" t="str">
            <v>Professional</v>
          </cell>
          <cell r="D36" t="str">
            <v>Distinguished</v>
          </cell>
        </row>
        <row r="37">
          <cell r="A37" t="str">
            <v>Casey Young</v>
          </cell>
          <cell r="B37" t="str">
            <v>Ela Cross</v>
          </cell>
          <cell r="C37" t="str">
            <v>Professional</v>
          </cell>
          <cell r="D37" t="str">
            <v>Distinguished</v>
          </cell>
        </row>
        <row r="38">
          <cell r="A38" t="str">
            <v>Charlie Anderson</v>
          </cell>
          <cell r="B38" t="str">
            <v>Annelies de Groot</v>
          </cell>
          <cell r="C38" t="str">
            <v>Professional</v>
          </cell>
          <cell r="D38" t="str">
            <v>Distinguished</v>
          </cell>
        </row>
        <row r="39">
          <cell r="A39" t="str">
            <v>Chazlee Myers</v>
          </cell>
          <cell r="B39" t="str">
            <v>Geoff St. Marie</v>
          </cell>
          <cell r="C39" t="str">
            <v>Professional</v>
          </cell>
          <cell r="D39" t="str">
            <v>Distinguished</v>
          </cell>
        </row>
        <row r="40">
          <cell r="A40" t="str">
            <v>Chelsea Kobea</v>
          </cell>
          <cell r="B40" t="str">
            <v>Kristin Haase-Alvey</v>
          </cell>
          <cell r="C40" t="str">
            <v>Professional</v>
          </cell>
          <cell r="D40" t="str">
            <v>Distinguished</v>
          </cell>
        </row>
        <row r="41">
          <cell r="A41" t="str">
            <v>Cheyanne Jones</v>
          </cell>
          <cell r="B41" t="str">
            <v>Kristin Haase-Alvey</v>
          </cell>
          <cell r="C41" t="str">
            <v>Professional</v>
          </cell>
          <cell r="D41" t="str">
            <v>Distinguished</v>
          </cell>
        </row>
        <row r="42">
          <cell r="A42" t="str">
            <v>Chris Prouty</v>
          </cell>
          <cell r="B42" t="str">
            <v>Annelies de Groot</v>
          </cell>
          <cell r="C42" t="str">
            <v>Adjunct</v>
          </cell>
          <cell r="D42" t="str">
            <v>Premium</v>
          </cell>
        </row>
        <row r="43">
          <cell r="A43" t="str">
            <v>Chris Yoon</v>
          </cell>
          <cell r="B43" t="str">
            <v>Ian Plamondon</v>
          </cell>
          <cell r="C43" t="str">
            <v>Professional</v>
          </cell>
          <cell r="D43" t="str">
            <v>Distinguished</v>
          </cell>
        </row>
        <row r="44">
          <cell r="A44" t="str">
            <v>Christelle Rocha</v>
          </cell>
          <cell r="B44" t="str">
            <v>Annelies de Groot</v>
          </cell>
          <cell r="C44" t="str">
            <v>Professional</v>
          </cell>
          <cell r="D44" t="str">
            <v>Distinguished</v>
          </cell>
        </row>
        <row r="45">
          <cell r="A45" t="str">
            <v>Christian Collins</v>
          </cell>
          <cell r="B45" t="str">
            <v>Ian Plamondon</v>
          </cell>
          <cell r="C45" t="str">
            <v>Professional</v>
          </cell>
          <cell r="D45" t="str">
            <v>Premium</v>
          </cell>
        </row>
        <row r="46">
          <cell r="A46" t="str">
            <v>Christian Steiner</v>
          </cell>
          <cell r="B46" t="str">
            <v>Kristin Haase-Alvey</v>
          </cell>
          <cell r="C46" t="str">
            <v>Professional</v>
          </cell>
          <cell r="D46" t="str">
            <v>Distinguished</v>
          </cell>
        </row>
        <row r="47">
          <cell r="A47" t="str">
            <v>Christine Santos</v>
          </cell>
          <cell r="B47" t="str">
            <v>Ela Cross</v>
          </cell>
          <cell r="C47" t="str">
            <v>Adjunct</v>
          </cell>
          <cell r="D47" t="str">
            <v>Premium</v>
          </cell>
        </row>
        <row r="48">
          <cell r="A48" t="str">
            <v>Clark Howard</v>
          </cell>
          <cell r="B48" t="str">
            <v>Ela Cross</v>
          </cell>
          <cell r="C48" t="str">
            <v>Professional</v>
          </cell>
          <cell r="D48" t="str">
            <v>Distinguished</v>
          </cell>
        </row>
        <row r="49">
          <cell r="A49" t="str">
            <v>Colin Cody</v>
          </cell>
          <cell r="B49" t="str">
            <v>Ela Cross</v>
          </cell>
          <cell r="C49" t="str">
            <v>Professional</v>
          </cell>
          <cell r="D49" t="str">
            <v>Distinguished</v>
          </cell>
        </row>
        <row r="50">
          <cell r="A50" t="str">
            <v>Conifer O’Sullivan</v>
          </cell>
          <cell r="B50" t="str">
            <v>Annelies de Groot</v>
          </cell>
          <cell r="C50" t="str">
            <v>Professional</v>
          </cell>
          <cell r="D50" t="str">
            <v>Distinguished</v>
          </cell>
        </row>
        <row r="51">
          <cell r="A51" t="str">
            <v>Cristina Ascenzi Pettenuzzo</v>
          </cell>
          <cell r="B51" t="str">
            <v>Geoff St. Marie</v>
          </cell>
          <cell r="C51" t="str">
            <v>Professional</v>
          </cell>
          <cell r="D51" t="str">
            <v>Distinguished</v>
          </cell>
        </row>
        <row r="52">
          <cell r="A52" t="str">
            <v>Daniel Esquivel-Reynoso</v>
          </cell>
          <cell r="B52" t="str">
            <v>Annelies de Groot</v>
          </cell>
          <cell r="C52" t="str">
            <v>Adjunct</v>
          </cell>
          <cell r="D52" t="str">
            <v>Distinguished</v>
          </cell>
        </row>
        <row r="53">
          <cell r="A53" t="str">
            <v>Daniel Olson</v>
          </cell>
          <cell r="B53" t="str">
            <v>Annelies de Groot</v>
          </cell>
          <cell r="C53" t="str">
            <v>Professional</v>
          </cell>
          <cell r="D53" t="str">
            <v>Distinguished</v>
          </cell>
        </row>
        <row r="54">
          <cell r="A54" t="str">
            <v>Daniel Severance</v>
          </cell>
          <cell r="B54" t="str">
            <v>Annelies de Groot</v>
          </cell>
          <cell r="C54" t="str">
            <v>Professional</v>
          </cell>
          <cell r="D54" t="str">
            <v>Premium</v>
          </cell>
        </row>
        <row r="55">
          <cell r="A55" t="str">
            <v>David Alcantara</v>
          </cell>
          <cell r="B55" t="str">
            <v>Ela Cross</v>
          </cell>
          <cell r="C55" t="str">
            <v>Professional</v>
          </cell>
          <cell r="D55" t="str">
            <v>Distinguished</v>
          </cell>
        </row>
        <row r="56">
          <cell r="A56" t="str">
            <v>Dehavion Knight</v>
          </cell>
          <cell r="B56" t="str">
            <v>Ela Cross</v>
          </cell>
          <cell r="C56" t="str">
            <v>Adjunct</v>
          </cell>
          <cell r="D56" t="str">
            <v>Distinguished</v>
          </cell>
        </row>
        <row r="57">
          <cell r="A57" t="str">
            <v>Denise Jefferson</v>
          </cell>
          <cell r="B57" t="str">
            <v>Ela Cross</v>
          </cell>
          <cell r="C57" t="str">
            <v>Adjunct</v>
          </cell>
          <cell r="D57" t="str">
            <v>Advanced</v>
          </cell>
        </row>
        <row r="58">
          <cell r="A58" t="str">
            <v>Derek Fox</v>
          </cell>
          <cell r="B58" t="str">
            <v>Geoff St. Marie</v>
          </cell>
          <cell r="C58" t="str">
            <v>Adjunct</v>
          </cell>
          <cell r="D58" t="str">
            <v>Advanced</v>
          </cell>
        </row>
        <row r="59">
          <cell r="A59" t="str">
            <v>Diamond Anderson</v>
          </cell>
          <cell r="B59" t="str">
            <v>Kristin Haase-Alvey</v>
          </cell>
          <cell r="C59" t="str">
            <v>Adjunct</v>
          </cell>
          <cell r="D59" t="str">
            <v>Distinguished</v>
          </cell>
        </row>
        <row r="60">
          <cell r="A60" t="str">
            <v>Diana Hoyer</v>
          </cell>
          <cell r="B60" t="str">
            <v>Geoff St. Marie</v>
          </cell>
          <cell r="C60" t="str">
            <v>Professional</v>
          </cell>
          <cell r="D60" t="str">
            <v>Distinguished</v>
          </cell>
        </row>
        <row r="61">
          <cell r="A61" t="str">
            <v>Dorothy McDaniel</v>
          </cell>
          <cell r="B61" t="str">
            <v>Ian Plamondon</v>
          </cell>
          <cell r="C61" t="str">
            <v>Professional</v>
          </cell>
          <cell r="D61" t="str">
            <v>Premium</v>
          </cell>
        </row>
        <row r="62">
          <cell r="A62" t="str">
            <v>Eddie Cayia</v>
          </cell>
          <cell r="B62" t="str">
            <v>Annelies de Groot</v>
          </cell>
          <cell r="C62" t="str">
            <v>Professional</v>
          </cell>
          <cell r="D62" t="str">
            <v>Distinguished</v>
          </cell>
        </row>
        <row r="63">
          <cell r="A63" t="str">
            <v>Eddie Rodriguez</v>
          </cell>
          <cell r="B63" t="str">
            <v>Geoff St. Marie</v>
          </cell>
          <cell r="C63" t="str">
            <v>Professional</v>
          </cell>
          <cell r="D63" t="str">
            <v>Distinguished</v>
          </cell>
        </row>
        <row r="64">
          <cell r="A64" t="str">
            <v>Eden Rasmussen</v>
          </cell>
          <cell r="B64" t="str">
            <v>Geoff St. Marie</v>
          </cell>
          <cell r="C64" t="str">
            <v>Professional</v>
          </cell>
          <cell r="D64" t="str">
            <v>Distinguished</v>
          </cell>
        </row>
        <row r="65">
          <cell r="A65" t="str">
            <v>Edwin West</v>
          </cell>
          <cell r="B65" t="str">
            <v>Ela Cross</v>
          </cell>
          <cell r="C65" t="str">
            <v>Adjunct</v>
          </cell>
          <cell r="D65" t="str">
            <v>Distinguished</v>
          </cell>
        </row>
        <row r="66">
          <cell r="A66" t="str">
            <v>Eleanor Mancilla</v>
          </cell>
          <cell r="B66" t="str">
            <v>Katherine Marino</v>
          </cell>
          <cell r="C66" t="str">
            <v>Professional</v>
          </cell>
          <cell r="D66" t="str">
            <v>Distinguished</v>
          </cell>
        </row>
        <row r="67">
          <cell r="A67" t="str">
            <v>Elijah Ramirez</v>
          </cell>
          <cell r="B67" t="str">
            <v>Ian Plamondon</v>
          </cell>
          <cell r="C67" t="str">
            <v>Professional</v>
          </cell>
          <cell r="D67" t="str">
            <v>Premium</v>
          </cell>
        </row>
        <row r="68">
          <cell r="A68" t="str">
            <v>Elizabeth Simons</v>
          </cell>
          <cell r="B68" t="str">
            <v>Kristin Haase-Alvey</v>
          </cell>
          <cell r="C68" t="str">
            <v>Adjunct</v>
          </cell>
          <cell r="D68" t="str">
            <v>Distinguished</v>
          </cell>
        </row>
        <row r="69">
          <cell r="A69" t="str">
            <v>Eric Chang</v>
          </cell>
          <cell r="B69" t="str">
            <v>Annelies de Groot</v>
          </cell>
          <cell r="C69" t="str">
            <v>Professional</v>
          </cell>
          <cell r="D69" t="str">
            <v>Distinguished</v>
          </cell>
        </row>
        <row r="70">
          <cell r="A70" t="str">
            <v>Ernie Chu</v>
          </cell>
          <cell r="B70" t="str">
            <v>Geoff St. Marie</v>
          </cell>
          <cell r="C70" t="str">
            <v>Professional</v>
          </cell>
          <cell r="D70" t="str">
            <v>Distinguished</v>
          </cell>
        </row>
        <row r="71">
          <cell r="A71" t="str">
            <v>Eru Kyu</v>
          </cell>
          <cell r="B71" t="str">
            <v>Nikki Pencak</v>
          </cell>
          <cell r="C71" t="str">
            <v>Professional</v>
          </cell>
          <cell r="D71" t="str">
            <v>Distinguished</v>
          </cell>
        </row>
        <row r="72">
          <cell r="A72" t="str">
            <v>Faith Rogers</v>
          </cell>
          <cell r="B72" t="str">
            <v>Geoff St. Marie</v>
          </cell>
          <cell r="C72" t="str">
            <v>Professional</v>
          </cell>
          <cell r="D72" t="str">
            <v>Distinguished</v>
          </cell>
        </row>
        <row r="73">
          <cell r="A73" t="str">
            <v>Gabriel Saint Cyr</v>
          </cell>
          <cell r="B73" t="str">
            <v>Geoff St. Marie</v>
          </cell>
          <cell r="C73" t="str">
            <v>Adjunct</v>
          </cell>
          <cell r="D73" t="str">
            <v>Distinguished</v>
          </cell>
        </row>
        <row r="74">
          <cell r="A74" t="str">
            <v>Gale Hermes</v>
          </cell>
          <cell r="B74" t="str">
            <v>Ian Plamondon</v>
          </cell>
          <cell r="C74" t="str">
            <v>Professional</v>
          </cell>
          <cell r="D74" t="str">
            <v>Premium</v>
          </cell>
        </row>
        <row r="75">
          <cell r="A75" t="str">
            <v>Gene Costa</v>
          </cell>
          <cell r="B75" t="str">
            <v>Ela Cross</v>
          </cell>
          <cell r="C75" t="str">
            <v>Professional</v>
          </cell>
          <cell r="D75" t="str">
            <v>Distinguished</v>
          </cell>
        </row>
        <row r="76">
          <cell r="A76" t="str">
            <v>Gigi Glover</v>
          </cell>
          <cell r="B76" t="str">
            <v>Geoff St. Marie</v>
          </cell>
          <cell r="C76" t="str">
            <v>Professional</v>
          </cell>
          <cell r="D76" t="str">
            <v>Distinguished</v>
          </cell>
        </row>
        <row r="77">
          <cell r="A77" t="str">
            <v>Gina Benson</v>
          </cell>
          <cell r="B77" t="str">
            <v>Katherine Marino</v>
          </cell>
          <cell r="C77" t="str">
            <v>Adjunct</v>
          </cell>
          <cell r="D77" t="str">
            <v>Advanced</v>
          </cell>
        </row>
        <row r="78">
          <cell r="A78" t="str">
            <v>Hannah Ervitz</v>
          </cell>
          <cell r="B78" t="str">
            <v>Kristin Haase-Alvey</v>
          </cell>
          <cell r="C78" t="str">
            <v>Adjunct</v>
          </cell>
          <cell r="D78" t="str">
            <v>Distinguished</v>
          </cell>
        </row>
        <row r="79">
          <cell r="A79" t="str">
            <v>Hannah Lodge</v>
          </cell>
          <cell r="B79" t="str">
            <v>Ian Plamondon</v>
          </cell>
          <cell r="C79" t="str">
            <v>Professional</v>
          </cell>
          <cell r="D79" t="str">
            <v>Premium</v>
          </cell>
        </row>
        <row r="80">
          <cell r="A80" t="str">
            <v>Jacey Clifton</v>
          </cell>
          <cell r="B80" t="str">
            <v>Ela Cross</v>
          </cell>
          <cell r="C80" t="str">
            <v>Adjunct</v>
          </cell>
          <cell r="D80" t="str">
            <v>Distinguished</v>
          </cell>
        </row>
        <row r="81">
          <cell r="A81" t="str">
            <v>Jacob Karn</v>
          </cell>
          <cell r="B81" t="str">
            <v>Geoff St. Marie</v>
          </cell>
          <cell r="C81" t="str">
            <v>Professional</v>
          </cell>
          <cell r="D81" t="str">
            <v>Distinguished</v>
          </cell>
        </row>
        <row r="82">
          <cell r="A82" t="str">
            <v>Jake Corvino</v>
          </cell>
          <cell r="B82" t="str">
            <v>Ela Cross</v>
          </cell>
          <cell r="C82" t="str">
            <v>Adjunct</v>
          </cell>
          <cell r="D82" t="str">
            <v>Distinguished</v>
          </cell>
        </row>
        <row r="83">
          <cell r="A83" t="str">
            <v>James Falconer</v>
          </cell>
          <cell r="B83" t="str">
            <v>Geoff St. Marie</v>
          </cell>
          <cell r="C83" t="str">
            <v>Professional</v>
          </cell>
          <cell r="D83" t="str">
            <v>Distinguished</v>
          </cell>
        </row>
        <row r="84">
          <cell r="A84" t="str">
            <v>Jason Anderson</v>
          </cell>
          <cell r="B84" t="str">
            <v>Kristin Haase-Alvey</v>
          </cell>
          <cell r="C84" t="str">
            <v>Professional</v>
          </cell>
          <cell r="D84" t="str">
            <v>Advanced</v>
          </cell>
        </row>
        <row r="85">
          <cell r="A85" t="str">
            <v>Jason Keller</v>
          </cell>
          <cell r="B85" t="str">
            <v>Kristin Haase-Alvey</v>
          </cell>
          <cell r="C85" t="str">
            <v>Professional</v>
          </cell>
          <cell r="D85" t="str">
            <v>Premium</v>
          </cell>
        </row>
        <row r="86">
          <cell r="A86" t="str">
            <v>Jason Noble</v>
          </cell>
          <cell r="B86" t="str">
            <v>Kristin Haase-Alvey</v>
          </cell>
          <cell r="C86" t="str">
            <v>Professional</v>
          </cell>
          <cell r="D86" t="str">
            <v>Distinguished</v>
          </cell>
        </row>
        <row r="87">
          <cell r="A87" t="str">
            <v>Jayna Boaz</v>
          </cell>
          <cell r="B87" t="str">
            <v>Ela Cross</v>
          </cell>
          <cell r="C87" t="str">
            <v>Adjunct</v>
          </cell>
          <cell r="D87" t="str">
            <v>Advanced</v>
          </cell>
        </row>
        <row r="88">
          <cell r="A88" t="str">
            <v>Jenn Thompson</v>
          </cell>
          <cell r="B88" t="str">
            <v>Kristin Haase-Alvey</v>
          </cell>
          <cell r="C88" t="str">
            <v>Adjunct</v>
          </cell>
          <cell r="D88" t="str">
            <v>Advanced</v>
          </cell>
        </row>
        <row r="89">
          <cell r="A89" t="str">
            <v>Jennifer Hernandez</v>
          </cell>
          <cell r="B89" t="str">
            <v>Kristin Haase-Alvey</v>
          </cell>
          <cell r="C89" t="str">
            <v>Adjunct</v>
          </cell>
          <cell r="D89" t="str">
            <v>Distinguished</v>
          </cell>
        </row>
        <row r="90">
          <cell r="A90" t="str">
            <v>Jesse Squires</v>
          </cell>
          <cell r="B90" t="str">
            <v>Kristin Haase-Alvey</v>
          </cell>
          <cell r="C90" t="str">
            <v>Professional</v>
          </cell>
          <cell r="D90" t="str">
            <v>Distinguished</v>
          </cell>
        </row>
        <row r="91">
          <cell r="A91" t="str">
            <v>Jessica Menkhus</v>
          </cell>
          <cell r="B91" t="str">
            <v>Ela Cross</v>
          </cell>
          <cell r="C91" t="str">
            <v>Adjunct</v>
          </cell>
          <cell r="D91" t="str">
            <v>Premium</v>
          </cell>
        </row>
        <row r="92">
          <cell r="A92" t="str">
            <v>Jessica Peterson</v>
          </cell>
          <cell r="B92" t="str">
            <v>Annelies de Groot</v>
          </cell>
          <cell r="C92" t="str">
            <v>Adjunct</v>
          </cell>
          <cell r="D92" t="str">
            <v>Premium</v>
          </cell>
        </row>
        <row r="93">
          <cell r="A93" t="str">
            <v>Jessica Wall</v>
          </cell>
          <cell r="B93" t="str">
            <v>Kristin Haase-Alvey</v>
          </cell>
          <cell r="C93" t="str">
            <v>Professional</v>
          </cell>
          <cell r="D93" t="str">
            <v>Distinguished</v>
          </cell>
        </row>
        <row r="94">
          <cell r="A94" t="str">
            <v>Jill Watson</v>
          </cell>
          <cell r="B94" t="str">
            <v>Ian Plamondon</v>
          </cell>
          <cell r="C94" t="str">
            <v>Professional</v>
          </cell>
          <cell r="D94" t="str">
            <v>Distinguished</v>
          </cell>
        </row>
        <row r="95">
          <cell r="A95" t="str">
            <v>Jimmy Works</v>
          </cell>
          <cell r="B95" t="str">
            <v>Kristin Haase-Alvey</v>
          </cell>
          <cell r="C95" t="str">
            <v>Adjunct</v>
          </cell>
          <cell r="D95" t="str">
            <v>Distinguished</v>
          </cell>
        </row>
        <row r="96">
          <cell r="A96" t="str">
            <v>John Corbett</v>
          </cell>
          <cell r="B96" t="str">
            <v>Geoff St. Marie</v>
          </cell>
          <cell r="C96" t="str">
            <v>Adjunct</v>
          </cell>
          <cell r="D96" t="str">
            <v>Distinguished</v>
          </cell>
        </row>
        <row r="97">
          <cell r="A97" t="str">
            <v>John Licitra</v>
          </cell>
          <cell r="B97" t="str">
            <v>Geoff St. Marie</v>
          </cell>
          <cell r="C97" t="str">
            <v>Professional</v>
          </cell>
          <cell r="D97" t="str">
            <v>Distinguished</v>
          </cell>
        </row>
        <row r="98">
          <cell r="A98" t="str">
            <v>John Olmos</v>
          </cell>
          <cell r="B98" t="str">
            <v>Geoff St. Marie</v>
          </cell>
          <cell r="C98" t="str">
            <v>Professional</v>
          </cell>
          <cell r="D98" t="str">
            <v>Distinguished</v>
          </cell>
        </row>
        <row r="99">
          <cell r="A99" t="str">
            <v>John Salcedo</v>
          </cell>
          <cell r="B99" t="str">
            <v>Ela Cross</v>
          </cell>
          <cell r="C99" t="str">
            <v>Professional</v>
          </cell>
          <cell r="D99" t="str">
            <v>Distinguished</v>
          </cell>
        </row>
        <row r="100">
          <cell r="A100" t="str">
            <v>Johnny Kaplan</v>
          </cell>
          <cell r="B100" t="str">
            <v>Ian Plamondon</v>
          </cell>
          <cell r="C100" t="str">
            <v>Adjunct</v>
          </cell>
          <cell r="D100" t="str">
            <v>Advanced</v>
          </cell>
        </row>
        <row r="101">
          <cell r="A101" t="str">
            <v>Jon Cathapermal</v>
          </cell>
          <cell r="B101" t="str">
            <v>Geoff St. Marie</v>
          </cell>
          <cell r="C101" t="str">
            <v>Professional</v>
          </cell>
          <cell r="D101" t="str">
            <v>Distinguished</v>
          </cell>
        </row>
        <row r="102">
          <cell r="A102" t="str">
            <v>Joyraj D'souza</v>
          </cell>
          <cell r="B102" t="str">
            <v>Kristin Haase-Alvey</v>
          </cell>
          <cell r="C102" t="str">
            <v>Adjunct</v>
          </cell>
          <cell r="D102" t="str">
            <v>Distinguished</v>
          </cell>
        </row>
        <row r="103">
          <cell r="A103" t="str">
            <v>Juan Nunez</v>
          </cell>
          <cell r="B103" t="str">
            <v>Kristin Haase-Alvey</v>
          </cell>
          <cell r="C103" t="str">
            <v>Professional</v>
          </cell>
          <cell r="D103" t="str">
            <v>Distinguished</v>
          </cell>
        </row>
        <row r="104">
          <cell r="A104" t="str">
            <v>Judi Abo Hana</v>
          </cell>
          <cell r="B104" t="str">
            <v>Geoff St. Marie</v>
          </cell>
          <cell r="C104" t="str">
            <v>Adjunct</v>
          </cell>
          <cell r="D104" t="str">
            <v>Advanced</v>
          </cell>
        </row>
        <row r="105">
          <cell r="A105" t="str">
            <v>Julia Saderholm</v>
          </cell>
          <cell r="B105" t="str">
            <v>Ela Cross</v>
          </cell>
          <cell r="C105" t="str">
            <v>Professional</v>
          </cell>
          <cell r="D105" t="str">
            <v>Distinguished</v>
          </cell>
        </row>
        <row r="106">
          <cell r="A106" t="str">
            <v>Julie Byrom</v>
          </cell>
          <cell r="B106" t="str">
            <v>Ela Cross</v>
          </cell>
          <cell r="C106" t="str">
            <v>Professional</v>
          </cell>
          <cell r="D106" t="str">
            <v>Premium</v>
          </cell>
        </row>
        <row r="107">
          <cell r="A107" t="str">
            <v>Justin Hill</v>
          </cell>
          <cell r="B107" t="str">
            <v>Kristin Haase-Alvey</v>
          </cell>
          <cell r="C107" t="str">
            <v>Professional</v>
          </cell>
          <cell r="D107" t="str">
            <v>Distinguished</v>
          </cell>
        </row>
        <row r="108">
          <cell r="A108" t="str">
            <v>Kai Tsung</v>
          </cell>
          <cell r="B108" t="str">
            <v>Kristin Haase-Alvey</v>
          </cell>
          <cell r="C108" t="str">
            <v>Adjunct</v>
          </cell>
          <cell r="D108" t="str">
            <v>Advanced</v>
          </cell>
        </row>
        <row r="109">
          <cell r="A109" t="str">
            <v>Kailot Harris</v>
          </cell>
          <cell r="B109" t="str">
            <v>Kristin Haase-Alvey</v>
          </cell>
          <cell r="C109" t="str">
            <v>Professional</v>
          </cell>
          <cell r="D109" t="str">
            <v>Distinguished</v>
          </cell>
        </row>
        <row r="110">
          <cell r="A110" t="str">
            <v>Karleigh Arrington</v>
          </cell>
          <cell r="B110" t="str">
            <v>Annelies de Groot</v>
          </cell>
          <cell r="C110" t="str">
            <v>Professional</v>
          </cell>
          <cell r="D110" t="str">
            <v>Distinguished</v>
          </cell>
        </row>
        <row r="111">
          <cell r="A111" t="str">
            <v>Kate Haldeman</v>
          </cell>
          <cell r="B111" t="str">
            <v>Geoff St. Marie</v>
          </cell>
          <cell r="C111" t="str">
            <v>Professional</v>
          </cell>
          <cell r="D111" t="str">
            <v>Advanced</v>
          </cell>
        </row>
        <row r="112">
          <cell r="A112" t="str">
            <v>Katherine Clarke</v>
          </cell>
          <cell r="B112" t="str">
            <v>Kristin Haase-Alvey</v>
          </cell>
          <cell r="C112" t="str">
            <v>Professional</v>
          </cell>
          <cell r="D112" t="str">
            <v>Distinguished</v>
          </cell>
        </row>
        <row r="113">
          <cell r="A113" t="str">
            <v>Katherine Dickerson</v>
          </cell>
          <cell r="B113" t="str">
            <v>Geoff St. Marie</v>
          </cell>
          <cell r="C113" t="str">
            <v>Professional</v>
          </cell>
          <cell r="D113" t="str">
            <v>Premium</v>
          </cell>
        </row>
        <row r="114">
          <cell r="A114" t="str">
            <v>Kiersten Guetlein</v>
          </cell>
          <cell r="B114" t="str">
            <v>Ela Cross</v>
          </cell>
          <cell r="C114" t="str">
            <v>Professional</v>
          </cell>
          <cell r="D114" t="str">
            <v>Premium</v>
          </cell>
        </row>
        <row r="115">
          <cell r="A115" t="str">
            <v>Kristen Fox</v>
          </cell>
          <cell r="B115" t="str">
            <v>Kristin Haase-Alvey</v>
          </cell>
          <cell r="C115" t="str">
            <v>Professional</v>
          </cell>
          <cell r="D115" t="str">
            <v>Distinguished</v>
          </cell>
        </row>
        <row r="116">
          <cell r="A116" t="str">
            <v>Kristen Luigart</v>
          </cell>
          <cell r="B116" t="str">
            <v>Ian Plamondon</v>
          </cell>
          <cell r="C116" t="str">
            <v>Professional</v>
          </cell>
          <cell r="D116" t="str">
            <v>Distinguished</v>
          </cell>
        </row>
        <row r="117">
          <cell r="A117" t="str">
            <v>Krystal Ashley</v>
          </cell>
          <cell r="B117" t="str">
            <v>Katherine Marino</v>
          </cell>
          <cell r="C117" t="str">
            <v>Adjunct</v>
          </cell>
          <cell r="D117" t="str">
            <v>Advanced</v>
          </cell>
        </row>
        <row r="118">
          <cell r="A118" t="str">
            <v>Lana Kargetta</v>
          </cell>
          <cell r="B118" t="str">
            <v>Geoff St. Marie</v>
          </cell>
          <cell r="C118" t="str">
            <v>Adjunct</v>
          </cell>
          <cell r="D118" t="str">
            <v>Advanced</v>
          </cell>
        </row>
        <row r="119">
          <cell r="A119" t="str">
            <v>Levi Fox</v>
          </cell>
          <cell r="B119" t="str">
            <v>Geoff St. Marie</v>
          </cell>
          <cell r="C119" t="str">
            <v>Professional</v>
          </cell>
          <cell r="D119" t="str">
            <v>Premium</v>
          </cell>
        </row>
        <row r="120">
          <cell r="A120" t="str">
            <v>Lisa Bartle</v>
          </cell>
          <cell r="B120" t="str">
            <v>Annelies de Groot</v>
          </cell>
          <cell r="C120" t="str">
            <v>Adjunct</v>
          </cell>
          <cell r="D120" t="str">
            <v>Premium</v>
          </cell>
        </row>
        <row r="121">
          <cell r="A121" t="str">
            <v>Liz Garcia</v>
          </cell>
          <cell r="B121" t="str">
            <v>Geoff St. Marie</v>
          </cell>
          <cell r="C121" t="str">
            <v>Professional</v>
          </cell>
          <cell r="D121" t="str">
            <v>Distinguished</v>
          </cell>
        </row>
        <row r="122">
          <cell r="A122" t="str">
            <v>Liz Pirie</v>
          </cell>
          <cell r="B122" t="str">
            <v>Kristin Haase-Alvey</v>
          </cell>
          <cell r="C122" t="str">
            <v>Professional</v>
          </cell>
          <cell r="D122" t="str">
            <v>Distinguished</v>
          </cell>
        </row>
        <row r="123">
          <cell r="A123" t="str">
            <v>Loren Lijewski</v>
          </cell>
          <cell r="B123" t="str">
            <v>Annelies de Groot</v>
          </cell>
          <cell r="C123" t="str">
            <v>Adjunct</v>
          </cell>
          <cell r="D123" t="str">
            <v>Advanced</v>
          </cell>
        </row>
        <row r="124">
          <cell r="A124" t="str">
            <v>Machaela Verhage</v>
          </cell>
          <cell r="B124" t="str">
            <v>Annelies de Groot</v>
          </cell>
          <cell r="C124" t="str">
            <v>Professional</v>
          </cell>
          <cell r="D124" t="str">
            <v>Distinguished</v>
          </cell>
        </row>
        <row r="125">
          <cell r="A125" t="str">
            <v>Madia Banda</v>
          </cell>
          <cell r="B125" t="str">
            <v>Geoff St. Marie</v>
          </cell>
          <cell r="C125" t="str">
            <v>Professional</v>
          </cell>
          <cell r="D125" t="str">
            <v>Advanced</v>
          </cell>
        </row>
        <row r="126">
          <cell r="A126" t="str">
            <v>Maia Gerlinger</v>
          </cell>
          <cell r="B126" t="str">
            <v>Annelies de Groot</v>
          </cell>
          <cell r="C126" t="str">
            <v>Adjunct</v>
          </cell>
          <cell r="D126" t="str">
            <v>Distinguished</v>
          </cell>
        </row>
        <row r="127">
          <cell r="A127" t="str">
            <v>Margaret Webb</v>
          </cell>
          <cell r="B127" t="str">
            <v>Kristin Haase-Alvey</v>
          </cell>
          <cell r="C127" t="str">
            <v>Professional</v>
          </cell>
          <cell r="D127" t="str">
            <v>Distinguished</v>
          </cell>
        </row>
        <row r="128">
          <cell r="A128" t="str">
            <v>Mary Felix</v>
          </cell>
          <cell r="B128" t="str">
            <v>Ian Plamondon</v>
          </cell>
          <cell r="C128" t="str">
            <v>Professional</v>
          </cell>
          <cell r="D128" t="str">
            <v>Premium</v>
          </cell>
        </row>
        <row r="129">
          <cell r="A129" t="str">
            <v>Mary Logan</v>
          </cell>
          <cell r="B129" t="str">
            <v>Ela Cross</v>
          </cell>
          <cell r="C129" t="str">
            <v>Professional</v>
          </cell>
          <cell r="D129" t="str">
            <v>Distinguished</v>
          </cell>
        </row>
        <row r="130">
          <cell r="A130" t="str">
            <v>Matthew Urso</v>
          </cell>
          <cell r="B130" t="str">
            <v>Geoff St. Marie</v>
          </cell>
          <cell r="C130" t="str">
            <v>Professional</v>
          </cell>
          <cell r="D130" t="str">
            <v>Distinguished</v>
          </cell>
        </row>
        <row r="131">
          <cell r="A131" t="str">
            <v>Matthew Wert</v>
          </cell>
          <cell r="B131" t="str">
            <v>Geoff St. Marie</v>
          </cell>
          <cell r="C131" t="str">
            <v>Adjunct</v>
          </cell>
          <cell r="D131" t="str">
            <v>Distinguished</v>
          </cell>
        </row>
        <row r="132">
          <cell r="A132" t="str">
            <v>Matty Burge</v>
          </cell>
          <cell r="B132" t="str">
            <v>Annelies de Groot</v>
          </cell>
          <cell r="C132" t="str">
            <v>Adjunct</v>
          </cell>
          <cell r="D132" t="str">
            <v>Distinguished</v>
          </cell>
        </row>
        <row r="133">
          <cell r="A133" t="str">
            <v>Maximilian Tsimerman</v>
          </cell>
          <cell r="B133" t="str">
            <v>Geoff St. Marie</v>
          </cell>
          <cell r="C133" t="str">
            <v>Professional</v>
          </cell>
          <cell r="D133" t="str">
            <v>Distinguished</v>
          </cell>
        </row>
        <row r="134">
          <cell r="A134" t="str">
            <v>Megan Hoelting</v>
          </cell>
          <cell r="B134" t="str">
            <v>Annelies de Groot</v>
          </cell>
          <cell r="C134" t="str">
            <v>Adjunct</v>
          </cell>
          <cell r="D134" t="str">
            <v>Distinguished</v>
          </cell>
        </row>
        <row r="135">
          <cell r="A135" t="str">
            <v>Megan Ingle</v>
          </cell>
          <cell r="B135" t="str">
            <v>Geoff St. Marie</v>
          </cell>
          <cell r="C135" t="str">
            <v>Adjunct</v>
          </cell>
          <cell r="D135" t="str">
            <v>Advanced</v>
          </cell>
        </row>
        <row r="136">
          <cell r="A136" t="str">
            <v>Megan Osgood</v>
          </cell>
          <cell r="B136" t="str">
            <v>Annelies de Groot</v>
          </cell>
          <cell r="C136" t="str">
            <v>Professional</v>
          </cell>
          <cell r="D136" t="str">
            <v>Distinguished</v>
          </cell>
        </row>
        <row r="137">
          <cell r="A137" t="str">
            <v>Melanie Leong</v>
          </cell>
          <cell r="B137" t="str">
            <v>Kristin Haase-Alvey</v>
          </cell>
          <cell r="C137" t="str">
            <v>Adjunct</v>
          </cell>
          <cell r="D137" t="str">
            <v>Premium</v>
          </cell>
        </row>
        <row r="138">
          <cell r="A138" t="str">
            <v>Melinda Mergendahl</v>
          </cell>
          <cell r="B138" t="str">
            <v>Geoff St. Marie</v>
          </cell>
          <cell r="C138" t="str">
            <v>Adjunct</v>
          </cell>
          <cell r="D138" t="str">
            <v>Distinguished</v>
          </cell>
        </row>
        <row r="139">
          <cell r="A139" t="str">
            <v>Michelle Testerman</v>
          </cell>
          <cell r="B139" t="str">
            <v>Ela Cross</v>
          </cell>
          <cell r="C139" t="str">
            <v>Adjunct</v>
          </cell>
          <cell r="D139" t="str">
            <v>Distinguished</v>
          </cell>
        </row>
        <row r="140">
          <cell r="A140" t="str">
            <v>Miki Cornwell</v>
          </cell>
          <cell r="B140" t="str">
            <v>Ela Cross</v>
          </cell>
          <cell r="C140" t="str">
            <v>Adjunct</v>
          </cell>
          <cell r="D140" t="str">
            <v>Distinguished</v>
          </cell>
        </row>
        <row r="141">
          <cell r="A141" t="str">
            <v>Myles Oldroyd</v>
          </cell>
          <cell r="B141" t="str">
            <v>Ian Plamondon</v>
          </cell>
          <cell r="C141" t="str">
            <v>Professional</v>
          </cell>
          <cell r="D141" t="str">
            <v>Premium</v>
          </cell>
        </row>
        <row r="142">
          <cell r="A142" t="str">
            <v>Naima Chaudhry</v>
          </cell>
          <cell r="B142" t="str">
            <v>Kristin Haase-Alvey</v>
          </cell>
          <cell r="C142" t="str">
            <v>Adjunct</v>
          </cell>
          <cell r="D142" t="str">
            <v>Advanced</v>
          </cell>
        </row>
        <row r="143">
          <cell r="A143" t="str">
            <v>Nando Reyes</v>
          </cell>
          <cell r="B143" t="str">
            <v>Geoff St. Marie</v>
          </cell>
          <cell r="C143" t="str">
            <v>Professional</v>
          </cell>
          <cell r="D143" t="str">
            <v>Distinguished</v>
          </cell>
        </row>
        <row r="144">
          <cell r="A144" t="str">
            <v>Nayely Rolon-Gomez</v>
          </cell>
          <cell r="B144" t="str">
            <v>Ela Cross</v>
          </cell>
          <cell r="C144" t="str">
            <v>Professional</v>
          </cell>
          <cell r="D144" t="str">
            <v>Distinguished</v>
          </cell>
        </row>
        <row r="145">
          <cell r="A145" t="str">
            <v>Nicholas Ulfik</v>
          </cell>
          <cell r="B145" t="str">
            <v>Kristin Haase-Alvey</v>
          </cell>
          <cell r="C145" t="str">
            <v>Professional</v>
          </cell>
          <cell r="D145" t="str">
            <v>Distinguished</v>
          </cell>
        </row>
        <row r="146">
          <cell r="A146" t="str">
            <v>Nick Kocik</v>
          </cell>
          <cell r="B146" t="str">
            <v>Ela Cross</v>
          </cell>
          <cell r="C146" t="str">
            <v>Professional</v>
          </cell>
          <cell r="D146" t="str">
            <v>Distinguished</v>
          </cell>
        </row>
        <row r="147">
          <cell r="A147" t="str">
            <v>Nick Lucido</v>
          </cell>
          <cell r="B147" t="str">
            <v>Kristin Haase-Alvey</v>
          </cell>
          <cell r="C147" t="str">
            <v>Professional</v>
          </cell>
          <cell r="D147" t="str">
            <v>Distinguished</v>
          </cell>
        </row>
        <row r="148">
          <cell r="A148" t="str">
            <v>Nicole Bishop</v>
          </cell>
          <cell r="B148" t="str">
            <v>Ela Cross</v>
          </cell>
          <cell r="C148" t="str">
            <v>Professional</v>
          </cell>
          <cell r="D148" t="str">
            <v>Distinguished</v>
          </cell>
        </row>
        <row r="149">
          <cell r="A149" t="str">
            <v>Nik Kososik</v>
          </cell>
          <cell r="B149" t="str">
            <v>Geoff St. Marie</v>
          </cell>
          <cell r="C149" t="str">
            <v>Adjunct</v>
          </cell>
          <cell r="D149" t="str">
            <v>Distinguished</v>
          </cell>
        </row>
        <row r="150">
          <cell r="A150" t="str">
            <v>Nisan Hubbard</v>
          </cell>
          <cell r="B150" t="str">
            <v>Annelies de Groot</v>
          </cell>
          <cell r="C150" t="str">
            <v>Adjunct</v>
          </cell>
          <cell r="D150" t="str">
            <v>Distinguished</v>
          </cell>
        </row>
        <row r="151">
          <cell r="A151" t="str">
            <v>Nisha Fletcher</v>
          </cell>
          <cell r="B151" t="str">
            <v>Kristin Haase-Alvey</v>
          </cell>
          <cell r="C151" t="str">
            <v>Adjunct</v>
          </cell>
          <cell r="D151" t="str">
            <v>Advanced</v>
          </cell>
        </row>
        <row r="152">
          <cell r="A152" t="str">
            <v>Ore Williams</v>
          </cell>
          <cell r="B152" t="str">
            <v>Ela Cross</v>
          </cell>
          <cell r="C152" t="str">
            <v>Adjunct</v>
          </cell>
          <cell r="D152" t="str">
            <v>Advanced</v>
          </cell>
        </row>
        <row r="153">
          <cell r="A153" t="str">
            <v>Parthav Elangovan</v>
          </cell>
          <cell r="B153" t="str">
            <v>Ian Plamondon</v>
          </cell>
          <cell r="C153" t="str">
            <v>Adjunct</v>
          </cell>
          <cell r="D153" t="str">
            <v>Advanced</v>
          </cell>
        </row>
        <row r="154">
          <cell r="A154" t="str">
            <v>Patricia Flores</v>
          </cell>
          <cell r="B154" t="str">
            <v>Ela Cross</v>
          </cell>
          <cell r="C154" t="str">
            <v>Adjunct</v>
          </cell>
          <cell r="D154" t="str">
            <v>Distinguished</v>
          </cell>
        </row>
        <row r="155">
          <cell r="A155" t="str">
            <v>Penny Russell</v>
          </cell>
          <cell r="B155" t="str">
            <v>Ian Plamondon</v>
          </cell>
          <cell r="C155" t="str">
            <v>Professional</v>
          </cell>
          <cell r="D155" t="str">
            <v>Distinguished</v>
          </cell>
        </row>
        <row r="156">
          <cell r="A156" t="str">
            <v>Philip Thomas</v>
          </cell>
          <cell r="B156" t="str">
            <v>Annelies de Groot</v>
          </cell>
          <cell r="C156" t="str">
            <v>Professional</v>
          </cell>
          <cell r="D156" t="str">
            <v>Premium</v>
          </cell>
        </row>
        <row r="157">
          <cell r="A157" t="str">
            <v>Preston Peoples</v>
          </cell>
          <cell r="B157" t="str">
            <v>Annelies de Groot</v>
          </cell>
          <cell r="C157" t="str">
            <v>Professional</v>
          </cell>
          <cell r="D157" t="str">
            <v>Distinguished</v>
          </cell>
        </row>
        <row r="158">
          <cell r="A158" t="str">
            <v>Q. Monét Travis</v>
          </cell>
          <cell r="B158" t="str">
            <v>Ela Cross</v>
          </cell>
          <cell r="C158" t="str">
            <v>Adjunct</v>
          </cell>
          <cell r="D158" t="str">
            <v>Distinguished</v>
          </cell>
        </row>
        <row r="159">
          <cell r="A159" t="str">
            <v>Rafi Overton</v>
          </cell>
          <cell r="B159" t="str">
            <v>Geoff St. Marie</v>
          </cell>
          <cell r="C159" t="str">
            <v>Professional</v>
          </cell>
          <cell r="D159" t="str">
            <v>Distinguished</v>
          </cell>
        </row>
        <row r="160">
          <cell r="A160" t="str">
            <v>Rain Real</v>
          </cell>
          <cell r="B160" t="str">
            <v>Annelies de Groot</v>
          </cell>
          <cell r="C160" t="str">
            <v>Professional</v>
          </cell>
          <cell r="D160" t="str">
            <v>Distinguished</v>
          </cell>
        </row>
        <row r="161">
          <cell r="A161" t="str">
            <v>Ralph Strope</v>
          </cell>
          <cell r="B161" t="str">
            <v>Ela Cross</v>
          </cell>
          <cell r="C161" t="str">
            <v>Adjunct</v>
          </cell>
          <cell r="D161" t="str">
            <v>Distinguished</v>
          </cell>
        </row>
        <row r="162">
          <cell r="A162" t="str">
            <v>Raymond Elliot</v>
          </cell>
          <cell r="B162" t="str">
            <v>Kristin Haase-Alvey</v>
          </cell>
          <cell r="C162" t="str">
            <v>Adjunct</v>
          </cell>
          <cell r="D162" t="str">
            <v>Distinguished</v>
          </cell>
        </row>
        <row r="163">
          <cell r="A163" t="str">
            <v>Raymond Serrano</v>
          </cell>
          <cell r="B163" t="str">
            <v>Kristin Haase-Alvey</v>
          </cell>
          <cell r="C163" t="str">
            <v>Professional</v>
          </cell>
          <cell r="D163" t="str">
            <v>Distinguished</v>
          </cell>
        </row>
        <row r="164">
          <cell r="A164" t="str">
            <v>Rebekah Nachian</v>
          </cell>
          <cell r="B164" t="str">
            <v>Annelies de Groot</v>
          </cell>
          <cell r="C164" t="str">
            <v>Professional</v>
          </cell>
          <cell r="D164" t="str">
            <v>Distinguished</v>
          </cell>
        </row>
        <row r="165">
          <cell r="A165" t="str">
            <v>Rehan Zaib</v>
          </cell>
          <cell r="B165" t="str">
            <v>Ela Cross</v>
          </cell>
          <cell r="C165" t="str">
            <v>Professional</v>
          </cell>
          <cell r="D165" t="str">
            <v>Distinguished</v>
          </cell>
        </row>
        <row r="166">
          <cell r="A166" t="str">
            <v>Richard Kralik</v>
          </cell>
          <cell r="B166" t="str">
            <v>Geoff St. Marie</v>
          </cell>
          <cell r="C166" t="str">
            <v>Professional</v>
          </cell>
          <cell r="D166" t="str">
            <v>Distinguished</v>
          </cell>
        </row>
        <row r="167">
          <cell r="A167" t="str">
            <v>Ries Scerbin</v>
          </cell>
          <cell r="B167" t="str">
            <v>Annelies de Groot</v>
          </cell>
          <cell r="C167" t="str">
            <v>Adjunct</v>
          </cell>
          <cell r="D167" t="str">
            <v>Distinguished</v>
          </cell>
        </row>
        <row r="168">
          <cell r="A168" t="str">
            <v>River Nunez</v>
          </cell>
          <cell r="B168" t="str">
            <v>Annelies de Groot</v>
          </cell>
          <cell r="C168" t="str">
            <v>Professional</v>
          </cell>
          <cell r="D168" t="str">
            <v>Distinguished</v>
          </cell>
        </row>
        <row r="169">
          <cell r="A169" t="str">
            <v>Robert Nantze</v>
          </cell>
          <cell r="B169" t="str">
            <v>Ela Cross</v>
          </cell>
          <cell r="C169" t="str">
            <v>Professional</v>
          </cell>
          <cell r="D169" t="str">
            <v>Distinguished</v>
          </cell>
        </row>
        <row r="170">
          <cell r="A170" t="str">
            <v>Ruben Dorador</v>
          </cell>
          <cell r="B170" t="str">
            <v>Nikki Pencak</v>
          </cell>
          <cell r="C170" t="str">
            <v>Professional</v>
          </cell>
          <cell r="D170" t="str">
            <v>Distinguished</v>
          </cell>
        </row>
        <row r="171">
          <cell r="A171" t="str">
            <v>Samantha Wetz</v>
          </cell>
          <cell r="B171" t="str">
            <v>Ian Plamondon</v>
          </cell>
          <cell r="C171" t="str">
            <v>Professional</v>
          </cell>
          <cell r="D171" t="str">
            <v>Premium</v>
          </cell>
        </row>
        <row r="172">
          <cell r="A172" t="str">
            <v>Sarah Goodstein</v>
          </cell>
          <cell r="B172" t="str">
            <v>Kristin Haase-Alvey</v>
          </cell>
          <cell r="C172" t="str">
            <v>Professional</v>
          </cell>
          <cell r="D172" t="str">
            <v>Distinguished</v>
          </cell>
        </row>
        <row r="173">
          <cell r="A173" t="str">
            <v>Savannah Padgett</v>
          </cell>
          <cell r="B173" t="str">
            <v>Kristin Haase-Alvey</v>
          </cell>
          <cell r="C173" t="str">
            <v>Professional</v>
          </cell>
          <cell r="D173" t="str">
            <v>Distinguished</v>
          </cell>
        </row>
        <row r="174">
          <cell r="A174" t="str">
            <v>Scott Boyd</v>
          </cell>
          <cell r="B174" t="str">
            <v>Geoff St. Marie</v>
          </cell>
          <cell r="C174" t="str">
            <v>Adjunct</v>
          </cell>
          <cell r="D174" t="str">
            <v>Premium</v>
          </cell>
        </row>
        <row r="175">
          <cell r="A175" t="str">
            <v>Scott Holdcraft</v>
          </cell>
          <cell r="B175" t="str">
            <v>Ela Cross</v>
          </cell>
          <cell r="C175" t="str">
            <v>Professional</v>
          </cell>
          <cell r="D175" t="str">
            <v>Distinguished</v>
          </cell>
        </row>
        <row r="176">
          <cell r="A176" t="str">
            <v>Shannon Huang</v>
          </cell>
          <cell r="B176" t="str">
            <v>Ela Cross</v>
          </cell>
          <cell r="C176" t="str">
            <v>Professional</v>
          </cell>
          <cell r="D176" t="str">
            <v>Distinguished</v>
          </cell>
        </row>
        <row r="177">
          <cell r="A177" t="str">
            <v>Sharon Vincuilla</v>
          </cell>
          <cell r="B177" t="str">
            <v>Annelies de Groot</v>
          </cell>
          <cell r="C177" t="str">
            <v>Adjunct</v>
          </cell>
          <cell r="D177" t="str">
            <v>Distinguished</v>
          </cell>
        </row>
        <row r="178">
          <cell r="A178" t="str">
            <v>Shaun Leonard</v>
          </cell>
          <cell r="B178" t="str">
            <v>Kristin Haase-Alvey</v>
          </cell>
          <cell r="C178" t="str">
            <v>Adjunct</v>
          </cell>
          <cell r="D178" t="str">
            <v>Distinguished</v>
          </cell>
        </row>
        <row r="179">
          <cell r="A179" t="str">
            <v>Shawn Kane</v>
          </cell>
          <cell r="B179" t="str">
            <v>Ela Cross</v>
          </cell>
          <cell r="C179" t="str">
            <v>Adjunct</v>
          </cell>
          <cell r="D179" t="str">
            <v>Premium</v>
          </cell>
        </row>
        <row r="180">
          <cell r="A180" t="str">
            <v>Silvester Harrison</v>
          </cell>
          <cell r="B180" t="str">
            <v>Ela Cross</v>
          </cell>
          <cell r="C180" t="str">
            <v>Professional</v>
          </cell>
          <cell r="D180" t="str">
            <v>Distinguished</v>
          </cell>
        </row>
        <row r="181">
          <cell r="A181" t="str">
            <v>Skye Silmenna</v>
          </cell>
          <cell r="B181" t="str">
            <v>Annelies de Groot</v>
          </cell>
          <cell r="C181" t="str">
            <v>Professional</v>
          </cell>
          <cell r="D181" t="str">
            <v>Distinguished</v>
          </cell>
        </row>
        <row r="182">
          <cell r="A182" t="str">
            <v>Sonja Tomasko</v>
          </cell>
          <cell r="B182" t="str">
            <v>Ian Plamondon</v>
          </cell>
          <cell r="C182" t="str">
            <v>Professional</v>
          </cell>
          <cell r="D182" t="str">
            <v>Premium</v>
          </cell>
        </row>
        <row r="183">
          <cell r="A183" t="str">
            <v>Stacey Jones</v>
          </cell>
          <cell r="B183" t="str">
            <v>Annelies de Groot</v>
          </cell>
          <cell r="C183" t="str">
            <v>Adjunct</v>
          </cell>
          <cell r="D183" t="str">
            <v>Distinguished</v>
          </cell>
        </row>
        <row r="184">
          <cell r="A184" t="str">
            <v>Steven Colome</v>
          </cell>
          <cell r="B184" t="str">
            <v>Ela Cross</v>
          </cell>
          <cell r="C184" t="str">
            <v>Adjunct</v>
          </cell>
          <cell r="D184" t="str">
            <v>Distinguished</v>
          </cell>
        </row>
        <row r="185">
          <cell r="A185" t="str">
            <v>Sunho Kum</v>
          </cell>
          <cell r="B185" t="str">
            <v>Ela Cross</v>
          </cell>
          <cell r="C185" t="str">
            <v>Adjunct</v>
          </cell>
          <cell r="D185" t="str">
            <v>Distinguished</v>
          </cell>
        </row>
        <row r="186">
          <cell r="A186" t="str">
            <v>Syrae Arteaga</v>
          </cell>
          <cell r="B186" t="str">
            <v>Ian Plamondon</v>
          </cell>
          <cell r="C186" t="str">
            <v>Adjunct</v>
          </cell>
          <cell r="D186" t="str">
            <v>Advanced</v>
          </cell>
        </row>
        <row r="187">
          <cell r="A187" t="str">
            <v>Taryn Parks</v>
          </cell>
          <cell r="B187" t="str">
            <v>Annelies de Groot</v>
          </cell>
          <cell r="C187" t="str">
            <v>Adjunct</v>
          </cell>
          <cell r="D187" t="str">
            <v>Advanced</v>
          </cell>
        </row>
        <row r="188">
          <cell r="A188" t="str">
            <v>Tea Stewart</v>
          </cell>
          <cell r="B188" t="str">
            <v>Kristin Haase-Alvey</v>
          </cell>
          <cell r="C188" t="str">
            <v>Adjunct</v>
          </cell>
          <cell r="D188" t="str">
            <v>Distinguished</v>
          </cell>
        </row>
        <row r="189">
          <cell r="A189" t="str">
            <v>Teresa Fuller</v>
          </cell>
          <cell r="B189" t="str">
            <v>Ela Cross</v>
          </cell>
          <cell r="C189" t="str">
            <v>Adjunct</v>
          </cell>
          <cell r="D189" t="str">
            <v>Advanced</v>
          </cell>
        </row>
        <row r="190">
          <cell r="A190" t="str">
            <v>Tim Page</v>
          </cell>
          <cell r="B190" t="str">
            <v>Annelies de Groot</v>
          </cell>
          <cell r="C190" t="str">
            <v>Professional</v>
          </cell>
          <cell r="D190" t="str">
            <v>Advanced</v>
          </cell>
        </row>
        <row r="191">
          <cell r="A191" t="str">
            <v>Tim Schlotzhauer</v>
          </cell>
          <cell r="B191" t="str">
            <v>Geoff St. Marie</v>
          </cell>
          <cell r="C191" t="str">
            <v>Professional</v>
          </cell>
          <cell r="D191" t="str">
            <v>Premium</v>
          </cell>
        </row>
        <row r="192">
          <cell r="A192" t="str">
            <v>Tom Pluth</v>
          </cell>
          <cell r="B192" t="str">
            <v>Ela Cross</v>
          </cell>
          <cell r="C192" t="str">
            <v>Adjunct</v>
          </cell>
          <cell r="D192" t="str">
            <v>Distinguished</v>
          </cell>
        </row>
        <row r="193">
          <cell r="A193" t="str">
            <v>Tommaso Marsella</v>
          </cell>
          <cell r="B193" t="str">
            <v>Ian Plamondon</v>
          </cell>
          <cell r="C193" t="str">
            <v>Adjunct</v>
          </cell>
          <cell r="D193" t="str">
            <v>Distinguished</v>
          </cell>
        </row>
        <row r="194">
          <cell r="A194" t="str">
            <v>Trevor Ferguson</v>
          </cell>
          <cell r="B194" t="str">
            <v>Geoff St. Marie</v>
          </cell>
          <cell r="C194" t="str">
            <v>Professional</v>
          </cell>
          <cell r="D194" t="str">
            <v>Distinguished</v>
          </cell>
        </row>
        <row r="195">
          <cell r="A195" t="str">
            <v>Tyler Greer</v>
          </cell>
          <cell r="B195" t="str">
            <v>Kristin Haase-Alvey</v>
          </cell>
          <cell r="C195" t="str">
            <v>Professional</v>
          </cell>
          <cell r="D195" t="str">
            <v>Distinguished</v>
          </cell>
        </row>
        <row r="196">
          <cell r="A196" t="str">
            <v>Tyler Henry</v>
          </cell>
          <cell r="B196" t="str">
            <v>Annelies de Groot</v>
          </cell>
          <cell r="C196" t="str">
            <v>Professional</v>
          </cell>
          <cell r="D196" t="str">
            <v>Distinguished</v>
          </cell>
        </row>
        <row r="197">
          <cell r="A197" t="str">
            <v>Tyler Thornton</v>
          </cell>
          <cell r="B197" t="str">
            <v>Kristin Haase-Alvey</v>
          </cell>
          <cell r="C197" t="str">
            <v>Professional</v>
          </cell>
          <cell r="D197" t="str">
            <v>Distinguished</v>
          </cell>
        </row>
        <row r="198">
          <cell r="A198" t="str">
            <v>Valdenis Iancu</v>
          </cell>
          <cell r="B198" t="str">
            <v>Ian Plamondon</v>
          </cell>
          <cell r="C198" t="str">
            <v>Professional</v>
          </cell>
          <cell r="D198" t="str">
            <v>Premium</v>
          </cell>
        </row>
        <row r="199">
          <cell r="A199" t="str">
            <v>Valerie Duran</v>
          </cell>
          <cell r="B199" t="str">
            <v>Ela Cross</v>
          </cell>
          <cell r="C199" t="str">
            <v>Adjunct</v>
          </cell>
          <cell r="D199" t="str">
            <v>Advanced</v>
          </cell>
        </row>
        <row r="200">
          <cell r="A200" t="str">
            <v>Vincent Cross</v>
          </cell>
          <cell r="B200" t="str">
            <v>Kristin Haase-Alvey</v>
          </cell>
          <cell r="C200" t="str">
            <v>Professional</v>
          </cell>
          <cell r="D200" t="str">
            <v>Distinguished</v>
          </cell>
        </row>
        <row r="201">
          <cell r="A201" t="str">
            <v>Yvanna Ramirez</v>
          </cell>
          <cell r="B201" t="str">
            <v>Ela Cross</v>
          </cell>
          <cell r="C201" t="str">
            <v>Professional</v>
          </cell>
          <cell r="D201" t="str">
            <v>Distinguished</v>
          </cell>
        </row>
        <row r="202">
          <cell r="A202" t="str">
            <v>Zach McFatridge</v>
          </cell>
          <cell r="B202" t="str">
            <v>Annelies de Groot</v>
          </cell>
          <cell r="C202" t="str">
            <v>Professional</v>
          </cell>
          <cell r="D202" t="str">
            <v>Distinguished</v>
          </cell>
        </row>
        <row r="203">
          <cell r="A203" t="str">
            <v>Zachary Doenges</v>
          </cell>
          <cell r="B203" t="str">
            <v>Ian Plamondon</v>
          </cell>
          <cell r="C203" t="str">
            <v>Professional</v>
          </cell>
          <cell r="D203" t="str">
            <v>Premium</v>
          </cell>
        </row>
        <row r="204">
          <cell r="A204" t="str">
            <v>Zack Anthony</v>
          </cell>
          <cell r="B204" t="str">
            <v>Kristin Haase-Alvey</v>
          </cell>
          <cell r="C204" t="str">
            <v>Professional</v>
          </cell>
          <cell r="D204" t="str">
            <v>Distinguished</v>
          </cell>
        </row>
        <row r="205">
          <cell r="A205" t="str">
            <v>Zack Robertson</v>
          </cell>
          <cell r="B205" t="str">
            <v>Kristin Haase-Alvey</v>
          </cell>
          <cell r="C205" t="str">
            <v>Professional</v>
          </cell>
          <cell r="D205" t="str">
            <v>Distinguished</v>
          </cell>
        </row>
        <row r="206">
          <cell r="A206" t="str">
            <v>Zoe Shanley</v>
          </cell>
          <cell r="B206" t="str">
            <v>Ian Plamondon</v>
          </cell>
          <cell r="C206" t="str">
            <v>Professional</v>
          </cell>
          <cell r="D206" t="str">
            <v>Distinguished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37"/>
  <sheetViews>
    <sheetView tabSelected="1" workbookViewId="0">
      <pane ySplit="1" topLeftCell="A3035" activePane="bottomLeft" state="frozen"/>
      <selection pane="bottomLeft" activeCell="D3108" sqref="D3108"/>
    </sheetView>
  </sheetViews>
  <sheetFormatPr baseColWidth="10" defaultColWidth="8.83203125" defaultRowHeight="15"/>
  <cols>
    <col width="26.33203125" customWidth="1" style="9" min="1" max="2"/>
    <col width="19.33203125" customWidth="1" style="12" min="3" max="7"/>
    <col width="19.33203125" customWidth="1" style="9" min="8" max="9"/>
    <col width="13.33203125" bestFit="1" customWidth="1" style="14" min="10" max="10"/>
    <col width="19.33203125" customWidth="1" min="11" max="13"/>
  </cols>
  <sheetData>
    <row r="1" ht="64" customHeight="1">
      <c r="A1" s="8" t="inlineStr">
        <is>
          <t>Tutor Name</t>
        </is>
      </c>
      <c r="B1" s="8" t="inlineStr">
        <is>
          <t>Date Range</t>
        </is>
      </c>
      <c r="C1" s="46" t="inlineStr">
        <is>
          <t>% to Delivery Target</t>
        </is>
      </c>
      <c r="D1" s="46" t="inlineStr">
        <is>
          <t>% to Availability Target</t>
        </is>
      </c>
      <c r="E1" s="46" t="inlineStr">
        <is>
          <t>% Sessions on Time</t>
        </is>
      </c>
      <c r="F1" s="46" t="inlineStr">
        <is>
          <t>% Parents Updates Done on Time</t>
        </is>
      </c>
      <c r="G1" s="46" t="inlineStr">
        <is>
          <t>% of Active Students with Progress Updates Completed in last 2 months</t>
        </is>
      </c>
      <c r="H1" s="8" t="inlineStr">
        <is>
          <t>Weighted Repurchases</t>
        </is>
      </c>
      <c r="I1" s="8" t="inlineStr">
        <is>
          <t>OLD PPW</t>
        </is>
      </c>
      <c r="J1" s="40" t="inlineStr">
        <is>
          <t>Ratio of PPW Events with Attached PPWs</t>
        </is>
      </c>
      <c r="K1" s="1" t="inlineStr">
        <is>
          <t>Tier</t>
        </is>
      </c>
      <c r="L1" s="1" t="inlineStr">
        <is>
          <t>Adjunct/Professional</t>
        </is>
      </c>
      <c r="M1" s="1" t="inlineStr">
        <is>
          <t>Faculty Leader</t>
        </is>
      </c>
      <c r="N1" t="inlineStr">
        <is>
          <t>% Parent Updates with Videos</t>
        </is>
      </c>
      <c r="O1" t="inlineStr">
        <is>
          <t>Progress Update Quality Score</t>
        </is>
      </c>
      <c r="P1" t="inlineStr">
        <is>
          <t>Prep Time %</t>
        </is>
      </c>
    </row>
    <row r="2">
      <c r="A2" s="9" t="inlineStr">
        <is>
          <t>Aaron Schneberger</t>
        </is>
      </c>
      <c r="B2" s="9" t="inlineStr">
        <is>
          <t>10/5/25 - 11/1/25</t>
        </is>
      </c>
      <c r="C2" s="12" t="n">
        <v>1.28129999999999</v>
      </c>
      <c r="D2" s="12" t="n">
        <v>1.1602</v>
      </c>
      <c r="E2" s="12" t="n">
        <v>1</v>
      </c>
      <c r="F2" s="12" t="n">
        <v>1</v>
      </c>
      <c r="G2" s="12" t="n">
        <v>0.9090909090909089</v>
      </c>
      <c r="H2" s="9" t="n">
        <v>3</v>
      </c>
      <c r="I2" s="10" t="inlineStr">
        <is>
          <t>2/4</t>
        </is>
      </c>
      <c r="J2" s="12" t="n">
        <v>0.5</v>
      </c>
      <c r="K2" t="inlineStr">
        <is>
          <t>Distinguished</t>
        </is>
      </c>
      <c r="L2" t="inlineStr">
        <is>
          <t>Professional</t>
        </is>
      </c>
      <c r="M2" t="inlineStr">
        <is>
          <t>Ian Plamondon</t>
        </is>
      </c>
    </row>
    <row r="3">
      <c r="A3" s="9" t="inlineStr">
        <is>
          <t>Aaron Schneberger</t>
        </is>
      </c>
      <c r="B3" s="9" t="inlineStr">
        <is>
          <t>11/2/25 - 11/29/25</t>
        </is>
      </c>
      <c r="C3" s="12" t="n">
        <v>0.76</v>
      </c>
      <c r="D3" s="12" t="n">
        <v>0.78</v>
      </c>
      <c r="E3" s="12" t="n">
        <v>1</v>
      </c>
      <c r="F3" s="12" t="n">
        <v>1</v>
      </c>
      <c r="G3" s="12" t="n">
        <v>0.91</v>
      </c>
      <c r="H3" s="9" t="n">
        <v>1</v>
      </c>
      <c r="I3" s="13" t="n"/>
      <c r="J3" s="12" t="n"/>
      <c r="K3" t="inlineStr">
        <is>
          <t>Distinguished</t>
        </is>
      </c>
      <c r="L3" t="inlineStr">
        <is>
          <t>Professional</t>
        </is>
      </c>
      <c r="M3" t="inlineStr">
        <is>
          <t>Ian Plamondon</t>
        </is>
      </c>
    </row>
    <row r="4">
      <c r="A4" s="9" t="inlineStr">
        <is>
          <t>Aaron Schneberger</t>
        </is>
      </c>
      <c r="B4" s="9" t="inlineStr">
        <is>
          <t>5/18/25 - 6/14/25</t>
        </is>
      </c>
      <c r="C4" s="12" t="n">
        <v>0.74</v>
      </c>
      <c r="D4" s="12" t="n">
        <v>0.9</v>
      </c>
      <c r="E4" s="12" t="n">
        <v>0.99</v>
      </c>
      <c r="F4" s="12" t="n">
        <v>1</v>
      </c>
      <c r="G4" s="12" t="n">
        <v>1</v>
      </c>
      <c r="H4" s="9" t="n">
        <v>10</v>
      </c>
      <c r="I4" s="10" t="n">
        <v>1</v>
      </c>
      <c r="J4" s="12">
        <f>I4</f>
        <v/>
      </c>
      <c r="K4" t="inlineStr">
        <is>
          <t>Distinguished</t>
        </is>
      </c>
      <c r="L4" t="inlineStr">
        <is>
          <t>Professional</t>
        </is>
      </c>
      <c r="M4" t="inlineStr">
        <is>
          <t>Ian Plamondon</t>
        </is>
      </c>
    </row>
    <row r="5">
      <c r="A5" s="9" t="inlineStr">
        <is>
          <t>Aaron Schneberger</t>
        </is>
      </c>
      <c r="B5" s="9" t="inlineStr">
        <is>
          <t>6/15/25 - 7/12/25</t>
        </is>
      </c>
      <c r="C5" s="12" t="n">
        <v>0.5</v>
      </c>
      <c r="D5" s="12" t="n">
        <v>0.8100000000000001</v>
      </c>
      <c r="E5" s="12" t="n">
        <v>1</v>
      </c>
      <c r="F5" s="12" t="n">
        <v>0.93</v>
      </c>
      <c r="G5" s="12" t="n">
        <v>0.7</v>
      </c>
      <c r="H5" s="9" t="n">
        <v>2</v>
      </c>
      <c r="I5" s="10" t="inlineStr">
        <is>
          <t xml:space="preserve"> 2/3</t>
        </is>
      </c>
      <c r="J5" s="12" t="n">
        <v>0.67</v>
      </c>
      <c r="K5" t="inlineStr">
        <is>
          <t>Distinguished</t>
        </is>
      </c>
      <c r="L5" t="inlineStr">
        <is>
          <t>Professional</t>
        </is>
      </c>
      <c r="M5" t="inlineStr">
        <is>
          <t>Ian Plamondon</t>
        </is>
      </c>
    </row>
    <row r="6">
      <c r="A6" s="9" t="inlineStr">
        <is>
          <t>Aaron Schneberger</t>
        </is>
      </c>
      <c r="B6" s="9" t="inlineStr">
        <is>
          <t>7/13/25 - 8/10/25</t>
        </is>
      </c>
      <c r="C6" s="12" t="n">
        <v>0.48</v>
      </c>
      <c r="D6" s="12" t="n">
        <v>0.5</v>
      </c>
      <c r="E6" s="12" t="n">
        <v>1</v>
      </c>
      <c r="F6" s="12" t="n">
        <v>1</v>
      </c>
      <c r="G6" s="12" t="n">
        <v>0.71</v>
      </c>
      <c r="H6" s="9" t="n">
        <v>3</v>
      </c>
      <c r="I6" s="10" t="n">
        <v>1</v>
      </c>
      <c r="J6" s="12">
        <f>I6</f>
        <v/>
      </c>
      <c r="K6" t="inlineStr">
        <is>
          <t>Distinguished</t>
        </is>
      </c>
      <c r="L6" t="inlineStr">
        <is>
          <t>Professional</t>
        </is>
      </c>
      <c r="M6" t="inlineStr">
        <is>
          <t>Ian Plamondon</t>
        </is>
      </c>
    </row>
    <row r="7">
      <c r="A7" s="9" t="inlineStr">
        <is>
          <t>Aaron Schneberger</t>
        </is>
      </c>
      <c r="B7" s="9" t="inlineStr">
        <is>
          <t>8/10/25 - 9/6/25</t>
        </is>
      </c>
      <c r="C7" s="12" t="n">
        <v>1.2</v>
      </c>
      <c r="D7" s="12" t="n">
        <v>1.24</v>
      </c>
      <c r="E7" s="12" t="n">
        <v>1</v>
      </c>
      <c r="F7" s="12" t="n">
        <v>1</v>
      </c>
      <c r="G7" s="12" t="n">
        <v>1</v>
      </c>
      <c r="H7" s="9" t="n">
        <v>4</v>
      </c>
      <c r="J7" s="12" t="n"/>
      <c r="K7" t="inlineStr">
        <is>
          <t>Distinguished</t>
        </is>
      </c>
      <c r="L7" t="inlineStr">
        <is>
          <t>Professional</t>
        </is>
      </c>
      <c r="M7" t="inlineStr">
        <is>
          <t>Ian Plamondon</t>
        </is>
      </c>
    </row>
    <row r="8">
      <c r="A8" s="9" t="inlineStr">
        <is>
          <t>Aaron Schneberger</t>
        </is>
      </c>
      <c r="B8" s="9" t="inlineStr">
        <is>
          <t>9/7/25 - 10/4/25</t>
        </is>
      </c>
      <c r="C8" s="12" t="n">
        <v>1.06</v>
      </c>
      <c r="D8" s="12" t="n">
        <v>1.1</v>
      </c>
      <c r="E8" s="12" t="n">
        <v>1</v>
      </c>
      <c r="F8" s="12" t="n">
        <v>0.97</v>
      </c>
      <c r="G8" s="12" t="n">
        <v>0.82</v>
      </c>
      <c r="H8" s="9" t="n">
        <v>6</v>
      </c>
      <c r="I8" s="10" t="inlineStr">
        <is>
          <t>1/1</t>
        </is>
      </c>
      <c r="J8" s="12" t="n">
        <v>1</v>
      </c>
      <c r="K8" t="inlineStr">
        <is>
          <t>Distinguished</t>
        </is>
      </c>
      <c r="L8" t="inlineStr">
        <is>
          <t>Professional</t>
        </is>
      </c>
      <c r="M8" t="inlineStr">
        <is>
          <t>Ian Plamondon</t>
        </is>
      </c>
    </row>
    <row r="9">
      <c r="A9" s="9" t="inlineStr">
        <is>
          <t>Akeema Williams</t>
        </is>
      </c>
      <c r="B9" s="9" t="inlineStr">
        <is>
          <t>10/5/25 - 11/1/25</t>
        </is>
      </c>
      <c r="C9" s="12" t="n">
        <v>1.0917</v>
      </c>
      <c r="D9" s="12" t="n">
        <v>1.1118</v>
      </c>
      <c r="E9" s="12" t="n">
        <v>0.992592592592592</v>
      </c>
      <c r="F9" s="12" t="n">
        <v>0.979166666666666</v>
      </c>
      <c r="G9" s="12" t="n">
        <v>0.961538461538461</v>
      </c>
      <c r="H9" s="9" t="n">
        <v>14</v>
      </c>
      <c r="I9" s="10" t="inlineStr">
        <is>
          <t>6/10</t>
        </is>
      </c>
      <c r="J9" s="12" t="n">
        <v>0.6</v>
      </c>
      <c r="K9" t="inlineStr">
        <is>
          <t>Distinguished</t>
        </is>
      </c>
      <c r="L9" t="inlineStr">
        <is>
          <t>Professional</t>
        </is>
      </c>
      <c r="M9" t="inlineStr">
        <is>
          <t>Geoff St. Marie</t>
        </is>
      </c>
    </row>
    <row r="10">
      <c r="A10" s="9" t="inlineStr">
        <is>
          <t>Akeema Williams</t>
        </is>
      </c>
      <c r="B10" s="9" t="inlineStr">
        <is>
          <t>11/2/25 - 11/29/25</t>
        </is>
      </c>
      <c r="C10" s="12" t="n">
        <v>0.93</v>
      </c>
      <c r="D10" s="12" t="n">
        <v>0.96</v>
      </c>
      <c r="E10" s="12" t="n">
        <v>0.99</v>
      </c>
      <c r="F10" s="12" t="n">
        <v>0.97</v>
      </c>
      <c r="G10" s="12" t="n">
        <v>0.76</v>
      </c>
      <c r="H10" s="9" t="n">
        <v>11</v>
      </c>
      <c r="I10" s="13" t="n">
        <v>45664</v>
      </c>
      <c r="J10" s="12" t="n">
        <v>0.001428571428571429</v>
      </c>
      <c r="K10" t="inlineStr">
        <is>
          <t>Distinguished</t>
        </is>
      </c>
      <c r="L10" t="inlineStr">
        <is>
          <t>Professional</t>
        </is>
      </c>
      <c r="M10" t="inlineStr">
        <is>
          <t>Geoff St. Marie</t>
        </is>
      </c>
    </row>
    <row r="11">
      <c r="A11" s="9" t="inlineStr">
        <is>
          <t>Akeema Williams</t>
        </is>
      </c>
      <c r="B11" s="9" t="inlineStr">
        <is>
          <t>11/30/25 - 12/27/25</t>
        </is>
      </c>
      <c r="C11" s="12" t="n">
        <v>0.98</v>
      </c>
      <c r="D11" s="12" t="n">
        <v>0.98</v>
      </c>
      <c r="E11" s="12" t="n">
        <v>1</v>
      </c>
      <c r="F11" s="12" t="n">
        <v>0.95</v>
      </c>
      <c r="G11" s="12" t="n">
        <v>0.9</v>
      </c>
      <c r="H11" s="9" t="n">
        <v>19</v>
      </c>
      <c r="I11" s="10" t="n"/>
      <c r="J11" s="12" t="n"/>
      <c r="K11" t="inlineStr">
        <is>
          <t>Distinguished</t>
        </is>
      </c>
      <c r="L11" t="inlineStr">
        <is>
          <t>Professional</t>
        </is>
      </c>
      <c r="M11" t="inlineStr">
        <is>
          <t>Geoff St. Marie</t>
        </is>
      </c>
    </row>
    <row r="12">
      <c r="A12" s="9" t="inlineStr">
        <is>
          <t>Akeema Williams</t>
        </is>
      </c>
      <c r="B12" s="9" t="inlineStr">
        <is>
          <t>12/28/25 - 1/25/26</t>
        </is>
      </c>
      <c r="C12" s="12" t="n">
        <v>0.8958</v>
      </c>
      <c r="D12" s="12" t="n">
        <v>0.903</v>
      </c>
      <c r="E12" s="12" t="n">
        <v>1</v>
      </c>
      <c r="F12" s="12" t="n">
        <v>0.961038961</v>
      </c>
      <c r="G12" s="12" t="n">
        <v>0.9523809519999999</v>
      </c>
      <c r="H12" s="9" t="n">
        <v>16</v>
      </c>
      <c r="I12" s="10" t="n">
        <v>0.8</v>
      </c>
      <c r="J12" s="12">
        <f>I12</f>
        <v/>
      </c>
      <c r="K12" t="inlineStr">
        <is>
          <t>Distinguished</t>
        </is>
      </c>
      <c r="L12" t="inlineStr">
        <is>
          <t>Professional</t>
        </is>
      </c>
      <c r="M12" t="inlineStr">
        <is>
          <t>Geoff St. Marie</t>
        </is>
      </c>
    </row>
    <row r="13">
      <c r="A13" s="9" t="inlineStr">
        <is>
          <t>Akeema Williams</t>
        </is>
      </c>
      <c r="B13" s="9" t="inlineStr">
        <is>
          <t>5/18/25 - 6/14/25</t>
        </is>
      </c>
      <c r="C13" s="12" t="n">
        <v>0.75</v>
      </c>
      <c r="D13" s="12" t="n">
        <v>1.01</v>
      </c>
      <c r="E13" s="12" t="n">
        <v>1</v>
      </c>
      <c r="F13" s="12" t="n">
        <v>1</v>
      </c>
      <c r="G13" s="12" t="n">
        <v>0.9</v>
      </c>
      <c r="H13" s="9" t="n">
        <v>2</v>
      </c>
      <c r="I13" s="10" t="inlineStr">
        <is>
          <t xml:space="preserve"> 1/2</t>
        </is>
      </c>
      <c r="J13" s="12" t="n">
        <v>0.5</v>
      </c>
      <c r="K13" t="inlineStr">
        <is>
          <t>Distinguished</t>
        </is>
      </c>
      <c r="L13" t="inlineStr">
        <is>
          <t>Professional</t>
        </is>
      </c>
      <c r="M13" t="inlineStr">
        <is>
          <t>Geoff St. Marie</t>
        </is>
      </c>
    </row>
    <row r="14">
      <c r="A14" s="9" t="inlineStr">
        <is>
          <t>Akeema Williams</t>
        </is>
      </c>
      <c r="B14" s="9" t="inlineStr">
        <is>
          <t>6/15/25 - 7/12/25</t>
        </is>
      </c>
      <c r="C14" s="12" t="n">
        <v>0.62</v>
      </c>
      <c r="D14" s="12" t="n">
        <v>0.92</v>
      </c>
      <c r="E14" s="12" t="n">
        <v>1</v>
      </c>
      <c r="F14" s="12" t="n">
        <v>0.77</v>
      </c>
      <c r="G14" s="12" t="n">
        <v>0.64</v>
      </c>
      <c r="H14" s="9" t="n">
        <v>2</v>
      </c>
      <c r="I14" s="10" t="n">
        <v>0</v>
      </c>
      <c r="J14" s="12">
        <f>I14</f>
        <v/>
      </c>
      <c r="K14" t="inlineStr">
        <is>
          <t>Distinguished</t>
        </is>
      </c>
      <c r="L14" t="inlineStr">
        <is>
          <t>Professional</t>
        </is>
      </c>
      <c r="M14" t="inlineStr">
        <is>
          <t>Geoff St. Marie</t>
        </is>
      </c>
    </row>
    <row r="15">
      <c r="A15" s="9" t="inlineStr">
        <is>
          <t>Akeema Williams</t>
        </is>
      </c>
      <c r="B15" s="9" t="inlineStr">
        <is>
          <t>7/13/25 - 8/10/25</t>
        </is>
      </c>
      <c r="C15" s="12" t="n">
        <v>0.9399999999999999</v>
      </c>
      <c r="D15" s="12" t="n">
        <v>0.98</v>
      </c>
      <c r="E15" s="12" t="n">
        <v>0.99</v>
      </c>
      <c r="F15" s="12" t="n">
        <v>1</v>
      </c>
      <c r="G15" s="12" t="n">
        <v>0.46</v>
      </c>
      <c r="H15" s="9" t="n">
        <v>6</v>
      </c>
      <c r="I15" s="10" t="inlineStr">
        <is>
          <t xml:space="preserve"> 2/3</t>
        </is>
      </c>
      <c r="J15" s="12" t="n">
        <v>0.67</v>
      </c>
      <c r="K15" t="inlineStr">
        <is>
          <t>Distinguished</t>
        </is>
      </c>
      <c r="L15" t="inlineStr">
        <is>
          <t>Professional</t>
        </is>
      </c>
      <c r="M15" t="inlineStr">
        <is>
          <t>Geoff St. Marie</t>
        </is>
      </c>
    </row>
    <row r="16">
      <c r="A16" s="9" t="inlineStr">
        <is>
          <t>Akeema Williams</t>
        </is>
      </c>
      <c r="B16" s="9" t="inlineStr">
        <is>
          <t>8/10/25 - 9/6/25</t>
        </is>
      </c>
      <c r="C16" s="12" t="n">
        <v>0.8</v>
      </c>
      <c r="D16" s="12" t="n">
        <v>0.97</v>
      </c>
      <c r="E16" s="12" t="n">
        <v>1</v>
      </c>
      <c r="F16" s="12" t="n">
        <v>0.99</v>
      </c>
      <c r="G16" s="12" t="n">
        <v>0.91</v>
      </c>
      <c r="H16" s="9" t="n">
        <v>10</v>
      </c>
      <c r="I16" s="10" t="inlineStr">
        <is>
          <t>1/3</t>
        </is>
      </c>
      <c r="J16" s="12" t="n">
        <v>0.33</v>
      </c>
      <c r="K16" t="inlineStr">
        <is>
          <t>Distinguished</t>
        </is>
      </c>
      <c r="L16" t="inlineStr">
        <is>
          <t>Professional</t>
        </is>
      </c>
      <c r="M16" t="inlineStr">
        <is>
          <t>Geoff St. Marie</t>
        </is>
      </c>
    </row>
    <row r="17">
      <c r="A17" s="9" t="inlineStr">
        <is>
          <t>Akeema Williams</t>
        </is>
      </c>
      <c r="B17" s="9" t="inlineStr">
        <is>
          <t>9/7/25 - 10/4/25</t>
        </is>
      </c>
      <c r="C17" s="12" t="n">
        <v>0.96</v>
      </c>
      <c r="D17" s="12" t="n">
        <v>1.01</v>
      </c>
      <c r="E17" s="12" t="n">
        <v>0.99</v>
      </c>
      <c r="F17" s="12" t="n">
        <v>0.97</v>
      </c>
      <c r="G17" s="12" t="n">
        <v>0.74</v>
      </c>
      <c r="H17" s="9" t="n">
        <v>13</v>
      </c>
      <c r="I17" s="10" t="inlineStr">
        <is>
          <t>4/6</t>
        </is>
      </c>
      <c r="J17" s="12" t="n">
        <v>0.67</v>
      </c>
      <c r="K17" t="inlineStr">
        <is>
          <t>Distinguished</t>
        </is>
      </c>
      <c r="L17" t="inlineStr">
        <is>
          <t>Professional</t>
        </is>
      </c>
      <c r="M17" t="inlineStr">
        <is>
          <t>Geoff St. Marie</t>
        </is>
      </c>
    </row>
    <row r="18">
      <c r="A18" s="9" t="inlineStr">
        <is>
          <t>Alex Small</t>
        </is>
      </c>
      <c r="B18" s="9" t="inlineStr">
        <is>
          <t>10/5/25 - 11/1/25</t>
        </is>
      </c>
      <c r="C18" s="12" t="n">
        <v>0.968799999999999</v>
      </c>
      <c r="D18" s="12" t="n">
        <v>1.5156</v>
      </c>
      <c r="E18" s="12" t="n">
        <v>1</v>
      </c>
      <c r="F18" s="12" t="n">
        <v>1</v>
      </c>
      <c r="G18" s="12" t="n">
        <v>0.5</v>
      </c>
      <c r="H18" s="9" t="n">
        <v>3</v>
      </c>
      <c r="I18" s="10" t="inlineStr">
        <is>
          <t>1/1</t>
        </is>
      </c>
      <c r="J18" s="12" t="n">
        <v>1</v>
      </c>
      <c r="K18" t="inlineStr">
        <is>
          <t>Premium</t>
        </is>
      </c>
      <c r="L18" t="inlineStr">
        <is>
          <t>Adjunct</t>
        </is>
      </c>
      <c r="M18" t="inlineStr">
        <is>
          <t>Ela Cross</t>
        </is>
      </c>
    </row>
    <row r="19">
      <c r="A19" s="9" t="inlineStr">
        <is>
          <t>Alex Small</t>
        </is>
      </c>
      <c r="B19" s="9" t="inlineStr">
        <is>
          <t>11/2/25 - 11/29/25</t>
        </is>
      </c>
      <c r="C19" s="12" t="n">
        <v>0.8</v>
      </c>
      <c r="D19" s="12" t="n">
        <v>1.54</v>
      </c>
      <c r="E19" s="12" t="n">
        <v>1</v>
      </c>
      <c r="F19" s="12" t="n">
        <v>0.9</v>
      </c>
      <c r="G19" s="12" t="n">
        <v>0.88</v>
      </c>
      <c r="H19" s="9" t="n">
        <v>2</v>
      </c>
      <c r="I19" s="13" t="n"/>
      <c r="J19" s="12" t="n"/>
      <c r="K19" t="inlineStr">
        <is>
          <t>Premium</t>
        </is>
      </c>
      <c r="L19" t="inlineStr">
        <is>
          <t>Adjunct</t>
        </is>
      </c>
      <c r="M19" t="inlineStr">
        <is>
          <t>Ela Cross</t>
        </is>
      </c>
    </row>
    <row r="20">
      <c r="A20" s="9" t="inlineStr">
        <is>
          <t>Alex Small</t>
        </is>
      </c>
      <c r="B20" s="9" t="inlineStr">
        <is>
          <t>11/30/25 - 12/27/25</t>
        </is>
      </c>
      <c r="C20" s="12" t="n">
        <v>0.35</v>
      </c>
      <c r="D20" s="12" t="n">
        <v>1.4</v>
      </c>
      <c r="E20" s="12" t="n">
        <v>1</v>
      </c>
      <c r="F20" s="12" t="n">
        <v>0.91</v>
      </c>
      <c r="G20" s="12" t="n">
        <v>0.67</v>
      </c>
      <c r="H20" s="9" t="n">
        <v>0</v>
      </c>
      <c r="I20" s="10" t="n"/>
      <c r="J20" s="12" t="n"/>
      <c r="K20" t="inlineStr">
        <is>
          <t>Premium</t>
        </is>
      </c>
      <c r="L20" t="inlineStr">
        <is>
          <t>Adjunct</t>
        </is>
      </c>
      <c r="M20" t="inlineStr">
        <is>
          <t>Ela Cross</t>
        </is>
      </c>
    </row>
    <row r="21">
      <c r="A21" s="9" t="inlineStr">
        <is>
          <t>Alex Small</t>
        </is>
      </c>
      <c r="B21" s="9" t="inlineStr">
        <is>
          <t>12/28/25 - 1/25/26</t>
        </is>
      </c>
      <c r="C21" s="12" t="n">
        <v>0.6667</v>
      </c>
      <c r="D21" s="12" t="n">
        <v>1.4531</v>
      </c>
      <c r="E21" s="12" t="n">
        <v>1</v>
      </c>
      <c r="F21" s="12" t="n">
        <v>1</v>
      </c>
      <c r="G21" s="12" t="n">
        <v>0</v>
      </c>
      <c r="H21" s="9" t="n">
        <v>2</v>
      </c>
      <c r="I21" s="10" t="inlineStr">
        <is>
          <t>0/0</t>
        </is>
      </c>
      <c r="J21" s="12" t="n">
        <v>0</v>
      </c>
      <c r="K21" t="inlineStr">
        <is>
          <t>Premium</t>
        </is>
      </c>
      <c r="L21" t="inlineStr">
        <is>
          <t>Adjunct</t>
        </is>
      </c>
      <c r="M21" t="inlineStr">
        <is>
          <t>Ela Cross</t>
        </is>
      </c>
    </row>
    <row r="22">
      <c r="A22" s="9" t="inlineStr">
        <is>
          <t>Alex Small</t>
        </is>
      </c>
      <c r="B22" s="9" t="inlineStr">
        <is>
          <t>5/18/25 - 6/14/25</t>
        </is>
      </c>
      <c r="C22" s="12" t="n">
        <v>0.31</v>
      </c>
      <c r="D22" s="12" t="n">
        <v>1</v>
      </c>
      <c r="E22" s="12" t="n">
        <v>1</v>
      </c>
      <c r="F22" s="12" t="n">
        <v>0.6</v>
      </c>
      <c r="G22" s="12" t="e">
        <v>#N/A</v>
      </c>
      <c r="H22" s="9" t="n">
        <v>1</v>
      </c>
      <c r="J22" s="12" t="n"/>
      <c r="K22" t="inlineStr">
        <is>
          <t>Premium</t>
        </is>
      </c>
      <c r="L22" t="inlineStr">
        <is>
          <t>Adjunct</t>
        </is>
      </c>
      <c r="M22" t="inlineStr">
        <is>
          <t>Ela Cross</t>
        </is>
      </c>
    </row>
    <row r="23">
      <c r="A23" s="9" t="inlineStr">
        <is>
          <t>Alex Small</t>
        </is>
      </c>
      <c r="B23" s="9" t="inlineStr">
        <is>
          <t>6/15/25 - 7/12/25</t>
        </is>
      </c>
      <c r="C23" s="12" t="n">
        <v>0</v>
      </c>
      <c r="D23" s="12" t="n">
        <v>0.79</v>
      </c>
      <c r="E23" s="12" t="n">
        <v>0</v>
      </c>
      <c r="F23" s="12" t="n">
        <v>0</v>
      </c>
      <c r="G23" s="12" t="n">
        <v>0</v>
      </c>
      <c r="H23" s="9" t="e">
        <v>#N/A</v>
      </c>
      <c r="J23" s="12" t="n"/>
      <c r="K23" t="inlineStr">
        <is>
          <t>Premium</t>
        </is>
      </c>
      <c r="L23" t="inlineStr">
        <is>
          <t>Adjunct</t>
        </is>
      </c>
      <c r="M23" t="inlineStr">
        <is>
          <t>Ela Cross</t>
        </is>
      </c>
    </row>
    <row r="24">
      <c r="A24" s="9" t="inlineStr">
        <is>
          <t>Alex Small</t>
        </is>
      </c>
      <c r="B24" s="9" t="inlineStr">
        <is>
          <t>7/13/25 - 8/10/25</t>
        </is>
      </c>
      <c r="C24" s="12" t="n">
        <v>0</v>
      </c>
      <c r="D24" s="12" t="n">
        <v>1</v>
      </c>
      <c r="E24" s="12" t="n">
        <v>0</v>
      </c>
      <c r="F24" s="12" t="n">
        <v>0</v>
      </c>
      <c r="G24" s="12" t="n">
        <v>0</v>
      </c>
      <c r="H24" s="9" t="e">
        <v>#N/A</v>
      </c>
      <c r="J24" s="12" t="n"/>
      <c r="K24" t="inlineStr">
        <is>
          <t>Premium</t>
        </is>
      </c>
      <c r="L24" t="inlineStr">
        <is>
          <t>Adjunct</t>
        </is>
      </c>
      <c r="M24" t="inlineStr">
        <is>
          <t>Ela Cross</t>
        </is>
      </c>
    </row>
    <row r="25">
      <c r="A25" s="9" t="inlineStr">
        <is>
          <t>Alex Small</t>
        </is>
      </c>
      <c r="B25" s="9" t="inlineStr">
        <is>
          <t>8/10/25 - 9/6/25</t>
        </is>
      </c>
      <c r="C25" s="12" t="n">
        <v>0.76</v>
      </c>
      <c r="D25" s="12" t="n">
        <v>1.42</v>
      </c>
      <c r="E25" s="12" t="n">
        <v>1</v>
      </c>
      <c r="F25" s="12" t="n">
        <v>1</v>
      </c>
      <c r="G25" s="12" t="n">
        <v>0</v>
      </c>
      <c r="H25" s="9" t="n">
        <v>2</v>
      </c>
      <c r="I25" s="10" t="inlineStr">
        <is>
          <t>3/5</t>
        </is>
      </c>
      <c r="J25" s="12" t="n">
        <v>0.6</v>
      </c>
      <c r="K25" t="inlineStr">
        <is>
          <t>Premium</t>
        </is>
      </c>
      <c r="L25" t="inlineStr">
        <is>
          <t>Adjunct</t>
        </is>
      </c>
      <c r="M25" t="inlineStr">
        <is>
          <t>Ela Cross</t>
        </is>
      </c>
    </row>
    <row r="26">
      <c r="A26" s="9" t="inlineStr">
        <is>
          <t>Alex Small</t>
        </is>
      </c>
      <c r="B26" s="9" t="inlineStr">
        <is>
          <t>9/7/25 - 10/4/25</t>
        </is>
      </c>
      <c r="C26" s="12" t="n">
        <v>1.14</v>
      </c>
      <c r="D26" s="12" t="n">
        <v>1.46</v>
      </c>
      <c r="E26" s="12" t="n">
        <v>1</v>
      </c>
      <c r="F26" s="12" t="n">
        <v>0.73</v>
      </c>
      <c r="G26" s="12" t="n">
        <v>0</v>
      </c>
      <c r="H26" s="9" t="n">
        <v>3</v>
      </c>
      <c r="I26" s="11" t="n"/>
      <c r="J26" s="12" t="n"/>
      <c r="K26" t="inlineStr">
        <is>
          <t>Premium</t>
        </is>
      </c>
      <c r="L26" t="inlineStr">
        <is>
          <t>Adjunct</t>
        </is>
      </c>
      <c r="M26" t="inlineStr">
        <is>
          <t>Ela Cross</t>
        </is>
      </c>
    </row>
    <row r="27">
      <c r="A27" s="9" t="inlineStr">
        <is>
          <t>Alexa Pinera</t>
        </is>
      </c>
      <c r="B27" s="9" t="inlineStr">
        <is>
          <t>10/5/25 - 11/1/25</t>
        </is>
      </c>
      <c r="C27" s="12" t="n">
        <v>0.6257</v>
      </c>
      <c r="D27" s="12" t="n">
        <v>2.2516</v>
      </c>
      <c r="E27" s="12" t="n">
        <v>0.940298507462686</v>
      </c>
      <c r="F27" s="12" t="n">
        <v>0.9761904761904761</v>
      </c>
      <c r="G27" s="12" t="n">
        <v>0.75</v>
      </c>
      <c r="H27" s="9" t="n">
        <v>1</v>
      </c>
      <c r="I27" s="10" t="inlineStr">
        <is>
          <t>4/4</t>
        </is>
      </c>
      <c r="J27" s="12" t="n">
        <v>1</v>
      </c>
      <c r="K27" t="inlineStr">
        <is>
          <t>Premium</t>
        </is>
      </c>
      <c r="L27" t="inlineStr">
        <is>
          <t>Professional</t>
        </is>
      </c>
      <c r="M27" t="inlineStr">
        <is>
          <t>Ian Plamondon</t>
        </is>
      </c>
    </row>
    <row r="28">
      <c r="A28" s="9" t="inlineStr">
        <is>
          <t>Alexa Pinera</t>
        </is>
      </c>
      <c r="B28" s="9" t="inlineStr">
        <is>
          <t>11/2/25 - 11/29/25</t>
        </is>
      </c>
      <c r="C28" s="12" t="n">
        <v>0.7</v>
      </c>
      <c r="D28" s="12" t="n">
        <v>1.99</v>
      </c>
      <c r="E28" s="12" t="n">
        <v>0.97</v>
      </c>
      <c r="F28" s="12" t="n">
        <v>1</v>
      </c>
      <c r="G28" s="12" t="n">
        <v>0.71</v>
      </c>
      <c r="H28" s="9" t="n">
        <v>5</v>
      </c>
      <c r="I28" s="13" t="n">
        <v>45691</v>
      </c>
      <c r="J28" s="12" t="n">
        <v>0.006666666666666666</v>
      </c>
      <c r="K28" t="inlineStr">
        <is>
          <t>Premium</t>
        </is>
      </c>
      <c r="L28" t="inlineStr">
        <is>
          <t>Professional</t>
        </is>
      </c>
      <c r="M28" t="inlineStr">
        <is>
          <t>Ian Plamondon</t>
        </is>
      </c>
    </row>
    <row r="29">
      <c r="A29" s="9" t="inlineStr">
        <is>
          <t>Alexa Pinera</t>
        </is>
      </c>
      <c r="B29" s="9" t="inlineStr">
        <is>
          <t>11/30/25 - 12/27/25</t>
        </is>
      </c>
      <c r="C29" s="12" t="n">
        <v>0.6</v>
      </c>
      <c r="D29" s="12" t="n">
        <v>1.82</v>
      </c>
      <c r="E29" s="12" t="n">
        <v>1</v>
      </c>
      <c r="F29" s="12" t="n">
        <v>0.98</v>
      </c>
      <c r="G29" s="12" t="n">
        <v>0.8100000000000001</v>
      </c>
      <c r="H29" s="9" t="n">
        <v>4</v>
      </c>
      <c r="I29" s="10" t="n">
        <v>1</v>
      </c>
      <c r="J29" s="12" t="n">
        <v>1</v>
      </c>
      <c r="K29" t="inlineStr">
        <is>
          <t>Premium</t>
        </is>
      </c>
      <c r="L29" t="inlineStr">
        <is>
          <t>Professional</t>
        </is>
      </c>
      <c r="M29" t="inlineStr">
        <is>
          <t>Ian Plamondon</t>
        </is>
      </c>
    </row>
    <row r="30">
      <c r="A30" s="9" t="inlineStr">
        <is>
          <t>Alexa Pinera</t>
        </is>
      </c>
      <c r="B30" s="9" t="inlineStr">
        <is>
          <t>12/28/25 - 1/25/26</t>
        </is>
      </c>
      <c r="C30" s="12" t="n">
        <v>0.375</v>
      </c>
      <c r="D30" s="12" t="n">
        <v>2.0707</v>
      </c>
      <c r="E30" s="12" t="n">
        <v>0.973684211</v>
      </c>
      <c r="F30" s="12" t="n">
        <v>1</v>
      </c>
      <c r="G30" s="12" t="n">
        <v>1</v>
      </c>
      <c r="H30" s="9" t="n">
        <v>0</v>
      </c>
      <c r="I30" s="10" t="n">
        <v>1</v>
      </c>
      <c r="J30" s="12">
        <f>I30</f>
        <v/>
      </c>
      <c r="K30" t="inlineStr">
        <is>
          <t>Premium</t>
        </is>
      </c>
      <c r="L30" t="inlineStr">
        <is>
          <t>Professional</t>
        </is>
      </c>
      <c r="M30" t="inlineStr">
        <is>
          <t>Ian Plamondon</t>
        </is>
      </c>
    </row>
    <row r="31">
      <c r="A31" s="9" t="inlineStr">
        <is>
          <t>Alexa Pinera</t>
        </is>
      </c>
      <c r="B31" s="9" t="inlineStr">
        <is>
          <t>5/18/25 - 6/14/25</t>
        </is>
      </c>
      <c r="C31" s="12" t="n">
        <v>0.96</v>
      </c>
      <c r="D31" s="12" t="n">
        <v>1.65</v>
      </c>
      <c r="E31" s="12" t="n">
        <v>0.97</v>
      </c>
      <c r="F31" s="12" t="n">
        <v>1</v>
      </c>
      <c r="G31" s="12" t="n">
        <v>0.9</v>
      </c>
      <c r="H31" s="9" t="n">
        <v>0</v>
      </c>
      <c r="I31" s="10" t="inlineStr">
        <is>
          <t xml:space="preserve"> 3/4</t>
        </is>
      </c>
      <c r="J31" s="12" t="n">
        <v>0.75</v>
      </c>
      <c r="K31" t="inlineStr">
        <is>
          <t>Premium</t>
        </is>
      </c>
      <c r="L31" t="inlineStr">
        <is>
          <t>Professional</t>
        </is>
      </c>
      <c r="M31" t="inlineStr">
        <is>
          <t>Ian Plamondon</t>
        </is>
      </c>
    </row>
    <row r="32">
      <c r="A32" s="9" t="inlineStr">
        <is>
          <t>Alexa Pinera</t>
        </is>
      </c>
      <c r="B32" s="9" t="inlineStr">
        <is>
          <t>6/15/25 - 7/12/25</t>
        </is>
      </c>
      <c r="C32" s="12" t="n">
        <v>0.52</v>
      </c>
      <c r="D32" s="12" t="n">
        <v>1.83</v>
      </c>
      <c r="E32" s="12" t="n">
        <v>0.99</v>
      </c>
      <c r="F32" s="12" t="n">
        <v>1</v>
      </c>
      <c r="G32" s="12" t="n">
        <v>0.77</v>
      </c>
      <c r="H32" s="9" t="n">
        <v>2</v>
      </c>
      <c r="I32" s="10" t="n">
        <v>1</v>
      </c>
      <c r="J32" s="12">
        <f>I32</f>
        <v/>
      </c>
      <c r="K32" t="inlineStr">
        <is>
          <t>Premium</t>
        </is>
      </c>
      <c r="L32" t="inlineStr">
        <is>
          <t>Professional</t>
        </is>
      </c>
      <c r="M32" t="inlineStr">
        <is>
          <t>Ian Plamondon</t>
        </is>
      </c>
    </row>
    <row r="33">
      <c r="A33" s="9" t="inlineStr">
        <is>
          <t>Alexa Pinera</t>
        </is>
      </c>
      <c r="B33" s="9" t="inlineStr">
        <is>
          <t>7/13/25 - 8/10/25</t>
        </is>
      </c>
      <c r="C33" s="12" t="n">
        <v>0.82</v>
      </c>
      <c r="D33" s="12" t="n">
        <v>1.92</v>
      </c>
      <c r="E33" s="12" t="n">
        <v>0.96</v>
      </c>
      <c r="F33" s="12" t="n">
        <v>1</v>
      </c>
      <c r="G33" s="12" t="n">
        <v>0.5600000000000001</v>
      </c>
      <c r="H33" s="9" t="n">
        <v>2</v>
      </c>
      <c r="I33" s="10" t="n">
        <v>1</v>
      </c>
      <c r="J33" s="12">
        <f>I33</f>
        <v/>
      </c>
      <c r="K33" t="inlineStr">
        <is>
          <t>Premium</t>
        </is>
      </c>
      <c r="L33" t="inlineStr">
        <is>
          <t>Professional</t>
        </is>
      </c>
      <c r="M33" t="inlineStr">
        <is>
          <t>Ian Plamondon</t>
        </is>
      </c>
    </row>
    <row r="34">
      <c r="A34" s="9" t="inlineStr">
        <is>
          <t>Alexa Pinera</t>
        </is>
      </c>
      <c r="B34" s="9" t="inlineStr">
        <is>
          <t>8/10/25 - 9/6/25</t>
        </is>
      </c>
      <c r="C34" s="12" t="n">
        <v>0.8</v>
      </c>
      <c r="D34" s="12" t="n">
        <v>1.03</v>
      </c>
      <c r="E34" s="12" t="n">
        <v>0.99</v>
      </c>
      <c r="F34" s="12" t="n">
        <v>1</v>
      </c>
      <c r="G34" s="12" t="n">
        <v>0.88</v>
      </c>
      <c r="H34" s="9" t="n">
        <v>1</v>
      </c>
      <c r="I34" s="10" t="inlineStr">
        <is>
          <t>0/1</t>
        </is>
      </c>
      <c r="J34" s="12" t="n">
        <v>0</v>
      </c>
      <c r="K34" t="inlineStr">
        <is>
          <t>Premium</t>
        </is>
      </c>
      <c r="L34" t="inlineStr">
        <is>
          <t>Professional</t>
        </is>
      </c>
      <c r="M34" t="inlineStr">
        <is>
          <t>Ian Plamondon</t>
        </is>
      </c>
    </row>
    <row r="35">
      <c r="A35" s="9" t="inlineStr">
        <is>
          <t>Alexa Pinera</t>
        </is>
      </c>
      <c r="B35" s="9" t="inlineStr">
        <is>
          <t>9/7/25 - 10/4/25</t>
        </is>
      </c>
      <c r="C35" s="12" t="n">
        <v>0.75</v>
      </c>
      <c r="D35" s="12" t="n">
        <v>2.19</v>
      </c>
      <c r="E35" s="12" t="n">
        <v>0.9399999999999999</v>
      </c>
      <c r="F35" s="12" t="n">
        <v>1</v>
      </c>
      <c r="G35" s="12" t="n">
        <v>0.93</v>
      </c>
      <c r="H35" s="9" t="n">
        <v>0</v>
      </c>
      <c r="I35" s="10" t="inlineStr">
        <is>
          <t>3/3</t>
        </is>
      </c>
      <c r="J35" s="12" t="n">
        <v>1</v>
      </c>
      <c r="K35" t="inlineStr">
        <is>
          <t>Premium</t>
        </is>
      </c>
      <c r="L35" t="inlineStr">
        <is>
          <t>Professional</t>
        </is>
      </c>
      <c r="M35" t="inlineStr">
        <is>
          <t>Ian Plamondon</t>
        </is>
      </c>
    </row>
    <row r="36">
      <c r="A36" s="9" t="inlineStr">
        <is>
          <t>Alexandra Berrios</t>
        </is>
      </c>
      <c r="B36" s="9" t="inlineStr">
        <is>
          <t>10/5/25 - 11/1/25</t>
        </is>
      </c>
      <c r="C36" s="12" t="n">
        <v>1.7344</v>
      </c>
      <c r="D36" s="12" t="n">
        <v>1.3555</v>
      </c>
      <c r="E36" s="12" t="n">
        <v>0.988888888888888</v>
      </c>
      <c r="F36" s="12" t="n">
        <v>0.78125</v>
      </c>
      <c r="G36" s="12" t="n">
        <v>0.705882352941176</v>
      </c>
      <c r="H36" s="9" t="n">
        <v>7</v>
      </c>
      <c r="I36" s="10" t="inlineStr">
        <is>
          <t>2/3</t>
        </is>
      </c>
      <c r="J36" s="12" t="n">
        <v>0.66</v>
      </c>
      <c r="K36" t="inlineStr">
        <is>
          <t>Distinguished</t>
        </is>
      </c>
      <c r="L36" t="inlineStr">
        <is>
          <t>Adjunct</t>
        </is>
      </c>
      <c r="M36" t="inlineStr">
        <is>
          <t>Kristin Haase-Alvey</t>
        </is>
      </c>
    </row>
    <row r="37">
      <c r="A37" s="9" t="inlineStr">
        <is>
          <t>Alexandra Berrios</t>
        </is>
      </c>
      <c r="B37" s="9" t="inlineStr">
        <is>
          <t>10/5/25 - 11/1/25</t>
        </is>
      </c>
      <c r="C37" s="12" t="n">
        <v>1.7344</v>
      </c>
      <c r="D37" s="12" t="n">
        <v>1.3555</v>
      </c>
      <c r="E37" s="12" t="n">
        <v>0.988888888888888</v>
      </c>
      <c r="F37" s="12" t="n">
        <v>0.78125</v>
      </c>
      <c r="G37" s="12" t="n">
        <v>0.705882352941176</v>
      </c>
      <c r="H37" s="9" t="n">
        <v>7</v>
      </c>
      <c r="I37" s="10" t="inlineStr">
        <is>
          <t>2/3</t>
        </is>
      </c>
      <c r="J37" s="12">
        <f>_xlfn.TEXTBEFORE(I37, "/")/_xlfn.TEXTAFTER(I37,"/")</f>
        <v/>
      </c>
      <c r="K37" t="inlineStr">
        <is>
          <t>Distinguished</t>
        </is>
      </c>
      <c r="L37" t="inlineStr">
        <is>
          <t>Adjunct</t>
        </is>
      </c>
      <c r="M37" t="inlineStr">
        <is>
          <t>Kristin Haase-Alvey</t>
        </is>
      </c>
    </row>
    <row r="38">
      <c r="A38" s="9" t="inlineStr">
        <is>
          <t>Alexandra Berrios</t>
        </is>
      </c>
      <c r="B38" s="9" t="inlineStr">
        <is>
          <t>11/2/25 - 11/29/25</t>
        </is>
      </c>
      <c r="C38" s="12" t="n">
        <v>1.67</v>
      </c>
      <c r="D38" s="12" t="n">
        <v>1.38</v>
      </c>
      <c r="E38" s="12" t="n">
        <v>1</v>
      </c>
      <c r="F38" s="12" t="n">
        <v>0.47</v>
      </c>
      <c r="G38" s="12" t="n">
        <v>0.8100000000000001</v>
      </c>
      <c r="H38" s="9" t="n">
        <v>11</v>
      </c>
      <c r="I38" s="13" t="inlineStr">
        <is>
          <t>0/5</t>
        </is>
      </c>
      <c r="J38" s="12" t="n">
        <v>0</v>
      </c>
      <c r="K38" t="inlineStr">
        <is>
          <t>Distinguished</t>
        </is>
      </c>
      <c r="L38" t="inlineStr">
        <is>
          <t>Adjunct</t>
        </is>
      </c>
      <c r="M38" t="inlineStr">
        <is>
          <t>Kristin Haase-Alvey</t>
        </is>
      </c>
    </row>
    <row r="39">
      <c r="A39" s="9" t="inlineStr">
        <is>
          <t>Alexandra Berrios</t>
        </is>
      </c>
      <c r="B39" s="9" t="inlineStr">
        <is>
          <t>11/30/25 - 12/27/25</t>
        </is>
      </c>
      <c r="C39" s="12" t="n">
        <v>1.09</v>
      </c>
      <c r="D39" s="12" t="n">
        <v>0.93</v>
      </c>
      <c r="E39" s="12" t="n">
        <v>0.95</v>
      </c>
      <c r="F39" s="12" t="n">
        <v>0.51</v>
      </c>
      <c r="G39" s="12" t="n">
        <v>0.65</v>
      </c>
      <c r="H39" s="9" t="n">
        <v>3</v>
      </c>
      <c r="I39" s="10" t="n">
        <v>1</v>
      </c>
      <c r="J39" s="12" t="n">
        <v>1</v>
      </c>
      <c r="K39" t="inlineStr">
        <is>
          <t>Distinguished</t>
        </is>
      </c>
      <c r="L39" t="inlineStr">
        <is>
          <t>Adjunct</t>
        </is>
      </c>
      <c r="M39" t="inlineStr">
        <is>
          <t>Kristin Haase-Alvey</t>
        </is>
      </c>
    </row>
    <row r="40">
      <c r="A40" s="9" t="inlineStr">
        <is>
          <t>Alexandra Berrios</t>
        </is>
      </c>
      <c r="B40" s="9" t="inlineStr">
        <is>
          <t>12/28/25 - 1/25/26</t>
        </is>
      </c>
      <c r="C40" s="12" t="n">
        <v>1.3542</v>
      </c>
      <c r="D40" s="12" t="n">
        <v>1.2344</v>
      </c>
      <c r="E40" s="12" t="n">
        <v>1</v>
      </c>
      <c r="F40" s="12" t="n">
        <v>0.763636364</v>
      </c>
      <c r="G40" s="12" t="n">
        <v>0.888888889</v>
      </c>
      <c r="H40" s="9" t="n">
        <v>11</v>
      </c>
      <c r="I40" s="10" t="n">
        <v>0.5555555555555556</v>
      </c>
      <c r="J40" s="12">
        <f>I40</f>
        <v/>
      </c>
      <c r="K40" t="inlineStr">
        <is>
          <t>Distinguished</t>
        </is>
      </c>
      <c r="L40" t="inlineStr">
        <is>
          <t>Adjunct</t>
        </is>
      </c>
      <c r="M40" t="inlineStr">
        <is>
          <t>Kristin Haase-Alvey</t>
        </is>
      </c>
    </row>
    <row r="41">
      <c r="A41" s="9" t="inlineStr">
        <is>
          <t>Alexandra Berrios</t>
        </is>
      </c>
      <c r="B41" s="9" t="inlineStr">
        <is>
          <t>5/18/25 - 6/14/25</t>
        </is>
      </c>
      <c r="C41" s="12" t="n">
        <v>0.54</v>
      </c>
      <c r="D41" s="12" t="n">
        <v>0.97</v>
      </c>
      <c r="E41" s="12" t="n">
        <v>1</v>
      </c>
      <c r="F41" s="12" t="n">
        <v>0.85</v>
      </c>
      <c r="G41" s="12" t="n">
        <v>1</v>
      </c>
      <c r="H41" s="9" t="n">
        <v>1</v>
      </c>
      <c r="J41" s="12" t="n"/>
      <c r="K41" t="inlineStr">
        <is>
          <t>Distinguished</t>
        </is>
      </c>
      <c r="L41" t="inlineStr">
        <is>
          <t>Adjunct</t>
        </is>
      </c>
      <c r="M41" t="inlineStr">
        <is>
          <t>Kristin Haase-Alvey</t>
        </is>
      </c>
    </row>
    <row r="42">
      <c r="A42" s="9" t="inlineStr">
        <is>
          <t>Alexandra Berrios</t>
        </is>
      </c>
      <c r="B42" s="9" t="inlineStr">
        <is>
          <t>6/15/25 - 7/12/25</t>
        </is>
      </c>
      <c r="C42" s="12" t="n">
        <v>0.02</v>
      </c>
      <c r="D42" s="12" t="n">
        <v>0.63</v>
      </c>
      <c r="E42" s="12" t="n">
        <v>1</v>
      </c>
      <c r="F42" s="12" t="n">
        <v>1</v>
      </c>
      <c r="G42" s="12" t="n">
        <v>1</v>
      </c>
      <c r="H42" s="9" t="e">
        <v>#N/A</v>
      </c>
      <c r="J42" s="12" t="n"/>
      <c r="K42" t="inlineStr">
        <is>
          <t>Distinguished</t>
        </is>
      </c>
      <c r="L42" t="inlineStr">
        <is>
          <t>Adjunct</t>
        </is>
      </c>
      <c r="M42" t="inlineStr">
        <is>
          <t>Kristin Haase-Alvey</t>
        </is>
      </c>
    </row>
    <row r="43">
      <c r="A43" s="9" t="inlineStr">
        <is>
          <t>Alexandra Berrios</t>
        </is>
      </c>
      <c r="B43" s="9" t="inlineStr">
        <is>
          <t>7/13/25 - 8/10/25</t>
        </is>
      </c>
      <c r="C43" s="12" t="n">
        <v>0.8</v>
      </c>
      <c r="D43" s="12" t="n">
        <v>1.29</v>
      </c>
      <c r="E43" s="12" t="n">
        <v>1</v>
      </c>
      <c r="F43" s="12" t="n">
        <v>0.87</v>
      </c>
      <c r="G43" s="12" t="n">
        <v>0.8</v>
      </c>
      <c r="H43" s="9" t="e">
        <v>#N/A</v>
      </c>
      <c r="I43" s="10" t="n">
        <v>1</v>
      </c>
      <c r="J43" s="12">
        <f>I43</f>
        <v/>
      </c>
      <c r="K43" t="inlineStr">
        <is>
          <t>Distinguished</t>
        </is>
      </c>
      <c r="L43" t="inlineStr">
        <is>
          <t>Adjunct</t>
        </is>
      </c>
      <c r="M43" t="inlineStr">
        <is>
          <t>Kristin Haase-Alvey</t>
        </is>
      </c>
    </row>
    <row r="44">
      <c r="A44" s="9" t="inlineStr">
        <is>
          <t>Alexandra Berrios</t>
        </is>
      </c>
      <c r="B44" s="9" t="inlineStr">
        <is>
          <t>8/10/25 - 9/6/25</t>
        </is>
      </c>
      <c r="C44" s="12" t="n">
        <v>1.02</v>
      </c>
      <c r="D44" s="12" t="n">
        <v>1.48</v>
      </c>
      <c r="E44" s="12" t="n">
        <v>1</v>
      </c>
      <c r="F44" s="12" t="n">
        <v>0.95</v>
      </c>
      <c r="G44" s="12" t="n">
        <v>0.4</v>
      </c>
      <c r="H44" s="9" t="n">
        <v>2</v>
      </c>
      <c r="I44" s="11" t="n"/>
      <c r="J44" s="12" t="n"/>
      <c r="K44" t="inlineStr">
        <is>
          <t>Distinguished</t>
        </is>
      </c>
      <c r="L44" t="inlineStr">
        <is>
          <t>Adjunct</t>
        </is>
      </c>
      <c r="M44" t="inlineStr">
        <is>
          <t>Kristin Haase-Alvey</t>
        </is>
      </c>
    </row>
    <row r="45">
      <c r="A45" s="9" t="inlineStr">
        <is>
          <t>Alexandra Berrios</t>
        </is>
      </c>
      <c r="B45" s="9" t="inlineStr">
        <is>
          <t>9/7/25 - 10/4/25</t>
        </is>
      </c>
      <c r="C45" s="12" t="n">
        <v>1.85</v>
      </c>
      <c r="D45" s="12" t="n">
        <v>1.65</v>
      </c>
      <c r="E45" s="12" t="n">
        <v>1</v>
      </c>
      <c r="F45" s="12" t="n">
        <v>0.75</v>
      </c>
      <c r="G45" s="12" t="n">
        <v>0.58</v>
      </c>
      <c r="H45" s="9" t="n">
        <v>8</v>
      </c>
      <c r="I45" s="10" t="inlineStr">
        <is>
          <t>5/6</t>
        </is>
      </c>
      <c r="J45" s="12" t="n">
        <v>0.83</v>
      </c>
      <c r="K45" t="inlineStr">
        <is>
          <t>Distinguished</t>
        </is>
      </c>
      <c r="L45" t="inlineStr">
        <is>
          <t>Adjunct</t>
        </is>
      </c>
      <c r="M45" t="inlineStr">
        <is>
          <t>Kristin Haase-Alvey</t>
        </is>
      </c>
    </row>
    <row r="46">
      <c r="A46" s="9" t="inlineStr">
        <is>
          <t>Alexis Boucher</t>
        </is>
      </c>
      <c r="B46" s="9" t="inlineStr">
        <is>
          <t>10/5/25 - 11/1/25</t>
        </is>
      </c>
      <c r="C46" s="12" t="n">
        <v>0.7208</v>
      </c>
      <c r="D46" s="12" t="n">
        <v>0.986799999999999</v>
      </c>
      <c r="E46" s="12" t="n">
        <v>1</v>
      </c>
      <c r="F46" s="12" t="n">
        <v>0.872727272727272</v>
      </c>
      <c r="G46" s="12" t="n">
        <v>0.956521739130434</v>
      </c>
      <c r="H46" s="9" t="n">
        <v>3</v>
      </c>
      <c r="I46" s="10" t="n"/>
      <c r="J46" s="12" t="n"/>
      <c r="K46" t="inlineStr">
        <is>
          <t>Distinguished</t>
        </is>
      </c>
      <c r="L46" t="inlineStr">
        <is>
          <t>Professional</t>
        </is>
      </c>
      <c r="M46" t="inlineStr">
        <is>
          <t>Geoff St. Marie</t>
        </is>
      </c>
    </row>
    <row r="47">
      <c r="A47" s="9" t="inlineStr">
        <is>
          <t>Alexis Boucher</t>
        </is>
      </c>
      <c r="B47" s="9" t="inlineStr">
        <is>
          <t>10/5/25 - 11/1/25</t>
        </is>
      </c>
      <c r="C47" s="12" t="n">
        <v>0.7208</v>
      </c>
      <c r="D47" s="12" t="n">
        <v>0.986799999999999</v>
      </c>
      <c r="E47" s="12" t="n">
        <v>1</v>
      </c>
      <c r="F47" s="12" t="n">
        <v>0.872727272727272</v>
      </c>
      <c r="G47" s="12" t="n">
        <v>0.956521739130434</v>
      </c>
      <c r="H47" s="9" t="n">
        <v>3</v>
      </c>
      <c r="J47" s="9" t="n"/>
      <c r="K47" t="inlineStr">
        <is>
          <t>Distinguished</t>
        </is>
      </c>
      <c r="L47" t="inlineStr">
        <is>
          <t>Professional</t>
        </is>
      </c>
      <c r="M47" t="inlineStr">
        <is>
          <t>Geoff St. Marie</t>
        </is>
      </c>
    </row>
    <row r="48">
      <c r="A48" s="9" t="inlineStr">
        <is>
          <t>Alexis Boucher</t>
        </is>
      </c>
      <c r="B48" s="9" t="inlineStr">
        <is>
          <t>11/2/25 - 11/29/25</t>
        </is>
      </c>
      <c r="C48" s="12" t="n">
        <v>0.5</v>
      </c>
      <c r="D48" s="12" t="n">
        <v>0.9</v>
      </c>
      <c r="E48" s="12" t="n">
        <v>1</v>
      </c>
      <c r="F48" s="12" t="n">
        <v>0.82</v>
      </c>
      <c r="G48" s="12" t="n">
        <v>0.93</v>
      </c>
      <c r="H48" s="9" t="n">
        <v>2</v>
      </c>
      <c r="I48" s="13" t="n">
        <v>45658</v>
      </c>
      <c r="J48" s="12" t="n">
        <v>1</v>
      </c>
      <c r="K48" t="inlineStr">
        <is>
          <t>Distinguished</t>
        </is>
      </c>
      <c r="L48" t="inlineStr">
        <is>
          <t>Professional</t>
        </is>
      </c>
      <c r="M48" t="inlineStr">
        <is>
          <t>Geoff St. Marie</t>
        </is>
      </c>
    </row>
    <row r="49">
      <c r="A49" s="9" t="inlineStr">
        <is>
          <t>Alexis Boucher</t>
        </is>
      </c>
      <c r="B49" s="9" t="inlineStr">
        <is>
          <t>11/30/25 - 12/27/25</t>
        </is>
      </c>
      <c r="C49" s="12" t="n">
        <v>0.36</v>
      </c>
      <c r="D49" s="12" t="n">
        <v>0.9399999999999999</v>
      </c>
      <c r="E49" s="12" t="n">
        <v>0.97</v>
      </c>
      <c r="F49" s="12" t="n">
        <v>0.9399999999999999</v>
      </c>
      <c r="G49" s="12" t="n">
        <v>1</v>
      </c>
      <c r="H49" s="9" t="n">
        <v>1</v>
      </c>
      <c r="I49" s="10" t="n"/>
      <c r="J49" s="12" t="n"/>
      <c r="K49" t="inlineStr">
        <is>
          <t>Distinguished</t>
        </is>
      </c>
      <c r="L49" t="inlineStr">
        <is>
          <t>Professional</t>
        </is>
      </c>
      <c r="M49" t="inlineStr">
        <is>
          <t>Geoff St. Marie</t>
        </is>
      </c>
    </row>
    <row r="50">
      <c r="A50" s="9" t="inlineStr">
        <is>
          <t>Alexis Boucher</t>
        </is>
      </c>
      <c r="B50" s="9" t="inlineStr">
        <is>
          <t>12/28/25 - 1/25/26</t>
        </is>
      </c>
      <c r="C50" s="12" t="n">
        <v>0.6375</v>
      </c>
      <c r="D50" s="12" t="n">
        <v>0.9474</v>
      </c>
      <c r="E50" s="12" t="n">
        <v>1</v>
      </c>
      <c r="F50" s="12" t="n">
        <v>0.941176471</v>
      </c>
      <c r="G50" s="12" t="n">
        <v>0.8666666669999999</v>
      </c>
      <c r="H50" s="9" t="n">
        <v>1</v>
      </c>
      <c r="I50" s="10" t="n">
        <v>0.6</v>
      </c>
      <c r="J50" s="12">
        <f>I50</f>
        <v/>
      </c>
      <c r="K50" t="inlineStr">
        <is>
          <t>Distinguished</t>
        </is>
      </c>
      <c r="L50" t="inlineStr">
        <is>
          <t>Professional</t>
        </is>
      </c>
      <c r="M50" t="inlineStr">
        <is>
          <t>Geoff St. Marie</t>
        </is>
      </c>
    </row>
    <row r="51">
      <c r="A51" s="9" t="inlineStr">
        <is>
          <t>Alexis Boucher</t>
        </is>
      </c>
      <c r="B51" s="9" t="inlineStr">
        <is>
          <t>5/18/25 - 6/14/25</t>
        </is>
      </c>
      <c r="C51" s="12" t="n">
        <v>0.73</v>
      </c>
      <c r="D51" s="12" t="n">
        <v>0.93</v>
      </c>
      <c r="E51" s="12" t="n">
        <v>1</v>
      </c>
      <c r="F51" s="12" t="n">
        <v>0.87</v>
      </c>
      <c r="G51" s="12" t="n">
        <v>0.8</v>
      </c>
      <c r="H51" s="9" t="e">
        <v>#N/A</v>
      </c>
      <c r="I51" s="10" t="inlineStr">
        <is>
          <t xml:space="preserve"> 2/3</t>
        </is>
      </c>
      <c r="J51" s="12" t="n">
        <v>0.67</v>
      </c>
      <c r="K51" t="inlineStr">
        <is>
          <t>Distinguished</t>
        </is>
      </c>
      <c r="L51" t="inlineStr">
        <is>
          <t>Professional</t>
        </is>
      </c>
      <c r="M51" t="inlineStr">
        <is>
          <t>Geoff St. Marie</t>
        </is>
      </c>
    </row>
    <row r="52">
      <c r="A52" s="9" t="inlineStr">
        <is>
          <t>Alexis Boucher</t>
        </is>
      </c>
      <c r="B52" s="9" t="inlineStr">
        <is>
          <t>6/15/25 - 7/12/25</t>
        </is>
      </c>
      <c r="C52" s="12" t="n">
        <v>0.47</v>
      </c>
      <c r="D52" s="12" t="n">
        <v>0.93</v>
      </c>
      <c r="E52" s="12" t="n">
        <v>1</v>
      </c>
      <c r="F52" s="12" t="n">
        <v>0.8100000000000001</v>
      </c>
      <c r="G52" s="12" t="n">
        <v>0.5</v>
      </c>
      <c r="H52" s="9" t="n">
        <v>2</v>
      </c>
      <c r="I52" s="10" t="n">
        <v>1</v>
      </c>
      <c r="J52" s="12">
        <f>I52</f>
        <v/>
      </c>
      <c r="K52" t="inlineStr">
        <is>
          <t>Distinguished</t>
        </is>
      </c>
      <c r="L52" t="inlineStr">
        <is>
          <t>Professional</t>
        </is>
      </c>
      <c r="M52" t="inlineStr">
        <is>
          <t>Geoff St. Marie</t>
        </is>
      </c>
    </row>
    <row r="53">
      <c r="A53" s="9" t="inlineStr">
        <is>
          <t>Alexis Boucher</t>
        </is>
      </c>
      <c r="B53" s="9" t="inlineStr">
        <is>
          <t>7/13/25 - 8/10/25</t>
        </is>
      </c>
      <c r="C53" s="12" t="n">
        <v>0.73</v>
      </c>
      <c r="D53" s="12" t="n">
        <v>1.02</v>
      </c>
      <c r="E53" s="12" t="n">
        <v>1</v>
      </c>
      <c r="F53" s="12" t="n">
        <v>0.91</v>
      </c>
      <c r="G53" s="12" t="n">
        <v>0.71</v>
      </c>
      <c r="H53" s="9" t="e">
        <v>#N/A</v>
      </c>
      <c r="I53" s="10" t="n">
        <v>1</v>
      </c>
      <c r="J53" s="12">
        <f>I53</f>
        <v/>
      </c>
      <c r="K53" t="inlineStr">
        <is>
          <t>Distinguished</t>
        </is>
      </c>
      <c r="L53" t="inlineStr">
        <is>
          <t>Professional</t>
        </is>
      </c>
      <c r="M53" t="inlineStr">
        <is>
          <t>Geoff St. Marie</t>
        </is>
      </c>
    </row>
    <row r="54">
      <c r="A54" s="9" t="inlineStr">
        <is>
          <t>Alexis Boucher</t>
        </is>
      </c>
      <c r="B54" s="9" t="inlineStr">
        <is>
          <t>8/10/25 - 9/6/25</t>
        </is>
      </c>
      <c r="C54" s="12" t="n">
        <v>0.74</v>
      </c>
      <c r="D54" s="12" t="n">
        <v>0.98</v>
      </c>
      <c r="E54" s="12" t="n">
        <v>1</v>
      </c>
      <c r="F54" s="12" t="n">
        <v>0.9</v>
      </c>
      <c r="G54" s="12" t="n">
        <v>0.9399999999999999</v>
      </c>
      <c r="H54" s="9" t="n">
        <v>3</v>
      </c>
      <c r="I54" s="10" t="inlineStr">
        <is>
          <t>5/6</t>
        </is>
      </c>
      <c r="J54" s="12" t="n">
        <v>0.83</v>
      </c>
      <c r="K54" t="inlineStr">
        <is>
          <t>Distinguished</t>
        </is>
      </c>
      <c r="L54" t="inlineStr">
        <is>
          <t>Professional</t>
        </is>
      </c>
      <c r="M54" t="inlineStr">
        <is>
          <t>Geoff St. Marie</t>
        </is>
      </c>
    </row>
    <row r="55">
      <c r="A55" s="9" t="inlineStr">
        <is>
          <t>Alexis Boucher</t>
        </is>
      </c>
      <c r="B55" s="9" t="inlineStr">
        <is>
          <t>9/7/25 - 10/4/25</t>
        </is>
      </c>
      <c r="C55" s="12" t="n">
        <v>0.76</v>
      </c>
      <c r="D55" s="12" t="n">
        <v>0.99</v>
      </c>
      <c r="E55" s="12" t="n">
        <v>1</v>
      </c>
      <c r="F55" s="12" t="n">
        <v>1</v>
      </c>
      <c r="G55" s="12" t="n">
        <v>0.77</v>
      </c>
      <c r="H55" s="9" t="n">
        <v>2</v>
      </c>
      <c r="I55" s="10" t="inlineStr">
        <is>
          <t>1/6</t>
        </is>
      </c>
      <c r="J55" s="12" t="n">
        <v>0.17</v>
      </c>
      <c r="K55" t="inlineStr">
        <is>
          <t>Distinguished</t>
        </is>
      </c>
      <c r="L55" t="inlineStr">
        <is>
          <t>Professional</t>
        </is>
      </c>
      <c r="M55" t="inlineStr">
        <is>
          <t>Geoff St. Marie</t>
        </is>
      </c>
    </row>
    <row r="56">
      <c r="A56" s="9" t="inlineStr">
        <is>
          <t>Alison Trumbull</t>
        </is>
      </c>
      <c r="B56" s="9" t="inlineStr">
        <is>
          <t>10/5/25 - 11/1/25</t>
        </is>
      </c>
      <c r="C56" s="12" t="n">
        <v>0.5</v>
      </c>
      <c r="D56" s="12" t="n">
        <v>0.9883</v>
      </c>
      <c r="E56" s="12" t="n">
        <v>1</v>
      </c>
      <c r="F56" s="12" t="n">
        <v>1</v>
      </c>
      <c r="G56" s="12" t="n">
        <v>1</v>
      </c>
      <c r="H56" s="9" t="n">
        <v>2</v>
      </c>
      <c r="I56" s="10" t="n"/>
      <c r="J56" s="12" t="n"/>
      <c r="K56" t="e">
        <v>#N/A</v>
      </c>
      <c r="L56" t="e">
        <v>#N/A</v>
      </c>
      <c r="M56" t="e">
        <v>#N/A</v>
      </c>
    </row>
    <row r="57">
      <c r="A57" s="9" t="inlineStr">
        <is>
          <t>Alison Trumbull</t>
        </is>
      </c>
      <c r="B57" s="9" t="inlineStr">
        <is>
          <t>10/5/25 - 11/1/25</t>
        </is>
      </c>
      <c r="C57" s="12" t="n">
        <v>0.5</v>
      </c>
      <c r="D57" s="12" t="n">
        <v>0.9883</v>
      </c>
      <c r="E57" s="12" t="n">
        <v>1</v>
      </c>
      <c r="F57" s="12" t="n">
        <v>1</v>
      </c>
      <c r="G57" s="12" t="n">
        <v>1</v>
      </c>
      <c r="H57" s="9" t="n">
        <v>2</v>
      </c>
      <c r="J57" s="9" t="n"/>
      <c r="K57" t="e">
        <v>#N/A</v>
      </c>
      <c r="L57" t="e">
        <v>#N/A</v>
      </c>
      <c r="M57" t="e">
        <v>#N/A</v>
      </c>
    </row>
    <row r="58">
      <c r="A58" s="9" t="inlineStr">
        <is>
          <t>Alison Trumbull</t>
        </is>
      </c>
      <c r="B58" s="9" t="inlineStr">
        <is>
          <t>11/2/25 - 11/29/25</t>
        </is>
      </c>
      <c r="C58" s="12" t="n">
        <v>0.41</v>
      </c>
      <c r="D58" s="12" t="n">
        <v>0.9</v>
      </c>
      <c r="E58" s="12" t="n">
        <v>0.9399999999999999</v>
      </c>
      <c r="F58" s="12" t="n">
        <v>1</v>
      </c>
      <c r="G58" s="12" t="n">
        <v>1</v>
      </c>
      <c r="H58" s="9" t="n">
        <v>0</v>
      </c>
      <c r="I58" s="13" t="n"/>
      <c r="J58" s="12" t="n"/>
      <c r="K58" t="e">
        <v>#N/A</v>
      </c>
      <c r="L58" t="e">
        <v>#N/A</v>
      </c>
      <c r="M58" t="e">
        <v>#N/A</v>
      </c>
    </row>
    <row r="59">
      <c r="A59" s="9" t="inlineStr">
        <is>
          <t>Alison Trumbull</t>
        </is>
      </c>
      <c r="B59" s="9" t="inlineStr">
        <is>
          <t>11/30/25 - 12/27/25</t>
        </is>
      </c>
      <c r="C59" s="12" t="n">
        <v>0.37</v>
      </c>
      <c r="D59" s="12" t="n">
        <v>1.17</v>
      </c>
      <c r="E59" s="12" t="n">
        <v>0.85</v>
      </c>
      <c r="F59" s="12" t="n">
        <v>0.7</v>
      </c>
      <c r="G59" s="12" t="n">
        <v>1</v>
      </c>
      <c r="H59" s="9" t="n">
        <v>6</v>
      </c>
      <c r="I59" s="10" t="n">
        <v>1</v>
      </c>
      <c r="J59" s="12" t="n">
        <v>1</v>
      </c>
      <c r="K59" t="e">
        <v>#N/A</v>
      </c>
      <c r="L59" t="e">
        <v>#N/A</v>
      </c>
      <c r="M59" t="e">
        <v>#N/A</v>
      </c>
    </row>
    <row r="60">
      <c r="A60" s="9" t="inlineStr">
        <is>
          <t>Alison Trumbull</t>
        </is>
      </c>
      <c r="B60" s="9" t="inlineStr">
        <is>
          <t>12/28/25 - 1/25/26</t>
        </is>
      </c>
      <c r="C60" s="12" t="n">
        <v>0.5313</v>
      </c>
      <c r="D60" s="12" t="n">
        <v>1.1367</v>
      </c>
      <c r="E60" s="12" t="n">
        <v>1</v>
      </c>
      <c r="F60" s="12" t="n">
        <v>0.95</v>
      </c>
      <c r="G60" s="12" t="n">
        <v>1</v>
      </c>
      <c r="H60" s="9" t="n">
        <v>0</v>
      </c>
      <c r="I60" s="10" t="inlineStr">
        <is>
          <t>0/2</t>
        </is>
      </c>
      <c r="J60" s="12" t="n">
        <v>0</v>
      </c>
      <c r="K60" t="e">
        <v>#N/A</v>
      </c>
      <c r="L60" t="e">
        <v>#N/A</v>
      </c>
      <c r="M60" t="e">
        <v>#N/A</v>
      </c>
    </row>
    <row r="61">
      <c r="A61" s="9" t="inlineStr">
        <is>
          <t>Alison Trumbull</t>
        </is>
      </c>
      <c r="B61" s="9" t="inlineStr">
        <is>
          <t>5/18/25 - 6/14/25</t>
        </is>
      </c>
      <c r="C61" s="12" t="n">
        <v>0.95</v>
      </c>
      <c r="D61" s="12" t="n">
        <v>0.86</v>
      </c>
      <c r="E61" s="12" t="n">
        <v>0.92</v>
      </c>
      <c r="F61" s="12" t="n">
        <v>0.88</v>
      </c>
      <c r="G61" s="12" t="n">
        <v>0.9</v>
      </c>
      <c r="H61" s="9" t="e">
        <v>#N/A</v>
      </c>
      <c r="J61" s="12" t="n"/>
      <c r="K61" t="e">
        <v>#N/A</v>
      </c>
      <c r="L61" t="e">
        <v>#N/A</v>
      </c>
      <c r="M61" t="e">
        <v>#N/A</v>
      </c>
    </row>
    <row r="62">
      <c r="A62" s="9" t="inlineStr">
        <is>
          <t>Alison Trumbull</t>
        </is>
      </c>
      <c r="B62" s="9" t="inlineStr">
        <is>
          <t>6/15/25 - 7/12/25</t>
        </is>
      </c>
      <c r="C62" s="12" t="n">
        <v>1.15</v>
      </c>
      <c r="D62" s="12" t="n">
        <v>0.99</v>
      </c>
      <c r="E62" s="12" t="n">
        <v>0.9</v>
      </c>
      <c r="F62" s="12" t="n">
        <v>0.93</v>
      </c>
      <c r="G62" s="12" t="n">
        <v>0.82</v>
      </c>
      <c r="H62" s="9" t="n">
        <v>1</v>
      </c>
      <c r="I62" s="10" t="n">
        <v>1</v>
      </c>
      <c r="J62" s="12">
        <f>I62</f>
        <v/>
      </c>
      <c r="K62" t="e">
        <v>#N/A</v>
      </c>
      <c r="L62" t="e">
        <v>#N/A</v>
      </c>
      <c r="M62" t="e">
        <v>#N/A</v>
      </c>
    </row>
    <row r="63">
      <c r="A63" s="9" t="inlineStr">
        <is>
          <t>Alison Trumbull</t>
        </is>
      </c>
      <c r="B63" s="9" t="inlineStr">
        <is>
          <t>7/13/25 - 8/10/25</t>
        </is>
      </c>
      <c r="C63" s="12" t="n">
        <v>1</v>
      </c>
      <c r="D63" s="12" t="n">
        <v>1.03</v>
      </c>
      <c r="E63" s="12" t="n">
        <v>1</v>
      </c>
      <c r="F63" s="12" t="n">
        <v>1</v>
      </c>
      <c r="G63" s="12" t="n">
        <v>0.64</v>
      </c>
      <c r="H63" s="9" t="n">
        <v>2</v>
      </c>
      <c r="J63" s="12" t="n"/>
      <c r="K63" t="e">
        <v>#N/A</v>
      </c>
      <c r="L63" t="e">
        <v>#N/A</v>
      </c>
      <c r="M63" t="e">
        <v>#N/A</v>
      </c>
    </row>
    <row r="64">
      <c r="A64" s="9" t="inlineStr">
        <is>
          <t>Alison Trumbull</t>
        </is>
      </c>
      <c r="B64" s="9" t="inlineStr">
        <is>
          <t>8/10/25 - 9/6/25</t>
        </is>
      </c>
      <c r="C64" s="12" t="n">
        <v>1.53</v>
      </c>
      <c r="D64" s="12" t="n">
        <v>1.23</v>
      </c>
      <c r="E64" s="12" t="n">
        <v>0.97</v>
      </c>
      <c r="F64" s="12" t="n">
        <v>0.83</v>
      </c>
      <c r="G64" s="12" t="n">
        <v>1</v>
      </c>
      <c r="H64" s="9" t="n">
        <v>0</v>
      </c>
      <c r="I64" s="10" t="inlineStr">
        <is>
          <t>1/1</t>
        </is>
      </c>
      <c r="J64" s="12" t="n">
        <v>1</v>
      </c>
      <c r="K64" t="e">
        <v>#N/A</v>
      </c>
      <c r="L64" t="e">
        <v>#N/A</v>
      </c>
      <c r="M64" t="e">
        <v>#N/A</v>
      </c>
    </row>
    <row r="65">
      <c r="A65" s="9" t="inlineStr">
        <is>
          <t>Alison Trumbull</t>
        </is>
      </c>
      <c r="B65" s="9" t="inlineStr">
        <is>
          <t>9/7/25 - 10/4/25</t>
        </is>
      </c>
      <c r="C65" s="12" t="n">
        <v>1.08</v>
      </c>
      <c r="D65" s="12" t="n">
        <v>1.02</v>
      </c>
      <c r="E65" s="12" t="n">
        <v>0.96</v>
      </c>
      <c r="F65" s="12" t="n">
        <v>1</v>
      </c>
      <c r="G65" s="12" t="n">
        <v>1</v>
      </c>
      <c r="H65" s="9" t="n">
        <v>1</v>
      </c>
      <c r="I65" s="11" t="n"/>
      <c r="J65" s="12" t="n"/>
      <c r="K65" t="e">
        <v>#N/A</v>
      </c>
      <c r="L65" t="e">
        <v>#N/A</v>
      </c>
      <c r="M65" t="e">
        <v>#N/A</v>
      </c>
    </row>
    <row r="66">
      <c r="A66" s="9" t="inlineStr">
        <is>
          <t>Alli Winkelmann</t>
        </is>
      </c>
      <c r="B66" s="9" t="inlineStr">
        <is>
          <t>5/18/25 - 6/14/25</t>
        </is>
      </c>
      <c r="C66" s="12" t="n">
        <v>0.82</v>
      </c>
      <c r="D66" s="12" t="n">
        <v>0.77</v>
      </c>
      <c r="E66" s="12" t="n">
        <v>1</v>
      </c>
      <c r="F66" s="12" t="n">
        <v>1</v>
      </c>
      <c r="G66" s="12" t="n">
        <v>0.83</v>
      </c>
      <c r="H66" s="9" t="n">
        <v>3</v>
      </c>
      <c r="J66" s="12" t="n"/>
      <c r="K66" t="e">
        <v>#N/A</v>
      </c>
      <c r="L66" t="e">
        <v>#N/A</v>
      </c>
      <c r="M66" t="e">
        <v>#N/A</v>
      </c>
    </row>
    <row r="67">
      <c r="A67" s="9" t="inlineStr">
        <is>
          <t>Alli Winkelmann</t>
        </is>
      </c>
      <c r="B67" s="9" t="inlineStr">
        <is>
          <t>6/15/25 - 7/12/25</t>
        </is>
      </c>
      <c r="C67" s="12" t="n">
        <v>0.66</v>
      </c>
      <c r="D67" s="12" t="n">
        <v>0.9399999999999999</v>
      </c>
      <c r="E67" s="12" t="n">
        <v>1</v>
      </c>
      <c r="F67" s="12" t="n">
        <v>0.96</v>
      </c>
      <c r="G67" s="12" t="n">
        <v>0.85</v>
      </c>
      <c r="H67" s="9" t="n">
        <v>1</v>
      </c>
      <c r="I67" s="10" t="n">
        <v>1</v>
      </c>
      <c r="J67" s="12">
        <f>I67</f>
        <v/>
      </c>
      <c r="K67" t="e">
        <v>#N/A</v>
      </c>
      <c r="L67" t="e">
        <v>#N/A</v>
      </c>
      <c r="M67" t="e">
        <v>#N/A</v>
      </c>
    </row>
    <row r="68">
      <c r="A68" s="9" t="inlineStr">
        <is>
          <t>Alli Winkelmann</t>
        </is>
      </c>
      <c r="B68" s="9" t="inlineStr">
        <is>
          <t>7/13/25 - 8/10/25</t>
        </is>
      </c>
      <c r="C68" s="12" t="n">
        <v>0.83</v>
      </c>
      <c r="D68" s="12" t="n">
        <v>1.05</v>
      </c>
      <c r="E68" s="12" t="n">
        <v>1</v>
      </c>
      <c r="F68" s="12" t="n">
        <v>0.9399999999999999</v>
      </c>
      <c r="G68" s="12" t="n">
        <v>0.91</v>
      </c>
      <c r="H68" s="9" t="n">
        <v>2</v>
      </c>
      <c r="I68" s="10" t="n">
        <v>0</v>
      </c>
      <c r="J68" s="12">
        <f>I68</f>
        <v/>
      </c>
      <c r="K68" t="e">
        <v>#N/A</v>
      </c>
      <c r="L68" t="e">
        <v>#N/A</v>
      </c>
      <c r="M68" t="e">
        <v>#N/A</v>
      </c>
    </row>
    <row r="69">
      <c r="A69" s="9" t="inlineStr">
        <is>
          <t>Allison Peck</t>
        </is>
      </c>
      <c r="B69" s="9" t="inlineStr">
        <is>
          <t>10/5/25 - 11/1/25</t>
        </is>
      </c>
      <c r="C69" s="12" t="n">
        <v>0.651</v>
      </c>
      <c r="D69" s="12" t="n">
        <v>0.9843999999999991</v>
      </c>
      <c r="E69" s="12" t="n">
        <v>1</v>
      </c>
      <c r="F69" s="12" t="n">
        <v>0.947368421052631</v>
      </c>
      <c r="G69" s="12" t="n">
        <v>0.8</v>
      </c>
      <c r="H69" s="9" t="n">
        <v>2</v>
      </c>
      <c r="I69" s="10" t="inlineStr">
        <is>
          <t>0/1</t>
        </is>
      </c>
      <c r="J69" s="12" t="n">
        <v>0</v>
      </c>
      <c r="K69" t="inlineStr">
        <is>
          <t>Distinguished</t>
        </is>
      </c>
      <c r="L69" t="inlineStr">
        <is>
          <t>Adjunct</t>
        </is>
      </c>
      <c r="M69" t="inlineStr">
        <is>
          <t>Kristin Haase-Alvey</t>
        </is>
      </c>
    </row>
    <row r="70">
      <c r="A70" s="9" t="inlineStr">
        <is>
          <t>Allison Peck</t>
        </is>
      </c>
      <c r="B70" s="9" t="inlineStr">
        <is>
          <t>11/2/25 - 11/29/25</t>
        </is>
      </c>
      <c r="C70" s="12" t="n">
        <v>0.65</v>
      </c>
      <c r="D70" s="12" t="n">
        <v>1.05</v>
      </c>
      <c r="E70" s="12" t="n">
        <v>0.97</v>
      </c>
      <c r="F70" s="12" t="n">
        <v>1</v>
      </c>
      <c r="G70" s="12" t="n">
        <v>1</v>
      </c>
      <c r="H70" s="9" t="n">
        <v>2</v>
      </c>
      <c r="I70" s="13" t="n"/>
      <c r="J70" s="12" t="n"/>
      <c r="K70" t="inlineStr">
        <is>
          <t>Distinguished</t>
        </is>
      </c>
      <c r="L70" t="inlineStr">
        <is>
          <t>Adjunct</t>
        </is>
      </c>
      <c r="M70" t="inlineStr">
        <is>
          <t>Kristin Haase-Alvey</t>
        </is>
      </c>
    </row>
    <row r="71">
      <c r="A71" s="9" t="inlineStr">
        <is>
          <t>Allison Peck</t>
        </is>
      </c>
      <c r="B71" s="9" t="inlineStr">
        <is>
          <t>11/30/25 - 12/27/25</t>
        </is>
      </c>
      <c r="C71" s="12" t="n">
        <v>0.46</v>
      </c>
      <c r="D71" s="12" t="n">
        <v>1</v>
      </c>
      <c r="E71" s="12" t="n">
        <v>0.9399999999999999</v>
      </c>
      <c r="F71" s="12" t="n">
        <v>1</v>
      </c>
      <c r="G71" s="12" t="n">
        <v>1</v>
      </c>
      <c r="H71" s="9" t="n">
        <v>1</v>
      </c>
      <c r="I71" s="10" t="n"/>
      <c r="J71" s="12" t="n"/>
      <c r="K71" t="inlineStr">
        <is>
          <t>Distinguished</t>
        </is>
      </c>
      <c r="L71" t="inlineStr">
        <is>
          <t>Adjunct</t>
        </is>
      </c>
      <c r="M71" t="inlineStr">
        <is>
          <t>Kristin Haase-Alvey</t>
        </is>
      </c>
    </row>
    <row r="72">
      <c r="A72" s="9" t="inlineStr">
        <is>
          <t>Allison Peck</t>
        </is>
      </c>
      <c r="B72" s="9" t="inlineStr">
        <is>
          <t>12/28/25 - 1/25/26</t>
        </is>
      </c>
      <c r="C72" s="12" t="n">
        <v>0.3958</v>
      </c>
      <c r="D72" s="12" t="n">
        <v>1.207</v>
      </c>
      <c r="E72" s="12" t="n">
        <v>1</v>
      </c>
      <c r="F72" s="12" t="n">
        <v>0.888888889</v>
      </c>
      <c r="G72" s="12" t="n">
        <v>1</v>
      </c>
      <c r="H72" s="9" t="n">
        <v>0</v>
      </c>
      <c r="I72" s="10" t="inlineStr">
        <is>
          <t>0/1</t>
        </is>
      </c>
      <c r="J72" s="12" t="n">
        <v>0</v>
      </c>
      <c r="K72" t="inlineStr">
        <is>
          <t>Distinguished</t>
        </is>
      </c>
      <c r="L72" t="inlineStr">
        <is>
          <t>Adjunct</t>
        </is>
      </c>
      <c r="M72" t="inlineStr">
        <is>
          <t>Kristin Haase-Alvey</t>
        </is>
      </c>
    </row>
    <row r="73">
      <c r="A73" s="9" t="inlineStr">
        <is>
          <t>Allison Peck</t>
        </is>
      </c>
      <c r="B73" s="9" t="inlineStr">
        <is>
          <t>5/18/25 - 6/14/25</t>
        </is>
      </c>
      <c r="C73" s="12" t="n">
        <v>0</v>
      </c>
      <c r="D73" s="12" t="n">
        <v>0</v>
      </c>
      <c r="E73" s="12" t="n">
        <v>0</v>
      </c>
      <c r="F73" s="12" t="n">
        <v>0</v>
      </c>
      <c r="G73" s="12" t="e">
        <v>#N/A</v>
      </c>
      <c r="H73" s="9" t="e">
        <v>#N/A</v>
      </c>
      <c r="J73" s="12" t="n"/>
      <c r="K73" t="inlineStr">
        <is>
          <t>Distinguished</t>
        </is>
      </c>
      <c r="L73" t="inlineStr">
        <is>
          <t>Adjunct</t>
        </is>
      </c>
      <c r="M73" t="inlineStr">
        <is>
          <t>Kristin Haase-Alvey</t>
        </is>
      </c>
    </row>
    <row r="74">
      <c r="A74" s="9" t="inlineStr">
        <is>
          <t>Allison Peck</t>
        </is>
      </c>
      <c r="B74" s="9" t="inlineStr">
        <is>
          <t>6/15/25 - 7/12/25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9" t="e">
        <v>#N/A</v>
      </c>
      <c r="J74" s="12" t="n"/>
      <c r="K74" t="inlineStr">
        <is>
          <t>Distinguished</t>
        </is>
      </c>
      <c r="L74" t="inlineStr">
        <is>
          <t>Adjunct</t>
        </is>
      </c>
      <c r="M74" t="inlineStr">
        <is>
          <t>Kristin Haase-Alvey</t>
        </is>
      </c>
    </row>
    <row r="75">
      <c r="A75" s="9" t="inlineStr">
        <is>
          <t>Allison Peck</t>
        </is>
      </c>
      <c r="B75" s="9" t="inlineStr">
        <is>
          <t>7/13/25 - 8/10/25</t>
        </is>
      </c>
      <c r="C75" s="12" t="n">
        <v>0.02</v>
      </c>
      <c r="D75" s="12" t="n">
        <v>1.24</v>
      </c>
      <c r="E75" s="12" t="n">
        <v>1</v>
      </c>
      <c r="F75" s="12" t="n">
        <v>1</v>
      </c>
      <c r="G75" s="12" t="n">
        <v>1</v>
      </c>
      <c r="H75" s="9" t="e">
        <v>#N/A</v>
      </c>
      <c r="I75" s="10" t="n">
        <v>1</v>
      </c>
      <c r="J75" s="12">
        <f>I75</f>
        <v/>
      </c>
      <c r="K75" t="inlineStr">
        <is>
          <t>Distinguished</t>
        </is>
      </c>
      <c r="L75" t="inlineStr">
        <is>
          <t>Adjunct</t>
        </is>
      </c>
      <c r="M75" t="inlineStr">
        <is>
          <t>Kristin Haase-Alvey</t>
        </is>
      </c>
    </row>
    <row r="76">
      <c r="A76" s="9" t="inlineStr">
        <is>
          <t>Allison Peck</t>
        </is>
      </c>
      <c r="B76" s="9" t="inlineStr">
        <is>
          <t>8/10/25 - 9/6/25</t>
        </is>
      </c>
      <c r="C76" s="12" t="n">
        <v>0.24</v>
      </c>
      <c r="D76" s="12" t="n">
        <v>1.39</v>
      </c>
      <c r="E76" s="12" t="n">
        <v>1</v>
      </c>
      <c r="F76" s="12" t="n">
        <v>0.86</v>
      </c>
      <c r="G76" s="12" t="n">
        <v>0</v>
      </c>
      <c r="H76" s="9" t="n">
        <v>0</v>
      </c>
      <c r="I76" s="10" t="inlineStr">
        <is>
          <t>0/1</t>
        </is>
      </c>
      <c r="J76" s="12" t="n">
        <v>0</v>
      </c>
      <c r="K76" t="inlineStr">
        <is>
          <t>Distinguished</t>
        </is>
      </c>
      <c r="L76" t="inlineStr">
        <is>
          <t>Adjunct</t>
        </is>
      </c>
      <c r="M76" t="inlineStr">
        <is>
          <t>Kristin Haase-Alvey</t>
        </is>
      </c>
    </row>
    <row r="77">
      <c r="A77" s="9" t="inlineStr">
        <is>
          <t>Allison Peck</t>
        </is>
      </c>
      <c r="B77" s="9" t="inlineStr">
        <is>
          <t>9/7/25 - 10/4/25</t>
        </is>
      </c>
      <c r="C77" s="12" t="n">
        <v>0.74</v>
      </c>
      <c r="D77" s="12" t="n">
        <v>0.73</v>
      </c>
      <c r="E77" s="12" t="n">
        <v>1</v>
      </c>
      <c r="F77" s="12" t="n">
        <v>0.87</v>
      </c>
      <c r="G77" s="12" t="n">
        <v>1</v>
      </c>
      <c r="H77" s="9" t="n">
        <v>0</v>
      </c>
      <c r="I77" s="10" t="inlineStr">
        <is>
          <t>2/2</t>
        </is>
      </c>
      <c r="J77" s="12" t="n">
        <v>1</v>
      </c>
      <c r="K77" t="inlineStr">
        <is>
          <t>Distinguished</t>
        </is>
      </c>
      <c r="L77" t="inlineStr">
        <is>
          <t>Adjunct</t>
        </is>
      </c>
      <c r="M77" t="inlineStr">
        <is>
          <t>Kristin Haase-Alvey</t>
        </is>
      </c>
    </row>
    <row r="78">
      <c r="A78" s="9" t="inlineStr">
        <is>
          <t>Amber Maldonado</t>
        </is>
      </c>
      <c r="B78" s="9" t="inlineStr">
        <is>
          <t>10/5/25 - 11/1/25</t>
        </is>
      </c>
      <c r="C78" s="12" t="n">
        <v>0.9</v>
      </c>
      <c r="D78" s="12" t="n">
        <v>1.1727</v>
      </c>
      <c r="E78" s="12" t="n">
        <v>0.857142857142857</v>
      </c>
      <c r="F78" s="12" t="n">
        <v>0.901408450704225</v>
      </c>
      <c r="G78" s="12" t="n">
        <v>0.9090909090909089</v>
      </c>
      <c r="H78" s="9" t="n">
        <v>11</v>
      </c>
      <c r="I78" s="10" t="inlineStr">
        <is>
          <t>6/7</t>
        </is>
      </c>
      <c r="J78" s="12" t="n">
        <v>0.86</v>
      </c>
      <c r="K78" t="inlineStr">
        <is>
          <t>Distinguished</t>
        </is>
      </c>
      <c r="L78" t="inlineStr">
        <is>
          <t>Professional</t>
        </is>
      </c>
      <c r="M78" t="inlineStr">
        <is>
          <t>Annelies de Groot</t>
        </is>
      </c>
    </row>
    <row r="79">
      <c r="A79" s="9" t="inlineStr">
        <is>
          <t>Amber Maldonado</t>
        </is>
      </c>
      <c r="B79" s="9" t="inlineStr">
        <is>
          <t>10/5/25 - 11/1/25</t>
        </is>
      </c>
      <c r="C79" s="12" t="n">
        <v>0.9</v>
      </c>
      <c r="D79" s="12" t="n">
        <v>1.1727</v>
      </c>
      <c r="E79" s="12" t="n">
        <v>0.857142857142857</v>
      </c>
      <c r="F79" s="12" t="n">
        <v>0.901408450704225</v>
      </c>
      <c r="G79" s="12" t="n">
        <v>0.9090909090909089</v>
      </c>
      <c r="H79" s="9" t="n">
        <v>11</v>
      </c>
      <c r="I79" s="10" t="inlineStr">
        <is>
          <t>6/7</t>
        </is>
      </c>
      <c r="J79" s="12">
        <f>_xlfn.TEXTBEFORE(I79, "/")/_xlfn.TEXTAFTER(I79,"/")</f>
        <v/>
      </c>
      <c r="K79" t="inlineStr">
        <is>
          <t>Distinguished</t>
        </is>
      </c>
      <c r="L79" t="inlineStr">
        <is>
          <t>Professional</t>
        </is>
      </c>
      <c r="M79" t="inlineStr">
        <is>
          <t>Annelies de Groot</t>
        </is>
      </c>
    </row>
    <row r="80">
      <c r="A80" s="9" t="inlineStr">
        <is>
          <t>Amber Maldonado</t>
        </is>
      </c>
      <c r="B80" s="9" t="inlineStr">
        <is>
          <t>11/2/25 - 11/29/25</t>
        </is>
      </c>
      <c r="C80" s="12" t="n">
        <v>0.66</v>
      </c>
      <c r="D80" s="12" t="n">
        <v>0.95</v>
      </c>
      <c r="E80" s="12" t="n">
        <v>0.88</v>
      </c>
      <c r="F80" s="12" t="n">
        <v>0.88</v>
      </c>
      <c r="G80" s="12" t="n">
        <v>1</v>
      </c>
      <c r="H80" s="9" t="n">
        <v>2</v>
      </c>
      <c r="I80" s="13" t="n">
        <v>45692</v>
      </c>
      <c r="J80" s="14" t="n">
        <v>0.5</v>
      </c>
      <c r="K80" t="inlineStr">
        <is>
          <t>Distinguished</t>
        </is>
      </c>
      <c r="L80" t="inlineStr">
        <is>
          <t>Professional</t>
        </is>
      </c>
      <c r="M80" t="inlineStr">
        <is>
          <t>Annelies de Groot</t>
        </is>
      </c>
    </row>
    <row r="81">
      <c r="A81" s="9" t="inlineStr">
        <is>
          <t>Amber Maldonado</t>
        </is>
      </c>
      <c r="B81" s="9" t="inlineStr">
        <is>
          <t>11/30/25 - 12/27/25</t>
        </is>
      </c>
      <c r="C81" s="12" t="n">
        <v>0</v>
      </c>
      <c r="D81" s="12" t="n">
        <v>0.05</v>
      </c>
      <c r="E81" s="12" t="n">
        <v>0</v>
      </c>
      <c r="F81" s="12" t="n">
        <v>0</v>
      </c>
      <c r="G81" s="12" t="n">
        <v>1</v>
      </c>
      <c r="H81" s="9" t="n">
        <v>0</v>
      </c>
      <c r="I81" s="10" t="n"/>
      <c r="J81" s="12" t="n"/>
      <c r="K81" t="inlineStr">
        <is>
          <t>Distinguished</t>
        </is>
      </c>
      <c r="L81" t="inlineStr">
        <is>
          <t>Professional</t>
        </is>
      </c>
      <c r="M81" t="inlineStr">
        <is>
          <t>Annelies de Groot</t>
        </is>
      </c>
    </row>
    <row r="82">
      <c r="A82" s="9" t="inlineStr">
        <is>
          <t>Amber Maldonado</t>
        </is>
      </c>
      <c r="B82" s="9" t="inlineStr">
        <is>
          <t>12/28/25 - 1/25/26</t>
        </is>
      </c>
      <c r="C82" s="12" t="n">
        <v>0</v>
      </c>
      <c r="D82" s="12" t="n">
        <v>0.0263</v>
      </c>
      <c r="E82" s="12" t="n">
        <v>0</v>
      </c>
      <c r="F82" s="12" t="n">
        <v>0</v>
      </c>
      <c r="G82" s="12" t="n">
        <v>0</v>
      </c>
      <c r="H82" s="9" t="n">
        <v>0</v>
      </c>
      <c r="I82" s="10" t="inlineStr">
        <is>
          <t>0/0</t>
        </is>
      </c>
      <c r="J82" s="12" t="n">
        <v>0</v>
      </c>
      <c r="K82" t="inlineStr">
        <is>
          <t>Distinguished</t>
        </is>
      </c>
      <c r="L82" t="inlineStr">
        <is>
          <t>Professional</t>
        </is>
      </c>
      <c r="M82" t="inlineStr">
        <is>
          <t>Annelies de Groot</t>
        </is>
      </c>
    </row>
    <row r="83">
      <c r="A83" s="9" t="inlineStr">
        <is>
          <t>Amber Maldonado</t>
        </is>
      </c>
      <c r="B83" s="9" t="inlineStr">
        <is>
          <t>5/18/25 - 6/14/25</t>
        </is>
      </c>
      <c r="C83" s="12" t="n">
        <v>0.7</v>
      </c>
      <c r="D83" s="12" t="n">
        <v>1.07</v>
      </c>
      <c r="E83" s="12" t="n">
        <v>0.67</v>
      </c>
      <c r="F83" s="12" t="n">
        <v>0.93</v>
      </c>
      <c r="G83" s="12" t="n">
        <v>1</v>
      </c>
      <c r="H83" s="9" t="n">
        <v>1</v>
      </c>
      <c r="I83" s="10" t="n">
        <v>1</v>
      </c>
      <c r="J83" s="12">
        <f>I83</f>
        <v/>
      </c>
      <c r="K83" t="inlineStr">
        <is>
          <t>Distinguished</t>
        </is>
      </c>
      <c r="L83" t="inlineStr">
        <is>
          <t>Professional</t>
        </is>
      </c>
      <c r="M83" t="inlineStr">
        <is>
          <t>Annelies de Groot</t>
        </is>
      </c>
    </row>
    <row r="84">
      <c r="A84" s="9" t="inlineStr">
        <is>
          <t>Amber Maldonado</t>
        </is>
      </c>
      <c r="B84" s="9" t="inlineStr">
        <is>
          <t>6/15/25 - 7/12/25</t>
        </is>
      </c>
      <c r="C84" s="12" t="n">
        <v>0.64</v>
      </c>
      <c r="D84" s="12" t="n">
        <v>1.11</v>
      </c>
      <c r="E84" s="12" t="n">
        <v>0.5</v>
      </c>
      <c r="F84" s="12" t="n">
        <v>0.88</v>
      </c>
      <c r="G84" s="12" t="n">
        <v>0.95</v>
      </c>
      <c r="H84" s="9" t="n">
        <v>1</v>
      </c>
      <c r="I84" s="10" t="n">
        <v>1</v>
      </c>
      <c r="J84" s="12">
        <f>I84</f>
        <v/>
      </c>
      <c r="K84" t="inlineStr">
        <is>
          <t>Distinguished</t>
        </is>
      </c>
      <c r="L84" t="inlineStr">
        <is>
          <t>Professional</t>
        </is>
      </c>
      <c r="M84" t="inlineStr">
        <is>
          <t>Annelies de Groot</t>
        </is>
      </c>
    </row>
    <row r="85">
      <c r="A85" s="9" t="inlineStr">
        <is>
          <t>Amber Maldonado</t>
        </is>
      </c>
      <c r="B85" s="9" t="inlineStr">
        <is>
          <t>7/13/25 - 8/10/25</t>
        </is>
      </c>
      <c r="C85" s="12" t="n">
        <v>0.75</v>
      </c>
      <c r="D85" s="12" t="n">
        <v>1.07</v>
      </c>
      <c r="E85" s="12" t="n">
        <v>0.85</v>
      </c>
      <c r="F85" s="12" t="n">
        <v>0.91</v>
      </c>
      <c r="G85" s="12" t="n">
        <v>0.77</v>
      </c>
      <c r="H85" s="9" t="n">
        <v>5</v>
      </c>
      <c r="I85" s="10" t="inlineStr">
        <is>
          <t xml:space="preserve"> 5/7</t>
        </is>
      </c>
      <c r="J85" s="12" t="n">
        <v>0.71</v>
      </c>
      <c r="K85" t="inlineStr">
        <is>
          <t>Distinguished</t>
        </is>
      </c>
      <c r="L85" t="inlineStr">
        <is>
          <t>Professional</t>
        </is>
      </c>
      <c r="M85" t="inlineStr">
        <is>
          <t>Annelies de Groot</t>
        </is>
      </c>
    </row>
    <row r="86">
      <c r="A86" s="9" t="inlineStr">
        <is>
          <t>Amber Maldonado</t>
        </is>
      </c>
      <c r="B86" s="9" t="inlineStr">
        <is>
          <t>8/10/25 - 9/6/25</t>
        </is>
      </c>
      <c r="C86" s="12" t="n">
        <v>0.82</v>
      </c>
      <c r="D86" s="12" t="n">
        <v>1.1</v>
      </c>
      <c r="E86" s="12" t="n">
        <v>0.87</v>
      </c>
      <c r="F86" s="12" t="n">
        <v>0.91</v>
      </c>
      <c r="G86" s="12" t="n">
        <v>0.92</v>
      </c>
      <c r="H86" s="9" t="n">
        <v>5</v>
      </c>
      <c r="I86" s="10" t="inlineStr">
        <is>
          <t>6/7</t>
        </is>
      </c>
      <c r="J86" s="12" t="n">
        <v>0.86</v>
      </c>
      <c r="K86" t="inlineStr">
        <is>
          <t>Distinguished</t>
        </is>
      </c>
      <c r="L86" t="inlineStr">
        <is>
          <t>Professional</t>
        </is>
      </c>
      <c r="M86" t="inlineStr">
        <is>
          <t>Annelies de Groot</t>
        </is>
      </c>
    </row>
    <row r="87">
      <c r="A87" s="9" t="inlineStr">
        <is>
          <t>Amber Maldonado</t>
        </is>
      </c>
      <c r="B87" s="9" t="inlineStr">
        <is>
          <t>9/7/25 - 10/4/25</t>
        </is>
      </c>
      <c r="C87" s="12" t="n">
        <v>0.88</v>
      </c>
      <c r="D87" s="12" t="n">
        <v>1.06</v>
      </c>
      <c r="E87" s="12" t="n">
        <v>0.86</v>
      </c>
      <c r="F87" s="12" t="n">
        <v>0.9399999999999999</v>
      </c>
      <c r="G87" s="12" t="n">
        <v>1</v>
      </c>
      <c r="H87" s="9" t="n">
        <v>4</v>
      </c>
      <c r="I87" s="10" t="inlineStr">
        <is>
          <t>5/8</t>
        </is>
      </c>
      <c r="J87" s="12" t="n">
        <v>0.63</v>
      </c>
      <c r="K87" t="inlineStr">
        <is>
          <t>Distinguished</t>
        </is>
      </c>
      <c r="L87" t="inlineStr">
        <is>
          <t>Professional</t>
        </is>
      </c>
      <c r="M87" t="inlineStr">
        <is>
          <t>Annelies de Groot</t>
        </is>
      </c>
    </row>
    <row r="88">
      <c r="A88" s="9" t="inlineStr">
        <is>
          <t>Amelia Sain</t>
        </is>
      </c>
      <c r="B88" s="9" t="inlineStr">
        <is>
          <t>10/5/25 - 11/1/25</t>
        </is>
      </c>
      <c r="C88" s="12" t="n">
        <v>0.3208</v>
      </c>
      <c r="D88" s="12" t="n">
        <v>1.0877</v>
      </c>
      <c r="E88" s="12" t="n">
        <v>1</v>
      </c>
      <c r="F88" s="12" t="n">
        <v>0.826086956521739</v>
      </c>
      <c r="G88" s="12" t="n">
        <v>0.142857142857142</v>
      </c>
      <c r="H88" s="9" t="n">
        <v>1</v>
      </c>
      <c r="I88" s="10" t="inlineStr">
        <is>
          <t>0/1</t>
        </is>
      </c>
      <c r="J88" s="12" t="n">
        <v>0</v>
      </c>
      <c r="K88" t="inlineStr">
        <is>
          <t>Premium</t>
        </is>
      </c>
      <c r="L88" t="inlineStr">
        <is>
          <t>Professional</t>
        </is>
      </c>
      <c r="M88" t="inlineStr">
        <is>
          <t>Geoff St. Marie</t>
        </is>
      </c>
    </row>
    <row r="89">
      <c r="A89" s="9" t="inlineStr">
        <is>
          <t>Amelia Sain</t>
        </is>
      </c>
      <c r="B89" s="9" t="inlineStr">
        <is>
          <t>11/2/25 - 11/29/25</t>
        </is>
      </c>
      <c r="C89" s="12" t="n">
        <v>0.49</v>
      </c>
      <c r="D89" s="12" t="n">
        <v>1.18</v>
      </c>
      <c r="E89" s="12" t="n">
        <v>1</v>
      </c>
      <c r="F89" s="12" t="n">
        <v>1</v>
      </c>
      <c r="G89" s="12" t="n">
        <v>0.33</v>
      </c>
      <c r="H89" s="9" t="n">
        <v>1</v>
      </c>
      <c r="I89" s="13" t="inlineStr">
        <is>
          <t>0/2</t>
        </is>
      </c>
      <c r="J89" s="12" t="n">
        <v>0</v>
      </c>
      <c r="K89" t="inlineStr">
        <is>
          <t>Premium</t>
        </is>
      </c>
      <c r="L89" t="inlineStr">
        <is>
          <t>Professional</t>
        </is>
      </c>
      <c r="M89" t="inlineStr">
        <is>
          <t>Geoff St. Marie</t>
        </is>
      </c>
    </row>
    <row r="90">
      <c r="A90" s="9" t="inlineStr">
        <is>
          <t>Amelia Sain</t>
        </is>
      </c>
      <c r="B90" s="9" t="inlineStr">
        <is>
          <t>11/30/25 - 12/27/25</t>
        </is>
      </c>
      <c r="C90" s="12" t="n">
        <v>0.26</v>
      </c>
      <c r="D90" s="12" t="n">
        <v>0.88</v>
      </c>
      <c r="E90" s="12" t="n">
        <v>1</v>
      </c>
      <c r="F90" s="12" t="n">
        <v>0.9399999999999999</v>
      </c>
      <c r="G90" s="12" t="n">
        <v>0.7</v>
      </c>
      <c r="H90" s="9" t="n">
        <v>2</v>
      </c>
      <c r="I90" s="10" t="n"/>
      <c r="J90" s="12" t="n"/>
      <c r="K90" t="inlineStr">
        <is>
          <t>Premium</t>
        </is>
      </c>
      <c r="L90" t="inlineStr">
        <is>
          <t>Professional</t>
        </is>
      </c>
      <c r="M90" t="inlineStr">
        <is>
          <t>Geoff St. Marie</t>
        </is>
      </c>
    </row>
    <row r="91">
      <c r="A91" s="9" t="inlineStr">
        <is>
          <t>Amelia Sain</t>
        </is>
      </c>
      <c r="B91" s="9" t="inlineStr">
        <is>
          <t>12/28/25 - 1/25/26</t>
        </is>
      </c>
      <c r="C91" s="12" t="n">
        <v>0.2875</v>
      </c>
      <c r="D91" s="12" t="n">
        <v>0.8832</v>
      </c>
      <c r="E91" s="12" t="n">
        <v>1</v>
      </c>
      <c r="F91" s="12" t="n">
        <v>0.875</v>
      </c>
      <c r="G91" s="12" t="n">
        <v>0.857142857</v>
      </c>
      <c r="H91" s="9" t="n">
        <v>0</v>
      </c>
      <c r="I91" s="10" t="inlineStr">
        <is>
          <t>0/4</t>
        </is>
      </c>
      <c r="J91" s="12" t="n">
        <v>0</v>
      </c>
      <c r="K91" t="inlineStr">
        <is>
          <t>Premium</t>
        </is>
      </c>
      <c r="L91" t="inlineStr">
        <is>
          <t>Professional</t>
        </is>
      </c>
      <c r="M91" t="inlineStr">
        <is>
          <t>Geoff St. Marie</t>
        </is>
      </c>
    </row>
    <row r="92">
      <c r="A92" s="9" t="inlineStr">
        <is>
          <t>Amelia Sain</t>
        </is>
      </c>
      <c r="B92" s="9" t="inlineStr">
        <is>
          <t>5/18/25 - 6/14/25</t>
        </is>
      </c>
      <c r="C92" s="12" t="n">
        <v>0.92</v>
      </c>
      <c r="D92" s="12" t="n">
        <v>1.33</v>
      </c>
      <c r="E92" s="12" t="n">
        <v>1</v>
      </c>
      <c r="F92" s="12" t="n">
        <v>0.98</v>
      </c>
      <c r="G92" s="12" t="n">
        <v>0.5</v>
      </c>
      <c r="H92" s="9" t="n">
        <v>2</v>
      </c>
      <c r="I92" s="10" t="n">
        <v>0</v>
      </c>
      <c r="J92" s="12">
        <f>I92</f>
        <v/>
      </c>
      <c r="K92" t="inlineStr">
        <is>
          <t>Premium</t>
        </is>
      </c>
      <c r="L92" t="inlineStr">
        <is>
          <t>Professional</t>
        </is>
      </c>
      <c r="M92" t="inlineStr">
        <is>
          <t>Geoff St. Marie</t>
        </is>
      </c>
    </row>
    <row r="93">
      <c r="A93" s="9" t="inlineStr">
        <is>
          <t>Amelia Sain</t>
        </is>
      </c>
      <c r="B93" s="9" t="inlineStr">
        <is>
          <t>6/15/25 - 7/12/25</t>
        </is>
      </c>
      <c r="C93" s="12" t="n">
        <v>0.5600000000000001</v>
      </c>
      <c r="D93" s="12" t="n">
        <v>1.4</v>
      </c>
      <c r="E93" s="12" t="n">
        <v>1</v>
      </c>
      <c r="F93" s="12" t="n">
        <v>0.92</v>
      </c>
      <c r="G93" s="12" t="n">
        <v>0.43</v>
      </c>
      <c r="H93" s="9" t="n">
        <v>2</v>
      </c>
      <c r="I93" s="10" t="n">
        <v>0</v>
      </c>
      <c r="J93" s="12">
        <f>I93</f>
        <v/>
      </c>
      <c r="K93" t="inlineStr">
        <is>
          <t>Premium</t>
        </is>
      </c>
      <c r="L93" t="inlineStr">
        <is>
          <t>Professional</t>
        </is>
      </c>
      <c r="M93" t="inlineStr">
        <is>
          <t>Geoff St. Marie</t>
        </is>
      </c>
    </row>
    <row r="94">
      <c r="A94" s="9" t="inlineStr">
        <is>
          <t>Amelia Sain</t>
        </is>
      </c>
      <c r="B94" s="9" t="inlineStr">
        <is>
          <t>7/13/25 - 8/10/25</t>
        </is>
      </c>
      <c r="C94" s="12" t="n">
        <v>0.51</v>
      </c>
      <c r="D94" s="12" t="n">
        <v>1.36</v>
      </c>
      <c r="E94" s="12" t="n">
        <v>1</v>
      </c>
      <c r="F94" s="12" t="n">
        <v>0.9399999999999999</v>
      </c>
      <c r="G94" s="12" t="n">
        <v>0.53</v>
      </c>
      <c r="H94" s="9" t="n">
        <v>2</v>
      </c>
      <c r="J94" s="12" t="n"/>
      <c r="K94" t="inlineStr">
        <is>
          <t>Premium</t>
        </is>
      </c>
      <c r="L94" t="inlineStr">
        <is>
          <t>Professional</t>
        </is>
      </c>
      <c r="M94" t="inlineStr">
        <is>
          <t>Geoff St. Marie</t>
        </is>
      </c>
    </row>
    <row r="95">
      <c r="A95" s="9" t="inlineStr">
        <is>
          <t>Amelia Sain</t>
        </is>
      </c>
      <c r="B95" s="9" t="inlineStr">
        <is>
          <t>8/10/25 - 9/6/25</t>
        </is>
      </c>
      <c r="C95" s="12" t="n">
        <v>0.72</v>
      </c>
      <c r="D95" s="12" t="n">
        <v>1.11</v>
      </c>
      <c r="E95" s="12" t="n">
        <v>1</v>
      </c>
      <c r="F95" s="12" t="n">
        <v>0.75</v>
      </c>
      <c r="G95" s="12" t="n">
        <v>0.15</v>
      </c>
      <c r="H95" s="9" t="n">
        <v>1</v>
      </c>
      <c r="I95" s="10" t="inlineStr">
        <is>
          <t>0/4</t>
        </is>
      </c>
      <c r="J95" s="12" t="n">
        <v>0</v>
      </c>
      <c r="K95" t="inlineStr">
        <is>
          <t>Premium</t>
        </is>
      </c>
      <c r="L95" t="inlineStr">
        <is>
          <t>Professional</t>
        </is>
      </c>
      <c r="M95" t="inlineStr">
        <is>
          <t>Geoff St. Marie</t>
        </is>
      </c>
    </row>
    <row r="96">
      <c r="A96" s="9" t="inlineStr">
        <is>
          <t>Amelia Sain</t>
        </is>
      </c>
      <c r="B96" s="9" t="inlineStr">
        <is>
          <t>9/7/25 - 10/4/25</t>
        </is>
      </c>
      <c r="C96" s="12" t="n">
        <v>0.57</v>
      </c>
      <c r="D96" s="12" t="n">
        <v>1.17</v>
      </c>
      <c r="E96" s="12" t="n">
        <v>1</v>
      </c>
      <c r="F96" s="12" t="n">
        <v>0.86</v>
      </c>
      <c r="G96" s="12" t="n">
        <v>0</v>
      </c>
      <c r="H96" s="9" t="n">
        <v>1</v>
      </c>
      <c r="I96" s="10" t="inlineStr">
        <is>
          <t>0/1</t>
        </is>
      </c>
      <c r="J96" s="12" t="n">
        <v>0</v>
      </c>
      <c r="K96" t="inlineStr">
        <is>
          <t>Premium</t>
        </is>
      </c>
      <c r="L96" t="inlineStr">
        <is>
          <t>Professional</t>
        </is>
      </c>
      <c r="M96" t="inlineStr">
        <is>
          <t>Geoff St. Marie</t>
        </is>
      </c>
    </row>
    <row r="97">
      <c r="A97" s="9" t="inlineStr">
        <is>
          <t>Amy Kim</t>
        </is>
      </c>
      <c r="B97" s="9" t="inlineStr">
        <is>
          <t>11/30/25 - 12/27/25</t>
        </is>
      </c>
      <c r="C97" s="12" t="n">
        <v>0</v>
      </c>
      <c r="D97" s="12" t="n">
        <v>0</v>
      </c>
      <c r="E97" s="12" t="n">
        <v>0</v>
      </c>
      <c r="F97" s="12" t="n">
        <v>0</v>
      </c>
      <c r="G97" s="12" t="n">
        <v>0</v>
      </c>
      <c r="H97" s="9" t="n">
        <v>0</v>
      </c>
      <c r="I97" s="10" t="n"/>
      <c r="J97" s="12" t="n"/>
      <c r="K97" t="e">
        <v>#N/A</v>
      </c>
      <c r="L97" t="e">
        <v>#N/A</v>
      </c>
      <c r="M97" t="e">
        <v>#N/A</v>
      </c>
    </row>
    <row r="98">
      <c r="A98" s="9" t="inlineStr">
        <is>
          <t>Amy Kim</t>
        </is>
      </c>
      <c r="B98" s="9" t="inlineStr">
        <is>
          <t>12/28/25 - 1/25/26</t>
        </is>
      </c>
      <c r="C98" s="12" t="n">
        <v>0.225</v>
      </c>
      <c r="D98" s="12" t="n">
        <v>0.4934</v>
      </c>
      <c r="E98" s="12" t="n">
        <v>0</v>
      </c>
      <c r="F98" s="12" t="n">
        <v>0.421052632</v>
      </c>
      <c r="G98" s="12" t="n">
        <v>0</v>
      </c>
      <c r="H98" s="9" t="n">
        <v>0</v>
      </c>
      <c r="I98" s="10" t="n">
        <v>0.3333333333333333</v>
      </c>
      <c r="J98" s="12">
        <f>I98</f>
        <v/>
      </c>
      <c r="K98" t="e">
        <v>#N/A</v>
      </c>
      <c r="L98" t="e">
        <v>#N/A</v>
      </c>
      <c r="M98" t="e">
        <v>#N/A</v>
      </c>
    </row>
    <row r="99">
      <c r="A99" s="9" t="inlineStr">
        <is>
          <t>Ana Heiser</t>
        </is>
      </c>
      <c r="B99" s="9" t="inlineStr">
        <is>
          <t>10/5/25 - 11/1/25</t>
        </is>
      </c>
      <c r="C99" s="12" t="n">
        <v>0.5958</v>
      </c>
      <c r="D99" s="12" t="n">
        <v>1.1349</v>
      </c>
      <c r="E99" s="12" t="n">
        <v>0.971428571428571</v>
      </c>
      <c r="F99" s="12" t="n">
        <v>0.695652173913043</v>
      </c>
      <c r="G99" s="12" t="n">
        <v>1</v>
      </c>
      <c r="H99" s="9" t="n">
        <v>0</v>
      </c>
      <c r="I99" s="10" t="inlineStr">
        <is>
          <t>6/6</t>
        </is>
      </c>
      <c r="J99" s="12" t="n">
        <v>1</v>
      </c>
      <c r="K99" t="inlineStr">
        <is>
          <t>Distinguished</t>
        </is>
      </c>
      <c r="L99" t="inlineStr">
        <is>
          <t>Professional</t>
        </is>
      </c>
      <c r="M99" t="inlineStr">
        <is>
          <t>Kristin Haase-Alvey</t>
        </is>
      </c>
    </row>
    <row r="100">
      <c r="A100" s="9" t="inlineStr">
        <is>
          <t>Ana Heiser</t>
        </is>
      </c>
      <c r="B100" s="9" t="inlineStr">
        <is>
          <t>11/2/25 - 11/29/25</t>
        </is>
      </c>
      <c r="C100" s="12" t="n">
        <v>0.5600000000000001</v>
      </c>
      <c r="D100" s="12" t="n">
        <v>1.01</v>
      </c>
      <c r="E100" s="12" t="n">
        <v>1</v>
      </c>
      <c r="F100" s="12" t="n">
        <v>0.84</v>
      </c>
      <c r="G100" s="12" t="n">
        <v>0.89</v>
      </c>
      <c r="H100" s="9" t="n">
        <v>2</v>
      </c>
      <c r="I100" s="13" t="n">
        <v>45690</v>
      </c>
      <c r="J100" s="12" t="n">
        <v>1</v>
      </c>
      <c r="K100" t="inlineStr">
        <is>
          <t>Distinguished</t>
        </is>
      </c>
      <c r="L100" t="inlineStr">
        <is>
          <t>Professional</t>
        </is>
      </c>
      <c r="M100" t="inlineStr">
        <is>
          <t>Kristin Haase-Alvey</t>
        </is>
      </c>
    </row>
    <row r="101">
      <c r="A101" s="9" t="inlineStr">
        <is>
          <t>Ana Heiser</t>
        </is>
      </c>
      <c r="B101" s="9" t="inlineStr">
        <is>
          <t>11/30/25 - 12/27/25</t>
        </is>
      </c>
      <c r="C101" s="12" t="n">
        <v>0.32</v>
      </c>
      <c r="D101" s="12" t="n">
        <v>0.86</v>
      </c>
      <c r="E101" s="12" t="n">
        <v>0.97</v>
      </c>
      <c r="F101" s="12" t="n">
        <v>0.7</v>
      </c>
      <c r="G101" s="12" t="n">
        <v>1</v>
      </c>
      <c r="H101" s="9" t="n">
        <v>0</v>
      </c>
      <c r="I101" s="10" t="n">
        <v>1</v>
      </c>
      <c r="J101" s="12" t="n">
        <v>1</v>
      </c>
      <c r="K101" t="inlineStr">
        <is>
          <t>Distinguished</t>
        </is>
      </c>
      <c r="L101" t="inlineStr">
        <is>
          <t>Professional</t>
        </is>
      </c>
      <c r="M101" t="inlineStr">
        <is>
          <t>Kristin Haase-Alvey</t>
        </is>
      </c>
    </row>
    <row r="102">
      <c r="A102" s="9" t="inlineStr">
        <is>
          <t>Ana Heiser</t>
        </is>
      </c>
      <c r="B102" s="9" t="inlineStr">
        <is>
          <t>12/28/25 - 1/25/26</t>
        </is>
      </c>
      <c r="C102" s="12" t="n">
        <v>0.4792</v>
      </c>
      <c r="D102" s="12" t="n">
        <v>1.1266</v>
      </c>
      <c r="E102" s="12" t="n">
        <v>1</v>
      </c>
      <c r="F102" s="12" t="n">
        <v>0.976190476</v>
      </c>
      <c r="G102" s="12" t="n">
        <v>1</v>
      </c>
      <c r="H102" s="9" t="n">
        <v>1</v>
      </c>
      <c r="I102" s="10" t="n">
        <v>0.75</v>
      </c>
      <c r="J102" s="12">
        <f>I102</f>
        <v/>
      </c>
      <c r="K102" t="inlineStr">
        <is>
          <t>Distinguished</t>
        </is>
      </c>
      <c r="L102" t="inlineStr">
        <is>
          <t>Professional</t>
        </is>
      </c>
      <c r="M102" t="inlineStr">
        <is>
          <t>Kristin Haase-Alvey</t>
        </is>
      </c>
    </row>
    <row r="103">
      <c r="A103" s="9" t="inlineStr">
        <is>
          <t>Ana Heiser</t>
        </is>
      </c>
      <c r="B103" s="9" t="inlineStr">
        <is>
          <t>5/18/25 - 6/14/25</t>
        </is>
      </c>
      <c r="C103" s="12" t="n">
        <v>0.6899999999999999</v>
      </c>
      <c r="D103" s="12" t="n">
        <v>0.93</v>
      </c>
      <c r="E103" s="12" t="n">
        <v>0.98</v>
      </c>
      <c r="F103" s="12" t="n">
        <v>1</v>
      </c>
      <c r="G103" s="12" t="n">
        <v>0.73</v>
      </c>
      <c r="H103" s="9" t="n">
        <v>6</v>
      </c>
      <c r="I103" s="10" t="n">
        <v>1</v>
      </c>
      <c r="J103" s="12">
        <f>I103</f>
        <v/>
      </c>
      <c r="K103" t="inlineStr">
        <is>
          <t>Distinguished</t>
        </is>
      </c>
      <c r="L103" t="inlineStr">
        <is>
          <t>Professional</t>
        </is>
      </c>
      <c r="M103" t="inlineStr">
        <is>
          <t>Kristin Haase-Alvey</t>
        </is>
      </c>
    </row>
    <row r="104">
      <c r="A104" s="9" t="inlineStr">
        <is>
          <t>Ana Heiser</t>
        </is>
      </c>
      <c r="B104" s="9" t="inlineStr">
        <is>
          <t>6/15/25 - 7/12/25</t>
        </is>
      </c>
      <c r="C104" s="12" t="n">
        <v>0.74</v>
      </c>
      <c r="D104" s="12" t="n">
        <v>1.03</v>
      </c>
      <c r="E104" s="12" t="n">
        <v>0.96</v>
      </c>
      <c r="F104" s="12" t="n">
        <v>0.98</v>
      </c>
      <c r="G104" s="12" t="n">
        <v>0.83</v>
      </c>
      <c r="H104" s="9" t="n">
        <v>7</v>
      </c>
      <c r="I104" s="10" t="n">
        <v>1</v>
      </c>
      <c r="J104" s="12">
        <f>I104</f>
        <v/>
      </c>
      <c r="K104" t="inlineStr">
        <is>
          <t>Distinguished</t>
        </is>
      </c>
      <c r="L104" t="inlineStr">
        <is>
          <t>Professional</t>
        </is>
      </c>
      <c r="M104" t="inlineStr">
        <is>
          <t>Kristin Haase-Alvey</t>
        </is>
      </c>
    </row>
    <row r="105">
      <c r="A105" s="9" t="inlineStr">
        <is>
          <t>Ana Heiser</t>
        </is>
      </c>
      <c r="B105" s="9" t="inlineStr">
        <is>
          <t>7/13/25 - 8/10/25</t>
        </is>
      </c>
      <c r="C105" s="12" t="n">
        <v>0.76</v>
      </c>
      <c r="D105" s="12" t="n">
        <v>0.91</v>
      </c>
      <c r="E105" s="12" t="n">
        <v>0.96</v>
      </c>
      <c r="F105" s="12" t="n">
        <v>0.97</v>
      </c>
      <c r="G105" s="12" t="n">
        <v>0.89</v>
      </c>
      <c r="H105" s="9" t="n">
        <v>3</v>
      </c>
      <c r="I105" s="10" t="inlineStr">
        <is>
          <t xml:space="preserve"> 4/5</t>
        </is>
      </c>
      <c r="J105" s="12" t="n">
        <v>0.8</v>
      </c>
      <c r="K105" t="inlineStr">
        <is>
          <t>Distinguished</t>
        </is>
      </c>
      <c r="L105" t="inlineStr">
        <is>
          <t>Professional</t>
        </is>
      </c>
      <c r="M105" t="inlineStr">
        <is>
          <t>Kristin Haase-Alvey</t>
        </is>
      </c>
    </row>
    <row r="106">
      <c r="A106" s="9" t="inlineStr">
        <is>
          <t>Ana Heiser</t>
        </is>
      </c>
      <c r="B106" s="9" t="inlineStr">
        <is>
          <t>8/10/25 - 9/6/25</t>
        </is>
      </c>
      <c r="C106" s="12" t="n">
        <v>0.82</v>
      </c>
      <c r="D106" s="12" t="n">
        <v>0.99</v>
      </c>
      <c r="E106" s="12" t="n">
        <v>0.98</v>
      </c>
      <c r="F106" s="12" t="n">
        <v>0.96</v>
      </c>
      <c r="G106" s="12" t="n">
        <v>1</v>
      </c>
      <c r="H106" s="9" t="n">
        <v>7</v>
      </c>
      <c r="I106" s="10" t="inlineStr">
        <is>
          <t>3/4</t>
        </is>
      </c>
      <c r="J106" s="12" t="n">
        <v>0.75</v>
      </c>
      <c r="K106" t="inlineStr">
        <is>
          <t>Distinguished</t>
        </is>
      </c>
      <c r="L106" t="inlineStr">
        <is>
          <t>Professional</t>
        </is>
      </c>
      <c r="M106" t="inlineStr">
        <is>
          <t>Kristin Haase-Alvey</t>
        </is>
      </c>
    </row>
    <row r="107">
      <c r="A107" s="9" t="inlineStr">
        <is>
          <t>Ana Heiser</t>
        </is>
      </c>
      <c r="B107" s="9" t="inlineStr">
        <is>
          <t>9/7/25 - 10/4/25</t>
        </is>
      </c>
      <c r="C107" s="12" t="n">
        <v>0.8100000000000001</v>
      </c>
      <c r="D107" s="12" t="n">
        <v>1.06</v>
      </c>
      <c r="E107" s="12" t="n">
        <v>0.98</v>
      </c>
      <c r="F107" s="12" t="n">
        <v>0.84</v>
      </c>
      <c r="G107" s="12" t="n">
        <v>1</v>
      </c>
      <c r="H107" s="9" t="n">
        <v>11</v>
      </c>
      <c r="I107" s="10" t="inlineStr">
        <is>
          <t>0/1</t>
        </is>
      </c>
      <c r="J107" s="12" t="n">
        <v>0</v>
      </c>
      <c r="K107" t="inlineStr">
        <is>
          <t>Distinguished</t>
        </is>
      </c>
      <c r="L107" t="inlineStr">
        <is>
          <t>Professional</t>
        </is>
      </c>
      <c r="M107" t="inlineStr">
        <is>
          <t>Kristin Haase-Alvey</t>
        </is>
      </c>
    </row>
    <row r="108">
      <c r="A108" s="9" t="inlineStr">
        <is>
          <t>Andres Jarquin</t>
        </is>
      </c>
      <c r="B108" s="9" t="inlineStr">
        <is>
          <t>10/5/25 - 11/1/25</t>
        </is>
      </c>
      <c r="C108" s="12" t="n">
        <v>1.0792</v>
      </c>
      <c r="D108" s="12" t="n">
        <v>1.08219999999999</v>
      </c>
      <c r="E108" s="12" t="n">
        <v>0.986928104575163</v>
      </c>
      <c r="F108" s="12" t="n">
        <v>0.934782608695652</v>
      </c>
      <c r="G108" s="12" t="n">
        <v>0.266666666666666</v>
      </c>
      <c r="H108" s="9" t="n">
        <v>12</v>
      </c>
      <c r="I108" s="10" t="inlineStr">
        <is>
          <t>1/10</t>
        </is>
      </c>
      <c r="J108" s="12" t="n">
        <v>0.1</v>
      </c>
      <c r="K108" t="inlineStr">
        <is>
          <t>Distinguished</t>
        </is>
      </c>
      <c r="L108" t="inlineStr">
        <is>
          <t>Professional</t>
        </is>
      </c>
      <c r="M108" t="inlineStr">
        <is>
          <t>Ian Plamondon</t>
        </is>
      </c>
    </row>
    <row r="109">
      <c r="A109" s="9" t="inlineStr">
        <is>
          <t>Andres Jarquin</t>
        </is>
      </c>
      <c r="B109" s="9" t="inlineStr">
        <is>
          <t>11/2/25 - 11/29/25</t>
        </is>
      </c>
      <c r="C109" s="12" t="n">
        <v>1.03</v>
      </c>
      <c r="D109" s="12" t="n">
        <v>0.98</v>
      </c>
      <c r="E109" s="12" t="n">
        <v>0.99</v>
      </c>
      <c r="F109" s="12" t="n">
        <v>0.97</v>
      </c>
      <c r="G109" s="12" t="n">
        <v>0.16</v>
      </c>
      <c r="H109" s="9" t="n">
        <v>17</v>
      </c>
      <c r="I109" s="13" t="inlineStr">
        <is>
          <t>0/1</t>
        </is>
      </c>
      <c r="J109" s="12" t="n">
        <v>0</v>
      </c>
      <c r="K109" t="inlineStr">
        <is>
          <t>Distinguished</t>
        </is>
      </c>
      <c r="L109" t="inlineStr">
        <is>
          <t>Professional</t>
        </is>
      </c>
      <c r="M109" t="inlineStr">
        <is>
          <t>Ian Plamondon</t>
        </is>
      </c>
    </row>
    <row r="110">
      <c r="A110" s="9" t="inlineStr">
        <is>
          <t>Andres Jarquin</t>
        </is>
      </c>
      <c r="B110" s="9" t="inlineStr">
        <is>
          <t>11/30/25 - 12/27/25</t>
        </is>
      </c>
      <c r="C110" s="12" t="n">
        <v>0.78</v>
      </c>
      <c r="D110" s="12" t="n">
        <v>0.84</v>
      </c>
      <c r="E110" s="12" t="n">
        <v>0.97</v>
      </c>
      <c r="F110" s="12" t="n">
        <v>1</v>
      </c>
      <c r="G110" s="12" t="n">
        <v>0.18</v>
      </c>
      <c r="H110" s="9" t="n">
        <v>8</v>
      </c>
      <c r="I110" s="10" t="n"/>
      <c r="J110" s="12" t="n"/>
      <c r="K110" t="inlineStr">
        <is>
          <t>Distinguished</t>
        </is>
      </c>
      <c r="L110" t="inlineStr">
        <is>
          <t>Professional</t>
        </is>
      </c>
      <c r="M110" t="inlineStr">
        <is>
          <t>Ian Plamondon</t>
        </is>
      </c>
    </row>
    <row r="111">
      <c r="A111" s="9" t="inlineStr">
        <is>
          <t>Andres Jarquin</t>
        </is>
      </c>
      <c r="B111" s="9" t="inlineStr">
        <is>
          <t>12/28/25 - 1/25/26</t>
        </is>
      </c>
      <c r="C111" s="12" t="n">
        <v>0.8042</v>
      </c>
      <c r="D111" s="12" t="n">
        <v>0.977</v>
      </c>
      <c r="E111" s="12" t="n">
        <v>0.991304348</v>
      </c>
      <c r="F111" s="12" t="n">
        <v>0.981481481</v>
      </c>
      <c r="G111" s="12" t="n">
        <v>0.375</v>
      </c>
      <c r="H111" s="9" t="n">
        <v>18</v>
      </c>
      <c r="I111" s="10" t="n">
        <v>0.75</v>
      </c>
      <c r="J111" s="12">
        <f>I111</f>
        <v/>
      </c>
      <c r="K111" t="inlineStr">
        <is>
          <t>Distinguished</t>
        </is>
      </c>
      <c r="L111" t="inlineStr">
        <is>
          <t>Professional</t>
        </is>
      </c>
      <c r="M111" t="inlineStr">
        <is>
          <t>Ian Plamondon</t>
        </is>
      </c>
    </row>
    <row r="112">
      <c r="A112" s="9" t="inlineStr">
        <is>
          <t>Andres Jarquin</t>
        </is>
      </c>
      <c r="B112" s="9" t="inlineStr">
        <is>
          <t>9/7/25 - 10/4/25</t>
        </is>
      </c>
      <c r="C112" s="12" t="n">
        <v>0.88</v>
      </c>
      <c r="D112" s="12" t="n">
        <v>1.08</v>
      </c>
      <c r="E112" s="12" t="n">
        <v>0.99</v>
      </c>
      <c r="F112" s="12" t="n">
        <v>0.97</v>
      </c>
      <c r="G112" s="12" t="n">
        <v>0.17</v>
      </c>
      <c r="H112" s="9" t="n">
        <v>9</v>
      </c>
      <c r="I112" s="10" t="inlineStr">
        <is>
          <t>0/10</t>
        </is>
      </c>
      <c r="J112" s="12" t="n">
        <v>0</v>
      </c>
      <c r="K112" t="inlineStr">
        <is>
          <t>Distinguished</t>
        </is>
      </c>
      <c r="L112" t="inlineStr">
        <is>
          <t>Professional</t>
        </is>
      </c>
      <c r="M112" t="inlineStr">
        <is>
          <t>Ian Plamondon</t>
        </is>
      </c>
    </row>
    <row r="113">
      <c r="A113" s="9" t="inlineStr">
        <is>
          <t>Andrew Brown</t>
        </is>
      </c>
      <c r="B113" s="9" t="inlineStr">
        <is>
          <t>10/5/25 - 11/1/25</t>
        </is>
      </c>
      <c r="C113" s="12" t="n">
        <v>0.8542</v>
      </c>
      <c r="D113" s="12" t="n">
        <v>1.4243</v>
      </c>
      <c r="E113" s="12" t="n">
        <v>0.977011494252873</v>
      </c>
      <c r="F113" s="12" t="n">
        <v>0.928571428571428</v>
      </c>
      <c r="G113" s="12" t="n">
        <v>0.68</v>
      </c>
      <c r="H113" s="9" t="n">
        <v>2</v>
      </c>
      <c r="I113" s="10" t="inlineStr">
        <is>
          <t>0/5</t>
        </is>
      </c>
      <c r="J113" s="12" t="n">
        <v>0</v>
      </c>
      <c r="K113" t="inlineStr">
        <is>
          <t>Distinguished</t>
        </is>
      </c>
      <c r="L113" t="inlineStr">
        <is>
          <t>Professional</t>
        </is>
      </c>
      <c r="M113" t="inlineStr">
        <is>
          <t>Geoff St. Marie</t>
        </is>
      </c>
    </row>
    <row r="114">
      <c r="A114" s="9" t="inlineStr">
        <is>
          <t>Andrew Brown</t>
        </is>
      </c>
      <c r="B114" s="9" t="inlineStr">
        <is>
          <t>11/2/25 - 11/29/25</t>
        </is>
      </c>
      <c r="C114" s="12" t="n">
        <v>0.87</v>
      </c>
      <c r="D114" s="12" t="n">
        <v>1.41</v>
      </c>
      <c r="E114" s="12" t="n">
        <v>0.99</v>
      </c>
      <c r="F114" s="12" t="n">
        <v>0.9</v>
      </c>
      <c r="G114" s="12" t="n">
        <v>0.67</v>
      </c>
      <c r="H114" s="9" t="n">
        <v>6</v>
      </c>
      <c r="I114" s="13" t="n">
        <v>45690</v>
      </c>
      <c r="J114" s="12" t="n">
        <v>1</v>
      </c>
      <c r="K114" t="inlineStr">
        <is>
          <t>Distinguished</t>
        </is>
      </c>
      <c r="L114" t="inlineStr">
        <is>
          <t>Professional</t>
        </is>
      </c>
      <c r="M114" t="inlineStr">
        <is>
          <t>Geoff St. Marie</t>
        </is>
      </c>
    </row>
    <row r="115">
      <c r="A115" s="9" t="inlineStr">
        <is>
          <t>Andrew Brown</t>
        </is>
      </c>
      <c r="B115" s="9" t="inlineStr">
        <is>
          <t>11/30/25 - 12/27/25</t>
        </is>
      </c>
      <c r="C115" s="12" t="n">
        <v>0.74</v>
      </c>
      <c r="D115" s="12" t="n">
        <v>1.26</v>
      </c>
      <c r="E115" s="12" t="n">
        <v>0.95</v>
      </c>
      <c r="F115" s="12" t="n">
        <v>0.8</v>
      </c>
      <c r="G115" s="12" t="n">
        <v>0.76</v>
      </c>
      <c r="H115" s="9" t="n">
        <v>6</v>
      </c>
      <c r="I115" s="10" t="n"/>
      <c r="J115" s="12" t="n"/>
      <c r="K115" t="inlineStr">
        <is>
          <t>Distinguished</t>
        </is>
      </c>
      <c r="L115" t="inlineStr">
        <is>
          <t>Professional</t>
        </is>
      </c>
      <c r="M115" t="inlineStr">
        <is>
          <t>Geoff St. Marie</t>
        </is>
      </c>
    </row>
    <row r="116">
      <c r="A116" s="9" t="inlineStr">
        <is>
          <t>Andrew Brown</t>
        </is>
      </c>
      <c r="B116" s="9" t="inlineStr">
        <is>
          <t>12/28/25 - 1/25/26</t>
        </is>
      </c>
      <c r="C116" s="12" t="n">
        <v>0.5958</v>
      </c>
      <c r="D116" s="12" t="n">
        <v>1.1053</v>
      </c>
      <c r="E116" s="12" t="n">
        <v>1</v>
      </c>
      <c r="F116" s="12" t="n">
        <v>0.979166667</v>
      </c>
      <c r="G116" s="12" t="n">
        <v>0.75</v>
      </c>
      <c r="H116" s="9" t="n">
        <v>3</v>
      </c>
      <c r="I116" s="10" t="n">
        <v>0.4</v>
      </c>
      <c r="J116" s="12">
        <f>I116</f>
        <v/>
      </c>
      <c r="K116" t="inlineStr">
        <is>
          <t>Distinguished</t>
        </is>
      </c>
      <c r="L116" t="inlineStr">
        <is>
          <t>Professional</t>
        </is>
      </c>
      <c r="M116" t="inlineStr">
        <is>
          <t>Geoff St. Marie</t>
        </is>
      </c>
    </row>
    <row r="117">
      <c r="A117" s="9" t="inlineStr">
        <is>
          <t>Andrew Brown</t>
        </is>
      </c>
      <c r="B117" s="9" t="inlineStr">
        <is>
          <t>5/18/25 - 6/14/25</t>
        </is>
      </c>
      <c r="C117" s="12" t="n">
        <v>0.95</v>
      </c>
      <c r="D117" s="12" t="n">
        <v>1.25</v>
      </c>
      <c r="E117" s="12" t="n">
        <v>0.97</v>
      </c>
      <c r="F117" s="12" t="n">
        <v>0.97</v>
      </c>
      <c r="G117" s="12" t="n">
        <v>0.82</v>
      </c>
      <c r="H117" s="9" t="n">
        <v>7</v>
      </c>
      <c r="I117" s="10" t="inlineStr">
        <is>
          <t xml:space="preserve"> 5/7</t>
        </is>
      </c>
      <c r="J117" s="12" t="n">
        <v>0.71</v>
      </c>
      <c r="K117" t="inlineStr">
        <is>
          <t>Distinguished</t>
        </is>
      </c>
      <c r="L117" t="inlineStr">
        <is>
          <t>Professional</t>
        </is>
      </c>
      <c r="M117" t="inlineStr">
        <is>
          <t>Geoff St. Marie</t>
        </is>
      </c>
    </row>
    <row r="118">
      <c r="A118" s="9" t="inlineStr">
        <is>
          <t>Andrew Brown</t>
        </is>
      </c>
      <c r="B118" s="9" t="inlineStr">
        <is>
          <t>6/15/25 - 7/12/25</t>
        </is>
      </c>
      <c r="C118" s="12" t="n">
        <v>0.7</v>
      </c>
      <c r="D118" s="12" t="n">
        <v>1.38</v>
      </c>
      <c r="E118" s="12" t="n">
        <v>1</v>
      </c>
      <c r="F118" s="12" t="n">
        <v>1</v>
      </c>
      <c r="G118" s="12" t="n">
        <v>0.5</v>
      </c>
      <c r="H118" s="9" t="e">
        <v>#N/A</v>
      </c>
      <c r="I118" s="10" t="n">
        <v>1</v>
      </c>
      <c r="J118" s="12">
        <f>I118</f>
        <v/>
      </c>
      <c r="K118" t="inlineStr">
        <is>
          <t>Distinguished</t>
        </is>
      </c>
      <c r="L118" t="inlineStr">
        <is>
          <t>Professional</t>
        </is>
      </c>
      <c r="M118" t="inlineStr">
        <is>
          <t>Geoff St. Marie</t>
        </is>
      </c>
    </row>
    <row r="119">
      <c r="A119" s="9" t="inlineStr">
        <is>
          <t>Andrew Brown</t>
        </is>
      </c>
      <c r="B119" s="9" t="inlineStr">
        <is>
          <t>7/13/25 - 8/10/25</t>
        </is>
      </c>
      <c r="C119" s="12" t="n">
        <v>0.72</v>
      </c>
      <c r="D119" s="12" t="n">
        <v>1.36</v>
      </c>
      <c r="E119" s="12" t="n">
        <v>1</v>
      </c>
      <c r="F119" s="12" t="n">
        <v>0.96</v>
      </c>
      <c r="G119" s="12" t="n">
        <v>0.33</v>
      </c>
      <c r="H119" s="9" t="n">
        <v>5</v>
      </c>
      <c r="I119" s="10" t="inlineStr">
        <is>
          <t xml:space="preserve"> 1/2</t>
        </is>
      </c>
      <c r="J119" s="12" t="n">
        <v>0.5</v>
      </c>
      <c r="K119" t="inlineStr">
        <is>
          <t>Distinguished</t>
        </is>
      </c>
      <c r="L119" t="inlineStr">
        <is>
          <t>Professional</t>
        </is>
      </c>
      <c r="M119" t="inlineStr">
        <is>
          <t>Geoff St. Marie</t>
        </is>
      </c>
    </row>
    <row r="120">
      <c r="A120" s="9" t="inlineStr">
        <is>
          <t>Andrew Brown</t>
        </is>
      </c>
      <c r="B120" s="9" t="inlineStr">
        <is>
          <t>8/10/25 - 9/6/25</t>
        </is>
      </c>
      <c r="C120" s="12" t="n">
        <v>0.84</v>
      </c>
      <c r="D120" s="12" t="n">
        <v>1.33</v>
      </c>
      <c r="E120" s="12" t="n">
        <v>0.99</v>
      </c>
      <c r="F120" s="12" t="n">
        <v>1</v>
      </c>
      <c r="G120" s="12" t="n">
        <v>0.74</v>
      </c>
      <c r="H120" s="9" t="n">
        <v>0</v>
      </c>
      <c r="I120" s="11" t="n"/>
      <c r="J120" s="12" t="n"/>
      <c r="K120" t="inlineStr">
        <is>
          <t>Distinguished</t>
        </is>
      </c>
      <c r="L120" t="inlineStr">
        <is>
          <t>Professional</t>
        </is>
      </c>
      <c r="M120" t="inlineStr">
        <is>
          <t>Geoff St. Marie</t>
        </is>
      </c>
    </row>
    <row r="121">
      <c r="A121" s="9" t="inlineStr">
        <is>
          <t>Andrew Brown</t>
        </is>
      </c>
      <c r="B121" s="9" t="inlineStr">
        <is>
          <t>9/7/25 - 10/4/25</t>
        </is>
      </c>
      <c r="C121" s="12" t="n">
        <v>0.8</v>
      </c>
      <c r="D121" s="12" t="n">
        <v>1.46</v>
      </c>
      <c r="E121" s="12" t="n">
        <v>0.99</v>
      </c>
      <c r="F121" s="12" t="n">
        <v>0.87</v>
      </c>
      <c r="G121" s="12" t="n">
        <v>0.7</v>
      </c>
      <c r="H121" s="9" t="n">
        <v>4</v>
      </c>
      <c r="I121" s="10" t="inlineStr">
        <is>
          <t>1/4</t>
        </is>
      </c>
      <c r="J121" s="12" t="n">
        <v>0.25</v>
      </c>
      <c r="K121" t="inlineStr">
        <is>
          <t>Distinguished</t>
        </is>
      </c>
      <c r="L121" t="inlineStr">
        <is>
          <t>Professional</t>
        </is>
      </c>
      <c r="M121" t="inlineStr">
        <is>
          <t>Geoff St. Marie</t>
        </is>
      </c>
    </row>
    <row r="122">
      <c r="A122" s="9" t="inlineStr">
        <is>
          <t>Andrew Gehlot</t>
        </is>
      </c>
      <c r="B122" s="9" t="inlineStr">
        <is>
          <t>10/5/25 - 11/1/25</t>
        </is>
      </c>
      <c r="C122" s="12" t="n">
        <v>0.6</v>
      </c>
      <c r="D122" s="12" t="n">
        <v>1.09209999999999</v>
      </c>
      <c r="E122" s="12" t="n">
        <v>0.926470588235294</v>
      </c>
      <c r="F122" s="12" t="n">
        <v>0.8409090909090901</v>
      </c>
      <c r="G122" s="12" t="n">
        <v>0.9375</v>
      </c>
      <c r="H122" s="9" t="n">
        <v>4</v>
      </c>
      <c r="I122" s="10" t="inlineStr">
        <is>
          <t>1/2</t>
        </is>
      </c>
      <c r="J122" s="12" t="n">
        <v>0.5</v>
      </c>
      <c r="K122" t="inlineStr">
        <is>
          <t>Premium</t>
        </is>
      </c>
      <c r="L122" t="inlineStr">
        <is>
          <t>Professional</t>
        </is>
      </c>
      <c r="M122" t="inlineStr">
        <is>
          <t>Ela Cross</t>
        </is>
      </c>
    </row>
    <row r="123">
      <c r="A123" s="9" t="inlineStr">
        <is>
          <t>Andrew Gehlot</t>
        </is>
      </c>
      <c r="B123" s="9" t="inlineStr">
        <is>
          <t>11/2/25 - 11/29/25</t>
        </is>
      </c>
      <c r="C123" s="12" t="n">
        <v>0.48</v>
      </c>
      <c r="D123" s="12" t="n">
        <v>0.89</v>
      </c>
      <c r="E123" s="12" t="n">
        <v>0.9399999999999999</v>
      </c>
      <c r="F123" s="12" t="n">
        <v>0.97</v>
      </c>
      <c r="G123" s="12" t="n">
        <v>0.79</v>
      </c>
      <c r="H123" s="9" t="n">
        <v>3</v>
      </c>
      <c r="I123" s="13" t="n">
        <v>45658</v>
      </c>
      <c r="J123" s="12" t="n">
        <v>1</v>
      </c>
      <c r="K123" t="inlineStr">
        <is>
          <t>Premium</t>
        </is>
      </c>
      <c r="L123" t="inlineStr">
        <is>
          <t>Professional</t>
        </is>
      </c>
      <c r="M123" t="inlineStr">
        <is>
          <t>Ela Cross</t>
        </is>
      </c>
    </row>
    <row r="124">
      <c r="A124" s="9" t="inlineStr">
        <is>
          <t>Andrew Gehlot</t>
        </is>
      </c>
      <c r="B124" s="9" t="inlineStr">
        <is>
          <t>11/30/25 - 12/27/25</t>
        </is>
      </c>
      <c r="C124" s="12" t="n">
        <v>0.48</v>
      </c>
      <c r="D124" s="12" t="n">
        <v>1</v>
      </c>
      <c r="E124" s="12" t="n">
        <v>1</v>
      </c>
      <c r="F124" s="12" t="n">
        <v>0.9399999999999999</v>
      </c>
      <c r="G124" s="12" t="n">
        <v>0.8</v>
      </c>
      <c r="H124" s="9" t="n">
        <v>1</v>
      </c>
      <c r="I124" s="10" t="n"/>
      <c r="J124" s="12" t="n"/>
      <c r="K124" t="inlineStr">
        <is>
          <t>Premium</t>
        </is>
      </c>
      <c r="L124" t="inlineStr">
        <is>
          <t>Professional</t>
        </is>
      </c>
      <c r="M124" t="inlineStr">
        <is>
          <t>Ela Cross</t>
        </is>
      </c>
    </row>
    <row r="125">
      <c r="A125" s="9" t="inlineStr">
        <is>
          <t>Andrew Gehlot</t>
        </is>
      </c>
      <c r="B125" s="9" t="inlineStr">
        <is>
          <t>12/28/25 - 1/25/26</t>
        </is>
      </c>
      <c r="C125" s="12" t="n">
        <v>0.2125</v>
      </c>
      <c r="D125" s="12" t="n">
        <v>1.1382</v>
      </c>
      <c r="E125" s="12" t="n">
        <v>0.913043478</v>
      </c>
      <c r="F125" s="12" t="n">
        <v>1</v>
      </c>
      <c r="G125" s="12" t="n">
        <v>0.555555556</v>
      </c>
      <c r="H125" s="9" t="n">
        <v>2</v>
      </c>
      <c r="I125" s="10" t="n">
        <v>1</v>
      </c>
      <c r="J125" s="12">
        <f>I125</f>
        <v/>
      </c>
      <c r="K125" t="inlineStr">
        <is>
          <t>Premium</t>
        </is>
      </c>
      <c r="L125" t="inlineStr">
        <is>
          <t>Professional</t>
        </is>
      </c>
      <c r="M125" t="inlineStr">
        <is>
          <t>Ela Cross</t>
        </is>
      </c>
    </row>
    <row r="126">
      <c r="A126" s="9" t="inlineStr">
        <is>
          <t>Andrew Gehlot</t>
        </is>
      </c>
      <c r="B126" s="9" t="inlineStr">
        <is>
          <t>5/18/25 - 6/14/25</t>
        </is>
      </c>
      <c r="C126" s="12" t="n">
        <v>0.57</v>
      </c>
      <c r="D126" s="12" t="n">
        <v>0.9</v>
      </c>
      <c r="E126" s="12" t="n">
        <v>0.95</v>
      </c>
      <c r="F126" s="12" t="n">
        <v>0.92</v>
      </c>
      <c r="G126" s="12" t="n">
        <v>0.71</v>
      </c>
      <c r="H126" s="9" t="e">
        <v>#N/A</v>
      </c>
      <c r="I126" s="10" t="n">
        <v>1</v>
      </c>
      <c r="J126" s="12">
        <f>I126</f>
        <v/>
      </c>
      <c r="K126" t="inlineStr">
        <is>
          <t>Premium</t>
        </is>
      </c>
      <c r="L126" t="inlineStr">
        <is>
          <t>Professional</t>
        </is>
      </c>
      <c r="M126" t="inlineStr">
        <is>
          <t>Ela Cross</t>
        </is>
      </c>
    </row>
    <row r="127">
      <c r="A127" s="9" t="inlineStr">
        <is>
          <t>Andrew Gehlot</t>
        </is>
      </c>
      <c r="B127" s="9" t="inlineStr">
        <is>
          <t>6/15/25 - 7/12/25</t>
        </is>
      </c>
      <c r="C127" s="12" t="n">
        <v>0.26</v>
      </c>
      <c r="D127" s="12" t="n">
        <v>0.85</v>
      </c>
      <c r="E127" s="12" t="n">
        <v>0.95</v>
      </c>
      <c r="F127" s="12" t="n">
        <v>0.9399999999999999</v>
      </c>
      <c r="G127" s="12" t="n">
        <v>0.67</v>
      </c>
      <c r="H127" s="9" t="n">
        <v>2</v>
      </c>
      <c r="I127" s="10" t="inlineStr">
        <is>
          <t xml:space="preserve"> 1/2</t>
        </is>
      </c>
      <c r="J127" s="12" t="n">
        <v>0.5</v>
      </c>
      <c r="K127" t="inlineStr">
        <is>
          <t>Premium</t>
        </is>
      </c>
      <c r="L127" t="inlineStr">
        <is>
          <t>Professional</t>
        </is>
      </c>
      <c r="M127" t="inlineStr">
        <is>
          <t>Ela Cross</t>
        </is>
      </c>
    </row>
    <row r="128">
      <c r="A128" s="9" t="inlineStr">
        <is>
          <t>Andrew Gehlot</t>
        </is>
      </c>
      <c r="B128" s="9" t="inlineStr">
        <is>
          <t>7/13/25 - 8/10/25</t>
        </is>
      </c>
      <c r="C128" s="12" t="n">
        <v>0.57</v>
      </c>
      <c r="D128" s="12" t="n">
        <v>1.03</v>
      </c>
      <c r="E128" s="12" t="n">
        <v>0.98</v>
      </c>
      <c r="F128" s="12" t="n">
        <v>1</v>
      </c>
      <c r="G128" s="12" t="n">
        <v>0.71</v>
      </c>
      <c r="H128" s="9" t="n">
        <v>3</v>
      </c>
      <c r="I128" s="10" t="n">
        <v>1</v>
      </c>
      <c r="J128" s="12">
        <f>I128</f>
        <v/>
      </c>
      <c r="K128" t="inlineStr">
        <is>
          <t>Premium</t>
        </is>
      </c>
      <c r="L128" t="inlineStr">
        <is>
          <t>Professional</t>
        </is>
      </c>
      <c r="M128" t="inlineStr">
        <is>
          <t>Ela Cross</t>
        </is>
      </c>
    </row>
    <row r="129">
      <c r="A129" s="9" t="inlineStr">
        <is>
          <t>Andrew Gehlot</t>
        </is>
      </c>
      <c r="B129" s="9" t="inlineStr">
        <is>
          <t>8/10/25 - 9/6/25</t>
        </is>
      </c>
      <c r="C129" s="12" t="n">
        <v>0.78</v>
      </c>
      <c r="D129" s="12" t="n">
        <v>1.01</v>
      </c>
      <c r="E129" s="12" t="n">
        <v>0.99</v>
      </c>
      <c r="F129" s="12" t="n">
        <v>0.88</v>
      </c>
      <c r="G129" s="12" t="n">
        <v>0.85</v>
      </c>
      <c r="H129" s="9" t="n">
        <v>0</v>
      </c>
      <c r="I129" s="10" t="inlineStr">
        <is>
          <t>1/2</t>
        </is>
      </c>
      <c r="J129" s="12" t="n">
        <v>0.5</v>
      </c>
      <c r="K129" t="inlineStr">
        <is>
          <t>Premium</t>
        </is>
      </c>
      <c r="L129" t="inlineStr">
        <is>
          <t>Professional</t>
        </is>
      </c>
      <c r="M129" t="inlineStr">
        <is>
          <t>Ela Cross</t>
        </is>
      </c>
    </row>
    <row r="130">
      <c r="A130" s="9" t="inlineStr">
        <is>
          <t>Andrew Gehlot</t>
        </is>
      </c>
      <c r="B130" s="9" t="inlineStr">
        <is>
          <t>9/7/25 - 10/4/25</t>
        </is>
      </c>
      <c r="C130" s="12" t="n">
        <v>0.57</v>
      </c>
      <c r="D130" s="12" t="n">
        <v>1.06</v>
      </c>
      <c r="E130" s="12" t="n">
        <v>0.98</v>
      </c>
      <c r="F130" s="12" t="n">
        <v>0.84</v>
      </c>
      <c r="G130" s="12" t="n">
        <v>0.64</v>
      </c>
      <c r="H130" s="9" t="n">
        <v>3</v>
      </c>
      <c r="I130" s="10" t="inlineStr">
        <is>
          <t>1/3</t>
        </is>
      </c>
      <c r="J130" s="12" t="n">
        <v>0.33</v>
      </c>
      <c r="K130" t="inlineStr">
        <is>
          <t>Premium</t>
        </is>
      </c>
      <c r="L130" t="inlineStr">
        <is>
          <t>Professional</t>
        </is>
      </c>
      <c r="M130" t="inlineStr">
        <is>
          <t>Ela Cross</t>
        </is>
      </c>
    </row>
    <row r="131">
      <c r="A131" s="9" t="inlineStr">
        <is>
          <t>Angelina Guzman</t>
        </is>
      </c>
      <c r="B131" s="9" t="inlineStr">
        <is>
          <t>5/18/25 - 6/14/25</t>
        </is>
      </c>
      <c r="C131" s="12" t="n">
        <v>0.79</v>
      </c>
      <c r="D131" s="12" t="n">
        <v>0.98</v>
      </c>
      <c r="E131" s="12" t="n">
        <v>1</v>
      </c>
      <c r="F131" s="12" t="n">
        <v>1</v>
      </c>
      <c r="G131" s="12" t="n">
        <v>0.82</v>
      </c>
      <c r="H131" s="9" t="n">
        <v>4</v>
      </c>
      <c r="I131" s="10" t="n">
        <v>1</v>
      </c>
      <c r="J131" s="12">
        <f>I131</f>
        <v/>
      </c>
      <c r="K131" t="e">
        <v>#N/A</v>
      </c>
      <c r="L131" t="e">
        <v>#N/A</v>
      </c>
      <c r="M131" t="e">
        <v>#N/A</v>
      </c>
    </row>
    <row r="132">
      <c r="A132" s="9" t="inlineStr">
        <is>
          <t>Angelina Guzman</t>
        </is>
      </c>
      <c r="B132" s="9" t="inlineStr">
        <is>
          <t>6/15/25 - 7/12/25</t>
        </is>
      </c>
      <c r="C132" s="12" t="n">
        <v>0.62</v>
      </c>
      <c r="D132" s="12" t="n">
        <v>1.04</v>
      </c>
      <c r="E132" s="12" t="n">
        <v>1</v>
      </c>
      <c r="F132" s="12" t="n">
        <v>1</v>
      </c>
      <c r="G132" s="12" t="n">
        <v>0.77</v>
      </c>
      <c r="H132" s="9" t="n">
        <v>2</v>
      </c>
      <c r="I132" s="10" t="inlineStr">
        <is>
          <t xml:space="preserve"> 6/7</t>
        </is>
      </c>
      <c r="J132" s="12" t="n">
        <v>0.86</v>
      </c>
      <c r="K132" t="e">
        <v>#N/A</v>
      </c>
      <c r="L132" t="e">
        <v>#N/A</v>
      </c>
      <c r="M132" t="e">
        <v>#N/A</v>
      </c>
    </row>
    <row r="133">
      <c r="A133" s="9" t="inlineStr">
        <is>
          <t>Angelina Guzman</t>
        </is>
      </c>
      <c r="B133" s="9" t="inlineStr">
        <is>
          <t>7/13/25 - 8/10/25</t>
        </is>
      </c>
      <c r="C133" s="12" t="n">
        <v>0.87</v>
      </c>
      <c r="D133" s="12" t="n">
        <v>1.03</v>
      </c>
      <c r="E133" s="12" t="n">
        <v>0.99</v>
      </c>
      <c r="F133" s="12" t="n">
        <v>1</v>
      </c>
      <c r="G133" s="12" t="n">
        <v>0.8</v>
      </c>
      <c r="H133" s="9" t="n">
        <v>9</v>
      </c>
      <c r="I133" s="10" t="inlineStr">
        <is>
          <t xml:space="preserve"> 4/5</t>
        </is>
      </c>
      <c r="J133" s="12" t="n">
        <v>0.8</v>
      </c>
      <c r="K133" t="e">
        <v>#N/A</v>
      </c>
      <c r="L133" t="e">
        <v>#N/A</v>
      </c>
      <c r="M133" t="e">
        <v>#N/A</v>
      </c>
    </row>
    <row r="134">
      <c r="A134" s="9" t="inlineStr">
        <is>
          <t>Angelina Guzman</t>
        </is>
      </c>
      <c r="B134" s="9" t="inlineStr">
        <is>
          <t>8/10/25 - 9/6/25</t>
        </is>
      </c>
      <c r="C134" s="12" t="n">
        <v>0.8100000000000001</v>
      </c>
      <c r="D134" s="12" t="n">
        <v>1.03</v>
      </c>
      <c r="E134" s="12" t="n">
        <v>1</v>
      </c>
      <c r="F134" s="12" t="n">
        <v>1</v>
      </c>
      <c r="G134" s="12" t="n">
        <v>0.7</v>
      </c>
      <c r="H134" s="9" t="n">
        <v>1</v>
      </c>
      <c r="I134" s="10" t="inlineStr">
        <is>
          <t>1/1</t>
        </is>
      </c>
      <c r="J134" s="12" t="n">
        <v>1</v>
      </c>
      <c r="K134" t="e">
        <v>#N/A</v>
      </c>
      <c r="L134" t="e">
        <v>#N/A</v>
      </c>
      <c r="M134" t="e">
        <v>#N/A</v>
      </c>
    </row>
    <row r="135">
      <c r="A135" s="9" t="inlineStr">
        <is>
          <t>Angelina Guzman</t>
        </is>
      </c>
      <c r="B135" s="9" t="inlineStr">
        <is>
          <t>9/7/25 - 10/4/25</t>
        </is>
      </c>
      <c r="C135" s="12" t="n">
        <v>0.65</v>
      </c>
      <c r="D135" s="12" t="n">
        <v>1</v>
      </c>
      <c r="E135" s="12" t="n">
        <v>1</v>
      </c>
      <c r="F135" s="12" t="n">
        <v>0.98</v>
      </c>
      <c r="G135" s="12" t="n">
        <v>0.73</v>
      </c>
      <c r="H135" s="9" t="n">
        <v>1</v>
      </c>
      <c r="I135" s="10" t="inlineStr">
        <is>
          <t>0/1</t>
        </is>
      </c>
      <c r="J135" s="12" t="n">
        <v>0</v>
      </c>
      <c r="K135" t="e">
        <v>#N/A</v>
      </c>
      <c r="L135" t="e">
        <v>#N/A</v>
      </c>
      <c r="M135" t="e">
        <v>#N/A</v>
      </c>
    </row>
    <row r="136">
      <c r="A136" s="9" t="inlineStr">
        <is>
          <t>Anna Gilbert</t>
        </is>
      </c>
      <c r="B136" s="9" t="inlineStr">
        <is>
          <t>10/5/25 - 11/1/25</t>
        </is>
      </c>
      <c r="C136" s="12" t="n">
        <v>0.625</v>
      </c>
      <c r="D136" s="12" t="n">
        <v>1.0039</v>
      </c>
      <c r="E136" s="12" t="n">
        <v>1</v>
      </c>
      <c r="F136" s="12" t="n">
        <v>1</v>
      </c>
      <c r="G136" s="12" t="n">
        <v>0.666666666666666</v>
      </c>
      <c r="H136" s="9" t="n">
        <v>0</v>
      </c>
      <c r="I136" s="10" t="inlineStr">
        <is>
          <t>1/1</t>
        </is>
      </c>
      <c r="J136" s="12" t="n">
        <v>1</v>
      </c>
      <c r="K136" t="e">
        <v>#N/A</v>
      </c>
      <c r="L136" t="e">
        <v>#N/A</v>
      </c>
      <c r="M136" t="e">
        <v>#N/A</v>
      </c>
    </row>
    <row r="137">
      <c r="A137" s="9" t="inlineStr">
        <is>
          <t>Anna Gilbert</t>
        </is>
      </c>
      <c r="B137" s="9" t="inlineStr">
        <is>
          <t>11/2/25 - 11/29/25</t>
        </is>
      </c>
      <c r="C137" s="12" t="n">
        <v>0.46</v>
      </c>
      <c r="D137" s="12" t="n">
        <v>0.88</v>
      </c>
      <c r="E137" s="12" t="n">
        <v>1</v>
      </c>
      <c r="F137" s="12" t="n">
        <v>1</v>
      </c>
      <c r="G137" s="12" t="n">
        <v>1</v>
      </c>
      <c r="H137" s="9" t="n">
        <v>1</v>
      </c>
      <c r="I137" s="13" t="n">
        <v>45658</v>
      </c>
      <c r="J137" s="12" t="n">
        <v>1</v>
      </c>
      <c r="K137" t="e">
        <v>#N/A</v>
      </c>
      <c r="L137" t="e">
        <v>#N/A</v>
      </c>
      <c r="M137" t="e">
        <v>#N/A</v>
      </c>
    </row>
    <row r="138">
      <c r="A138" s="9" t="inlineStr">
        <is>
          <t>Anna Gilbert</t>
        </is>
      </c>
      <c r="B138" s="9" t="inlineStr">
        <is>
          <t>11/30/25 - 12/27/25</t>
        </is>
      </c>
      <c r="C138" s="12" t="n">
        <v>0.35</v>
      </c>
      <c r="D138" s="12" t="n">
        <v>0.88</v>
      </c>
      <c r="E138" s="12" t="n">
        <v>1</v>
      </c>
      <c r="F138" s="12" t="n">
        <v>1</v>
      </c>
      <c r="G138" s="12" t="n">
        <v>1</v>
      </c>
      <c r="H138" s="9" t="n">
        <v>3</v>
      </c>
      <c r="I138" s="10" t="n"/>
      <c r="J138" s="12" t="n"/>
      <c r="K138" t="e">
        <v>#N/A</v>
      </c>
      <c r="L138" t="e">
        <v>#N/A</v>
      </c>
      <c r="M138" t="e">
        <v>#N/A</v>
      </c>
    </row>
    <row r="139">
      <c r="A139" s="9" t="inlineStr">
        <is>
          <t>Anna Gilbert</t>
        </is>
      </c>
      <c r="B139" s="9" t="inlineStr">
        <is>
          <t>12/28/25 - 1/25/26</t>
        </is>
      </c>
      <c r="C139" s="12" t="n">
        <v>0.5729</v>
      </c>
      <c r="D139" s="12" t="n">
        <v>0.9375</v>
      </c>
      <c r="E139" s="12" t="n">
        <v>1</v>
      </c>
      <c r="F139" s="12" t="n">
        <v>1</v>
      </c>
      <c r="G139" s="12" t="n">
        <v>0.8</v>
      </c>
      <c r="H139" s="9" t="n">
        <v>0</v>
      </c>
      <c r="I139" s="10" t="n">
        <v>1</v>
      </c>
      <c r="J139" s="12">
        <f>I139</f>
        <v/>
      </c>
      <c r="K139" t="e">
        <v>#N/A</v>
      </c>
      <c r="L139" t="e">
        <v>#N/A</v>
      </c>
      <c r="M139" t="e">
        <v>#N/A</v>
      </c>
    </row>
    <row r="140">
      <c r="A140" s="9" t="inlineStr">
        <is>
          <t>Anna Gilbert</t>
        </is>
      </c>
      <c r="B140" s="9" t="inlineStr">
        <is>
          <t>5/18/25 - 6/14/25</t>
        </is>
      </c>
      <c r="C140" s="12" t="n">
        <v>1</v>
      </c>
      <c r="D140" s="12" t="n">
        <v>1.22</v>
      </c>
      <c r="E140" s="12" t="n">
        <v>1</v>
      </c>
      <c r="F140" s="12" t="n">
        <v>1</v>
      </c>
      <c r="G140" s="12" t="n">
        <v>0.71</v>
      </c>
      <c r="H140" s="9" t="n">
        <v>4</v>
      </c>
      <c r="I140" s="10" t="n">
        <v>1</v>
      </c>
      <c r="J140" s="12">
        <f>I140</f>
        <v/>
      </c>
      <c r="K140" t="e">
        <v>#N/A</v>
      </c>
      <c r="L140" t="e">
        <v>#N/A</v>
      </c>
      <c r="M140" t="e">
        <v>#N/A</v>
      </c>
    </row>
    <row r="141">
      <c r="A141" s="9" t="inlineStr">
        <is>
          <t>Anna Gilbert</t>
        </is>
      </c>
      <c r="B141" s="9" t="inlineStr">
        <is>
          <t>6/15/25 - 7/12/25</t>
        </is>
      </c>
      <c r="C141" s="12" t="n">
        <v>0.26</v>
      </c>
      <c r="D141" s="12" t="n">
        <v>0.98</v>
      </c>
      <c r="E141" s="12" t="n">
        <v>1</v>
      </c>
      <c r="F141" s="12" t="n">
        <v>1</v>
      </c>
      <c r="G141" s="12" t="n">
        <v>0.89</v>
      </c>
      <c r="H141" s="9" t="e">
        <v>#N/A</v>
      </c>
      <c r="I141" s="10" t="n">
        <v>1</v>
      </c>
      <c r="J141" s="12">
        <f>I141</f>
        <v/>
      </c>
      <c r="K141" t="e">
        <v>#N/A</v>
      </c>
      <c r="L141" t="e">
        <v>#N/A</v>
      </c>
      <c r="M141" t="e">
        <v>#N/A</v>
      </c>
    </row>
    <row r="142">
      <c r="A142" s="9" t="inlineStr">
        <is>
          <t>Anna Gilbert</t>
        </is>
      </c>
      <c r="B142" s="9" t="inlineStr">
        <is>
          <t>7/13/25 - 8/10/25</t>
        </is>
      </c>
      <c r="C142" s="12" t="n">
        <v>0.45</v>
      </c>
      <c r="D142" s="12" t="n">
        <v>1.08</v>
      </c>
      <c r="E142" s="12" t="n">
        <v>1</v>
      </c>
      <c r="F142" s="12" t="n">
        <v>1</v>
      </c>
      <c r="G142" s="12" t="n">
        <v>0.82</v>
      </c>
      <c r="H142" s="9" t="n">
        <v>1</v>
      </c>
      <c r="I142" s="10" t="n">
        <v>1</v>
      </c>
      <c r="J142" s="12">
        <f>I142</f>
        <v/>
      </c>
      <c r="K142" t="e">
        <v>#N/A</v>
      </c>
      <c r="L142" t="e">
        <v>#N/A</v>
      </c>
      <c r="M142" t="e">
        <v>#N/A</v>
      </c>
    </row>
    <row r="143">
      <c r="A143" s="9" t="inlineStr">
        <is>
          <t>Anna Gilbert</t>
        </is>
      </c>
      <c r="B143" s="9" t="inlineStr">
        <is>
          <t>8/10/25 - 9/6/25</t>
        </is>
      </c>
      <c r="C143" s="12" t="n">
        <v>0.8100000000000001</v>
      </c>
      <c r="D143" s="12" t="n">
        <v>0.97</v>
      </c>
      <c r="E143" s="12" t="n">
        <v>1</v>
      </c>
      <c r="F143" s="12" t="n">
        <v>1</v>
      </c>
      <c r="G143" s="12" t="n">
        <v>0.5600000000000001</v>
      </c>
      <c r="H143" s="9" t="n">
        <v>5</v>
      </c>
      <c r="I143" s="11" t="n"/>
      <c r="J143" s="12" t="n"/>
      <c r="K143" t="e">
        <v>#N/A</v>
      </c>
      <c r="L143" t="e">
        <v>#N/A</v>
      </c>
      <c r="M143" t="e">
        <v>#N/A</v>
      </c>
    </row>
    <row r="144">
      <c r="A144" s="9" t="inlineStr">
        <is>
          <t>Anna Gilbert</t>
        </is>
      </c>
      <c r="B144" s="9" t="inlineStr">
        <is>
          <t>9/7/25 - 10/4/25</t>
        </is>
      </c>
      <c r="C144" s="12" t="n">
        <v>0.79</v>
      </c>
      <c r="D144" s="12" t="n">
        <v>1</v>
      </c>
      <c r="E144" s="12" t="n">
        <v>1</v>
      </c>
      <c r="F144" s="12" t="n">
        <v>0.97</v>
      </c>
      <c r="G144" s="12" t="n">
        <v>0.55</v>
      </c>
      <c r="H144" s="9" t="n">
        <v>3</v>
      </c>
      <c r="I144" s="11" t="n"/>
      <c r="J144" s="12" t="n"/>
      <c r="K144" t="e">
        <v>#N/A</v>
      </c>
      <c r="L144" t="e">
        <v>#N/A</v>
      </c>
      <c r="M144" t="e">
        <v>#N/A</v>
      </c>
    </row>
    <row r="145">
      <c r="A145" s="9" t="inlineStr">
        <is>
          <t>Annie Sylvester</t>
        </is>
      </c>
      <c r="B145" s="9" t="inlineStr">
        <is>
          <t>12/28/25 - 1/25/26</t>
        </is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9" t="n">
        <v>0</v>
      </c>
      <c r="I145" s="10" t="inlineStr">
        <is>
          <t>0/0</t>
        </is>
      </c>
      <c r="J145" s="12" t="n">
        <v>0</v>
      </c>
      <c r="K145" t="inlineStr">
        <is>
          <t>Distinguished</t>
        </is>
      </c>
      <c r="L145" t="inlineStr">
        <is>
          <t>Professional</t>
        </is>
      </c>
      <c r="M145" t="inlineStr">
        <is>
          <t>Ela Cross</t>
        </is>
      </c>
    </row>
    <row r="146">
      <c r="A146" s="9" t="inlineStr">
        <is>
          <t>Armand Brouty</t>
        </is>
      </c>
      <c r="B146" s="9" t="inlineStr">
        <is>
          <t>10/5/25 - 11/1/25</t>
        </is>
      </c>
      <c r="C146" s="12" t="n">
        <v>0.6647</v>
      </c>
      <c r="D146" s="12" t="n">
        <v>1.70719999999999</v>
      </c>
      <c r="E146" s="12" t="n">
        <v>0.986842105263157</v>
      </c>
      <c r="F146" s="12" t="n">
        <v>1</v>
      </c>
      <c r="G146" s="12" t="n">
        <v>0.9375</v>
      </c>
      <c r="H146" s="9" t="n">
        <v>3</v>
      </c>
      <c r="I146" s="10" t="inlineStr">
        <is>
          <t>3/4</t>
        </is>
      </c>
      <c r="J146" s="12" t="n">
        <v>0.75</v>
      </c>
      <c r="K146" t="inlineStr">
        <is>
          <t>Distinguished</t>
        </is>
      </c>
      <c r="L146" t="inlineStr">
        <is>
          <t>Professional</t>
        </is>
      </c>
      <c r="M146" t="inlineStr">
        <is>
          <t>Geoff St. Marie</t>
        </is>
      </c>
    </row>
    <row r="147">
      <c r="A147" s="9" t="inlineStr">
        <is>
          <t>Armand Brouty</t>
        </is>
      </c>
      <c r="B147" s="9" t="inlineStr">
        <is>
          <t>11/2/25 - 11/29/25</t>
        </is>
      </c>
      <c r="C147" s="12" t="n">
        <v>0.82</v>
      </c>
      <c r="D147" s="12" t="n">
        <v>1.62</v>
      </c>
      <c r="E147" s="12" t="n">
        <v>0.96</v>
      </c>
      <c r="F147" s="12" t="n">
        <v>1</v>
      </c>
      <c r="G147" s="12" t="n">
        <v>0.87</v>
      </c>
      <c r="H147" s="9" t="n">
        <v>5</v>
      </c>
      <c r="I147" s="13" t="n">
        <v>45845</v>
      </c>
      <c r="J147" s="12" t="n">
        <v>1</v>
      </c>
      <c r="K147" t="inlineStr">
        <is>
          <t>Distinguished</t>
        </is>
      </c>
      <c r="L147" t="inlineStr">
        <is>
          <t>Professional</t>
        </is>
      </c>
      <c r="M147" t="inlineStr">
        <is>
          <t>Geoff St. Marie</t>
        </is>
      </c>
    </row>
    <row r="148">
      <c r="A148" s="9" t="inlineStr">
        <is>
          <t>Armand Brouty</t>
        </is>
      </c>
      <c r="B148" s="9" t="inlineStr">
        <is>
          <t>11/30/25 - 12/27/25</t>
        </is>
      </c>
      <c r="C148" s="12" t="n">
        <v>0.63</v>
      </c>
      <c r="D148" s="12" t="n">
        <v>1.54</v>
      </c>
      <c r="E148" s="12" t="n">
        <v>1</v>
      </c>
      <c r="F148" s="12" t="n">
        <v>1</v>
      </c>
      <c r="G148" s="12" t="n">
        <v>0.9399999999999999</v>
      </c>
      <c r="H148" s="9" t="n">
        <v>0</v>
      </c>
      <c r="I148" s="10" t="n">
        <v>0.8571428571428571</v>
      </c>
      <c r="J148" s="12">
        <f>6/7</f>
        <v/>
      </c>
      <c r="K148" t="inlineStr">
        <is>
          <t>Distinguished</t>
        </is>
      </c>
      <c r="L148" t="inlineStr">
        <is>
          <t>Professional</t>
        </is>
      </c>
      <c r="M148" t="inlineStr">
        <is>
          <t>Geoff St. Marie</t>
        </is>
      </c>
    </row>
    <row r="149">
      <c r="A149" s="9" t="inlineStr">
        <is>
          <t>Armand Brouty</t>
        </is>
      </c>
      <c r="B149" s="9" t="inlineStr">
        <is>
          <t>12/28/25 - 1/25/26</t>
        </is>
      </c>
      <c r="C149" s="12" t="n">
        <v>0.7292</v>
      </c>
      <c r="D149" s="12" t="n">
        <v>1.7089</v>
      </c>
      <c r="E149" s="12" t="n">
        <v>0.988235294</v>
      </c>
      <c r="F149" s="12" t="n">
        <v>1</v>
      </c>
      <c r="G149" s="12" t="n">
        <v>0.923076923</v>
      </c>
      <c r="H149" s="9" t="n">
        <v>2</v>
      </c>
      <c r="I149" s="10" t="n">
        <v>1</v>
      </c>
      <c r="J149" s="12">
        <f>I149</f>
        <v/>
      </c>
      <c r="K149" t="inlineStr">
        <is>
          <t>Distinguished</t>
        </is>
      </c>
      <c r="L149" t="inlineStr">
        <is>
          <t>Professional</t>
        </is>
      </c>
      <c r="M149" t="inlineStr">
        <is>
          <t>Geoff St. Marie</t>
        </is>
      </c>
    </row>
    <row r="150">
      <c r="A150" s="9" t="inlineStr">
        <is>
          <t>Armand Brouty</t>
        </is>
      </c>
      <c r="B150" s="9" t="inlineStr">
        <is>
          <t>5/18/25 - 6/14/25</t>
        </is>
      </c>
      <c r="C150" s="12" t="n">
        <v>0.65</v>
      </c>
      <c r="D150" s="12" t="n">
        <v>1.69</v>
      </c>
      <c r="E150" s="12" t="n">
        <v>1</v>
      </c>
      <c r="F150" s="12" t="n">
        <v>1</v>
      </c>
      <c r="G150" s="12" t="n">
        <v>1</v>
      </c>
      <c r="H150" s="9" t="n">
        <v>4</v>
      </c>
      <c r="I150" s="10" t="inlineStr">
        <is>
          <t xml:space="preserve"> 4/5</t>
        </is>
      </c>
      <c r="J150" s="12" t="n">
        <v>0.8</v>
      </c>
      <c r="K150" t="inlineStr">
        <is>
          <t>Distinguished</t>
        </is>
      </c>
      <c r="L150" t="inlineStr">
        <is>
          <t>Professional</t>
        </is>
      </c>
      <c r="M150" t="inlineStr">
        <is>
          <t>Geoff St. Marie</t>
        </is>
      </c>
    </row>
    <row r="151">
      <c r="A151" s="9" t="inlineStr">
        <is>
          <t>Armand Brouty</t>
        </is>
      </c>
      <c r="B151" s="9" t="inlineStr">
        <is>
          <t>6/15/25 - 7/12/25</t>
        </is>
      </c>
      <c r="C151" s="12" t="n">
        <v>0.59</v>
      </c>
      <c r="D151" s="12" t="n">
        <v>1.68</v>
      </c>
      <c r="E151" s="12" t="n">
        <v>0.99</v>
      </c>
      <c r="F151" s="12" t="n">
        <v>1</v>
      </c>
      <c r="G151" s="12" t="n">
        <v>0.8100000000000001</v>
      </c>
      <c r="H151" s="9" t="n">
        <v>2</v>
      </c>
      <c r="I151" s="10" t="n">
        <v>1</v>
      </c>
      <c r="J151" s="12">
        <f>I151</f>
        <v/>
      </c>
      <c r="K151" t="inlineStr">
        <is>
          <t>Distinguished</t>
        </is>
      </c>
      <c r="L151" t="inlineStr">
        <is>
          <t>Professional</t>
        </is>
      </c>
      <c r="M151" t="inlineStr">
        <is>
          <t>Geoff St. Marie</t>
        </is>
      </c>
    </row>
    <row r="152">
      <c r="A152" s="9" t="inlineStr">
        <is>
          <t>Armand Brouty</t>
        </is>
      </c>
      <c r="B152" s="9" t="inlineStr">
        <is>
          <t>7/13/25 - 8/10/25</t>
        </is>
      </c>
      <c r="C152" s="12" t="n">
        <v>1.02</v>
      </c>
      <c r="D152" s="12" t="n">
        <v>1.68</v>
      </c>
      <c r="E152" s="12" t="n">
        <v>0.96</v>
      </c>
      <c r="F152" s="12" t="n">
        <v>1</v>
      </c>
      <c r="G152" s="12" t="n">
        <v>0.75</v>
      </c>
      <c r="H152" s="9" t="n">
        <v>1</v>
      </c>
      <c r="I152" s="10" t="n">
        <v>1</v>
      </c>
      <c r="J152" s="12">
        <f>I152</f>
        <v/>
      </c>
      <c r="K152" t="inlineStr">
        <is>
          <t>Distinguished</t>
        </is>
      </c>
      <c r="L152" t="inlineStr">
        <is>
          <t>Professional</t>
        </is>
      </c>
      <c r="M152" t="inlineStr">
        <is>
          <t>Geoff St. Marie</t>
        </is>
      </c>
    </row>
    <row r="153">
      <c r="A153" s="9" t="inlineStr">
        <is>
          <t>Armand Brouty</t>
        </is>
      </c>
      <c r="B153" s="9" t="inlineStr">
        <is>
          <t>8/10/25 - 9/6/25</t>
        </is>
      </c>
      <c r="C153" s="12" t="n">
        <v>0.67</v>
      </c>
      <c r="D153" s="12" t="n">
        <v>1.59</v>
      </c>
      <c r="E153" s="12" t="n">
        <v>0.98</v>
      </c>
      <c r="F153" s="12" t="n">
        <v>0.97</v>
      </c>
      <c r="G153" s="12" t="n">
        <v>1</v>
      </c>
      <c r="H153" s="9" t="n">
        <v>1</v>
      </c>
      <c r="I153" s="10" t="inlineStr">
        <is>
          <t>1/1</t>
        </is>
      </c>
      <c r="J153" s="12" t="n">
        <v>1</v>
      </c>
      <c r="K153" t="inlineStr">
        <is>
          <t>Distinguished</t>
        </is>
      </c>
      <c r="L153" t="inlineStr">
        <is>
          <t>Professional</t>
        </is>
      </c>
      <c r="M153" t="inlineStr">
        <is>
          <t>Geoff St. Marie</t>
        </is>
      </c>
    </row>
    <row r="154">
      <c r="A154" s="9" t="inlineStr">
        <is>
          <t>Armand Brouty</t>
        </is>
      </c>
      <c r="B154" s="9" t="inlineStr">
        <is>
          <t>9/7/25 - 10/4/25</t>
        </is>
      </c>
      <c r="C154" s="12" t="n">
        <v>0.62</v>
      </c>
      <c r="D154" s="12" t="n">
        <v>1.75</v>
      </c>
      <c r="E154" s="12" t="n">
        <v>0.97</v>
      </c>
      <c r="F154" s="12" t="n">
        <v>1</v>
      </c>
      <c r="G154" s="12" t="n">
        <v>0.83</v>
      </c>
      <c r="H154" s="9" t="n">
        <v>2</v>
      </c>
      <c r="I154" s="10" t="inlineStr">
        <is>
          <t>3/3</t>
        </is>
      </c>
      <c r="J154" s="12" t="n">
        <v>1</v>
      </c>
      <c r="K154" t="inlineStr">
        <is>
          <t>Distinguished</t>
        </is>
      </c>
      <c r="L154" t="inlineStr">
        <is>
          <t>Professional</t>
        </is>
      </c>
      <c r="M154" t="inlineStr">
        <is>
          <t>Geoff St. Marie</t>
        </is>
      </c>
    </row>
    <row r="155">
      <c r="A155" s="9" t="inlineStr">
        <is>
          <t>Aryan Jazayeri</t>
        </is>
      </c>
      <c r="B155" s="9" t="inlineStr">
        <is>
          <t>10/5/25 - 11/1/25</t>
        </is>
      </c>
      <c r="C155" s="12" t="n">
        <v>0.6938</v>
      </c>
      <c r="D155" s="12" t="n">
        <v>0.974</v>
      </c>
      <c r="E155" s="12" t="n">
        <v>1</v>
      </c>
      <c r="F155" s="12" t="n">
        <v>1</v>
      </c>
      <c r="G155" s="12" t="n">
        <v>0.8</v>
      </c>
      <c r="H155" s="9" t="n">
        <v>1</v>
      </c>
      <c r="I155" s="10" t="inlineStr">
        <is>
          <t>2/2</t>
        </is>
      </c>
      <c r="J155" s="12" t="n">
        <v>1</v>
      </c>
      <c r="K155" t="e">
        <v>#N/A</v>
      </c>
      <c r="L155" t="e">
        <v>#N/A</v>
      </c>
      <c r="M155" t="e">
        <v>#N/A</v>
      </c>
    </row>
    <row r="156">
      <c r="A156" s="9" t="inlineStr">
        <is>
          <t>Aryan Jazayeri</t>
        </is>
      </c>
      <c r="B156" s="9" t="inlineStr">
        <is>
          <t>11/2/25 - 11/29/25</t>
        </is>
      </c>
      <c r="C156" s="12" t="n">
        <v>0.6899999999999999</v>
      </c>
      <c r="D156" s="12" t="n">
        <v>0.93</v>
      </c>
      <c r="E156" s="12" t="n">
        <v>1</v>
      </c>
      <c r="F156" s="12" t="n">
        <v>1</v>
      </c>
      <c r="G156" s="12" t="n">
        <v>0.36</v>
      </c>
      <c r="H156" s="9" t="n">
        <v>3</v>
      </c>
      <c r="I156" s="13" t="n"/>
      <c r="J156" s="12" t="n"/>
      <c r="K156" t="e">
        <v>#N/A</v>
      </c>
      <c r="L156" t="e">
        <v>#N/A</v>
      </c>
      <c r="M156" t="e">
        <v>#N/A</v>
      </c>
    </row>
    <row r="157">
      <c r="A157" s="9" t="inlineStr">
        <is>
          <t>Aryan Jazayeri</t>
        </is>
      </c>
      <c r="B157" s="9" t="inlineStr">
        <is>
          <t>11/30/25 - 12/27/25</t>
        </is>
      </c>
      <c r="C157" s="12" t="n">
        <v>0.39</v>
      </c>
      <c r="D157" s="12" t="n">
        <v>0.91</v>
      </c>
      <c r="E157" s="12" t="n">
        <v>1</v>
      </c>
      <c r="F157" s="12" t="n">
        <v>1</v>
      </c>
      <c r="G157" s="12" t="n">
        <v>0.82</v>
      </c>
      <c r="H157" s="9" t="n">
        <v>2</v>
      </c>
      <c r="I157" s="10" t="n">
        <v>1</v>
      </c>
      <c r="J157" s="12" t="n">
        <v>1</v>
      </c>
      <c r="K157" t="e">
        <v>#N/A</v>
      </c>
      <c r="L157" t="e">
        <v>#N/A</v>
      </c>
      <c r="M157" t="e">
        <v>#N/A</v>
      </c>
    </row>
    <row r="158">
      <c r="A158" s="9" t="inlineStr">
        <is>
          <t>Aryan Jazayeri</t>
        </is>
      </c>
      <c r="B158" s="9" t="inlineStr">
        <is>
          <t>5/18/25 - 6/14/25</t>
        </is>
      </c>
      <c r="C158" s="12" t="n">
        <v>0.25</v>
      </c>
      <c r="D158" s="12" t="n">
        <v>0.6</v>
      </c>
      <c r="E158" s="12" t="n">
        <v>1</v>
      </c>
      <c r="F158" s="12" t="n">
        <v>1</v>
      </c>
      <c r="G158" s="12" t="n">
        <v>0.5600000000000001</v>
      </c>
      <c r="H158" s="9" t="e">
        <v>#N/A</v>
      </c>
      <c r="J158" s="12" t="n"/>
      <c r="K158" t="e">
        <v>#N/A</v>
      </c>
      <c r="L158" t="e">
        <v>#N/A</v>
      </c>
      <c r="M158" t="e">
        <v>#N/A</v>
      </c>
    </row>
    <row r="159">
      <c r="A159" s="9" t="inlineStr">
        <is>
          <t>Aryan Jazayeri</t>
        </is>
      </c>
      <c r="B159" s="9" t="inlineStr">
        <is>
          <t>6/15/25 - 7/12/25</t>
        </is>
      </c>
      <c r="C159" s="12" t="n">
        <v>0.23</v>
      </c>
      <c r="D159" s="12" t="n">
        <v>0.99</v>
      </c>
      <c r="E159" s="12" t="n">
        <v>1</v>
      </c>
      <c r="F159" s="12" t="n">
        <v>1</v>
      </c>
      <c r="G159" s="12" t="n">
        <v>0.8</v>
      </c>
      <c r="H159" s="9" t="e">
        <v>#N/A</v>
      </c>
      <c r="J159" s="12" t="n"/>
      <c r="K159" t="e">
        <v>#N/A</v>
      </c>
      <c r="L159" t="e">
        <v>#N/A</v>
      </c>
      <c r="M159" t="e">
        <v>#N/A</v>
      </c>
    </row>
    <row r="160">
      <c r="A160" s="9" t="inlineStr">
        <is>
          <t>Aryan Jazayeri</t>
        </is>
      </c>
      <c r="B160" s="9" t="inlineStr">
        <is>
          <t>7/13/25 - 8/10/25</t>
        </is>
      </c>
      <c r="C160" s="12" t="n">
        <v>0.33</v>
      </c>
      <c r="D160" s="12" t="n">
        <v>1</v>
      </c>
      <c r="E160" s="12" t="n">
        <v>1</v>
      </c>
      <c r="F160" s="12" t="n">
        <v>1</v>
      </c>
      <c r="G160" s="12" t="n">
        <v>0.77</v>
      </c>
      <c r="H160" s="9" t="e">
        <v>#N/A</v>
      </c>
      <c r="I160" s="10" t="n">
        <v>1</v>
      </c>
      <c r="J160" s="12">
        <f>I160</f>
        <v/>
      </c>
      <c r="K160" t="e">
        <v>#N/A</v>
      </c>
      <c r="L160" t="e">
        <v>#N/A</v>
      </c>
      <c r="M160" t="e">
        <v>#N/A</v>
      </c>
    </row>
    <row r="161">
      <c r="A161" s="9" t="inlineStr">
        <is>
          <t>Aryan Jazayeri</t>
        </is>
      </c>
      <c r="B161" s="9" t="inlineStr">
        <is>
          <t>8/10/25 - 9/6/25</t>
        </is>
      </c>
      <c r="C161" s="12" t="n">
        <v>0.88</v>
      </c>
      <c r="D161" s="12" t="n">
        <v>1.03</v>
      </c>
      <c r="E161" s="12" t="n">
        <v>1</v>
      </c>
      <c r="F161" s="12" t="n">
        <v>0.95</v>
      </c>
      <c r="G161" s="12" t="n">
        <v>0.64</v>
      </c>
      <c r="H161" s="9" t="n">
        <v>3</v>
      </c>
      <c r="I161" s="10" t="inlineStr">
        <is>
          <t>2/2</t>
        </is>
      </c>
      <c r="J161" s="12" t="n">
        <v>1</v>
      </c>
      <c r="K161" t="e">
        <v>#N/A</v>
      </c>
      <c r="L161" t="e">
        <v>#N/A</v>
      </c>
      <c r="M161" t="e">
        <v>#N/A</v>
      </c>
    </row>
    <row r="162">
      <c r="A162" s="9" t="inlineStr">
        <is>
          <t>Aryan Jazayeri</t>
        </is>
      </c>
      <c r="B162" s="9" t="inlineStr">
        <is>
          <t>9/7/25 - 10/4/25</t>
        </is>
      </c>
      <c r="C162" s="12" t="n">
        <v>0.37</v>
      </c>
      <c r="D162" s="12" t="n">
        <v>1.01</v>
      </c>
      <c r="E162" s="12" t="n">
        <v>1</v>
      </c>
      <c r="F162" s="12" t="n">
        <v>1</v>
      </c>
      <c r="G162" s="12" t="n">
        <v>0.6</v>
      </c>
      <c r="H162" s="9" t="n">
        <v>1</v>
      </c>
      <c r="I162" s="11" t="n"/>
      <c r="J162" s="12" t="n"/>
      <c r="K162" t="e">
        <v>#N/A</v>
      </c>
      <c r="L162" t="e">
        <v>#N/A</v>
      </c>
      <c r="M162" t="e">
        <v>#N/A</v>
      </c>
    </row>
    <row r="163">
      <c r="A163" s="9" t="inlineStr">
        <is>
          <t>Ashley Lang</t>
        </is>
      </c>
      <c r="B163" s="9" t="inlineStr">
        <is>
          <t>10/5/25 - 11/1/25</t>
        </is>
      </c>
      <c r="C163" s="12" t="n">
        <v>0.7875</v>
      </c>
      <c r="D163" s="12" t="n">
        <v>0.8914</v>
      </c>
      <c r="E163" s="12" t="n">
        <v>0.984126984126984</v>
      </c>
      <c r="F163" s="12" t="n">
        <v>0.835443037974683</v>
      </c>
      <c r="G163" s="12" t="n">
        <v>0.333333333333333</v>
      </c>
      <c r="H163" s="9" t="n">
        <v>12</v>
      </c>
      <c r="I163" s="10" t="inlineStr">
        <is>
          <t>0/2</t>
        </is>
      </c>
      <c r="J163" s="12" t="n">
        <v>0</v>
      </c>
      <c r="K163" t="e">
        <v>#N/A</v>
      </c>
      <c r="L163" t="e">
        <v>#N/A</v>
      </c>
      <c r="M163" t="e">
        <v>#N/A</v>
      </c>
    </row>
    <row r="164">
      <c r="A164" s="9" t="inlineStr">
        <is>
          <t>Ashley Lang</t>
        </is>
      </c>
      <c r="B164" s="9" t="inlineStr">
        <is>
          <t>11/2/25 - 11/29/25</t>
        </is>
      </c>
      <c r="C164" s="12" t="n">
        <v>0.96</v>
      </c>
      <c r="D164" s="12" t="n">
        <v>1.02</v>
      </c>
      <c r="E164" s="12" t="n">
        <v>0.99</v>
      </c>
      <c r="F164" s="12" t="n">
        <v>1</v>
      </c>
      <c r="G164" s="12" t="n">
        <v>0.29</v>
      </c>
      <c r="H164" s="9" t="n">
        <v>8</v>
      </c>
      <c r="I164" s="13" t="n"/>
      <c r="J164" s="12" t="n"/>
      <c r="K164" t="e">
        <v>#N/A</v>
      </c>
      <c r="L164" t="e">
        <v>#N/A</v>
      </c>
      <c r="M164" t="e">
        <v>#N/A</v>
      </c>
    </row>
    <row r="165">
      <c r="A165" s="9" t="inlineStr">
        <is>
          <t>Ashley Lang</t>
        </is>
      </c>
      <c r="B165" s="9" t="inlineStr">
        <is>
          <t>5/18/25 - 6/14/25</t>
        </is>
      </c>
      <c r="C165" s="12" t="n">
        <v>0.17</v>
      </c>
      <c r="D165" s="12" t="n">
        <v>0.2</v>
      </c>
      <c r="E165" s="12" t="n">
        <v>1</v>
      </c>
      <c r="F165" s="12" t="n">
        <v>0.92</v>
      </c>
      <c r="G165" s="12" t="n">
        <v>0.29</v>
      </c>
      <c r="H165" s="9" t="n">
        <v>3</v>
      </c>
      <c r="J165" s="12" t="n"/>
      <c r="K165" t="e">
        <v>#N/A</v>
      </c>
      <c r="L165" t="e">
        <v>#N/A</v>
      </c>
      <c r="M165" t="e">
        <v>#N/A</v>
      </c>
    </row>
    <row r="166">
      <c r="A166" s="9" t="inlineStr">
        <is>
          <t>Ashley Lang</t>
        </is>
      </c>
      <c r="B166" s="9" t="inlineStr">
        <is>
          <t>6/15/25 - 7/12/25</t>
        </is>
      </c>
      <c r="C166" s="12" t="n">
        <v>0.45</v>
      </c>
      <c r="D166" s="12" t="n">
        <v>0.92</v>
      </c>
      <c r="E166" s="12" t="n">
        <v>1</v>
      </c>
      <c r="F166" s="12" t="n">
        <v>0.78</v>
      </c>
      <c r="G166" s="12" t="n">
        <v>0.38</v>
      </c>
      <c r="H166" s="9" t="n">
        <v>6</v>
      </c>
      <c r="I166" s="10" t="n">
        <v>0</v>
      </c>
      <c r="J166" s="12">
        <f>I166</f>
        <v/>
      </c>
      <c r="K166" t="e">
        <v>#N/A</v>
      </c>
      <c r="L166" t="e">
        <v>#N/A</v>
      </c>
      <c r="M166" t="e">
        <v>#N/A</v>
      </c>
    </row>
    <row r="167">
      <c r="A167" s="9" t="inlineStr">
        <is>
          <t>Ashley Lang</t>
        </is>
      </c>
      <c r="B167" s="9" t="inlineStr">
        <is>
          <t>7/13/25 - 8/10/25</t>
        </is>
      </c>
      <c r="C167" s="12" t="n">
        <v>0.75</v>
      </c>
      <c r="D167" s="12" t="n">
        <v>1.07</v>
      </c>
      <c r="E167" s="12" t="n">
        <v>1</v>
      </c>
      <c r="F167" s="12" t="n">
        <v>0.72</v>
      </c>
      <c r="G167" s="12" t="n">
        <v>0.33</v>
      </c>
      <c r="H167" s="9" t="n">
        <v>5</v>
      </c>
      <c r="I167" s="10" t="n">
        <v>0</v>
      </c>
      <c r="J167" s="12">
        <f>I167</f>
        <v/>
      </c>
      <c r="K167" t="e">
        <v>#N/A</v>
      </c>
      <c r="L167" t="e">
        <v>#N/A</v>
      </c>
      <c r="M167" t="e">
        <v>#N/A</v>
      </c>
    </row>
    <row r="168">
      <c r="A168" s="9" t="inlineStr">
        <is>
          <t>Ashley Lang</t>
        </is>
      </c>
      <c r="B168" s="9" t="inlineStr">
        <is>
          <t>8/10/25 - 9/6/25</t>
        </is>
      </c>
      <c r="C168" s="12" t="n">
        <v>0.85</v>
      </c>
      <c r="D168" s="12" t="n">
        <v>1.03</v>
      </c>
      <c r="E168" s="12" t="n">
        <v>1</v>
      </c>
      <c r="F168" s="12" t="n">
        <v>0.83</v>
      </c>
      <c r="G168" s="12" t="n">
        <v>0.13</v>
      </c>
      <c r="H168" s="9" t="n">
        <v>5</v>
      </c>
      <c r="I168" s="11" t="n"/>
      <c r="J168" s="12" t="n"/>
      <c r="K168" t="e">
        <v>#N/A</v>
      </c>
      <c r="L168" t="e">
        <v>#N/A</v>
      </c>
      <c r="M168" t="e">
        <v>#N/A</v>
      </c>
    </row>
    <row r="169">
      <c r="A169" s="9" t="inlineStr">
        <is>
          <t>Ashley Lang</t>
        </is>
      </c>
      <c r="B169" s="9" t="inlineStr">
        <is>
          <t>9/7/25 - 10/4/25</t>
        </is>
      </c>
      <c r="C169" s="12" t="n">
        <v>0.9399999999999999</v>
      </c>
      <c r="D169" s="12" t="n">
        <v>1.07</v>
      </c>
      <c r="E169" s="12" t="n">
        <v>0.99</v>
      </c>
      <c r="F169" s="12" t="n">
        <v>0.75</v>
      </c>
      <c r="G169" s="12" t="n">
        <v>0.13</v>
      </c>
      <c r="H169" s="9" t="n">
        <v>13</v>
      </c>
      <c r="I169" s="10" t="inlineStr">
        <is>
          <t>0/10</t>
        </is>
      </c>
      <c r="J169" s="12" t="n">
        <v>0</v>
      </c>
      <c r="K169" t="e">
        <v>#N/A</v>
      </c>
      <c r="L169" t="e">
        <v>#N/A</v>
      </c>
      <c r="M169" t="e">
        <v>#N/A</v>
      </c>
    </row>
    <row r="170">
      <c r="A170" s="9" t="inlineStr">
        <is>
          <t>Ashley Scorsone</t>
        </is>
      </c>
      <c r="B170" s="9" t="inlineStr">
        <is>
          <t>10/5/25 - 11/1/25</t>
        </is>
      </c>
      <c r="C170" s="12" t="n">
        <v>1.1196</v>
      </c>
      <c r="D170" s="12" t="n">
        <v>1.516</v>
      </c>
      <c r="E170" s="12" t="n">
        <v>0.916666666666666</v>
      </c>
      <c r="F170" s="12" t="n">
        <v>0.9655172413793101</v>
      </c>
      <c r="G170" s="12" t="n">
        <v>0.875</v>
      </c>
      <c r="H170" s="9" t="n">
        <v>7</v>
      </c>
      <c r="I170" s="10" t="inlineStr">
        <is>
          <t>3/5</t>
        </is>
      </c>
      <c r="J170" s="12" t="n">
        <v>0.6</v>
      </c>
      <c r="K170" t="inlineStr">
        <is>
          <t>Premium</t>
        </is>
      </c>
      <c r="L170" t="inlineStr">
        <is>
          <t>Professional</t>
        </is>
      </c>
      <c r="M170" t="inlineStr">
        <is>
          <t>Geoff St. Marie</t>
        </is>
      </c>
    </row>
    <row r="171">
      <c r="A171" s="9" t="inlineStr">
        <is>
          <t>Ashley Scorsone</t>
        </is>
      </c>
      <c r="B171" s="9" t="inlineStr">
        <is>
          <t>11/2/25 - 11/29/25</t>
        </is>
      </c>
      <c r="C171" s="12" t="n">
        <v>0.8</v>
      </c>
      <c r="D171" s="12" t="n">
        <v>1.24</v>
      </c>
      <c r="E171" s="12" t="n">
        <v>0.91</v>
      </c>
      <c r="F171" s="12" t="n">
        <v>0.89</v>
      </c>
      <c r="G171" s="12" t="n">
        <v>0.96</v>
      </c>
      <c r="H171" s="9" t="n">
        <v>14</v>
      </c>
      <c r="I171" s="13" t="n">
        <v>45691</v>
      </c>
      <c r="J171" s="14" t="n">
        <v>0.67</v>
      </c>
      <c r="K171" t="inlineStr">
        <is>
          <t>Premium</t>
        </is>
      </c>
      <c r="L171" t="inlineStr">
        <is>
          <t>Professional</t>
        </is>
      </c>
      <c r="M171" t="inlineStr">
        <is>
          <t>Geoff St. Marie</t>
        </is>
      </c>
    </row>
    <row r="172">
      <c r="A172" s="9" t="inlineStr">
        <is>
          <t>Ashley Scorsone</t>
        </is>
      </c>
      <c r="B172" s="9" t="inlineStr">
        <is>
          <t>11/30/25 - 12/27/25</t>
        </is>
      </c>
      <c r="C172" s="12" t="n">
        <v>0.77</v>
      </c>
      <c r="D172" s="12" t="n">
        <v>1.22</v>
      </c>
      <c r="E172" s="12" t="n">
        <v>0.91</v>
      </c>
      <c r="F172" s="12" t="n">
        <v>0.85</v>
      </c>
      <c r="G172" s="12" t="n">
        <v>0.96</v>
      </c>
      <c r="H172" s="9" t="n">
        <v>0</v>
      </c>
      <c r="I172" s="10" t="n">
        <v>1</v>
      </c>
      <c r="J172" s="12" t="n">
        <v>1</v>
      </c>
      <c r="K172" t="inlineStr">
        <is>
          <t>Premium</t>
        </is>
      </c>
      <c r="L172" t="inlineStr">
        <is>
          <t>Professional</t>
        </is>
      </c>
      <c r="M172" t="inlineStr">
        <is>
          <t>Geoff St. Marie</t>
        </is>
      </c>
    </row>
    <row r="173">
      <c r="A173" s="9" t="inlineStr">
        <is>
          <t>Ashley Scorsone</t>
        </is>
      </c>
      <c r="B173" s="9" t="inlineStr">
        <is>
          <t>12/28/25 - 1/25/26</t>
        </is>
      </c>
      <c r="C173" s="12" t="n">
        <v>0.6679</v>
      </c>
      <c r="D173" s="12" t="n">
        <v>1.5785</v>
      </c>
      <c r="E173" s="12" t="n">
        <v>0.88</v>
      </c>
      <c r="F173" s="12" t="n">
        <v>0.85</v>
      </c>
      <c r="G173" s="12" t="n">
        <v>0.947368421</v>
      </c>
      <c r="H173" s="9" t="n">
        <v>1</v>
      </c>
      <c r="I173" s="10" t="n">
        <v>1</v>
      </c>
      <c r="J173" s="12">
        <f>I173</f>
        <v/>
      </c>
      <c r="K173" t="inlineStr">
        <is>
          <t>Premium</t>
        </is>
      </c>
      <c r="L173" t="inlineStr">
        <is>
          <t>Professional</t>
        </is>
      </c>
      <c r="M173" t="inlineStr">
        <is>
          <t>Geoff St. Marie</t>
        </is>
      </c>
    </row>
    <row r="174">
      <c r="A174" s="9" t="inlineStr">
        <is>
          <t>Ashley Scorsone</t>
        </is>
      </c>
      <c r="B174" s="9" t="inlineStr">
        <is>
          <t>5/18/25 - 6/14/25</t>
        </is>
      </c>
      <c r="C174" s="12" t="n">
        <v>1.41</v>
      </c>
      <c r="D174" s="12" t="n">
        <v>1.52</v>
      </c>
      <c r="E174" s="12" t="n">
        <v>0.9</v>
      </c>
      <c r="F174" s="12" t="n">
        <v>0.89</v>
      </c>
      <c r="G174" s="12" t="n">
        <v>0.93</v>
      </c>
      <c r="H174" s="9" t="n">
        <v>2</v>
      </c>
      <c r="I174" s="10" t="n">
        <v>0</v>
      </c>
      <c r="J174" s="12">
        <f>I174</f>
        <v/>
      </c>
      <c r="K174" t="inlineStr">
        <is>
          <t>Premium</t>
        </is>
      </c>
      <c r="L174" t="inlineStr">
        <is>
          <t>Professional</t>
        </is>
      </c>
      <c r="M174" t="inlineStr">
        <is>
          <t>Geoff St. Marie</t>
        </is>
      </c>
    </row>
    <row r="175">
      <c r="A175" s="9" t="inlineStr">
        <is>
          <t>Ashley Scorsone</t>
        </is>
      </c>
      <c r="B175" s="9" t="inlineStr">
        <is>
          <t>6/15/25 - 7/12/25</t>
        </is>
      </c>
      <c r="C175" s="12" t="n">
        <v>1.27</v>
      </c>
      <c r="D175" s="12" t="n">
        <v>1.41</v>
      </c>
      <c r="E175" s="12" t="n">
        <v>0.9399999999999999</v>
      </c>
      <c r="F175" s="12" t="n">
        <v>0.97</v>
      </c>
      <c r="G175" s="12" t="n">
        <v>0.88</v>
      </c>
      <c r="H175" s="9" t="n">
        <v>4</v>
      </c>
      <c r="I175" s="10" t="n">
        <v>0</v>
      </c>
      <c r="J175" s="12">
        <f>I175</f>
        <v/>
      </c>
      <c r="K175" t="inlineStr">
        <is>
          <t>Premium</t>
        </is>
      </c>
      <c r="L175" t="inlineStr">
        <is>
          <t>Professional</t>
        </is>
      </c>
      <c r="M175" t="inlineStr">
        <is>
          <t>Geoff St. Marie</t>
        </is>
      </c>
    </row>
    <row r="176">
      <c r="A176" s="9" t="inlineStr">
        <is>
          <t>Ashley Scorsone</t>
        </is>
      </c>
      <c r="B176" s="9" t="inlineStr">
        <is>
          <t>7/13/25 - 8/10/25</t>
        </is>
      </c>
      <c r="C176" s="12" t="n">
        <v>1.42</v>
      </c>
      <c r="D176" s="12" t="n">
        <v>1.19</v>
      </c>
      <c r="E176" s="12" t="n">
        <v>0.9</v>
      </c>
      <c r="F176" s="12" t="n">
        <v>0.9399999999999999</v>
      </c>
      <c r="G176" s="12" t="n">
        <v>0.7</v>
      </c>
      <c r="H176" s="9" t="n">
        <v>2</v>
      </c>
      <c r="I176" s="10" t="n">
        <v>0</v>
      </c>
      <c r="J176" s="12">
        <f>I176</f>
        <v/>
      </c>
      <c r="K176" t="inlineStr">
        <is>
          <t>Premium</t>
        </is>
      </c>
      <c r="L176" t="inlineStr">
        <is>
          <t>Professional</t>
        </is>
      </c>
      <c r="M176" t="inlineStr">
        <is>
          <t>Geoff St. Marie</t>
        </is>
      </c>
    </row>
    <row r="177">
      <c r="A177" s="9" t="inlineStr">
        <is>
          <t>Ashley Scorsone</t>
        </is>
      </c>
      <c r="B177" s="9" t="inlineStr">
        <is>
          <t>8/10/25 - 9/6/25</t>
        </is>
      </c>
      <c r="C177" s="12" t="n">
        <v>1.41</v>
      </c>
      <c r="D177" s="12" t="n">
        <v>1.34</v>
      </c>
      <c r="E177" s="12" t="n">
        <v>0.89</v>
      </c>
      <c r="F177" s="12" t="n">
        <v>0.9399999999999999</v>
      </c>
      <c r="G177" s="12" t="n">
        <v>0.91</v>
      </c>
      <c r="H177" s="9" t="n">
        <v>4</v>
      </c>
      <c r="I177" s="10" t="inlineStr">
        <is>
          <t>0/2</t>
        </is>
      </c>
      <c r="J177" s="12" t="n">
        <v>0</v>
      </c>
      <c r="K177" t="inlineStr">
        <is>
          <t>Premium</t>
        </is>
      </c>
      <c r="L177" t="inlineStr">
        <is>
          <t>Professional</t>
        </is>
      </c>
      <c r="M177" t="inlineStr">
        <is>
          <t>Geoff St. Marie</t>
        </is>
      </c>
    </row>
    <row r="178">
      <c r="A178" s="9" t="inlineStr">
        <is>
          <t>Ashley Scorsone</t>
        </is>
      </c>
      <c r="B178" s="9" t="inlineStr">
        <is>
          <t>9/7/25 - 10/4/25</t>
        </is>
      </c>
      <c r="C178" s="12" t="n">
        <v>1.23</v>
      </c>
      <c r="D178" s="12" t="n">
        <v>1.38</v>
      </c>
      <c r="E178" s="12" t="n">
        <v>0.96</v>
      </c>
      <c r="F178" s="12" t="n">
        <v>0.9399999999999999</v>
      </c>
      <c r="G178" s="12" t="n">
        <v>0.88</v>
      </c>
      <c r="H178" s="9" t="n">
        <v>2</v>
      </c>
      <c r="I178" s="10" t="inlineStr">
        <is>
          <t>0/5</t>
        </is>
      </c>
      <c r="J178" s="12" t="n">
        <v>0</v>
      </c>
      <c r="K178" t="inlineStr">
        <is>
          <t>Premium</t>
        </is>
      </c>
      <c r="L178" t="inlineStr">
        <is>
          <t>Professional</t>
        </is>
      </c>
      <c r="M178" t="inlineStr">
        <is>
          <t>Geoff St. Marie</t>
        </is>
      </c>
    </row>
    <row r="179">
      <c r="A179" s="9" t="inlineStr">
        <is>
          <t>Autumn Reed</t>
        </is>
      </c>
      <c r="B179" s="9" t="inlineStr">
        <is>
          <t>11/30/25 - 12/27/25</t>
        </is>
      </c>
      <c r="C179" s="12" t="n">
        <v>0</v>
      </c>
      <c r="D179" s="12" t="n">
        <v>0.58</v>
      </c>
      <c r="E179" s="12" t="n">
        <v>0</v>
      </c>
      <c r="F179" s="12" t="n">
        <v>0</v>
      </c>
      <c r="G179" s="12" t="n">
        <v>0</v>
      </c>
      <c r="H179" s="9" t="n">
        <v>0</v>
      </c>
      <c r="I179" s="10" t="n"/>
      <c r="J179" s="12" t="n"/>
      <c r="K179" t="inlineStr">
        <is>
          <t>Advanced</t>
        </is>
      </c>
      <c r="L179" t="inlineStr">
        <is>
          <t>Adjunct</t>
        </is>
      </c>
      <c r="M179" t="inlineStr">
        <is>
          <t>Geoff St. Marie</t>
        </is>
      </c>
    </row>
    <row r="180">
      <c r="A180" s="9" t="inlineStr">
        <is>
          <t>Autumn Reed</t>
        </is>
      </c>
      <c r="B180" s="9" t="inlineStr">
        <is>
          <t>12/28/25 - 1/25/26</t>
        </is>
      </c>
      <c r="C180" s="12" t="n">
        <v>0.5188</v>
      </c>
      <c r="D180" s="12" t="n">
        <v>1.1172</v>
      </c>
      <c r="E180" s="12" t="n">
        <v>1</v>
      </c>
      <c r="F180" s="12" t="n">
        <v>0.448275862</v>
      </c>
      <c r="G180" s="12" t="n">
        <v>0</v>
      </c>
      <c r="H180" s="9" t="n">
        <v>1</v>
      </c>
      <c r="I180" s="10" t="n">
        <v>0.5</v>
      </c>
      <c r="J180" s="12">
        <f>I180</f>
        <v/>
      </c>
      <c r="K180" t="inlineStr">
        <is>
          <t>Advanced</t>
        </is>
      </c>
      <c r="L180" t="inlineStr">
        <is>
          <t>Adjunct</t>
        </is>
      </c>
      <c r="M180" t="inlineStr">
        <is>
          <t>Geoff St. Marie</t>
        </is>
      </c>
    </row>
    <row r="181">
      <c r="A181" s="9" t="inlineStr">
        <is>
          <t>Ayman Smoot</t>
        </is>
      </c>
      <c r="B181" s="9" t="inlineStr">
        <is>
          <t>10/5/25 - 11/1/25</t>
        </is>
      </c>
      <c r="C181" s="12" t="n">
        <v>1.3698</v>
      </c>
      <c r="D181" s="12" t="n">
        <v>1.82809999999999</v>
      </c>
      <c r="E181" s="12" t="n">
        <v>0.919354838709677</v>
      </c>
      <c r="F181" s="12" t="n">
        <v>1</v>
      </c>
      <c r="G181" s="12" t="n">
        <v>0.5</v>
      </c>
      <c r="H181" s="9" t="n">
        <v>5</v>
      </c>
      <c r="I181" s="10" t="inlineStr">
        <is>
          <t>6/12</t>
        </is>
      </c>
      <c r="J181" s="12" t="n">
        <v>0.5</v>
      </c>
      <c r="K181" t="inlineStr">
        <is>
          <t>Distinguished</t>
        </is>
      </c>
      <c r="L181" t="inlineStr">
        <is>
          <t>Adjunct</t>
        </is>
      </c>
      <c r="M181" t="inlineStr">
        <is>
          <t>Annelies de Groot</t>
        </is>
      </c>
    </row>
    <row r="182">
      <c r="A182" s="9" t="inlineStr">
        <is>
          <t>Ayman Smoot</t>
        </is>
      </c>
      <c r="B182" s="9" t="inlineStr">
        <is>
          <t>11/2/25 - 11/29/25</t>
        </is>
      </c>
      <c r="C182" s="12" t="n">
        <v>1.51</v>
      </c>
      <c r="D182" s="12" t="n">
        <v>2.13</v>
      </c>
      <c r="E182" s="12" t="n">
        <v>0.9</v>
      </c>
      <c r="F182" s="12" t="n">
        <v>0.86</v>
      </c>
      <c r="G182" s="12" t="n">
        <v>0.6</v>
      </c>
      <c r="H182" s="9" t="n">
        <v>5</v>
      </c>
      <c r="I182" s="13" t="n">
        <v>45721</v>
      </c>
      <c r="J182" s="14" t="n">
        <v>0.6</v>
      </c>
      <c r="K182" t="inlineStr">
        <is>
          <t>Distinguished</t>
        </is>
      </c>
      <c r="L182" t="inlineStr">
        <is>
          <t>Adjunct</t>
        </is>
      </c>
      <c r="M182" t="inlineStr">
        <is>
          <t>Annelies de Groot</t>
        </is>
      </c>
    </row>
    <row r="183">
      <c r="A183" s="9" t="inlineStr">
        <is>
          <t>Ayman Smoot</t>
        </is>
      </c>
      <c r="B183" s="9" t="inlineStr">
        <is>
          <t>11/30/25 - 12/27/25</t>
        </is>
      </c>
      <c r="C183" s="12" t="n">
        <v>1.07</v>
      </c>
      <c r="D183" s="12" t="n">
        <v>1.54</v>
      </c>
      <c r="E183" s="12" t="n">
        <v>0.84</v>
      </c>
      <c r="F183" s="12" t="n">
        <v>1</v>
      </c>
      <c r="G183" s="12" t="n">
        <v>0.67</v>
      </c>
      <c r="H183" s="9" t="n">
        <v>8</v>
      </c>
      <c r="I183" s="10" t="n">
        <v>0.75</v>
      </c>
      <c r="J183" s="12" t="n">
        <v>0.75</v>
      </c>
      <c r="K183" t="inlineStr">
        <is>
          <t>Distinguished</t>
        </is>
      </c>
      <c r="L183" t="inlineStr">
        <is>
          <t>Adjunct</t>
        </is>
      </c>
      <c r="M183" t="inlineStr">
        <is>
          <t>Annelies de Groot</t>
        </is>
      </c>
    </row>
    <row r="184">
      <c r="A184" s="9" t="inlineStr">
        <is>
          <t>Ayman Smoot</t>
        </is>
      </c>
      <c r="B184" s="9" t="inlineStr">
        <is>
          <t>12/28/25 - 1/25/26</t>
        </is>
      </c>
      <c r="C184" s="12" t="n">
        <v>1.8542</v>
      </c>
      <c r="D184" s="12" t="n">
        <v>2.2188</v>
      </c>
      <c r="E184" s="12" t="n">
        <v>0.922077922</v>
      </c>
      <c r="F184" s="12" t="n">
        <v>1</v>
      </c>
      <c r="G184" s="12" t="n">
        <v>0.777777778</v>
      </c>
      <c r="H184" s="9" t="n">
        <v>1</v>
      </c>
      <c r="I184" s="10" t="n">
        <v>0.6666666666666666</v>
      </c>
      <c r="J184" s="12">
        <f>I184</f>
        <v/>
      </c>
      <c r="K184" t="inlineStr">
        <is>
          <t>Distinguished</t>
        </is>
      </c>
      <c r="L184" t="inlineStr">
        <is>
          <t>Adjunct</t>
        </is>
      </c>
      <c r="M184" t="inlineStr">
        <is>
          <t>Annelies de Groot</t>
        </is>
      </c>
    </row>
    <row r="185">
      <c r="A185" s="9" t="inlineStr">
        <is>
          <t>Ayman Smoot</t>
        </is>
      </c>
      <c r="B185" s="9" t="inlineStr">
        <is>
          <t>5/18/25 - 6/14/25</t>
        </is>
      </c>
      <c r="C185" s="12" t="n">
        <v>1.04</v>
      </c>
      <c r="D185" s="12" t="n">
        <v>2.21</v>
      </c>
      <c r="E185" s="12" t="n">
        <v>0.97</v>
      </c>
      <c r="F185" s="12" t="n">
        <v>0.97</v>
      </c>
      <c r="G185" s="12" t="n">
        <v>0.67</v>
      </c>
      <c r="H185" s="9" t="n">
        <v>3</v>
      </c>
      <c r="J185" s="12" t="n"/>
      <c r="K185" t="inlineStr">
        <is>
          <t>Distinguished</t>
        </is>
      </c>
      <c r="L185" t="inlineStr">
        <is>
          <t>Adjunct</t>
        </is>
      </c>
      <c r="M185" t="inlineStr">
        <is>
          <t>Annelies de Groot</t>
        </is>
      </c>
    </row>
    <row r="186">
      <c r="A186" s="9" t="inlineStr">
        <is>
          <t>Ayman Smoot</t>
        </is>
      </c>
      <c r="B186" s="9" t="inlineStr">
        <is>
          <t>6/15/25 - 7/12/25</t>
        </is>
      </c>
      <c r="C186" s="12" t="n">
        <v>0.59</v>
      </c>
      <c r="D186" s="12" t="n">
        <v>1.74</v>
      </c>
      <c r="E186" s="12" t="n">
        <v>0.97</v>
      </c>
      <c r="F186" s="12" t="n">
        <v>1</v>
      </c>
      <c r="G186" s="12" t="n">
        <v>1</v>
      </c>
      <c r="H186" s="9" t="n">
        <v>2</v>
      </c>
      <c r="J186" s="12" t="n"/>
      <c r="K186" t="inlineStr">
        <is>
          <t>Distinguished</t>
        </is>
      </c>
      <c r="L186" t="inlineStr">
        <is>
          <t>Adjunct</t>
        </is>
      </c>
      <c r="M186" t="inlineStr">
        <is>
          <t>Annelies de Groot</t>
        </is>
      </c>
    </row>
    <row r="187">
      <c r="A187" s="9" t="inlineStr">
        <is>
          <t>Ayman Smoot</t>
        </is>
      </c>
      <c r="B187" s="9" t="inlineStr">
        <is>
          <t>7/13/25 - 8/10/25</t>
        </is>
      </c>
      <c r="C187" s="12" t="n">
        <v>0.95</v>
      </c>
      <c r="D187" s="12" t="n">
        <v>1.95</v>
      </c>
      <c r="E187" s="12" t="n">
        <v>0.96</v>
      </c>
      <c r="F187" s="12" t="n">
        <v>1</v>
      </c>
      <c r="G187" s="12" t="n">
        <v>0.78</v>
      </c>
      <c r="H187" s="9" t="n">
        <v>5</v>
      </c>
      <c r="I187" s="10" t="n">
        <v>1</v>
      </c>
      <c r="J187" s="12">
        <f>I187</f>
        <v/>
      </c>
      <c r="K187" t="inlineStr">
        <is>
          <t>Distinguished</t>
        </is>
      </c>
      <c r="L187" t="inlineStr">
        <is>
          <t>Adjunct</t>
        </is>
      </c>
      <c r="M187" t="inlineStr">
        <is>
          <t>Annelies de Groot</t>
        </is>
      </c>
    </row>
    <row r="188">
      <c r="A188" s="9" t="inlineStr">
        <is>
          <t>Ayman Smoot</t>
        </is>
      </c>
      <c r="B188" s="9" t="inlineStr">
        <is>
          <t>8/10/25 - 9/6/25</t>
        </is>
      </c>
      <c r="C188" s="12" t="n">
        <v>1.02</v>
      </c>
      <c r="D188" s="12" t="n">
        <v>2.31</v>
      </c>
      <c r="E188" s="12" t="n">
        <v>0.96</v>
      </c>
      <c r="F188" s="12" t="n">
        <v>1</v>
      </c>
      <c r="G188" s="12" t="n">
        <v>0.82</v>
      </c>
      <c r="H188" s="9" t="n">
        <v>1</v>
      </c>
      <c r="I188" s="11" t="n"/>
      <c r="J188" s="12" t="n"/>
      <c r="K188" t="inlineStr">
        <is>
          <t>Distinguished</t>
        </is>
      </c>
      <c r="L188" t="inlineStr">
        <is>
          <t>Adjunct</t>
        </is>
      </c>
      <c r="M188" t="inlineStr">
        <is>
          <t>Annelies de Groot</t>
        </is>
      </c>
    </row>
    <row r="189">
      <c r="A189" s="9" t="inlineStr">
        <is>
          <t>Ayman Smoot</t>
        </is>
      </c>
      <c r="B189" s="9" t="inlineStr">
        <is>
          <t>9/7/25 - 10/4/25</t>
        </is>
      </c>
      <c r="C189" s="12" t="n">
        <v>1.44</v>
      </c>
      <c r="D189" s="12" t="n">
        <v>2.34</v>
      </c>
      <c r="E189" s="12" t="n">
        <v>0.95</v>
      </c>
      <c r="F189" s="12" t="n">
        <v>1</v>
      </c>
      <c r="G189" s="12" t="n">
        <v>0.38</v>
      </c>
      <c r="H189" s="9" t="n">
        <v>2</v>
      </c>
      <c r="I189" s="10" t="inlineStr">
        <is>
          <t>2/3</t>
        </is>
      </c>
      <c r="J189" s="12" t="n">
        <v>0.66</v>
      </c>
      <c r="K189" t="inlineStr">
        <is>
          <t>Distinguished</t>
        </is>
      </c>
      <c r="L189" t="inlineStr">
        <is>
          <t>Adjunct</t>
        </is>
      </c>
      <c r="M189" t="inlineStr">
        <is>
          <t>Annelies de Groot</t>
        </is>
      </c>
    </row>
    <row r="190">
      <c r="A190" s="9" t="inlineStr">
        <is>
          <t>Ben Chamberlain</t>
        </is>
      </c>
      <c r="B190" s="9" t="inlineStr">
        <is>
          <t>11/2/25 - 11/29/25</t>
        </is>
      </c>
      <c r="C190" s="12" t="n">
        <v>0.18</v>
      </c>
      <c r="D190" s="12" t="n">
        <v>0.68</v>
      </c>
      <c r="E190" s="12" t="n">
        <v>0.96</v>
      </c>
      <c r="F190" s="12" t="n">
        <v>0.77</v>
      </c>
      <c r="G190" s="12" t="n">
        <v>0</v>
      </c>
      <c r="H190" s="9" t="n">
        <v>0</v>
      </c>
      <c r="I190" s="13" t="n">
        <v>45753</v>
      </c>
      <c r="J190" s="14" t="n">
        <v>0.67</v>
      </c>
      <c r="K190" t="e">
        <v>#N/A</v>
      </c>
      <c r="L190" t="e">
        <v>#N/A</v>
      </c>
      <c r="M190" t="e">
        <v>#N/A</v>
      </c>
    </row>
    <row r="191">
      <c r="A191" s="9" t="inlineStr">
        <is>
          <t>Ben Chamberlain</t>
        </is>
      </c>
      <c r="B191" s="9" t="inlineStr">
        <is>
          <t>11/30/25 - 12/27/25</t>
        </is>
      </c>
      <c r="C191" s="12" t="n">
        <v>0.83</v>
      </c>
      <c r="D191" s="12" t="n">
        <v>1.02</v>
      </c>
      <c r="E191" s="12" t="n">
        <v>0.99</v>
      </c>
      <c r="F191" s="12" t="n">
        <v>0.86</v>
      </c>
      <c r="G191" s="12" t="n">
        <v>0.86</v>
      </c>
      <c r="H191" s="9" t="n">
        <v>7</v>
      </c>
      <c r="I191" s="10" t="n">
        <v>0.1764705882352941</v>
      </c>
      <c r="J191" s="12">
        <f>1/6</f>
        <v/>
      </c>
      <c r="K191" t="e">
        <v>#N/A</v>
      </c>
      <c r="L191" t="e">
        <v>#N/A</v>
      </c>
      <c r="M191" t="e">
        <v>#N/A</v>
      </c>
    </row>
    <row r="192">
      <c r="A192" s="9" t="inlineStr">
        <is>
          <t>Ben Chamberlain</t>
        </is>
      </c>
      <c r="B192" s="9" t="inlineStr">
        <is>
          <t>12/28/25 - 1/25/26</t>
        </is>
      </c>
      <c r="C192" s="12" t="n">
        <v>0.9643</v>
      </c>
      <c r="D192" s="12" t="n">
        <v>1.1599</v>
      </c>
      <c r="E192" s="12" t="n">
        <v>0.992</v>
      </c>
      <c r="F192" s="12" t="n">
        <v>0.86</v>
      </c>
      <c r="G192" s="12" t="n">
        <v>0.875</v>
      </c>
      <c r="H192" s="9" t="n">
        <v>3</v>
      </c>
      <c r="I192" s="10" t="n">
        <v>0.6153846153846154</v>
      </c>
      <c r="J192" s="12">
        <f>I192</f>
        <v/>
      </c>
      <c r="K192" t="e">
        <v>#N/A</v>
      </c>
      <c r="L192" t="e">
        <v>#N/A</v>
      </c>
      <c r="M192" t="e">
        <v>#N/A</v>
      </c>
    </row>
    <row r="193">
      <c r="A193" s="9" t="inlineStr">
        <is>
          <t>Ben Taylor</t>
        </is>
      </c>
      <c r="B193" s="9" t="inlineStr">
        <is>
          <t>10/5/25 - 11/1/25</t>
        </is>
      </c>
      <c r="C193" s="12" t="n">
        <v>0.581299999999999</v>
      </c>
      <c r="D193" s="12" t="n">
        <v>1.0592</v>
      </c>
      <c r="E193" s="12" t="n">
        <v>1</v>
      </c>
      <c r="F193" s="12" t="n">
        <v>1</v>
      </c>
      <c r="G193" s="12" t="n">
        <v>1</v>
      </c>
      <c r="H193" s="9" t="n">
        <v>2</v>
      </c>
      <c r="I193" s="10" t="inlineStr">
        <is>
          <t>2/2</t>
        </is>
      </c>
      <c r="J193" s="12" t="n">
        <v>1</v>
      </c>
      <c r="K193" t="inlineStr">
        <is>
          <t>Premium</t>
        </is>
      </c>
      <c r="L193" t="inlineStr">
        <is>
          <t>Professional</t>
        </is>
      </c>
      <c r="M193" t="inlineStr">
        <is>
          <t>Kristin Haase-Alvey</t>
        </is>
      </c>
    </row>
    <row r="194">
      <c r="A194" s="9" t="inlineStr">
        <is>
          <t>Ben Taylor</t>
        </is>
      </c>
      <c r="B194" s="9" t="inlineStr">
        <is>
          <t>11/2/25 - 11/29/25</t>
        </is>
      </c>
      <c r="C194" s="12" t="n">
        <v>0.5</v>
      </c>
      <c r="D194" s="12" t="n">
        <v>1.06</v>
      </c>
      <c r="E194" s="12" t="n">
        <v>1</v>
      </c>
      <c r="F194" s="12" t="n">
        <v>1</v>
      </c>
      <c r="G194" s="12" t="n">
        <v>1</v>
      </c>
      <c r="H194" s="9" t="n">
        <v>3</v>
      </c>
      <c r="I194" s="13" t="n"/>
      <c r="J194" s="9" t="n"/>
      <c r="K194" t="inlineStr">
        <is>
          <t>Premium</t>
        </is>
      </c>
      <c r="L194" t="inlineStr">
        <is>
          <t>Professional</t>
        </is>
      </c>
      <c r="M194" t="inlineStr">
        <is>
          <t>Kristin Haase-Alvey</t>
        </is>
      </c>
    </row>
    <row r="195">
      <c r="A195" s="9" t="inlineStr">
        <is>
          <t>Ben Taylor</t>
        </is>
      </c>
      <c r="B195" s="9" t="inlineStr">
        <is>
          <t>11/30/25 - 12/27/25</t>
        </is>
      </c>
      <c r="C195" s="12" t="n">
        <v>0.25</v>
      </c>
      <c r="D195" s="12" t="n">
        <v>1.06</v>
      </c>
      <c r="E195" s="12" t="n">
        <v>1</v>
      </c>
      <c r="F195" s="12" t="n">
        <v>1</v>
      </c>
      <c r="G195" s="12" t="n">
        <v>1</v>
      </c>
      <c r="H195" s="9" t="n">
        <v>2</v>
      </c>
      <c r="I195" s="10" t="n">
        <v>1</v>
      </c>
      <c r="J195" s="12" t="n">
        <v>1</v>
      </c>
      <c r="K195" t="inlineStr">
        <is>
          <t>Premium</t>
        </is>
      </c>
      <c r="L195" t="inlineStr">
        <is>
          <t>Professional</t>
        </is>
      </c>
      <c r="M195" t="inlineStr">
        <is>
          <t>Kristin Haase-Alvey</t>
        </is>
      </c>
    </row>
    <row r="196">
      <c r="A196" s="9" t="inlineStr">
        <is>
          <t>Ben Taylor</t>
        </is>
      </c>
      <c r="B196" s="9" t="inlineStr">
        <is>
          <t>12/28/25 - 1/25/26</t>
        </is>
      </c>
      <c r="C196" s="12" t="n">
        <v>0.2583</v>
      </c>
      <c r="D196" s="12" t="n">
        <v>1.0548</v>
      </c>
      <c r="E196" s="12" t="n">
        <v>1</v>
      </c>
      <c r="F196" s="12" t="n">
        <v>0.941176471</v>
      </c>
      <c r="G196" s="12" t="n">
        <v>1</v>
      </c>
      <c r="H196" s="9" t="n">
        <v>0</v>
      </c>
      <c r="I196" s="10" t="n">
        <v>1</v>
      </c>
      <c r="J196" s="12">
        <f>I196</f>
        <v/>
      </c>
      <c r="K196" t="inlineStr">
        <is>
          <t>Premium</t>
        </is>
      </c>
      <c r="L196" t="inlineStr">
        <is>
          <t>Professional</t>
        </is>
      </c>
      <c r="M196" t="inlineStr">
        <is>
          <t>Kristin Haase-Alvey</t>
        </is>
      </c>
    </row>
    <row r="197">
      <c r="A197" s="9" t="inlineStr">
        <is>
          <t>Ben Taylor</t>
        </is>
      </c>
      <c r="B197" s="9" t="inlineStr">
        <is>
          <t>5/18/25 - 6/14/25</t>
        </is>
      </c>
      <c r="C197" s="12" t="n">
        <v>0.77</v>
      </c>
      <c r="D197" s="12" t="n">
        <v>1.21</v>
      </c>
      <c r="E197" s="12" t="n">
        <v>1</v>
      </c>
      <c r="F197" s="12" t="n">
        <v>1</v>
      </c>
      <c r="G197" s="12" t="n">
        <v>0.77</v>
      </c>
      <c r="H197" s="9" t="n">
        <v>1</v>
      </c>
      <c r="I197" s="10" t="inlineStr">
        <is>
          <t xml:space="preserve"> 3/4</t>
        </is>
      </c>
      <c r="J197" s="12" t="n">
        <v>0.75</v>
      </c>
      <c r="K197" t="inlineStr">
        <is>
          <t>Premium</t>
        </is>
      </c>
      <c r="L197" t="inlineStr">
        <is>
          <t>Professional</t>
        </is>
      </c>
      <c r="M197" t="inlineStr">
        <is>
          <t>Kristin Haase-Alvey</t>
        </is>
      </c>
    </row>
    <row r="198">
      <c r="A198" s="9" t="inlineStr">
        <is>
          <t>Ben Taylor</t>
        </is>
      </c>
      <c r="B198" s="9" t="inlineStr">
        <is>
          <t>6/15/25 - 7/12/25</t>
        </is>
      </c>
      <c r="C198" s="12" t="n">
        <v>0.62</v>
      </c>
      <c r="D198" s="12" t="n">
        <v>1.15</v>
      </c>
      <c r="E198" s="12" t="n">
        <v>1</v>
      </c>
      <c r="F198" s="12" t="n">
        <v>1</v>
      </c>
      <c r="G198" s="12" t="n">
        <v>0.77</v>
      </c>
      <c r="H198" s="9" t="n">
        <v>2</v>
      </c>
      <c r="I198" s="10" t="n">
        <v>1</v>
      </c>
      <c r="J198" s="12">
        <f>I198</f>
        <v/>
      </c>
      <c r="K198" t="inlineStr">
        <is>
          <t>Premium</t>
        </is>
      </c>
      <c r="L198" t="inlineStr">
        <is>
          <t>Professional</t>
        </is>
      </c>
      <c r="M198" t="inlineStr">
        <is>
          <t>Kristin Haase-Alvey</t>
        </is>
      </c>
    </row>
    <row r="199">
      <c r="A199" s="9" t="inlineStr">
        <is>
          <t>Ben Taylor</t>
        </is>
      </c>
      <c r="B199" s="9" t="inlineStr">
        <is>
          <t>7/13/25 - 8/10/25</t>
        </is>
      </c>
      <c r="C199" s="12" t="n">
        <v>0.73</v>
      </c>
      <c r="D199" s="12" t="n">
        <v>1.06</v>
      </c>
      <c r="E199" s="12" t="n">
        <v>1</v>
      </c>
      <c r="F199" s="12" t="n">
        <v>1</v>
      </c>
      <c r="G199" s="12" t="n">
        <v>0.65</v>
      </c>
      <c r="H199" s="9" t="n">
        <v>2</v>
      </c>
      <c r="I199" s="10" t="n">
        <v>1</v>
      </c>
      <c r="J199" s="12">
        <f>I199</f>
        <v/>
      </c>
      <c r="K199" t="inlineStr">
        <is>
          <t>Premium</t>
        </is>
      </c>
      <c r="L199" t="inlineStr">
        <is>
          <t>Professional</t>
        </is>
      </c>
      <c r="M199" t="inlineStr">
        <is>
          <t>Kristin Haase-Alvey</t>
        </is>
      </c>
    </row>
    <row r="200">
      <c r="A200" s="9" t="inlineStr">
        <is>
          <t>Ben Taylor</t>
        </is>
      </c>
      <c r="B200" s="9" t="inlineStr">
        <is>
          <t>8/10/25 - 9/6/25</t>
        </is>
      </c>
      <c r="C200" s="12" t="n">
        <v>0.95</v>
      </c>
      <c r="D200" s="12" t="n">
        <v>1.12</v>
      </c>
      <c r="E200" s="12" t="n">
        <v>1</v>
      </c>
      <c r="F200" s="12" t="n">
        <v>1</v>
      </c>
      <c r="G200" s="12" t="n">
        <v>0.9399999999999999</v>
      </c>
      <c r="H200" s="9" t="n">
        <v>9</v>
      </c>
      <c r="I200" s="11" t="n"/>
      <c r="J200" s="12" t="n"/>
      <c r="K200" t="inlineStr">
        <is>
          <t>Premium</t>
        </is>
      </c>
      <c r="L200" t="inlineStr">
        <is>
          <t>Professional</t>
        </is>
      </c>
      <c r="M200" t="inlineStr">
        <is>
          <t>Kristin Haase-Alvey</t>
        </is>
      </c>
    </row>
    <row r="201">
      <c r="A201" s="9" t="inlineStr">
        <is>
          <t>Ben Taylor</t>
        </is>
      </c>
      <c r="B201" s="9" t="inlineStr">
        <is>
          <t>9/7/25 - 10/4/25</t>
        </is>
      </c>
      <c r="C201" s="12" t="n">
        <v>0.74</v>
      </c>
      <c r="D201" s="12" t="n">
        <v>1.09</v>
      </c>
      <c r="E201" s="12" t="n">
        <v>1</v>
      </c>
      <c r="F201" s="12" t="n">
        <v>0.98</v>
      </c>
      <c r="G201" s="12" t="n">
        <v>0.88</v>
      </c>
      <c r="H201" s="9" t="n">
        <v>1</v>
      </c>
      <c r="I201" s="11" t="n"/>
      <c r="J201" s="12" t="n"/>
      <c r="K201" t="inlineStr">
        <is>
          <t>Premium</t>
        </is>
      </c>
      <c r="L201" t="inlineStr">
        <is>
          <t>Professional</t>
        </is>
      </c>
      <c r="M201" t="inlineStr">
        <is>
          <t>Kristin Haase-Alvey</t>
        </is>
      </c>
    </row>
    <row r="202">
      <c r="A202" s="9" t="inlineStr">
        <is>
          <t>Blake Johnson</t>
        </is>
      </c>
      <c r="B202" s="9" t="inlineStr">
        <is>
          <t>5/18/25 - 6/14/25</t>
        </is>
      </c>
      <c r="C202" s="12" t="n">
        <v>0.6</v>
      </c>
      <c r="D202" s="12" t="n">
        <v>0.64</v>
      </c>
      <c r="E202" s="12" t="n">
        <v>0.86</v>
      </c>
      <c r="F202" s="12" t="n">
        <v>0.63</v>
      </c>
      <c r="G202" s="12" t="n">
        <v>1</v>
      </c>
      <c r="H202" s="9" t="n">
        <v>1</v>
      </c>
      <c r="J202" s="12" t="n"/>
      <c r="K202" t="e">
        <v>#N/A</v>
      </c>
      <c r="L202" t="e">
        <v>#N/A</v>
      </c>
      <c r="M202" t="e">
        <v>#N/A</v>
      </c>
    </row>
    <row r="203">
      <c r="A203" s="9" t="inlineStr">
        <is>
          <t>Blake Johnson</t>
        </is>
      </c>
      <c r="B203" s="9" t="inlineStr">
        <is>
          <t>6/15/25 - 7/12/25</t>
        </is>
      </c>
      <c r="C203" s="12" t="n">
        <v>0.59</v>
      </c>
      <c r="D203" s="12" t="n">
        <v>1</v>
      </c>
      <c r="E203" s="12" t="n">
        <v>0.9399999999999999</v>
      </c>
      <c r="F203" s="12" t="n">
        <v>1</v>
      </c>
      <c r="G203" s="12" t="n">
        <v>0</v>
      </c>
      <c r="H203" s="9" t="n">
        <v>2</v>
      </c>
      <c r="J203" s="12" t="n"/>
      <c r="K203" t="e">
        <v>#N/A</v>
      </c>
      <c r="L203" t="e">
        <v>#N/A</v>
      </c>
      <c r="M203" t="e">
        <v>#N/A</v>
      </c>
    </row>
    <row r="204">
      <c r="A204" s="9" t="inlineStr">
        <is>
          <t>Blake Johnson</t>
        </is>
      </c>
      <c r="B204" s="9" t="inlineStr">
        <is>
          <t>7/13/25 - 8/10/25</t>
        </is>
      </c>
      <c r="C204" s="12" t="n">
        <v>0.5600000000000001</v>
      </c>
      <c r="D204" s="12" t="n">
        <v>1</v>
      </c>
      <c r="E204" s="12" t="n">
        <v>0.93</v>
      </c>
      <c r="F204" s="12" t="n">
        <v>0.8100000000000001</v>
      </c>
      <c r="G204" s="12" t="n">
        <v>1</v>
      </c>
      <c r="H204" s="9" t="n">
        <v>1</v>
      </c>
      <c r="J204" s="12" t="n"/>
      <c r="K204" t="e">
        <v>#N/A</v>
      </c>
      <c r="L204" t="e">
        <v>#N/A</v>
      </c>
      <c r="M204" t="e">
        <v>#N/A</v>
      </c>
    </row>
    <row r="205">
      <c r="A205" s="9" t="inlineStr">
        <is>
          <t>Blake Johnson</t>
        </is>
      </c>
      <c r="B205" s="9" t="inlineStr">
        <is>
          <t>8/10/25 - 9/6/25</t>
        </is>
      </c>
      <c r="C205" s="12" t="n">
        <v>0.4</v>
      </c>
      <c r="D205" s="12" t="n">
        <v>1</v>
      </c>
      <c r="E205" s="12" t="n">
        <v>0.9</v>
      </c>
      <c r="F205" s="12" t="n">
        <v>0.67</v>
      </c>
      <c r="G205" s="12" t="n">
        <v>0.67</v>
      </c>
      <c r="H205" s="9" t="n">
        <v>0</v>
      </c>
      <c r="I205" s="10" t="inlineStr">
        <is>
          <t>1/2</t>
        </is>
      </c>
      <c r="J205" s="12" t="n">
        <v>0.5</v>
      </c>
      <c r="K205" t="e">
        <v>#N/A</v>
      </c>
      <c r="L205" t="e">
        <v>#N/A</v>
      </c>
      <c r="M205" t="e">
        <v>#N/A</v>
      </c>
    </row>
    <row r="206">
      <c r="A206" s="9" t="inlineStr">
        <is>
          <t>Blake Maly</t>
        </is>
      </c>
      <c r="B206" s="9" t="inlineStr">
        <is>
          <t>12/28/25 - 1/25/26</t>
        </is>
      </c>
      <c r="C206" s="12" t="n">
        <v>0</v>
      </c>
      <c r="D206" s="12" t="n">
        <v>0.4419</v>
      </c>
      <c r="E206" s="12" t="n">
        <v>0</v>
      </c>
      <c r="F206" s="12" t="n">
        <v>0</v>
      </c>
      <c r="G206" s="12" t="n">
        <v>0</v>
      </c>
      <c r="H206" s="9" t="n">
        <v>0</v>
      </c>
      <c r="I206" s="10" t="inlineStr">
        <is>
          <t>0/0</t>
        </is>
      </c>
      <c r="J206" s="12" t="n">
        <v>0</v>
      </c>
      <c r="K206" t="e">
        <v>#N/A</v>
      </c>
      <c r="L206" t="e">
        <v>#N/A</v>
      </c>
      <c r="M206" t="e">
        <v>#N/A</v>
      </c>
    </row>
    <row r="207">
      <c r="A207" s="9" t="inlineStr">
        <is>
          <t>Brandon Engle</t>
        </is>
      </c>
      <c r="B207" s="9" t="inlineStr">
        <is>
          <t>10/5/25 - 11/1/25</t>
        </is>
      </c>
      <c r="C207" s="12" t="n">
        <v>0.975</v>
      </c>
      <c r="D207" s="12" t="n">
        <v>1.0291</v>
      </c>
      <c r="E207" s="12" t="n">
        <v>1</v>
      </c>
      <c r="F207" s="12" t="n">
        <v>1</v>
      </c>
      <c r="G207" s="12" t="n">
        <v>0.416666666666666</v>
      </c>
      <c r="H207" s="9" t="n">
        <v>13</v>
      </c>
      <c r="I207" s="10" t="inlineStr">
        <is>
          <t>5/7</t>
        </is>
      </c>
      <c r="J207" s="12" t="n">
        <v>0.71</v>
      </c>
      <c r="K207" t="inlineStr">
        <is>
          <t>Distinguished</t>
        </is>
      </c>
      <c r="L207" t="inlineStr">
        <is>
          <t>Professional</t>
        </is>
      </c>
      <c r="M207" t="inlineStr">
        <is>
          <t>Annelies de Groot</t>
        </is>
      </c>
    </row>
    <row r="208">
      <c r="A208" s="9" t="inlineStr">
        <is>
          <t>Brandon Engle</t>
        </is>
      </c>
      <c r="B208" s="9" t="inlineStr">
        <is>
          <t>10/5/25 - 11/1/25</t>
        </is>
      </c>
      <c r="C208" s="12" t="n">
        <v>0.975</v>
      </c>
      <c r="D208" s="12" t="n">
        <v>1.0291</v>
      </c>
      <c r="E208" s="12" t="n">
        <v>1</v>
      </c>
      <c r="F208" s="12" t="n">
        <v>1</v>
      </c>
      <c r="G208" s="12" t="n">
        <v>0.416666666666666</v>
      </c>
      <c r="H208" s="9" t="n">
        <v>13</v>
      </c>
      <c r="I208" s="10" t="inlineStr">
        <is>
          <t>5/7</t>
        </is>
      </c>
      <c r="J208" s="12">
        <f>_xlfn.TEXTBEFORE(I208, "/")/_xlfn.TEXTAFTER(I208,"/")</f>
        <v/>
      </c>
      <c r="K208" t="inlineStr">
        <is>
          <t>Distinguished</t>
        </is>
      </c>
      <c r="L208" t="inlineStr">
        <is>
          <t>Professional</t>
        </is>
      </c>
      <c r="M208" t="inlineStr">
        <is>
          <t>Annelies de Groot</t>
        </is>
      </c>
    </row>
    <row r="209">
      <c r="A209" s="9" t="inlineStr">
        <is>
          <t>Brandon Engle</t>
        </is>
      </c>
      <c r="B209" s="9" t="inlineStr">
        <is>
          <t>11/2/25 - 11/29/25</t>
        </is>
      </c>
      <c r="C209" s="12" t="n">
        <v>0.64</v>
      </c>
      <c r="D209" s="12" t="n">
        <v>1.08</v>
      </c>
      <c r="E209" s="12" t="n">
        <v>0.99</v>
      </c>
      <c r="F209" s="12" t="n">
        <v>0.97</v>
      </c>
      <c r="G209" s="12" t="n">
        <v>0.33</v>
      </c>
      <c r="H209" s="9" t="n">
        <v>8</v>
      </c>
      <c r="I209" s="13" t="inlineStr">
        <is>
          <t>0/1</t>
        </is>
      </c>
      <c r="J209" s="12" t="n">
        <v>0</v>
      </c>
      <c r="K209" t="inlineStr">
        <is>
          <t>Distinguished</t>
        </is>
      </c>
      <c r="L209" t="inlineStr">
        <is>
          <t>Professional</t>
        </is>
      </c>
      <c r="M209" t="inlineStr">
        <is>
          <t>Annelies de Groot</t>
        </is>
      </c>
    </row>
    <row r="210">
      <c r="A210" s="9" t="inlineStr">
        <is>
          <t>Brandon Engle</t>
        </is>
      </c>
      <c r="B210" s="9" t="inlineStr">
        <is>
          <t>11/30/25 - 12/27/25</t>
        </is>
      </c>
      <c r="C210" s="12" t="n">
        <v>0.75</v>
      </c>
      <c r="D210" s="12" t="n">
        <v>0.91</v>
      </c>
      <c r="E210" s="12" t="n">
        <v>1</v>
      </c>
      <c r="F210" s="12" t="n">
        <v>0.99</v>
      </c>
      <c r="G210" s="12" t="n">
        <v>0.8</v>
      </c>
      <c r="H210" s="9" t="n">
        <v>22</v>
      </c>
      <c r="I210" s="10" t="n">
        <v>0.8888888888888888</v>
      </c>
      <c r="J210" s="12">
        <f>8/9</f>
        <v/>
      </c>
      <c r="K210" t="inlineStr">
        <is>
          <t>Distinguished</t>
        </is>
      </c>
      <c r="L210" t="inlineStr">
        <is>
          <t>Professional</t>
        </is>
      </c>
      <c r="M210" t="inlineStr">
        <is>
          <t>Annelies de Groot</t>
        </is>
      </c>
    </row>
    <row r="211">
      <c r="A211" s="9" t="inlineStr">
        <is>
          <t>Brandon Engle</t>
        </is>
      </c>
      <c r="B211" s="9" t="inlineStr">
        <is>
          <t>12/28/25 - 1/25/26</t>
        </is>
      </c>
      <c r="C211" s="12" t="n">
        <v>0.9</v>
      </c>
      <c r="D211" s="12" t="n">
        <v>0.9913</v>
      </c>
      <c r="E211" s="12" t="n">
        <v>1</v>
      </c>
      <c r="F211" s="12" t="n">
        <v>0.988764045</v>
      </c>
      <c r="G211" s="12" t="n">
        <v>0.909090909</v>
      </c>
      <c r="H211" s="9" t="n">
        <v>18</v>
      </c>
      <c r="I211" s="10" t="n">
        <v>1</v>
      </c>
      <c r="J211" s="12">
        <f>I211</f>
        <v/>
      </c>
      <c r="K211" t="inlineStr">
        <is>
          <t>Distinguished</t>
        </is>
      </c>
      <c r="L211" t="inlineStr">
        <is>
          <t>Professional</t>
        </is>
      </c>
      <c r="M211" t="inlineStr">
        <is>
          <t>Annelies de Groot</t>
        </is>
      </c>
    </row>
    <row r="212">
      <c r="A212" s="9" t="inlineStr">
        <is>
          <t>Brandon Engle</t>
        </is>
      </c>
      <c r="B212" s="9" t="inlineStr">
        <is>
          <t>8/10/25 - 9/6/25</t>
        </is>
      </c>
      <c r="C212" s="12" t="n">
        <v>0.88</v>
      </c>
      <c r="D212" s="12" t="n">
        <v>1.05</v>
      </c>
      <c r="E212" s="12" t="n">
        <v>1</v>
      </c>
      <c r="F212" s="12" t="n">
        <v>0.9399999999999999</v>
      </c>
      <c r="G212" s="12" t="n">
        <v>0.11</v>
      </c>
      <c r="H212" s="9" t="n">
        <v>5</v>
      </c>
      <c r="I212" s="10" t="inlineStr">
        <is>
          <t>8/13</t>
        </is>
      </c>
      <c r="J212" s="12" t="n">
        <v>0.62</v>
      </c>
      <c r="K212" t="inlineStr">
        <is>
          <t>Distinguished</t>
        </is>
      </c>
      <c r="L212" t="inlineStr">
        <is>
          <t>Professional</t>
        </is>
      </c>
      <c r="M212" t="inlineStr">
        <is>
          <t>Annelies de Groot</t>
        </is>
      </c>
    </row>
    <row r="213">
      <c r="A213" s="9" t="inlineStr">
        <is>
          <t>Brandon Engle</t>
        </is>
      </c>
      <c r="B213" s="9" t="inlineStr">
        <is>
          <t>9/7/25 - 10/4/25</t>
        </is>
      </c>
      <c r="C213" s="12" t="n">
        <v>0.88</v>
      </c>
      <c r="D213" s="12" t="n">
        <v>1.17</v>
      </c>
      <c r="E213" s="12" t="n">
        <v>1</v>
      </c>
      <c r="F213" s="12" t="n">
        <v>0.95</v>
      </c>
      <c r="G213" s="12" t="n">
        <v>0.43</v>
      </c>
      <c r="H213" s="9" t="n">
        <v>10</v>
      </c>
      <c r="I213" s="10" t="inlineStr">
        <is>
          <t>12/14</t>
        </is>
      </c>
      <c r="J213" s="12" t="n">
        <v>0.86</v>
      </c>
      <c r="K213" t="inlineStr">
        <is>
          <t>Distinguished</t>
        </is>
      </c>
      <c r="L213" t="inlineStr">
        <is>
          <t>Professional</t>
        </is>
      </c>
      <c r="M213" t="inlineStr">
        <is>
          <t>Annelies de Groot</t>
        </is>
      </c>
    </row>
    <row r="214">
      <c r="A214" s="9" t="inlineStr">
        <is>
          <t>Brandon Lora</t>
        </is>
      </c>
      <c r="B214" s="9" t="inlineStr">
        <is>
          <t>10/5/25 - 11/1/25</t>
        </is>
      </c>
      <c r="C214" s="12" t="n">
        <v>0.105599999999999</v>
      </c>
      <c r="D214" s="12" t="n">
        <v>0.9671</v>
      </c>
      <c r="E214" s="12" t="n">
        <v>1</v>
      </c>
      <c r="F214" s="12" t="n">
        <v>1</v>
      </c>
      <c r="G214" s="12" t="n">
        <v>0</v>
      </c>
      <c r="H214" s="9" t="n">
        <v>0</v>
      </c>
      <c r="I214" s="10" t="inlineStr">
        <is>
          <t>3/5</t>
        </is>
      </c>
      <c r="J214" s="12" t="n">
        <v>0.6</v>
      </c>
      <c r="K214" t="e">
        <v>#N/A</v>
      </c>
      <c r="L214" t="e">
        <v>#N/A</v>
      </c>
      <c r="M214" t="e">
        <v>#N/A</v>
      </c>
    </row>
    <row r="215">
      <c r="A215" s="9" t="inlineStr">
        <is>
          <t>Brandon Lora</t>
        </is>
      </c>
      <c r="B215" s="9" t="inlineStr">
        <is>
          <t>11/2/25 - 11/29/25</t>
        </is>
      </c>
      <c r="C215" s="12" t="n">
        <v>0.82</v>
      </c>
      <c r="D215" s="12" t="n">
        <v>1.09</v>
      </c>
      <c r="E215" s="12" t="n">
        <v>0.99</v>
      </c>
      <c r="F215" s="12" t="n">
        <v>0.98</v>
      </c>
      <c r="G215" s="12" t="n">
        <v>0.33</v>
      </c>
      <c r="H215" s="9" t="n">
        <v>0</v>
      </c>
      <c r="I215" s="13" t="n">
        <v>45757</v>
      </c>
      <c r="J215" s="14" t="n">
        <v>0.4</v>
      </c>
      <c r="K215" t="e">
        <v>#N/A</v>
      </c>
      <c r="L215" t="e">
        <v>#N/A</v>
      </c>
      <c r="M215" t="e">
        <v>#N/A</v>
      </c>
    </row>
    <row r="216">
      <c r="A216" s="9" t="inlineStr">
        <is>
          <t>Brandon Lora</t>
        </is>
      </c>
      <c r="B216" s="9" t="inlineStr">
        <is>
          <t>11/30/25 - 12/27/25</t>
        </is>
      </c>
      <c r="C216" s="12" t="n">
        <v>0.31</v>
      </c>
      <c r="D216" s="12" t="n">
        <v>0.52</v>
      </c>
      <c r="E216" s="12" t="n">
        <v>1</v>
      </c>
      <c r="F216" s="12" t="n">
        <v>1</v>
      </c>
      <c r="G216" s="12" t="n">
        <v>0.4</v>
      </c>
      <c r="H216" s="9" t="n">
        <v>2</v>
      </c>
      <c r="I216" s="10" t="n">
        <v>1</v>
      </c>
      <c r="J216" s="12" t="n">
        <v>1</v>
      </c>
      <c r="K216" t="e">
        <v>#N/A</v>
      </c>
      <c r="L216" t="e">
        <v>#N/A</v>
      </c>
      <c r="M216" t="e">
        <v>#N/A</v>
      </c>
    </row>
    <row r="217">
      <c r="A217" s="9" t="inlineStr">
        <is>
          <t>Brandon Lora</t>
        </is>
      </c>
      <c r="B217" s="9" t="inlineStr">
        <is>
          <t>12/28/25 - 1/25/26</t>
        </is>
      </c>
      <c r="C217" s="12" t="n">
        <v>0.7583</v>
      </c>
      <c r="D217" s="12" t="n">
        <v>1.0839</v>
      </c>
      <c r="E217" s="12" t="n">
        <v>0.9625</v>
      </c>
      <c r="F217" s="12" t="n">
        <v>0.982758621</v>
      </c>
      <c r="G217" s="12" t="n">
        <v>0.4</v>
      </c>
      <c r="H217" s="9" t="n">
        <v>1</v>
      </c>
      <c r="I217" s="10" t="n">
        <v>0.6666666666666666</v>
      </c>
      <c r="J217" s="12">
        <f>I217</f>
        <v/>
      </c>
      <c r="K217" t="e">
        <v>#N/A</v>
      </c>
      <c r="L217" t="e">
        <v>#N/A</v>
      </c>
      <c r="M217" t="e">
        <v>#N/A</v>
      </c>
    </row>
    <row r="218">
      <c r="A218" s="9" t="inlineStr">
        <is>
          <t>Brenna Hubnik</t>
        </is>
      </c>
      <c r="B218" s="9" t="inlineStr">
        <is>
          <t>10/5/25 - 11/1/25</t>
        </is>
      </c>
      <c r="C218" s="12" t="n">
        <v>1.15629999999999</v>
      </c>
      <c r="D218" s="12" t="n">
        <v>1.1445</v>
      </c>
      <c r="E218" s="12" t="n">
        <v>1</v>
      </c>
      <c r="F218" s="12" t="n">
        <v>1</v>
      </c>
      <c r="G218" s="12" t="n">
        <v>0.692307692307692</v>
      </c>
      <c r="H218" s="9" t="n">
        <v>7</v>
      </c>
      <c r="I218" s="10" t="inlineStr">
        <is>
          <t>3/5</t>
        </is>
      </c>
      <c r="J218" s="12" t="n">
        <v>0.6</v>
      </c>
      <c r="K218" t="inlineStr">
        <is>
          <t>Distinguished</t>
        </is>
      </c>
      <c r="L218" t="inlineStr">
        <is>
          <t>Adjunct</t>
        </is>
      </c>
      <c r="M218" t="inlineStr">
        <is>
          <t>Annelies de Groot</t>
        </is>
      </c>
    </row>
    <row r="219">
      <c r="A219" s="9" t="inlineStr">
        <is>
          <t>Brenna Hubnik</t>
        </is>
      </c>
      <c r="B219" s="9" t="inlineStr">
        <is>
          <t>11/2/25 - 11/29/25</t>
        </is>
      </c>
      <c r="C219" s="12" t="n">
        <v>1.26</v>
      </c>
      <c r="D219" s="12" t="n">
        <v>1.21</v>
      </c>
      <c r="E219" s="12" t="n">
        <v>1</v>
      </c>
      <c r="F219" s="12" t="n">
        <v>1</v>
      </c>
      <c r="G219" s="12" t="n">
        <v>0.79</v>
      </c>
      <c r="H219" s="9" t="n">
        <v>4</v>
      </c>
      <c r="I219" s="13" t="n">
        <v>45690</v>
      </c>
      <c r="J219" s="12" t="n">
        <v>1</v>
      </c>
      <c r="K219" t="inlineStr">
        <is>
          <t>Distinguished</t>
        </is>
      </c>
      <c r="L219" t="inlineStr">
        <is>
          <t>Adjunct</t>
        </is>
      </c>
      <c r="M219" t="inlineStr">
        <is>
          <t>Annelies de Groot</t>
        </is>
      </c>
    </row>
    <row r="220">
      <c r="A220" s="9" t="inlineStr">
        <is>
          <t>Brenna Hubnik</t>
        </is>
      </c>
      <c r="B220" s="9" t="inlineStr">
        <is>
          <t>11/30/25 - 12/27/25</t>
        </is>
      </c>
      <c r="C220" s="12" t="n">
        <v>1</v>
      </c>
      <c r="D220" s="12" t="n">
        <v>1.14</v>
      </c>
      <c r="E220" s="12" t="n">
        <v>1</v>
      </c>
      <c r="F220" s="12" t="n">
        <v>1</v>
      </c>
      <c r="G220" s="12" t="n">
        <v>0.82</v>
      </c>
      <c r="H220" s="9" t="n">
        <v>6</v>
      </c>
      <c r="I220" s="10" t="n"/>
      <c r="J220" s="12" t="n"/>
      <c r="K220" t="inlineStr">
        <is>
          <t>Distinguished</t>
        </is>
      </c>
      <c r="L220" t="inlineStr">
        <is>
          <t>Adjunct</t>
        </is>
      </c>
      <c r="M220" t="inlineStr">
        <is>
          <t>Annelies de Groot</t>
        </is>
      </c>
    </row>
    <row r="221">
      <c r="A221" s="9" t="inlineStr">
        <is>
          <t>Brenna Hubnik</t>
        </is>
      </c>
      <c r="B221" s="9" t="inlineStr">
        <is>
          <t>12/28/25 - 1/25/26</t>
        </is>
      </c>
      <c r="C221" s="12" t="n">
        <v>0.9583</v>
      </c>
      <c r="D221" s="12" t="n">
        <v>1.1406</v>
      </c>
      <c r="E221" s="12" t="n">
        <v>1</v>
      </c>
      <c r="F221" s="12" t="n">
        <v>1</v>
      </c>
      <c r="G221" s="12" t="n">
        <v>0.928571429</v>
      </c>
      <c r="H221" s="9" t="n">
        <v>15</v>
      </c>
      <c r="I221" s="10" t="n">
        <v>1</v>
      </c>
      <c r="J221" s="12">
        <f>I221</f>
        <v/>
      </c>
      <c r="K221" t="inlineStr">
        <is>
          <t>Distinguished</t>
        </is>
      </c>
      <c r="L221" t="inlineStr">
        <is>
          <t>Adjunct</t>
        </is>
      </c>
      <c r="M221" t="inlineStr">
        <is>
          <t>Annelies de Groot</t>
        </is>
      </c>
    </row>
    <row r="222">
      <c r="A222" s="9" t="inlineStr">
        <is>
          <t>Brenna Hubnik</t>
        </is>
      </c>
      <c r="B222" s="9" t="inlineStr">
        <is>
          <t>5/18/25 - 6/14/25</t>
        </is>
      </c>
      <c r="C222" s="12" t="n">
        <v>0.9399999999999999</v>
      </c>
      <c r="D222" s="12" t="n">
        <v>1.24</v>
      </c>
      <c r="E222" s="12" t="n">
        <v>1</v>
      </c>
      <c r="F222" s="12" t="n">
        <v>1</v>
      </c>
      <c r="G222" s="12" t="n">
        <v>0.92</v>
      </c>
      <c r="H222" s="9" t="n">
        <v>8</v>
      </c>
      <c r="J222" s="12" t="n"/>
      <c r="K222" t="inlineStr">
        <is>
          <t>Distinguished</t>
        </is>
      </c>
      <c r="L222" t="inlineStr">
        <is>
          <t>Adjunct</t>
        </is>
      </c>
      <c r="M222" t="inlineStr">
        <is>
          <t>Annelies de Groot</t>
        </is>
      </c>
    </row>
    <row r="223">
      <c r="A223" s="9" t="inlineStr">
        <is>
          <t>Brenna Hubnik</t>
        </is>
      </c>
      <c r="B223" s="9" t="inlineStr">
        <is>
          <t>6/15/25 - 7/12/25</t>
        </is>
      </c>
      <c r="C223" s="12" t="n">
        <v>0.83</v>
      </c>
      <c r="D223" s="12" t="n">
        <v>1.21</v>
      </c>
      <c r="E223" s="12" t="n">
        <v>1</v>
      </c>
      <c r="F223" s="12" t="n">
        <v>1</v>
      </c>
      <c r="G223" s="12" t="n">
        <v>0.92</v>
      </c>
      <c r="H223" s="9" t="n">
        <v>3</v>
      </c>
      <c r="I223" s="10" t="n">
        <v>1</v>
      </c>
      <c r="J223" s="12">
        <f>I223</f>
        <v/>
      </c>
      <c r="K223" t="inlineStr">
        <is>
          <t>Distinguished</t>
        </is>
      </c>
      <c r="L223" t="inlineStr">
        <is>
          <t>Adjunct</t>
        </is>
      </c>
      <c r="M223" t="inlineStr">
        <is>
          <t>Annelies de Groot</t>
        </is>
      </c>
    </row>
    <row r="224">
      <c r="A224" s="9" t="inlineStr">
        <is>
          <t>Brenna Hubnik</t>
        </is>
      </c>
      <c r="B224" s="9" t="inlineStr">
        <is>
          <t>7/13/25 - 8/10/25</t>
        </is>
      </c>
      <c r="C224" s="12" t="n">
        <v>0.88</v>
      </c>
      <c r="D224" s="12" t="n">
        <v>1.21</v>
      </c>
      <c r="E224" s="12" t="n">
        <v>1</v>
      </c>
      <c r="F224" s="12" t="n">
        <v>1</v>
      </c>
      <c r="G224" s="12" t="n">
        <v>0.77</v>
      </c>
      <c r="H224" s="9" t="n">
        <v>5</v>
      </c>
      <c r="I224" s="10" t="inlineStr">
        <is>
          <t xml:space="preserve"> 1/2</t>
        </is>
      </c>
      <c r="J224" s="12" t="n">
        <v>0.5</v>
      </c>
      <c r="K224" t="inlineStr">
        <is>
          <t>Distinguished</t>
        </is>
      </c>
      <c r="L224" t="inlineStr">
        <is>
          <t>Adjunct</t>
        </is>
      </c>
      <c r="M224" t="inlineStr">
        <is>
          <t>Annelies de Groot</t>
        </is>
      </c>
    </row>
    <row r="225">
      <c r="A225" s="9" t="inlineStr">
        <is>
          <t>Brenna Hubnik</t>
        </is>
      </c>
      <c r="B225" s="9" t="inlineStr">
        <is>
          <t>8/10/25 - 9/6/25</t>
        </is>
      </c>
      <c r="C225" s="12" t="n">
        <v>0.9</v>
      </c>
      <c r="D225" s="12" t="n">
        <v>1.2</v>
      </c>
      <c r="E225" s="12" t="n">
        <v>0.98</v>
      </c>
      <c r="F225" s="12" t="n">
        <v>1</v>
      </c>
      <c r="G225" s="12" t="n">
        <v>0.73</v>
      </c>
      <c r="H225" s="9" t="n">
        <v>3</v>
      </c>
      <c r="I225" s="11" t="n"/>
      <c r="J225" s="12" t="n"/>
      <c r="K225" t="inlineStr">
        <is>
          <t>Distinguished</t>
        </is>
      </c>
      <c r="L225" t="inlineStr">
        <is>
          <t>Adjunct</t>
        </is>
      </c>
      <c r="M225" t="inlineStr">
        <is>
          <t>Annelies de Groot</t>
        </is>
      </c>
    </row>
    <row r="226">
      <c r="A226" s="9" t="inlineStr">
        <is>
          <t>Brenna Hubnik</t>
        </is>
      </c>
      <c r="B226" s="9" t="inlineStr">
        <is>
          <t>9/7/25 - 10/4/25</t>
        </is>
      </c>
      <c r="C226" s="12" t="n">
        <v>0.95</v>
      </c>
      <c r="D226" s="12" t="n">
        <v>1.15</v>
      </c>
      <c r="E226" s="12" t="n">
        <v>1</v>
      </c>
      <c r="F226" s="12" t="n">
        <v>1</v>
      </c>
      <c r="G226" s="12" t="n">
        <v>0.9</v>
      </c>
      <c r="H226" s="9" t="n">
        <v>6</v>
      </c>
      <c r="I226" s="10" t="inlineStr">
        <is>
          <t>3/3</t>
        </is>
      </c>
      <c r="J226" s="12" t="n">
        <v>1</v>
      </c>
      <c r="K226" t="inlineStr">
        <is>
          <t>Distinguished</t>
        </is>
      </c>
      <c r="L226" t="inlineStr">
        <is>
          <t>Adjunct</t>
        </is>
      </c>
      <c r="M226" t="inlineStr">
        <is>
          <t>Annelies de Groot</t>
        </is>
      </c>
    </row>
    <row r="227">
      <c r="A227" s="9" t="inlineStr">
        <is>
          <t>Brian Cohen</t>
        </is>
      </c>
      <c r="B227" s="9" t="inlineStr">
        <is>
          <t>10/5/25 - 11/1/25</t>
        </is>
      </c>
      <c r="C227" s="12" t="n">
        <v>0.8125</v>
      </c>
      <c r="D227" s="12" t="n">
        <v>1.21479999999999</v>
      </c>
      <c r="E227" s="12" t="n">
        <v>0.972222222222222</v>
      </c>
      <c r="F227" s="12" t="n">
        <v>1</v>
      </c>
      <c r="G227" s="12" t="n">
        <v>1</v>
      </c>
      <c r="H227" s="9" t="n">
        <v>0</v>
      </c>
      <c r="I227" s="10" t="inlineStr">
        <is>
          <t>3/3</t>
        </is>
      </c>
      <c r="J227" s="12" t="n">
        <v>1</v>
      </c>
      <c r="K227" t="inlineStr">
        <is>
          <t>Premium</t>
        </is>
      </c>
      <c r="L227" t="inlineStr">
        <is>
          <t>Adjunct</t>
        </is>
      </c>
      <c r="M227" t="inlineStr">
        <is>
          <t>Annelies de Groot</t>
        </is>
      </c>
    </row>
    <row r="228">
      <c r="A228" s="9" t="inlineStr">
        <is>
          <t>Brian Cohen</t>
        </is>
      </c>
      <c r="B228" s="9" t="inlineStr">
        <is>
          <t>11/2/25 - 11/29/25</t>
        </is>
      </c>
      <c r="C228" s="12" t="n">
        <v>0.53</v>
      </c>
      <c r="D228" s="12" t="n">
        <v>1.03</v>
      </c>
      <c r="E228" s="12" t="n">
        <v>1</v>
      </c>
      <c r="F228" s="12" t="n">
        <v>0.95</v>
      </c>
      <c r="G228" s="12" t="n">
        <v>1</v>
      </c>
      <c r="H228" s="9" t="n">
        <v>2</v>
      </c>
      <c r="I228" s="13" t="n"/>
      <c r="J228" s="9" t="n"/>
      <c r="K228" t="inlineStr">
        <is>
          <t>Premium</t>
        </is>
      </c>
      <c r="L228" t="inlineStr">
        <is>
          <t>Adjunct</t>
        </is>
      </c>
      <c r="M228" t="inlineStr">
        <is>
          <t>Annelies de Groot</t>
        </is>
      </c>
    </row>
    <row r="229">
      <c r="A229" s="9" t="inlineStr">
        <is>
          <t>Brian Cohen</t>
        </is>
      </c>
      <c r="B229" s="9" t="inlineStr">
        <is>
          <t>11/30/25 - 12/27/25</t>
        </is>
      </c>
      <c r="C229" s="12" t="n">
        <v>0.52</v>
      </c>
      <c r="D229" s="12" t="n">
        <v>1.14</v>
      </c>
      <c r="E229" s="12" t="n">
        <v>1</v>
      </c>
      <c r="F229" s="12" t="n">
        <v>1</v>
      </c>
      <c r="G229" s="12" t="n">
        <v>1</v>
      </c>
      <c r="H229" s="9" t="n">
        <v>0</v>
      </c>
      <c r="I229" s="10" t="n">
        <v>1</v>
      </c>
      <c r="J229" s="12" t="n">
        <v>1</v>
      </c>
      <c r="K229" t="inlineStr">
        <is>
          <t>Premium</t>
        </is>
      </c>
      <c r="L229" t="inlineStr">
        <is>
          <t>Adjunct</t>
        </is>
      </c>
      <c r="M229" t="inlineStr">
        <is>
          <t>Annelies de Groot</t>
        </is>
      </c>
    </row>
    <row r="230">
      <c r="A230" s="9" t="inlineStr">
        <is>
          <t>Brian Cohen</t>
        </is>
      </c>
      <c r="B230" s="9" t="inlineStr">
        <is>
          <t>12/28/25 - 1/25/26</t>
        </is>
      </c>
      <c r="C230" s="12" t="n">
        <v>0.6354</v>
      </c>
      <c r="D230" s="12" t="n">
        <v>1.1328</v>
      </c>
      <c r="E230" s="12" t="n">
        <v>0.964285714</v>
      </c>
      <c r="F230" s="12" t="n">
        <v>1</v>
      </c>
      <c r="G230" s="12" t="n">
        <v>1</v>
      </c>
      <c r="H230" s="9" t="n">
        <v>2</v>
      </c>
      <c r="I230" s="10" t="n">
        <v>0.5</v>
      </c>
      <c r="J230" s="12">
        <f>I230</f>
        <v/>
      </c>
      <c r="K230" t="inlineStr">
        <is>
          <t>Premium</t>
        </is>
      </c>
      <c r="L230" t="inlineStr">
        <is>
          <t>Adjunct</t>
        </is>
      </c>
      <c r="M230" t="inlineStr">
        <is>
          <t>Annelies de Groot</t>
        </is>
      </c>
    </row>
    <row r="231">
      <c r="A231" s="9" t="inlineStr">
        <is>
          <t>Brian Cohen</t>
        </is>
      </c>
      <c r="B231" s="9" t="inlineStr">
        <is>
          <t>5/18/25 - 6/14/25</t>
        </is>
      </c>
      <c r="C231" s="12" t="n">
        <v>0.53</v>
      </c>
      <c r="D231" s="12" t="n">
        <v>1.19</v>
      </c>
      <c r="E231" s="12" t="n">
        <v>1</v>
      </c>
      <c r="F231" s="12" t="n">
        <v>1</v>
      </c>
      <c r="G231" s="12" t="n">
        <v>1</v>
      </c>
      <c r="H231" s="9" t="n">
        <v>2</v>
      </c>
      <c r="I231" s="10" t="n">
        <v>1</v>
      </c>
      <c r="J231" s="12">
        <f>I231</f>
        <v/>
      </c>
      <c r="K231" t="inlineStr">
        <is>
          <t>Premium</t>
        </is>
      </c>
      <c r="L231" t="inlineStr">
        <is>
          <t>Adjunct</t>
        </is>
      </c>
      <c r="M231" t="inlineStr">
        <is>
          <t>Annelies de Groot</t>
        </is>
      </c>
    </row>
    <row r="232">
      <c r="A232" s="9" t="inlineStr">
        <is>
          <t>Brian Cohen</t>
        </is>
      </c>
      <c r="B232" s="9" t="inlineStr">
        <is>
          <t>6/15/25 - 7/12/25</t>
        </is>
      </c>
      <c r="C232" s="12" t="n">
        <v>0.7</v>
      </c>
      <c r="D232" s="12" t="n">
        <v>1.21</v>
      </c>
      <c r="E232" s="12" t="n">
        <v>1</v>
      </c>
      <c r="F232" s="12" t="n">
        <v>1</v>
      </c>
      <c r="G232" s="12" t="n">
        <v>0.75</v>
      </c>
      <c r="H232" s="9" t="n">
        <v>2</v>
      </c>
      <c r="I232" s="10" t="n">
        <v>1</v>
      </c>
      <c r="J232" s="12">
        <f>I232</f>
        <v/>
      </c>
      <c r="K232" t="inlineStr">
        <is>
          <t>Premium</t>
        </is>
      </c>
      <c r="L232" t="inlineStr">
        <is>
          <t>Adjunct</t>
        </is>
      </c>
      <c r="M232" t="inlineStr">
        <is>
          <t>Annelies de Groot</t>
        </is>
      </c>
    </row>
    <row r="233">
      <c r="A233" s="9" t="inlineStr">
        <is>
          <t>Brian Cohen</t>
        </is>
      </c>
      <c r="B233" s="9" t="inlineStr">
        <is>
          <t>7/13/25 - 8/10/25</t>
        </is>
      </c>
      <c r="C233" s="12" t="n">
        <v>1.01</v>
      </c>
      <c r="D233" s="12" t="n">
        <v>1.03</v>
      </c>
      <c r="E233" s="12" t="n">
        <v>0.98</v>
      </c>
      <c r="F233" s="12" t="n">
        <v>1</v>
      </c>
      <c r="G233" s="12" t="n">
        <v>1</v>
      </c>
      <c r="H233" s="9" t="n">
        <v>1</v>
      </c>
      <c r="J233" s="12" t="n"/>
      <c r="K233" t="inlineStr">
        <is>
          <t>Premium</t>
        </is>
      </c>
      <c r="L233" t="inlineStr">
        <is>
          <t>Adjunct</t>
        </is>
      </c>
      <c r="M233" t="inlineStr">
        <is>
          <t>Annelies de Groot</t>
        </is>
      </c>
    </row>
    <row r="234">
      <c r="A234" s="9" t="inlineStr">
        <is>
          <t>Brian Cohen</t>
        </is>
      </c>
      <c r="B234" s="9" t="inlineStr">
        <is>
          <t>8/10/25 - 9/6/25</t>
        </is>
      </c>
      <c r="C234" s="12" t="n">
        <v>0.65</v>
      </c>
      <c r="D234" s="12" t="n">
        <v>0.9</v>
      </c>
      <c r="E234" s="12" t="n">
        <v>1</v>
      </c>
      <c r="F234" s="12" t="n">
        <v>1</v>
      </c>
      <c r="G234" s="12" t="n">
        <v>1</v>
      </c>
      <c r="H234" s="9" t="n">
        <v>0</v>
      </c>
      <c r="I234" s="11" t="n"/>
      <c r="J234" s="12" t="n"/>
      <c r="K234" t="inlineStr">
        <is>
          <t>Premium</t>
        </is>
      </c>
      <c r="L234" t="inlineStr">
        <is>
          <t>Adjunct</t>
        </is>
      </c>
      <c r="M234" t="inlineStr">
        <is>
          <t>Annelies de Groot</t>
        </is>
      </c>
    </row>
    <row r="235">
      <c r="A235" s="9" t="inlineStr">
        <is>
          <t>Brian Cohen</t>
        </is>
      </c>
      <c r="B235" s="9" t="inlineStr">
        <is>
          <t>9/7/25 - 10/4/25</t>
        </is>
      </c>
      <c r="C235" s="12" t="n">
        <v>0.9399999999999999</v>
      </c>
      <c r="D235" s="12" t="n">
        <v>1.19</v>
      </c>
      <c r="E235" s="12" t="n">
        <v>1</v>
      </c>
      <c r="F235" s="12" t="n">
        <v>0.97</v>
      </c>
      <c r="G235" s="12" t="n">
        <v>1</v>
      </c>
      <c r="H235" s="9" t="n">
        <v>1</v>
      </c>
      <c r="I235" s="10" t="inlineStr">
        <is>
          <t>1/1</t>
        </is>
      </c>
      <c r="J235" s="12" t="n">
        <v>1</v>
      </c>
      <c r="K235" t="inlineStr">
        <is>
          <t>Premium</t>
        </is>
      </c>
      <c r="L235" t="inlineStr">
        <is>
          <t>Adjunct</t>
        </is>
      </c>
      <c r="M235" t="inlineStr">
        <is>
          <t>Annelies de Groot</t>
        </is>
      </c>
    </row>
    <row r="236">
      <c r="A236" s="9" t="inlineStr">
        <is>
          <t>Brian James</t>
        </is>
      </c>
      <c r="B236" s="9" t="inlineStr">
        <is>
          <t>10/5/25 - 11/1/25</t>
        </is>
      </c>
      <c r="C236" s="12" t="n">
        <v>1.3417</v>
      </c>
      <c r="D236" s="12" t="n">
        <v>1.1102</v>
      </c>
      <c r="E236" s="12" t="n">
        <v>1</v>
      </c>
      <c r="F236" s="12" t="n">
        <v>0.989795918367346</v>
      </c>
      <c r="G236" s="12" t="n">
        <v>0.81578947368421</v>
      </c>
      <c r="H236" s="9" t="n">
        <v>22</v>
      </c>
      <c r="I236" s="10" t="n"/>
      <c r="J236" s="12" t="n"/>
      <c r="K236" t="inlineStr">
        <is>
          <t>Distinguished</t>
        </is>
      </c>
      <c r="L236" t="inlineStr">
        <is>
          <t>Professional</t>
        </is>
      </c>
      <c r="M236" t="inlineStr">
        <is>
          <t>Annelies de Groot</t>
        </is>
      </c>
    </row>
    <row r="237">
      <c r="A237" s="9" t="inlineStr">
        <is>
          <t>Brian James</t>
        </is>
      </c>
      <c r="B237" s="9" t="inlineStr">
        <is>
          <t>10/5/25 - 11/1/25</t>
        </is>
      </c>
      <c r="C237" s="12" t="n">
        <v>1.3417</v>
      </c>
      <c r="D237" s="12" t="n">
        <v>1.1102</v>
      </c>
      <c r="E237" s="12" t="n">
        <v>1</v>
      </c>
      <c r="F237" s="12" t="n">
        <v>0.989795918367346</v>
      </c>
      <c r="G237" s="12" t="n">
        <v>0.81578947368421</v>
      </c>
      <c r="H237" s="9" t="n">
        <v>22</v>
      </c>
      <c r="J237" s="9" t="n"/>
      <c r="K237" t="inlineStr">
        <is>
          <t>Distinguished</t>
        </is>
      </c>
      <c r="L237" t="inlineStr">
        <is>
          <t>Professional</t>
        </is>
      </c>
      <c r="M237" t="inlineStr">
        <is>
          <t>Annelies de Groot</t>
        </is>
      </c>
    </row>
    <row r="238">
      <c r="A238" s="9" t="inlineStr">
        <is>
          <t>Brian James</t>
        </is>
      </c>
      <c r="B238" s="9" t="inlineStr">
        <is>
          <t>11/2/25 - 11/29/25</t>
        </is>
      </c>
      <c r="C238" s="12" t="n">
        <v>1.28</v>
      </c>
      <c r="D238" s="12" t="n">
        <v>1.1</v>
      </c>
      <c r="E238" s="12" t="n">
        <v>0.99</v>
      </c>
      <c r="F238" s="12" t="n">
        <v>0.98</v>
      </c>
      <c r="G238" s="12" t="n">
        <v>0.8100000000000001</v>
      </c>
      <c r="H238" s="9" t="n">
        <v>13</v>
      </c>
      <c r="I238" s="13" t="n">
        <v>45658</v>
      </c>
      <c r="J238" s="12" t="n">
        <v>1</v>
      </c>
      <c r="K238" t="inlineStr">
        <is>
          <t>Distinguished</t>
        </is>
      </c>
      <c r="L238" t="inlineStr">
        <is>
          <t>Professional</t>
        </is>
      </c>
      <c r="M238" t="inlineStr">
        <is>
          <t>Annelies de Groot</t>
        </is>
      </c>
    </row>
    <row r="239">
      <c r="A239" s="9" t="inlineStr">
        <is>
          <t>Brian James</t>
        </is>
      </c>
      <c r="B239" s="9" t="inlineStr">
        <is>
          <t>11/30/25 - 12/27/25</t>
        </is>
      </c>
      <c r="C239" s="12" t="n">
        <v>0.88</v>
      </c>
      <c r="D239" s="12" t="n">
        <v>0.99</v>
      </c>
      <c r="E239" s="12" t="n">
        <v>1</v>
      </c>
      <c r="F239" s="12" t="n">
        <v>1</v>
      </c>
      <c r="G239" s="12" t="n">
        <v>0.91</v>
      </c>
      <c r="H239" s="9" t="n">
        <v>10</v>
      </c>
      <c r="I239" s="10" t="inlineStr">
        <is>
          <t>0/2</t>
        </is>
      </c>
      <c r="J239" s="12" t="n">
        <v>0</v>
      </c>
      <c r="K239" t="inlineStr">
        <is>
          <t>Distinguished</t>
        </is>
      </c>
      <c r="L239" t="inlineStr">
        <is>
          <t>Professional</t>
        </is>
      </c>
      <c r="M239" t="inlineStr">
        <is>
          <t>Annelies de Groot</t>
        </is>
      </c>
    </row>
    <row r="240">
      <c r="A240" s="9" t="inlineStr">
        <is>
          <t>Brian James</t>
        </is>
      </c>
      <c r="B240" s="9" t="inlineStr">
        <is>
          <t>12/28/25 - 1/25/26</t>
        </is>
      </c>
      <c r="C240" s="12" t="n">
        <v>1.1042</v>
      </c>
      <c r="D240" s="12" t="n">
        <v>1.0395</v>
      </c>
      <c r="E240" s="12" t="n">
        <v>1</v>
      </c>
      <c r="F240" s="12" t="n">
        <v>0.987012987</v>
      </c>
      <c r="G240" s="12" t="n">
        <v>0.956521739</v>
      </c>
      <c r="H240" s="9" t="n">
        <v>22</v>
      </c>
      <c r="I240" s="10" t="n">
        <v>0.3333333333333333</v>
      </c>
      <c r="J240" s="12">
        <f>I240</f>
        <v/>
      </c>
      <c r="K240" t="inlineStr">
        <is>
          <t>Distinguished</t>
        </is>
      </c>
      <c r="L240" t="inlineStr">
        <is>
          <t>Professional</t>
        </is>
      </c>
      <c r="M240" t="inlineStr">
        <is>
          <t>Annelies de Groot</t>
        </is>
      </c>
    </row>
    <row r="241">
      <c r="A241" s="9" t="inlineStr">
        <is>
          <t>Brian James</t>
        </is>
      </c>
      <c r="B241" s="9" t="inlineStr">
        <is>
          <t>5/18/25 - 6/14/25</t>
        </is>
      </c>
      <c r="C241" s="12" t="n">
        <v>1.23</v>
      </c>
      <c r="D241" s="12" t="n">
        <v>1.57</v>
      </c>
      <c r="E241" s="12" t="n">
        <v>0.99</v>
      </c>
      <c r="F241" s="12" t="n">
        <v>0.98</v>
      </c>
      <c r="G241" s="12" t="n">
        <v>0.71</v>
      </c>
      <c r="H241" s="9" t="n">
        <v>9</v>
      </c>
      <c r="I241" s="10" t="inlineStr">
        <is>
          <t xml:space="preserve"> 1/2</t>
        </is>
      </c>
      <c r="J241" s="12" t="n">
        <v>0.5</v>
      </c>
      <c r="K241" t="inlineStr">
        <is>
          <t>Distinguished</t>
        </is>
      </c>
      <c r="L241" t="inlineStr">
        <is>
          <t>Professional</t>
        </is>
      </c>
      <c r="M241" t="inlineStr">
        <is>
          <t>Annelies de Groot</t>
        </is>
      </c>
    </row>
    <row r="242">
      <c r="A242" s="9" t="inlineStr">
        <is>
          <t>Brian James</t>
        </is>
      </c>
      <c r="B242" s="9" t="inlineStr">
        <is>
          <t>6/15/25 - 7/12/25</t>
        </is>
      </c>
      <c r="C242" s="12" t="n">
        <v>1.26</v>
      </c>
      <c r="D242" s="12" t="n">
        <v>1.51</v>
      </c>
      <c r="E242" s="12" t="n">
        <v>1</v>
      </c>
      <c r="F242" s="12" t="n">
        <v>0.99</v>
      </c>
      <c r="G242" s="12" t="n">
        <v>0.58</v>
      </c>
      <c r="H242" s="9" t="n">
        <v>12</v>
      </c>
      <c r="I242" s="10" t="inlineStr">
        <is>
          <t xml:space="preserve"> 3/5</t>
        </is>
      </c>
      <c r="J242" s="12" t="n">
        <v>0.6</v>
      </c>
      <c r="K242" t="inlineStr">
        <is>
          <t>Distinguished</t>
        </is>
      </c>
      <c r="L242" t="inlineStr">
        <is>
          <t>Professional</t>
        </is>
      </c>
      <c r="M242" t="inlineStr">
        <is>
          <t>Annelies de Groot</t>
        </is>
      </c>
    </row>
    <row r="243">
      <c r="A243" s="9" t="inlineStr">
        <is>
          <t>Brian James</t>
        </is>
      </c>
      <c r="B243" s="9" t="inlineStr">
        <is>
          <t>7/13/25 - 8/10/25</t>
        </is>
      </c>
      <c r="C243" s="12" t="n">
        <v>1.44</v>
      </c>
      <c r="D243" s="12" t="n">
        <v>1.38</v>
      </c>
      <c r="E243" s="12" t="n">
        <v>0.99</v>
      </c>
      <c r="F243" s="12" t="n">
        <v>0.96</v>
      </c>
      <c r="G243" s="12" t="n">
        <v>0.21</v>
      </c>
      <c r="H243" s="9" t="n">
        <v>17</v>
      </c>
      <c r="I243" s="10" t="inlineStr">
        <is>
          <t xml:space="preserve"> 4/5</t>
        </is>
      </c>
      <c r="J243" s="12" t="n">
        <v>0.8</v>
      </c>
      <c r="K243" t="inlineStr">
        <is>
          <t>Distinguished</t>
        </is>
      </c>
      <c r="L243" t="inlineStr">
        <is>
          <t>Professional</t>
        </is>
      </c>
      <c r="M243" t="inlineStr">
        <is>
          <t>Annelies de Groot</t>
        </is>
      </c>
    </row>
    <row r="244">
      <c r="A244" s="9" t="inlineStr">
        <is>
          <t>Brian James</t>
        </is>
      </c>
      <c r="B244" s="9" t="inlineStr">
        <is>
          <t>8/10/25 - 9/6/25</t>
        </is>
      </c>
      <c r="C244" s="12" t="n">
        <v>1.22</v>
      </c>
      <c r="D244" s="12" t="n">
        <v>1.18</v>
      </c>
      <c r="E244" s="12" t="n">
        <v>1</v>
      </c>
      <c r="F244" s="12" t="n">
        <v>0.99</v>
      </c>
      <c r="G244" s="12" t="n">
        <v>0.5</v>
      </c>
      <c r="H244" s="9" t="n">
        <v>16</v>
      </c>
      <c r="I244" s="10" t="inlineStr">
        <is>
          <t>2/3</t>
        </is>
      </c>
      <c r="J244" s="12" t="n">
        <v>0.66</v>
      </c>
      <c r="K244" t="inlineStr">
        <is>
          <t>Distinguished</t>
        </is>
      </c>
      <c r="L244" t="inlineStr">
        <is>
          <t>Professional</t>
        </is>
      </c>
      <c r="M244" t="inlineStr">
        <is>
          <t>Annelies de Groot</t>
        </is>
      </c>
    </row>
    <row r="245">
      <c r="A245" s="9" t="inlineStr">
        <is>
          <t>Brian James</t>
        </is>
      </c>
      <c r="B245" s="9" t="inlineStr">
        <is>
          <t>9/7/25 - 10/4/25</t>
        </is>
      </c>
      <c r="C245" s="12" t="n">
        <v>1.28</v>
      </c>
      <c r="D245" s="12" t="n">
        <v>1.13</v>
      </c>
      <c r="E245" s="12" t="n">
        <v>0.99</v>
      </c>
      <c r="F245" s="12" t="n">
        <v>0.89</v>
      </c>
      <c r="G245" s="12" t="n">
        <v>0.9399999999999999</v>
      </c>
      <c r="H245" s="9" t="n">
        <v>15</v>
      </c>
      <c r="I245" s="10" t="inlineStr">
        <is>
          <t>1/3</t>
        </is>
      </c>
      <c r="J245" s="12" t="n">
        <v>0.33</v>
      </c>
      <c r="K245" t="inlineStr">
        <is>
          <t>Distinguished</t>
        </is>
      </c>
      <c r="L245" t="inlineStr">
        <is>
          <t>Professional</t>
        </is>
      </c>
      <c r="M245" t="inlineStr">
        <is>
          <t>Annelies de Groot</t>
        </is>
      </c>
    </row>
    <row r="246">
      <c r="A246" s="9" t="inlineStr">
        <is>
          <t>Brittany Drew</t>
        </is>
      </c>
      <c r="B246" s="9" t="inlineStr">
        <is>
          <t>12/28/25 - 1/25/26</t>
        </is>
      </c>
      <c r="C246" s="12" t="n">
        <v>0</v>
      </c>
      <c r="D246" s="12" t="n">
        <v>0.2632</v>
      </c>
      <c r="E246" s="12" t="n">
        <v>0</v>
      </c>
      <c r="F246" s="12" t="n">
        <v>0</v>
      </c>
      <c r="G246" s="12" t="n">
        <v>0</v>
      </c>
      <c r="H246" s="9" t="n">
        <v>0</v>
      </c>
      <c r="I246" s="10" t="inlineStr">
        <is>
          <t>0/0</t>
        </is>
      </c>
      <c r="J246" s="12" t="n">
        <v>0</v>
      </c>
      <c r="K246" t="inlineStr">
        <is>
          <t>Distinguished</t>
        </is>
      </c>
      <c r="L246" t="inlineStr">
        <is>
          <t>Professional</t>
        </is>
      </c>
      <c r="M246" t="inlineStr">
        <is>
          <t>Ela Cross</t>
        </is>
      </c>
    </row>
    <row r="247">
      <c r="A247" s="9" t="inlineStr">
        <is>
          <t>Brock Dilley</t>
        </is>
      </c>
      <c r="B247" s="9" t="inlineStr">
        <is>
          <t>11/2/25 - 11/29/25</t>
        </is>
      </c>
      <c r="C247" s="12" t="n">
        <v>0</v>
      </c>
      <c r="D247" s="12" t="n">
        <v>0</v>
      </c>
      <c r="E247" s="12" t="n">
        <v>0</v>
      </c>
      <c r="F247" s="12" t="n">
        <v>0</v>
      </c>
      <c r="G247" s="12" t="n">
        <v>0</v>
      </c>
      <c r="H247" s="9" t="n">
        <v>0</v>
      </c>
      <c r="I247" s="13" t="n"/>
      <c r="J247" s="9" t="n"/>
      <c r="K247" t="inlineStr">
        <is>
          <t>Distinguished</t>
        </is>
      </c>
      <c r="L247" t="inlineStr">
        <is>
          <t>Professional</t>
        </is>
      </c>
      <c r="M247" t="inlineStr">
        <is>
          <t>Annelies de Groot</t>
        </is>
      </c>
    </row>
    <row r="248">
      <c r="A248" s="9" t="inlineStr">
        <is>
          <t>Brock Dilley</t>
        </is>
      </c>
      <c r="B248" s="9" t="inlineStr">
        <is>
          <t>11/30/25 - 12/27/25</t>
        </is>
      </c>
      <c r="C248" s="12" t="n">
        <v>0.34</v>
      </c>
      <c r="D248" s="12" t="n">
        <v>0.92</v>
      </c>
      <c r="E248" s="12" t="n">
        <v>0.95</v>
      </c>
      <c r="F248" s="12" t="n">
        <v>0.83</v>
      </c>
      <c r="G248" s="12" t="n">
        <v>0</v>
      </c>
      <c r="H248" s="9" t="n">
        <v>2</v>
      </c>
      <c r="I248" s="10" t="n">
        <v>0.8333333333333334</v>
      </c>
      <c r="J248" s="12">
        <f>5/6</f>
        <v/>
      </c>
      <c r="K248" t="inlineStr">
        <is>
          <t>Distinguished</t>
        </is>
      </c>
      <c r="L248" t="inlineStr">
        <is>
          <t>Professional</t>
        </is>
      </c>
      <c r="M248" t="inlineStr">
        <is>
          <t>Annelies de Groot</t>
        </is>
      </c>
    </row>
    <row r="249">
      <c r="A249" s="9" t="inlineStr">
        <is>
          <t>Brock Dilley</t>
        </is>
      </c>
      <c r="B249" s="9" t="inlineStr">
        <is>
          <t>12/28/25 - 1/25/26</t>
        </is>
      </c>
      <c r="C249" s="12" t="n">
        <v>0.7929</v>
      </c>
      <c r="D249" s="12" t="n">
        <v>1.064</v>
      </c>
      <c r="E249" s="12" t="n">
        <v>1</v>
      </c>
      <c r="F249" s="12" t="n">
        <v>0.835820896</v>
      </c>
      <c r="G249" s="12" t="n">
        <v>0.875</v>
      </c>
      <c r="H249" s="9" t="n">
        <v>6</v>
      </c>
      <c r="I249" s="10" t="n">
        <v>0.4545454545454545</v>
      </c>
      <c r="J249" s="12">
        <f>I249</f>
        <v/>
      </c>
      <c r="K249" t="inlineStr">
        <is>
          <t>Distinguished</t>
        </is>
      </c>
      <c r="L249" t="inlineStr">
        <is>
          <t>Professional</t>
        </is>
      </c>
      <c r="M249" t="inlineStr">
        <is>
          <t>Annelies de Groot</t>
        </is>
      </c>
    </row>
    <row r="250">
      <c r="A250" s="9" t="inlineStr">
        <is>
          <t>Bryant Salinas</t>
        </is>
      </c>
      <c r="B250" s="9" t="inlineStr">
        <is>
          <t>10/5/25 - 11/1/25</t>
        </is>
      </c>
      <c r="C250" s="12" t="n">
        <v>0.75</v>
      </c>
      <c r="D250" s="12" t="n">
        <v>0.9737</v>
      </c>
      <c r="E250" s="12" t="n">
        <v>0.987654320987654</v>
      </c>
      <c r="F250" s="12" t="n">
        <v>0.808510638297872</v>
      </c>
      <c r="G250" s="12" t="n">
        <v>0.866666666666666</v>
      </c>
      <c r="H250" s="9" t="n">
        <v>3</v>
      </c>
      <c r="I250" s="10" t="inlineStr">
        <is>
          <t>3/3</t>
        </is>
      </c>
      <c r="J250" s="12" t="n">
        <v>1</v>
      </c>
      <c r="K250" t="inlineStr">
        <is>
          <t>Premium</t>
        </is>
      </c>
      <c r="L250" t="inlineStr">
        <is>
          <t>Professional</t>
        </is>
      </c>
      <c r="M250" t="inlineStr">
        <is>
          <t>Geoff St. Marie</t>
        </is>
      </c>
    </row>
    <row r="251">
      <c r="A251" s="9" t="inlineStr">
        <is>
          <t>Bryant Salinas</t>
        </is>
      </c>
      <c r="B251" s="9" t="inlineStr">
        <is>
          <t>11/2/25 - 11/29/25</t>
        </is>
      </c>
      <c r="C251" s="12" t="n">
        <v>0.75</v>
      </c>
      <c r="D251" s="12" t="n">
        <v>0.95</v>
      </c>
      <c r="E251" s="12" t="n">
        <v>0.9399999999999999</v>
      </c>
      <c r="F251" s="12" t="n">
        <v>0.87</v>
      </c>
      <c r="G251" s="12" t="n">
        <v>0.71</v>
      </c>
      <c r="H251" s="9" t="n">
        <v>0</v>
      </c>
      <c r="I251" s="13" t="n">
        <v>45692</v>
      </c>
      <c r="J251" s="14" t="n">
        <v>0.5</v>
      </c>
      <c r="K251" t="inlineStr">
        <is>
          <t>Premium</t>
        </is>
      </c>
      <c r="L251" t="inlineStr">
        <is>
          <t>Professional</t>
        </is>
      </c>
      <c r="M251" t="inlineStr">
        <is>
          <t>Geoff St. Marie</t>
        </is>
      </c>
    </row>
    <row r="252">
      <c r="A252" s="9" t="inlineStr">
        <is>
          <t>Bryant Salinas</t>
        </is>
      </c>
      <c r="B252" s="9" t="inlineStr">
        <is>
          <t>11/30/25 - 12/27/25</t>
        </is>
      </c>
      <c r="C252" s="12" t="n">
        <v>0.66</v>
      </c>
      <c r="D252" s="12" t="n">
        <v>0.91</v>
      </c>
      <c r="E252" s="12" t="n">
        <v>0.93</v>
      </c>
      <c r="F252" s="12" t="n">
        <v>0.76</v>
      </c>
      <c r="G252" s="12" t="n">
        <v>0.6899999999999999</v>
      </c>
      <c r="H252" s="9" t="n">
        <v>4</v>
      </c>
      <c r="I252" s="10" t="n">
        <v>0.5</v>
      </c>
      <c r="J252" s="12" t="n">
        <v>0.5</v>
      </c>
      <c r="K252" t="inlineStr">
        <is>
          <t>Premium</t>
        </is>
      </c>
      <c r="L252" t="inlineStr">
        <is>
          <t>Professional</t>
        </is>
      </c>
      <c r="M252" t="inlineStr">
        <is>
          <t>Geoff St. Marie</t>
        </is>
      </c>
    </row>
    <row r="253">
      <c r="A253" s="9" t="inlineStr">
        <is>
          <t>Bryant Salinas</t>
        </is>
      </c>
      <c r="B253" s="9" t="inlineStr">
        <is>
          <t>12/28/25 - 1/25/26</t>
        </is>
      </c>
      <c r="C253" s="12" t="n">
        <v>0.4771</v>
      </c>
      <c r="D253" s="12" t="n">
        <v>0.8701</v>
      </c>
      <c r="E253" s="12" t="n">
        <v>0.93877551</v>
      </c>
      <c r="F253" s="12" t="n">
        <v>0.945945946</v>
      </c>
      <c r="G253" s="12" t="n">
        <v>0.818181818</v>
      </c>
      <c r="H253" s="9" t="n">
        <v>0</v>
      </c>
      <c r="I253" s="10" t="n">
        <v>0.3333333333333333</v>
      </c>
      <c r="J253" s="12">
        <f>I253</f>
        <v/>
      </c>
      <c r="K253" t="inlineStr">
        <is>
          <t>Premium</t>
        </is>
      </c>
      <c r="L253" t="inlineStr">
        <is>
          <t>Professional</t>
        </is>
      </c>
      <c r="M253" t="inlineStr">
        <is>
          <t>Geoff St. Marie</t>
        </is>
      </c>
    </row>
    <row r="254">
      <c r="A254" s="9" t="inlineStr">
        <is>
          <t>Bryant Salinas</t>
        </is>
      </c>
      <c r="B254" s="9" t="inlineStr">
        <is>
          <t>5/18/25 - 6/14/25</t>
        </is>
      </c>
      <c r="C254" s="12" t="n">
        <v>0.46</v>
      </c>
      <c r="D254" s="12" t="n">
        <v>0.9399999999999999</v>
      </c>
      <c r="E254" s="12" t="n">
        <v>1</v>
      </c>
      <c r="F254" s="12" t="n">
        <v>0.9399999999999999</v>
      </c>
      <c r="G254" s="12" t="n">
        <v>1</v>
      </c>
      <c r="H254" s="9" t="n">
        <v>1</v>
      </c>
      <c r="I254" s="10" t="n">
        <v>0</v>
      </c>
      <c r="J254" s="12">
        <f>I254</f>
        <v/>
      </c>
      <c r="K254" t="inlineStr">
        <is>
          <t>Premium</t>
        </is>
      </c>
      <c r="L254" t="inlineStr">
        <is>
          <t>Professional</t>
        </is>
      </c>
      <c r="M254" t="inlineStr">
        <is>
          <t>Geoff St. Marie</t>
        </is>
      </c>
    </row>
    <row r="255">
      <c r="A255" s="9" t="inlineStr">
        <is>
          <t>Bryant Salinas</t>
        </is>
      </c>
      <c r="B255" s="9" t="inlineStr">
        <is>
          <t>6/15/25 - 7/12/25</t>
        </is>
      </c>
      <c r="C255" s="12" t="n">
        <v>0.39</v>
      </c>
      <c r="D255" s="12" t="n">
        <v>0.95</v>
      </c>
      <c r="E255" s="12" t="n">
        <v>1</v>
      </c>
      <c r="F255" s="12" t="n">
        <v>1</v>
      </c>
      <c r="G255" s="12" t="n">
        <v>0.7</v>
      </c>
      <c r="H255" s="9" t="n">
        <v>2</v>
      </c>
      <c r="I255" s="10" t="inlineStr">
        <is>
          <t xml:space="preserve"> 3/7</t>
        </is>
      </c>
      <c r="J255" s="12" t="n">
        <v>0.43</v>
      </c>
      <c r="K255" t="inlineStr">
        <is>
          <t>Premium</t>
        </is>
      </c>
      <c r="L255" t="inlineStr">
        <is>
          <t>Professional</t>
        </is>
      </c>
      <c r="M255" t="inlineStr">
        <is>
          <t>Geoff St. Marie</t>
        </is>
      </c>
    </row>
    <row r="256">
      <c r="A256" s="9" t="inlineStr">
        <is>
          <t>Bryant Salinas</t>
        </is>
      </c>
      <c r="B256" s="9" t="inlineStr">
        <is>
          <t>7/13/25 - 8/10/25</t>
        </is>
      </c>
      <c r="C256" s="12" t="n">
        <v>0.57</v>
      </c>
      <c r="D256" s="12" t="n">
        <v>0.89</v>
      </c>
      <c r="E256" s="12" t="n">
        <v>0.95</v>
      </c>
      <c r="F256" s="12" t="n">
        <v>0.91</v>
      </c>
      <c r="G256" s="12" t="n">
        <v>0.86</v>
      </c>
      <c r="H256" s="9" t="n">
        <v>2</v>
      </c>
      <c r="I256" s="10" t="n">
        <v>1</v>
      </c>
      <c r="J256" s="12">
        <f>I256</f>
        <v/>
      </c>
      <c r="K256" t="inlineStr">
        <is>
          <t>Premium</t>
        </is>
      </c>
      <c r="L256" t="inlineStr">
        <is>
          <t>Professional</t>
        </is>
      </c>
      <c r="M256" t="inlineStr">
        <is>
          <t>Geoff St. Marie</t>
        </is>
      </c>
    </row>
    <row r="257">
      <c r="A257" s="9" t="inlineStr">
        <is>
          <t>Bryant Salinas</t>
        </is>
      </c>
      <c r="B257" s="9" t="inlineStr">
        <is>
          <t>8/10/25 - 9/6/25</t>
        </is>
      </c>
      <c r="C257" s="12" t="n">
        <v>0.53</v>
      </c>
      <c r="D257" s="12" t="n">
        <v>0.92</v>
      </c>
      <c r="E257" s="12" t="n">
        <v>0.97</v>
      </c>
      <c r="F257" s="12" t="n">
        <v>0.92</v>
      </c>
      <c r="G257" s="12" t="n">
        <v>0.85</v>
      </c>
      <c r="H257" s="9" t="n">
        <v>0</v>
      </c>
      <c r="I257" s="10" t="inlineStr">
        <is>
          <t>0/2</t>
        </is>
      </c>
      <c r="J257" s="12" t="n">
        <v>0</v>
      </c>
      <c r="K257" t="inlineStr">
        <is>
          <t>Premium</t>
        </is>
      </c>
      <c r="L257" t="inlineStr">
        <is>
          <t>Professional</t>
        </is>
      </c>
      <c r="M257" t="inlineStr">
        <is>
          <t>Geoff St. Marie</t>
        </is>
      </c>
    </row>
    <row r="258">
      <c r="A258" s="9" t="inlineStr">
        <is>
          <t>Bryant Salinas</t>
        </is>
      </c>
      <c r="B258" s="9" t="inlineStr">
        <is>
          <t>9/7/25 - 10/4/25</t>
        </is>
      </c>
      <c r="C258" s="12" t="n">
        <v>0.51</v>
      </c>
      <c r="D258" s="12" t="n">
        <v>0.84</v>
      </c>
      <c r="E258" s="12" t="n">
        <v>0.98</v>
      </c>
      <c r="F258" s="12" t="n">
        <v>0.9399999999999999</v>
      </c>
      <c r="G258" s="12" t="n">
        <v>0.82</v>
      </c>
      <c r="H258" s="9" t="n">
        <v>0</v>
      </c>
      <c r="I258" s="10" t="inlineStr">
        <is>
          <t>1/2</t>
        </is>
      </c>
      <c r="J258" s="12" t="n">
        <v>0.5</v>
      </c>
      <c r="K258" t="inlineStr">
        <is>
          <t>Premium</t>
        </is>
      </c>
      <c r="L258" t="inlineStr">
        <is>
          <t>Professional</t>
        </is>
      </c>
      <c r="M258" t="inlineStr">
        <is>
          <t>Geoff St. Marie</t>
        </is>
      </c>
    </row>
    <row r="259">
      <c r="A259" s="9" t="inlineStr">
        <is>
          <t>Caelyn Sobie</t>
        </is>
      </c>
      <c r="B259" s="9" t="inlineStr">
        <is>
          <t>9/7/25 - 10/4/25</t>
        </is>
      </c>
      <c r="C259" s="12" t="n">
        <v>0</v>
      </c>
      <c r="D259" s="12" t="n">
        <v>0</v>
      </c>
      <c r="E259" s="12" t="n">
        <v>0</v>
      </c>
      <c r="F259" s="12" t="n">
        <v>0</v>
      </c>
      <c r="G259" s="12" t="n">
        <v>0</v>
      </c>
      <c r="H259" s="9" t="n">
        <v>0</v>
      </c>
      <c r="I259" s="11" t="n"/>
      <c r="J259" s="12" t="n"/>
      <c r="K259" t="e">
        <v>#N/A</v>
      </c>
      <c r="L259" t="e">
        <v>#N/A</v>
      </c>
      <c r="M259" t="e">
        <v>#N/A</v>
      </c>
    </row>
    <row r="260">
      <c r="A260" s="9" t="inlineStr">
        <is>
          <t>Cait White</t>
        </is>
      </c>
      <c r="B260" s="9" t="inlineStr">
        <is>
          <t>10/5/25 - 11/1/25</t>
        </is>
      </c>
      <c r="C260" s="12" t="n">
        <v>0.0625</v>
      </c>
      <c r="D260" s="12" t="n">
        <v>1.043</v>
      </c>
      <c r="E260" s="12" t="n">
        <v>1</v>
      </c>
      <c r="F260" s="12" t="n">
        <v>1</v>
      </c>
      <c r="G260" s="12" t="n">
        <v>1</v>
      </c>
      <c r="H260" s="9" t="n">
        <v>0</v>
      </c>
      <c r="I260" s="10" t="inlineStr">
        <is>
          <t>1/1</t>
        </is>
      </c>
      <c r="J260" s="12" t="n">
        <v>1</v>
      </c>
      <c r="K260" t="inlineStr">
        <is>
          <t>Premium</t>
        </is>
      </c>
      <c r="L260" t="inlineStr">
        <is>
          <t>Adjunct</t>
        </is>
      </c>
      <c r="M260" t="inlineStr">
        <is>
          <t>Ela Cross</t>
        </is>
      </c>
    </row>
    <row r="261">
      <c r="A261" s="9" t="inlineStr">
        <is>
          <t>Cait White</t>
        </is>
      </c>
      <c r="B261" s="9" t="inlineStr">
        <is>
          <t>11/2/25 - 11/29/25</t>
        </is>
      </c>
      <c r="C261" s="12" t="n">
        <v>0.42</v>
      </c>
      <c r="D261" s="12" t="n">
        <v>1.03</v>
      </c>
      <c r="E261" s="12" t="n">
        <v>1</v>
      </c>
      <c r="F261" s="12" t="n">
        <v>1</v>
      </c>
      <c r="G261" s="12" t="n">
        <v>1</v>
      </c>
      <c r="H261" s="9" t="n">
        <v>0</v>
      </c>
      <c r="I261" s="13" t="n">
        <v>45658</v>
      </c>
      <c r="J261" s="12" t="n">
        <v>1</v>
      </c>
      <c r="K261" t="inlineStr">
        <is>
          <t>Premium</t>
        </is>
      </c>
      <c r="L261" t="inlineStr">
        <is>
          <t>Adjunct</t>
        </is>
      </c>
      <c r="M261" t="inlineStr">
        <is>
          <t>Ela Cross</t>
        </is>
      </c>
    </row>
    <row r="262">
      <c r="A262" s="9" t="inlineStr">
        <is>
          <t>Cait White</t>
        </is>
      </c>
      <c r="B262" s="9" t="inlineStr">
        <is>
          <t>11/30/25 - 12/27/25</t>
        </is>
      </c>
      <c r="C262" s="12" t="n">
        <v>0.19</v>
      </c>
      <c r="D262" s="12" t="n">
        <v>0.99</v>
      </c>
      <c r="E262" s="12" t="n">
        <v>1</v>
      </c>
      <c r="F262" s="12" t="n">
        <v>1</v>
      </c>
      <c r="G262" s="12" t="n">
        <v>1</v>
      </c>
      <c r="H262" s="9" t="n">
        <v>0</v>
      </c>
      <c r="I262" s="10" t="n"/>
      <c r="J262" s="12" t="n"/>
      <c r="K262" t="inlineStr">
        <is>
          <t>Premium</t>
        </is>
      </c>
      <c r="L262" t="inlineStr">
        <is>
          <t>Adjunct</t>
        </is>
      </c>
      <c r="M262" t="inlineStr">
        <is>
          <t>Ela Cross</t>
        </is>
      </c>
    </row>
    <row r="263">
      <c r="A263" s="9" t="inlineStr">
        <is>
          <t>Cait White</t>
        </is>
      </c>
      <c r="B263" s="9" t="inlineStr">
        <is>
          <t>12/28/25 - 1/25/26</t>
        </is>
      </c>
      <c r="C263" s="12" t="n">
        <v>0.0625</v>
      </c>
      <c r="D263" s="12" t="n">
        <v>0.75</v>
      </c>
      <c r="E263" s="12" t="n">
        <v>1</v>
      </c>
      <c r="F263" s="12" t="n">
        <v>1</v>
      </c>
      <c r="G263" s="12" t="n">
        <v>1</v>
      </c>
      <c r="H263" s="9" t="n">
        <v>0</v>
      </c>
      <c r="I263" s="10" t="inlineStr">
        <is>
          <t>0/0</t>
        </is>
      </c>
      <c r="J263" s="12" t="n">
        <v>0</v>
      </c>
      <c r="K263" t="inlineStr">
        <is>
          <t>Premium</t>
        </is>
      </c>
      <c r="L263" t="inlineStr">
        <is>
          <t>Adjunct</t>
        </is>
      </c>
      <c r="M263" t="inlineStr">
        <is>
          <t>Ela Cross</t>
        </is>
      </c>
    </row>
    <row r="264">
      <c r="A264" s="9" t="inlineStr">
        <is>
          <t>Cait White</t>
        </is>
      </c>
      <c r="B264" s="9" t="inlineStr">
        <is>
          <t>5/18/25 - 6/14/25</t>
        </is>
      </c>
      <c r="C264" s="12" t="n">
        <v>0.31</v>
      </c>
      <c r="D264" s="12" t="n">
        <v>1.15</v>
      </c>
      <c r="E264" s="12" t="n">
        <v>1</v>
      </c>
      <c r="F264" s="12" t="n">
        <v>1</v>
      </c>
      <c r="G264" s="12" t="n">
        <v>0.67</v>
      </c>
      <c r="H264" s="9" t="n">
        <v>0</v>
      </c>
      <c r="J264" s="12" t="n"/>
      <c r="K264" t="inlineStr">
        <is>
          <t>Premium</t>
        </is>
      </c>
      <c r="L264" t="inlineStr">
        <is>
          <t>Adjunct</t>
        </is>
      </c>
      <c r="M264" t="inlineStr">
        <is>
          <t>Ela Cross</t>
        </is>
      </c>
    </row>
    <row r="265">
      <c r="A265" s="9" t="inlineStr">
        <is>
          <t>Cait White</t>
        </is>
      </c>
      <c r="B265" s="9" t="inlineStr">
        <is>
          <t>6/15/25 - 7/12/25</t>
        </is>
      </c>
      <c r="C265" s="12" t="n">
        <v>0.37</v>
      </c>
      <c r="D265" s="12" t="n">
        <v>0.98</v>
      </c>
      <c r="E265" s="12" t="n">
        <v>1</v>
      </c>
      <c r="F265" s="12" t="n">
        <v>1</v>
      </c>
      <c r="G265" s="12" t="n">
        <v>0</v>
      </c>
      <c r="H265" s="9" t="e">
        <v>#N/A</v>
      </c>
      <c r="I265" s="10" t="n">
        <v>1</v>
      </c>
      <c r="J265" s="12">
        <f>I265</f>
        <v/>
      </c>
      <c r="K265" t="inlineStr">
        <is>
          <t>Premium</t>
        </is>
      </c>
      <c r="L265" t="inlineStr">
        <is>
          <t>Adjunct</t>
        </is>
      </c>
      <c r="M265" t="inlineStr">
        <is>
          <t>Ela Cross</t>
        </is>
      </c>
    </row>
    <row r="266">
      <c r="A266" s="9" t="inlineStr">
        <is>
          <t>Cait White</t>
        </is>
      </c>
      <c r="B266" s="9" t="inlineStr">
        <is>
          <t>7/13/25 - 8/10/25</t>
        </is>
      </c>
      <c r="C266" s="12" t="n">
        <v>0.39</v>
      </c>
      <c r="D266" s="12" t="n">
        <v>1.13</v>
      </c>
      <c r="E266" s="12" t="n">
        <v>1</v>
      </c>
      <c r="F266" s="12" t="n">
        <v>1</v>
      </c>
      <c r="G266" s="12" t="n">
        <v>0</v>
      </c>
      <c r="H266" s="9" t="e">
        <v>#N/A</v>
      </c>
      <c r="J266" s="12" t="n"/>
      <c r="K266" t="inlineStr">
        <is>
          <t>Premium</t>
        </is>
      </c>
      <c r="L266" t="inlineStr">
        <is>
          <t>Adjunct</t>
        </is>
      </c>
      <c r="M266" t="inlineStr">
        <is>
          <t>Ela Cross</t>
        </is>
      </c>
    </row>
    <row r="267">
      <c r="A267" s="9" t="inlineStr">
        <is>
          <t>Cait White</t>
        </is>
      </c>
      <c r="B267" s="9" t="inlineStr">
        <is>
          <t>8/10/25 - 9/6/25</t>
        </is>
      </c>
      <c r="C267" s="12" t="n">
        <v>0.42</v>
      </c>
      <c r="D267" s="12" t="n">
        <v>1.1</v>
      </c>
      <c r="E267" s="12" t="n">
        <v>1</v>
      </c>
      <c r="F267" s="12" t="n">
        <v>1</v>
      </c>
      <c r="G267" s="12" t="n">
        <v>0.5</v>
      </c>
      <c r="H267" s="9" t="n">
        <v>0</v>
      </c>
      <c r="I267" s="11" t="n"/>
      <c r="J267" s="12" t="n"/>
      <c r="K267" t="inlineStr">
        <is>
          <t>Premium</t>
        </is>
      </c>
      <c r="L267" t="inlineStr">
        <is>
          <t>Adjunct</t>
        </is>
      </c>
      <c r="M267" t="inlineStr">
        <is>
          <t>Ela Cross</t>
        </is>
      </c>
    </row>
    <row r="268">
      <c r="A268" s="9" t="inlineStr">
        <is>
          <t>Cait White</t>
        </is>
      </c>
      <c r="B268" s="9" t="inlineStr">
        <is>
          <t>9/7/25 - 10/4/25</t>
        </is>
      </c>
      <c r="C268" s="12" t="n">
        <v>0.1</v>
      </c>
      <c r="D268" s="12" t="n">
        <v>1.19</v>
      </c>
      <c r="E268" s="12" t="n">
        <v>1</v>
      </c>
      <c r="F268" s="12" t="n">
        <v>1</v>
      </c>
      <c r="G268" s="12" t="n">
        <v>1</v>
      </c>
      <c r="H268" s="9" t="n">
        <v>0</v>
      </c>
      <c r="I268" s="11" t="n"/>
      <c r="J268" s="12" t="n"/>
      <c r="K268" t="inlineStr">
        <is>
          <t>Premium</t>
        </is>
      </c>
      <c r="L268" t="inlineStr">
        <is>
          <t>Adjunct</t>
        </is>
      </c>
      <c r="M268" t="inlineStr">
        <is>
          <t>Ela Cross</t>
        </is>
      </c>
    </row>
    <row r="269">
      <c r="A269" s="9" t="inlineStr">
        <is>
          <t>Cameron Hojecki</t>
        </is>
      </c>
      <c r="B269" s="9" t="inlineStr">
        <is>
          <t>10/5/25 - 11/1/25</t>
        </is>
      </c>
      <c r="C269" s="12" t="n">
        <v>0</v>
      </c>
      <c r="D269" s="12" t="n">
        <v>0.4479</v>
      </c>
      <c r="E269" s="12" t="n">
        <v>0</v>
      </c>
      <c r="F269" s="12" t="n">
        <v>0</v>
      </c>
      <c r="G269" s="12" t="n">
        <v>0</v>
      </c>
      <c r="H269" s="9" t="n">
        <v>0</v>
      </c>
      <c r="I269" s="10" t="n"/>
      <c r="J269" s="12" t="n"/>
      <c r="K269" t="e">
        <v>#N/A</v>
      </c>
      <c r="L269" t="e">
        <v>#N/A</v>
      </c>
      <c r="M269" t="e">
        <v>#N/A</v>
      </c>
    </row>
    <row r="270">
      <c r="A270" s="9" t="inlineStr">
        <is>
          <t>Cameron Hojecki</t>
        </is>
      </c>
      <c r="B270" s="9" t="inlineStr">
        <is>
          <t>10/5/25 - 11/1/25</t>
        </is>
      </c>
      <c r="C270" s="12" t="n">
        <v>0</v>
      </c>
      <c r="D270" s="12" t="n">
        <v>0.4479</v>
      </c>
      <c r="E270" s="12" t="n">
        <v>0</v>
      </c>
      <c r="F270" s="12" t="n">
        <v>0</v>
      </c>
      <c r="G270" s="12" t="n">
        <v>0</v>
      </c>
      <c r="H270" s="9" t="n">
        <v>0</v>
      </c>
      <c r="J270" s="9" t="n"/>
      <c r="K270" t="e">
        <v>#N/A</v>
      </c>
      <c r="L270" t="e">
        <v>#N/A</v>
      </c>
      <c r="M270" t="e">
        <v>#N/A</v>
      </c>
    </row>
    <row r="271">
      <c r="A271" s="9" t="inlineStr">
        <is>
          <t>Cameron Hojecki</t>
        </is>
      </c>
      <c r="B271" s="9" t="inlineStr">
        <is>
          <t>11/2/25 - 11/29/25</t>
        </is>
      </c>
      <c r="C271" s="12" t="n">
        <v>0.43</v>
      </c>
      <c r="D271" s="12" t="n">
        <v>0.95</v>
      </c>
      <c r="E271" s="12" t="n">
        <v>1</v>
      </c>
      <c r="F271" s="12" t="n">
        <v>0.95</v>
      </c>
      <c r="G271" s="12" t="n">
        <v>0</v>
      </c>
      <c r="H271" s="9" t="n">
        <v>3</v>
      </c>
      <c r="I271" s="13" t="n">
        <v>45940</v>
      </c>
      <c r="J271" s="12" t="n">
        <v>1</v>
      </c>
      <c r="K271" t="e">
        <v>#N/A</v>
      </c>
      <c r="L271" t="e">
        <v>#N/A</v>
      </c>
      <c r="M271" t="e">
        <v>#N/A</v>
      </c>
    </row>
    <row r="272">
      <c r="A272" s="9" t="inlineStr">
        <is>
          <t>Cameron Hojecki</t>
        </is>
      </c>
      <c r="B272" s="9" t="inlineStr">
        <is>
          <t>11/30/25 - 12/27/25</t>
        </is>
      </c>
      <c r="C272" s="12" t="n">
        <v>0.68</v>
      </c>
      <c r="D272" s="12" t="n">
        <v>1.07</v>
      </c>
      <c r="E272" s="12" t="n">
        <v>1</v>
      </c>
      <c r="F272" s="12" t="n">
        <v>0.97</v>
      </c>
      <c r="G272" s="12" t="n">
        <v>1</v>
      </c>
      <c r="H272" s="9" t="n">
        <v>7</v>
      </c>
      <c r="I272" s="10" t="n">
        <v>1</v>
      </c>
      <c r="J272" s="12" t="n">
        <v>1</v>
      </c>
      <c r="K272" t="e">
        <v>#N/A</v>
      </c>
      <c r="L272" t="e">
        <v>#N/A</v>
      </c>
      <c r="M272" t="e">
        <v>#N/A</v>
      </c>
    </row>
    <row r="273">
      <c r="A273" s="9" t="inlineStr">
        <is>
          <t>Cameron Hojecki</t>
        </is>
      </c>
      <c r="B273" s="9" t="inlineStr">
        <is>
          <t>12/28/25 - 1/25/26</t>
        </is>
      </c>
      <c r="C273" s="12" t="n">
        <v>0.7438</v>
      </c>
      <c r="D273" s="12" t="n">
        <v>1.1823</v>
      </c>
      <c r="E273" s="12" t="n">
        <v>1</v>
      </c>
      <c r="F273" s="12" t="n">
        <v>0.972972973</v>
      </c>
      <c r="G273" s="12" t="n">
        <v>0.909090909</v>
      </c>
      <c r="H273" s="9" t="n">
        <v>2</v>
      </c>
      <c r="I273" s="10" t="n">
        <v>0.6666666666666666</v>
      </c>
      <c r="J273" s="12">
        <f>I273</f>
        <v/>
      </c>
      <c r="K273" t="e">
        <v>#N/A</v>
      </c>
      <c r="L273" t="e">
        <v>#N/A</v>
      </c>
      <c r="M273" t="e">
        <v>#N/A</v>
      </c>
    </row>
    <row r="274">
      <c r="A274" s="9" t="inlineStr">
        <is>
          <t>Camila Calderon</t>
        </is>
      </c>
      <c r="B274" s="9" t="inlineStr">
        <is>
          <t>5/18/25 - 6/14/25</t>
        </is>
      </c>
      <c r="C274" s="12" t="n">
        <v>0.88</v>
      </c>
      <c r="D274" s="12" t="n">
        <v>1.13</v>
      </c>
      <c r="E274" s="12" t="n">
        <v>1</v>
      </c>
      <c r="F274" s="12" t="n">
        <v>0.96</v>
      </c>
      <c r="G274" s="12" t="n">
        <v>0.88</v>
      </c>
      <c r="H274" s="9" t="n">
        <v>5</v>
      </c>
      <c r="I274" s="10" t="inlineStr">
        <is>
          <t xml:space="preserve"> 5/6</t>
        </is>
      </c>
      <c r="J274" s="12" t="n">
        <v>0.83</v>
      </c>
      <c r="K274" t="e">
        <v>#N/A</v>
      </c>
      <c r="L274" t="e">
        <v>#N/A</v>
      </c>
      <c r="M274" t="e">
        <v>#N/A</v>
      </c>
    </row>
    <row r="275">
      <c r="A275" s="9" t="inlineStr">
        <is>
          <t>Camila Calderon</t>
        </is>
      </c>
      <c r="B275" s="9" t="inlineStr">
        <is>
          <t>6/15/25 - 7/12/25</t>
        </is>
      </c>
      <c r="C275" s="12" t="n">
        <v>0.6</v>
      </c>
      <c r="D275" s="12" t="n">
        <v>1</v>
      </c>
      <c r="E275" s="12" t="n">
        <v>0.99</v>
      </c>
      <c r="F275" s="12" t="n">
        <v>0.9399999999999999</v>
      </c>
      <c r="G275" s="12" t="n">
        <v>0.44</v>
      </c>
      <c r="H275" s="9" t="n">
        <v>1</v>
      </c>
      <c r="I275" s="10" t="inlineStr">
        <is>
          <t xml:space="preserve"> 2/3</t>
        </is>
      </c>
      <c r="J275" s="12" t="n">
        <v>0.67</v>
      </c>
      <c r="K275" t="e">
        <v>#N/A</v>
      </c>
      <c r="L275" t="e">
        <v>#N/A</v>
      </c>
      <c r="M275" t="e">
        <v>#N/A</v>
      </c>
    </row>
    <row r="276">
      <c r="A276" s="9" t="inlineStr">
        <is>
          <t>Camila Calderon</t>
        </is>
      </c>
      <c r="B276" s="9" t="inlineStr">
        <is>
          <t>7/13/25 - 8/10/25</t>
        </is>
      </c>
      <c r="C276" s="12" t="n">
        <v>0.89</v>
      </c>
      <c r="D276" s="12" t="n">
        <v>1</v>
      </c>
      <c r="E276" s="12" t="n">
        <v>0.99</v>
      </c>
      <c r="F276" s="12" t="n">
        <v>0.95</v>
      </c>
      <c r="G276" s="12" t="n">
        <v>0.73</v>
      </c>
      <c r="H276" s="9" t="n">
        <v>1</v>
      </c>
      <c r="I276" s="10" t="n">
        <v>0</v>
      </c>
      <c r="J276" s="12">
        <f>I276</f>
        <v/>
      </c>
      <c r="K276" t="e">
        <v>#N/A</v>
      </c>
      <c r="L276" t="e">
        <v>#N/A</v>
      </c>
      <c r="M276" t="e">
        <v>#N/A</v>
      </c>
    </row>
    <row r="277">
      <c r="A277" s="9" t="inlineStr">
        <is>
          <t>Camila Hernandez</t>
        </is>
      </c>
      <c r="B277" s="9" t="inlineStr">
        <is>
          <t>5/18/25 - 6/14/25</t>
        </is>
      </c>
      <c r="C277" s="12" t="n">
        <v>0.7</v>
      </c>
      <c r="D277" s="12" t="n">
        <v>1.18</v>
      </c>
      <c r="E277" s="12" t="n">
        <v>0.96</v>
      </c>
      <c r="F277" s="12" t="n">
        <v>0.9399999999999999</v>
      </c>
      <c r="G277" s="12" t="n">
        <v>1</v>
      </c>
      <c r="H277" s="9" t="e">
        <v>#N/A</v>
      </c>
      <c r="J277" s="12" t="n"/>
      <c r="K277" t="e">
        <v>#N/A</v>
      </c>
      <c r="L277" t="e">
        <v>#N/A</v>
      </c>
      <c r="M277" t="e">
        <v>#N/A</v>
      </c>
    </row>
    <row r="278">
      <c r="A278" s="9" t="inlineStr">
        <is>
          <t>Camryn To</t>
        </is>
      </c>
      <c r="B278" s="9" t="inlineStr">
        <is>
          <t>10/5/25 - 11/1/25</t>
        </is>
      </c>
      <c r="C278" s="12" t="n">
        <v>0.9375</v>
      </c>
      <c r="D278" s="12" t="n">
        <v>1.3477</v>
      </c>
      <c r="E278" s="12" t="n">
        <v>1</v>
      </c>
      <c r="F278" s="12" t="n">
        <v>1</v>
      </c>
      <c r="G278" s="12" t="n">
        <v>0.8</v>
      </c>
      <c r="H278" s="9" t="n">
        <v>0</v>
      </c>
      <c r="I278" s="10" t="inlineStr">
        <is>
          <t>1/1</t>
        </is>
      </c>
      <c r="J278" s="12" t="n">
        <v>1</v>
      </c>
      <c r="K278" t="e">
        <v>#N/A</v>
      </c>
      <c r="L278" t="e">
        <v>#N/A</v>
      </c>
      <c r="M278" t="e">
        <v>#N/A</v>
      </c>
    </row>
    <row r="279">
      <c r="A279" s="9" t="inlineStr">
        <is>
          <t>Camryn To</t>
        </is>
      </c>
      <c r="B279" s="9" t="inlineStr">
        <is>
          <t>11/2/25 - 11/29/25</t>
        </is>
      </c>
      <c r="C279" s="12" t="n">
        <v>0.85</v>
      </c>
      <c r="D279" s="12" t="n">
        <v>1.19</v>
      </c>
      <c r="E279" s="12" t="n">
        <v>1</v>
      </c>
      <c r="F279" s="12" t="n">
        <v>1</v>
      </c>
      <c r="G279" s="12" t="n">
        <v>1</v>
      </c>
      <c r="H279" s="9" t="n">
        <v>6</v>
      </c>
      <c r="I279" s="13" t="n"/>
      <c r="J279" s="9" t="n"/>
      <c r="K279" t="e">
        <v>#N/A</v>
      </c>
      <c r="L279" t="e">
        <v>#N/A</v>
      </c>
      <c r="M279" t="e">
        <v>#N/A</v>
      </c>
    </row>
    <row r="280">
      <c r="A280" s="9" t="inlineStr">
        <is>
          <t>Camryn To</t>
        </is>
      </c>
      <c r="B280" s="9" t="inlineStr">
        <is>
          <t>11/30/25 - 12/27/25</t>
        </is>
      </c>
      <c r="C280" s="12" t="n">
        <v>0.6</v>
      </c>
      <c r="D280" s="12" t="n">
        <v>1.22</v>
      </c>
      <c r="E280" s="12" t="n">
        <v>1</v>
      </c>
      <c r="F280" s="12" t="n">
        <v>0.93</v>
      </c>
      <c r="G280" s="12" t="n">
        <v>0.88</v>
      </c>
      <c r="H280" s="9" t="n">
        <v>3</v>
      </c>
      <c r="I280" s="10" t="n"/>
      <c r="J280" s="12" t="n"/>
      <c r="K280" t="e">
        <v>#N/A</v>
      </c>
      <c r="L280" t="e">
        <v>#N/A</v>
      </c>
      <c r="M280" t="e">
        <v>#N/A</v>
      </c>
    </row>
    <row r="281">
      <c r="A281" s="9" t="inlineStr">
        <is>
          <t>Camryn To</t>
        </is>
      </c>
      <c r="B281" s="9" t="inlineStr">
        <is>
          <t>12/28/25 - 1/25/26</t>
        </is>
      </c>
      <c r="C281" s="12" t="n">
        <v>0.75</v>
      </c>
      <c r="D281" s="12" t="n">
        <v>1.3867</v>
      </c>
      <c r="E281" s="12" t="n">
        <v>1</v>
      </c>
      <c r="F281" s="12" t="n">
        <v>1</v>
      </c>
      <c r="G281" s="12" t="n">
        <v>0.714285714</v>
      </c>
      <c r="H281" s="9" t="n">
        <v>0</v>
      </c>
      <c r="I281" s="10" t="inlineStr">
        <is>
          <t>0/1</t>
        </is>
      </c>
      <c r="J281" s="12" t="n">
        <v>0</v>
      </c>
      <c r="K281" t="e">
        <v>#N/A</v>
      </c>
      <c r="L281" t="e">
        <v>#N/A</v>
      </c>
      <c r="M281" t="e">
        <v>#N/A</v>
      </c>
    </row>
    <row r="282">
      <c r="A282" s="9" t="inlineStr">
        <is>
          <t>Camryn To</t>
        </is>
      </c>
      <c r="B282" s="9" t="inlineStr">
        <is>
          <t>5/18/25 - 6/14/25</t>
        </is>
      </c>
      <c r="C282" s="12" t="n">
        <v>0.87</v>
      </c>
      <c r="D282" s="12" t="n">
        <v>1.12</v>
      </c>
      <c r="E282" s="12" t="n">
        <v>1</v>
      </c>
      <c r="F282" s="12" t="n">
        <v>1</v>
      </c>
      <c r="G282" s="12" t="n">
        <v>0.5</v>
      </c>
      <c r="H282" s="9" t="n">
        <v>4</v>
      </c>
      <c r="J282" s="9" t="n"/>
      <c r="K282" t="e">
        <v>#N/A</v>
      </c>
      <c r="L282" t="e">
        <v>#N/A</v>
      </c>
      <c r="M282" t="e">
        <v>#N/A</v>
      </c>
    </row>
    <row r="283">
      <c r="A283" s="9" t="inlineStr">
        <is>
          <t>Camryn To</t>
        </is>
      </c>
      <c r="B283" s="9" t="inlineStr">
        <is>
          <t>6/15/25 - 7/12/25</t>
        </is>
      </c>
      <c r="C283" s="12" t="n">
        <v>0.57</v>
      </c>
      <c r="D283" s="12" t="n">
        <v>1.1</v>
      </c>
      <c r="E283" s="12" t="n">
        <v>1</v>
      </c>
      <c r="F283" s="12" t="n">
        <v>0.95</v>
      </c>
      <c r="G283" s="12" t="n">
        <v>0.6</v>
      </c>
      <c r="H283" s="9" t="n">
        <v>3</v>
      </c>
      <c r="J283" s="9" t="n"/>
      <c r="K283" t="e">
        <v>#N/A</v>
      </c>
      <c r="L283" t="e">
        <v>#N/A</v>
      </c>
      <c r="M283" t="e">
        <v>#N/A</v>
      </c>
    </row>
    <row r="284">
      <c r="A284" s="9" t="inlineStr">
        <is>
          <t>Camryn To</t>
        </is>
      </c>
      <c r="B284" s="9" t="inlineStr">
        <is>
          <t>7/13/25 - 8/10/25</t>
        </is>
      </c>
      <c r="C284" s="12" t="n">
        <v>0.5</v>
      </c>
      <c r="D284" s="12" t="n">
        <v>1.16</v>
      </c>
      <c r="E284" s="12" t="n">
        <v>1</v>
      </c>
      <c r="F284" s="12" t="n">
        <v>1</v>
      </c>
      <c r="G284" s="12" t="n">
        <v>0.33</v>
      </c>
      <c r="H284" s="9" t="n">
        <v>1</v>
      </c>
      <c r="I284" s="10" t="n">
        <v>1</v>
      </c>
      <c r="J284" s="12">
        <f>I284</f>
        <v/>
      </c>
      <c r="K284" t="e">
        <v>#N/A</v>
      </c>
      <c r="L284" t="e">
        <v>#N/A</v>
      </c>
      <c r="M284" t="e">
        <v>#N/A</v>
      </c>
    </row>
    <row r="285">
      <c r="A285" s="9" t="inlineStr">
        <is>
          <t>Camryn To</t>
        </is>
      </c>
      <c r="B285" s="9" t="inlineStr">
        <is>
          <t>8/10/25 - 9/6/25</t>
        </is>
      </c>
      <c r="C285" s="12" t="n">
        <v>0.95</v>
      </c>
      <c r="D285" s="12" t="n">
        <v>1.21</v>
      </c>
      <c r="E285" s="12" t="n">
        <v>1</v>
      </c>
      <c r="F285" s="12" t="n">
        <v>0.79</v>
      </c>
      <c r="G285" s="12" t="n">
        <v>0.63</v>
      </c>
      <c r="H285" s="9" t="n">
        <v>2</v>
      </c>
      <c r="I285" s="10" t="inlineStr">
        <is>
          <t>2/2</t>
        </is>
      </c>
      <c r="J285" s="12" t="n">
        <v>1</v>
      </c>
      <c r="K285" t="e">
        <v>#N/A</v>
      </c>
      <c r="L285" t="e">
        <v>#N/A</v>
      </c>
      <c r="M285" t="e">
        <v>#N/A</v>
      </c>
    </row>
    <row r="286">
      <c r="A286" s="9" t="inlineStr">
        <is>
          <t>Camryn To</t>
        </is>
      </c>
      <c r="B286" s="9" t="inlineStr">
        <is>
          <t>9/7/25 - 10/4/25</t>
        </is>
      </c>
      <c r="C286" s="12" t="n">
        <v>0.88</v>
      </c>
      <c r="D286" s="12" t="n">
        <v>1.04</v>
      </c>
      <c r="E286" s="12" t="n">
        <v>1</v>
      </c>
      <c r="F286" s="12" t="n">
        <v>0.97</v>
      </c>
      <c r="G286" s="12" t="n">
        <v>0.67</v>
      </c>
      <c r="H286" s="9" t="n">
        <v>0</v>
      </c>
      <c r="I286" s="10" t="inlineStr">
        <is>
          <t>0/1</t>
        </is>
      </c>
      <c r="J286" s="12" t="n">
        <v>0</v>
      </c>
      <c r="K286" t="e">
        <v>#N/A</v>
      </c>
      <c r="L286" t="e">
        <v>#N/A</v>
      </c>
      <c r="M286" t="e">
        <v>#N/A</v>
      </c>
    </row>
    <row r="287">
      <c r="A287" s="9" t="inlineStr">
        <is>
          <t>Cara Rabaev (McLaughlin)</t>
        </is>
      </c>
      <c r="B287" s="9" t="inlineStr">
        <is>
          <t>10/5/25 - 11/1/25</t>
        </is>
      </c>
      <c r="C287" s="12" t="n">
        <v>0.8083</v>
      </c>
      <c r="D287" s="12" t="n">
        <v>1.16449999999999</v>
      </c>
      <c r="E287" s="12" t="n">
        <v>0.989690721649484</v>
      </c>
      <c r="F287" s="12" t="n">
        <v>1</v>
      </c>
      <c r="G287" s="12" t="n">
        <v>0.875</v>
      </c>
      <c r="H287" s="9" t="n">
        <v>0</v>
      </c>
      <c r="I287" s="10" t="inlineStr">
        <is>
          <t>1/1</t>
        </is>
      </c>
      <c r="J287" s="12" t="n">
        <v>1</v>
      </c>
      <c r="K287" t="e">
        <v>#N/A</v>
      </c>
      <c r="L287" t="e">
        <v>#N/A</v>
      </c>
      <c r="M287" t="e">
        <v>#N/A</v>
      </c>
    </row>
    <row r="288">
      <c r="A288" s="9" t="inlineStr">
        <is>
          <t>Cara Rabaev (McLaughlin)</t>
        </is>
      </c>
      <c r="B288" s="9" t="inlineStr">
        <is>
          <t>11/2/25 - 11/29/25</t>
        </is>
      </c>
      <c r="C288" s="12" t="n">
        <v>0.73</v>
      </c>
      <c r="D288" s="12" t="n">
        <v>1.17</v>
      </c>
      <c r="E288" s="12" t="n">
        <v>0.87</v>
      </c>
      <c r="F288" s="12" t="n">
        <v>1</v>
      </c>
      <c r="G288" s="12" t="n">
        <v>1</v>
      </c>
      <c r="H288" s="9" t="n">
        <v>4</v>
      </c>
      <c r="I288" s="13" t="n">
        <v>45664</v>
      </c>
      <c r="J288" s="14" t="n">
        <v>0.14</v>
      </c>
      <c r="K288" t="e">
        <v>#N/A</v>
      </c>
      <c r="L288" t="e">
        <v>#N/A</v>
      </c>
      <c r="M288" t="e">
        <v>#N/A</v>
      </c>
    </row>
    <row r="289">
      <c r="A289" s="9" t="inlineStr">
        <is>
          <t>Cara Rabaev (McLaughlin)</t>
        </is>
      </c>
      <c r="B289" s="9" t="inlineStr">
        <is>
          <t>11/30/25 - 12/27/25</t>
        </is>
      </c>
      <c r="C289" s="12" t="n">
        <v>0.92</v>
      </c>
      <c r="D289" s="12" t="n">
        <v>0.91</v>
      </c>
      <c r="E289" s="12" t="n">
        <v>0.93</v>
      </c>
      <c r="F289" s="12" t="n">
        <v>0.99</v>
      </c>
      <c r="G289" s="12" t="n">
        <v>0.67</v>
      </c>
      <c r="H289" s="9" t="n">
        <v>0</v>
      </c>
      <c r="I289" s="10" t="n">
        <v>0.6666666666666666</v>
      </c>
      <c r="J289" s="12" t="n">
        <v>0.66</v>
      </c>
      <c r="K289" t="e">
        <v>#N/A</v>
      </c>
      <c r="L289" t="e">
        <v>#N/A</v>
      </c>
      <c r="M289" t="e">
        <v>#N/A</v>
      </c>
    </row>
    <row r="290">
      <c r="A290" s="9" t="inlineStr">
        <is>
          <t>Cara Rabaev (McLaughlin)</t>
        </is>
      </c>
      <c r="B290" s="9" t="inlineStr">
        <is>
          <t>12/28/25 - 1/25/26</t>
        </is>
      </c>
      <c r="C290" s="12" t="n">
        <v>0.9458</v>
      </c>
      <c r="D290" s="12" t="n">
        <v>1.2237</v>
      </c>
      <c r="E290" s="12" t="n">
        <v>0.96</v>
      </c>
      <c r="F290" s="12" t="n">
        <v>0.8717948720000001</v>
      </c>
      <c r="G290" s="12" t="n">
        <v>0.730769231</v>
      </c>
      <c r="H290" s="9" t="n">
        <v>5</v>
      </c>
      <c r="I290" s="10" t="n">
        <v>0.5</v>
      </c>
      <c r="J290" s="12">
        <f>I290</f>
        <v/>
      </c>
      <c r="K290" t="e">
        <v>#N/A</v>
      </c>
      <c r="L290" t="e">
        <v>#N/A</v>
      </c>
      <c r="M290" t="e">
        <v>#N/A</v>
      </c>
    </row>
    <row r="291">
      <c r="A291" s="9" t="inlineStr">
        <is>
          <t>Cara Rabaev (McLaughlin)</t>
        </is>
      </c>
      <c r="B291" s="9" t="inlineStr">
        <is>
          <t>5/18/25 - 6/14/25</t>
        </is>
      </c>
      <c r="C291" s="12" t="n">
        <v>1.09</v>
      </c>
      <c r="D291" s="12" t="n">
        <v>1.31</v>
      </c>
      <c r="E291" s="12" t="n">
        <v>0.92</v>
      </c>
      <c r="F291" s="12" t="n">
        <v>0.98</v>
      </c>
      <c r="G291" s="12" t="n">
        <v>0.83</v>
      </c>
      <c r="H291" s="9" t="n">
        <v>6</v>
      </c>
      <c r="I291" s="10" t="n">
        <v>0</v>
      </c>
      <c r="J291" s="12">
        <f>I291</f>
        <v/>
      </c>
      <c r="K291" t="e">
        <v>#N/A</v>
      </c>
      <c r="L291" t="e">
        <v>#N/A</v>
      </c>
      <c r="M291" t="e">
        <v>#N/A</v>
      </c>
    </row>
    <row r="292">
      <c r="A292" s="9" t="inlineStr">
        <is>
          <t>Cara Rabaev (McLaughlin)</t>
        </is>
      </c>
      <c r="B292" s="9" t="inlineStr">
        <is>
          <t>6/15/25 - 7/12/25</t>
        </is>
      </c>
      <c r="C292" s="12" t="n">
        <v>1</v>
      </c>
      <c r="D292" s="12" t="n">
        <v>1.7</v>
      </c>
      <c r="E292" s="12" t="n">
        <v>0.98</v>
      </c>
      <c r="F292" s="12" t="n">
        <v>0.99</v>
      </c>
      <c r="G292" s="12" t="n">
        <v>0.88</v>
      </c>
      <c r="H292" s="9" t="n">
        <v>3</v>
      </c>
      <c r="I292" s="10" t="inlineStr">
        <is>
          <t xml:space="preserve"> 4/9</t>
        </is>
      </c>
      <c r="J292" s="12" t="n">
        <v>0.44</v>
      </c>
      <c r="K292" t="e">
        <v>#N/A</v>
      </c>
      <c r="L292" t="e">
        <v>#N/A</v>
      </c>
      <c r="M292" t="e">
        <v>#N/A</v>
      </c>
    </row>
    <row r="293">
      <c r="A293" s="9" t="inlineStr">
        <is>
          <t>Cara Rabaev (McLaughlin)</t>
        </is>
      </c>
      <c r="B293" s="9" t="inlineStr">
        <is>
          <t>7/13/25 - 8/10/25</t>
        </is>
      </c>
      <c r="C293" s="12" t="n">
        <v>1.38</v>
      </c>
      <c r="D293" s="12" t="n">
        <v>1.21</v>
      </c>
      <c r="E293" s="12" t="n">
        <v>0.98</v>
      </c>
      <c r="F293" s="12" t="n">
        <v>0.99</v>
      </c>
      <c r="G293" s="12" t="n">
        <v>0.88</v>
      </c>
      <c r="H293" s="9" t="n">
        <v>8</v>
      </c>
      <c r="I293" s="10" t="n">
        <v>1</v>
      </c>
      <c r="J293" s="12">
        <f>I293</f>
        <v/>
      </c>
      <c r="K293" t="e">
        <v>#N/A</v>
      </c>
      <c r="L293" t="e">
        <v>#N/A</v>
      </c>
      <c r="M293" t="e">
        <v>#N/A</v>
      </c>
    </row>
    <row r="294">
      <c r="A294" s="9" t="inlineStr">
        <is>
          <t>Cara Rabaev (McLaughlin)</t>
        </is>
      </c>
      <c r="B294" s="9" t="inlineStr">
        <is>
          <t>8/10/25 - 9/6/25</t>
        </is>
      </c>
      <c r="C294" s="12" t="n">
        <v>1.37</v>
      </c>
      <c r="D294" s="12" t="n">
        <v>1.32</v>
      </c>
      <c r="E294" s="12" t="n">
        <v>0.99</v>
      </c>
      <c r="F294" s="12" t="n">
        <v>0.79</v>
      </c>
      <c r="G294" s="12" t="n">
        <v>0.88</v>
      </c>
      <c r="H294" s="9" t="n">
        <v>4</v>
      </c>
      <c r="I294" s="10" t="inlineStr">
        <is>
          <t>0/4</t>
        </is>
      </c>
      <c r="J294" s="12" t="n">
        <v>0</v>
      </c>
      <c r="K294" t="e">
        <v>#N/A</v>
      </c>
      <c r="L294" t="e">
        <v>#N/A</v>
      </c>
      <c r="M294" t="e">
        <v>#N/A</v>
      </c>
    </row>
    <row r="295">
      <c r="A295" s="9" t="inlineStr">
        <is>
          <t>Cara Rabaev (McLaughlin)</t>
        </is>
      </c>
      <c r="B295" s="9" t="inlineStr">
        <is>
          <t>9/7/25 - 10/4/25</t>
        </is>
      </c>
      <c r="C295" s="12" t="n">
        <v>1.1</v>
      </c>
      <c r="D295" s="12" t="n">
        <v>0.96</v>
      </c>
      <c r="E295" s="12" t="n">
        <v>0.96</v>
      </c>
      <c r="F295" s="12" t="n">
        <v>0.71</v>
      </c>
      <c r="G295" s="12" t="n">
        <v>0.51</v>
      </c>
      <c r="H295" s="9" t="n">
        <v>5</v>
      </c>
      <c r="I295" s="10" t="inlineStr">
        <is>
          <t>0/1</t>
        </is>
      </c>
      <c r="J295" s="12" t="n">
        <v>0</v>
      </c>
      <c r="K295" t="e">
        <v>#N/A</v>
      </c>
      <c r="L295" t="e">
        <v>#N/A</v>
      </c>
      <c r="M295" t="e">
        <v>#N/A</v>
      </c>
    </row>
    <row r="296">
      <c r="A296" s="9" t="inlineStr">
        <is>
          <t>Carina Shanahan</t>
        </is>
      </c>
      <c r="B296" s="9" t="inlineStr">
        <is>
          <t>10/5/25 - 11/1/25</t>
        </is>
      </c>
      <c r="C296" s="12" t="n">
        <v>1.05</v>
      </c>
      <c r="D296" s="12" t="n">
        <v>1.0082</v>
      </c>
      <c r="E296" s="12" t="n">
        <v>0.984615384615384</v>
      </c>
      <c r="F296" s="12" t="n">
        <v>0.9625</v>
      </c>
      <c r="G296" s="12" t="n">
        <v>0.722222222222222</v>
      </c>
      <c r="H296" s="9" t="n">
        <v>12</v>
      </c>
      <c r="I296" s="10" t="inlineStr">
        <is>
          <t>5/10</t>
        </is>
      </c>
      <c r="J296" s="12" t="n">
        <v>0.5</v>
      </c>
      <c r="K296" t="inlineStr">
        <is>
          <t>Distinguished</t>
        </is>
      </c>
      <c r="L296" t="inlineStr">
        <is>
          <t>Professional</t>
        </is>
      </c>
      <c r="M296" t="inlineStr">
        <is>
          <t>Kristin Haase-Alvey</t>
        </is>
      </c>
    </row>
    <row r="297">
      <c r="A297" s="9" t="inlineStr">
        <is>
          <t>Carina Shanahan</t>
        </is>
      </c>
      <c r="B297" s="9" t="inlineStr">
        <is>
          <t>11/2/25 - 11/29/25</t>
        </is>
      </c>
      <c r="C297" s="12" t="n">
        <v>1.05</v>
      </c>
      <c r="D297" s="12" t="n">
        <v>0.97</v>
      </c>
      <c r="E297" s="12" t="n">
        <v>0.95</v>
      </c>
      <c r="F297" s="12" t="n">
        <v>0.98</v>
      </c>
      <c r="G297" s="12" t="n">
        <v>0.7</v>
      </c>
      <c r="H297" s="9" t="n">
        <v>6</v>
      </c>
      <c r="I297" s="13" t="n">
        <v>45751</v>
      </c>
      <c r="J297" s="12" t="n">
        <v>1</v>
      </c>
      <c r="K297" t="inlineStr">
        <is>
          <t>Distinguished</t>
        </is>
      </c>
      <c r="L297" t="inlineStr">
        <is>
          <t>Professional</t>
        </is>
      </c>
      <c r="M297" t="inlineStr">
        <is>
          <t>Kristin Haase-Alvey</t>
        </is>
      </c>
    </row>
    <row r="298">
      <c r="A298" s="9" t="inlineStr">
        <is>
          <t>Carina Shanahan</t>
        </is>
      </c>
      <c r="B298" s="9" t="inlineStr">
        <is>
          <t>11/30/25 - 12/27/25</t>
        </is>
      </c>
      <c r="C298" s="12" t="n">
        <v>0.95</v>
      </c>
      <c r="D298" s="12" t="n">
        <v>0.93</v>
      </c>
      <c r="E298" s="12" t="n">
        <v>0.98</v>
      </c>
      <c r="F298" s="12" t="n">
        <v>0.84</v>
      </c>
      <c r="G298" s="12" t="n">
        <v>0.78</v>
      </c>
      <c r="H298" s="9" t="n">
        <v>13</v>
      </c>
      <c r="I298" s="10" t="n">
        <v>0.5</v>
      </c>
      <c r="J298" s="12" t="n">
        <v>0.5</v>
      </c>
      <c r="K298" t="inlineStr">
        <is>
          <t>Distinguished</t>
        </is>
      </c>
      <c r="L298" t="inlineStr">
        <is>
          <t>Professional</t>
        </is>
      </c>
      <c r="M298" t="inlineStr">
        <is>
          <t>Kristin Haase-Alvey</t>
        </is>
      </c>
    </row>
    <row r="299">
      <c r="A299" s="9" t="inlineStr">
        <is>
          <t>Carina Shanahan</t>
        </is>
      </c>
      <c r="B299" s="9" t="inlineStr">
        <is>
          <t>12/28/25 - 1/25/26</t>
        </is>
      </c>
      <c r="C299" s="12" t="n">
        <v>0.8958</v>
      </c>
      <c r="D299" s="12" t="n">
        <v>0.8586</v>
      </c>
      <c r="E299" s="12" t="n">
        <v>0.982142857</v>
      </c>
      <c r="F299" s="12" t="n">
        <v>0.909090909</v>
      </c>
      <c r="G299" s="12" t="n">
        <v>0.666666667</v>
      </c>
      <c r="H299" s="9" t="n">
        <v>13</v>
      </c>
      <c r="I299" s="10" t="n">
        <v>1</v>
      </c>
      <c r="J299" s="12">
        <f>I299</f>
        <v/>
      </c>
      <c r="K299" t="inlineStr">
        <is>
          <t>Distinguished</t>
        </is>
      </c>
      <c r="L299" t="inlineStr">
        <is>
          <t>Professional</t>
        </is>
      </c>
      <c r="M299" t="inlineStr">
        <is>
          <t>Kristin Haase-Alvey</t>
        </is>
      </c>
    </row>
    <row r="300">
      <c r="A300" s="9" t="inlineStr">
        <is>
          <t>Carina Shanahan</t>
        </is>
      </c>
      <c r="B300" s="9" t="inlineStr">
        <is>
          <t>5/18/25 - 6/14/25</t>
        </is>
      </c>
      <c r="C300" s="12" t="n">
        <v>0.58</v>
      </c>
      <c r="D300" s="12" t="n">
        <v>1.12</v>
      </c>
      <c r="E300" s="12" t="n">
        <v>0.97</v>
      </c>
      <c r="F300" s="12" t="n">
        <v>0.29</v>
      </c>
      <c r="G300" s="12" t="n">
        <v>1</v>
      </c>
      <c r="H300" s="9" t="e">
        <v>#N/A</v>
      </c>
      <c r="I300" s="10" t="n">
        <v>0</v>
      </c>
      <c r="J300" s="12">
        <f>I300</f>
        <v/>
      </c>
      <c r="K300" t="inlineStr">
        <is>
          <t>Distinguished</t>
        </is>
      </c>
      <c r="L300" t="inlineStr">
        <is>
          <t>Professional</t>
        </is>
      </c>
      <c r="M300" t="inlineStr">
        <is>
          <t>Kristin Haase-Alvey</t>
        </is>
      </c>
    </row>
    <row r="301">
      <c r="A301" s="9" t="inlineStr">
        <is>
          <t>Carina Shanahan</t>
        </is>
      </c>
      <c r="B301" s="9" t="inlineStr">
        <is>
          <t>6/15/25 - 7/12/25</t>
        </is>
      </c>
      <c r="C301" s="12" t="n">
        <v>0.16</v>
      </c>
      <c r="D301" s="12" t="n">
        <v>1.14</v>
      </c>
      <c r="E301" s="12" t="n">
        <v>1</v>
      </c>
      <c r="F301" s="12" t="n">
        <v>0.83</v>
      </c>
      <c r="G301" s="12" t="n">
        <v>0.67</v>
      </c>
      <c r="H301" s="9" t="e">
        <v>#N/A</v>
      </c>
      <c r="I301" s="10" t="n">
        <v>1</v>
      </c>
      <c r="J301" s="12">
        <f>I301</f>
        <v/>
      </c>
      <c r="K301" t="inlineStr">
        <is>
          <t>Distinguished</t>
        </is>
      </c>
      <c r="L301" t="inlineStr">
        <is>
          <t>Professional</t>
        </is>
      </c>
      <c r="M301" t="inlineStr">
        <is>
          <t>Kristin Haase-Alvey</t>
        </is>
      </c>
    </row>
    <row r="302">
      <c r="A302" s="9" t="inlineStr">
        <is>
          <t>Carina Shanahan</t>
        </is>
      </c>
      <c r="B302" s="9" t="inlineStr">
        <is>
          <t>7/13/25 - 8/10/25</t>
        </is>
      </c>
      <c r="C302" s="12" t="n">
        <v>0.6</v>
      </c>
      <c r="D302" s="12" t="n">
        <v>0.88</v>
      </c>
      <c r="E302" s="12" t="n">
        <v>1</v>
      </c>
      <c r="F302" s="12" t="n">
        <v>0.97</v>
      </c>
      <c r="G302" s="12" t="n">
        <v>0.84</v>
      </c>
      <c r="H302" s="9" t="n">
        <v>4</v>
      </c>
      <c r="I302" s="10" t="inlineStr">
        <is>
          <t xml:space="preserve"> 2/3</t>
        </is>
      </c>
      <c r="J302" s="12" t="n">
        <v>0.67</v>
      </c>
      <c r="K302" t="inlineStr">
        <is>
          <t>Distinguished</t>
        </is>
      </c>
      <c r="L302" t="inlineStr">
        <is>
          <t>Professional</t>
        </is>
      </c>
      <c r="M302" t="inlineStr">
        <is>
          <t>Kristin Haase-Alvey</t>
        </is>
      </c>
    </row>
    <row r="303">
      <c r="A303" s="9" t="inlineStr">
        <is>
          <t>Carina Shanahan</t>
        </is>
      </c>
      <c r="B303" s="9" t="inlineStr">
        <is>
          <t>8/10/25 - 9/6/25</t>
        </is>
      </c>
      <c r="C303" s="12" t="n">
        <v>0.99</v>
      </c>
      <c r="D303" s="12" t="n">
        <v>1.09</v>
      </c>
      <c r="E303" s="12" t="n">
        <v>1</v>
      </c>
      <c r="F303" s="12" t="n">
        <v>0.97</v>
      </c>
      <c r="G303" s="12" t="n">
        <v>1</v>
      </c>
      <c r="H303" s="9" t="n">
        <v>8</v>
      </c>
      <c r="I303" s="10" t="inlineStr">
        <is>
          <t>3/3</t>
        </is>
      </c>
      <c r="J303" s="12" t="n">
        <v>1</v>
      </c>
      <c r="K303" t="inlineStr">
        <is>
          <t>Distinguished</t>
        </is>
      </c>
      <c r="L303" t="inlineStr">
        <is>
          <t>Professional</t>
        </is>
      </c>
      <c r="M303" t="inlineStr">
        <is>
          <t>Kristin Haase-Alvey</t>
        </is>
      </c>
    </row>
    <row r="304">
      <c r="A304" s="9" t="inlineStr">
        <is>
          <t>Carina Shanahan</t>
        </is>
      </c>
      <c r="B304" s="9" t="inlineStr">
        <is>
          <t>9/7/25 - 10/4/25</t>
        </is>
      </c>
      <c r="C304" s="12" t="n">
        <v>0.83</v>
      </c>
      <c r="D304" s="12" t="n">
        <v>0.9399999999999999</v>
      </c>
      <c r="E304" s="12" t="n">
        <v>0.99</v>
      </c>
      <c r="F304" s="12" t="n">
        <v>0.97</v>
      </c>
      <c r="G304" s="12" t="n">
        <v>0.64</v>
      </c>
      <c r="H304" s="9" t="n">
        <v>9</v>
      </c>
      <c r="I304" s="10" t="inlineStr">
        <is>
          <t>2/5</t>
        </is>
      </c>
      <c r="J304" s="12" t="n">
        <v>0.4</v>
      </c>
      <c r="K304" t="inlineStr">
        <is>
          <t>Distinguished</t>
        </is>
      </c>
      <c r="L304" t="inlineStr">
        <is>
          <t>Professional</t>
        </is>
      </c>
      <c r="M304" t="inlineStr">
        <is>
          <t>Kristin Haase-Alvey</t>
        </is>
      </c>
    </row>
    <row r="305">
      <c r="A305" s="9" t="inlineStr">
        <is>
          <t>Carson Hsiao</t>
        </is>
      </c>
      <c r="B305" s="9" t="inlineStr">
        <is>
          <t>5/18/25 - 6/14/25</t>
        </is>
      </c>
      <c r="C305" s="12" t="n">
        <v>0.29</v>
      </c>
      <c r="D305" s="12" t="n">
        <v>0.97</v>
      </c>
      <c r="E305" s="12" t="n">
        <v>1</v>
      </c>
      <c r="F305" s="12" t="n">
        <v>1</v>
      </c>
      <c r="G305" s="12" t="n">
        <v>0.67</v>
      </c>
      <c r="H305" s="9" t="e">
        <v>#N/A</v>
      </c>
      <c r="I305" s="10" t="n">
        <v>1</v>
      </c>
      <c r="J305" s="12">
        <f>I305</f>
        <v/>
      </c>
      <c r="K305" t="e">
        <v>#N/A</v>
      </c>
      <c r="L305" t="e">
        <v>#N/A</v>
      </c>
      <c r="M305" t="e">
        <v>#N/A</v>
      </c>
    </row>
    <row r="306">
      <c r="A306" s="9" t="inlineStr">
        <is>
          <t>Carson Hsiao</t>
        </is>
      </c>
      <c r="B306" s="9" t="inlineStr">
        <is>
          <t>6/15/25 - 7/12/25</t>
        </is>
      </c>
      <c r="C306" s="12" t="n">
        <v>0.2</v>
      </c>
      <c r="D306" s="12" t="n">
        <v>1.03</v>
      </c>
      <c r="E306" s="12" t="n">
        <v>1</v>
      </c>
      <c r="F306" s="12" t="n">
        <v>1</v>
      </c>
      <c r="G306" s="12" t="n">
        <v>0.33</v>
      </c>
      <c r="H306" s="9" t="e">
        <v>#N/A</v>
      </c>
      <c r="I306" s="10" t="inlineStr">
        <is>
          <t xml:space="preserve"> 1/2</t>
        </is>
      </c>
      <c r="J306" s="12" t="n">
        <v>0.5</v>
      </c>
      <c r="K306" t="e">
        <v>#N/A</v>
      </c>
      <c r="L306" t="e">
        <v>#N/A</v>
      </c>
      <c r="M306" t="e">
        <v>#N/A</v>
      </c>
    </row>
    <row r="307">
      <c r="A307" s="9" t="inlineStr">
        <is>
          <t>Casey Young</t>
        </is>
      </c>
      <c r="B307" s="9" t="inlineStr">
        <is>
          <t>10/5/25 - 11/1/25</t>
        </is>
      </c>
      <c r="C307" s="12" t="n">
        <v>0.9536</v>
      </c>
      <c r="D307" s="12" t="n">
        <v>1.0828</v>
      </c>
      <c r="E307" s="12" t="n">
        <v>0.981927710843373</v>
      </c>
      <c r="F307" s="12" t="n">
        <v>1</v>
      </c>
      <c r="G307" s="12" t="n">
        <v>0.92</v>
      </c>
      <c r="H307" s="9" t="n">
        <v>16</v>
      </c>
      <c r="I307" s="10" t="inlineStr">
        <is>
          <t>5/7</t>
        </is>
      </c>
      <c r="J307" s="12" t="n">
        <v>0.71</v>
      </c>
      <c r="K307" t="inlineStr">
        <is>
          <t>Distinguished</t>
        </is>
      </c>
      <c r="L307" t="inlineStr">
        <is>
          <t>Professional</t>
        </is>
      </c>
      <c r="M307" t="inlineStr">
        <is>
          <t>Ela Cross</t>
        </is>
      </c>
    </row>
    <row r="308">
      <c r="A308" s="9" t="inlineStr">
        <is>
          <t>Casey Young</t>
        </is>
      </c>
      <c r="B308" s="9" t="inlineStr">
        <is>
          <t>10/5/25 - 11/1/25</t>
        </is>
      </c>
      <c r="C308" s="12" t="n">
        <v>0.9536</v>
      </c>
      <c r="D308" s="12" t="n">
        <v>1.0828</v>
      </c>
      <c r="E308" s="12" t="n">
        <v>0.981927710843373</v>
      </c>
      <c r="F308" s="12" t="n">
        <v>1</v>
      </c>
      <c r="G308" s="12" t="n">
        <v>0.92</v>
      </c>
      <c r="H308" s="9" t="n">
        <v>16</v>
      </c>
      <c r="I308" s="10" t="inlineStr">
        <is>
          <t>5/7</t>
        </is>
      </c>
      <c r="J308" s="12">
        <f>_xlfn.TEXTBEFORE(I308, "/")/_xlfn.TEXTAFTER(I308,"/")</f>
        <v/>
      </c>
      <c r="K308" t="inlineStr">
        <is>
          <t>Distinguished</t>
        </is>
      </c>
      <c r="L308" t="inlineStr">
        <is>
          <t>Professional</t>
        </is>
      </c>
      <c r="M308" t="inlineStr">
        <is>
          <t>Ela Cross</t>
        </is>
      </c>
    </row>
    <row r="309">
      <c r="A309" s="9" t="inlineStr">
        <is>
          <t>Casey Young</t>
        </is>
      </c>
      <c r="B309" s="9" t="inlineStr">
        <is>
          <t>11/2/25 - 11/29/25</t>
        </is>
      </c>
      <c r="C309" s="12" t="n">
        <v>0.88</v>
      </c>
      <c r="D309" s="12" t="n">
        <v>0.9</v>
      </c>
      <c r="E309" s="12" t="n">
        <v>0.99</v>
      </c>
      <c r="F309" s="12" t="n">
        <v>0.98</v>
      </c>
      <c r="G309" s="12" t="n">
        <v>1</v>
      </c>
      <c r="H309" s="9" t="n">
        <v>14</v>
      </c>
      <c r="I309" s="13" t="n">
        <v>45721</v>
      </c>
      <c r="J309" s="14" t="n">
        <v>0.6</v>
      </c>
      <c r="K309" t="inlineStr">
        <is>
          <t>Distinguished</t>
        </is>
      </c>
      <c r="L309" t="inlineStr">
        <is>
          <t>Professional</t>
        </is>
      </c>
      <c r="M309" t="inlineStr">
        <is>
          <t>Ela Cross</t>
        </is>
      </c>
    </row>
    <row r="310">
      <c r="A310" s="9" t="inlineStr">
        <is>
          <t>Casey Young</t>
        </is>
      </c>
      <c r="B310" s="9" t="inlineStr">
        <is>
          <t>11/30/25 - 12/27/25</t>
        </is>
      </c>
      <c r="C310" s="12" t="n">
        <v>0.93</v>
      </c>
      <c r="D310" s="12" t="n">
        <v>1.01</v>
      </c>
      <c r="E310" s="12" t="n">
        <v>0.99</v>
      </c>
      <c r="F310" s="12" t="n">
        <v>0.99</v>
      </c>
      <c r="G310" s="12" t="n">
        <v>0.96</v>
      </c>
      <c r="H310" s="9" t="n">
        <v>22</v>
      </c>
      <c r="I310" s="10" t="n">
        <v>0.9090909090909091</v>
      </c>
      <c r="J310" s="12" t="n">
        <v>1</v>
      </c>
      <c r="K310" t="inlineStr">
        <is>
          <t>Distinguished</t>
        </is>
      </c>
      <c r="L310" t="inlineStr">
        <is>
          <t>Professional</t>
        </is>
      </c>
      <c r="M310" t="inlineStr">
        <is>
          <t>Ela Cross</t>
        </is>
      </c>
    </row>
    <row r="311">
      <c r="A311" s="9" t="inlineStr">
        <is>
          <t>Casey Young</t>
        </is>
      </c>
      <c r="B311" s="9" t="inlineStr">
        <is>
          <t>12/28/25 - 1/25/26</t>
        </is>
      </c>
      <c r="C311" s="12" t="n">
        <v>1.0607</v>
      </c>
      <c r="D311" s="12" t="n">
        <v>1.0276</v>
      </c>
      <c r="E311" s="12" t="n">
        <v>0.994594595</v>
      </c>
      <c r="F311" s="12" t="n">
        <v>1</v>
      </c>
      <c r="G311" s="12" t="n">
        <v>0.96</v>
      </c>
      <c r="H311" s="9" t="n">
        <v>22</v>
      </c>
      <c r="I311" s="10" t="n">
        <v>0.8</v>
      </c>
      <c r="J311" s="12">
        <f>I311</f>
        <v/>
      </c>
      <c r="K311" t="inlineStr">
        <is>
          <t>Distinguished</t>
        </is>
      </c>
      <c r="L311" t="inlineStr">
        <is>
          <t>Professional</t>
        </is>
      </c>
      <c r="M311" t="inlineStr">
        <is>
          <t>Ela Cross</t>
        </is>
      </c>
    </row>
    <row r="312">
      <c r="A312" s="9" t="inlineStr">
        <is>
          <t>Casey Young</t>
        </is>
      </c>
      <c r="B312" s="9" t="inlineStr">
        <is>
          <t>5/18/25 - 6/14/25</t>
        </is>
      </c>
      <c r="C312" s="12" t="n">
        <v>0.26</v>
      </c>
      <c r="D312" s="12" t="n">
        <v>0.95</v>
      </c>
      <c r="E312" s="12" t="n">
        <v>1</v>
      </c>
      <c r="F312" s="12" t="n">
        <v>1</v>
      </c>
      <c r="G312" s="12" t="n">
        <v>0.86</v>
      </c>
      <c r="H312" s="9" t="e">
        <v>#N/A</v>
      </c>
      <c r="I312" s="10" t="n">
        <v>1</v>
      </c>
      <c r="J312" s="12">
        <f>I312</f>
        <v/>
      </c>
      <c r="K312" t="inlineStr">
        <is>
          <t>Distinguished</t>
        </is>
      </c>
      <c r="L312" t="inlineStr">
        <is>
          <t>Professional</t>
        </is>
      </c>
      <c r="M312" t="inlineStr">
        <is>
          <t>Ela Cross</t>
        </is>
      </c>
    </row>
    <row r="313">
      <c r="A313" s="9" t="inlineStr">
        <is>
          <t>Casey Young</t>
        </is>
      </c>
      <c r="B313" s="9" t="inlineStr">
        <is>
          <t>6/15/25 - 7/12/25</t>
        </is>
      </c>
      <c r="C313" s="12" t="n">
        <v>0.6</v>
      </c>
      <c r="D313" s="12" t="n">
        <v>1.07</v>
      </c>
      <c r="E313" s="12" t="n">
        <v>0.9399999999999999</v>
      </c>
      <c r="F313" s="12" t="n">
        <v>0.98</v>
      </c>
      <c r="G313" s="12" t="n">
        <v>0.88</v>
      </c>
      <c r="H313" s="9" t="n">
        <v>1</v>
      </c>
      <c r="I313" s="10" t="n">
        <v>1</v>
      </c>
      <c r="J313" s="12">
        <f>I313</f>
        <v/>
      </c>
      <c r="K313" t="inlineStr">
        <is>
          <t>Distinguished</t>
        </is>
      </c>
      <c r="L313" t="inlineStr">
        <is>
          <t>Professional</t>
        </is>
      </c>
      <c r="M313" t="inlineStr">
        <is>
          <t>Ela Cross</t>
        </is>
      </c>
    </row>
    <row r="314">
      <c r="A314" s="9" t="inlineStr">
        <is>
          <t>Casey Young</t>
        </is>
      </c>
      <c r="B314" s="9" t="inlineStr">
        <is>
          <t>7/13/25 - 8/10/25</t>
        </is>
      </c>
      <c r="C314" s="12" t="n">
        <v>0.78</v>
      </c>
      <c r="D314" s="12" t="n">
        <v>1.14</v>
      </c>
      <c r="E314" s="12" t="n">
        <v>0.97</v>
      </c>
      <c r="F314" s="12" t="n">
        <v>0.92</v>
      </c>
      <c r="G314" s="12" t="n">
        <v>0.92</v>
      </c>
      <c r="H314" s="9" t="n">
        <v>1</v>
      </c>
      <c r="I314" s="10" t="n">
        <v>1</v>
      </c>
      <c r="J314" s="12">
        <f>I314</f>
        <v/>
      </c>
      <c r="K314" t="inlineStr">
        <is>
          <t>Distinguished</t>
        </is>
      </c>
      <c r="L314" t="inlineStr">
        <is>
          <t>Professional</t>
        </is>
      </c>
      <c r="M314" t="inlineStr">
        <is>
          <t>Ela Cross</t>
        </is>
      </c>
    </row>
    <row r="315">
      <c r="A315" s="9" t="inlineStr">
        <is>
          <t>Casey Young</t>
        </is>
      </c>
      <c r="B315" s="9" t="inlineStr">
        <is>
          <t>8/10/25 - 9/6/25</t>
        </is>
      </c>
      <c r="C315" s="12" t="n">
        <v>0.74</v>
      </c>
      <c r="D315" s="12" t="n">
        <v>1.16</v>
      </c>
      <c r="E315" s="12" t="n">
        <v>1</v>
      </c>
      <c r="F315" s="12" t="n">
        <v>1</v>
      </c>
      <c r="G315" s="12" t="n">
        <v>1</v>
      </c>
      <c r="H315" s="9" t="n">
        <v>5</v>
      </c>
      <c r="I315" s="10" t="inlineStr">
        <is>
          <t>0/5</t>
        </is>
      </c>
      <c r="J315" s="12" t="n">
        <v>0</v>
      </c>
      <c r="K315" t="inlineStr">
        <is>
          <t>Distinguished</t>
        </is>
      </c>
      <c r="L315" t="inlineStr">
        <is>
          <t>Professional</t>
        </is>
      </c>
      <c r="M315" t="inlineStr">
        <is>
          <t>Ela Cross</t>
        </is>
      </c>
    </row>
    <row r="316">
      <c r="A316" s="9" t="inlineStr">
        <is>
          <t>Casey Young</t>
        </is>
      </c>
      <c r="B316" s="9" t="inlineStr">
        <is>
          <t>9/7/25 - 10/4/25</t>
        </is>
      </c>
      <c r="C316" s="12" t="n">
        <v>0.85</v>
      </c>
      <c r="D316" s="12" t="n">
        <v>1.15</v>
      </c>
      <c r="E316" s="12" t="n">
        <v>0.99</v>
      </c>
      <c r="F316" s="12" t="n">
        <v>0.99</v>
      </c>
      <c r="G316" s="12" t="n">
        <v>0.9399999999999999</v>
      </c>
      <c r="H316" s="9" t="n">
        <v>10</v>
      </c>
      <c r="I316" s="10" t="inlineStr">
        <is>
          <t>7/7</t>
        </is>
      </c>
      <c r="J316" s="12" t="n">
        <v>1</v>
      </c>
      <c r="K316" t="inlineStr">
        <is>
          <t>Distinguished</t>
        </is>
      </c>
      <c r="L316" t="inlineStr">
        <is>
          <t>Professional</t>
        </is>
      </c>
      <c r="M316" t="inlineStr">
        <is>
          <t>Ela Cross</t>
        </is>
      </c>
    </row>
    <row r="317">
      <c r="A317" s="9" t="inlineStr">
        <is>
          <t>Cayden Koselak</t>
        </is>
      </c>
      <c r="B317" s="9" t="inlineStr">
        <is>
          <t>11/2/25 - 11/29/25</t>
        </is>
      </c>
      <c r="C317" s="12" t="n">
        <v>0</v>
      </c>
      <c r="D317" s="12" t="n">
        <v>0</v>
      </c>
      <c r="E317" s="12" t="n">
        <v>0</v>
      </c>
      <c r="F317" s="12" t="n">
        <v>0</v>
      </c>
      <c r="G317" s="12" t="n">
        <v>0</v>
      </c>
      <c r="H317" s="9" t="n">
        <v>0</v>
      </c>
      <c r="I317" s="13" t="n"/>
      <c r="J317" s="9" t="n"/>
      <c r="K317" t="e">
        <v>#N/A</v>
      </c>
      <c r="L317" t="e">
        <v>#N/A</v>
      </c>
      <c r="M317" t="e">
        <v>#N/A</v>
      </c>
    </row>
    <row r="318">
      <c r="A318" s="9" t="inlineStr">
        <is>
          <t>Cesar Moreno</t>
        </is>
      </c>
      <c r="B318" s="9" t="inlineStr">
        <is>
          <t>10/5/25 - 11/1/25</t>
        </is>
      </c>
      <c r="C318" s="12" t="n">
        <v>0.9208</v>
      </c>
      <c r="D318" s="12" t="n">
        <v>1.1299</v>
      </c>
      <c r="E318" s="12" t="n">
        <v>1</v>
      </c>
      <c r="F318" s="12" t="n">
        <v>0.9625</v>
      </c>
      <c r="G318" s="12" t="n">
        <v>0.777777777777777</v>
      </c>
      <c r="H318" s="9" t="n">
        <v>14</v>
      </c>
      <c r="I318" s="10" t="inlineStr">
        <is>
          <t>8/10</t>
        </is>
      </c>
      <c r="J318" s="12" t="n">
        <v>0.8</v>
      </c>
      <c r="K318" t="e">
        <v>#N/A</v>
      </c>
      <c r="L318" t="e">
        <v>#N/A</v>
      </c>
      <c r="M318" t="e">
        <v>#N/A</v>
      </c>
    </row>
    <row r="319">
      <c r="A319" s="9" t="inlineStr">
        <is>
          <t>Cesar Moreno</t>
        </is>
      </c>
      <c r="B319" s="9" t="inlineStr">
        <is>
          <t>11/2/25 - 11/29/25</t>
        </is>
      </c>
      <c r="C319" s="12" t="n">
        <v>1.06</v>
      </c>
      <c r="D319" s="12" t="n">
        <v>1.12</v>
      </c>
      <c r="E319" s="12" t="n">
        <v>0.99</v>
      </c>
      <c r="F319" s="12" t="n">
        <v>0.97</v>
      </c>
      <c r="G319" s="12" t="n">
        <v>0.93</v>
      </c>
      <c r="H319" s="9" t="n">
        <v>10</v>
      </c>
      <c r="I319" s="13" t="n">
        <v>45972</v>
      </c>
      <c r="J319" s="12" t="n">
        <v>1</v>
      </c>
      <c r="K319" t="e">
        <v>#N/A</v>
      </c>
      <c r="L319" t="e">
        <v>#N/A</v>
      </c>
      <c r="M319" t="e">
        <v>#N/A</v>
      </c>
    </row>
    <row r="320">
      <c r="A320" s="9" t="inlineStr">
        <is>
          <t>Cesar Moreno</t>
        </is>
      </c>
      <c r="B320" s="9" t="inlineStr">
        <is>
          <t>9/7/25 - 10/4/25</t>
        </is>
      </c>
      <c r="C320" s="12" t="n">
        <v>0.32</v>
      </c>
      <c r="D320" s="12" t="n">
        <v>0.82</v>
      </c>
      <c r="E320" s="12" t="n">
        <v>1</v>
      </c>
      <c r="F320" s="12" t="n">
        <v>0.92</v>
      </c>
      <c r="G320" s="12" t="n">
        <v>0</v>
      </c>
      <c r="H320" s="9" t="n">
        <v>3</v>
      </c>
      <c r="I320" s="10" t="inlineStr">
        <is>
          <t>3/14</t>
        </is>
      </c>
      <c r="J320" s="12" t="n">
        <v>0.21</v>
      </c>
      <c r="K320" t="e">
        <v>#N/A</v>
      </c>
      <c r="L320" t="e">
        <v>#N/A</v>
      </c>
      <c r="M320" t="e">
        <v>#N/A</v>
      </c>
    </row>
    <row r="321">
      <c r="A321" s="9" t="inlineStr">
        <is>
          <t>Charlie Anderson</t>
        </is>
      </c>
      <c r="B321" s="9" t="inlineStr">
        <is>
          <t>10/5/25 - 11/1/25</t>
        </is>
      </c>
      <c r="C321" s="12" t="n">
        <v>0.975</v>
      </c>
      <c r="D321" s="12" t="n">
        <v>0.9375</v>
      </c>
      <c r="E321" s="12" t="n">
        <v>1</v>
      </c>
      <c r="F321" s="12" t="n">
        <v>1</v>
      </c>
      <c r="G321" s="12" t="n">
        <v>0.607142857142857</v>
      </c>
      <c r="H321" s="9" t="n">
        <v>11</v>
      </c>
      <c r="I321" s="10" t="inlineStr">
        <is>
          <t>4/6</t>
        </is>
      </c>
      <c r="J321" s="12" t="n">
        <v>0.67</v>
      </c>
      <c r="K321" t="inlineStr">
        <is>
          <t>Distinguished</t>
        </is>
      </c>
      <c r="L321" t="inlineStr">
        <is>
          <t>Professional</t>
        </is>
      </c>
      <c r="M321" t="inlineStr">
        <is>
          <t>Annelies de Groot</t>
        </is>
      </c>
    </row>
    <row r="322">
      <c r="A322" s="9" t="inlineStr">
        <is>
          <t>Charlie Anderson</t>
        </is>
      </c>
      <c r="B322" s="9" t="inlineStr">
        <is>
          <t>10/5/25 - 11/1/25</t>
        </is>
      </c>
      <c r="C322" s="12" t="n">
        <v>0.975</v>
      </c>
      <c r="D322" s="12" t="n">
        <v>0.9375</v>
      </c>
      <c r="E322" s="12" t="n">
        <v>1</v>
      </c>
      <c r="F322" s="12" t="n">
        <v>1</v>
      </c>
      <c r="G322" s="12" t="n">
        <v>0.607142857142857</v>
      </c>
      <c r="H322" s="9" t="n">
        <v>11</v>
      </c>
      <c r="I322" s="10" t="inlineStr">
        <is>
          <t>4/6</t>
        </is>
      </c>
      <c r="J322" s="12">
        <f>_xlfn.TEXTBEFORE(I322, "/")/_xlfn.TEXTAFTER(I322,"/")</f>
        <v/>
      </c>
      <c r="K322" t="inlineStr">
        <is>
          <t>Distinguished</t>
        </is>
      </c>
      <c r="L322" t="inlineStr">
        <is>
          <t>Professional</t>
        </is>
      </c>
      <c r="M322" t="inlineStr">
        <is>
          <t>Annelies de Groot</t>
        </is>
      </c>
    </row>
    <row r="323">
      <c r="A323" s="9" t="inlineStr">
        <is>
          <t>Charlie Anderson</t>
        </is>
      </c>
      <c r="B323" s="9" t="inlineStr">
        <is>
          <t>11/2/25 - 11/29/25</t>
        </is>
      </c>
      <c r="C323" s="12" t="n">
        <v>1.18</v>
      </c>
      <c r="D323" s="12" t="n">
        <v>1.07</v>
      </c>
      <c r="E323" s="12" t="n">
        <v>0.98</v>
      </c>
      <c r="F323" s="12" t="n">
        <v>1</v>
      </c>
      <c r="G323" s="12" t="n">
        <v>0.96</v>
      </c>
      <c r="H323" s="9" t="n">
        <v>14</v>
      </c>
      <c r="I323" s="13" t="n">
        <v>45814</v>
      </c>
      <c r="J323" s="12" t="n">
        <v>1</v>
      </c>
      <c r="K323" t="inlineStr">
        <is>
          <t>Distinguished</t>
        </is>
      </c>
      <c r="L323" t="inlineStr">
        <is>
          <t>Professional</t>
        </is>
      </c>
      <c r="M323" t="inlineStr">
        <is>
          <t>Annelies de Groot</t>
        </is>
      </c>
    </row>
    <row r="324">
      <c r="A324" s="9" t="inlineStr">
        <is>
          <t>Charlie Anderson</t>
        </is>
      </c>
      <c r="B324" s="9" t="inlineStr">
        <is>
          <t>11/30/25 - 12/27/25</t>
        </is>
      </c>
      <c r="C324" s="12" t="n">
        <v>0.91</v>
      </c>
      <c r="D324" s="12" t="n">
        <v>0.9399999999999999</v>
      </c>
      <c r="E324" s="12" t="n">
        <v>1</v>
      </c>
      <c r="F324" s="12" t="n">
        <v>1</v>
      </c>
      <c r="G324" s="12" t="n">
        <v>0.83</v>
      </c>
      <c r="H324" s="9" t="n">
        <v>4</v>
      </c>
      <c r="I324" s="10" t="n">
        <v>1</v>
      </c>
      <c r="J324" s="12" t="n">
        <v>1</v>
      </c>
      <c r="K324" t="inlineStr">
        <is>
          <t>Distinguished</t>
        </is>
      </c>
      <c r="L324" t="inlineStr">
        <is>
          <t>Professional</t>
        </is>
      </c>
      <c r="M324" t="inlineStr">
        <is>
          <t>Annelies de Groot</t>
        </is>
      </c>
    </row>
    <row r="325">
      <c r="A325" s="9" t="inlineStr">
        <is>
          <t>Charlie Anderson</t>
        </is>
      </c>
      <c r="B325" s="9" t="inlineStr">
        <is>
          <t>12/28/25 - 1/25/26</t>
        </is>
      </c>
      <c r="C325" s="12" t="n">
        <v>0.9833</v>
      </c>
      <c r="D325" s="12" t="n">
        <v>1.0247</v>
      </c>
      <c r="E325" s="12" t="n">
        <v>1</v>
      </c>
      <c r="F325" s="12" t="n">
        <v>1</v>
      </c>
      <c r="G325" s="12" t="n">
        <v>0.5</v>
      </c>
      <c r="H325" s="9" t="n">
        <v>15</v>
      </c>
      <c r="I325" s="10" t="n">
        <v>0.7777777777777778</v>
      </c>
      <c r="J325" s="12">
        <f>I325</f>
        <v/>
      </c>
      <c r="K325" t="inlineStr">
        <is>
          <t>Distinguished</t>
        </is>
      </c>
      <c r="L325" t="inlineStr">
        <is>
          <t>Professional</t>
        </is>
      </c>
      <c r="M325" t="inlineStr">
        <is>
          <t>Annelies de Groot</t>
        </is>
      </c>
    </row>
    <row r="326">
      <c r="A326" s="9" t="inlineStr">
        <is>
          <t>Charlie Anderson</t>
        </is>
      </c>
      <c r="B326" s="9" t="inlineStr">
        <is>
          <t>5/18/25 - 6/14/25</t>
        </is>
      </c>
      <c r="C326" s="12" t="n">
        <v>0.77</v>
      </c>
      <c r="D326" s="12" t="n">
        <v>1.11</v>
      </c>
      <c r="E326" s="12" t="n">
        <v>1</v>
      </c>
      <c r="F326" s="12" t="n">
        <v>0.74</v>
      </c>
      <c r="G326" s="12" t="n">
        <v>0.75</v>
      </c>
      <c r="H326" s="9" t="n">
        <v>3</v>
      </c>
      <c r="I326" s="10" t="inlineStr">
        <is>
          <t xml:space="preserve"> 3/4</t>
        </is>
      </c>
      <c r="J326" s="12" t="n">
        <v>0.75</v>
      </c>
      <c r="K326" t="inlineStr">
        <is>
          <t>Distinguished</t>
        </is>
      </c>
      <c r="L326" t="inlineStr">
        <is>
          <t>Professional</t>
        </is>
      </c>
      <c r="M326" t="inlineStr">
        <is>
          <t>Annelies de Groot</t>
        </is>
      </c>
    </row>
    <row r="327">
      <c r="A327" s="9" t="inlineStr">
        <is>
          <t>Charlie Anderson</t>
        </is>
      </c>
      <c r="B327" s="9" t="inlineStr">
        <is>
          <t>6/15/25 - 7/12/25</t>
        </is>
      </c>
      <c r="C327" s="12" t="n">
        <v>0.57</v>
      </c>
      <c r="D327" s="12" t="n">
        <v>1.01</v>
      </c>
      <c r="E327" s="12" t="n">
        <v>1</v>
      </c>
      <c r="F327" s="12" t="n">
        <v>1</v>
      </c>
      <c r="G327" s="12" t="n">
        <v>0.39</v>
      </c>
      <c r="H327" s="9" t="n">
        <v>4</v>
      </c>
      <c r="I327" s="10" t="inlineStr">
        <is>
          <t xml:space="preserve"> 2/3</t>
        </is>
      </c>
      <c r="J327" s="12" t="n">
        <v>0.67</v>
      </c>
      <c r="K327" t="inlineStr">
        <is>
          <t>Distinguished</t>
        </is>
      </c>
      <c r="L327" t="inlineStr">
        <is>
          <t>Professional</t>
        </is>
      </c>
      <c r="M327" t="inlineStr">
        <is>
          <t>Annelies de Groot</t>
        </is>
      </c>
    </row>
    <row r="328">
      <c r="A328" s="9" t="inlineStr">
        <is>
          <t>Charlie Anderson</t>
        </is>
      </c>
      <c r="B328" s="9" t="inlineStr">
        <is>
          <t>7/13/25 - 8/10/25</t>
        </is>
      </c>
      <c r="C328" s="12" t="n">
        <v>0.83</v>
      </c>
      <c r="D328" s="12" t="n">
        <v>1.09</v>
      </c>
      <c r="E328" s="12" t="n">
        <v>1</v>
      </c>
      <c r="F328" s="12" t="n">
        <v>0.98</v>
      </c>
      <c r="G328" s="12" t="n">
        <v>0.46</v>
      </c>
      <c r="H328" s="9" t="n">
        <v>7</v>
      </c>
      <c r="I328" s="10" t="inlineStr">
        <is>
          <t xml:space="preserve"> 2/5</t>
        </is>
      </c>
      <c r="J328" s="12" t="n">
        <v>0.4</v>
      </c>
      <c r="K328" t="inlineStr">
        <is>
          <t>Distinguished</t>
        </is>
      </c>
      <c r="L328" t="inlineStr">
        <is>
          <t>Professional</t>
        </is>
      </c>
      <c r="M328" t="inlineStr">
        <is>
          <t>Annelies de Groot</t>
        </is>
      </c>
    </row>
    <row r="329">
      <c r="A329" s="9" t="inlineStr">
        <is>
          <t>Charlie Anderson</t>
        </is>
      </c>
      <c r="B329" s="9" t="inlineStr">
        <is>
          <t>8/10/25 - 9/6/25</t>
        </is>
      </c>
      <c r="C329" s="12" t="n">
        <v>0.82</v>
      </c>
      <c r="D329" s="12" t="n">
        <v>1.11</v>
      </c>
      <c r="E329" s="12" t="n">
        <v>0.99</v>
      </c>
      <c r="F329" s="12" t="n">
        <v>1</v>
      </c>
      <c r="G329" s="12" t="n">
        <v>0</v>
      </c>
      <c r="H329" s="9" t="n">
        <v>3</v>
      </c>
      <c r="I329" s="10" t="inlineStr">
        <is>
          <t>5/6</t>
        </is>
      </c>
      <c r="J329" s="12" t="n">
        <v>0.83</v>
      </c>
      <c r="K329" t="inlineStr">
        <is>
          <t>Distinguished</t>
        </is>
      </c>
      <c r="L329" t="inlineStr">
        <is>
          <t>Professional</t>
        </is>
      </c>
      <c r="M329" t="inlineStr">
        <is>
          <t>Annelies de Groot</t>
        </is>
      </c>
    </row>
    <row r="330">
      <c r="A330" s="9" t="inlineStr">
        <is>
          <t>Charlie Anderson</t>
        </is>
      </c>
      <c r="B330" s="9" t="inlineStr">
        <is>
          <t>9/7/25 - 10/4/25</t>
        </is>
      </c>
      <c r="C330" s="12" t="n">
        <v>1.04</v>
      </c>
      <c r="D330" s="12" t="n">
        <v>1.17</v>
      </c>
      <c r="E330" s="12" t="n">
        <v>1</v>
      </c>
      <c r="F330" s="12" t="n">
        <v>0.9399999999999999</v>
      </c>
      <c r="G330" s="12" t="n">
        <v>0.84</v>
      </c>
      <c r="H330" s="9" t="n">
        <v>8</v>
      </c>
      <c r="I330" s="10" t="inlineStr">
        <is>
          <t>4/6</t>
        </is>
      </c>
      <c r="J330" s="12" t="n">
        <v>0.67</v>
      </c>
      <c r="K330" t="inlineStr">
        <is>
          <t>Distinguished</t>
        </is>
      </c>
      <c r="L330" t="inlineStr">
        <is>
          <t>Professional</t>
        </is>
      </c>
      <c r="M330" t="inlineStr">
        <is>
          <t>Annelies de Groot</t>
        </is>
      </c>
    </row>
    <row r="331">
      <c r="A331" s="9" t="inlineStr">
        <is>
          <t>Chazlee Myers</t>
        </is>
      </c>
      <c r="B331" s="9" t="inlineStr">
        <is>
          <t>10/5/25 - 11/1/25</t>
        </is>
      </c>
      <c r="C331" s="12" t="n">
        <v>0.75</v>
      </c>
      <c r="D331" s="12" t="n">
        <v>0.9901</v>
      </c>
      <c r="E331" s="12" t="n">
        <v>0.943181818181818</v>
      </c>
      <c r="F331" s="12" t="n">
        <v>0.456140350877192</v>
      </c>
      <c r="G331" s="12" t="n">
        <v>0.7692307692307691</v>
      </c>
      <c r="H331" s="9" t="n">
        <v>10</v>
      </c>
      <c r="I331" s="10" t="inlineStr">
        <is>
          <t>2/5</t>
        </is>
      </c>
      <c r="J331" s="12" t="n">
        <v>0.4</v>
      </c>
      <c r="K331" t="inlineStr">
        <is>
          <t>Distinguished</t>
        </is>
      </c>
      <c r="L331" t="inlineStr">
        <is>
          <t>Professional</t>
        </is>
      </c>
      <c r="M331" t="inlineStr">
        <is>
          <t>Geoff St. Marie</t>
        </is>
      </c>
    </row>
    <row r="332">
      <c r="A332" s="9" t="inlineStr">
        <is>
          <t>Chazlee Myers</t>
        </is>
      </c>
      <c r="B332" s="9" t="inlineStr">
        <is>
          <t>11/2/25 - 11/29/25</t>
        </is>
      </c>
      <c r="C332" s="12" t="n">
        <v>0.89</v>
      </c>
      <c r="D332" s="12" t="n">
        <v>0.95</v>
      </c>
      <c r="E332" s="12" t="n">
        <v>0.86</v>
      </c>
      <c r="F332" s="12" t="n">
        <v>0.92</v>
      </c>
      <c r="G332" s="12" t="n">
        <v>0.67</v>
      </c>
      <c r="H332" s="9" t="n">
        <v>9</v>
      </c>
      <c r="I332" s="13" t="inlineStr">
        <is>
          <t>0/5</t>
        </is>
      </c>
      <c r="J332" s="12" t="n">
        <v>0</v>
      </c>
      <c r="K332" t="inlineStr">
        <is>
          <t>Distinguished</t>
        </is>
      </c>
      <c r="L332" t="inlineStr">
        <is>
          <t>Professional</t>
        </is>
      </c>
      <c r="M332" t="inlineStr">
        <is>
          <t>Geoff St. Marie</t>
        </is>
      </c>
    </row>
    <row r="333">
      <c r="A333" s="9" t="inlineStr">
        <is>
          <t>Chazlee Myers</t>
        </is>
      </c>
      <c r="B333" s="9" t="inlineStr">
        <is>
          <t>11/30/25 - 12/27/25</t>
        </is>
      </c>
      <c r="C333" s="12" t="n">
        <v>0.55</v>
      </c>
      <c r="D333" s="12" t="n">
        <v>0.79</v>
      </c>
      <c r="E333" s="12" t="n">
        <v>0.93</v>
      </c>
      <c r="F333" s="12" t="n">
        <v>0.54</v>
      </c>
      <c r="G333" s="12" t="n">
        <v>0.79</v>
      </c>
      <c r="H333" s="9" t="n">
        <v>10</v>
      </c>
      <c r="I333" s="32" t="inlineStr">
        <is>
          <t>1/11</t>
        </is>
      </c>
      <c r="J333" s="12" t="n">
        <v>0.09</v>
      </c>
      <c r="K333" t="inlineStr">
        <is>
          <t>Distinguished</t>
        </is>
      </c>
      <c r="L333" t="inlineStr">
        <is>
          <t>Professional</t>
        </is>
      </c>
      <c r="M333" t="inlineStr">
        <is>
          <t>Geoff St. Marie</t>
        </is>
      </c>
    </row>
    <row r="334">
      <c r="A334" s="9" t="inlineStr">
        <is>
          <t>Chazlee Myers</t>
        </is>
      </c>
      <c r="B334" s="9" t="inlineStr">
        <is>
          <t>12/28/25 - 1/25/26</t>
        </is>
      </c>
      <c r="C334" s="12" t="n">
        <v>0.9292</v>
      </c>
      <c r="D334" s="12" t="n">
        <v>0.9967</v>
      </c>
      <c r="E334" s="12" t="n">
        <v>0.923728814</v>
      </c>
      <c r="F334" s="12" t="n">
        <v>0.986486486</v>
      </c>
      <c r="G334" s="12" t="n">
        <v>0.545454545</v>
      </c>
      <c r="H334" s="9" t="n">
        <v>16</v>
      </c>
      <c r="I334" s="10" t="inlineStr">
        <is>
          <t>0/7</t>
        </is>
      </c>
      <c r="J334" s="12" t="n">
        <v>0</v>
      </c>
      <c r="K334" t="inlineStr">
        <is>
          <t>Distinguished</t>
        </is>
      </c>
      <c r="L334" t="inlineStr">
        <is>
          <t>Professional</t>
        </is>
      </c>
      <c r="M334" t="inlineStr">
        <is>
          <t>Geoff St. Marie</t>
        </is>
      </c>
    </row>
    <row r="335">
      <c r="A335" s="9" t="inlineStr">
        <is>
          <t>Chazlee Myers</t>
        </is>
      </c>
      <c r="B335" s="9" t="inlineStr">
        <is>
          <t>5/18/25 - 6/14/25</t>
        </is>
      </c>
      <c r="C335" s="12" t="n">
        <v>0.78</v>
      </c>
      <c r="D335" s="12" t="n">
        <v>1</v>
      </c>
      <c r="E335" s="12" t="n">
        <v>0.83</v>
      </c>
      <c r="F335" s="12" t="n">
        <v>0.98</v>
      </c>
      <c r="G335" s="12" t="n">
        <v>0.73</v>
      </c>
      <c r="H335" s="9" t="n">
        <v>2</v>
      </c>
      <c r="I335" s="10" t="inlineStr">
        <is>
          <t xml:space="preserve"> 3/5</t>
        </is>
      </c>
      <c r="J335" s="12" t="n">
        <v>0.6</v>
      </c>
      <c r="K335" t="inlineStr">
        <is>
          <t>Distinguished</t>
        </is>
      </c>
      <c r="L335" t="inlineStr">
        <is>
          <t>Professional</t>
        </is>
      </c>
      <c r="M335" t="inlineStr">
        <is>
          <t>Geoff St. Marie</t>
        </is>
      </c>
    </row>
    <row r="336">
      <c r="A336" s="9" t="inlineStr">
        <is>
          <t>Chazlee Myers</t>
        </is>
      </c>
      <c r="B336" s="9" t="inlineStr">
        <is>
          <t>6/15/25 - 7/12/25</t>
        </is>
      </c>
      <c r="C336" s="12" t="n">
        <v>0.72</v>
      </c>
      <c r="D336" s="12" t="n">
        <v>1.03</v>
      </c>
      <c r="E336" s="12" t="n">
        <v>0.96</v>
      </c>
      <c r="F336" s="12" t="n">
        <v>0.98</v>
      </c>
      <c r="G336" s="12" t="n">
        <v>0.53</v>
      </c>
      <c r="H336" s="9" t="n">
        <v>3</v>
      </c>
      <c r="I336" s="10" t="inlineStr">
        <is>
          <t xml:space="preserve"> 4/7</t>
        </is>
      </c>
      <c r="J336" s="12" t="n">
        <v>0.57</v>
      </c>
      <c r="K336" t="inlineStr">
        <is>
          <t>Distinguished</t>
        </is>
      </c>
      <c r="L336" t="inlineStr">
        <is>
          <t>Professional</t>
        </is>
      </c>
      <c r="M336" t="inlineStr">
        <is>
          <t>Geoff St. Marie</t>
        </is>
      </c>
    </row>
    <row r="337">
      <c r="A337" s="9" t="inlineStr">
        <is>
          <t>Chazlee Myers</t>
        </is>
      </c>
      <c r="B337" s="9" t="inlineStr">
        <is>
          <t>7/13/25 - 8/10/25</t>
        </is>
      </c>
      <c r="C337" s="12" t="n">
        <v>0.74</v>
      </c>
      <c r="D337" s="12" t="n">
        <v>1.02</v>
      </c>
      <c r="E337" s="12" t="n">
        <v>0.93</v>
      </c>
      <c r="F337" s="12" t="n">
        <v>0.92</v>
      </c>
      <c r="G337" s="12" t="n">
        <v>0.5</v>
      </c>
      <c r="H337" s="9" t="n">
        <v>6</v>
      </c>
      <c r="J337" s="9" t="n"/>
      <c r="K337" t="inlineStr">
        <is>
          <t>Distinguished</t>
        </is>
      </c>
      <c r="L337" t="inlineStr">
        <is>
          <t>Professional</t>
        </is>
      </c>
      <c r="M337" t="inlineStr">
        <is>
          <t>Geoff St. Marie</t>
        </is>
      </c>
    </row>
    <row r="338">
      <c r="A338" s="9" t="inlineStr">
        <is>
          <t>Chazlee Myers</t>
        </is>
      </c>
      <c r="B338" s="9" t="inlineStr">
        <is>
          <t>8/10/25 - 9/6/25</t>
        </is>
      </c>
      <c r="C338" s="12" t="n">
        <v>0.62</v>
      </c>
      <c r="D338" s="12" t="n">
        <v>0.97</v>
      </c>
      <c r="E338" s="12" t="n">
        <v>0.82</v>
      </c>
      <c r="F338" s="12" t="n">
        <v>0.96</v>
      </c>
      <c r="G338" s="12" t="n">
        <v>0.9399999999999999</v>
      </c>
      <c r="H338" s="9" t="n">
        <v>4</v>
      </c>
      <c r="I338" s="11" t="n"/>
      <c r="J338" s="9" t="n"/>
      <c r="K338" t="inlineStr">
        <is>
          <t>Distinguished</t>
        </is>
      </c>
      <c r="L338" t="inlineStr">
        <is>
          <t>Professional</t>
        </is>
      </c>
      <c r="M338" t="inlineStr">
        <is>
          <t>Geoff St. Marie</t>
        </is>
      </c>
    </row>
    <row r="339">
      <c r="A339" s="9" t="inlineStr">
        <is>
          <t>Chazlee Myers</t>
        </is>
      </c>
      <c r="B339" s="9" t="inlineStr">
        <is>
          <t>9/7/25 - 10/4/25</t>
        </is>
      </c>
      <c r="C339" s="12" t="n">
        <v>0.78</v>
      </c>
      <c r="D339" s="12" t="n">
        <v>1.11</v>
      </c>
      <c r="E339" s="12" t="n">
        <v>0.88</v>
      </c>
      <c r="F339" s="12" t="n">
        <v>0.85</v>
      </c>
      <c r="G339" s="12" t="n">
        <v>0.6899999999999999</v>
      </c>
      <c r="H339" s="9" t="n">
        <v>1</v>
      </c>
      <c r="I339" s="11" t="n"/>
      <c r="J339" s="9" t="n"/>
      <c r="K339" t="inlineStr">
        <is>
          <t>Distinguished</t>
        </is>
      </c>
      <c r="L339" t="inlineStr">
        <is>
          <t>Professional</t>
        </is>
      </c>
      <c r="M339" t="inlineStr">
        <is>
          <t>Geoff St. Marie</t>
        </is>
      </c>
    </row>
    <row r="340">
      <c r="A340" s="9" t="inlineStr">
        <is>
          <t>Cheryl Lambert</t>
        </is>
      </c>
      <c r="B340" s="9" t="inlineStr">
        <is>
          <t>10/5/25 - 11/1/25</t>
        </is>
      </c>
      <c r="C340" s="12" t="n">
        <v>0</v>
      </c>
      <c r="D340" s="12" t="n">
        <v>0</v>
      </c>
      <c r="E340" s="12" t="n">
        <v>0</v>
      </c>
      <c r="F340" s="12" t="n">
        <v>0</v>
      </c>
      <c r="G340" s="12" t="n">
        <v>0</v>
      </c>
      <c r="H340" s="9" t="n">
        <v>0</v>
      </c>
      <c r="I340" s="10" t="n"/>
      <c r="J340" s="12" t="n"/>
      <c r="K340" t="e">
        <v>#N/A</v>
      </c>
      <c r="L340" t="e">
        <v>#N/A</v>
      </c>
      <c r="M340" t="e">
        <v>#N/A</v>
      </c>
    </row>
    <row r="341">
      <c r="A341" s="9" t="inlineStr">
        <is>
          <t>Cheryl Lambert</t>
        </is>
      </c>
      <c r="B341" s="9" t="inlineStr">
        <is>
          <t>10/5/25 - 11/1/25</t>
        </is>
      </c>
      <c r="C341" s="12" t="n">
        <v>0</v>
      </c>
      <c r="D341" s="12" t="n">
        <v>0</v>
      </c>
      <c r="E341" s="12" t="n">
        <v>0</v>
      </c>
      <c r="F341" s="12" t="n">
        <v>0</v>
      </c>
      <c r="G341" s="12" t="n">
        <v>0</v>
      </c>
      <c r="H341" s="9" t="n">
        <v>0</v>
      </c>
      <c r="J341" s="9" t="n"/>
      <c r="K341" t="e">
        <v>#N/A</v>
      </c>
      <c r="L341" t="e">
        <v>#N/A</v>
      </c>
      <c r="M341" t="e">
        <v>#N/A</v>
      </c>
    </row>
    <row r="342">
      <c r="A342" s="9" t="inlineStr">
        <is>
          <t>Cheryl Lambert</t>
        </is>
      </c>
      <c r="B342" s="9" t="inlineStr">
        <is>
          <t>11/2/25 - 11/29/25</t>
        </is>
      </c>
      <c r="C342" s="12" t="n">
        <v>0</v>
      </c>
      <c r="D342" s="12" t="n">
        <v>0</v>
      </c>
      <c r="E342" s="12" t="n">
        <v>0</v>
      </c>
      <c r="F342" s="12" t="n">
        <v>0</v>
      </c>
      <c r="G342" s="12" t="n">
        <v>0</v>
      </c>
      <c r="H342" s="9" t="n">
        <v>0</v>
      </c>
      <c r="I342" s="13" t="n"/>
      <c r="J342" s="9" t="n"/>
      <c r="K342" t="e">
        <v>#N/A</v>
      </c>
      <c r="L342" t="e">
        <v>#N/A</v>
      </c>
      <c r="M342" t="e">
        <v>#N/A</v>
      </c>
    </row>
    <row r="343">
      <c r="A343" s="9" t="inlineStr">
        <is>
          <t>Cheryl Lambert</t>
        </is>
      </c>
      <c r="B343" s="9" t="inlineStr">
        <is>
          <t>5/18/25 - 6/14/25</t>
        </is>
      </c>
      <c r="C343" s="12" t="n">
        <v>0.42</v>
      </c>
      <c r="D343" s="12" t="n">
        <v>1.04</v>
      </c>
      <c r="E343" s="12" t="n">
        <v>1</v>
      </c>
      <c r="F343" s="12" t="n">
        <v>1</v>
      </c>
      <c r="G343" s="12" t="n">
        <v>1</v>
      </c>
      <c r="H343" s="9" t="e">
        <v>#N/A</v>
      </c>
      <c r="I343" s="10" t="n">
        <v>1</v>
      </c>
      <c r="J343" s="12">
        <f>I343</f>
        <v/>
      </c>
      <c r="K343" t="e">
        <v>#N/A</v>
      </c>
      <c r="L343" t="e">
        <v>#N/A</v>
      </c>
      <c r="M343" t="e">
        <v>#N/A</v>
      </c>
    </row>
    <row r="344">
      <c r="A344" s="9" t="inlineStr">
        <is>
          <t>Cheryl Lambert</t>
        </is>
      </c>
      <c r="B344" s="9" t="inlineStr">
        <is>
          <t>6/15/25 - 7/12/25</t>
        </is>
      </c>
      <c r="C344" s="12" t="n">
        <v>0.35</v>
      </c>
      <c r="D344" s="12" t="n">
        <v>1.2</v>
      </c>
      <c r="E344" s="12" t="n">
        <v>1</v>
      </c>
      <c r="F344" s="12" t="n">
        <v>1</v>
      </c>
      <c r="G344" s="12" t="n">
        <v>1</v>
      </c>
      <c r="H344" s="9" t="n">
        <v>1</v>
      </c>
      <c r="I344" s="10" t="n">
        <v>0</v>
      </c>
      <c r="J344" s="12">
        <f>I344</f>
        <v/>
      </c>
      <c r="K344" t="e">
        <v>#N/A</v>
      </c>
      <c r="L344" t="e">
        <v>#N/A</v>
      </c>
      <c r="M344" t="e">
        <v>#N/A</v>
      </c>
    </row>
    <row r="345">
      <c r="A345" s="9" t="inlineStr">
        <is>
          <t>Cheryl Lambert</t>
        </is>
      </c>
      <c r="B345" s="9" t="inlineStr">
        <is>
          <t>7/13/25 - 8/10/25</t>
        </is>
      </c>
      <c r="C345" s="12" t="n">
        <v>0.46</v>
      </c>
      <c r="D345" s="12" t="n">
        <v>1.17</v>
      </c>
      <c r="E345" s="12" t="n">
        <v>1</v>
      </c>
      <c r="F345" s="12" t="n">
        <v>1</v>
      </c>
      <c r="G345" s="12" t="n">
        <v>0.5</v>
      </c>
      <c r="H345" s="9" t="e">
        <v>#N/A</v>
      </c>
      <c r="I345" s="10" t="n">
        <v>1</v>
      </c>
      <c r="J345" s="12">
        <f>I345</f>
        <v/>
      </c>
      <c r="K345" t="e">
        <v>#N/A</v>
      </c>
      <c r="L345" t="e">
        <v>#N/A</v>
      </c>
      <c r="M345" t="e">
        <v>#N/A</v>
      </c>
    </row>
    <row r="346">
      <c r="A346" s="9" t="inlineStr">
        <is>
          <t>Cheryl Lambert</t>
        </is>
      </c>
      <c r="B346" s="9" t="inlineStr">
        <is>
          <t>8/10/25 - 9/6/25</t>
        </is>
      </c>
      <c r="C346" s="12" t="n">
        <v>0.3</v>
      </c>
      <c r="D346" s="12" t="n">
        <v>0.96</v>
      </c>
      <c r="E346" s="12" t="n">
        <v>1</v>
      </c>
      <c r="F346" s="12" t="n">
        <v>0.5</v>
      </c>
      <c r="G346" s="12" t="n">
        <v>0.33</v>
      </c>
      <c r="H346" s="9" t="n">
        <v>0</v>
      </c>
      <c r="I346" s="11" t="n"/>
      <c r="J346" s="9" t="n"/>
      <c r="K346" t="e">
        <v>#N/A</v>
      </c>
      <c r="L346" t="e">
        <v>#N/A</v>
      </c>
      <c r="M346" t="e">
        <v>#N/A</v>
      </c>
    </row>
    <row r="347">
      <c r="A347" s="9" t="inlineStr">
        <is>
          <t>Cheryl Lambert</t>
        </is>
      </c>
      <c r="B347" s="9" t="inlineStr">
        <is>
          <t>9/7/25 - 10/4/25</t>
        </is>
      </c>
      <c r="C347" s="12" t="n">
        <v>0</v>
      </c>
      <c r="D347" s="12" t="n">
        <v>0.03</v>
      </c>
      <c r="E347" s="12" t="n">
        <v>0</v>
      </c>
      <c r="F347" s="12" t="n">
        <v>0</v>
      </c>
      <c r="G347" s="12" t="n">
        <v>0</v>
      </c>
      <c r="H347" s="9" t="n">
        <v>0</v>
      </c>
      <c r="I347" s="11" t="n"/>
      <c r="J347" s="9" t="n"/>
      <c r="K347" t="e">
        <v>#N/A</v>
      </c>
      <c r="L347" t="e">
        <v>#N/A</v>
      </c>
      <c r="M347" t="e">
        <v>#N/A</v>
      </c>
    </row>
    <row r="348">
      <c r="A348" s="9" t="inlineStr">
        <is>
          <t>Cheyanne Jones</t>
        </is>
      </c>
      <c r="B348" s="9" t="inlineStr">
        <is>
          <t>11/30/25 - 12/27/25</t>
        </is>
      </c>
      <c r="C348" s="12" t="n">
        <v>0.1</v>
      </c>
      <c r="D348" s="12" t="n">
        <v>0.93</v>
      </c>
      <c r="E348" s="12" t="n">
        <v>1</v>
      </c>
      <c r="F348" s="12" t="n">
        <v>1</v>
      </c>
      <c r="G348" s="12" t="n">
        <v>0</v>
      </c>
      <c r="H348" s="9" t="n">
        <v>0</v>
      </c>
      <c r="I348" s="10" t="n">
        <v>0.8</v>
      </c>
      <c r="J348" s="12" t="n">
        <v>0.8</v>
      </c>
      <c r="K348" t="inlineStr">
        <is>
          <t>Distinguished</t>
        </is>
      </c>
      <c r="L348" t="inlineStr">
        <is>
          <t>Professional</t>
        </is>
      </c>
      <c r="M348" t="inlineStr">
        <is>
          <t>Kristin Haase-Alvey</t>
        </is>
      </c>
    </row>
    <row r="349">
      <c r="A349" s="9" t="inlineStr">
        <is>
          <t>Cheyanne Jones</t>
        </is>
      </c>
      <c r="B349" s="9" t="inlineStr">
        <is>
          <t>12/28/25 - 1/25/26</t>
        </is>
      </c>
      <c r="C349" s="12" t="n">
        <v>0.9208</v>
      </c>
      <c r="D349" s="12" t="n">
        <v>1.2007</v>
      </c>
      <c r="E349" s="12" t="n">
        <v>1</v>
      </c>
      <c r="F349" s="12" t="n">
        <v>0.972222222</v>
      </c>
      <c r="G349" s="12" t="n">
        <v>0.714285714</v>
      </c>
      <c r="H349" s="9" t="n">
        <v>0</v>
      </c>
      <c r="I349" s="10" t="n">
        <v>0.9375</v>
      </c>
      <c r="J349" s="12">
        <f>I349</f>
        <v/>
      </c>
      <c r="K349" t="inlineStr">
        <is>
          <t>Distinguished</t>
        </is>
      </c>
      <c r="L349" t="inlineStr">
        <is>
          <t>Professional</t>
        </is>
      </c>
      <c r="M349" t="inlineStr">
        <is>
          <t>Kristin Haase-Alvey</t>
        </is>
      </c>
    </row>
    <row r="350">
      <c r="A350" s="9" t="inlineStr">
        <is>
          <t>Chris Prouty</t>
        </is>
      </c>
      <c r="B350" s="9" t="inlineStr">
        <is>
          <t>10/5/25 - 11/1/25</t>
        </is>
      </c>
      <c r="C350" s="12" t="n">
        <v>0.619799999999999</v>
      </c>
      <c r="D350" s="12" t="n">
        <v>1.026</v>
      </c>
      <c r="E350" s="12" t="n">
        <v>0.955555555555555</v>
      </c>
      <c r="F350" s="12" t="n">
        <v>1</v>
      </c>
      <c r="G350" s="12" t="n">
        <v>1</v>
      </c>
      <c r="H350" s="9" t="n">
        <v>3</v>
      </c>
      <c r="I350" s="10" t="inlineStr">
        <is>
          <t>1/3</t>
        </is>
      </c>
      <c r="J350" s="12" t="n">
        <v>0.33</v>
      </c>
      <c r="K350" t="inlineStr">
        <is>
          <t>Premium</t>
        </is>
      </c>
      <c r="L350" t="inlineStr">
        <is>
          <t>Adjunct</t>
        </is>
      </c>
      <c r="M350" t="inlineStr">
        <is>
          <t>Annelies de Groot</t>
        </is>
      </c>
    </row>
    <row r="351">
      <c r="A351" s="9" t="inlineStr">
        <is>
          <t>Chris Prouty</t>
        </is>
      </c>
      <c r="B351" s="9" t="inlineStr">
        <is>
          <t>10/5/25 - 11/1/25</t>
        </is>
      </c>
      <c r="C351" s="12" t="n">
        <v>0.619799999999999</v>
      </c>
      <c r="D351" s="12" t="n">
        <v>1.026</v>
      </c>
      <c r="E351" s="12" t="n">
        <v>0.955555555555555</v>
      </c>
      <c r="F351" s="12" t="n">
        <v>1</v>
      </c>
      <c r="G351" s="12" t="n">
        <v>1</v>
      </c>
      <c r="H351" s="9" t="n">
        <v>3</v>
      </c>
      <c r="I351" s="10" t="inlineStr">
        <is>
          <t>1/3</t>
        </is>
      </c>
      <c r="J351" s="12">
        <f>_xlfn.TEXTBEFORE(I351, "/")/_xlfn.TEXTAFTER(I351,"/")</f>
        <v/>
      </c>
      <c r="K351" t="inlineStr">
        <is>
          <t>Premium</t>
        </is>
      </c>
      <c r="L351" t="inlineStr">
        <is>
          <t>Adjunct</t>
        </is>
      </c>
      <c r="M351" t="inlineStr">
        <is>
          <t>Annelies de Groot</t>
        </is>
      </c>
    </row>
    <row r="352">
      <c r="A352" s="9" t="inlineStr">
        <is>
          <t>Chris Prouty</t>
        </is>
      </c>
      <c r="B352" s="9" t="inlineStr">
        <is>
          <t>11/2/25 - 11/29/25</t>
        </is>
      </c>
      <c r="C352" s="12" t="n">
        <v>0.58</v>
      </c>
      <c r="D352" s="12" t="n">
        <v>1.06</v>
      </c>
      <c r="E352" s="12" t="n">
        <v>1</v>
      </c>
      <c r="F352" s="12" t="n">
        <v>0.97</v>
      </c>
      <c r="G352" s="12" t="n">
        <v>1</v>
      </c>
      <c r="H352" s="9" t="n">
        <v>1</v>
      </c>
      <c r="I352" s="13" t="inlineStr">
        <is>
          <t>0/1</t>
        </is>
      </c>
      <c r="J352" s="12" t="n">
        <v>0</v>
      </c>
      <c r="K352" t="inlineStr">
        <is>
          <t>Premium</t>
        </is>
      </c>
      <c r="L352" t="inlineStr">
        <is>
          <t>Adjunct</t>
        </is>
      </c>
      <c r="M352" t="inlineStr">
        <is>
          <t>Annelies de Groot</t>
        </is>
      </c>
    </row>
    <row r="353">
      <c r="A353" s="9" t="inlineStr">
        <is>
          <t>Chris Prouty</t>
        </is>
      </c>
      <c r="B353" s="9" t="inlineStr">
        <is>
          <t>11/30/25 - 12/27/25</t>
        </is>
      </c>
      <c r="C353" s="12" t="n">
        <v>0.49</v>
      </c>
      <c r="D353" s="12" t="n">
        <v>1.2</v>
      </c>
      <c r="E353" s="12" t="n">
        <v>0.9399999999999999</v>
      </c>
      <c r="F353" s="12" t="n">
        <v>0.96</v>
      </c>
      <c r="G353" s="12" t="n">
        <v>1</v>
      </c>
      <c r="H353" s="9" t="n">
        <v>0</v>
      </c>
      <c r="I353" s="10" t="n"/>
      <c r="J353" s="12" t="n"/>
      <c r="K353" t="inlineStr">
        <is>
          <t>Premium</t>
        </is>
      </c>
      <c r="L353" t="inlineStr">
        <is>
          <t>Adjunct</t>
        </is>
      </c>
      <c r="M353" t="inlineStr">
        <is>
          <t>Annelies de Groot</t>
        </is>
      </c>
    </row>
    <row r="354">
      <c r="A354" s="9" t="inlineStr">
        <is>
          <t>Chris Prouty</t>
        </is>
      </c>
      <c r="B354" s="9" t="inlineStr">
        <is>
          <t>12/28/25 - 1/25/26</t>
        </is>
      </c>
      <c r="C354" s="12" t="n">
        <v>0.4375</v>
      </c>
      <c r="D354" s="12" t="n">
        <v>1.0495</v>
      </c>
      <c r="E354" s="12" t="n">
        <v>1</v>
      </c>
      <c r="F354" s="12" t="n">
        <v>0.923076923</v>
      </c>
      <c r="G354" s="12" t="n">
        <v>1</v>
      </c>
      <c r="H354" s="9" t="n">
        <v>0</v>
      </c>
      <c r="I354" s="10" t="n">
        <v>0.75</v>
      </c>
      <c r="J354" s="12">
        <f>I354</f>
        <v/>
      </c>
      <c r="K354" t="inlineStr">
        <is>
          <t>Premium</t>
        </is>
      </c>
      <c r="L354" t="inlineStr">
        <is>
          <t>Adjunct</t>
        </is>
      </c>
      <c r="M354" t="inlineStr">
        <is>
          <t>Annelies de Groot</t>
        </is>
      </c>
    </row>
    <row r="355">
      <c r="A355" s="9" t="inlineStr">
        <is>
          <t>Chris Prouty</t>
        </is>
      </c>
      <c r="B355" s="9" t="inlineStr">
        <is>
          <t>5/18/25 - 6/14/25</t>
        </is>
      </c>
      <c r="C355" s="12" t="n">
        <v>0.84</v>
      </c>
      <c r="D355" s="12" t="n">
        <v>1.05</v>
      </c>
      <c r="E355" s="12" t="n">
        <v>1</v>
      </c>
      <c r="F355" s="12" t="n">
        <v>1</v>
      </c>
      <c r="G355" s="12" t="n">
        <v>1</v>
      </c>
      <c r="H355" s="9" t="n">
        <v>2</v>
      </c>
      <c r="I355" s="10" t="n">
        <v>1</v>
      </c>
      <c r="J355" s="12">
        <f>I355</f>
        <v/>
      </c>
      <c r="K355" t="inlineStr">
        <is>
          <t>Premium</t>
        </is>
      </c>
      <c r="L355" t="inlineStr">
        <is>
          <t>Adjunct</t>
        </is>
      </c>
      <c r="M355" t="inlineStr">
        <is>
          <t>Annelies de Groot</t>
        </is>
      </c>
    </row>
    <row r="356">
      <c r="A356" s="9" t="inlineStr">
        <is>
          <t>Chris Prouty</t>
        </is>
      </c>
      <c r="B356" s="9" t="inlineStr">
        <is>
          <t>6/15/25 - 7/12/25</t>
        </is>
      </c>
      <c r="C356" s="12" t="n">
        <v>0.84</v>
      </c>
      <c r="D356" s="12" t="n">
        <v>1.15</v>
      </c>
      <c r="E356" s="12" t="n">
        <v>1</v>
      </c>
      <c r="F356" s="12" t="n">
        <v>1</v>
      </c>
      <c r="G356" s="12" t="n">
        <v>1</v>
      </c>
      <c r="H356" s="9" t="n">
        <v>2</v>
      </c>
      <c r="I356" s="10" t="inlineStr">
        <is>
          <t xml:space="preserve"> 1/2</t>
        </is>
      </c>
      <c r="J356" s="12" t="n">
        <v>0.5</v>
      </c>
      <c r="K356" t="inlineStr">
        <is>
          <t>Premium</t>
        </is>
      </c>
      <c r="L356" t="inlineStr">
        <is>
          <t>Adjunct</t>
        </is>
      </c>
      <c r="M356" t="inlineStr">
        <is>
          <t>Annelies de Groot</t>
        </is>
      </c>
    </row>
    <row r="357">
      <c r="A357" s="9" t="inlineStr">
        <is>
          <t>Chris Prouty</t>
        </is>
      </c>
      <c r="B357" s="9" t="inlineStr">
        <is>
          <t>7/13/25 - 8/10/25</t>
        </is>
      </c>
      <c r="C357" s="12" t="n">
        <v>1.08</v>
      </c>
      <c r="D357" s="12" t="n">
        <v>1.26</v>
      </c>
      <c r="E357" s="12" t="n">
        <v>1</v>
      </c>
      <c r="F357" s="12" t="n">
        <v>0.93</v>
      </c>
      <c r="G357" s="12" t="n">
        <v>1</v>
      </c>
      <c r="H357" s="9" t="n">
        <v>4</v>
      </c>
      <c r="I357" s="10" t="n">
        <v>1</v>
      </c>
      <c r="J357" s="12">
        <f>I357</f>
        <v/>
      </c>
      <c r="K357" t="inlineStr">
        <is>
          <t>Premium</t>
        </is>
      </c>
      <c r="L357" t="inlineStr">
        <is>
          <t>Adjunct</t>
        </is>
      </c>
      <c r="M357" t="inlineStr">
        <is>
          <t>Annelies de Groot</t>
        </is>
      </c>
    </row>
    <row r="358">
      <c r="A358" s="9" t="inlineStr">
        <is>
          <t>Chris Prouty</t>
        </is>
      </c>
      <c r="B358" s="9" t="inlineStr">
        <is>
          <t>8/10/25 - 9/6/25</t>
        </is>
      </c>
      <c r="C358" s="12" t="n">
        <v>1.16</v>
      </c>
      <c r="D358" s="12" t="n">
        <v>1.34</v>
      </c>
      <c r="E358" s="12" t="n">
        <v>0.95</v>
      </c>
      <c r="F358" s="12" t="n">
        <v>0.96</v>
      </c>
      <c r="G358" s="12" t="n">
        <v>1</v>
      </c>
      <c r="H358" s="9" t="n">
        <v>3</v>
      </c>
      <c r="I358" s="10" t="inlineStr">
        <is>
          <t>2/2</t>
        </is>
      </c>
      <c r="J358" s="12" t="n">
        <v>1</v>
      </c>
      <c r="K358" t="inlineStr">
        <is>
          <t>Premium</t>
        </is>
      </c>
      <c r="L358" t="inlineStr">
        <is>
          <t>Adjunct</t>
        </is>
      </c>
      <c r="M358" t="inlineStr">
        <is>
          <t>Annelies de Groot</t>
        </is>
      </c>
    </row>
    <row r="359">
      <c r="A359" s="9" t="inlineStr">
        <is>
          <t>Chris Prouty</t>
        </is>
      </c>
      <c r="B359" s="9" t="inlineStr">
        <is>
          <t>9/7/25 - 10/4/25</t>
        </is>
      </c>
      <c r="C359" s="12" t="n">
        <v>0.9399999999999999</v>
      </c>
      <c r="D359" s="12" t="n">
        <v>1.08</v>
      </c>
      <c r="E359" s="12" t="n">
        <v>1</v>
      </c>
      <c r="F359" s="12" t="n">
        <v>1</v>
      </c>
      <c r="G359" s="12" t="n">
        <v>1</v>
      </c>
      <c r="H359" s="9" t="n">
        <v>0</v>
      </c>
      <c r="I359" s="11" t="n"/>
      <c r="J359" s="9" t="n"/>
      <c r="K359" t="inlineStr">
        <is>
          <t>Premium</t>
        </is>
      </c>
      <c r="L359" t="inlineStr">
        <is>
          <t>Adjunct</t>
        </is>
      </c>
      <c r="M359" t="inlineStr">
        <is>
          <t>Annelies de Groot</t>
        </is>
      </c>
    </row>
    <row r="360">
      <c r="A360" s="9" t="inlineStr">
        <is>
          <t>Christelle Rocha</t>
        </is>
      </c>
      <c r="B360" s="9" t="inlineStr">
        <is>
          <t>11/2/25 - 11/29/25</t>
        </is>
      </c>
      <c r="C360" s="12" t="n">
        <v>0</v>
      </c>
      <c r="D360" s="12" t="n">
        <v>0.3</v>
      </c>
      <c r="E360" s="12" t="n">
        <v>0</v>
      </c>
      <c r="F360" s="12" t="n">
        <v>0</v>
      </c>
      <c r="G360" s="12" t="n">
        <v>0</v>
      </c>
      <c r="H360" s="9" t="n">
        <v>0</v>
      </c>
      <c r="I360" s="13" t="n"/>
      <c r="J360" s="9" t="n"/>
      <c r="K360" t="inlineStr">
        <is>
          <t>Distinguished</t>
        </is>
      </c>
      <c r="L360" t="inlineStr">
        <is>
          <t>Professional</t>
        </is>
      </c>
      <c r="M360" t="inlineStr">
        <is>
          <t>Annelies de Groot</t>
        </is>
      </c>
    </row>
    <row r="361">
      <c r="A361" s="9" t="inlineStr">
        <is>
          <t>Christelle Rocha</t>
        </is>
      </c>
      <c r="B361" s="9" t="inlineStr">
        <is>
          <t>11/30/25 - 12/27/25</t>
        </is>
      </c>
      <c r="C361" s="12" t="n">
        <v>0.16</v>
      </c>
      <c r="D361" s="12" t="n">
        <v>0.89</v>
      </c>
      <c r="E361" s="12" t="n">
        <v>1</v>
      </c>
      <c r="F361" s="12" t="n">
        <v>1</v>
      </c>
      <c r="G361" s="12" t="n">
        <v>0</v>
      </c>
      <c r="H361" s="9" t="n">
        <v>0</v>
      </c>
      <c r="I361" s="10" t="n">
        <v>0.8333333333333334</v>
      </c>
      <c r="J361" s="12">
        <f>5/6</f>
        <v/>
      </c>
      <c r="K361" t="inlineStr">
        <is>
          <t>Distinguished</t>
        </is>
      </c>
      <c r="L361" t="inlineStr">
        <is>
          <t>Professional</t>
        </is>
      </c>
      <c r="M361" t="inlineStr">
        <is>
          <t>Annelies de Groot</t>
        </is>
      </c>
    </row>
    <row r="362">
      <c r="A362" s="9" t="inlineStr">
        <is>
          <t>Christelle Rocha</t>
        </is>
      </c>
      <c r="B362" s="9" t="inlineStr">
        <is>
          <t>12/28/25 - 1/25/26</t>
        </is>
      </c>
      <c r="C362" s="12" t="n">
        <v>0.6226</v>
      </c>
      <c r="D362" s="12" t="n">
        <v>1.0567</v>
      </c>
      <c r="E362" s="12" t="n">
        <v>0.988505747</v>
      </c>
      <c r="F362" s="12" t="n">
        <v>0.984375</v>
      </c>
      <c r="G362" s="12" t="n">
        <v>0</v>
      </c>
      <c r="H362" s="9" t="n">
        <v>1</v>
      </c>
      <c r="I362" s="10" t="n">
        <v>0.9090909090909091</v>
      </c>
      <c r="J362" s="12">
        <f>I362</f>
        <v/>
      </c>
      <c r="K362" t="inlineStr">
        <is>
          <t>Distinguished</t>
        </is>
      </c>
      <c r="L362" t="inlineStr">
        <is>
          <t>Professional</t>
        </is>
      </c>
      <c r="M362" t="inlineStr">
        <is>
          <t>Annelies de Groot</t>
        </is>
      </c>
    </row>
    <row r="363">
      <c r="A363" s="9" t="inlineStr">
        <is>
          <t>Christian Collins</t>
        </is>
      </c>
      <c r="B363" s="9" t="inlineStr">
        <is>
          <t>10/5/25 - 11/1/25</t>
        </is>
      </c>
      <c r="C363" s="12" t="n">
        <v>1.1333</v>
      </c>
      <c r="D363" s="12" t="n">
        <v>1.324</v>
      </c>
      <c r="E363" s="12" t="n">
        <v>0.9836065573770491</v>
      </c>
      <c r="F363" s="12" t="n">
        <v>1</v>
      </c>
      <c r="G363" s="12" t="n">
        <v>0.888888888888888</v>
      </c>
      <c r="H363" s="9" t="n">
        <v>2</v>
      </c>
      <c r="I363" s="10" t="inlineStr">
        <is>
          <t>2/2</t>
        </is>
      </c>
      <c r="J363" s="12" t="n">
        <v>1</v>
      </c>
      <c r="K363" t="inlineStr">
        <is>
          <t>Premium</t>
        </is>
      </c>
      <c r="L363" t="inlineStr">
        <is>
          <t>Professional</t>
        </is>
      </c>
      <c r="M363" t="inlineStr">
        <is>
          <t>Ian Plamondon</t>
        </is>
      </c>
    </row>
    <row r="364">
      <c r="A364" s="9" t="inlineStr">
        <is>
          <t>Christian Collins</t>
        </is>
      </c>
      <c r="B364" s="9" t="inlineStr">
        <is>
          <t>11/2/25 - 11/29/25</t>
        </is>
      </c>
      <c r="C364" s="12" t="n">
        <v>0.9</v>
      </c>
      <c r="D364" s="12" t="n">
        <v>1.17</v>
      </c>
      <c r="E364" s="12" t="n">
        <v>0.99</v>
      </c>
      <c r="F364" s="12" t="n">
        <v>0.97</v>
      </c>
      <c r="G364" s="12" t="n">
        <v>0.95</v>
      </c>
      <c r="H364" s="9" t="n">
        <v>5</v>
      </c>
      <c r="I364" s="13" t="n">
        <v>45719</v>
      </c>
      <c r="J364" s="12" t="n">
        <v>1</v>
      </c>
      <c r="K364" t="inlineStr">
        <is>
          <t>Premium</t>
        </is>
      </c>
      <c r="L364" t="inlineStr">
        <is>
          <t>Professional</t>
        </is>
      </c>
      <c r="M364" t="inlineStr">
        <is>
          <t>Ian Plamondon</t>
        </is>
      </c>
    </row>
    <row r="365">
      <c r="A365" s="9" t="inlineStr">
        <is>
          <t>Christian Collins</t>
        </is>
      </c>
      <c r="B365" s="9" t="inlineStr">
        <is>
          <t>11/30/25 - 12/27/25</t>
        </is>
      </c>
      <c r="C365" s="12" t="n">
        <v>0.64</v>
      </c>
      <c r="D365" s="12" t="n">
        <v>1.39</v>
      </c>
      <c r="E365" s="12" t="n">
        <v>1</v>
      </c>
      <c r="F365" s="12" t="n">
        <v>1</v>
      </c>
      <c r="G365" s="12" t="n">
        <v>0.88</v>
      </c>
      <c r="H365" s="9" t="n">
        <v>2</v>
      </c>
      <c r="I365" s="10" t="n">
        <v>1</v>
      </c>
      <c r="J365" s="12" t="n">
        <v>1</v>
      </c>
      <c r="K365" t="inlineStr">
        <is>
          <t>Premium</t>
        </is>
      </c>
      <c r="L365" t="inlineStr">
        <is>
          <t>Professional</t>
        </is>
      </c>
      <c r="M365" t="inlineStr">
        <is>
          <t>Ian Plamondon</t>
        </is>
      </c>
    </row>
    <row r="366">
      <c r="A366" s="9" t="inlineStr">
        <is>
          <t>Christian Collins</t>
        </is>
      </c>
      <c r="B366" s="9" t="inlineStr">
        <is>
          <t>12/28/25 - 1/25/26</t>
        </is>
      </c>
      <c r="C366" s="12" t="n">
        <v>0.6292</v>
      </c>
      <c r="D366" s="12" t="n">
        <v>1.4079</v>
      </c>
      <c r="E366" s="12" t="n">
        <v>1</v>
      </c>
      <c r="F366" s="12" t="n">
        <v>1</v>
      </c>
      <c r="G366" s="12" t="n">
        <v>0.944444444</v>
      </c>
      <c r="H366" s="9" t="n">
        <v>1</v>
      </c>
      <c r="I366" s="10" t="n">
        <v>1</v>
      </c>
      <c r="J366" s="12">
        <f>I366</f>
        <v/>
      </c>
      <c r="K366" t="inlineStr">
        <is>
          <t>Premium</t>
        </is>
      </c>
      <c r="L366" t="inlineStr">
        <is>
          <t>Professional</t>
        </is>
      </c>
      <c r="M366" t="inlineStr">
        <is>
          <t>Ian Plamondon</t>
        </is>
      </c>
    </row>
    <row r="367">
      <c r="A367" s="9" t="inlineStr">
        <is>
          <t>Christian Collins</t>
        </is>
      </c>
      <c r="B367" s="9" t="inlineStr">
        <is>
          <t>5/18/25 - 6/14/25</t>
        </is>
      </c>
      <c r="C367" s="12" t="n">
        <v>1.14</v>
      </c>
      <c r="D367" s="12" t="n">
        <v>1.36</v>
      </c>
      <c r="E367" s="12" t="n">
        <v>0.99</v>
      </c>
      <c r="F367" s="12" t="n">
        <v>1</v>
      </c>
      <c r="G367" s="12" t="n">
        <v>0.65</v>
      </c>
      <c r="H367" s="9" t="n">
        <v>6</v>
      </c>
      <c r="I367" s="10" t="n">
        <v>1</v>
      </c>
      <c r="J367" s="12">
        <f>I367</f>
        <v/>
      </c>
      <c r="K367" t="inlineStr">
        <is>
          <t>Premium</t>
        </is>
      </c>
      <c r="L367" t="inlineStr">
        <is>
          <t>Professional</t>
        </is>
      </c>
      <c r="M367" t="inlineStr">
        <is>
          <t>Ian Plamondon</t>
        </is>
      </c>
    </row>
    <row r="368">
      <c r="A368" s="9" t="inlineStr">
        <is>
          <t>Christian Collins</t>
        </is>
      </c>
      <c r="B368" s="9" t="inlineStr">
        <is>
          <t>6/15/25 - 7/12/25</t>
        </is>
      </c>
      <c r="C368" s="12" t="n">
        <v>1.1</v>
      </c>
      <c r="D368" s="12" t="n">
        <v>1.23</v>
      </c>
      <c r="E368" s="12" t="n">
        <v>1</v>
      </c>
      <c r="F368" s="12" t="n">
        <v>1</v>
      </c>
      <c r="G368" s="12" t="n">
        <v>0.57</v>
      </c>
      <c r="H368" s="9" t="n">
        <v>4</v>
      </c>
      <c r="I368" s="10" t="n">
        <v>1</v>
      </c>
      <c r="J368" s="12">
        <f>I368</f>
        <v/>
      </c>
      <c r="K368" t="inlineStr">
        <is>
          <t>Premium</t>
        </is>
      </c>
      <c r="L368" t="inlineStr">
        <is>
          <t>Professional</t>
        </is>
      </c>
      <c r="M368" t="inlineStr">
        <is>
          <t>Ian Plamondon</t>
        </is>
      </c>
    </row>
    <row r="369">
      <c r="A369" s="9" t="inlineStr">
        <is>
          <t>Christian Collins</t>
        </is>
      </c>
      <c r="B369" s="9" t="inlineStr">
        <is>
          <t>7/13/25 - 8/10/25</t>
        </is>
      </c>
      <c r="C369" s="12" t="n">
        <v>1.18</v>
      </c>
      <c r="D369" s="12" t="n">
        <v>1.24</v>
      </c>
      <c r="E369" s="12" t="n">
        <v>0.99</v>
      </c>
      <c r="F369" s="12" t="n">
        <v>1</v>
      </c>
      <c r="G369" s="12" t="n">
        <v>0.58</v>
      </c>
      <c r="H369" s="9" t="n">
        <v>5</v>
      </c>
      <c r="J369" s="9" t="n"/>
      <c r="K369" t="inlineStr">
        <is>
          <t>Premium</t>
        </is>
      </c>
      <c r="L369" t="inlineStr">
        <is>
          <t>Professional</t>
        </is>
      </c>
      <c r="M369" t="inlineStr">
        <is>
          <t>Ian Plamondon</t>
        </is>
      </c>
    </row>
    <row r="370">
      <c r="A370" s="9" t="inlineStr">
        <is>
          <t>Christian Collins</t>
        </is>
      </c>
      <c r="B370" s="9" t="inlineStr">
        <is>
          <t>8/10/25 - 9/6/25</t>
        </is>
      </c>
      <c r="C370" s="12" t="n">
        <v>1.13</v>
      </c>
      <c r="D370" s="12" t="n">
        <v>1.27</v>
      </c>
      <c r="E370" s="12" t="n">
        <v>0.99</v>
      </c>
      <c r="F370" s="12" t="n">
        <v>1</v>
      </c>
      <c r="G370" s="12" t="n">
        <v>0.79</v>
      </c>
      <c r="H370" s="9" t="n">
        <v>3</v>
      </c>
      <c r="I370" s="10" t="inlineStr">
        <is>
          <t>0/1</t>
        </is>
      </c>
      <c r="J370" s="12" t="n">
        <v>0</v>
      </c>
      <c r="K370" t="inlineStr">
        <is>
          <t>Premium</t>
        </is>
      </c>
      <c r="L370" t="inlineStr">
        <is>
          <t>Professional</t>
        </is>
      </c>
      <c r="M370" t="inlineStr">
        <is>
          <t>Ian Plamondon</t>
        </is>
      </c>
    </row>
    <row r="371">
      <c r="A371" s="9" t="inlineStr">
        <is>
          <t>Christian Collins</t>
        </is>
      </c>
      <c r="B371" s="9" t="inlineStr">
        <is>
          <t>9/7/25 - 10/4/25</t>
        </is>
      </c>
      <c r="C371" s="12" t="n">
        <v>1.05</v>
      </c>
      <c r="D371" s="12" t="n">
        <v>1.29</v>
      </c>
      <c r="E371" s="12" t="n">
        <v>0.99</v>
      </c>
      <c r="F371" s="12" t="n">
        <v>1</v>
      </c>
      <c r="G371" s="12" t="n">
        <v>0.83</v>
      </c>
      <c r="H371" s="9" t="n">
        <v>3</v>
      </c>
      <c r="I371" s="11" t="n"/>
      <c r="J371" s="9" t="n"/>
      <c r="K371" t="inlineStr">
        <is>
          <t>Premium</t>
        </is>
      </c>
      <c r="L371" t="inlineStr">
        <is>
          <t>Professional</t>
        </is>
      </c>
      <c r="M371" t="inlineStr">
        <is>
          <t>Ian Plamondon</t>
        </is>
      </c>
    </row>
    <row r="372">
      <c r="A372" s="9" t="inlineStr">
        <is>
          <t>Christian Steiner</t>
        </is>
      </c>
      <c r="B372" s="9" t="inlineStr">
        <is>
          <t>10/5/25 - 11/1/25</t>
        </is>
      </c>
      <c r="C372" s="12" t="n">
        <v>1.0083</v>
      </c>
      <c r="D372" s="12" t="n">
        <v>1.04109999999999</v>
      </c>
      <c r="E372" s="12" t="n">
        <v>0.932203389830508</v>
      </c>
      <c r="F372" s="12" t="n">
        <v>0.917647058823529</v>
      </c>
      <c r="G372" s="12" t="n">
        <v>0.75</v>
      </c>
      <c r="H372" s="9" t="n">
        <v>8</v>
      </c>
      <c r="I372" s="10" t="inlineStr">
        <is>
          <t>4/5</t>
        </is>
      </c>
      <c r="J372" s="12" t="n">
        <v>0.8</v>
      </c>
      <c r="K372" t="inlineStr">
        <is>
          <t>Distinguished</t>
        </is>
      </c>
      <c r="L372" t="inlineStr">
        <is>
          <t>Professional</t>
        </is>
      </c>
      <c r="M372" t="inlineStr">
        <is>
          <t>Kristin Haase-Alvey</t>
        </is>
      </c>
    </row>
    <row r="373">
      <c r="A373" s="9" t="inlineStr">
        <is>
          <t>Christian Steiner</t>
        </is>
      </c>
      <c r="B373" s="9" t="inlineStr">
        <is>
          <t>11/2/25 - 11/29/25</t>
        </is>
      </c>
      <c r="C373" s="12" t="n">
        <v>0.97</v>
      </c>
      <c r="D373" s="12" t="n">
        <v>0.99</v>
      </c>
      <c r="E373" s="12" t="n">
        <v>0.95</v>
      </c>
      <c r="F373" s="12" t="n">
        <v>0.9399999999999999</v>
      </c>
      <c r="G373" s="12" t="n">
        <v>0.63</v>
      </c>
      <c r="H373" s="9" t="n">
        <v>11</v>
      </c>
      <c r="I373" s="13" t="n">
        <v>45658</v>
      </c>
      <c r="J373" s="12" t="n">
        <v>1</v>
      </c>
      <c r="K373" t="inlineStr">
        <is>
          <t>Distinguished</t>
        </is>
      </c>
      <c r="L373" t="inlineStr">
        <is>
          <t>Professional</t>
        </is>
      </c>
      <c r="M373" t="inlineStr">
        <is>
          <t>Kristin Haase-Alvey</t>
        </is>
      </c>
    </row>
    <row r="374">
      <c r="A374" s="9" t="inlineStr">
        <is>
          <t>Christian Steiner</t>
        </is>
      </c>
      <c r="B374" s="9" t="inlineStr">
        <is>
          <t>11/30/25 - 12/27/25</t>
        </is>
      </c>
      <c r="C374" s="12" t="n">
        <v>0.88</v>
      </c>
      <c r="D374" s="12" t="n">
        <v>0.97</v>
      </c>
      <c r="E374" s="12" t="n">
        <v>0.93</v>
      </c>
      <c r="F374" s="12" t="n">
        <v>0.97</v>
      </c>
      <c r="G374" s="12" t="n">
        <v>0.77</v>
      </c>
      <c r="H374" s="9" t="n">
        <v>11</v>
      </c>
      <c r="I374" s="10" t="inlineStr">
        <is>
          <t>0/1</t>
        </is>
      </c>
      <c r="J374" s="12" t="n">
        <v>0</v>
      </c>
      <c r="K374" t="inlineStr">
        <is>
          <t>Distinguished</t>
        </is>
      </c>
      <c r="L374" t="inlineStr">
        <is>
          <t>Professional</t>
        </is>
      </c>
      <c r="M374" t="inlineStr">
        <is>
          <t>Kristin Haase-Alvey</t>
        </is>
      </c>
    </row>
    <row r="375">
      <c r="A375" s="9" t="inlineStr">
        <is>
          <t>Christian Steiner</t>
        </is>
      </c>
      <c r="B375" s="9" t="inlineStr">
        <is>
          <t>12/28/25 - 1/25/26</t>
        </is>
      </c>
      <c r="C375" s="12" t="n">
        <v>0.8458</v>
      </c>
      <c r="D375" s="12" t="n">
        <v>0.9752999999999999</v>
      </c>
      <c r="E375" s="12" t="n">
        <v>0.96</v>
      </c>
      <c r="F375" s="12" t="n">
        <v>0.971830986</v>
      </c>
      <c r="G375" s="12" t="n">
        <v>0.916666667</v>
      </c>
      <c r="H375" s="9" t="n">
        <v>7</v>
      </c>
      <c r="I375" s="10" t="n">
        <v>0.75</v>
      </c>
      <c r="J375" s="12">
        <f>I375</f>
        <v/>
      </c>
      <c r="K375" t="inlineStr">
        <is>
          <t>Distinguished</t>
        </is>
      </c>
      <c r="L375" t="inlineStr">
        <is>
          <t>Professional</t>
        </is>
      </c>
      <c r="M375" t="inlineStr">
        <is>
          <t>Kristin Haase-Alvey</t>
        </is>
      </c>
    </row>
    <row r="376">
      <c r="A376" s="9" t="inlineStr">
        <is>
          <t>Christian Steiner</t>
        </is>
      </c>
      <c r="B376" s="9" t="inlineStr">
        <is>
          <t>5/18/25 - 6/14/25</t>
        </is>
      </c>
      <c r="C376" s="12" t="n">
        <v>0.4</v>
      </c>
      <c r="D376" s="12" t="n">
        <v>0.63</v>
      </c>
      <c r="E376" s="12" t="n">
        <v>0.92</v>
      </c>
      <c r="F376" s="12" t="n">
        <v>0.88</v>
      </c>
      <c r="G376" s="12" t="n">
        <v>0.67</v>
      </c>
      <c r="H376" s="9" t="n">
        <v>2</v>
      </c>
      <c r="J376" s="9" t="n"/>
      <c r="K376" t="inlineStr">
        <is>
          <t>Distinguished</t>
        </is>
      </c>
      <c r="L376" t="inlineStr">
        <is>
          <t>Professional</t>
        </is>
      </c>
      <c r="M376" t="inlineStr">
        <is>
          <t>Kristin Haase-Alvey</t>
        </is>
      </c>
    </row>
    <row r="377">
      <c r="A377" s="9" t="inlineStr">
        <is>
          <t>Christian Steiner</t>
        </is>
      </c>
      <c r="B377" s="9" t="inlineStr">
        <is>
          <t>6/15/25 - 7/12/25</t>
        </is>
      </c>
      <c r="C377" s="12" t="n">
        <v>0.36</v>
      </c>
      <c r="D377" s="12" t="n">
        <v>1.04</v>
      </c>
      <c r="E377" s="12" t="n">
        <v>0.93</v>
      </c>
      <c r="F377" s="12" t="n">
        <v>1</v>
      </c>
      <c r="G377" s="12" t="n">
        <v>0.75</v>
      </c>
      <c r="H377" s="9" t="n">
        <v>1</v>
      </c>
      <c r="I377" s="10" t="n">
        <v>1</v>
      </c>
      <c r="J377" s="12">
        <f>I377</f>
        <v/>
      </c>
      <c r="K377" t="inlineStr">
        <is>
          <t>Distinguished</t>
        </is>
      </c>
      <c r="L377" t="inlineStr">
        <is>
          <t>Professional</t>
        </is>
      </c>
      <c r="M377" t="inlineStr">
        <is>
          <t>Kristin Haase-Alvey</t>
        </is>
      </c>
    </row>
    <row r="378">
      <c r="A378" s="9" t="inlineStr">
        <is>
          <t>Christian Steiner</t>
        </is>
      </c>
      <c r="B378" s="9" t="inlineStr">
        <is>
          <t>7/13/25 - 8/10/25</t>
        </is>
      </c>
      <c r="C378" s="12" t="n">
        <v>0.6</v>
      </c>
      <c r="D378" s="12" t="n">
        <v>1</v>
      </c>
      <c r="E378" s="12" t="n">
        <v>0.93</v>
      </c>
      <c r="F378" s="12" t="n">
        <v>1</v>
      </c>
      <c r="G378" s="12" t="n">
        <v>0.75</v>
      </c>
      <c r="H378" s="9" t="n">
        <v>1</v>
      </c>
      <c r="I378" s="10" t="inlineStr">
        <is>
          <t xml:space="preserve"> 1/2</t>
        </is>
      </c>
      <c r="J378" s="12" t="n">
        <v>0.5</v>
      </c>
      <c r="K378" t="inlineStr">
        <is>
          <t>Distinguished</t>
        </is>
      </c>
      <c r="L378" t="inlineStr">
        <is>
          <t>Professional</t>
        </is>
      </c>
      <c r="M378" t="inlineStr">
        <is>
          <t>Kristin Haase-Alvey</t>
        </is>
      </c>
    </row>
    <row r="379">
      <c r="A379" s="9" t="inlineStr">
        <is>
          <t>Christian Steiner</t>
        </is>
      </c>
      <c r="B379" s="9" t="inlineStr">
        <is>
          <t>8/10/25 - 9/6/25</t>
        </is>
      </c>
      <c r="C379" s="12" t="n">
        <v>0.64</v>
      </c>
      <c r="D379" s="12" t="n">
        <v>1.04</v>
      </c>
      <c r="E379" s="12" t="n">
        <v>0.9</v>
      </c>
      <c r="F379" s="12" t="n">
        <v>0.98</v>
      </c>
      <c r="G379" s="12" t="n">
        <v>0.92</v>
      </c>
      <c r="H379" s="9" t="n">
        <v>7</v>
      </c>
      <c r="I379" s="10" t="inlineStr">
        <is>
          <t>1/1</t>
        </is>
      </c>
      <c r="J379" s="12" t="n">
        <v>1</v>
      </c>
      <c r="K379" t="inlineStr">
        <is>
          <t>Distinguished</t>
        </is>
      </c>
      <c r="L379" t="inlineStr">
        <is>
          <t>Professional</t>
        </is>
      </c>
      <c r="M379" t="inlineStr">
        <is>
          <t>Kristin Haase-Alvey</t>
        </is>
      </c>
    </row>
    <row r="380">
      <c r="A380" s="9" t="inlineStr">
        <is>
          <t>Christian Steiner</t>
        </is>
      </c>
      <c r="B380" s="9" t="inlineStr">
        <is>
          <t>9/7/25 - 10/4/25</t>
        </is>
      </c>
      <c r="C380" s="12" t="n">
        <v>0.87</v>
      </c>
      <c r="D380" s="12" t="n">
        <v>1.03</v>
      </c>
      <c r="E380" s="12" t="n">
        <v>0.89</v>
      </c>
      <c r="F380" s="12" t="n">
        <v>0.91</v>
      </c>
      <c r="G380" s="12" t="n">
        <v>0.8</v>
      </c>
      <c r="H380" s="9" t="n">
        <v>6</v>
      </c>
      <c r="I380" s="10" t="inlineStr">
        <is>
          <t>5/7</t>
        </is>
      </c>
      <c r="J380" s="12" t="n">
        <v>0.71</v>
      </c>
      <c r="K380" t="inlineStr">
        <is>
          <t>Distinguished</t>
        </is>
      </c>
      <c r="L380" t="inlineStr">
        <is>
          <t>Professional</t>
        </is>
      </c>
      <c r="M380" t="inlineStr">
        <is>
          <t>Kristin Haase-Alvey</t>
        </is>
      </c>
    </row>
    <row r="381">
      <c r="A381" s="9" t="inlineStr">
        <is>
          <t>Christina Hayes</t>
        </is>
      </c>
      <c r="B381" s="9" t="inlineStr">
        <is>
          <t>10/5/25 - 11/1/25</t>
        </is>
      </c>
      <c r="C381" s="12" t="n">
        <v>0.4375</v>
      </c>
      <c r="D381" s="12" t="n">
        <v>1.0965</v>
      </c>
      <c r="E381" s="12" t="n">
        <v>1</v>
      </c>
      <c r="F381" s="12" t="n">
        <v>0.9428571428571419</v>
      </c>
      <c r="G381" s="12" t="n">
        <v>0.5</v>
      </c>
      <c r="H381" s="9" t="n">
        <v>4</v>
      </c>
      <c r="I381" s="10" t="inlineStr">
        <is>
          <t>1/1</t>
        </is>
      </c>
      <c r="J381" s="12" t="n">
        <v>1</v>
      </c>
      <c r="K381" t="e">
        <v>#N/A</v>
      </c>
      <c r="L381" t="e">
        <v>#N/A</v>
      </c>
      <c r="M381" t="e">
        <v>#N/A</v>
      </c>
    </row>
    <row r="382">
      <c r="A382" s="9" t="inlineStr">
        <is>
          <t>Christina Hayes</t>
        </is>
      </c>
      <c r="B382" s="9" t="inlineStr">
        <is>
          <t>11/2/25 - 11/29/25</t>
        </is>
      </c>
      <c r="C382" s="12" t="n">
        <v>0.43</v>
      </c>
      <c r="D382" s="12" t="n">
        <v>0.97</v>
      </c>
      <c r="E382" s="12" t="n">
        <v>1</v>
      </c>
      <c r="F382" s="12" t="n">
        <v>0.91</v>
      </c>
      <c r="G382" s="12" t="n">
        <v>0.54</v>
      </c>
      <c r="H382" s="9" t="n">
        <v>5</v>
      </c>
      <c r="I382" s="13" t="n"/>
      <c r="J382" s="9" t="n"/>
      <c r="K382" t="e">
        <v>#N/A</v>
      </c>
      <c r="L382" t="e">
        <v>#N/A</v>
      </c>
      <c r="M382" t="e">
        <v>#N/A</v>
      </c>
    </row>
    <row r="383">
      <c r="A383" s="9" t="inlineStr">
        <is>
          <t>Christina Hayes</t>
        </is>
      </c>
      <c r="B383" s="9" t="inlineStr">
        <is>
          <t>11/30/25 - 12/27/25</t>
        </is>
      </c>
      <c r="C383" s="12" t="n">
        <v>0.35</v>
      </c>
      <c r="D383" s="12" t="n">
        <v>0.95</v>
      </c>
      <c r="E383" s="12" t="n">
        <v>0.98</v>
      </c>
      <c r="F383" s="12" t="n">
        <v>0.8</v>
      </c>
      <c r="G383" s="12" t="n">
        <v>0.64</v>
      </c>
      <c r="H383" s="9" t="n">
        <v>0</v>
      </c>
      <c r="I383" s="10" t="n">
        <v>0.5</v>
      </c>
      <c r="J383" s="12" t="n">
        <v>0.5</v>
      </c>
      <c r="K383" t="e">
        <v>#N/A</v>
      </c>
      <c r="L383" t="e">
        <v>#N/A</v>
      </c>
      <c r="M383" t="e">
        <v>#N/A</v>
      </c>
    </row>
    <row r="384">
      <c r="A384" s="9" t="inlineStr">
        <is>
          <t>Christina Hayes</t>
        </is>
      </c>
      <c r="B384" s="9" t="inlineStr">
        <is>
          <t>12/28/25 - 1/25/26</t>
        </is>
      </c>
      <c r="C384" s="12" t="n">
        <v>0.3417</v>
      </c>
      <c r="D384" s="12" t="n">
        <v>0.7851</v>
      </c>
      <c r="E384" s="12" t="n">
        <v>1</v>
      </c>
      <c r="F384" s="12" t="n">
        <v>0.769230769</v>
      </c>
      <c r="G384" s="12" t="n">
        <v>0.5</v>
      </c>
      <c r="H384" s="9" t="n">
        <v>0</v>
      </c>
      <c r="I384" s="10" t="n">
        <v>1</v>
      </c>
      <c r="J384" s="12">
        <f>I384</f>
        <v/>
      </c>
      <c r="K384" t="e">
        <v>#N/A</v>
      </c>
      <c r="L384" t="e">
        <v>#N/A</v>
      </c>
      <c r="M384" t="e">
        <v>#N/A</v>
      </c>
    </row>
    <row r="385">
      <c r="A385" s="9" t="inlineStr">
        <is>
          <t>Christina Hayes</t>
        </is>
      </c>
      <c r="B385" s="9" t="inlineStr">
        <is>
          <t>5/18/25 - 6/14/25</t>
        </is>
      </c>
      <c r="C385" s="12" t="n">
        <v>0.82</v>
      </c>
      <c r="D385" s="12" t="n">
        <v>1.12</v>
      </c>
      <c r="E385" s="12" t="n">
        <v>1</v>
      </c>
      <c r="F385" s="12" t="n">
        <v>0.9</v>
      </c>
      <c r="G385" s="12" t="n">
        <v>0.6</v>
      </c>
      <c r="H385" s="9" t="e">
        <v>#N/A</v>
      </c>
      <c r="I385" s="10" t="n">
        <v>1</v>
      </c>
      <c r="J385" s="12">
        <f>I385</f>
        <v/>
      </c>
      <c r="K385" t="e">
        <v>#N/A</v>
      </c>
      <c r="L385" t="e">
        <v>#N/A</v>
      </c>
      <c r="M385" t="e">
        <v>#N/A</v>
      </c>
    </row>
    <row r="386">
      <c r="A386" s="9" t="inlineStr">
        <is>
          <t>Christina Hayes</t>
        </is>
      </c>
      <c r="B386" s="9" t="inlineStr">
        <is>
          <t>6/15/25 - 7/12/25</t>
        </is>
      </c>
      <c r="C386" s="12" t="n">
        <v>0.5600000000000001</v>
      </c>
      <c r="D386" s="12" t="n">
        <v>0.93</v>
      </c>
      <c r="E386" s="12" t="n">
        <v>1</v>
      </c>
      <c r="F386" s="12" t="n">
        <v>0.95</v>
      </c>
      <c r="G386" s="12" t="n">
        <v>0.25</v>
      </c>
      <c r="H386" s="9" t="e">
        <v>#N/A</v>
      </c>
      <c r="I386" s="10" t="n">
        <v>1</v>
      </c>
      <c r="J386" s="12">
        <f>I386</f>
        <v/>
      </c>
      <c r="K386" t="e">
        <v>#N/A</v>
      </c>
      <c r="L386" t="e">
        <v>#N/A</v>
      </c>
      <c r="M386" t="e">
        <v>#N/A</v>
      </c>
    </row>
    <row r="387">
      <c r="A387" s="9" t="inlineStr">
        <is>
          <t>Christina Hayes</t>
        </is>
      </c>
      <c r="B387" s="9" t="inlineStr">
        <is>
          <t>7/13/25 - 8/10/25</t>
        </is>
      </c>
      <c r="C387" s="12" t="n">
        <v>0.68</v>
      </c>
      <c r="D387" s="12" t="n">
        <v>0.9</v>
      </c>
      <c r="E387" s="12" t="n">
        <v>0.99</v>
      </c>
      <c r="F387" s="12" t="n">
        <v>0.95</v>
      </c>
      <c r="G387" s="12" t="n">
        <v>0.25</v>
      </c>
      <c r="H387" s="9" t="n">
        <v>2</v>
      </c>
      <c r="I387" s="10" t="inlineStr">
        <is>
          <t xml:space="preserve"> 1/2</t>
        </is>
      </c>
      <c r="J387" s="12" t="n">
        <v>0.5</v>
      </c>
      <c r="K387" t="e">
        <v>#N/A</v>
      </c>
      <c r="L387" t="e">
        <v>#N/A</v>
      </c>
      <c r="M387" t="e">
        <v>#N/A</v>
      </c>
    </row>
    <row r="388">
      <c r="A388" s="9" t="inlineStr">
        <is>
          <t>Christina Hayes</t>
        </is>
      </c>
      <c r="B388" s="9" t="inlineStr">
        <is>
          <t>8/10/25 - 9/6/25</t>
        </is>
      </c>
      <c r="C388" s="12" t="n">
        <v>0.7</v>
      </c>
      <c r="D388" s="12" t="n">
        <v>0.87</v>
      </c>
      <c r="E388" s="12" t="n">
        <v>1</v>
      </c>
      <c r="F388" s="12" t="n">
        <v>0.98</v>
      </c>
      <c r="G388" s="12" t="n">
        <v>0.39</v>
      </c>
      <c r="H388" s="9" t="n">
        <v>1</v>
      </c>
      <c r="I388" s="10" t="inlineStr">
        <is>
          <t>1/1</t>
        </is>
      </c>
      <c r="J388" s="12" t="n">
        <v>1</v>
      </c>
      <c r="K388" t="e">
        <v>#N/A</v>
      </c>
      <c r="L388" t="e">
        <v>#N/A</v>
      </c>
      <c r="M388" t="e">
        <v>#N/A</v>
      </c>
    </row>
    <row r="389">
      <c r="A389" s="9" t="inlineStr">
        <is>
          <t>Christina Hayes</t>
        </is>
      </c>
      <c r="B389" s="9" t="inlineStr">
        <is>
          <t>9/7/25 - 10/4/25</t>
        </is>
      </c>
      <c r="C389" s="12" t="n">
        <v>0.75</v>
      </c>
      <c r="D389" s="12" t="n">
        <v>1.01</v>
      </c>
      <c r="E389" s="12" t="n">
        <v>1</v>
      </c>
      <c r="F389" s="12" t="n">
        <v>0.95</v>
      </c>
      <c r="G389" s="12" t="n">
        <v>0.57</v>
      </c>
      <c r="H389" s="9" t="n">
        <v>1</v>
      </c>
      <c r="I389" s="10" t="inlineStr">
        <is>
          <t>2/3</t>
        </is>
      </c>
      <c r="J389" s="12" t="n">
        <v>0.66</v>
      </c>
      <c r="K389" t="e">
        <v>#N/A</v>
      </c>
      <c r="L389" t="e">
        <v>#N/A</v>
      </c>
      <c r="M389" t="e">
        <v>#N/A</v>
      </c>
    </row>
    <row r="390">
      <c r="A390" s="9" t="inlineStr">
        <is>
          <t>Christine Santos</t>
        </is>
      </c>
      <c r="B390" s="9" t="inlineStr">
        <is>
          <t>10/5/25 - 11/1/25</t>
        </is>
      </c>
      <c r="C390" s="12" t="n">
        <v>0.8333</v>
      </c>
      <c r="D390" s="12" t="n">
        <v>1.4805</v>
      </c>
      <c r="E390" s="12" t="n">
        <v>0.9428571428571419</v>
      </c>
      <c r="F390" s="12" t="n">
        <v>0.916666666666666</v>
      </c>
      <c r="G390" s="12" t="n">
        <v>0.4</v>
      </c>
      <c r="H390" s="9" t="n">
        <v>1</v>
      </c>
      <c r="I390" s="10" t="n"/>
      <c r="J390" s="12" t="n"/>
      <c r="K390" t="inlineStr">
        <is>
          <t>Premium</t>
        </is>
      </c>
      <c r="L390" t="inlineStr">
        <is>
          <t>Adjunct</t>
        </is>
      </c>
      <c r="M390" t="inlineStr">
        <is>
          <t>Ela Cross</t>
        </is>
      </c>
    </row>
    <row r="391">
      <c r="A391" s="9" t="inlineStr">
        <is>
          <t>Christine Santos</t>
        </is>
      </c>
      <c r="B391" s="9" t="inlineStr">
        <is>
          <t>10/5/25 - 11/1/25</t>
        </is>
      </c>
      <c r="C391" s="12" t="n">
        <v>0.8333</v>
      </c>
      <c r="D391" s="12" t="n">
        <v>1.4805</v>
      </c>
      <c r="E391" s="12" t="n">
        <v>0.9428571428571419</v>
      </c>
      <c r="F391" s="12" t="n">
        <v>0.916666666666666</v>
      </c>
      <c r="G391" s="12" t="n">
        <v>0.4</v>
      </c>
      <c r="H391" s="9" t="n">
        <v>1</v>
      </c>
      <c r="J391" s="9" t="n"/>
      <c r="K391" t="inlineStr">
        <is>
          <t>Premium</t>
        </is>
      </c>
      <c r="L391" t="inlineStr">
        <is>
          <t>Adjunct</t>
        </is>
      </c>
      <c r="M391" t="inlineStr">
        <is>
          <t>Ela Cross</t>
        </is>
      </c>
    </row>
    <row r="392">
      <c r="A392" s="9" t="inlineStr">
        <is>
          <t>Christine Santos</t>
        </is>
      </c>
      <c r="B392" s="9" t="inlineStr">
        <is>
          <t>11/2/25 - 11/29/25</t>
        </is>
      </c>
      <c r="C392" s="12" t="n">
        <v>0.83</v>
      </c>
      <c r="D392" s="12" t="n">
        <v>1.41</v>
      </c>
      <c r="E392" s="12" t="n">
        <v>0.86</v>
      </c>
      <c r="F392" s="12" t="n">
        <v>0.96</v>
      </c>
      <c r="G392" s="12" t="n">
        <v>0.63</v>
      </c>
      <c r="H392" s="9" t="n">
        <v>3</v>
      </c>
      <c r="I392" s="13" t="n">
        <v>45658</v>
      </c>
      <c r="J392" s="12" t="n">
        <v>1</v>
      </c>
      <c r="K392" t="inlineStr">
        <is>
          <t>Premium</t>
        </is>
      </c>
      <c r="L392" t="inlineStr">
        <is>
          <t>Adjunct</t>
        </is>
      </c>
      <c r="M392" t="inlineStr">
        <is>
          <t>Ela Cross</t>
        </is>
      </c>
    </row>
    <row r="393">
      <c r="A393" s="9" t="inlineStr">
        <is>
          <t>Christine Santos</t>
        </is>
      </c>
      <c r="B393" s="9" t="inlineStr">
        <is>
          <t>11/30/25 - 12/27/25</t>
        </is>
      </c>
      <c r="C393" s="12" t="n">
        <v>0.77</v>
      </c>
      <c r="D393" s="12" t="n">
        <v>1.29</v>
      </c>
      <c r="E393" s="12" t="n">
        <v>0.74</v>
      </c>
      <c r="F393" s="12" t="n">
        <v>0.63</v>
      </c>
      <c r="G393" s="12" t="n">
        <v>0.44</v>
      </c>
      <c r="H393" s="9" t="n">
        <v>3</v>
      </c>
      <c r="I393" s="10" t="n"/>
      <c r="J393" s="12" t="n"/>
      <c r="K393" t="inlineStr">
        <is>
          <t>Premium</t>
        </is>
      </c>
      <c r="L393" t="inlineStr">
        <is>
          <t>Adjunct</t>
        </is>
      </c>
      <c r="M393" t="inlineStr">
        <is>
          <t>Ela Cross</t>
        </is>
      </c>
    </row>
    <row r="394">
      <c r="A394" s="9" t="inlineStr">
        <is>
          <t>Christine Santos</t>
        </is>
      </c>
      <c r="B394" s="9" t="inlineStr">
        <is>
          <t>12/28/25 - 1/25/26</t>
        </is>
      </c>
      <c r="C394" s="12" t="n">
        <v>1.0104</v>
      </c>
      <c r="D394" s="12" t="n">
        <v>1.3516</v>
      </c>
      <c r="E394" s="12" t="n">
        <v>0.976744186</v>
      </c>
      <c r="F394" s="12" t="n">
        <v>1</v>
      </c>
      <c r="G394" s="12" t="n">
        <v>0.444444444</v>
      </c>
      <c r="H394" s="9" t="n">
        <v>2</v>
      </c>
      <c r="I394" s="10" t="n">
        <v>1</v>
      </c>
      <c r="J394" s="12">
        <f>I394</f>
        <v/>
      </c>
      <c r="K394" t="inlineStr">
        <is>
          <t>Premium</t>
        </is>
      </c>
      <c r="L394" t="inlineStr">
        <is>
          <t>Adjunct</t>
        </is>
      </c>
      <c r="M394" t="inlineStr">
        <is>
          <t>Ela Cross</t>
        </is>
      </c>
    </row>
    <row r="395">
      <c r="A395" s="9" t="inlineStr">
        <is>
          <t>Christine Santos</t>
        </is>
      </c>
      <c r="B395" s="9" t="inlineStr">
        <is>
          <t>5/18/25 - 6/14/25</t>
        </is>
      </c>
      <c r="C395" s="12" t="n">
        <v>1.1</v>
      </c>
      <c r="D395" s="12" t="n">
        <v>1.39</v>
      </c>
      <c r="E395" s="12" t="n">
        <v>0.96</v>
      </c>
      <c r="F395" s="12" t="n">
        <v>0.91</v>
      </c>
      <c r="G395" s="12" t="n">
        <v>0.3</v>
      </c>
      <c r="H395" s="9" t="n">
        <v>3</v>
      </c>
      <c r="I395" s="10" t="n">
        <v>1</v>
      </c>
      <c r="J395" s="12">
        <f>I395</f>
        <v/>
      </c>
      <c r="K395" t="inlineStr">
        <is>
          <t>Premium</t>
        </is>
      </c>
      <c r="L395" t="inlineStr">
        <is>
          <t>Adjunct</t>
        </is>
      </c>
      <c r="M395" t="inlineStr">
        <is>
          <t>Ela Cross</t>
        </is>
      </c>
    </row>
    <row r="396">
      <c r="A396" s="9" t="inlineStr">
        <is>
          <t>Christine Santos</t>
        </is>
      </c>
      <c r="B396" s="9" t="inlineStr">
        <is>
          <t>6/15/25 - 7/12/25</t>
        </is>
      </c>
      <c r="C396" s="12" t="n">
        <v>0.71</v>
      </c>
      <c r="D396" s="12" t="n">
        <v>1.36</v>
      </c>
      <c r="E396" s="12" t="n">
        <v>1</v>
      </c>
      <c r="F396" s="12" t="n">
        <v>1</v>
      </c>
      <c r="G396" s="12" t="n">
        <v>0.71</v>
      </c>
      <c r="H396" s="9" t="e">
        <v>#N/A</v>
      </c>
      <c r="I396" s="10" t="n">
        <v>1</v>
      </c>
      <c r="J396" s="12">
        <f>I396</f>
        <v/>
      </c>
      <c r="K396" t="inlineStr">
        <is>
          <t>Premium</t>
        </is>
      </c>
      <c r="L396" t="inlineStr">
        <is>
          <t>Adjunct</t>
        </is>
      </c>
      <c r="M396" t="inlineStr">
        <is>
          <t>Ela Cross</t>
        </is>
      </c>
    </row>
    <row r="397">
      <c r="A397" s="9" t="inlineStr">
        <is>
          <t>Christine Santos</t>
        </is>
      </c>
      <c r="B397" s="9" t="inlineStr">
        <is>
          <t>7/13/25 - 8/10/25</t>
        </is>
      </c>
      <c r="C397" s="12" t="n">
        <v>0.75</v>
      </c>
      <c r="D397" s="12" t="n">
        <v>1.3</v>
      </c>
      <c r="E397" s="12" t="n">
        <v>0.97</v>
      </c>
      <c r="F397" s="12" t="n">
        <v>1</v>
      </c>
      <c r="G397" s="12" t="n">
        <v>0.67</v>
      </c>
      <c r="H397" s="9" t="n">
        <v>5</v>
      </c>
      <c r="I397" s="10" t="n">
        <v>0</v>
      </c>
      <c r="J397" s="12">
        <f>I397</f>
        <v/>
      </c>
      <c r="K397" t="inlineStr">
        <is>
          <t>Premium</t>
        </is>
      </c>
      <c r="L397" t="inlineStr">
        <is>
          <t>Adjunct</t>
        </is>
      </c>
      <c r="M397" t="inlineStr">
        <is>
          <t>Ela Cross</t>
        </is>
      </c>
    </row>
    <row r="398">
      <c r="A398" s="9" t="inlineStr">
        <is>
          <t>Christine Santos</t>
        </is>
      </c>
      <c r="B398" s="9" t="inlineStr">
        <is>
          <t>8/10/25 - 9/6/25</t>
        </is>
      </c>
      <c r="C398" s="12" t="n">
        <v>1.06</v>
      </c>
      <c r="D398" s="12" t="n">
        <v>1.4</v>
      </c>
      <c r="E398" s="12" t="n">
        <v>0.92</v>
      </c>
      <c r="F398" s="12" t="n">
        <v>0.92</v>
      </c>
      <c r="G398" s="12" t="n">
        <v>0.63</v>
      </c>
      <c r="H398" s="9" t="n">
        <v>0</v>
      </c>
      <c r="I398" s="11" t="n"/>
      <c r="J398" s="9" t="n"/>
      <c r="K398" t="inlineStr">
        <is>
          <t>Premium</t>
        </is>
      </c>
      <c r="L398" t="inlineStr">
        <is>
          <t>Adjunct</t>
        </is>
      </c>
      <c r="M398" t="inlineStr">
        <is>
          <t>Ela Cross</t>
        </is>
      </c>
    </row>
    <row r="399">
      <c r="A399" s="9" t="inlineStr">
        <is>
          <t>Christine Santos</t>
        </is>
      </c>
      <c r="B399" s="9" t="inlineStr">
        <is>
          <t>9/7/25 - 10/4/25</t>
        </is>
      </c>
      <c r="C399" s="12" t="n">
        <v>1.09</v>
      </c>
      <c r="D399" s="12" t="n">
        <v>1.39</v>
      </c>
      <c r="E399" s="12" t="n">
        <v>0.92</v>
      </c>
      <c r="F399" s="12" t="n">
        <v>1</v>
      </c>
      <c r="G399" s="12" t="n">
        <v>0.71</v>
      </c>
      <c r="H399" s="9" t="n">
        <v>1</v>
      </c>
      <c r="I399" s="11" t="n"/>
      <c r="J399" s="9" t="n"/>
      <c r="K399" t="inlineStr">
        <is>
          <t>Premium</t>
        </is>
      </c>
      <c r="L399" t="inlineStr">
        <is>
          <t>Adjunct</t>
        </is>
      </c>
      <c r="M399" t="inlineStr">
        <is>
          <t>Ela Cross</t>
        </is>
      </c>
    </row>
    <row r="400">
      <c r="A400" s="9" t="inlineStr">
        <is>
          <t>Clark Howard</t>
        </is>
      </c>
      <c r="B400" s="9" t="inlineStr">
        <is>
          <t>10/5/25 - 11/1/25</t>
        </is>
      </c>
      <c r="C400" s="12" t="n">
        <v>1.0042</v>
      </c>
      <c r="D400" s="12" t="n">
        <v>1.0444</v>
      </c>
      <c r="E400" s="12" t="n">
        <v>0.963503649635036</v>
      </c>
      <c r="F400" s="12" t="n">
        <v>0.866666666666666</v>
      </c>
      <c r="G400" s="12" t="n">
        <v>0.652173913043478</v>
      </c>
      <c r="H400" s="9" t="n">
        <v>17</v>
      </c>
      <c r="I400" s="10" t="inlineStr">
        <is>
          <t>4/5</t>
        </is>
      </c>
      <c r="J400" s="12" t="n">
        <v>0.8</v>
      </c>
      <c r="K400" t="inlineStr">
        <is>
          <t>Distinguished</t>
        </is>
      </c>
      <c r="L400" t="inlineStr">
        <is>
          <t>Professional</t>
        </is>
      </c>
      <c r="M400" t="inlineStr">
        <is>
          <t>Ela Cross</t>
        </is>
      </c>
    </row>
    <row r="401">
      <c r="A401" s="9" t="inlineStr">
        <is>
          <t>Clark Howard</t>
        </is>
      </c>
      <c r="B401" s="9" t="inlineStr">
        <is>
          <t>11/2/25 - 11/29/25</t>
        </is>
      </c>
      <c r="C401" s="12" t="n">
        <v>0.67</v>
      </c>
      <c r="D401" s="12" t="n">
        <v>0.74</v>
      </c>
      <c r="E401" s="12" t="n">
        <v>0.96</v>
      </c>
      <c r="F401" s="12" t="n">
        <v>0.62</v>
      </c>
      <c r="G401" s="12" t="n">
        <v>0.75</v>
      </c>
      <c r="H401" s="9" t="n">
        <v>16</v>
      </c>
      <c r="I401" s="13" t="n">
        <v>45720</v>
      </c>
      <c r="J401" s="14" t="n">
        <v>0.75</v>
      </c>
      <c r="K401" t="inlineStr">
        <is>
          <t>Distinguished</t>
        </is>
      </c>
      <c r="L401" t="inlineStr">
        <is>
          <t>Professional</t>
        </is>
      </c>
      <c r="M401" t="inlineStr">
        <is>
          <t>Ela Cross</t>
        </is>
      </c>
    </row>
    <row r="402">
      <c r="A402" s="9" t="inlineStr">
        <is>
          <t>Clark Howard</t>
        </is>
      </c>
      <c r="B402" s="9" t="inlineStr">
        <is>
          <t>11/30/25 - 12/27/25</t>
        </is>
      </c>
      <c r="C402" s="12" t="n">
        <v>0.91</v>
      </c>
      <c r="D402" s="12" t="n">
        <v>0.97</v>
      </c>
      <c r="E402" s="12" t="n">
        <v>0.99</v>
      </c>
      <c r="F402" s="12" t="n">
        <v>0.8</v>
      </c>
      <c r="G402" s="12" t="n">
        <v>0.73</v>
      </c>
      <c r="H402" s="9" t="n">
        <v>11</v>
      </c>
      <c r="I402" s="10" t="n">
        <v>0.8571428571428571</v>
      </c>
      <c r="J402" s="12">
        <f>6/7</f>
        <v/>
      </c>
      <c r="K402" t="inlineStr">
        <is>
          <t>Distinguished</t>
        </is>
      </c>
      <c r="L402" t="inlineStr">
        <is>
          <t>Professional</t>
        </is>
      </c>
      <c r="M402" t="inlineStr">
        <is>
          <t>Ela Cross</t>
        </is>
      </c>
    </row>
    <row r="403">
      <c r="A403" s="9" t="inlineStr">
        <is>
          <t>Clark Howard</t>
        </is>
      </c>
      <c r="B403" s="9" t="inlineStr">
        <is>
          <t>12/28/25 - 1/25/26</t>
        </is>
      </c>
      <c r="C403" s="12" t="n">
        <v>0.7667</v>
      </c>
      <c r="D403" s="12" t="n">
        <v>1.0351</v>
      </c>
      <c r="E403" s="12" t="n">
        <v>0.9523809519999999</v>
      </c>
      <c r="F403" s="12" t="n">
        <v>0.958333333</v>
      </c>
      <c r="G403" s="12" t="n">
        <v>0.894736842</v>
      </c>
      <c r="H403" s="9" t="n">
        <v>15</v>
      </c>
      <c r="I403" s="10" t="n">
        <v>0.5</v>
      </c>
      <c r="J403" s="12">
        <f>I403</f>
        <v/>
      </c>
      <c r="K403" t="inlineStr">
        <is>
          <t>Distinguished</t>
        </is>
      </c>
      <c r="L403" t="inlineStr">
        <is>
          <t>Professional</t>
        </is>
      </c>
      <c r="M403" t="inlineStr">
        <is>
          <t>Ela Cross</t>
        </is>
      </c>
    </row>
    <row r="404">
      <c r="A404" s="9" t="inlineStr">
        <is>
          <t>Clark Howard</t>
        </is>
      </c>
      <c r="B404" s="9" t="inlineStr">
        <is>
          <t>5/18/25 - 6/14/25</t>
        </is>
      </c>
      <c r="C404" s="12" t="n">
        <v>0.78</v>
      </c>
      <c r="D404" s="12" t="n">
        <v>1.06</v>
      </c>
      <c r="E404" s="12" t="n">
        <v>0.95</v>
      </c>
      <c r="F404" s="12" t="n">
        <v>1</v>
      </c>
      <c r="G404" s="12" t="n">
        <v>1</v>
      </c>
      <c r="H404" s="9" t="n">
        <v>2</v>
      </c>
      <c r="I404" s="10" t="n">
        <v>1</v>
      </c>
      <c r="J404" s="12">
        <f>I404</f>
        <v/>
      </c>
      <c r="K404" t="inlineStr">
        <is>
          <t>Distinguished</t>
        </is>
      </c>
      <c r="L404" t="inlineStr">
        <is>
          <t>Professional</t>
        </is>
      </c>
      <c r="M404" t="inlineStr">
        <is>
          <t>Ela Cross</t>
        </is>
      </c>
    </row>
    <row r="405">
      <c r="A405" s="9" t="inlineStr">
        <is>
          <t>Clark Howard</t>
        </is>
      </c>
      <c r="B405" s="9" t="inlineStr">
        <is>
          <t>6/15/25 - 7/12/25</t>
        </is>
      </c>
      <c r="C405" s="12" t="n">
        <v>0.41</v>
      </c>
      <c r="D405" s="12" t="n">
        <v>1.02</v>
      </c>
      <c r="E405" s="12" t="n">
        <v>0.82</v>
      </c>
      <c r="F405" s="12" t="n">
        <v>0.75</v>
      </c>
      <c r="G405" s="12" t="n">
        <v>0.95</v>
      </c>
      <c r="H405" s="9" t="n">
        <v>4</v>
      </c>
      <c r="I405" s="10" t="inlineStr">
        <is>
          <t xml:space="preserve"> 1/2</t>
        </is>
      </c>
      <c r="J405" s="12" t="n">
        <v>0.5</v>
      </c>
      <c r="K405" t="inlineStr">
        <is>
          <t>Distinguished</t>
        </is>
      </c>
      <c r="L405" t="inlineStr">
        <is>
          <t>Professional</t>
        </is>
      </c>
      <c r="M405" t="inlineStr">
        <is>
          <t>Ela Cross</t>
        </is>
      </c>
    </row>
    <row r="406">
      <c r="A406" s="9" t="inlineStr">
        <is>
          <t>Clark Howard</t>
        </is>
      </c>
      <c r="B406" s="9" t="inlineStr">
        <is>
          <t>7/13/25 - 8/10/25</t>
        </is>
      </c>
      <c r="C406" s="12" t="n">
        <v>0.8</v>
      </c>
      <c r="D406" s="12" t="n">
        <v>1.09</v>
      </c>
      <c r="E406" s="12" t="n">
        <v>0.92</v>
      </c>
      <c r="F406" s="12" t="n">
        <v>1</v>
      </c>
      <c r="G406" s="12" t="n">
        <v>0.84</v>
      </c>
      <c r="H406" s="9" t="n">
        <v>2</v>
      </c>
      <c r="I406" s="10" t="inlineStr">
        <is>
          <t xml:space="preserve"> 5/6</t>
        </is>
      </c>
      <c r="J406" s="12" t="n">
        <v>0.83</v>
      </c>
      <c r="K406" t="inlineStr">
        <is>
          <t>Distinguished</t>
        </is>
      </c>
      <c r="L406" t="inlineStr">
        <is>
          <t>Professional</t>
        </is>
      </c>
      <c r="M406" t="inlineStr">
        <is>
          <t>Ela Cross</t>
        </is>
      </c>
    </row>
    <row r="407">
      <c r="A407" s="9" t="inlineStr">
        <is>
          <t>Clark Howard</t>
        </is>
      </c>
      <c r="B407" s="9" t="inlineStr">
        <is>
          <t>8/10/25 - 9/6/25</t>
        </is>
      </c>
      <c r="C407" s="12" t="n">
        <v>0.79</v>
      </c>
      <c r="D407" s="12" t="n">
        <v>1.06</v>
      </c>
      <c r="E407" s="12" t="n">
        <v>0.9399999999999999</v>
      </c>
      <c r="F407" s="12" t="n">
        <v>0.67</v>
      </c>
      <c r="G407" s="12" t="n">
        <v>0.47</v>
      </c>
      <c r="H407" s="9" t="n">
        <v>5</v>
      </c>
      <c r="I407" s="10" t="inlineStr">
        <is>
          <t>2/3</t>
        </is>
      </c>
      <c r="J407" s="12" t="n">
        <v>0.66</v>
      </c>
      <c r="K407" t="inlineStr">
        <is>
          <t>Distinguished</t>
        </is>
      </c>
      <c r="L407" t="inlineStr">
        <is>
          <t>Professional</t>
        </is>
      </c>
      <c r="M407" t="inlineStr">
        <is>
          <t>Ela Cross</t>
        </is>
      </c>
    </row>
    <row r="408">
      <c r="A408" s="9" t="inlineStr">
        <is>
          <t>Clark Howard</t>
        </is>
      </c>
      <c r="B408" s="9" t="inlineStr">
        <is>
          <t>9/7/25 - 10/4/25</t>
        </is>
      </c>
      <c r="C408" s="12" t="n">
        <v>0.99</v>
      </c>
      <c r="D408" s="12" t="n">
        <v>1.06</v>
      </c>
      <c r="E408" s="12" t="n">
        <v>0.9</v>
      </c>
      <c r="F408" s="12" t="n">
        <v>0.91</v>
      </c>
      <c r="G408" s="12" t="n">
        <v>0.46</v>
      </c>
      <c r="H408" s="9" t="n">
        <v>8</v>
      </c>
      <c r="I408" s="10" t="inlineStr">
        <is>
          <t>3/3</t>
        </is>
      </c>
      <c r="J408" s="12" t="n">
        <v>1</v>
      </c>
      <c r="K408" t="inlineStr">
        <is>
          <t>Distinguished</t>
        </is>
      </c>
      <c r="L408" t="inlineStr">
        <is>
          <t>Professional</t>
        </is>
      </c>
      <c r="M408" t="inlineStr">
        <is>
          <t>Ela Cross</t>
        </is>
      </c>
    </row>
    <row r="409">
      <c r="A409" s="9" t="inlineStr">
        <is>
          <t>Colin Cody</t>
        </is>
      </c>
      <c r="B409" s="9" t="inlineStr">
        <is>
          <t>10/5/25 - 11/1/25</t>
        </is>
      </c>
      <c r="C409" s="12" t="n">
        <v>1.0208</v>
      </c>
      <c r="D409" s="12" t="n">
        <v>1.1513</v>
      </c>
      <c r="E409" s="12" t="n">
        <v>0.87248322147651</v>
      </c>
      <c r="F409" s="12" t="n">
        <v>1</v>
      </c>
      <c r="G409" s="12" t="n">
        <v>1</v>
      </c>
      <c r="H409" s="9" t="n">
        <v>9</v>
      </c>
      <c r="I409" s="10" t="inlineStr">
        <is>
          <t>1/8</t>
        </is>
      </c>
      <c r="J409" s="12" t="n">
        <v>0.13</v>
      </c>
      <c r="K409" t="inlineStr">
        <is>
          <t>Distinguished</t>
        </is>
      </c>
      <c r="L409" t="inlineStr">
        <is>
          <t>Professional</t>
        </is>
      </c>
      <c r="M409" t="inlineStr">
        <is>
          <t>Ela Cross</t>
        </is>
      </c>
    </row>
    <row r="410">
      <c r="A410" s="9" t="inlineStr">
        <is>
          <t>Colin Cody</t>
        </is>
      </c>
      <c r="B410" s="9" t="inlineStr">
        <is>
          <t>10/5/25 - 11/1/25</t>
        </is>
      </c>
      <c r="C410" s="12" t="n">
        <v>1.0208</v>
      </c>
      <c r="D410" s="12" t="n">
        <v>1.1513</v>
      </c>
      <c r="E410" s="12" t="n">
        <v>0.87248322147651</v>
      </c>
      <c r="F410" s="12" t="n">
        <v>1</v>
      </c>
      <c r="G410" s="12" t="n">
        <v>1</v>
      </c>
      <c r="H410" s="9" t="n">
        <v>9</v>
      </c>
      <c r="I410" s="10" t="inlineStr">
        <is>
          <t>1/8</t>
        </is>
      </c>
      <c r="J410" s="12">
        <f>_xlfn.TEXTBEFORE(I410, "/")/_xlfn.TEXTAFTER(I410,"/")</f>
        <v/>
      </c>
      <c r="K410" t="inlineStr">
        <is>
          <t>Distinguished</t>
        </is>
      </c>
      <c r="L410" t="inlineStr">
        <is>
          <t>Professional</t>
        </is>
      </c>
      <c r="M410" t="inlineStr">
        <is>
          <t>Ela Cross</t>
        </is>
      </c>
    </row>
    <row r="411">
      <c r="A411" s="9" t="inlineStr">
        <is>
          <t>Colin Cody</t>
        </is>
      </c>
      <c r="B411" s="9" t="inlineStr">
        <is>
          <t>11/2/25 - 11/29/25</t>
        </is>
      </c>
      <c r="C411" s="12" t="n">
        <v>1.07</v>
      </c>
      <c r="D411" s="12" t="n">
        <v>1.14</v>
      </c>
      <c r="E411" s="12" t="n">
        <v>0.91</v>
      </c>
      <c r="F411" s="12" t="n">
        <v>0.98</v>
      </c>
      <c r="G411" s="12" t="n">
        <v>1</v>
      </c>
      <c r="H411" s="9" t="n">
        <v>9</v>
      </c>
      <c r="I411" s="13" t="inlineStr">
        <is>
          <t>0/7</t>
        </is>
      </c>
      <c r="J411" s="12" t="n">
        <v>0</v>
      </c>
      <c r="K411" t="inlineStr">
        <is>
          <t>Distinguished</t>
        </is>
      </c>
      <c r="L411" t="inlineStr">
        <is>
          <t>Professional</t>
        </is>
      </c>
      <c r="M411" t="inlineStr">
        <is>
          <t>Ela Cross</t>
        </is>
      </c>
    </row>
    <row r="412">
      <c r="A412" s="9" t="inlineStr">
        <is>
          <t>Colin Cody</t>
        </is>
      </c>
      <c r="B412" s="9" t="inlineStr">
        <is>
          <t>11/30/25 - 12/27/25</t>
        </is>
      </c>
      <c r="C412" s="12" t="n">
        <v>0.89</v>
      </c>
      <c r="D412" s="12" t="n">
        <v>0.98</v>
      </c>
      <c r="E412" s="12" t="n">
        <v>0.97</v>
      </c>
      <c r="F412" s="12" t="n">
        <v>0.99</v>
      </c>
      <c r="G412" s="12" t="n">
        <v>0.92</v>
      </c>
      <c r="H412" s="9" t="n">
        <v>8</v>
      </c>
      <c r="I412" s="10" t="n">
        <v>0.25</v>
      </c>
      <c r="J412" s="12" t="n">
        <v>0.25</v>
      </c>
      <c r="K412" t="inlineStr">
        <is>
          <t>Distinguished</t>
        </is>
      </c>
      <c r="L412" t="inlineStr">
        <is>
          <t>Professional</t>
        </is>
      </c>
      <c r="M412" t="inlineStr">
        <is>
          <t>Ela Cross</t>
        </is>
      </c>
    </row>
    <row r="413">
      <c r="A413" s="9" t="inlineStr">
        <is>
          <t>Colin Cody</t>
        </is>
      </c>
      <c r="B413" s="9" t="inlineStr">
        <is>
          <t>12/28/25 - 1/25/26</t>
        </is>
      </c>
      <c r="C413" s="12" t="n">
        <v>0.8375</v>
      </c>
      <c r="D413" s="12" t="n">
        <v>0.9933999999999999</v>
      </c>
      <c r="E413" s="12" t="n">
        <v>0.949275362</v>
      </c>
      <c r="F413" s="12" t="n">
        <v>1</v>
      </c>
      <c r="G413" s="12" t="n">
        <v>1</v>
      </c>
      <c r="H413" s="9" t="n">
        <v>15</v>
      </c>
      <c r="I413" s="10" t="inlineStr">
        <is>
          <t>0/1</t>
        </is>
      </c>
      <c r="J413" s="12" t="n">
        <v>0</v>
      </c>
      <c r="K413" t="inlineStr">
        <is>
          <t>Distinguished</t>
        </is>
      </c>
      <c r="L413" t="inlineStr">
        <is>
          <t>Professional</t>
        </is>
      </c>
      <c r="M413" t="inlineStr">
        <is>
          <t>Ela Cross</t>
        </is>
      </c>
    </row>
    <row r="414">
      <c r="A414" s="9" t="inlineStr">
        <is>
          <t>Colin Cody</t>
        </is>
      </c>
      <c r="B414" s="9" t="inlineStr">
        <is>
          <t>5/18/25 - 6/14/25</t>
        </is>
      </c>
      <c r="C414" s="12" t="n">
        <v>0.85</v>
      </c>
      <c r="D414" s="12" t="n">
        <v>1.25</v>
      </c>
      <c r="E414" s="12" t="n">
        <v>0.96</v>
      </c>
      <c r="F414" s="12" t="n">
        <v>0.92</v>
      </c>
      <c r="G414" s="12" t="n">
        <v>0.72</v>
      </c>
      <c r="H414" s="9" t="n">
        <v>3</v>
      </c>
      <c r="I414" s="10" t="inlineStr">
        <is>
          <t xml:space="preserve"> 1/2</t>
        </is>
      </c>
      <c r="J414" s="12" t="n">
        <v>0.5</v>
      </c>
      <c r="K414" t="inlineStr">
        <is>
          <t>Distinguished</t>
        </is>
      </c>
      <c r="L414" t="inlineStr">
        <is>
          <t>Professional</t>
        </is>
      </c>
      <c r="M414" t="inlineStr">
        <is>
          <t>Ela Cross</t>
        </is>
      </c>
    </row>
    <row r="415">
      <c r="A415" s="9" t="inlineStr">
        <is>
          <t>Colin Cody</t>
        </is>
      </c>
      <c r="B415" s="9" t="inlineStr">
        <is>
          <t>6/15/25 - 7/12/25</t>
        </is>
      </c>
      <c r="C415" s="12" t="n">
        <v>0.98</v>
      </c>
      <c r="D415" s="12" t="n">
        <v>1.21</v>
      </c>
      <c r="E415" s="12" t="n">
        <v>0.9</v>
      </c>
      <c r="F415" s="12" t="n">
        <v>1</v>
      </c>
      <c r="G415" s="12" t="n">
        <v>0.67</v>
      </c>
      <c r="H415" s="9" t="n">
        <v>7</v>
      </c>
      <c r="I415" s="10" t="inlineStr">
        <is>
          <t xml:space="preserve"> 1/3</t>
        </is>
      </c>
      <c r="J415" s="12">
        <f>1/3</f>
        <v/>
      </c>
      <c r="K415" t="inlineStr">
        <is>
          <t>Distinguished</t>
        </is>
      </c>
      <c r="L415" t="inlineStr">
        <is>
          <t>Professional</t>
        </is>
      </c>
      <c r="M415" t="inlineStr">
        <is>
          <t>Ela Cross</t>
        </is>
      </c>
    </row>
    <row r="416">
      <c r="A416" s="9" t="inlineStr">
        <is>
          <t>Colin Cody</t>
        </is>
      </c>
      <c r="B416" s="9" t="inlineStr">
        <is>
          <t>7/13/25 - 8/10/25</t>
        </is>
      </c>
      <c r="C416" s="12" t="n">
        <v>0.79</v>
      </c>
      <c r="D416" s="12" t="n">
        <v>1.09</v>
      </c>
      <c r="E416" s="12" t="n">
        <v>0.92</v>
      </c>
      <c r="F416" s="12" t="n">
        <v>0.98</v>
      </c>
      <c r="G416" s="12" t="n">
        <v>0.83</v>
      </c>
      <c r="H416" s="9" t="n">
        <v>5</v>
      </c>
      <c r="I416" s="10" t="n">
        <v>1</v>
      </c>
      <c r="J416" s="12">
        <f>I416</f>
        <v/>
      </c>
      <c r="K416" t="inlineStr">
        <is>
          <t>Distinguished</t>
        </is>
      </c>
      <c r="L416" t="inlineStr">
        <is>
          <t>Professional</t>
        </is>
      </c>
      <c r="M416" t="inlineStr">
        <is>
          <t>Ela Cross</t>
        </is>
      </c>
    </row>
    <row r="417">
      <c r="A417" s="9" t="inlineStr">
        <is>
          <t>Colin Cody</t>
        </is>
      </c>
      <c r="B417" s="9" t="inlineStr">
        <is>
          <t>8/10/25 - 9/6/25</t>
        </is>
      </c>
      <c r="C417" s="12" t="n">
        <v>0.62</v>
      </c>
      <c r="D417" s="12" t="n">
        <v>1.05</v>
      </c>
      <c r="E417" s="12" t="n">
        <v>0.96</v>
      </c>
      <c r="F417" s="12" t="n">
        <v>1</v>
      </c>
      <c r="G417" s="12" t="n">
        <v>1</v>
      </c>
      <c r="H417" s="9" t="n">
        <v>6</v>
      </c>
      <c r="I417" s="11" t="n"/>
      <c r="J417" s="9" t="n"/>
      <c r="K417" t="inlineStr">
        <is>
          <t>Distinguished</t>
        </is>
      </c>
      <c r="L417" t="inlineStr">
        <is>
          <t>Professional</t>
        </is>
      </c>
      <c r="M417" t="inlineStr">
        <is>
          <t>Ela Cross</t>
        </is>
      </c>
    </row>
    <row r="418">
      <c r="A418" s="9" t="inlineStr">
        <is>
          <t>Colin Cody</t>
        </is>
      </c>
      <c r="B418" s="9" t="inlineStr">
        <is>
          <t>9/7/25 - 10/4/25</t>
        </is>
      </c>
      <c r="C418" s="12" t="n">
        <v>0.6</v>
      </c>
      <c r="D418" s="12" t="n">
        <v>1.02</v>
      </c>
      <c r="E418" s="12" t="n">
        <v>0.88</v>
      </c>
      <c r="F418" s="12" t="n">
        <v>0.98</v>
      </c>
      <c r="G418" s="12" t="n">
        <v>0.93</v>
      </c>
      <c r="H418" s="9" t="n">
        <v>1</v>
      </c>
      <c r="I418" s="10" t="inlineStr">
        <is>
          <t>6/10</t>
        </is>
      </c>
      <c r="J418" s="12" t="n">
        <v>0.6</v>
      </c>
      <c r="K418" t="inlineStr">
        <is>
          <t>Distinguished</t>
        </is>
      </c>
      <c r="L418" t="inlineStr">
        <is>
          <t>Professional</t>
        </is>
      </c>
      <c r="M418" t="inlineStr">
        <is>
          <t>Ela Cross</t>
        </is>
      </c>
    </row>
    <row r="419">
      <c r="A419" s="9" t="inlineStr">
        <is>
          <t>Cristina Ascenzi Pettenuzzo</t>
        </is>
      </c>
      <c r="B419" s="9" t="inlineStr">
        <is>
          <t>10/5/25 - 11/1/25</t>
        </is>
      </c>
      <c r="C419" s="12" t="n">
        <v>1.0042</v>
      </c>
      <c r="D419" s="12" t="n">
        <v>1.0674</v>
      </c>
      <c r="E419" s="12" t="n">
        <v>0.991596638655462</v>
      </c>
      <c r="F419" s="12" t="n">
        <v>0.988372093023255</v>
      </c>
      <c r="G419" s="12" t="n">
        <v>0.611111111111111</v>
      </c>
      <c r="H419" s="9" t="n">
        <v>9</v>
      </c>
      <c r="I419" s="10" t="inlineStr">
        <is>
          <t>7/10</t>
        </is>
      </c>
      <c r="J419" s="12" t="n">
        <v>0.7</v>
      </c>
      <c r="K419" t="inlineStr">
        <is>
          <t>Distinguished</t>
        </is>
      </c>
      <c r="L419" t="inlineStr">
        <is>
          <t>Professional</t>
        </is>
      </c>
      <c r="M419" t="inlineStr">
        <is>
          <t>Geoff St. Marie</t>
        </is>
      </c>
    </row>
    <row r="420">
      <c r="A420" s="9" t="inlineStr">
        <is>
          <t>Cristina Ascenzi Pettenuzzo</t>
        </is>
      </c>
      <c r="B420" s="9" t="inlineStr">
        <is>
          <t>11/2/25 - 11/29/25</t>
        </is>
      </c>
      <c r="C420" s="12" t="n">
        <v>1.03</v>
      </c>
      <c r="D420" s="12" t="n">
        <v>0.98</v>
      </c>
      <c r="E420" s="12" t="n">
        <v>0.98</v>
      </c>
      <c r="F420" s="12" t="n">
        <v>0.9399999999999999</v>
      </c>
      <c r="G420" s="12" t="n">
        <v>0.95</v>
      </c>
      <c r="H420" s="9" t="n">
        <v>11</v>
      </c>
      <c r="I420" s="13" t="n">
        <v>45784</v>
      </c>
      <c r="J420" s="14" t="n">
        <v>0.71</v>
      </c>
      <c r="K420" t="inlineStr">
        <is>
          <t>Distinguished</t>
        </is>
      </c>
      <c r="L420" t="inlineStr">
        <is>
          <t>Professional</t>
        </is>
      </c>
      <c r="M420" t="inlineStr">
        <is>
          <t>Geoff St. Marie</t>
        </is>
      </c>
    </row>
    <row r="421">
      <c r="A421" s="9" t="inlineStr">
        <is>
          <t>Cristina Ascenzi Pettenuzzo</t>
        </is>
      </c>
      <c r="B421" s="9" t="inlineStr">
        <is>
          <t>11/30/25 - 12/27/25</t>
        </is>
      </c>
      <c r="C421" s="12" t="n">
        <v>0.95</v>
      </c>
      <c r="D421" s="12" t="n">
        <v>1.09</v>
      </c>
      <c r="E421" s="12" t="n">
        <v>0.98</v>
      </c>
      <c r="F421" s="12" t="n">
        <v>0.98</v>
      </c>
      <c r="G421" s="12" t="n">
        <v>1</v>
      </c>
      <c r="H421" s="9" t="n">
        <v>13</v>
      </c>
      <c r="I421" s="10" t="n">
        <v>0.625</v>
      </c>
      <c r="J421" s="12">
        <f>5/8</f>
        <v/>
      </c>
      <c r="K421" t="inlineStr">
        <is>
          <t>Distinguished</t>
        </is>
      </c>
      <c r="L421" t="inlineStr">
        <is>
          <t>Professional</t>
        </is>
      </c>
      <c r="M421" t="inlineStr">
        <is>
          <t>Geoff St. Marie</t>
        </is>
      </c>
    </row>
    <row r="422">
      <c r="A422" s="9" t="inlineStr">
        <is>
          <t>Cristina Ascenzi Pettenuzzo</t>
        </is>
      </c>
      <c r="B422" s="9" t="inlineStr">
        <is>
          <t>12/28/25 - 1/25/26</t>
        </is>
      </c>
      <c r="C422" s="12" t="n">
        <v>0.6417</v>
      </c>
      <c r="D422" s="12" t="n">
        <v>0.7599</v>
      </c>
      <c r="E422" s="12" t="n">
        <v>0.9855072459999999</v>
      </c>
      <c r="F422" s="12" t="n">
        <v>0.946428571</v>
      </c>
      <c r="G422" s="12" t="n">
        <v>1</v>
      </c>
      <c r="H422" s="9" t="n">
        <v>11</v>
      </c>
      <c r="I422" s="10" t="n">
        <v>0.75</v>
      </c>
      <c r="J422" s="12">
        <f>I422</f>
        <v/>
      </c>
      <c r="K422" t="inlineStr">
        <is>
          <t>Distinguished</t>
        </is>
      </c>
      <c r="L422" t="inlineStr">
        <is>
          <t>Professional</t>
        </is>
      </c>
      <c r="M422" t="inlineStr">
        <is>
          <t>Geoff St. Marie</t>
        </is>
      </c>
    </row>
    <row r="423">
      <c r="A423" s="9" t="inlineStr">
        <is>
          <t>Cristina Ascenzi Pettenuzzo</t>
        </is>
      </c>
      <c r="B423" s="9" t="inlineStr">
        <is>
          <t>5/18/25 - 6/14/25</t>
        </is>
      </c>
      <c r="C423" s="12" t="n">
        <v>0.88</v>
      </c>
      <c r="D423" s="12" t="n">
        <v>1.11</v>
      </c>
      <c r="E423" s="12" t="n">
        <v>0.99</v>
      </c>
      <c r="F423" s="12" t="n">
        <v>0.97</v>
      </c>
      <c r="G423" s="12" t="n">
        <v>0.8100000000000001</v>
      </c>
      <c r="H423" s="9" t="n">
        <v>12</v>
      </c>
      <c r="I423" s="10" t="n">
        <v>1</v>
      </c>
      <c r="J423" s="12">
        <f>I423</f>
        <v/>
      </c>
      <c r="K423" t="inlineStr">
        <is>
          <t>Distinguished</t>
        </is>
      </c>
      <c r="L423" t="inlineStr">
        <is>
          <t>Professional</t>
        </is>
      </c>
      <c r="M423" t="inlineStr">
        <is>
          <t>Geoff St. Marie</t>
        </is>
      </c>
    </row>
    <row r="424">
      <c r="A424" s="9" t="inlineStr">
        <is>
          <t>Cristina Ascenzi Pettenuzzo</t>
        </is>
      </c>
      <c r="B424" s="9" t="inlineStr">
        <is>
          <t>6/15/25 - 7/12/25</t>
        </is>
      </c>
      <c r="C424" s="12" t="n">
        <v>0.99</v>
      </c>
      <c r="D424" s="12" t="n">
        <v>1.08</v>
      </c>
      <c r="E424" s="12" t="n">
        <v>0.99</v>
      </c>
      <c r="F424" s="12" t="n">
        <v>0.97</v>
      </c>
      <c r="G424" s="12" t="n">
        <v>0.59</v>
      </c>
      <c r="H424" s="9" t="n">
        <v>6</v>
      </c>
      <c r="I424" s="10" t="inlineStr">
        <is>
          <t xml:space="preserve"> 7/9</t>
        </is>
      </c>
      <c r="J424" s="12" t="n">
        <v>0.78</v>
      </c>
      <c r="K424" t="inlineStr">
        <is>
          <t>Distinguished</t>
        </is>
      </c>
      <c r="L424" t="inlineStr">
        <is>
          <t>Professional</t>
        </is>
      </c>
      <c r="M424" t="inlineStr">
        <is>
          <t>Geoff St. Marie</t>
        </is>
      </c>
    </row>
    <row r="425">
      <c r="A425" s="9" t="inlineStr">
        <is>
          <t>Cristina Ascenzi Pettenuzzo</t>
        </is>
      </c>
      <c r="B425" s="9" t="inlineStr">
        <is>
          <t>8/10/25 - 9/6/25</t>
        </is>
      </c>
      <c r="C425" s="12" t="n">
        <v>0</v>
      </c>
      <c r="D425" s="12" t="n">
        <v>0.68</v>
      </c>
      <c r="E425" s="12" t="n">
        <v>0</v>
      </c>
      <c r="F425" s="12" t="n">
        <v>0</v>
      </c>
      <c r="G425" s="12" t="n">
        <v>0</v>
      </c>
      <c r="H425" s="9" t="n">
        <v>0</v>
      </c>
      <c r="I425" s="11" t="n"/>
      <c r="J425" s="9" t="n"/>
      <c r="K425" t="inlineStr">
        <is>
          <t>Distinguished</t>
        </is>
      </c>
      <c r="L425" t="inlineStr">
        <is>
          <t>Professional</t>
        </is>
      </c>
      <c r="M425" t="inlineStr">
        <is>
          <t>Geoff St. Marie</t>
        </is>
      </c>
    </row>
    <row r="426">
      <c r="A426" s="9" t="inlineStr">
        <is>
          <t>Cristina Ascenzi Pettenuzzo</t>
        </is>
      </c>
      <c r="B426" s="9" t="inlineStr">
        <is>
          <t>9/7/25 - 10/4/25</t>
        </is>
      </c>
      <c r="C426" s="12" t="n">
        <v>0.66</v>
      </c>
      <c r="D426" s="12" t="n">
        <v>0.98</v>
      </c>
      <c r="E426" s="12" t="n">
        <v>0.98</v>
      </c>
      <c r="F426" s="12" t="n">
        <v>0.92</v>
      </c>
      <c r="G426" s="12" t="n">
        <v>0</v>
      </c>
      <c r="H426" s="9" t="n">
        <v>6</v>
      </c>
      <c r="I426" s="10" t="inlineStr">
        <is>
          <t>13/16</t>
        </is>
      </c>
      <c r="J426" s="12" t="n">
        <v>0.8100000000000001</v>
      </c>
      <c r="K426" t="inlineStr">
        <is>
          <t>Distinguished</t>
        </is>
      </c>
      <c r="L426" t="inlineStr">
        <is>
          <t>Professional</t>
        </is>
      </c>
      <c r="M426" t="inlineStr">
        <is>
          <t>Geoff St. Marie</t>
        </is>
      </c>
    </row>
    <row r="427">
      <c r="A427" s="9" t="inlineStr">
        <is>
          <t>Cynthia Skariah</t>
        </is>
      </c>
      <c r="B427" s="9" t="inlineStr">
        <is>
          <t>10/5/25 - 11/1/25</t>
        </is>
      </c>
      <c r="C427" s="12" t="n">
        <v>0.9875</v>
      </c>
      <c r="D427" s="12" t="n">
        <v>1</v>
      </c>
      <c r="E427" s="12" t="n">
        <v>1</v>
      </c>
      <c r="F427" s="12" t="n">
        <v>0.988505747126436</v>
      </c>
      <c r="G427" s="12" t="n">
        <v>0.5</v>
      </c>
      <c r="H427" s="9" t="n">
        <v>7</v>
      </c>
      <c r="I427" s="10" t="inlineStr">
        <is>
          <t>1/10</t>
        </is>
      </c>
      <c r="J427" s="12" t="n">
        <v>0.1</v>
      </c>
      <c r="K427" t="e">
        <v>#N/A</v>
      </c>
      <c r="L427" t="e">
        <v>#N/A</v>
      </c>
      <c r="M427" t="e">
        <v>#N/A</v>
      </c>
    </row>
    <row r="428">
      <c r="A428" s="9" t="inlineStr">
        <is>
          <t>Cynthia Skariah</t>
        </is>
      </c>
      <c r="B428" s="9" t="inlineStr">
        <is>
          <t>5/18/25 - 6/14/25</t>
        </is>
      </c>
      <c r="C428" s="12" t="n">
        <v>0.16</v>
      </c>
      <c r="D428" s="12" t="n">
        <v>0.87</v>
      </c>
      <c r="E428" s="12" t="n">
        <v>1</v>
      </c>
      <c r="F428" s="12" t="n">
        <v>1</v>
      </c>
      <c r="G428" s="12" t="n">
        <v>0.92</v>
      </c>
      <c r="H428" s="9" t="e">
        <v>#N/A</v>
      </c>
      <c r="I428" s="10" t="inlineStr">
        <is>
          <t xml:space="preserve"> 3/5</t>
        </is>
      </c>
      <c r="J428" s="12" t="n">
        <v>0.6</v>
      </c>
      <c r="K428" t="e">
        <v>#N/A</v>
      </c>
      <c r="L428" t="e">
        <v>#N/A</v>
      </c>
      <c r="M428" t="e">
        <v>#N/A</v>
      </c>
    </row>
    <row r="429">
      <c r="A429" s="9" t="inlineStr">
        <is>
          <t>Cynthia Skariah</t>
        </is>
      </c>
      <c r="B429" s="9" t="inlineStr">
        <is>
          <t>6/15/25 - 7/12/25</t>
        </is>
      </c>
      <c r="C429" s="12" t="n">
        <v>0.67</v>
      </c>
      <c r="D429" s="12" t="n">
        <v>1.01</v>
      </c>
      <c r="E429" s="12" t="n">
        <v>1</v>
      </c>
      <c r="F429" s="12" t="n">
        <v>0.87</v>
      </c>
      <c r="G429" s="12" t="n">
        <v>0.72</v>
      </c>
      <c r="H429" s="9" t="n">
        <v>1</v>
      </c>
      <c r="I429" s="10" t="inlineStr">
        <is>
          <t xml:space="preserve"> 5/7</t>
        </is>
      </c>
      <c r="J429" s="12" t="n">
        <v>0.71</v>
      </c>
      <c r="K429" t="e">
        <v>#N/A</v>
      </c>
      <c r="L429" t="e">
        <v>#N/A</v>
      </c>
      <c r="M429" t="e">
        <v>#N/A</v>
      </c>
    </row>
    <row r="430">
      <c r="A430" s="9" t="inlineStr">
        <is>
          <t>Cynthia Skariah</t>
        </is>
      </c>
      <c r="B430" s="9" t="inlineStr">
        <is>
          <t>7/13/25 - 8/10/25</t>
        </is>
      </c>
      <c r="C430" s="12" t="n">
        <v>0.95</v>
      </c>
      <c r="D430" s="12" t="n">
        <v>0.96</v>
      </c>
      <c r="E430" s="12" t="n">
        <v>1</v>
      </c>
      <c r="F430" s="12" t="n">
        <v>0.87</v>
      </c>
      <c r="G430" s="12" t="n">
        <v>0.42</v>
      </c>
      <c r="H430" s="9" t="n">
        <v>3</v>
      </c>
      <c r="I430" s="10" t="n">
        <v>1</v>
      </c>
      <c r="J430" s="12">
        <f>I430</f>
        <v/>
      </c>
      <c r="K430" t="e">
        <v>#N/A</v>
      </c>
      <c r="L430" t="e">
        <v>#N/A</v>
      </c>
      <c r="M430" t="e">
        <v>#N/A</v>
      </c>
    </row>
    <row r="431">
      <c r="A431" s="9" t="inlineStr">
        <is>
          <t>Cynthia Skariah</t>
        </is>
      </c>
      <c r="B431" s="9" t="inlineStr">
        <is>
          <t>8/10/25 - 9/6/25</t>
        </is>
      </c>
      <c r="C431" s="12" t="n">
        <v>0.98</v>
      </c>
      <c r="D431" s="12" t="n">
        <v>1.02</v>
      </c>
      <c r="E431" s="12" t="n">
        <v>0.99</v>
      </c>
      <c r="F431" s="12" t="n">
        <v>0.96</v>
      </c>
      <c r="G431" s="12" t="n">
        <v>0.17</v>
      </c>
      <c r="H431" s="9" t="n">
        <v>3</v>
      </c>
      <c r="I431" s="10" t="inlineStr">
        <is>
          <t>2/2</t>
        </is>
      </c>
      <c r="J431" s="12" t="n">
        <v>1</v>
      </c>
      <c r="K431" t="e">
        <v>#N/A</v>
      </c>
      <c r="L431" t="e">
        <v>#N/A</v>
      </c>
      <c r="M431" t="e">
        <v>#N/A</v>
      </c>
    </row>
    <row r="432">
      <c r="A432" s="9" t="inlineStr">
        <is>
          <t>Cynthia Skariah</t>
        </is>
      </c>
      <c r="B432" s="9" t="inlineStr">
        <is>
          <t>9/7/25 - 10/4/25</t>
        </is>
      </c>
      <c r="C432" s="12" t="n">
        <v>0.76</v>
      </c>
      <c r="D432" s="12" t="n">
        <v>0.9399999999999999</v>
      </c>
      <c r="E432" s="12" t="n">
        <v>1</v>
      </c>
      <c r="F432" s="12" t="n">
        <v>0.99</v>
      </c>
      <c r="G432" s="12" t="n">
        <v>0.17</v>
      </c>
      <c r="H432" s="9" t="n">
        <v>5</v>
      </c>
      <c r="I432" s="10" t="inlineStr">
        <is>
          <t>0/4</t>
        </is>
      </c>
      <c r="J432" s="12" t="n">
        <v>0</v>
      </c>
      <c r="K432" t="e">
        <v>#N/A</v>
      </c>
      <c r="L432" t="e">
        <v>#N/A</v>
      </c>
      <c r="M432" t="e">
        <v>#N/A</v>
      </c>
    </row>
    <row r="433">
      <c r="A433" s="9" t="inlineStr">
        <is>
          <t>Daniel Esquivel-Reynoso</t>
        </is>
      </c>
      <c r="B433" s="9" t="inlineStr">
        <is>
          <t>10/5/25 - 11/1/25</t>
        </is>
      </c>
      <c r="C433" s="12" t="n">
        <v>0.956299999999999</v>
      </c>
      <c r="D433" s="12" t="n">
        <v>0.9818</v>
      </c>
      <c r="E433" s="12" t="n">
        <v>1</v>
      </c>
      <c r="F433" s="12" t="n">
        <v>1</v>
      </c>
      <c r="G433" s="12" t="n">
        <v>0.266666666666666</v>
      </c>
      <c r="H433" s="9" t="n">
        <v>6</v>
      </c>
      <c r="I433" s="10" t="inlineStr">
        <is>
          <t>0/2</t>
        </is>
      </c>
      <c r="J433" s="12" t="n">
        <v>0</v>
      </c>
      <c r="K433" t="inlineStr">
        <is>
          <t>Distinguished</t>
        </is>
      </c>
      <c r="L433" t="inlineStr">
        <is>
          <t>Adjunct</t>
        </is>
      </c>
      <c r="M433" t="inlineStr">
        <is>
          <t>Annelies de Groot</t>
        </is>
      </c>
    </row>
    <row r="434">
      <c r="A434" s="9" t="inlineStr">
        <is>
          <t>Daniel Esquivel-Reynoso</t>
        </is>
      </c>
      <c r="B434" s="9" t="inlineStr">
        <is>
          <t>11/2/25 - 11/29/25</t>
        </is>
      </c>
      <c r="C434" s="12" t="n">
        <v>1.08</v>
      </c>
      <c r="D434" s="12" t="n">
        <v>1.14</v>
      </c>
      <c r="E434" s="12" t="n">
        <v>0.99</v>
      </c>
      <c r="F434" s="12" t="n">
        <v>1</v>
      </c>
      <c r="G434" s="12" t="n">
        <v>0.31</v>
      </c>
      <c r="H434" s="9" t="n">
        <v>11</v>
      </c>
      <c r="I434" s="13" t="n">
        <v>45751</v>
      </c>
      <c r="J434" s="12" t="n">
        <v>1</v>
      </c>
      <c r="K434" t="inlineStr">
        <is>
          <t>Distinguished</t>
        </is>
      </c>
      <c r="L434" t="inlineStr">
        <is>
          <t>Adjunct</t>
        </is>
      </c>
      <c r="M434" t="inlineStr">
        <is>
          <t>Annelies de Groot</t>
        </is>
      </c>
    </row>
    <row r="435">
      <c r="A435" s="9" t="inlineStr">
        <is>
          <t>Daniel Esquivel-Reynoso</t>
        </is>
      </c>
      <c r="B435" s="9" t="inlineStr">
        <is>
          <t>11/30/25 - 12/27/25</t>
        </is>
      </c>
      <c r="C435" s="12" t="n">
        <v>1.05</v>
      </c>
      <c r="D435" s="12" t="n">
        <v>1.12</v>
      </c>
      <c r="E435" s="12" t="n">
        <v>1</v>
      </c>
      <c r="F435" s="12" t="n">
        <v>0.96</v>
      </c>
      <c r="G435" s="12" t="n">
        <v>0.55</v>
      </c>
      <c r="H435" s="9" t="n">
        <v>7</v>
      </c>
      <c r="I435" s="10" t="n">
        <v>0.25</v>
      </c>
      <c r="J435" s="12" t="n">
        <v>0.25</v>
      </c>
      <c r="K435" t="inlineStr">
        <is>
          <t>Distinguished</t>
        </is>
      </c>
      <c r="L435" t="inlineStr">
        <is>
          <t>Adjunct</t>
        </is>
      </c>
      <c r="M435" t="inlineStr">
        <is>
          <t>Annelies de Groot</t>
        </is>
      </c>
    </row>
    <row r="436">
      <c r="A436" s="9" t="inlineStr">
        <is>
          <t>Daniel Esquivel-Reynoso</t>
        </is>
      </c>
      <c r="B436" s="9" t="inlineStr">
        <is>
          <t>12/28/25 - 1/25/26</t>
        </is>
      </c>
      <c r="C436" s="12" t="n">
        <v>0.824</v>
      </c>
      <c r="D436" s="12" t="n">
        <v>1.1224</v>
      </c>
      <c r="E436" s="12" t="n">
        <v>1</v>
      </c>
      <c r="F436" s="12" t="n">
        <v>1</v>
      </c>
      <c r="G436" s="12" t="n">
        <v>0.666666667</v>
      </c>
      <c r="H436" s="9" t="n">
        <v>8</v>
      </c>
      <c r="I436" s="10" t="n">
        <v>1</v>
      </c>
      <c r="J436" s="12">
        <f>I436</f>
        <v/>
      </c>
      <c r="K436" t="inlineStr">
        <is>
          <t>Distinguished</t>
        </is>
      </c>
      <c r="L436" t="inlineStr">
        <is>
          <t>Adjunct</t>
        </is>
      </c>
      <c r="M436" t="inlineStr">
        <is>
          <t>Annelies de Groot</t>
        </is>
      </c>
    </row>
    <row r="437">
      <c r="A437" s="9" t="inlineStr">
        <is>
          <t>Daniel Esquivel-Reynoso</t>
        </is>
      </c>
      <c r="B437" s="9" t="inlineStr">
        <is>
          <t>5/18/25 - 6/14/25</t>
        </is>
      </c>
      <c r="C437" s="12" t="n">
        <v>0.18</v>
      </c>
      <c r="D437" s="12" t="n">
        <v>1</v>
      </c>
      <c r="E437" s="12" t="n">
        <v>0.88</v>
      </c>
      <c r="F437" s="12" t="n">
        <v>0.88</v>
      </c>
      <c r="G437" s="12" t="n">
        <v>1</v>
      </c>
      <c r="H437" s="9" t="n">
        <v>1</v>
      </c>
      <c r="I437" s="10" t="n">
        <v>0</v>
      </c>
      <c r="J437" s="12">
        <f>I437</f>
        <v/>
      </c>
      <c r="K437" t="inlineStr">
        <is>
          <t>Distinguished</t>
        </is>
      </c>
      <c r="L437" t="inlineStr">
        <is>
          <t>Adjunct</t>
        </is>
      </c>
      <c r="M437" t="inlineStr">
        <is>
          <t>Annelies de Groot</t>
        </is>
      </c>
    </row>
    <row r="438">
      <c r="A438" s="9" t="inlineStr">
        <is>
          <t>Daniel Esquivel-Reynoso</t>
        </is>
      </c>
      <c r="B438" s="9" t="inlineStr">
        <is>
          <t>6/15/25 - 7/12/25</t>
        </is>
      </c>
      <c r="C438" s="12" t="n">
        <v>0.18</v>
      </c>
      <c r="D438" s="12" t="n">
        <v>1.01</v>
      </c>
      <c r="E438" s="12" t="n">
        <v>1</v>
      </c>
      <c r="F438" s="12" t="n">
        <v>0.57</v>
      </c>
      <c r="G438" s="12" t="n">
        <v>0.9</v>
      </c>
      <c r="H438" s="9" t="n">
        <v>1</v>
      </c>
      <c r="I438" s="10" t="n">
        <v>1</v>
      </c>
      <c r="J438" s="12">
        <f>I438</f>
        <v/>
      </c>
      <c r="K438" t="inlineStr">
        <is>
          <t>Distinguished</t>
        </is>
      </c>
      <c r="L438" t="inlineStr">
        <is>
          <t>Adjunct</t>
        </is>
      </c>
      <c r="M438" t="inlineStr">
        <is>
          <t>Annelies de Groot</t>
        </is>
      </c>
    </row>
    <row r="439">
      <c r="A439" s="9" t="inlineStr">
        <is>
          <t>Daniel Esquivel-Reynoso</t>
        </is>
      </c>
      <c r="B439" s="9" t="inlineStr">
        <is>
          <t>7/13/25 - 8/10/25</t>
        </is>
      </c>
      <c r="C439" s="12" t="n">
        <v>0.66</v>
      </c>
      <c r="D439" s="12" t="n">
        <v>1.14</v>
      </c>
      <c r="E439" s="12" t="n">
        <v>0.92</v>
      </c>
      <c r="F439" s="12" t="n">
        <v>0.89</v>
      </c>
      <c r="G439" s="12" t="n">
        <v>0.77</v>
      </c>
      <c r="H439" s="9" t="n">
        <v>3</v>
      </c>
      <c r="I439" s="10" t="inlineStr">
        <is>
          <t xml:space="preserve"> 3/7</t>
        </is>
      </c>
      <c r="J439" s="12" t="n">
        <v>0.43</v>
      </c>
      <c r="K439" t="inlineStr">
        <is>
          <t>Distinguished</t>
        </is>
      </c>
      <c r="L439" t="inlineStr">
        <is>
          <t>Adjunct</t>
        </is>
      </c>
      <c r="M439" t="inlineStr">
        <is>
          <t>Annelies de Groot</t>
        </is>
      </c>
    </row>
    <row r="440">
      <c r="A440" s="9" t="inlineStr">
        <is>
          <t>Daniel Esquivel-Reynoso</t>
        </is>
      </c>
      <c r="B440" s="9" t="inlineStr">
        <is>
          <t>8/10/25 - 9/6/25</t>
        </is>
      </c>
      <c r="C440" s="12" t="n">
        <v>0.79</v>
      </c>
      <c r="D440" s="12" t="n">
        <v>1.14</v>
      </c>
      <c r="E440" s="12" t="n">
        <v>0.97</v>
      </c>
      <c r="F440" s="12" t="n">
        <v>0.98</v>
      </c>
      <c r="G440" s="12" t="n">
        <v>0.55</v>
      </c>
      <c r="H440" s="9" t="n">
        <v>2</v>
      </c>
      <c r="I440" s="10" t="inlineStr">
        <is>
          <t>0/5</t>
        </is>
      </c>
      <c r="J440" s="12" t="n">
        <v>0</v>
      </c>
      <c r="K440" t="inlineStr">
        <is>
          <t>Distinguished</t>
        </is>
      </c>
      <c r="L440" t="inlineStr">
        <is>
          <t>Adjunct</t>
        </is>
      </c>
      <c r="M440" t="inlineStr">
        <is>
          <t>Annelies de Groot</t>
        </is>
      </c>
    </row>
    <row r="441">
      <c r="A441" s="9" t="inlineStr">
        <is>
          <t>Daniel Esquivel-Reynoso</t>
        </is>
      </c>
      <c r="B441" s="9" t="inlineStr">
        <is>
          <t>9/7/25 - 10/4/25</t>
        </is>
      </c>
      <c r="C441" s="12" t="n">
        <v>0.83</v>
      </c>
      <c r="D441" s="12" t="n">
        <v>1.11</v>
      </c>
      <c r="E441" s="12" t="n">
        <v>0.99</v>
      </c>
      <c r="F441" s="12" t="n">
        <v>1</v>
      </c>
      <c r="G441" s="12" t="n">
        <v>0.22</v>
      </c>
      <c r="H441" s="9" t="n">
        <v>8</v>
      </c>
      <c r="I441" s="10" t="inlineStr">
        <is>
          <t>3/8</t>
        </is>
      </c>
      <c r="J441" s="12" t="n">
        <v>0.38</v>
      </c>
      <c r="K441" t="inlineStr">
        <is>
          <t>Distinguished</t>
        </is>
      </c>
      <c r="L441" t="inlineStr">
        <is>
          <t>Adjunct</t>
        </is>
      </c>
      <c r="M441" t="inlineStr">
        <is>
          <t>Annelies de Groot</t>
        </is>
      </c>
    </row>
    <row r="442">
      <c r="A442" s="9" t="inlineStr">
        <is>
          <t>Daniel Olson</t>
        </is>
      </c>
      <c r="B442" s="9" t="inlineStr">
        <is>
          <t>10/5/25 - 11/1/25</t>
        </is>
      </c>
      <c r="C442" s="12" t="n">
        <v>1.0667</v>
      </c>
      <c r="D442" s="12" t="n">
        <v>1.176</v>
      </c>
      <c r="E442" s="12" t="n">
        <v>1</v>
      </c>
      <c r="F442" s="12" t="n">
        <v>0.5</v>
      </c>
      <c r="G442" s="12" t="n">
        <v>0.117647058823529</v>
      </c>
      <c r="H442" s="9" t="n">
        <v>9</v>
      </c>
      <c r="I442" s="10" t="inlineStr">
        <is>
          <t>2/17</t>
        </is>
      </c>
      <c r="J442" s="12" t="n">
        <v>0.12</v>
      </c>
      <c r="K442" t="inlineStr">
        <is>
          <t>Distinguished</t>
        </is>
      </c>
      <c r="L442" t="inlineStr">
        <is>
          <t>Professional</t>
        </is>
      </c>
      <c r="M442" t="inlineStr">
        <is>
          <t>Annelies de Groot</t>
        </is>
      </c>
    </row>
    <row r="443">
      <c r="A443" s="9" t="inlineStr">
        <is>
          <t>Daniel Olson</t>
        </is>
      </c>
      <c r="B443" s="9" t="inlineStr">
        <is>
          <t>10/5/25 - 11/1/25</t>
        </is>
      </c>
      <c r="C443" s="12" t="n">
        <v>1.0667</v>
      </c>
      <c r="D443" s="12" t="n">
        <v>1.176</v>
      </c>
      <c r="E443" s="12" t="n">
        <v>1</v>
      </c>
      <c r="F443" s="12" t="n">
        <v>0.5</v>
      </c>
      <c r="G443" s="12" t="n">
        <v>0.117647058823529</v>
      </c>
      <c r="H443" s="9" t="n">
        <v>9</v>
      </c>
      <c r="I443" s="10" t="inlineStr">
        <is>
          <t>2/17</t>
        </is>
      </c>
      <c r="J443" s="12">
        <f>_xlfn.TEXTBEFORE(I443, "/")/_xlfn.TEXTAFTER(I443,"/")</f>
        <v/>
      </c>
      <c r="K443" t="inlineStr">
        <is>
          <t>Distinguished</t>
        </is>
      </c>
      <c r="L443" t="inlineStr">
        <is>
          <t>Professional</t>
        </is>
      </c>
      <c r="M443" t="inlineStr">
        <is>
          <t>Annelies de Groot</t>
        </is>
      </c>
    </row>
    <row r="444">
      <c r="A444" s="9" t="inlineStr">
        <is>
          <t>Daniel Olson</t>
        </is>
      </c>
      <c r="B444" s="9" t="inlineStr">
        <is>
          <t>11/2/25 - 11/29/25</t>
        </is>
      </c>
      <c r="C444" s="12" t="n">
        <v>1.06</v>
      </c>
      <c r="D444" s="12" t="n">
        <v>1.03</v>
      </c>
      <c r="E444" s="12" t="n">
        <v>0.99</v>
      </c>
      <c r="F444" s="12" t="n">
        <v>1</v>
      </c>
      <c r="G444" s="12" t="n">
        <v>0</v>
      </c>
      <c r="H444" s="9" t="n">
        <v>9</v>
      </c>
      <c r="I444" s="13" t="n">
        <v>45665</v>
      </c>
      <c r="J444" s="14" t="n">
        <v>0.13</v>
      </c>
      <c r="K444" t="inlineStr">
        <is>
          <t>Distinguished</t>
        </is>
      </c>
      <c r="L444" t="inlineStr">
        <is>
          <t>Professional</t>
        </is>
      </c>
      <c r="M444" t="inlineStr">
        <is>
          <t>Annelies de Groot</t>
        </is>
      </c>
    </row>
    <row r="445">
      <c r="A445" s="9" t="inlineStr">
        <is>
          <t>Daniel Olson</t>
        </is>
      </c>
      <c r="B445" s="9" t="inlineStr">
        <is>
          <t>11/30/25 - 12/27/25</t>
        </is>
      </c>
      <c r="C445" s="12" t="n">
        <v>1.02</v>
      </c>
      <c r="D445" s="12" t="n">
        <v>0.97</v>
      </c>
      <c r="E445" s="12" t="n">
        <v>1</v>
      </c>
      <c r="F445" s="12" t="n">
        <v>0.89</v>
      </c>
      <c r="G445" s="12" t="n">
        <v>0.24</v>
      </c>
      <c r="H445" s="9" t="n">
        <v>7</v>
      </c>
      <c r="I445" s="10" t="n">
        <v>0.125</v>
      </c>
      <c r="J445" s="12">
        <f>1/8</f>
        <v/>
      </c>
      <c r="K445" t="inlineStr">
        <is>
          <t>Distinguished</t>
        </is>
      </c>
      <c r="L445" t="inlineStr">
        <is>
          <t>Professional</t>
        </is>
      </c>
      <c r="M445" t="inlineStr">
        <is>
          <t>Annelies de Groot</t>
        </is>
      </c>
    </row>
    <row r="446">
      <c r="A446" s="9" t="inlineStr">
        <is>
          <t>Daniel Olson</t>
        </is>
      </c>
      <c r="B446" s="9" t="inlineStr">
        <is>
          <t>12/28/25 - 1/25/26</t>
        </is>
      </c>
      <c r="C446" s="12" t="n">
        <v>0.85</v>
      </c>
      <c r="D446" s="12" t="n">
        <v>1.0214</v>
      </c>
      <c r="E446" s="12" t="n">
        <v>1</v>
      </c>
      <c r="F446" s="12" t="n">
        <v>1</v>
      </c>
      <c r="G446" s="12" t="n">
        <v>0.384615385</v>
      </c>
      <c r="H446" s="9" t="n">
        <v>14</v>
      </c>
      <c r="I446" s="10" t="n">
        <v>0.1428571428571428</v>
      </c>
      <c r="J446" s="12">
        <f>I446</f>
        <v/>
      </c>
      <c r="K446" t="inlineStr">
        <is>
          <t>Distinguished</t>
        </is>
      </c>
      <c r="L446" t="inlineStr">
        <is>
          <t>Professional</t>
        </is>
      </c>
      <c r="M446" t="inlineStr">
        <is>
          <t>Annelies de Groot</t>
        </is>
      </c>
    </row>
    <row r="447">
      <c r="A447" s="9" t="inlineStr">
        <is>
          <t>Daniel Olson</t>
        </is>
      </c>
      <c r="B447" s="9" t="inlineStr">
        <is>
          <t>9/7/25 - 10/4/25</t>
        </is>
      </c>
      <c r="C447" s="12" t="n">
        <v>0.7</v>
      </c>
      <c r="D447" s="12" t="n">
        <v>1.04</v>
      </c>
      <c r="E447" s="12" t="n">
        <v>0.99</v>
      </c>
      <c r="F447" s="12" t="n">
        <v>0.93</v>
      </c>
      <c r="G447" s="12" t="n">
        <v>0.4</v>
      </c>
      <c r="H447" s="9" t="n">
        <v>1</v>
      </c>
      <c r="I447" s="10" t="inlineStr">
        <is>
          <t>2/11</t>
        </is>
      </c>
      <c r="J447" s="12" t="n">
        <v>0.18</v>
      </c>
      <c r="K447" t="inlineStr">
        <is>
          <t>Distinguished</t>
        </is>
      </c>
      <c r="L447" t="inlineStr">
        <is>
          <t>Professional</t>
        </is>
      </c>
      <c r="M447" t="inlineStr">
        <is>
          <t>Annelies de Groot</t>
        </is>
      </c>
    </row>
    <row r="448">
      <c r="A448" s="9" t="inlineStr">
        <is>
          <t>Daniel Severance</t>
        </is>
      </c>
      <c r="B448" s="9" t="inlineStr">
        <is>
          <t>10/5/25 - 11/1/25</t>
        </is>
      </c>
      <c r="C448" s="12" t="n">
        <v>0.7071</v>
      </c>
      <c r="D448" s="12" t="n">
        <v>1.46949999999999</v>
      </c>
      <c r="E448" s="12" t="n">
        <v>0.988235294117647</v>
      </c>
      <c r="F448" s="12" t="n">
        <v>0.981132075471698</v>
      </c>
      <c r="G448" s="12" t="n">
        <v>0.72</v>
      </c>
      <c r="H448" s="9" t="n">
        <v>3</v>
      </c>
      <c r="I448" s="10" t="inlineStr">
        <is>
          <t>4/5</t>
        </is>
      </c>
      <c r="J448" s="12" t="n">
        <v>0.8</v>
      </c>
      <c r="K448" t="inlineStr">
        <is>
          <t>Premium</t>
        </is>
      </c>
      <c r="L448" t="inlineStr">
        <is>
          <t>Professional</t>
        </is>
      </c>
      <c r="M448" t="inlineStr">
        <is>
          <t>Annelies de Groot</t>
        </is>
      </c>
    </row>
    <row r="449">
      <c r="A449" s="9" t="inlineStr">
        <is>
          <t>Daniel Severance</t>
        </is>
      </c>
      <c r="B449" s="9" t="inlineStr">
        <is>
          <t>11/2/25 - 11/29/25</t>
        </is>
      </c>
      <c r="C449" s="12" t="n">
        <v>0.65</v>
      </c>
      <c r="D449" s="12" t="n">
        <v>1.35</v>
      </c>
      <c r="E449" s="12" t="n">
        <v>1</v>
      </c>
      <c r="F449" s="12" t="n">
        <v>1</v>
      </c>
      <c r="G449" s="12" t="n">
        <v>0.6899999999999999</v>
      </c>
      <c r="H449" s="9" t="n">
        <v>2</v>
      </c>
      <c r="I449" s="13" t="n">
        <v>45661</v>
      </c>
      <c r="J449" s="14" t="n">
        <v>0.25</v>
      </c>
      <c r="K449" t="inlineStr">
        <is>
          <t>Premium</t>
        </is>
      </c>
      <c r="L449" t="inlineStr">
        <is>
          <t>Professional</t>
        </is>
      </c>
      <c r="M449" t="inlineStr">
        <is>
          <t>Annelies de Groot</t>
        </is>
      </c>
    </row>
    <row r="450">
      <c r="A450" s="9" t="inlineStr">
        <is>
          <t>Daniel Severance</t>
        </is>
      </c>
      <c r="B450" s="9" t="inlineStr">
        <is>
          <t>11/30/25 - 12/27/25</t>
        </is>
      </c>
      <c r="C450" s="12" t="n">
        <v>0.61</v>
      </c>
      <c r="D450" s="12" t="n">
        <v>1.24</v>
      </c>
      <c r="E450" s="12" t="n">
        <v>1</v>
      </c>
      <c r="F450" s="12" t="n">
        <v>1</v>
      </c>
      <c r="G450" s="12" t="n">
        <v>0.74</v>
      </c>
      <c r="H450" s="9" t="n">
        <v>5</v>
      </c>
      <c r="I450" s="10" t="n">
        <v>0.3333333333333333</v>
      </c>
      <c r="J450" s="12" t="n">
        <v>0.33</v>
      </c>
      <c r="K450" t="inlineStr">
        <is>
          <t>Premium</t>
        </is>
      </c>
      <c r="L450" t="inlineStr">
        <is>
          <t>Professional</t>
        </is>
      </c>
      <c r="M450" t="inlineStr">
        <is>
          <t>Annelies de Groot</t>
        </is>
      </c>
    </row>
    <row r="451">
      <c r="A451" s="9" t="inlineStr">
        <is>
          <t>Daniel Severance</t>
        </is>
      </c>
      <c r="B451" s="9" t="inlineStr">
        <is>
          <t>12/28/25 - 1/25/26</t>
        </is>
      </c>
      <c r="C451" s="12" t="n">
        <v>0.65</v>
      </c>
      <c r="D451" s="12" t="n">
        <v>1.3401</v>
      </c>
      <c r="E451" s="12" t="n">
        <v>0.987179487</v>
      </c>
      <c r="F451" s="12" t="n">
        <v>1</v>
      </c>
      <c r="G451" s="12" t="n">
        <v>0.615384615</v>
      </c>
      <c r="H451" s="9" t="n">
        <v>6</v>
      </c>
      <c r="I451" s="10" t="n">
        <v>1</v>
      </c>
      <c r="J451" s="12">
        <f>I451</f>
        <v/>
      </c>
      <c r="K451" t="inlineStr">
        <is>
          <t>Premium</t>
        </is>
      </c>
      <c r="L451" t="inlineStr">
        <is>
          <t>Professional</t>
        </is>
      </c>
      <c r="M451" t="inlineStr">
        <is>
          <t>Annelies de Groot</t>
        </is>
      </c>
    </row>
    <row r="452">
      <c r="A452" s="9" t="inlineStr">
        <is>
          <t>Daniel Severance</t>
        </is>
      </c>
      <c r="B452" s="9" t="inlineStr">
        <is>
          <t>5/18/25 - 6/14/25</t>
        </is>
      </c>
      <c r="C452" s="12" t="n">
        <v>0.66</v>
      </c>
      <c r="D452" s="12" t="n">
        <v>1.03</v>
      </c>
      <c r="E452" s="12" t="n">
        <v>0.92</v>
      </c>
      <c r="F452" s="12" t="n">
        <v>0.98</v>
      </c>
      <c r="G452" s="12" t="n">
        <v>0.82</v>
      </c>
      <c r="H452" s="9" t="n">
        <v>8</v>
      </c>
      <c r="I452" s="10" t="n">
        <v>1</v>
      </c>
      <c r="J452" s="12">
        <f>I452</f>
        <v/>
      </c>
      <c r="K452" t="inlineStr">
        <is>
          <t>Premium</t>
        </is>
      </c>
      <c r="L452" t="inlineStr">
        <is>
          <t>Professional</t>
        </is>
      </c>
      <c r="M452" t="inlineStr">
        <is>
          <t>Annelies de Groot</t>
        </is>
      </c>
    </row>
    <row r="453">
      <c r="A453" s="9" t="inlineStr">
        <is>
          <t>Daniel Severance</t>
        </is>
      </c>
      <c r="B453" s="9" t="inlineStr">
        <is>
          <t>6/15/25 - 7/12/25</t>
        </is>
      </c>
      <c r="C453" s="12" t="n">
        <v>0.7</v>
      </c>
      <c r="D453" s="12" t="n">
        <v>1.3</v>
      </c>
      <c r="E453" s="12" t="n">
        <v>0.99</v>
      </c>
      <c r="F453" s="12" t="n">
        <v>1</v>
      </c>
      <c r="G453" s="12" t="n">
        <v>0.62</v>
      </c>
      <c r="H453" s="9" t="n">
        <v>4</v>
      </c>
      <c r="I453" s="10" t="n">
        <v>1</v>
      </c>
      <c r="J453" s="12">
        <f>I453</f>
        <v/>
      </c>
      <c r="K453" t="inlineStr">
        <is>
          <t>Premium</t>
        </is>
      </c>
      <c r="L453" t="inlineStr">
        <is>
          <t>Professional</t>
        </is>
      </c>
      <c r="M453" t="inlineStr">
        <is>
          <t>Annelies de Groot</t>
        </is>
      </c>
    </row>
    <row r="454">
      <c r="A454" s="9" t="inlineStr">
        <is>
          <t>Daniel Severance</t>
        </is>
      </c>
      <c r="B454" s="9" t="inlineStr">
        <is>
          <t>7/13/25 - 8/10/25</t>
        </is>
      </c>
      <c r="C454" s="12" t="n">
        <v>0.93</v>
      </c>
      <c r="D454" s="12" t="n">
        <v>0.96</v>
      </c>
      <c r="E454" s="12" t="n">
        <v>0.99</v>
      </c>
      <c r="F454" s="12" t="n">
        <v>0.98</v>
      </c>
      <c r="G454" s="12" t="n">
        <v>0.47</v>
      </c>
      <c r="H454" s="9" t="n">
        <v>1</v>
      </c>
      <c r="I454" s="10" t="inlineStr">
        <is>
          <t xml:space="preserve"> 2/3</t>
        </is>
      </c>
      <c r="J454" s="12" t="n">
        <v>0.67</v>
      </c>
      <c r="K454" t="inlineStr">
        <is>
          <t>Premium</t>
        </is>
      </c>
      <c r="L454" t="inlineStr">
        <is>
          <t>Professional</t>
        </is>
      </c>
      <c r="M454" t="inlineStr">
        <is>
          <t>Annelies de Groot</t>
        </is>
      </c>
    </row>
    <row r="455">
      <c r="A455" s="9" t="inlineStr">
        <is>
          <t>Daniel Severance</t>
        </is>
      </c>
      <c r="B455" s="9" t="inlineStr">
        <is>
          <t>8/10/25 - 9/6/25</t>
        </is>
      </c>
      <c r="C455" s="12" t="n">
        <v>0.93</v>
      </c>
      <c r="D455" s="12" t="n">
        <v>1.14</v>
      </c>
      <c r="E455" s="12" t="n">
        <v>0.99</v>
      </c>
      <c r="F455" s="12" t="n">
        <v>1</v>
      </c>
      <c r="G455" s="12" t="n">
        <v>0.8100000000000001</v>
      </c>
      <c r="H455" s="9" t="n">
        <v>4</v>
      </c>
      <c r="I455" s="10" t="inlineStr">
        <is>
          <t>1/1</t>
        </is>
      </c>
      <c r="J455" s="12" t="n">
        <v>1</v>
      </c>
      <c r="K455" t="inlineStr">
        <is>
          <t>Premium</t>
        </is>
      </c>
      <c r="L455" t="inlineStr">
        <is>
          <t>Professional</t>
        </is>
      </c>
      <c r="M455" t="inlineStr">
        <is>
          <t>Annelies de Groot</t>
        </is>
      </c>
    </row>
    <row r="456">
      <c r="A456" s="9" t="inlineStr">
        <is>
          <t>Daniel Severance</t>
        </is>
      </c>
      <c r="B456" s="9" t="inlineStr">
        <is>
          <t>9/7/25 - 10/4/25</t>
        </is>
      </c>
      <c r="C456" s="12" t="n">
        <v>0.96</v>
      </c>
      <c r="D456" s="12" t="n">
        <v>1.08</v>
      </c>
      <c r="E456" s="12" t="n">
        <v>1</v>
      </c>
      <c r="F456" s="12" t="n">
        <v>0.97</v>
      </c>
      <c r="G456" s="12" t="n">
        <v>0.79</v>
      </c>
      <c r="H456" s="9" t="n">
        <v>2</v>
      </c>
      <c r="I456" s="10" t="inlineStr">
        <is>
          <t>3/4</t>
        </is>
      </c>
      <c r="J456" s="12" t="n">
        <v>0.75</v>
      </c>
      <c r="K456" t="inlineStr">
        <is>
          <t>Premium</t>
        </is>
      </c>
      <c r="L456" t="inlineStr">
        <is>
          <t>Professional</t>
        </is>
      </c>
      <c r="M456" t="inlineStr">
        <is>
          <t>Annelies de Groot</t>
        </is>
      </c>
    </row>
    <row r="457">
      <c r="A457" s="9" t="inlineStr">
        <is>
          <t>David Alcantara</t>
        </is>
      </c>
      <c r="B457" s="9" t="inlineStr">
        <is>
          <t>10/5/25 - 11/1/25</t>
        </is>
      </c>
      <c r="C457" s="12" t="n">
        <v>0.5375</v>
      </c>
      <c r="D457" s="12" t="n">
        <v>1.0164</v>
      </c>
      <c r="E457" s="12" t="n">
        <v>1</v>
      </c>
      <c r="F457" s="12" t="n">
        <v>0.756756756756756</v>
      </c>
      <c r="G457" s="12" t="n">
        <v>0.4</v>
      </c>
      <c r="H457" s="9" t="n">
        <v>3</v>
      </c>
      <c r="I457" s="10" t="inlineStr">
        <is>
          <t>3/4</t>
        </is>
      </c>
      <c r="J457" s="12" t="n">
        <v>0.75</v>
      </c>
      <c r="K457" t="inlineStr">
        <is>
          <t>Distinguished</t>
        </is>
      </c>
      <c r="L457" t="inlineStr">
        <is>
          <t>Professional</t>
        </is>
      </c>
      <c r="M457" t="inlineStr">
        <is>
          <t>Ela Cross</t>
        </is>
      </c>
    </row>
    <row r="458">
      <c r="A458" s="9" t="inlineStr">
        <is>
          <t>David Alcantara</t>
        </is>
      </c>
      <c r="B458" s="9" t="inlineStr">
        <is>
          <t>11/2/25 - 11/29/25</t>
        </is>
      </c>
      <c r="C458" s="12" t="n">
        <v>0.57</v>
      </c>
      <c r="D458" s="12" t="n">
        <v>0.99</v>
      </c>
      <c r="E458" s="12" t="n">
        <v>1</v>
      </c>
      <c r="F458" s="12" t="n">
        <v>0.97</v>
      </c>
      <c r="G458" s="12" t="n">
        <v>0.33</v>
      </c>
      <c r="H458" s="9" t="n">
        <v>4</v>
      </c>
      <c r="I458" s="13" t="n">
        <v>45719</v>
      </c>
      <c r="J458" s="12" t="n">
        <v>1</v>
      </c>
      <c r="K458" t="inlineStr">
        <is>
          <t>Distinguished</t>
        </is>
      </c>
      <c r="L458" t="inlineStr">
        <is>
          <t>Professional</t>
        </is>
      </c>
      <c r="M458" t="inlineStr">
        <is>
          <t>Ela Cross</t>
        </is>
      </c>
    </row>
    <row r="459">
      <c r="A459" s="9" t="inlineStr">
        <is>
          <t>David Alcantara</t>
        </is>
      </c>
      <c r="B459" s="9" t="inlineStr">
        <is>
          <t>11/30/25 - 12/27/25</t>
        </is>
      </c>
      <c r="C459" s="12" t="n">
        <v>0.52</v>
      </c>
      <c r="D459" s="12" t="n">
        <v>0.99</v>
      </c>
      <c r="E459" s="12" t="n">
        <v>1</v>
      </c>
      <c r="F459" s="12" t="n">
        <v>1</v>
      </c>
      <c r="G459" s="12" t="n">
        <v>0.5</v>
      </c>
      <c r="H459" s="9" t="n">
        <v>2</v>
      </c>
      <c r="I459" s="10" t="n">
        <v>0.5</v>
      </c>
      <c r="J459" s="12" t="n">
        <v>0.5</v>
      </c>
      <c r="K459" t="inlineStr">
        <is>
          <t>Distinguished</t>
        </is>
      </c>
      <c r="L459" t="inlineStr">
        <is>
          <t>Professional</t>
        </is>
      </c>
      <c r="M459" t="inlineStr">
        <is>
          <t>Ela Cross</t>
        </is>
      </c>
    </row>
    <row r="460">
      <c r="A460" s="9" t="inlineStr">
        <is>
          <t>David Alcantara</t>
        </is>
      </c>
      <c r="B460" s="9" t="inlineStr">
        <is>
          <t>12/28/25 - 1/25/26</t>
        </is>
      </c>
      <c r="C460" s="12" t="n">
        <v>0.2792</v>
      </c>
      <c r="D460" s="12" t="n">
        <v>0.7599</v>
      </c>
      <c r="E460" s="12" t="n">
        <v>1</v>
      </c>
      <c r="F460" s="12" t="n">
        <v>0.8</v>
      </c>
      <c r="G460" s="12" t="n">
        <v>0.25</v>
      </c>
      <c r="H460" s="9" t="n">
        <v>0</v>
      </c>
      <c r="I460" s="10" t="n">
        <v>1</v>
      </c>
      <c r="J460" s="12">
        <f>I460</f>
        <v/>
      </c>
      <c r="K460" t="inlineStr">
        <is>
          <t>Distinguished</t>
        </is>
      </c>
      <c r="L460" t="inlineStr">
        <is>
          <t>Professional</t>
        </is>
      </c>
      <c r="M460" t="inlineStr">
        <is>
          <t>Ela Cross</t>
        </is>
      </c>
    </row>
    <row r="461">
      <c r="A461" s="9" t="inlineStr">
        <is>
          <t>David Alcantara</t>
        </is>
      </c>
      <c r="B461" s="9" t="inlineStr">
        <is>
          <t>5/18/25 - 6/14/25</t>
        </is>
      </c>
      <c r="C461" s="12" t="n">
        <v>0.6899999999999999</v>
      </c>
      <c r="D461" s="12" t="n">
        <v>1.01</v>
      </c>
      <c r="E461" s="12" t="n">
        <v>1</v>
      </c>
      <c r="F461" s="12" t="n">
        <v>0.98</v>
      </c>
      <c r="G461" s="12" t="n">
        <v>0.8</v>
      </c>
      <c r="H461" s="9" t="n">
        <v>3</v>
      </c>
      <c r="I461" s="10" t="n">
        <v>1</v>
      </c>
      <c r="J461" s="12">
        <f>I461</f>
        <v/>
      </c>
      <c r="K461" t="inlineStr">
        <is>
          <t>Distinguished</t>
        </is>
      </c>
      <c r="L461" t="inlineStr">
        <is>
          <t>Professional</t>
        </is>
      </c>
      <c r="M461" t="inlineStr">
        <is>
          <t>Ela Cross</t>
        </is>
      </c>
    </row>
    <row r="462">
      <c r="A462" s="9" t="inlineStr">
        <is>
          <t>David Alcantara</t>
        </is>
      </c>
      <c r="B462" s="9" t="inlineStr">
        <is>
          <t>6/15/25 - 7/12/25</t>
        </is>
      </c>
      <c r="C462" s="12" t="n">
        <v>0.48</v>
      </c>
      <c r="D462" s="12" t="n">
        <v>1.03</v>
      </c>
      <c r="E462" s="12" t="n">
        <v>1</v>
      </c>
      <c r="F462" s="12" t="n">
        <v>1</v>
      </c>
      <c r="G462" s="12" t="n">
        <v>0.33</v>
      </c>
      <c r="H462" s="9" t="n">
        <v>1</v>
      </c>
      <c r="I462" s="10" t="n">
        <v>1</v>
      </c>
      <c r="J462" s="12">
        <f>I462</f>
        <v/>
      </c>
      <c r="K462" t="inlineStr">
        <is>
          <t>Distinguished</t>
        </is>
      </c>
      <c r="L462" t="inlineStr">
        <is>
          <t>Professional</t>
        </is>
      </c>
      <c r="M462" t="inlineStr">
        <is>
          <t>Ela Cross</t>
        </is>
      </c>
    </row>
    <row r="463">
      <c r="A463" s="9" t="inlineStr">
        <is>
          <t>David Alcantara</t>
        </is>
      </c>
      <c r="B463" s="9" t="inlineStr">
        <is>
          <t>7/13/25 - 8/10/25</t>
        </is>
      </c>
      <c r="C463" s="12" t="n">
        <v>0.58</v>
      </c>
      <c r="D463" s="12" t="n">
        <v>1.02</v>
      </c>
      <c r="E463" s="12" t="n">
        <v>1</v>
      </c>
      <c r="F463" s="12" t="n">
        <v>0.74</v>
      </c>
      <c r="G463" s="12" t="n">
        <v>0.46</v>
      </c>
      <c r="H463" s="9" t="e">
        <v>#N/A</v>
      </c>
      <c r="I463" s="10" t="n">
        <v>1</v>
      </c>
      <c r="J463" s="12">
        <f>I463</f>
        <v/>
      </c>
      <c r="K463" t="inlineStr">
        <is>
          <t>Distinguished</t>
        </is>
      </c>
      <c r="L463" t="inlineStr">
        <is>
          <t>Professional</t>
        </is>
      </c>
      <c r="M463" t="inlineStr">
        <is>
          <t>Ela Cross</t>
        </is>
      </c>
    </row>
    <row r="464">
      <c r="A464" s="9" t="inlineStr">
        <is>
          <t>David Alcantara</t>
        </is>
      </c>
      <c r="B464" s="9" t="inlineStr">
        <is>
          <t>8/10/25 - 9/6/25</t>
        </is>
      </c>
      <c r="C464" s="12" t="n">
        <v>0.32</v>
      </c>
      <c r="D464" s="12" t="n">
        <v>0.68</v>
      </c>
      <c r="E464" s="12" t="n">
        <v>1</v>
      </c>
      <c r="F464" s="12" t="n">
        <v>1</v>
      </c>
      <c r="G464" s="12" t="n">
        <v>0.78</v>
      </c>
      <c r="H464" s="9" t="n">
        <v>0</v>
      </c>
      <c r="I464" s="10" t="inlineStr">
        <is>
          <t>2/2</t>
        </is>
      </c>
      <c r="J464" s="12" t="n">
        <v>1</v>
      </c>
      <c r="K464" t="inlineStr">
        <is>
          <t>Distinguished</t>
        </is>
      </c>
      <c r="L464" t="inlineStr">
        <is>
          <t>Professional</t>
        </is>
      </c>
      <c r="M464" t="inlineStr">
        <is>
          <t>Ela Cross</t>
        </is>
      </c>
    </row>
    <row r="465">
      <c r="A465" s="9" t="inlineStr">
        <is>
          <t>David Alcantara</t>
        </is>
      </c>
      <c r="B465" s="9" t="inlineStr">
        <is>
          <t>9/7/25 - 10/4/25</t>
        </is>
      </c>
      <c r="C465" s="12" t="n">
        <v>0.4</v>
      </c>
      <c r="D465" s="12" t="n">
        <v>0.97</v>
      </c>
      <c r="E465" s="12" t="n">
        <v>1</v>
      </c>
      <c r="F465" s="12" t="n">
        <v>0.93</v>
      </c>
      <c r="G465" s="12" t="n">
        <v>0.43</v>
      </c>
      <c r="H465" s="9" t="n">
        <v>0</v>
      </c>
      <c r="I465" s="10" t="inlineStr">
        <is>
          <t>3/4</t>
        </is>
      </c>
      <c r="J465" s="12" t="n">
        <v>0.75</v>
      </c>
      <c r="K465" t="inlineStr">
        <is>
          <t>Distinguished</t>
        </is>
      </c>
      <c r="L465" t="inlineStr">
        <is>
          <t>Professional</t>
        </is>
      </c>
      <c r="M465" t="inlineStr">
        <is>
          <t>Ela Cross</t>
        </is>
      </c>
    </row>
    <row r="466">
      <c r="A466" s="9" t="inlineStr">
        <is>
          <t>David Keder</t>
        </is>
      </c>
      <c r="B466" s="9" t="inlineStr">
        <is>
          <t>10/5/25 - 11/1/25</t>
        </is>
      </c>
      <c r="C466" s="12" t="n">
        <v>1.3333</v>
      </c>
      <c r="D466" s="12" t="n">
        <v>1.20309999999999</v>
      </c>
      <c r="E466" s="12" t="n">
        <v>0.9399999999999999</v>
      </c>
      <c r="F466" s="12" t="n">
        <v>0.825</v>
      </c>
      <c r="G466" s="12" t="n">
        <v>0.333333333333333</v>
      </c>
      <c r="H466" s="9" t="n">
        <v>2</v>
      </c>
      <c r="I466" s="10" t="inlineStr">
        <is>
          <t>0/1</t>
        </is>
      </c>
      <c r="J466" s="12" t="n">
        <v>0</v>
      </c>
      <c r="K466" t="e">
        <v>#N/A</v>
      </c>
      <c r="L466" t="e">
        <v>#N/A</v>
      </c>
      <c r="M466" t="e">
        <v>#N/A</v>
      </c>
    </row>
    <row r="467">
      <c r="A467" s="9" t="inlineStr">
        <is>
          <t>David Keder</t>
        </is>
      </c>
      <c r="B467" s="9" t="inlineStr">
        <is>
          <t>11/2/25 - 11/29/25</t>
        </is>
      </c>
      <c r="C467" s="12" t="n">
        <v>1.16</v>
      </c>
      <c r="D467" s="12" t="n">
        <v>1.1</v>
      </c>
      <c r="E467" s="12" t="n">
        <v>0.78</v>
      </c>
      <c r="F467" s="12" t="n">
        <v>0.91</v>
      </c>
      <c r="G467" s="12" t="n">
        <v>0.44</v>
      </c>
      <c r="H467" s="9" t="n">
        <v>3</v>
      </c>
      <c r="I467" s="13" t="n">
        <v>45660</v>
      </c>
      <c r="J467" s="14">
        <f>1/3</f>
        <v/>
      </c>
      <c r="K467" t="e">
        <v>#N/A</v>
      </c>
      <c r="L467" t="e">
        <v>#N/A</v>
      </c>
      <c r="M467" t="e">
        <v>#N/A</v>
      </c>
    </row>
    <row r="468">
      <c r="A468" s="9" t="inlineStr">
        <is>
          <t>David Keder</t>
        </is>
      </c>
      <c r="B468" s="9" t="inlineStr">
        <is>
          <t>11/30/25 - 12/27/25</t>
        </is>
      </c>
      <c r="C468" s="12" t="n">
        <v>1.17</v>
      </c>
      <c r="D468" s="12" t="n">
        <v>1.38</v>
      </c>
      <c r="E468" s="12" t="n">
        <v>0.89</v>
      </c>
      <c r="F468" s="12" t="n">
        <v>0.66</v>
      </c>
      <c r="G468" s="12" t="n">
        <v>0.58</v>
      </c>
      <c r="H468" s="9" t="n">
        <v>3</v>
      </c>
      <c r="I468" s="10" t="n"/>
      <c r="J468" s="12" t="n"/>
      <c r="K468" t="e">
        <v>#N/A</v>
      </c>
      <c r="L468" t="e">
        <v>#N/A</v>
      </c>
      <c r="M468" t="e">
        <v>#N/A</v>
      </c>
    </row>
    <row r="469">
      <c r="A469" s="9" t="inlineStr">
        <is>
          <t>David Keder</t>
        </is>
      </c>
      <c r="B469" s="9" t="inlineStr">
        <is>
          <t>12/28/25 - 1/25/26</t>
        </is>
      </c>
      <c r="C469" s="12" t="n">
        <v>0.8958</v>
      </c>
      <c r="D469" s="12" t="n">
        <v>1.1354</v>
      </c>
      <c r="E469" s="12" t="n">
        <v>0.944444444</v>
      </c>
      <c r="F469" s="12" t="n">
        <v>0.928571429</v>
      </c>
      <c r="G469" s="12" t="n">
        <v>0.428571429</v>
      </c>
      <c r="H469" s="9" t="n">
        <v>4</v>
      </c>
      <c r="I469" s="10" t="inlineStr">
        <is>
          <t>0/1</t>
        </is>
      </c>
      <c r="J469" s="12" t="n">
        <v>0</v>
      </c>
      <c r="K469" t="e">
        <v>#N/A</v>
      </c>
      <c r="L469" t="e">
        <v>#N/A</v>
      </c>
      <c r="M469" t="e">
        <v>#N/A</v>
      </c>
    </row>
    <row r="470">
      <c r="A470" s="9" t="inlineStr">
        <is>
          <t>David Keder</t>
        </is>
      </c>
      <c r="B470" s="9" t="inlineStr">
        <is>
          <t>5/18/25 - 6/14/25</t>
        </is>
      </c>
      <c r="C470" s="12" t="n">
        <v>1.45</v>
      </c>
      <c r="D470" s="12" t="n">
        <v>1.52</v>
      </c>
      <c r="E470" s="12" t="n">
        <v>0.92</v>
      </c>
      <c r="F470" s="12" t="n">
        <v>1</v>
      </c>
      <c r="G470" s="12" t="n">
        <v>0.8</v>
      </c>
      <c r="H470" s="9" t="n">
        <v>2</v>
      </c>
      <c r="J470" s="9" t="n"/>
      <c r="K470" t="e">
        <v>#N/A</v>
      </c>
      <c r="L470" t="e">
        <v>#N/A</v>
      </c>
      <c r="M470" t="e">
        <v>#N/A</v>
      </c>
    </row>
    <row r="471">
      <c r="A471" s="9" t="inlineStr">
        <is>
          <t>David Keder</t>
        </is>
      </c>
      <c r="B471" s="9" t="inlineStr">
        <is>
          <t>6/15/25 - 7/12/25</t>
        </is>
      </c>
      <c r="C471" s="12" t="n">
        <v>0.41</v>
      </c>
      <c r="D471" s="12" t="n">
        <v>1.02</v>
      </c>
      <c r="E471" s="12" t="n">
        <v>1</v>
      </c>
      <c r="F471" s="12" t="n">
        <v>0.92</v>
      </c>
      <c r="G471" s="12" t="n">
        <v>0.67</v>
      </c>
      <c r="H471" s="9" t="n">
        <v>2</v>
      </c>
      <c r="I471" s="10" t="n">
        <v>1</v>
      </c>
      <c r="J471" s="12">
        <f>I471</f>
        <v/>
      </c>
      <c r="K471" t="e">
        <v>#N/A</v>
      </c>
      <c r="L471" t="e">
        <v>#N/A</v>
      </c>
      <c r="M471" t="e">
        <v>#N/A</v>
      </c>
    </row>
    <row r="472">
      <c r="A472" s="9" t="inlineStr">
        <is>
          <t>David Keder</t>
        </is>
      </c>
      <c r="B472" s="9" t="inlineStr">
        <is>
          <t>7/13/25 - 8/10/25</t>
        </is>
      </c>
      <c r="C472" s="12" t="n">
        <v>1</v>
      </c>
      <c r="D472" s="12" t="n">
        <v>1.16</v>
      </c>
      <c r="E472" s="12" t="n">
        <v>0.97</v>
      </c>
      <c r="F472" s="12" t="n">
        <v>0.96</v>
      </c>
      <c r="G472" s="12" t="n">
        <v>0.1</v>
      </c>
      <c r="H472" s="9" t="n">
        <v>1</v>
      </c>
      <c r="I472" s="10" t="n">
        <v>1</v>
      </c>
      <c r="J472" s="12">
        <f>I472</f>
        <v/>
      </c>
      <c r="K472" t="e">
        <v>#N/A</v>
      </c>
      <c r="L472" t="e">
        <v>#N/A</v>
      </c>
      <c r="M472" t="e">
        <v>#N/A</v>
      </c>
    </row>
    <row r="473">
      <c r="A473" s="9" t="inlineStr">
        <is>
          <t>David Keder</t>
        </is>
      </c>
      <c r="B473" s="9" t="inlineStr">
        <is>
          <t>8/10/25 - 9/6/25</t>
        </is>
      </c>
      <c r="C473" s="12" t="n">
        <v>0.91</v>
      </c>
      <c r="D473" s="12" t="n">
        <v>1.14</v>
      </c>
      <c r="E473" s="12" t="n">
        <v>0.9399999999999999</v>
      </c>
      <c r="F473" s="12" t="n">
        <v>0.96</v>
      </c>
      <c r="G473" s="12" t="n">
        <v>0.6</v>
      </c>
      <c r="H473" s="9" t="n">
        <v>4</v>
      </c>
      <c r="I473" s="11" t="n"/>
      <c r="J473" s="9" t="n"/>
      <c r="K473" t="e">
        <v>#N/A</v>
      </c>
      <c r="L473" t="e">
        <v>#N/A</v>
      </c>
      <c r="M473" t="e">
        <v>#N/A</v>
      </c>
    </row>
    <row r="474">
      <c r="A474" s="9" t="inlineStr">
        <is>
          <t>David Keder</t>
        </is>
      </c>
      <c r="B474" s="9" t="inlineStr">
        <is>
          <t>9/7/25 - 10/4/25</t>
        </is>
      </c>
      <c r="C474" s="12" t="n">
        <v>0.78</v>
      </c>
      <c r="D474" s="12" t="n">
        <v>1.15</v>
      </c>
      <c r="E474" s="12" t="n">
        <v>0.91</v>
      </c>
      <c r="F474" s="12" t="n">
        <v>0.91</v>
      </c>
      <c r="G474" s="12" t="n">
        <v>0.75</v>
      </c>
      <c r="H474" s="9" t="n">
        <v>5</v>
      </c>
      <c r="I474" s="10" t="inlineStr">
        <is>
          <t>2/2</t>
        </is>
      </c>
      <c r="J474" s="12" t="n">
        <v>1</v>
      </c>
      <c r="K474" t="e">
        <v>#N/A</v>
      </c>
      <c r="L474" t="e">
        <v>#N/A</v>
      </c>
      <c r="M474" t="e">
        <v>#N/A</v>
      </c>
    </row>
    <row r="475">
      <c r="A475" s="9" t="inlineStr">
        <is>
          <t>Dehavion Knight</t>
        </is>
      </c>
      <c r="B475" s="9" t="inlineStr">
        <is>
          <t>10/5/25 - 11/1/25</t>
        </is>
      </c>
      <c r="C475" s="12" t="n">
        <v>0.8125</v>
      </c>
      <c r="D475" s="12" t="n">
        <v>1.4375</v>
      </c>
      <c r="E475" s="12" t="n">
        <v>0.959183673469387</v>
      </c>
      <c r="F475" s="12" t="n">
        <v>1</v>
      </c>
      <c r="G475" s="12" t="n">
        <v>0.916666666666666</v>
      </c>
      <c r="H475" s="9" t="n">
        <v>8</v>
      </c>
      <c r="I475" s="10" t="n"/>
      <c r="J475" s="12" t="n"/>
      <c r="K475" t="inlineStr">
        <is>
          <t>Distinguished</t>
        </is>
      </c>
      <c r="L475" t="inlineStr">
        <is>
          <t>Adjunct</t>
        </is>
      </c>
      <c r="M475" t="inlineStr">
        <is>
          <t>Ela Cross</t>
        </is>
      </c>
    </row>
    <row r="476">
      <c r="A476" s="9" t="inlineStr">
        <is>
          <t>Dehavion Knight</t>
        </is>
      </c>
      <c r="B476" s="9" t="inlineStr">
        <is>
          <t>10/5/25 - 11/1/25</t>
        </is>
      </c>
      <c r="C476" s="12" t="n">
        <v>0.8125</v>
      </c>
      <c r="D476" s="12" t="n">
        <v>1.4375</v>
      </c>
      <c r="E476" s="12" t="n">
        <v>0.959183673469387</v>
      </c>
      <c r="F476" s="12" t="n">
        <v>1</v>
      </c>
      <c r="G476" s="12" t="n">
        <v>0.916666666666666</v>
      </c>
      <c r="H476" s="9" t="n">
        <v>8</v>
      </c>
      <c r="J476" s="9" t="n"/>
      <c r="K476" t="inlineStr">
        <is>
          <t>Distinguished</t>
        </is>
      </c>
      <c r="L476" t="inlineStr">
        <is>
          <t>Adjunct</t>
        </is>
      </c>
      <c r="M476" t="inlineStr">
        <is>
          <t>Ela Cross</t>
        </is>
      </c>
    </row>
    <row r="477">
      <c r="A477" s="9" t="inlineStr">
        <is>
          <t>Dehavion Knight</t>
        </is>
      </c>
      <c r="B477" s="9" t="inlineStr">
        <is>
          <t>11/2/25 - 11/29/25</t>
        </is>
      </c>
      <c r="C477" s="12" t="n">
        <v>0.87</v>
      </c>
      <c r="D477" s="12" t="n">
        <v>1.32</v>
      </c>
      <c r="E477" s="12" t="n">
        <v>0.98</v>
      </c>
      <c r="F477" s="12" t="n">
        <v>1</v>
      </c>
      <c r="G477" s="12" t="n">
        <v>1</v>
      </c>
      <c r="H477" s="9" t="n">
        <v>2</v>
      </c>
      <c r="I477" s="13" t="inlineStr">
        <is>
          <t>0/2</t>
        </is>
      </c>
      <c r="J477" s="12" t="n">
        <v>0</v>
      </c>
      <c r="K477" t="inlineStr">
        <is>
          <t>Distinguished</t>
        </is>
      </c>
      <c r="L477" t="inlineStr">
        <is>
          <t>Adjunct</t>
        </is>
      </c>
      <c r="M477" t="inlineStr">
        <is>
          <t>Ela Cross</t>
        </is>
      </c>
    </row>
    <row r="478">
      <c r="A478" s="9" t="inlineStr">
        <is>
          <t>Dehavion Knight</t>
        </is>
      </c>
      <c r="B478" s="9" t="inlineStr">
        <is>
          <t>11/30/25 - 12/27/25</t>
        </is>
      </c>
      <c r="C478" s="12" t="n">
        <v>1.13</v>
      </c>
      <c r="D478" s="12" t="n">
        <v>1.32</v>
      </c>
      <c r="E478" s="12" t="n">
        <v>0.95</v>
      </c>
      <c r="F478" s="12" t="n">
        <v>1</v>
      </c>
      <c r="G478" s="12" t="n">
        <v>0.67</v>
      </c>
      <c r="H478" s="9" t="n">
        <v>8</v>
      </c>
      <c r="I478" s="10" t="inlineStr">
        <is>
          <t>0/3</t>
        </is>
      </c>
      <c r="J478" s="12" t="n">
        <v>0</v>
      </c>
      <c r="K478" t="inlineStr">
        <is>
          <t>Distinguished</t>
        </is>
      </c>
      <c r="L478" t="inlineStr">
        <is>
          <t>Adjunct</t>
        </is>
      </c>
      <c r="M478" t="inlineStr">
        <is>
          <t>Ela Cross</t>
        </is>
      </c>
    </row>
    <row r="479">
      <c r="A479" s="9" t="inlineStr">
        <is>
          <t>Dehavion Knight</t>
        </is>
      </c>
      <c r="B479" s="9" t="inlineStr">
        <is>
          <t>12/28/25 - 1/25/26</t>
        </is>
      </c>
      <c r="C479" s="12" t="n">
        <v>1.2188</v>
      </c>
      <c r="D479" s="12" t="n">
        <v>1.3086</v>
      </c>
      <c r="E479" s="12" t="n">
        <v>0.961538462</v>
      </c>
      <c r="F479" s="12" t="n">
        <v>1</v>
      </c>
      <c r="G479" s="12" t="n">
        <v>0</v>
      </c>
      <c r="H479" s="9" t="n">
        <v>10</v>
      </c>
      <c r="I479" s="10" t="inlineStr">
        <is>
          <t>0/1</t>
        </is>
      </c>
      <c r="J479" s="12" t="n">
        <v>0</v>
      </c>
      <c r="K479" t="inlineStr">
        <is>
          <t>Distinguished</t>
        </is>
      </c>
      <c r="L479" t="inlineStr">
        <is>
          <t>Adjunct</t>
        </is>
      </c>
      <c r="M479" t="inlineStr">
        <is>
          <t>Ela Cross</t>
        </is>
      </c>
    </row>
    <row r="480">
      <c r="A480" s="9" t="inlineStr">
        <is>
          <t>Dehavion Knight</t>
        </is>
      </c>
      <c r="B480" s="9" t="inlineStr">
        <is>
          <t>5/18/25 - 6/14/25</t>
        </is>
      </c>
      <c r="C480" s="12" t="n">
        <v>0.65</v>
      </c>
      <c r="D480" s="12" t="n">
        <v>1.16</v>
      </c>
      <c r="E480" s="12" t="n">
        <v>0.98</v>
      </c>
      <c r="F480" s="12" t="n">
        <v>0.41</v>
      </c>
      <c r="G480" s="12" t="n">
        <v>0.33</v>
      </c>
      <c r="H480" s="9" t="e">
        <v>#N/A</v>
      </c>
      <c r="J480" s="9" t="n"/>
      <c r="K480" t="inlineStr">
        <is>
          <t>Distinguished</t>
        </is>
      </c>
      <c r="L480" t="inlineStr">
        <is>
          <t>Adjunct</t>
        </is>
      </c>
      <c r="M480" t="inlineStr">
        <is>
          <t>Ela Cross</t>
        </is>
      </c>
    </row>
    <row r="481">
      <c r="A481" s="9" t="inlineStr">
        <is>
          <t>Dehavion Knight</t>
        </is>
      </c>
      <c r="B481" s="9" t="inlineStr">
        <is>
          <t>6/15/25 - 7/12/25</t>
        </is>
      </c>
      <c r="C481" s="12" t="n">
        <v>0.43</v>
      </c>
      <c r="D481" s="12" t="n">
        <v>1.49</v>
      </c>
      <c r="E481" s="12" t="n">
        <v>0.96</v>
      </c>
      <c r="F481" s="12" t="n">
        <v>0.9399999999999999</v>
      </c>
      <c r="G481" s="12" t="n">
        <v>0.25</v>
      </c>
      <c r="H481" s="9" t="n">
        <v>1</v>
      </c>
      <c r="J481" s="9" t="n"/>
      <c r="K481" t="inlineStr">
        <is>
          <t>Distinguished</t>
        </is>
      </c>
      <c r="L481" t="inlineStr">
        <is>
          <t>Adjunct</t>
        </is>
      </c>
      <c r="M481" t="inlineStr">
        <is>
          <t>Ela Cross</t>
        </is>
      </c>
    </row>
    <row r="482">
      <c r="A482" s="9" t="inlineStr">
        <is>
          <t>Dehavion Knight</t>
        </is>
      </c>
      <c r="B482" s="9" t="inlineStr">
        <is>
          <t>7/13/25 - 8/10/25</t>
        </is>
      </c>
      <c r="C482" s="12" t="n">
        <v>0.39</v>
      </c>
      <c r="D482" s="12" t="n">
        <v>1.43</v>
      </c>
      <c r="E482" s="12" t="n">
        <v>1</v>
      </c>
      <c r="F482" s="12" t="n">
        <v>1</v>
      </c>
      <c r="G482" s="12" t="n">
        <v>0.78</v>
      </c>
      <c r="H482" s="9" t="n">
        <v>1</v>
      </c>
      <c r="I482" s="10" t="n">
        <v>1</v>
      </c>
      <c r="J482" s="12">
        <f>I482</f>
        <v/>
      </c>
      <c r="K482" t="inlineStr">
        <is>
          <t>Distinguished</t>
        </is>
      </c>
      <c r="L482" t="inlineStr">
        <is>
          <t>Adjunct</t>
        </is>
      </c>
      <c r="M482" t="inlineStr">
        <is>
          <t>Ela Cross</t>
        </is>
      </c>
    </row>
    <row r="483">
      <c r="A483" s="9" t="inlineStr">
        <is>
          <t>Dehavion Knight</t>
        </is>
      </c>
      <c r="B483" s="9" t="inlineStr">
        <is>
          <t>8/10/25 - 9/6/25</t>
        </is>
      </c>
      <c r="C483" s="12" t="n">
        <v>0.88</v>
      </c>
      <c r="D483" s="12" t="n">
        <v>1.62</v>
      </c>
      <c r="E483" s="12" t="n">
        <v>1</v>
      </c>
      <c r="F483" s="12" t="n">
        <v>1</v>
      </c>
      <c r="G483" s="12" t="n">
        <v>0.63</v>
      </c>
      <c r="H483" s="9" t="n">
        <v>3</v>
      </c>
      <c r="I483" s="10" t="inlineStr">
        <is>
          <t>2/8</t>
        </is>
      </c>
      <c r="J483" s="12" t="n">
        <v>0.25</v>
      </c>
      <c r="K483" t="inlineStr">
        <is>
          <t>Distinguished</t>
        </is>
      </c>
      <c r="L483" t="inlineStr">
        <is>
          <t>Adjunct</t>
        </is>
      </c>
      <c r="M483" t="inlineStr">
        <is>
          <t>Ela Cross</t>
        </is>
      </c>
    </row>
    <row r="484">
      <c r="A484" s="9" t="inlineStr">
        <is>
          <t>Dehavion Knight</t>
        </is>
      </c>
      <c r="B484" s="9" t="inlineStr">
        <is>
          <t>9/7/25 - 10/4/25</t>
        </is>
      </c>
      <c r="C484" s="12" t="n">
        <v>1.1</v>
      </c>
      <c r="D484" s="12" t="n">
        <v>1.7</v>
      </c>
      <c r="E484" s="12" t="n">
        <v>0.98</v>
      </c>
      <c r="F484" s="12" t="n">
        <v>0.74</v>
      </c>
      <c r="G484" s="12" t="n">
        <v>0.08</v>
      </c>
      <c r="H484" s="9" t="n">
        <v>5</v>
      </c>
      <c r="I484" s="10" t="inlineStr">
        <is>
          <t>0/3</t>
        </is>
      </c>
      <c r="J484" s="12" t="n">
        <v>0</v>
      </c>
      <c r="K484" t="inlineStr">
        <is>
          <t>Distinguished</t>
        </is>
      </c>
      <c r="L484" t="inlineStr">
        <is>
          <t>Adjunct</t>
        </is>
      </c>
      <c r="M484" t="inlineStr">
        <is>
          <t>Ela Cross</t>
        </is>
      </c>
    </row>
    <row r="485">
      <c r="A485" s="9" t="inlineStr">
        <is>
          <t>Delphine Hintz</t>
        </is>
      </c>
      <c r="B485" s="9" t="inlineStr">
        <is>
          <t>10/5/25 - 11/1/25</t>
        </is>
      </c>
      <c r="C485" s="12" t="n">
        <v>0</v>
      </c>
      <c r="D485" s="12" t="n">
        <v>0.7030999999999999</v>
      </c>
      <c r="E485" s="12" t="n">
        <v>0</v>
      </c>
      <c r="F485" s="12" t="n">
        <v>0</v>
      </c>
      <c r="G485" s="12" t="n">
        <v>0</v>
      </c>
      <c r="H485" s="9" t="n">
        <v>0</v>
      </c>
      <c r="I485" s="10" t="n"/>
      <c r="J485" s="12" t="n"/>
      <c r="K485" t="e">
        <v>#N/A</v>
      </c>
      <c r="L485" t="e">
        <v>#N/A</v>
      </c>
      <c r="M485" t="e">
        <v>#N/A</v>
      </c>
    </row>
    <row r="486">
      <c r="A486" s="9" t="inlineStr">
        <is>
          <t>Delphine Hintz</t>
        </is>
      </c>
      <c r="B486" s="9" t="inlineStr">
        <is>
          <t>10/5/25 - 11/1/25</t>
        </is>
      </c>
      <c r="C486" s="12" t="n">
        <v>0</v>
      </c>
      <c r="D486" s="12" t="n">
        <v>0.7030999999999999</v>
      </c>
      <c r="E486" s="12" t="n">
        <v>0</v>
      </c>
      <c r="F486" s="12" t="n">
        <v>0</v>
      </c>
      <c r="G486" s="12" t="n">
        <v>0</v>
      </c>
      <c r="H486" s="9" t="n">
        <v>0</v>
      </c>
      <c r="J486" s="9" t="n"/>
      <c r="K486" t="e">
        <v>#N/A</v>
      </c>
      <c r="L486" t="e">
        <v>#N/A</v>
      </c>
      <c r="M486" t="e">
        <v>#N/A</v>
      </c>
    </row>
    <row r="487">
      <c r="A487" s="9" t="inlineStr">
        <is>
          <t>Delphine Hintz</t>
        </is>
      </c>
      <c r="B487" s="9" t="inlineStr">
        <is>
          <t>11/2/25 - 11/29/25</t>
        </is>
      </c>
      <c r="C487" s="12" t="n">
        <v>0.55</v>
      </c>
      <c r="D487" s="12" t="n">
        <v>0.89</v>
      </c>
      <c r="E487" s="12" t="n">
        <v>1</v>
      </c>
      <c r="F487" s="12" t="n">
        <v>1</v>
      </c>
      <c r="G487" s="12" t="n">
        <v>0</v>
      </c>
      <c r="H487" s="9" t="n">
        <v>2</v>
      </c>
      <c r="I487" s="13" t="n">
        <v>45753</v>
      </c>
      <c r="J487" s="14" t="n">
        <v>0.67</v>
      </c>
      <c r="K487" t="e">
        <v>#N/A</v>
      </c>
      <c r="L487" t="e">
        <v>#N/A</v>
      </c>
      <c r="M487" t="e">
        <v>#N/A</v>
      </c>
    </row>
    <row r="488">
      <c r="A488" s="9" t="inlineStr">
        <is>
          <t>Delphine Hintz</t>
        </is>
      </c>
      <c r="B488" s="9" t="inlineStr">
        <is>
          <t>11/30/25 - 12/27/25</t>
        </is>
      </c>
      <c r="C488" s="12" t="n">
        <v>1.05</v>
      </c>
      <c r="D488" s="12" t="n">
        <v>1.21</v>
      </c>
      <c r="E488" s="12" t="n">
        <v>1</v>
      </c>
      <c r="F488" s="12" t="n">
        <v>1</v>
      </c>
      <c r="G488" s="12" t="n">
        <v>1</v>
      </c>
      <c r="H488" s="9" t="n">
        <v>13</v>
      </c>
      <c r="I488" s="10" t="n"/>
      <c r="J488" s="12" t="n"/>
      <c r="K488" t="e">
        <v>#N/A</v>
      </c>
      <c r="L488" t="e">
        <v>#N/A</v>
      </c>
      <c r="M488" t="e">
        <v>#N/A</v>
      </c>
    </row>
    <row r="489">
      <c r="A489" s="9" t="inlineStr">
        <is>
          <t>Delphine Hintz</t>
        </is>
      </c>
      <c r="B489" s="9" t="inlineStr">
        <is>
          <t>12/28/25 - 1/25/26</t>
        </is>
      </c>
      <c r="C489" s="12" t="n">
        <v>1.0938</v>
      </c>
      <c r="D489" s="12" t="n">
        <v>1.0938</v>
      </c>
      <c r="E489" s="12" t="n">
        <v>0.977777778</v>
      </c>
      <c r="F489" s="12" t="n">
        <v>1</v>
      </c>
      <c r="G489" s="12" t="n">
        <v>1</v>
      </c>
      <c r="H489" s="9" t="n">
        <v>12</v>
      </c>
      <c r="I489" s="10" t="inlineStr">
        <is>
          <t>0/0</t>
        </is>
      </c>
      <c r="J489" s="12" t="n">
        <v>0</v>
      </c>
      <c r="K489" t="e">
        <v>#N/A</v>
      </c>
      <c r="L489" t="e">
        <v>#N/A</v>
      </c>
      <c r="M489" t="e">
        <v>#N/A</v>
      </c>
    </row>
    <row r="490">
      <c r="A490" s="9" t="inlineStr">
        <is>
          <t>Derek Fox</t>
        </is>
      </c>
      <c r="B490" s="9" t="inlineStr">
        <is>
          <t>11/30/25 - 12/27/25</t>
        </is>
      </c>
      <c r="C490" s="12" t="n">
        <v>0</v>
      </c>
      <c r="D490" s="12" t="n">
        <v>0.91</v>
      </c>
      <c r="E490" s="12" t="n">
        <v>0</v>
      </c>
      <c r="F490" s="12" t="n">
        <v>0</v>
      </c>
      <c r="G490" s="12" t="n">
        <v>0</v>
      </c>
      <c r="H490" s="9" t="n">
        <v>0</v>
      </c>
      <c r="I490" s="10" t="n"/>
      <c r="J490" s="12" t="n"/>
      <c r="K490" t="inlineStr">
        <is>
          <t>Advanced</t>
        </is>
      </c>
      <c r="L490" t="inlineStr">
        <is>
          <t>Adjunct</t>
        </is>
      </c>
      <c r="M490" t="inlineStr">
        <is>
          <t>Geoff St. Marie</t>
        </is>
      </c>
    </row>
    <row r="491">
      <c r="A491" s="9" t="inlineStr">
        <is>
          <t>Derek Fox</t>
        </is>
      </c>
      <c r="B491" s="9" t="inlineStr">
        <is>
          <t>12/28/25 - 1/25/26</t>
        </is>
      </c>
      <c r="C491" s="12" t="n">
        <v>0.7188</v>
      </c>
      <c r="D491" s="12" t="n">
        <v>1.0625</v>
      </c>
      <c r="E491" s="12" t="n">
        <v>1</v>
      </c>
      <c r="F491" s="12" t="n">
        <v>0.464285714</v>
      </c>
      <c r="G491" s="12" t="n">
        <v>0</v>
      </c>
      <c r="H491" s="9" t="n">
        <v>2</v>
      </c>
      <c r="I491" s="10" t="n">
        <v>0.3333333333333333</v>
      </c>
      <c r="J491" s="12">
        <f>I491</f>
        <v/>
      </c>
      <c r="K491" t="inlineStr">
        <is>
          <t>Advanced</t>
        </is>
      </c>
      <c r="L491" t="inlineStr">
        <is>
          <t>Adjunct</t>
        </is>
      </c>
      <c r="M491" t="inlineStr">
        <is>
          <t>Geoff St. Marie</t>
        </is>
      </c>
    </row>
    <row r="492">
      <c r="A492" s="9" t="inlineStr">
        <is>
          <t>Desmond Inglis</t>
        </is>
      </c>
      <c r="B492" s="9" t="inlineStr">
        <is>
          <t>5/18/25 - 6/14/25</t>
        </is>
      </c>
      <c r="C492" s="12" t="n">
        <v>1.11</v>
      </c>
      <c r="D492" s="12" t="n">
        <v>1.49</v>
      </c>
      <c r="E492" s="12" t="n">
        <v>0.93</v>
      </c>
      <c r="F492" s="12" t="n">
        <v>0.8100000000000001</v>
      </c>
      <c r="G492" s="12" t="n">
        <v>0.75</v>
      </c>
      <c r="H492" s="9" t="n">
        <v>1</v>
      </c>
      <c r="I492" s="10" t="inlineStr">
        <is>
          <t xml:space="preserve"> 1/2</t>
        </is>
      </c>
      <c r="J492" s="12" t="n">
        <v>0.5</v>
      </c>
      <c r="K492" t="e">
        <v>#N/A</v>
      </c>
      <c r="L492" t="e">
        <v>#N/A</v>
      </c>
      <c r="M492" t="e">
        <v>#N/A</v>
      </c>
    </row>
    <row r="493">
      <c r="A493" s="9" t="inlineStr">
        <is>
          <t>Desmond Inglis</t>
        </is>
      </c>
      <c r="B493" s="9" t="inlineStr">
        <is>
          <t>6/15/25 - 7/12/25</t>
        </is>
      </c>
      <c r="C493" s="12" t="n">
        <v>0.53</v>
      </c>
      <c r="D493" s="12" t="n">
        <v>2.05</v>
      </c>
      <c r="E493" s="12" t="n">
        <v>1</v>
      </c>
      <c r="F493" s="12" t="n">
        <v>0.82</v>
      </c>
      <c r="G493" s="12" t="n">
        <v>0.75</v>
      </c>
      <c r="H493" s="9" t="n">
        <v>2</v>
      </c>
      <c r="I493" s="10" t="inlineStr">
        <is>
          <t xml:space="preserve"> 1/2</t>
        </is>
      </c>
      <c r="J493" s="12" t="n">
        <v>0.5</v>
      </c>
      <c r="K493" t="e">
        <v>#N/A</v>
      </c>
      <c r="L493" t="e">
        <v>#N/A</v>
      </c>
      <c r="M493" t="e">
        <v>#N/A</v>
      </c>
    </row>
    <row r="494">
      <c r="A494" s="9" t="inlineStr">
        <is>
          <t>Desmond Inglis</t>
        </is>
      </c>
      <c r="B494" s="9" t="inlineStr">
        <is>
          <t>7/13/25 - 8/10/25</t>
        </is>
      </c>
      <c r="C494" s="12" t="n">
        <v>0.77</v>
      </c>
      <c r="D494" s="12" t="n">
        <v>1.05</v>
      </c>
      <c r="E494" s="12" t="n">
        <v>1</v>
      </c>
      <c r="F494" s="12" t="n">
        <v>0.85</v>
      </c>
      <c r="G494" s="12" t="n">
        <v>0.87</v>
      </c>
      <c r="H494" s="9" t="n">
        <v>3</v>
      </c>
      <c r="I494" s="10" t="n">
        <v>0</v>
      </c>
      <c r="J494" s="12">
        <f>I494</f>
        <v/>
      </c>
      <c r="K494" t="e">
        <v>#N/A</v>
      </c>
      <c r="L494" t="e">
        <v>#N/A</v>
      </c>
      <c r="M494" t="e">
        <v>#N/A</v>
      </c>
    </row>
    <row r="495">
      <c r="A495" s="9" t="inlineStr">
        <is>
          <t>Desmond Inglis</t>
        </is>
      </c>
      <c r="B495" s="9" t="inlineStr">
        <is>
          <t>8/10/25 - 9/6/25</t>
        </is>
      </c>
      <c r="C495" s="12" t="n">
        <v>1.29</v>
      </c>
      <c r="D495" s="12" t="n">
        <v>1.6</v>
      </c>
      <c r="E495" s="12" t="n">
        <v>1</v>
      </c>
      <c r="F495" s="12" t="n">
        <v>0.89</v>
      </c>
      <c r="G495" s="12" t="n">
        <v>0.31</v>
      </c>
      <c r="H495" s="9" t="n">
        <v>3</v>
      </c>
      <c r="I495" s="10" t="inlineStr">
        <is>
          <t>0/2</t>
        </is>
      </c>
      <c r="J495" s="12" t="n">
        <v>0</v>
      </c>
      <c r="K495" t="e">
        <v>#N/A</v>
      </c>
      <c r="L495" t="e">
        <v>#N/A</v>
      </c>
      <c r="M495" t="e">
        <v>#N/A</v>
      </c>
    </row>
    <row r="496">
      <c r="A496" s="9" t="inlineStr">
        <is>
          <t>Desmond Inglis</t>
        </is>
      </c>
      <c r="B496" s="9" t="inlineStr">
        <is>
          <t>9/7/25 - 10/4/25</t>
        </is>
      </c>
      <c r="C496" s="12" t="n">
        <v>0.68</v>
      </c>
      <c r="D496" s="12" t="n">
        <v>1.01</v>
      </c>
      <c r="E496" s="12" t="n">
        <v>0.97</v>
      </c>
      <c r="F496" s="12" t="n">
        <v>0.86</v>
      </c>
      <c r="G496" s="12" t="n">
        <v>0.25</v>
      </c>
      <c r="H496" s="9" t="n">
        <v>2</v>
      </c>
      <c r="I496" s="11" t="n"/>
      <c r="J496" s="9" t="n"/>
      <c r="K496" t="e">
        <v>#N/A</v>
      </c>
      <c r="L496" t="e">
        <v>#N/A</v>
      </c>
      <c r="M496" t="e">
        <v>#N/A</v>
      </c>
    </row>
    <row r="497">
      <c r="A497" s="9" t="inlineStr">
        <is>
          <t>Diamond Anderson</t>
        </is>
      </c>
      <c r="B497" s="9" t="inlineStr">
        <is>
          <t>10/5/25 - 11/1/25</t>
        </is>
      </c>
      <c r="C497" s="12" t="n">
        <v>0.8646</v>
      </c>
      <c r="D497" s="12" t="n">
        <v>1.1953</v>
      </c>
      <c r="E497" s="12" t="n">
        <v>0.961538461538461</v>
      </c>
      <c r="F497" s="12" t="n">
        <v>0.9</v>
      </c>
      <c r="G497" s="12" t="n">
        <v>0.727272727272727</v>
      </c>
      <c r="H497" s="9" t="n">
        <v>8</v>
      </c>
      <c r="I497" s="10" t="n"/>
      <c r="J497" s="12" t="n"/>
      <c r="K497" t="inlineStr">
        <is>
          <t>Distinguished</t>
        </is>
      </c>
      <c r="L497" t="inlineStr">
        <is>
          <t>Adjunct</t>
        </is>
      </c>
      <c r="M497" t="inlineStr">
        <is>
          <t>Kristin Haase-Alvey</t>
        </is>
      </c>
    </row>
    <row r="498">
      <c r="A498" s="9" t="inlineStr">
        <is>
          <t>Diamond Anderson</t>
        </is>
      </c>
      <c r="B498" s="9" t="inlineStr">
        <is>
          <t>10/5/25 - 11/1/25</t>
        </is>
      </c>
      <c r="C498" s="12" t="n">
        <v>0.8646</v>
      </c>
      <c r="D498" s="12" t="n">
        <v>1.1953</v>
      </c>
      <c r="E498" s="12" t="n">
        <v>0.961538461538461</v>
      </c>
      <c r="F498" s="12" t="n">
        <v>0.9</v>
      </c>
      <c r="G498" s="12" t="n">
        <v>0.727272727272727</v>
      </c>
      <c r="H498" s="9" t="n">
        <v>8</v>
      </c>
      <c r="J498" s="9" t="n"/>
      <c r="K498" t="inlineStr">
        <is>
          <t>Distinguished</t>
        </is>
      </c>
      <c r="L498" t="inlineStr">
        <is>
          <t>Adjunct</t>
        </is>
      </c>
      <c r="M498" t="inlineStr">
        <is>
          <t>Kristin Haase-Alvey</t>
        </is>
      </c>
    </row>
    <row r="499">
      <c r="A499" s="9" t="inlineStr">
        <is>
          <t>Diamond Anderson</t>
        </is>
      </c>
      <c r="B499" s="9" t="inlineStr">
        <is>
          <t>11/2/25 - 11/29/25</t>
        </is>
      </c>
      <c r="C499" s="12" t="n">
        <v>0.66</v>
      </c>
      <c r="D499" s="12" t="n">
        <v>1.09</v>
      </c>
      <c r="E499" s="12" t="n">
        <v>0.98</v>
      </c>
      <c r="F499" s="12" t="n">
        <v>0.87</v>
      </c>
      <c r="G499" s="12" t="n">
        <v>0.82</v>
      </c>
      <c r="H499" s="9" t="n">
        <v>6</v>
      </c>
      <c r="I499" s="13" t="n">
        <v>45659</v>
      </c>
      <c r="J499" s="12" t="n">
        <v>0.5</v>
      </c>
      <c r="K499" t="inlineStr">
        <is>
          <t>Distinguished</t>
        </is>
      </c>
      <c r="L499" t="inlineStr">
        <is>
          <t>Adjunct</t>
        </is>
      </c>
      <c r="M499" t="inlineStr">
        <is>
          <t>Kristin Haase-Alvey</t>
        </is>
      </c>
    </row>
    <row r="500">
      <c r="A500" s="9" t="inlineStr">
        <is>
          <t>Diamond Anderson</t>
        </is>
      </c>
      <c r="B500" s="9" t="inlineStr">
        <is>
          <t>11/30/25 - 12/27/25</t>
        </is>
      </c>
      <c r="C500" s="12" t="n">
        <v>0.47</v>
      </c>
      <c r="D500" s="12" t="n">
        <v>0.7</v>
      </c>
      <c r="E500" s="12" t="n">
        <v>1</v>
      </c>
      <c r="F500" s="12" t="n">
        <v>1</v>
      </c>
      <c r="G500" s="12" t="n">
        <v>0.91</v>
      </c>
      <c r="H500" s="9" t="n">
        <v>6</v>
      </c>
      <c r="I500" s="10" t="n"/>
      <c r="J500" s="12" t="n"/>
      <c r="K500" t="inlineStr">
        <is>
          <t>Distinguished</t>
        </is>
      </c>
      <c r="L500" t="inlineStr">
        <is>
          <t>Adjunct</t>
        </is>
      </c>
      <c r="M500" t="inlineStr">
        <is>
          <t>Kristin Haase-Alvey</t>
        </is>
      </c>
    </row>
    <row r="501">
      <c r="A501" s="9" t="inlineStr">
        <is>
          <t>Diamond Anderson</t>
        </is>
      </c>
      <c r="B501" s="9" t="inlineStr">
        <is>
          <t>12/28/25 - 1/25/26</t>
        </is>
      </c>
      <c r="C501" s="12" t="n">
        <v>0.7604</v>
      </c>
      <c r="D501" s="12" t="n">
        <v>1.1719</v>
      </c>
      <c r="E501" s="12" t="n">
        <v>0.960784314</v>
      </c>
      <c r="F501" s="12" t="n">
        <v>0.939393939</v>
      </c>
      <c r="G501" s="12" t="n">
        <v>0.5</v>
      </c>
      <c r="H501" s="9" t="n">
        <v>11</v>
      </c>
      <c r="I501" s="10" t="n">
        <v>0.25</v>
      </c>
      <c r="J501" s="12">
        <f>I501</f>
        <v/>
      </c>
      <c r="K501" t="inlineStr">
        <is>
          <t>Distinguished</t>
        </is>
      </c>
      <c r="L501" t="inlineStr">
        <is>
          <t>Adjunct</t>
        </is>
      </c>
      <c r="M501" t="inlineStr">
        <is>
          <t>Kristin Haase-Alvey</t>
        </is>
      </c>
    </row>
    <row r="502">
      <c r="A502" s="9" t="inlineStr">
        <is>
          <t>Diamond Anderson</t>
        </is>
      </c>
      <c r="B502" s="9" t="inlineStr">
        <is>
          <t>5/18/25 - 6/14/25</t>
        </is>
      </c>
      <c r="C502" s="12" t="n">
        <v>0.54</v>
      </c>
      <c r="D502" s="12" t="n">
        <v>1.04</v>
      </c>
      <c r="E502" s="12" t="n">
        <v>1</v>
      </c>
      <c r="F502" s="12" t="n">
        <v>0.47</v>
      </c>
      <c r="G502" s="12" t="n">
        <v>0.75</v>
      </c>
      <c r="H502" s="9" t="n">
        <v>6</v>
      </c>
      <c r="J502" s="9" t="n"/>
      <c r="K502" t="inlineStr">
        <is>
          <t>Distinguished</t>
        </is>
      </c>
      <c r="L502" t="inlineStr">
        <is>
          <t>Adjunct</t>
        </is>
      </c>
      <c r="M502" t="inlineStr">
        <is>
          <t>Kristin Haase-Alvey</t>
        </is>
      </c>
    </row>
    <row r="503">
      <c r="A503" s="9" t="inlineStr">
        <is>
          <t>Diamond Anderson</t>
        </is>
      </c>
      <c r="B503" s="9" t="inlineStr">
        <is>
          <t>6/15/25 - 7/12/25</t>
        </is>
      </c>
      <c r="C503" s="12" t="n">
        <v>0.5600000000000001</v>
      </c>
      <c r="D503" s="12" t="n">
        <v>1.22</v>
      </c>
      <c r="E503" s="12" t="n">
        <v>0.96</v>
      </c>
      <c r="F503" s="12" t="n">
        <v>0.92</v>
      </c>
      <c r="G503" s="12" t="n">
        <v>0.78</v>
      </c>
      <c r="H503" s="9" t="e">
        <v>#N/A</v>
      </c>
      <c r="I503" s="10" t="n">
        <v>0</v>
      </c>
      <c r="J503" s="12">
        <f>I503</f>
        <v/>
      </c>
      <c r="K503" t="inlineStr">
        <is>
          <t>Distinguished</t>
        </is>
      </c>
      <c r="L503" t="inlineStr">
        <is>
          <t>Adjunct</t>
        </is>
      </c>
      <c r="M503" t="inlineStr">
        <is>
          <t>Kristin Haase-Alvey</t>
        </is>
      </c>
    </row>
    <row r="504">
      <c r="A504" s="9" t="inlineStr">
        <is>
          <t>Diamond Anderson</t>
        </is>
      </c>
      <c r="B504" s="9" t="inlineStr">
        <is>
          <t>7/13/25 - 8/10/25</t>
        </is>
      </c>
      <c r="C504" s="12" t="n">
        <v>0.58</v>
      </c>
      <c r="D504" s="12" t="n">
        <v>1.28</v>
      </c>
      <c r="E504" s="12" t="n">
        <v>0.98</v>
      </c>
      <c r="F504" s="12" t="n">
        <v>0.96</v>
      </c>
      <c r="G504" s="12" t="n">
        <v>0.55</v>
      </c>
      <c r="H504" s="9" t="n">
        <v>6</v>
      </c>
      <c r="I504" s="10" t="n">
        <v>1</v>
      </c>
      <c r="J504" s="12">
        <f>I504</f>
        <v/>
      </c>
      <c r="K504" t="inlineStr">
        <is>
          <t>Distinguished</t>
        </is>
      </c>
      <c r="L504" t="inlineStr">
        <is>
          <t>Adjunct</t>
        </is>
      </c>
      <c r="M504" t="inlineStr">
        <is>
          <t>Kristin Haase-Alvey</t>
        </is>
      </c>
    </row>
    <row r="505">
      <c r="A505" s="9" t="inlineStr">
        <is>
          <t>Diamond Anderson</t>
        </is>
      </c>
      <c r="B505" s="9" t="inlineStr">
        <is>
          <t>8/10/25 - 9/6/25</t>
        </is>
      </c>
      <c r="C505" s="12" t="n">
        <v>0.65</v>
      </c>
      <c r="D505" s="12" t="n">
        <v>1.3</v>
      </c>
      <c r="E505" s="12" t="n">
        <v>1</v>
      </c>
      <c r="F505" s="12" t="n">
        <v>0.89</v>
      </c>
      <c r="G505" s="12" t="n">
        <v>1</v>
      </c>
      <c r="H505" s="9" t="n">
        <v>6</v>
      </c>
      <c r="I505" s="11" t="n"/>
      <c r="J505" s="9" t="n"/>
      <c r="K505" t="inlineStr">
        <is>
          <t>Distinguished</t>
        </is>
      </c>
      <c r="L505" t="inlineStr">
        <is>
          <t>Adjunct</t>
        </is>
      </c>
      <c r="M505" t="inlineStr">
        <is>
          <t>Kristin Haase-Alvey</t>
        </is>
      </c>
    </row>
    <row r="506">
      <c r="A506" s="9" t="inlineStr">
        <is>
          <t>Diamond Anderson</t>
        </is>
      </c>
      <c r="B506" s="9" t="inlineStr">
        <is>
          <t>9/7/25 - 10/4/25</t>
        </is>
      </c>
      <c r="C506" s="12" t="n">
        <v>0.73</v>
      </c>
      <c r="D506" s="12" t="n">
        <v>1.24</v>
      </c>
      <c r="E506" s="12" t="n">
        <v>0.98</v>
      </c>
      <c r="F506" s="12" t="n">
        <v>1</v>
      </c>
      <c r="G506" s="12" t="n">
        <v>1</v>
      </c>
      <c r="H506" s="9" t="n">
        <v>2</v>
      </c>
      <c r="I506" s="10" t="inlineStr">
        <is>
          <t>2/2</t>
        </is>
      </c>
      <c r="J506" s="12" t="n">
        <v>1</v>
      </c>
      <c r="K506" t="inlineStr">
        <is>
          <t>Distinguished</t>
        </is>
      </c>
      <c r="L506" t="inlineStr">
        <is>
          <t>Adjunct</t>
        </is>
      </c>
      <c r="M506" t="inlineStr">
        <is>
          <t>Kristin Haase-Alvey</t>
        </is>
      </c>
    </row>
    <row r="507">
      <c r="A507" s="9" t="inlineStr">
        <is>
          <t>Diana Hoyer</t>
        </is>
      </c>
      <c r="B507" s="9" t="inlineStr">
        <is>
          <t>10/5/25 - 11/1/25</t>
        </is>
      </c>
      <c r="C507" s="12" t="n">
        <v>0.628599999999999</v>
      </c>
      <c r="D507" s="12" t="n">
        <v>1.1991</v>
      </c>
      <c r="E507" s="12" t="n">
        <v>0.987341772151898</v>
      </c>
      <c r="F507" s="12" t="n">
        <v>1</v>
      </c>
      <c r="G507" s="12" t="n">
        <v>1</v>
      </c>
      <c r="H507" s="9" t="n">
        <v>2</v>
      </c>
      <c r="I507" s="10" t="inlineStr">
        <is>
          <t>5/5</t>
        </is>
      </c>
      <c r="J507" s="12" t="n">
        <v>1</v>
      </c>
      <c r="K507" t="inlineStr">
        <is>
          <t>Distinguished</t>
        </is>
      </c>
      <c r="L507" t="inlineStr">
        <is>
          <t>Professional</t>
        </is>
      </c>
      <c r="M507" t="inlineStr">
        <is>
          <t>Geoff St. Marie</t>
        </is>
      </c>
    </row>
    <row r="508">
      <c r="A508" s="9" t="inlineStr">
        <is>
          <t>Diana Hoyer</t>
        </is>
      </c>
      <c r="B508" s="9" t="inlineStr">
        <is>
          <t>11/2/25 - 11/29/25</t>
        </is>
      </c>
      <c r="C508" s="12" t="n">
        <v>0.72</v>
      </c>
      <c r="D508" s="12" t="n">
        <v>1.14</v>
      </c>
      <c r="E508" s="12" t="n">
        <v>0.95</v>
      </c>
      <c r="F508" s="12" t="n">
        <v>1</v>
      </c>
      <c r="G508" s="12" t="n">
        <v>1</v>
      </c>
      <c r="H508" s="9" t="n">
        <v>1</v>
      </c>
      <c r="I508" s="13" t="n"/>
      <c r="J508" s="9" t="n"/>
      <c r="K508" t="inlineStr">
        <is>
          <t>Distinguished</t>
        </is>
      </c>
      <c r="L508" t="inlineStr">
        <is>
          <t>Professional</t>
        </is>
      </c>
      <c r="M508" t="inlineStr">
        <is>
          <t>Geoff St. Marie</t>
        </is>
      </c>
    </row>
    <row r="509">
      <c r="A509" s="9" t="inlineStr">
        <is>
          <t>Diana Hoyer</t>
        </is>
      </c>
      <c r="B509" s="9" t="inlineStr">
        <is>
          <t>11/30/25 - 12/27/25</t>
        </is>
      </c>
      <c r="C509" s="12" t="n">
        <v>0.39</v>
      </c>
      <c r="D509" s="12" t="n">
        <v>0.6899999999999999</v>
      </c>
      <c r="E509" s="12" t="n">
        <v>1</v>
      </c>
      <c r="F509" s="12" t="n">
        <v>1</v>
      </c>
      <c r="G509" s="12" t="n">
        <v>0.95</v>
      </c>
      <c r="H509" s="9" t="n">
        <v>3</v>
      </c>
      <c r="I509" s="10" t="n"/>
      <c r="J509" s="12" t="n"/>
      <c r="K509" t="inlineStr">
        <is>
          <t>Distinguished</t>
        </is>
      </c>
      <c r="L509" t="inlineStr">
        <is>
          <t>Professional</t>
        </is>
      </c>
      <c r="M509" t="inlineStr">
        <is>
          <t>Geoff St. Marie</t>
        </is>
      </c>
    </row>
    <row r="510">
      <c r="A510" s="9" t="inlineStr">
        <is>
          <t>Diana Hoyer</t>
        </is>
      </c>
      <c r="B510" s="9" t="inlineStr">
        <is>
          <t>12/28/25 - 1/25/26</t>
        </is>
      </c>
      <c r="C510" s="12" t="n">
        <v>0.5464</v>
      </c>
      <c r="D510" s="12" t="n">
        <v>1.1759</v>
      </c>
      <c r="E510" s="12" t="n">
        <v>0.9523809519999999</v>
      </c>
      <c r="F510" s="12" t="n">
        <v>1</v>
      </c>
      <c r="G510" s="12" t="n">
        <v>1</v>
      </c>
      <c r="H510" s="9" t="n">
        <v>4</v>
      </c>
      <c r="I510" s="10" t="n">
        <v>1</v>
      </c>
      <c r="J510" s="12">
        <f>I510</f>
        <v/>
      </c>
      <c r="K510" t="inlineStr">
        <is>
          <t>Distinguished</t>
        </is>
      </c>
      <c r="L510" t="inlineStr">
        <is>
          <t>Professional</t>
        </is>
      </c>
      <c r="M510" t="inlineStr">
        <is>
          <t>Geoff St. Marie</t>
        </is>
      </c>
    </row>
    <row r="511">
      <c r="A511" s="9" t="inlineStr">
        <is>
          <t>Diana Hoyer</t>
        </is>
      </c>
      <c r="B511" s="9" t="inlineStr">
        <is>
          <t>5/18/25 - 6/14/25</t>
        </is>
      </c>
      <c r="C511" s="12" t="n">
        <v>0.76</v>
      </c>
      <c r="D511" s="12" t="n">
        <v>1.19</v>
      </c>
      <c r="E511" s="12" t="n">
        <v>0.9399999999999999</v>
      </c>
      <c r="F511" s="12" t="n">
        <v>1</v>
      </c>
      <c r="G511" s="12" t="n">
        <v>1</v>
      </c>
      <c r="H511" s="9" t="n">
        <v>7</v>
      </c>
      <c r="I511" s="10" t="n">
        <v>1</v>
      </c>
      <c r="J511" s="12">
        <f>I511</f>
        <v/>
      </c>
      <c r="K511" t="inlineStr">
        <is>
          <t>Distinguished</t>
        </is>
      </c>
      <c r="L511" t="inlineStr">
        <is>
          <t>Professional</t>
        </is>
      </c>
      <c r="M511" t="inlineStr">
        <is>
          <t>Geoff St. Marie</t>
        </is>
      </c>
    </row>
    <row r="512">
      <c r="A512" s="9" t="inlineStr">
        <is>
          <t>Diana Hoyer</t>
        </is>
      </c>
      <c r="B512" s="9" t="inlineStr">
        <is>
          <t>6/15/25 - 7/12/25</t>
        </is>
      </c>
      <c r="C512" s="12" t="n">
        <v>0.8100000000000001</v>
      </c>
      <c r="D512" s="12" t="n">
        <v>1.2</v>
      </c>
      <c r="E512" s="12" t="n">
        <v>0.97</v>
      </c>
      <c r="F512" s="12" t="n">
        <v>1</v>
      </c>
      <c r="G512" s="12" t="n">
        <v>1</v>
      </c>
      <c r="H512" s="9" t="n">
        <v>3</v>
      </c>
      <c r="I512" s="10" t="n">
        <v>1</v>
      </c>
      <c r="J512" s="12">
        <f>I512</f>
        <v/>
      </c>
      <c r="K512" t="inlineStr">
        <is>
          <t>Distinguished</t>
        </is>
      </c>
      <c r="L512" t="inlineStr">
        <is>
          <t>Professional</t>
        </is>
      </c>
      <c r="M512" t="inlineStr">
        <is>
          <t>Geoff St. Marie</t>
        </is>
      </c>
    </row>
    <row r="513">
      <c r="A513" s="9" t="inlineStr">
        <is>
          <t>Diana Hoyer</t>
        </is>
      </c>
      <c r="B513" s="9" t="inlineStr">
        <is>
          <t>7/13/25 - 8/10/25</t>
        </is>
      </c>
      <c r="C513" s="12" t="n">
        <v>0.85</v>
      </c>
      <c r="D513" s="12" t="n">
        <v>1.23</v>
      </c>
      <c r="E513" s="12" t="n">
        <v>0.93</v>
      </c>
      <c r="F513" s="12" t="n">
        <v>1</v>
      </c>
      <c r="G513" s="12" t="n">
        <v>0.85</v>
      </c>
      <c r="H513" s="9" t="n">
        <v>2</v>
      </c>
      <c r="I513" s="10" t="n">
        <v>1</v>
      </c>
      <c r="J513" s="12">
        <f>I513</f>
        <v/>
      </c>
      <c r="K513" t="inlineStr">
        <is>
          <t>Distinguished</t>
        </is>
      </c>
      <c r="L513" t="inlineStr">
        <is>
          <t>Professional</t>
        </is>
      </c>
      <c r="M513" t="inlineStr">
        <is>
          <t>Geoff St. Marie</t>
        </is>
      </c>
    </row>
    <row r="514">
      <c r="A514" s="9" t="inlineStr">
        <is>
          <t>Diana Hoyer</t>
        </is>
      </c>
      <c r="B514" s="9" t="inlineStr">
        <is>
          <t>8/10/25 - 9/6/25</t>
        </is>
      </c>
      <c r="C514" s="12" t="n">
        <v>0.98</v>
      </c>
      <c r="D514" s="12" t="n">
        <v>1.24</v>
      </c>
      <c r="E514" s="12" t="n">
        <v>0.92</v>
      </c>
      <c r="F514" s="12" t="n">
        <v>1</v>
      </c>
      <c r="G514" s="12" t="n">
        <v>1</v>
      </c>
      <c r="H514" s="9" t="n">
        <v>4</v>
      </c>
      <c r="I514" s="10" t="inlineStr">
        <is>
          <t>1/1</t>
        </is>
      </c>
      <c r="J514" s="12" t="n">
        <v>1</v>
      </c>
      <c r="K514" t="inlineStr">
        <is>
          <t>Distinguished</t>
        </is>
      </c>
      <c r="L514" t="inlineStr">
        <is>
          <t>Professional</t>
        </is>
      </c>
      <c r="M514" t="inlineStr">
        <is>
          <t>Geoff St. Marie</t>
        </is>
      </c>
    </row>
    <row r="515">
      <c r="A515" s="9" t="inlineStr">
        <is>
          <t>Diana Hoyer</t>
        </is>
      </c>
      <c r="B515" s="9" t="inlineStr">
        <is>
          <t>9/7/25 - 10/4/25</t>
        </is>
      </c>
      <c r="C515" s="12" t="n">
        <v>0.93</v>
      </c>
      <c r="D515" s="12" t="n">
        <v>1.24</v>
      </c>
      <c r="E515" s="12" t="n">
        <v>0.87</v>
      </c>
      <c r="F515" s="12" t="n">
        <v>1</v>
      </c>
      <c r="G515" s="12" t="n">
        <v>1</v>
      </c>
      <c r="H515" s="9" t="n">
        <v>1</v>
      </c>
      <c r="I515" s="10" t="inlineStr">
        <is>
          <t>1/1</t>
        </is>
      </c>
      <c r="J515" s="12" t="n">
        <v>1</v>
      </c>
      <c r="K515" t="inlineStr">
        <is>
          <t>Distinguished</t>
        </is>
      </c>
      <c r="L515" t="inlineStr">
        <is>
          <t>Professional</t>
        </is>
      </c>
      <c r="M515" t="inlineStr">
        <is>
          <t>Geoff St. Marie</t>
        </is>
      </c>
    </row>
    <row r="516">
      <c r="A516" s="9" t="inlineStr">
        <is>
          <t>Dorothy McDaniel</t>
        </is>
      </c>
      <c r="B516" s="9" t="inlineStr">
        <is>
          <t>10/5/25 - 11/1/25</t>
        </is>
      </c>
      <c r="C516" s="12" t="n">
        <v>0</v>
      </c>
      <c r="D516" s="12" t="n">
        <v>0.0263</v>
      </c>
      <c r="E516" s="12" t="n">
        <v>0</v>
      </c>
      <c r="F516" s="12" t="n">
        <v>0</v>
      </c>
      <c r="G516" s="12" t="n">
        <v>0</v>
      </c>
      <c r="H516" s="9" t="n">
        <v>0</v>
      </c>
      <c r="I516" s="10" t="n"/>
      <c r="J516" s="12" t="n"/>
      <c r="K516" t="inlineStr">
        <is>
          <t>Premium</t>
        </is>
      </c>
      <c r="L516" t="inlineStr">
        <is>
          <t>Professional</t>
        </is>
      </c>
      <c r="M516" t="inlineStr">
        <is>
          <t>Ian Plamondon</t>
        </is>
      </c>
    </row>
    <row r="517">
      <c r="A517" s="9" t="inlineStr">
        <is>
          <t>Dorothy McDaniel</t>
        </is>
      </c>
      <c r="B517" s="9" t="inlineStr">
        <is>
          <t>10/5/25 - 11/1/25</t>
        </is>
      </c>
      <c r="C517" s="12" t="n">
        <v>0</v>
      </c>
      <c r="D517" s="12" t="n">
        <v>0.0263</v>
      </c>
      <c r="E517" s="12" t="n">
        <v>0</v>
      </c>
      <c r="F517" s="12" t="n">
        <v>0</v>
      </c>
      <c r="G517" s="12" t="n">
        <v>0</v>
      </c>
      <c r="H517" s="9" t="n">
        <v>0</v>
      </c>
      <c r="J517" s="9" t="n"/>
      <c r="K517" t="inlineStr">
        <is>
          <t>Premium</t>
        </is>
      </c>
      <c r="L517" t="inlineStr">
        <is>
          <t>Professional</t>
        </is>
      </c>
      <c r="M517" t="inlineStr">
        <is>
          <t>Ian Plamondon</t>
        </is>
      </c>
    </row>
    <row r="518">
      <c r="A518" s="9" t="inlineStr">
        <is>
          <t>Dorothy McDaniel</t>
        </is>
      </c>
      <c r="B518" s="9" t="inlineStr">
        <is>
          <t>11/2/25 - 11/29/25</t>
        </is>
      </c>
      <c r="C518" s="12" t="n">
        <v>0</v>
      </c>
      <c r="D518" s="12" t="n">
        <v>0.03</v>
      </c>
      <c r="E518" s="12" t="n">
        <v>0</v>
      </c>
      <c r="F518" s="12" t="n">
        <v>0</v>
      </c>
      <c r="G518" s="12" t="n">
        <v>0</v>
      </c>
      <c r="H518" s="9" t="n">
        <v>0</v>
      </c>
      <c r="I518" s="13" t="n"/>
      <c r="J518" s="9" t="n"/>
      <c r="K518" t="inlineStr">
        <is>
          <t>Premium</t>
        </is>
      </c>
      <c r="L518" t="inlineStr">
        <is>
          <t>Professional</t>
        </is>
      </c>
      <c r="M518" t="inlineStr">
        <is>
          <t>Ian Plamondon</t>
        </is>
      </c>
    </row>
    <row r="519">
      <c r="A519" s="9" t="inlineStr">
        <is>
          <t>Dorothy McDaniel</t>
        </is>
      </c>
      <c r="B519" s="9" t="inlineStr">
        <is>
          <t>11/30/25 - 12/27/25</t>
        </is>
      </c>
      <c r="C519" s="12" t="n">
        <v>0.05</v>
      </c>
      <c r="D519" s="12" t="n">
        <v>0.67</v>
      </c>
      <c r="E519" s="12" t="n">
        <v>1</v>
      </c>
      <c r="F519" s="12" t="n">
        <v>0.6</v>
      </c>
      <c r="G519" s="12" t="n">
        <v>0</v>
      </c>
      <c r="H519" s="9" t="n">
        <v>2</v>
      </c>
      <c r="I519" s="10" t="n">
        <v>1</v>
      </c>
      <c r="J519" s="12" t="n">
        <v>1</v>
      </c>
      <c r="K519" t="inlineStr">
        <is>
          <t>Premium</t>
        </is>
      </c>
      <c r="L519" t="inlineStr">
        <is>
          <t>Professional</t>
        </is>
      </c>
      <c r="M519" t="inlineStr">
        <is>
          <t>Ian Plamondon</t>
        </is>
      </c>
    </row>
    <row r="520">
      <c r="A520" s="9" t="inlineStr">
        <is>
          <t>Dorothy McDaniel</t>
        </is>
      </c>
      <c r="B520" s="9" t="inlineStr">
        <is>
          <t>12/28/25 - 1/25/26</t>
        </is>
      </c>
      <c r="C520" s="12" t="n">
        <v>0.2167</v>
      </c>
      <c r="D520" s="12" t="n">
        <v>0.8552999999999999</v>
      </c>
      <c r="E520" s="12" t="n">
        <v>1</v>
      </c>
      <c r="F520" s="12" t="n">
        <v>1</v>
      </c>
      <c r="G520" s="12" t="n">
        <v>0.4</v>
      </c>
      <c r="H520" s="9" t="n">
        <v>0</v>
      </c>
      <c r="I520" s="10" t="n">
        <v>1</v>
      </c>
      <c r="J520" s="12">
        <f>I520</f>
        <v/>
      </c>
      <c r="K520" t="inlineStr">
        <is>
          <t>Premium</t>
        </is>
      </c>
      <c r="L520" t="inlineStr">
        <is>
          <t>Professional</t>
        </is>
      </c>
      <c r="M520" t="inlineStr">
        <is>
          <t>Ian Plamondon</t>
        </is>
      </c>
    </row>
    <row r="521">
      <c r="A521" s="9" t="inlineStr">
        <is>
          <t>Dorothy McDaniel</t>
        </is>
      </c>
      <c r="B521" s="9" t="inlineStr">
        <is>
          <t>5/18/25 - 6/14/25</t>
        </is>
      </c>
      <c r="C521" s="12" t="n">
        <v>0.73</v>
      </c>
      <c r="D521" s="12" t="n">
        <v>1.21</v>
      </c>
      <c r="E521" s="12" t="n">
        <v>1</v>
      </c>
      <c r="F521" s="12" t="n">
        <v>0.93</v>
      </c>
      <c r="G521" s="12" t="n">
        <v>0.44</v>
      </c>
      <c r="H521" s="9" t="n">
        <v>3</v>
      </c>
      <c r="I521" s="10" t="n">
        <v>1</v>
      </c>
      <c r="J521" s="12">
        <f>I521</f>
        <v/>
      </c>
      <c r="K521" t="inlineStr">
        <is>
          <t>Premium</t>
        </is>
      </c>
      <c r="L521" t="inlineStr">
        <is>
          <t>Professional</t>
        </is>
      </c>
      <c r="M521" t="inlineStr">
        <is>
          <t>Ian Plamondon</t>
        </is>
      </c>
    </row>
    <row r="522">
      <c r="A522" s="9" t="inlineStr">
        <is>
          <t>Dorothy McDaniel</t>
        </is>
      </c>
      <c r="B522" s="9" t="inlineStr">
        <is>
          <t>6/15/25 - 7/12/25</t>
        </is>
      </c>
      <c r="C522" s="12" t="n">
        <v>0.51</v>
      </c>
      <c r="D522" s="12" t="n">
        <v>1.1</v>
      </c>
      <c r="E522" s="12" t="n">
        <v>1</v>
      </c>
      <c r="F522" s="12" t="n">
        <v>0.97</v>
      </c>
      <c r="G522" s="12" t="n">
        <v>1</v>
      </c>
      <c r="H522" s="9" t="n">
        <v>5</v>
      </c>
      <c r="J522" s="9" t="n"/>
      <c r="K522" t="inlineStr">
        <is>
          <t>Premium</t>
        </is>
      </c>
      <c r="L522" t="inlineStr">
        <is>
          <t>Professional</t>
        </is>
      </c>
      <c r="M522" t="inlineStr">
        <is>
          <t>Ian Plamondon</t>
        </is>
      </c>
    </row>
    <row r="523">
      <c r="A523" s="9" t="inlineStr">
        <is>
          <t>Dorothy McDaniel</t>
        </is>
      </c>
      <c r="B523" s="9" t="inlineStr">
        <is>
          <t>7/13/25 - 8/10/25</t>
        </is>
      </c>
      <c r="C523" s="12" t="n">
        <v>0.53</v>
      </c>
      <c r="D523" s="12" t="n">
        <v>1.06</v>
      </c>
      <c r="E523" s="12" t="n">
        <v>1</v>
      </c>
      <c r="F523" s="12" t="n">
        <v>0.95</v>
      </c>
      <c r="G523" s="12" t="n">
        <v>0.09</v>
      </c>
      <c r="H523" s="9" t="n">
        <v>1</v>
      </c>
      <c r="J523" s="9" t="n"/>
      <c r="K523" t="inlineStr">
        <is>
          <t>Premium</t>
        </is>
      </c>
      <c r="L523" t="inlineStr">
        <is>
          <t>Professional</t>
        </is>
      </c>
      <c r="M523" t="inlineStr">
        <is>
          <t>Ian Plamondon</t>
        </is>
      </c>
    </row>
    <row r="524">
      <c r="A524" s="9" t="inlineStr">
        <is>
          <t>Dorothy McDaniel</t>
        </is>
      </c>
      <c r="B524" s="9" t="inlineStr">
        <is>
          <t>8/10/25 - 9/6/25</t>
        </is>
      </c>
      <c r="C524" s="12" t="n">
        <v>0.16</v>
      </c>
      <c r="D524" s="12" t="n">
        <v>0.5600000000000001</v>
      </c>
      <c r="E524" s="12" t="n">
        <v>1</v>
      </c>
      <c r="F524" s="12" t="n">
        <v>0.79</v>
      </c>
      <c r="G524" s="12" t="n">
        <v>0.67</v>
      </c>
      <c r="H524" s="9" t="n">
        <v>0</v>
      </c>
      <c r="I524" s="11" t="n"/>
      <c r="J524" s="9" t="n"/>
      <c r="K524" t="inlineStr">
        <is>
          <t>Premium</t>
        </is>
      </c>
      <c r="L524" t="inlineStr">
        <is>
          <t>Professional</t>
        </is>
      </c>
      <c r="M524" t="inlineStr">
        <is>
          <t>Ian Plamondon</t>
        </is>
      </c>
    </row>
    <row r="525">
      <c r="A525" s="9" t="inlineStr">
        <is>
          <t>Dorothy McDaniel</t>
        </is>
      </c>
      <c r="B525" s="9" t="inlineStr">
        <is>
          <t>9/7/25 - 10/4/25</t>
        </is>
      </c>
      <c r="C525" s="12" t="n">
        <v>0</v>
      </c>
      <c r="D525" s="12" t="n">
        <v>0.03</v>
      </c>
      <c r="E525" s="12" t="n">
        <v>0</v>
      </c>
      <c r="F525" s="12" t="n">
        <v>0</v>
      </c>
      <c r="G525" s="12" t="n">
        <v>0</v>
      </c>
      <c r="H525" s="9" t="n">
        <v>0</v>
      </c>
      <c r="I525" s="11" t="n"/>
      <c r="J525" s="9" t="n"/>
      <c r="K525" t="inlineStr">
        <is>
          <t>Premium</t>
        </is>
      </c>
      <c r="L525" t="inlineStr">
        <is>
          <t>Professional</t>
        </is>
      </c>
      <c r="M525" t="inlineStr">
        <is>
          <t>Ian Plamondon</t>
        </is>
      </c>
    </row>
    <row r="526">
      <c r="A526" s="9" t="inlineStr">
        <is>
          <t>Eddie Cayia</t>
        </is>
      </c>
      <c r="B526" s="9" t="inlineStr">
        <is>
          <t>10/5/25 - 11/1/25</t>
        </is>
      </c>
      <c r="C526" s="12" t="n">
        <v>0.9911</v>
      </c>
      <c r="D526" s="12" t="n">
        <v>0.9651</v>
      </c>
      <c r="E526" s="12" t="n">
        <v>0.9029850746268649</v>
      </c>
      <c r="F526" s="12" t="n">
        <v>0.833333333333333</v>
      </c>
      <c r="G526" s="12" t="n">
        <v>0.666666666666666</v>
      </c>
      <c r="H526" s="9" t="n">
        <v>5</v>
      </c>
      <c r="I526" s="10" t="inlineStr">
        <is>
          <t>3/19</t>
        </is>
      </c>
      <c r="J526" s="12" t="n">
        <v>0.16</v>
      </c>
      <c r="K526" t="inlineStr">
        <is>
          <t>Distinguished</t>
        </is>
      </c>
      <c r="L526" t="inlineStr">
        <is>
          <t>Professional</t>
        </is>
      </c>
      <c r="M526" t="inlineStr">
        <is>
          <t>Annelies de Groot</t>
        </is>
      </c>
    </row>
    <row r="527">
      <c r="A527" s="9" t="inlineStr">
        <is>
          <t>Eddie Cayia</t>
        </is>
      </c>
      <c r="B527" s="9" t="inlineStr">
        <is>
          <t>10/5/25 - 11/1/25</t>
        </is>
      </c>
      <c r="C527" s="12" t="n">
        <v>0.9911</v>
      </c>
      <c r="D527" s="12" t="n">
        <v>0.9651</v>
      </c>
      <c r="E527" s="12" t="n">
        <v>0.9029850746268649</v>
      </c>
      <c r="F527" s="12" t="n">
        <v>0.833333333333333</v>
      </c>
      <c r="G527" s="12" t="n">
        <v>0.666666666666666</v>
      </c>
      <c r="H527" s="9" t="n">
        <v>5</v>
      </c>
      <c r="I527" s="10" t="inlineStr">
        <is>
          <t>3/19</t>
        </is>
      </c>
      <c r="J527" s="12">
        <f>_xlfn.TEXTBEFORE(I527, "/")/_xlfn.TEXTAFTER(I527,"/")</f>
        <v/>
      </c>
      <c r="K527" t="inlineStr">
        <is>
          <t>Distinguished</t>
        </is>
      </c>
      <c r="L527" t="inlineStr">
        <is>
          <t>Professional</t>
        </is>
      </c>
      <c r="M527" t="inlineStr">
        <is>
          <t>Annelies de Groot</t>
        </is>
      </c>
    </row>
    <row r="528">
      <c r="A528" s="9" t="inlineStr">
        <is>
          <t>Eddie Cayia</t>
        </is>
      </c>
      <c r="B528" s="9" t="inlineStr">
        <is>
          <t>11/2/25 - 11/29/25</t>
        </is>
      </c>
      <c r="C528" s="12" t="n">
        <v>0.89</v>
      </c>
      <c r="D528" s="12" t="n">
        <v>0.85</v>
      </c>
      <c r="E528" s="12" t="n">
        <v>0.93</v>
      </c>
      <c r="F528" s="12" t="n">
        <v>0.92</v>
      </c>
      <c r="G528" s="12" t="n">
        <v>0.87</v>
      </c>
      <c r="H528" s="9" t="n">
        <v>12</v>
      </c>
      <c r="I528" s="13" t="inlineStr">
        <is>
          <t>0/10</t>
        </is>
      </c>
      <c r="J528" s="12" t="n">
        <v>0</v>
      </c>
      <c r="K528" t="inlineStr">
        <is>
          <t>Distinguished</t>
        </is>
      </c>
      <c r="L528" t="inlineStr">
        <is>
          <t>Professional</t>
        </is>
      </c>
      <c r="M528" t="inlineStr">
        <is>
          <t>Annelies de Groot</t>
        </is>
      </c>
    </row>
    <row r="529">
      <c r="A529" s="9" t="inlineStr">
        <is>
          <t>Eddie Cayia</t>
        </is>
      </c>
      <c r="B529" s="9" t="inlineStr">
        <is>
          <t>11/30/25 - 12/27/25</t>
        </is>
      </c>
      <c r="C529" s="12" t="n">
        <v>0.8</v>
      </c>
      <c r="D529" s="12" t="n">
        <v>0.8</v>
      </c>
      <c r="E529" s="12" t="n">
        <v>0.97</v>
      </c>
      <c r="F529" s="12" t="n">
        <v>0.91</v>
      </c>
      <c r="G529" s="12" t="n">
        <v>0.77</v>
      </c>
      <c r="H529" s="9" t="n">
        <v>11</v>
      </c>
      <c r="I529" s="10" t="n">
        <v>0.1428571428571428</v>
      </c>
      <c r="J529" s="12">
        <f>1/7</f>
        <v/>
      </c>
      <c r="K529" t="inlineStr">
        <is>
          <t>Distinguished</t>
        </is>
      </c>
      <c r="L529" t="inlineStr">
        <is>
          <t>Professional</t>
        </is>
      </c>
      <c r="M529" t="inlineStr">
        <is>
          <t>Annelies de Groot</t>
        </is>
      </c>
    </row>
    <row r="530">
      <c r="A530" s="9" t="inlineStr">
        <is>
          <t>Eddie Cayia</t>
        </is>
      </c>
      <c r="B530" s="9" t="inlineStr">
        <is>
          <t>12/28/25 - 1/25/26</t>
        </is>
      </c>
      <c r="C530" s="12" t="n">
        <v>0.8536</v>
      </c>
      <c r="D530" s="12" t="n">
        <v>0.9477</v>
      </c>
      <c r="E530" s="12" t="n">
        <v>0.933333333</v>
      </c>
      <c r="F530" s="12" t="n">
        <v>0.946666667</v>
      </c>
      <c r="G530" s="12" t="n">
        <v>0.555555556</v>
      </c>
      <c r="H530" s="9" t="n">
        <v>6</v>
      </c>
      <c r="I530" s="10" t="n">
        <v>0.375</v>
      </c>
      <c r="J530" s="12">
        <f>I530</f>
        <v/>
      </c>
      <c r="K530" t="inlineStr">
        <is>
          <t>Distinguished</t>
        </is>
      </c>
      <c r="L530" t="inlineStr">
        <is>
          <t>Professional</t>
        </is>
      </c>
      <c r="M530" t="inlineStr">
        <is>
          <t>Annelies de Groot</t>
        </is>
      </c>
    </row>
    <row r="531">
      <c r="A531" s="9" t="inlineStr">
        <is>
          <t>Eddie Cayia</t>
        </is>
      </c>
      <c r="B531" s="9" t="inlineStr">
        <is>
          <t>5/18/25 - 6/14/25</t>
        </is>
      </c>
      <c r="C531" s="12" t="n">
        <v>0.65</v>
      </c>
      <c r="D531" s="12" t="n">
        <v>1.15</v>
      </c>
      <c r="E531" s="12" t="n">
        <v>0.9</v>
      </c>
      <c r="F531" s="12" t="n">
        <v>0.9</v>
      </c>
      <c r="G531" s="12" t="n">
        <v>0.91</v>
      </c>
      <c r="H531" s="9" t="n">
        <v>1</v>
      </c>
      <c r="I531" s="10" t="n">
        <v>0</v>
      </c>
      <c r="J531" s="12">
        <f>I531</f>
        <v/>
      </c>
      <c r="K531" t="inlineStr">
        <is>
          <t>Distinguished</t>
        </is>
      </c>
      <c r="L531" t="inlineStr">
        <is>
          <t>Professional</t>
        </is>
      </c>
      <c r="M531" t="inlineStr">
        <is>
          <t>Annelies de Groot</t>
        </is>
      </c>
    </row>
    <row r="532">
      <c r="A532" s="9" t="inlineStr">
        <is>
          <t>Eddie Cayia</t>
        </is>
      </c>
      <c r="B532" s="9" t="inlineStr">
        <is>
          <t>6/15/25 - 7/12/25</t>
        </is>
      </c>
      <c r="C532" s="12" t="n">
        <v>0.6</v>
      </c>
      <c r="D532" s="12" t="n">
        <v>1.15</v>
      </c>
      <c r="E532" s="12" t="n">
        <v>0.88</v>
      </c>
      <c r="F532" s="12" t="n">
        <v>0.72</v>
      </c>
      <c r="G532" s="12" t="n">
        <v>0.62</v>
      </c>
      <c r="H532" s="9" t="n">
        <v>2</v>
      </c>
      <c r="I532" s="10" t="n">
        <v>0</v>
      </c>
      <c r="J532" s="12">
        <f>I532</f>
        <v/>
      </c>
      <c r="K532" t="inlineStr">
        <is>
          <t>Distinguished</t>
        </is>
      </c>
      <c r="L532" t="inlineStr">
        <is>
          <t>Professional</t>
        </is>
      </c>
      <c r="M532" t="inlineStr">
        <is>
          <t>Annelies de Groot</t>
        </is>
      </c>
    </row>
    <row r="533">
      <c r="A533" s="9" t="inlineStr">
        <is>
          <t>Eddie Cayia</t>
        </is>
      </c>
      <c r="B533" s="9" t="inlineStr">
        <is>
          <t>7/13/25 - 8/10/25</t>
        </is>
      </c>
      <c r="C533" s="12" t="n">
        <v>0.7</v>
      </c>
      <c r="D533" s="12" t="n">
        <v>1.11</v>
      </c>
      <c r="E533" s="12" t="n">
        <v>0.88</v>
      </c>
      <c r="F533" s="12" t="n">
        <v>0.89</v>
      </c>
      <c r="G533" s="12" t="n">
        <v>0.7</v>
      </c>
      <c r="H533" s="9" t="n">
        <v>4</v>
      </c>
      <c r="I533" s="10" t="inlineStr">
        <is>
          <t xml:space="preserve"> 1/3</t>
        </is>
      </c>
      <c r="J533" s="12">
        <f>1/3</f>
        <v/>
      </c>
      <c r="K533" t="inlineStr">
        <is>
          <t>Distinguished</t>
        </is>
      </c>
      <c r="L533" t="inlineStr">
        <is>
          <t>Professional</t>
        </is>
      </c>
      <c r="M533" t="inlineStr">
        <is>
          <t>Annelies de Groot</t>
        </is>
      </c>
    </row>
    <row r="534">
      <c r="A534" s="9" t="inlineStr">
        <is>
          <t>Eddie Cayia</t>
        </is>
      </c>
      <c r="B534" s="9" t="inlineStr">
        <is>
          <t>8/10/25 - 9/6/25</t>
        </is>
      </c>
      <c r="C534" s="12" t="n">
        <v>0.83</v>
      </c>
      <c r="D534" s="12" t="n">
        <v>1.12</v>
      </c>
      <c r="E534" s="12" t="n">
        <v>0.89</v>
      </c>
      <c r="F534" s="12" t="n">
        <v>0.72</v>
      </c>
      <c r="G534" s="12" t="n">
        <v>0.67</v>
      </c>
      <c r="H534" s="9" t="n">
        <v>4</v>
      </c>
      <c r="I534" s="10" t="inlineStr">
        <is>
          <t>2/6</t>
        </is>
      </c>
      <c r="J534" s="12" t="n">
        <v>0.33</v>
      </c>
      <c r="K534" t="inlineStr">
        <is>
          <t>Distinguished</t>
        </is>
      </c>
      <c r="L534" t="inlineStr">
        <is>
          <t>Professional</t>
        </is>
      </c>
      <c r="M534" t="inlineStr">
        <is>
          <t>Annelies de Groot</t>
        </is>
      </c>
    </row>
    <row r="535">
      <c r="A535" s="9" t="inlineStr">
        <is>
          <t>Eddie Cayia</t>
        </is>
      </c>
      <c r="B535" s="9" t="inlineStr">
        <is>
          <t>9/7/25 - 10/4/25</t>
        </is>
      </c>
      <c r="C535" s="12" t="n">
        <v>0.95</v>
      </c>
      <c r="D535" s="12" t="n">
        <v>1.12</v>
      </c>
      <c r="E535" s="12" t="n">
        <v>0.87</v>
      </c>
      <c r="F535" s="12" t="n">
        <v>0.83</v>
      </c>
      <c r="G535" s="12" t="n">
        <v>0.75</v>
      </c>
      <c r="H535" s="9" t="n">
        <v>7</v>
      </c>
      <c r="I535" s="10" t="inlineStr">
        <is>
          <t>0/10</t>
        </is>
      </c>
      <c r="J535" s="12" t="n">
        <v>0</v>
      </c>
      <c r="K535" t="inlineStr">
        <is>
          <t>Distinguished</t>
        </is>
      </c>
      <c r="L535" t="inlineStr">
        <is>
          <t>Professional</t>
        </is>
      </c>
      <c r="M535" t="inlineStr">
        <is>
          <t>Annelies de Groot</t>
        </is>
      </c>
    </row>
    <row r="536">
      <c r="A536" s="9" t="inlineStr">
        <is>
          <t>Eddie Rodriguez</t>
        </is>
      </c>
      <c r="B536" s="9" t="inlineStr">
        <is>
          <t>10/5/25 - 11/1/25</t>
        </is>
      </c>
      <c r="C536" s="12" t="n">
        <v>0.8375</v>
      </c>
      <c r="D536" s="12" t="n">
        <v>1.1875</v>
      </c>
      <c r="E536" s="12" t="n">
        <v>1</v>
      </c>
      <c r="F536" s="12" t="n">
        <v>0.982456140350877</v>
      </c>
      <c r="G536" s="12" t="n">
        <v>0.72</v>
      </c>
      <c r="H536" s="9" t="n">
        <v>0</v>
      </c>
      <c r="I536" s="10" t="inlineStr">
        <is>
          <t>5/6</t>
        </is>
      </c>
      <c r="J536" s="12" t="n">
        <v>0.83</v>
      </c>
      <c r="K536" t="inlineStr">
        <is>
          <t>Distinguished</t>
        </is>
      </c>
      <c r="L536" t="inlineStr">
        <is>
          <t>Professional</t>
        </is>
      </c>
      <c r="M536" t="inlineStr">
        <is>
          <t>Geoff St. Marie</t>
        </is>
      </c>
    </row>
    <row r="537">
      <c r="A537" s="9" t="inlineStr">
        <is>
          <t>Eddie Rodriguez</t>
        </is>
      </c>
      <c r="B537" s="9" t="inlineStr">
        <is>
          <t>10/5/25 - 11/1/25</t>
        </is>
      </c>
      <c r="C537" s="12" t="n">
        <v>0.8375</v>
      </c>
      <c r="D537" s="12" t="n">
        <v>1.1875</v>
      </c>
      <c r="E537" s="12" t="n">
        <v>1</v>
      </c>
      <c r="F537" s="12" t="n">
        <v>0.982456140350877</v>
      </c>
      <c r="G537" s="12" t="n">
        <v>0.72</v>
      </c>
      <c r="H537" s="9" t="n">
        <v>0</v>
      </c>
      <c r="I537" s="10" t="inlineStr">
        <is>
          <t>5/6</t>
        </is>
      </c>
      <c r="J537" s="12">
        <f>_xlfn.TEXTBEFORE(I537, "/")/_xlfn.TEXTAFTER(I537,"/")</f>
        <v/>
      </c>
      <c r="K537" t="inlineStr">
        <is>
          <t>Distinguished</t>
        </is>
      </c>
      <c r="L537" t="inlineStr">
        <is>
          <t>Professional</t>
        </is>
      </c>
      <c r="M537" t="inlineStr">
        <is>
          <t>Geoff St. Marie</t>
        </is>
      </c>
    </row>
    <row r="538">
      <c r="A538" s="9" t="inlineStr">
        <is>
          <t>Eddie Rodriguez</t>
        </is>
      </c>
      <c r="B538" s="9" t="inlineStr">
        <is>
          <t>11/2/25 - 11/29/25</t>
        </is>
      </c>
      <c r="C538" s="12" t="n">
        <v>0.65</v>
      </c>
      <c r="D538" s="12" t="n">
        <v>1.02</v>
      </c>
      <c r="E538" s="12" t="n">
        <v>1</v>
      </c>
      <c r="F538" s="12" t="n">
        <v>1</v>
      </c>
      <c r="G538" s="12" t="n">
        <v>0.64</v>
      </c>
      <c r="H538" s="9" t="n">
        <v>1</v>
      </c>
      <c r="I538" s="13" t="n">
        <v>45690</v>
      </c>
      <c r="J538" s="12" t="n">
        <v>1</v>
      </c>
      <c r="K538" t="inlineStr">
        <is>
          <t>Distinguished</t>
        </is>
      </c>
      <c r="L538" t="inlineStr">
        <is>
          <t>Professional</t>
        </is>
      </c>
      <c r="M538" t="inlineStr">
        <is>
          <t>Geoff St. Marie</t>
        </is>
      </c>
    </row>
    <row r="539">
      <c r="A539" s="9" t="inlineStr">
        <is>
          <t>Eddie Rodriguez</t>
        </is>
      </c>
      <c r="B539" s="9" t="inlineStr">
        <is>
          <t>11/30/25 - 12/27/25</t>
        </is>
      </c>
      <c r="C539" s="12" t="n">
        <v>0.53</v>
      </c>
      <c r="D539" s="12" t="n">
        <v>1.08</v>
      </c>
      <c r="E539" s="12" t="n">
        <v>1</v>
      </c>
      <c r="F539" s="12" t="n">
        <v>0.98</v>
      </c>
      <c r="G539" s="12" t="n">
        <v>0.53</v>
      </c>
      <c r="H539" s="9" t="n">
        <v>0</v>
      </c>
      <c r="I539" s="10" t="inlineStr">
        <is>
          <t>0/2</t>
        </is>
      </c>
      <c r="J539" s="12" t="n">
        <v>0</v>
      </c>
      <c r="K539" t="inlineStr">
        <is>
          <t>Distinguished</t>
        </is>
      </c>
      <c r="L539" t="inlineStr">
        <is>
          <t>Professional</t>
        </is>
      </c>
      <c r="M539" t="inlineStr">
        <is>
          <t>Geoff St. Marie</t>
        </is>
      </c>
    </row>
    <row r="540">
      <c r="A540" s="9" t="inlineStr">
        <is>
          <t>Eddie Rodriguez</t>
        </is>
      </c>
      <c r="B540" s="9" t="inlineStr">
        <is>
          <t>12/28/25 - 1/25/26</t>
        </is>
      </c>
      <c r="C540" s="12" t="n">
        <v>0.4542</v>
      </c>
      <c r="D540" s="12" t="n">
        <v>0.9326</v>
      </c>
      <c r="E540" s="12" t="n">
        <v>1</v>
      </c>
      <c r="F540" s="12" t="n">
        <v>1</v>
      </c>
      <c r="G540" s="12" t="n">
        <v>1</v>
      </c>
      <c r="H540" s="9" t="n">
        <v>1</v>
      </c>
      <c r="I540" s="10" t="n">
        <v>1</v>
      </c>
      <c r="J540" s="12">
        <f>I540</f>
        <v/>
      </c>
      <c r="K540" t="inlineStr">
        <is>
          <t>Distinguished</t>
        </is>
      </c>
      <c r="L540" t="inlineStr">
        <is>
          <t>Professional</t>
        </is>
      </c>
      <c r="M540" t="inlineStr">
        <is>
          <t>Geoff St. Marie</t>
        </is>
      </c>
    </row>
    <row r="541">
      <c r="A541" s="9" t="inlineStr">
        <is>
          <t>Eddie Rodriguez</t>
        </is>
      </c>
      <c r="B541" s="9" t="inlineStr">
        <is>
          <t>5/18/25 - 6/14/25</t>
        </is>
      </c>
      <c r="C541" s="12" t="n">
        <v>0.72</v>
      </c>
      <c r="D541" s="12" t="n">
        <v>1.22</v>
      </c>
      <c r="E541" s="12" t="n">
        <v>1</v>
      </c>
      <c r="F541" s="12" t="n">
        <v>1</v>
      </c>
      <c r="G541" s="12" t="n">
        <v>1</v>
      </c>
      <c r="H541" s="9" t="n">
        <v>5</v>
      </c>
      <c r="J541" s="9" t="n"/>
      <c r="K541" t="inlineStr">
        <is>
          <t>Distinguished</t>
        </is>
      </c>
      <c r="L541" t="inlineStr">
        <is>
          <t>Professional</t>
        </is>
      </c>
      <c r="M541" t="inlineStr">
        <is>
          <t>Geoff St. Marie</t>
        </is>
      </c>
    </row>
    <row r="542">
      <c r="A542" s="9" t="inlineStr">
        <is>
          <t>Eddie Rodriguez</t>
        </is>
      </c>
      <c r="B542" s="9" t="inlineStr">
        <is>
          <t>6/15/25 - 7/12/25</t>
        </is>
      </c>
      <c r="C542" s="12" t="n">
        <v>0.18</v>
      </c>
      <c r="D542" s="12" t="n">
        <v>0.57</v>
      </c>
      <c r="E542" s="12" t="n">
        <v>1</v>
      </c>
      <c r="F542" s="12" t="n">
        <v>1</v>
      </c>
      <c r="G542" s="12" t="n">
        <v>0.87</v>
      </c>
      <c r="H542" s="9" t="n">
        <v>1</v>
      </c>
      <c r="I542" s="10" t="n">
        <v>0</v>
      </c>
      <c r="J542" s="12">
        <f>I542</f>
        <v/>
      </c>
      <c r="K542" t="inlineStr">
        <is>
          <t>Distinguished</t>
        </is>
      </c>
      <c r="L542" t="inlineStr">
        <is>
          <t>Professional</t>
        </is>
      </c>
      <c r="M542" t="inlineStr">
        <is>
          <t>Geoff St. Marie</t>
        </is>
      </c>
    </row>
    <row r="543">
      <c r="A543" s="9" t="inlineStr">
        <is>
          <t>Eddie Rodriguez</t>
        </is>
      </c>
      <c r="B543" s="9" t="inlineStr">
        <is>
          <t>7/13/25 - 8/10/25</t>
        </is>
      </c>
      <c r="C543" s="12" t="n">
        <v>0.83</v>
      </c>
      <c r="D543" s="12" t="n">
        <v>1.23</v>
      </c>
      <c r="E543" s="12" t="n">
        <v>1</v>
      </c>
      <c r="F543" s="12" t="n">
        <v>1</v>
      </c>
      <c r="G543" s="12" t="n">
        <v>0.9399999999999999</v>
      </c>
      <c r="H543" s="9" t="n">
        <v>1</v>
      </c>
      <c r="I543" s="10" t="inlineStr">
        <is>
          <t xml:space="preserve"> 2/5</t>
        </is>
      </c>
      <c r="J543" s="12" t="n">
        <v>0.4</v>
      </c>
      <c r="K543" t="inlineStr">
        <is>
          <t>Distinguished</t>
        </is>
      </c>
      <c r="L543" t="inlineStr">
        <is>
          <t>Professional</t>
        </is>
      </c>
      <c r="M543" t="inlineStr">
        <is>
          <t>Geoff St. Marie</t>
        </is>
      </c>
    </row>
    <row r="544">
      <c r="A544" s="9" t="inlineStr">
        <is>
          <t>Eddie Rodriguez</t>
        </is>
      </c>
      <c r="B544" s="9" t="inlineStr">
        <is>
          <t>8/10/25 - 9/6/25</t>
        </is>
      </c>
      <c r="C544" s="12" t="n">
        <v>0.89</v>
      </c>
      <c r="D544" s="12" t="n">
        <v>1.14</v>
      </c>
      <c r="E544" s="12" t="n">
        <v>1</v>
      </c>
      <c r="F544" s="12" t="n">
        <v>0.98</v>
      </c>
      <c r="G544" s="12" t="n">
        <v>0.9</v>
      </c>
      <c r="H544" s="9" t="n">
        <v>2</v>
      </c>
      <c r="I544" s="10" t="inlineStr">
        <is>
          <t>1/2</t>
        </is>
      </c>
      <c r="J544" s="12" t="n">
        <v>0.5</v>
      </c>
      <c r="K544" t="inlineStr">
        <is>
          <t>Distinguished</t>
        </is>
      </c>
      <c r="L544" t="inlineStr">
        <is>
          <t>Professional</t>
        </is>
      </c>
      <c r="M544" t="inlineStr">
        <is>
          <t>Geoff St. Marie</t>
        </is>
      </c>
    </row>
    <row r="545">
      <c r="A545" s="9" t="inlineStr">
        <is>
          <t>Eddie Rodriguez</t>
        </is>
      </c>
      <c r="B545" s="9" t="inlineStr">
        <is>
          <t>9/7/25 - 10/4/25</t>
        </is>
      </c>
      <c r="C545" s="12" t="n">
        <v>0.93</v>
      </c>
      <c r="D545" s="12" t="n">
        <v>1.27</v>
      </c>
      <c r="E545" s="12" t="n">
        <v>1</v>
      </c>
      <c r="F545" s="12" t="n">
        <v>1</v>
      </c>
      <c r="G545" s="12" t="n">
        <v>0.88</v>
      </c>
      <c r="H545" s="9" t="n">
        <v>3</v>
      </c>
      <c r="I545" s="10" t="inlineStr">
        <is>
          <t>1/1</t>
        </is>
      </c>
      <c r="J545" s="12" t="n">
        <v>1</v>
      </c>
      <c r="K545" t="inlineStr">
        <is>
          <t>Distinguished</t>
        </is>
      </c>
      <c r="L545" t="inlineStr">
        <is>
          <t>Professional</t>
        </is>
      </c>
      <c r="M545" t="inlineStr">
        <is>
          <t>Geoff St. Marie</t>
        </is>
      </c>
    </row>
    <row r="546">
      <c r="A546" s="9" t="inlineStr">
        <is>
          <t>Eden Rasmussen</t>
        </is>
      </c>
      <c r="B546" s="9" t="inlineStr">
        <is>
          <t>10/5/25 - 11/1/25</t>
        </is>
      </c>
      <c r="C546" s="12" t="n">
        <v>0.8125</v>
      </c>
      <c r="D546" s="12" t="n">
        <v>0.9375</v>
      </c>
      <c r="E546" s="12" t="n">
        <v>0.959595959595959</v>
      </c>
      <c r="F546" s="12" t="n">
        <v>0.828125</v>
      </c>
      <c r="G546" s="12" t="n">
        <v>0.863636363636363</v>
      </c>
      <c r="H546" s="9" t="n">
        <v>7</v>
      </c>
      <c r="I546" s="10" t="inlineStr">
        <is>
          <t>2/12</t>
        </is>
      </c>
      <c r="J546" s="12" t="n">
        <v>0.17</v>
      </c>
      <c r="K546" t="inlineStr">
        <is>
          <t>Distinguished</t>
        </is>
      </c>
      <c r="L546" t="inlineStr">
        <is>
          <t>Professional</t>
        </is>
      </c>
      <c r="M546" t="inlineStr">
        <is>
          <t>Geoff St. Marie</t>
        </is>
      </c>
    </row>
    <row r="547">
      <c r="A547" s="9" t="inlineStr">
        <is>
          <t>Eden Rasmussen</t>
        </is>
      </c>
      <c r="B547" s="9" t="inlineStr">
        <is>
          <t>10/5/25 - 11/1/25</t>
        </is>
      </c>
      <c r="C547" s="12" t="n">
        <v>0.8125</v>
      </c>
      <c r="D547" s="12" t="n">
        <v>0.9375</v>
      </c>
      <c r="E547" s="12" t="n">
        <v>0.959595959595959</v>
      </c>
      <c r="F547" s="12" t="n">
        <v>0.828125</v>
      </c>
      <c r="G547" s="12" t="n">
        <v>0.863636363636363</v>
      </c>
      <c r="H547" s="9" t="n">
        <v>7</v>
      </c>
      <c r="I547" s="10" t="inlineStr">
        <is>
          <t>2/12</t>
        </is>
      </c>
      <c r="J547" s="12">
        <f>_xlfn.TEXTBEFORE(I547, "/")/_xlfn.TEXTAFTER(I547,"/")</f>
        <v/>
      </c>
      <c r="K547" t="inlineStr">
        <is>
          <t>Distinguished</t>
        </is>
      </c>
      <c r="L547" t="inlineStr">
        <is>
          <t>Professional</t>
        </is>
      </c>
      <c r="M547" t="inlineStr">
        <is>
          <t>Geoff St. Marie</t>
        </is>
      </c>
    </row>
    <row r="548">
      <c r="A548" s="9" t="inlineStr">
        <is>
          <t>Eden Rasmussen</t>
        </is>
      </c>
      <c r="B548" s="9" t="inlineStr">
        <is>
          <t>11/2/25 - 11/29/25</t>
        </is>
      </c>
      <c r="C548" s="12" t="n">
        <v>0.8100000000000001</v>
      </c>
      <c r="D548" s="12" t="n">
        <v>0.93</v>
      </c>
      <c r="E548" s="12" t="n">
        <v>0.97</v>
      </c>
      <c r="F548" s="12" t="n">
        <v>1</v>
      </c>
      <c r="G548" s="12" t="n">
        <v>0.8100000000000001</v>
      </c>
      <c r="H548" s="9" t="n">
        <v>9</v>
      </c>
      <c r="I548" s="13" t="n">
        <v>45660</v>
      </c>
      <c r="J548" s="14">
        <f>1/3</f>
        <v/>
      </c>
      <c r="K548" t="inlineStr">
        <is>
          <t>Distinguished</t>
        </is>
      </c>
      <c r="L548" t="inlineStr">
        <is>
          <t>Professional</t>
        </is>
      </c>
      <c r="M548" t="inlineStr">
        <is>
          <t>Geoff St. Marie</t>
        </is>
      </c>
    </row>
    <row r="549">
      <c r="A549" s="9" t="inlineStr">
        <is>
          <t>Eden Rasmussen</t>
        </is>
      </c>
      <c r="B549" s="9" t="inlineStr">
        <is>
          <t>11/30/25 - 12/27/25</t>
        </is>
      </c>
      <c r="C549" s="12" t="n">
        <v>0.6</v>
      </c>
      <c r="D549" s="12" t="n">
        <v>0.96</v>
      </c>
      <c r="E549" s="12" t="n">
        <v>0.95</v>
      </c>
      <c r="F549" s="12" t="n">
        <v>1</v>
      </c>
      <c r="G549" s="12" t="n">
        <v>0.74</v>
      </c>
      <c r="H549" s="9" t="n">
        <v>10</v>
      </c>
      <c r="I549" s="10" t="inlineStr">
        <is>
          <t>0/4</t>
        </is>
      </c>
      <c r="J549" s="12" t="n">
        <v>0</v>
      </c>
      <c r="K549" t="inlineStr">
        <is>
          <t>Distinguished</t>
        </is>
      </c>
      <c r="L549" t="inlineStr">
        <is>
          <t>Professional</t>
        </is>
      </c>
      <c r="M549" t="inlineStr">
        <is>
          <t>Geoff St. Marie</t>
        </is>
      </c>
    </row>
    <row r="550">
      <c r="A550" s="9" t="inlineStr">
        <is>
          <t>Eden Rasmussen</t>
        </is>
      </c>
      <c r="B550" s="9" t="inlineStr">
        <is>
          <t>12/28/25 - 1/25/26</t>
        </is>
      </c>
      <c r="C550" s="12" t="n">
        <v>0.7708</v>
      </c>
      <c r="D550" s="12" t="n">
        <v>0.9918</v>
      </c>
      <c r="E550" s="12" t="n">
        <v>0.91011236</v>
      </c>
      <c r="F550" s="12" t="n">
        <v>1</v>
      </c>
      <c r="G550" s="12" t="n">
        <v>0</v>
      </c>
      <c r="H550" s="9" t="n">
        <v>2</v>
      </c>
      <c r="I550" s="10" t="n">
        <v>0.1666666666666667</v>
      </c>
      <c r="J550" s="12">
        <f>I550</f>
        <v/>
      </c>
      <c r="K550" t="inlineStr">
        <is>
          <t>Distinguished</t>
        </is>
      </c>
      <c r="L550" t="inlineStr">
        <is>
          <t>Professional</t>
        </is>
      </c>
      <c r="M550" t="inlineStr">
        <is>
          <t>Geoff St. Marie</t>
        </is>
      </c>
    </row>
    <row r="551">
      <c r="A551" s="9" t="inlineStr">
        <is>
          <t>Eden Rasmussen</t>
        </is>
      </c>
      <c r="B551" s="9" t="inlineStr">
        <is>
          <t>5/18/25 - 6/14/25</t>
        </is>
      </c>
      <c r="C551" s="12" t="n">
        <v>0.42</v>
      </c>
      <c r="D551" s="12" t="n">
        <v>0.63</v>
      </c>
      <c r="E551" s="12" t="n">
        <v>0.92</v>
      </c>
      <c r="F551" s="12" t="n">
        <v>0.53</v>
      </c>
      <c r="G551" s="12" t="n">
        <v>0.9</v>
      </c>
      <c r="H551" s="9" t="n">
        <v>4</v>
      </c>
      <c r="J551" s="9" t="n"/>
      <c r="K551" t="inlineStr">
        <is>
          <t>Distinguished</t>
        </is>
      </c>
      <c r="L551" t="inlineStr">
        <is>
          <t>Professional</t>
        </is>
      </c>
      <c r="M551" t="inlineStr">
        <is>
          <t>Geoff St. Marie</t>
        </is>
      </c>
    </row>
    <row r="552">
      <c r="A552" s="9" t="inlineStr">
        <is>
          <t>Eden Rasmussen</t>
        </is>
      </c>
      <c r="B552" s="9" t="inlineStr">
        <is>
          <t>6/15/25 - 7/12/25</t>
        </is>
      </c>
      <c r="C552" s="12" t="n">
        <v>0.51</v>
      </c>
      <c r="D552" s="12" t="n">
        <v>0.96</v>
      </c>
      <c r="E552" s="12" t="n">
        <v>0.6899999999999999</v>
      </c>
      <c r="F552" s="12" t="n">
        <v>0.18</v>
      </c>
      <c r="G552" s="12" t="n">
        <v>0.58</v>
      </c>
      <c r="H552" s="9" t="n">
        <v>8</v>
      </c>
      <c r="I552" s="10" t="inlineStr">
        <is>
          <t xml:space="preserve"> 1/7</t>
        </is>
      </c>
      <c r="J552" s="12" t="n">
        <v>0.14</v>
      </c>
      <c r="K552" t="inlineStr">
        <is>
          <t>Distinguished</t>
        </is>
      </c>
      <c r="L552" t="inlineStr">
        <is>
          <t>Professional</t>
        </is>
      </c>
      <c r="M552" t="inlineStr">
        <is>
          <t>Geoff St. Marie</t>
        </is>
      </c>
    </row>
    <row r="553">
      <c r="A553" s="9" t="inlineStr">
        <is>
          <t>Eden Rasmussen</t>
        </is>
      </c>
      <c r="B553" s="9" t="inlineStr">
        <is>
          <t>7/13/25 - 8/10/25</t>
        </is>
      </c>
      <c r="C553" s="12" t="n">
        <v>0.93</v>
      </c>
      <c r="D553" s="12" t="n">
        <v>1.01</v>
      </c>
      <c r="E553" s="12" t="n">
        <v>0.89</v>
      </c>
      <c r="F553" s="12" t="n">
        <v>0.88</v>
      </c>
      <c r="G553" s="12" t="n">
        <v>0.53</v>
      </c>
      <c r="H553" s="9" t="n">
        <v>9</v>
      </c>
      <c r="I553" s="10" t="inlineStr">
        <is>
          <t xml:space="preserve"> 1/5</t>
        </is>
      </c>
      <c r="J553" s="12" t="n">
        <v>0.2</v>
      </c>
      <c r="K553" t="inlineStr">
        <is>
          <t>Distinguished</t>
        </is>
      </c>
      <c r="L553" t="inlineStr">
        <is>
          <t>Professional</t>
        </is>
      </c>
      <c r="M553" t="inlineStr">
        <is>
          <t>Geoff St. Marie</t>
        </is>
      </c>
    </row>
    <row r="554">
      <c r="A554" s="9" t="inlineStr">
        <is>
          <t>Eden Rasmussen</t>
        </is>
      </c>
      <c r="B554" s="9" t="inlineStr">
        <is>
          <t>8/10/25 - 9/6/25</t>
        </is>
      </c>
      <c r="C554" s="12" t="n">
        <v>1</v>
      </c>
      <c r="D554" s="12" t="n">
        <v>1</v>
      </c>
      <c r="E554" s="12" t="n">
        <v>0.9</v>
      </c>
      <c r="F554" s="12" t="n">
        <v>1</v>
      </c>
      <c r="G554" s="12" t="n">
        <v>0.6</v>
      </c>
      <c r="H554" s="9" t="n">
        <v>10</v>
      </c>
      <c r="I554" s="10" t="inlineStr">
        <is>
          <t>0/1</t>
        </is>
      </c>
      <c r="J554" s="12" t="n">
        <v>0</v>
      </c>
      <c r="K554" t="inlineStr">
        <is>
          <t>Distinguished</t>
        </is>
      </c>
      <c r="L554" t="inlineStr">
        <is>
          <t>Professional</t>
        </is>
      </c>
      <c r="M554" t="inlineStr">
        <is>
          <t>Geoff St. Marie</t>
        </is>
      </c>
    </row>
    <row r="555">
      <c r="A555" s="9" t="inlineStr">
        <is>
          <t>Eden Rasmussen</t>
        </is>
      </c>
      <c r="B555" s="9" t="inlineStr">
        <is>
          <t>9/7/25 - 10/4/25</t>
        </is>
      </c>
      <c r="C555" s="12" t="n">
        <v>0.79</v>
      </c>
      <c r="D555" s="12" t="n">
        <v>1.06</v>
      </c>
      <c r="E555" s="12" t="n">
        <v>0.9399999999999999</v>
      </c>
      <c r="F555" s="12" t="n">
        <v>0.98</v>
      </c>
      <c r="G555" s="12" t="n">
        <v>0.4</v>
      </c>
      <c r="H555" s="9" t="n">
        <v>12</v>
      </c>
      <c r="I555" s="10" t="inlineStr">
        <is>
          <t>0/2</t>
        </is>
      </c>
      <c r="J555" s="12" t="n">
        <v>0</v>
      </c>
      <c r="K555" t="inlineStr">
        <is>
          <t>Distinguished</t>
        </is>
      </c>
      <c r="L555" t="inlineStr">
        <is>
          <t>Professional</t>
        </is>
      </c>
      <c r="M555" t="inlineStr">
        <is>
          <t>Geoff St. Marie</t>
        </is>
      </c>
    </row>
    <row r="556">
      <c r="A556" s="9" t="inlineStr">
        <is>
          <t>Edwin West</t>
        </is>
      </c>
      <c r="B556" s="9" t="inlineStr">
        <is>
          <t>10/5/25 - 11/1/25</t>
        </is>
      </c>
      <c r="C556" s="12" t="n">
        <v>1.21879999999999</v>
      </c>
      <c r="D556" s="12" t="n">
        <v>1.1016</v>
      </c>
      <c r="E556" s="12" t="n">
        <v>0.9836065573770491</v>
      </c>
      <c r="F556" s="12" t="n">
        <v>0.977272727272727</v>
      </c>
      <c r="G556" s="12" t="n">
        <v>1</v>
      </c>
      <c r="H556" s="9" t="n">
        <v>2</v>
      </c>
      <c r="I556" s="10" t="inlineStr">
        <is>
          <t>1/1</t>
        </is>
      </c>
      <c r="J556" s="12" t="n">
        <v>1</v>
      </c>
      <c r="K556" t="inlineStr">
        <is>
          <t>Distinguished</t>
        </is>
      </c>
      <c r="L556" t="inlineStr">
        <is>
          <t>Adjunct</t>
        </is>
      </c>
      <c r="M556" t="inlineStr">
        <is>
          <t>Ela Cross</t>
        </is>
      </c>
    </row>
    <row r="557">
      <c r="A557" s="9" t="inlineStr">
        <is>
          <t>Edwin West</t>
        </is>
      </c>
      <c r="B557" s="9" t="inlineStr">
        <is>
          <t>11/2/25 - 11/29/25</t>
        </is>
      </c>
      <c r="C557" s="12" t="n">
        <v>0.91</v>
      </c>
      <c r="D557" s="12" t="n">
        <v>1.07</v>
      </c>
      <c r="E557" s="12" t="n">
        <v>1</v>
      </c>
      <c r="F557" s="12" t="n">
        <v>1</v>
      </c>
      <c r="G557" s="12" t="n">
        <v>0.91</v>
      </c>
      <c r="H557" s="9" t="n">
        <v>2</v>
      </c>
      <c r="I557" s="13" t="n">
        <v>45659</v>
      </c>
      <c r="J557" s="12" t="n">
        <v>0.5</v>
      </c>
      <c r="K557" t="inlineStr">
        <is>
          <t>Distinguished</t>
        </is>
      </c>
      <c r="L557" t="inlineStr">
        <is>
          <t>Adjunct</t>
        </is>
      </c>
      <c r="M557" t="inlineStr">
        <is>
          <t>Ela Cross</t>
        </is>
      </c>
    </row>
    <row r="558">
      <c r="A558" s="9" t="inlineStr">
        <is>
          <t>Edwin West</t>
        </is>
      </c>
      <c r="B558" s="9" t="inlineStr">
        <is>
          <t>11/30/25 - 12/27/25</t>
        </is>
      </c>
      <c r="C558" s="12" t="n">
        <v>0.96</v>
      </c>
      <c r="D558" s="12" t="n">
        <v>1</v>
      </c>
      <c r="E558" s="12" t="n">
        <v>0.98</v>
      </c>
      <c r="F558" s="12" t="n">
        <v>0.97</v>
      </c>
      <c r="G558" s="12" t="n">
        <v>0.92</v>
      </c>
      <c r="H558" s="9" t="n">
        <v>4</v>
      </c>
      <c r="I558" s="10" t="n">
        <v>1</v>
      </c>
      <c r="J558" s="12" t="n">
        <v>1</v>
      </c>
      <c r="K558" t="inlineStr">
        <is>
          <t>Distinguished</t>
        </is>
      </c>
      <c r="L558" t="inlineStr">
        <is>
          <t>Adjunct</t>
        </is>
      </c>
      <c r="M558" t="inlineStr">
        <is>
          <t>Ela Cross</t>
        </is>
      </c>
    </row>
    <row r="559">
      <c r="A559" s="9" t="inlineStr">
        <is>
          <t>Edwin West</t>
        </is>
      </c>
      <c r="B559" s="9" t="inlineStr">
        <is>
          <t>12/28/25 - 1/25/26</t>
        </is>
      </c>
      <c r="C559" s="12" t="n">
        <v>1</v>
      </c>
      <c r="D559" s="12" t="n">
        <v>1.0195</v>
      </c>
      <c r="E559" s="12" t="n">
        <v>1</v>
      </c>
      <c r="F559" s="12" t="n">
        <v>0.9487179489999999</v>
      </c>
      <c r="G559" s="12" t="n">
        <v>1</v>
      </c>
      <c r="H559" s="9" t="n">
        <v>2</v>
      </c>
      <c r="I559" s="10" t="n">
        <v>0.6666666666666666</v>
      </c>
      <c r="J559" s="12">
        <f>I559</f>
        <v/>
      </c>
      <c r="K559" t="inlineStr">
        <is>
          <t>Distinguished</t>
        </is>
      </c>
      <c r="L559" t="inlineStr">
        <is>
          <t>Adjunct</t>
        </is>
      </c>
      <c r="M559" t="inlineStr">
        <is>
          <t>Ela Cross</t>
        </is>
      </c>
    </row>
    <row r="560">
      <c r="A560" s="9" t="inlineStr">
        <is>
          <t>Edwin West</t>
        </is>
      </c>
      <c r="B560" s="9" t="inlineStr">
        <is>
          <t>5/18/25 - 6/14/25</t>
        </is>
      </c>
      <c r="C560" s="12" t="n">
        <v>0.86</v>
      </c>
      <c r="D560" s="12" t="n">
        <v>0.99</v>
      </c>
      <c r="E560" s="12" t="n">
        <v>1</v>
      </c>
      <c r="F560" s="12" t="n">
        <v>0.9</v>
      </c>
      <c r="G560" s="12" t="n">
        <v>1</v>
      </c>
      <c r="H560" s="9" t="n">
        <v>4</v>
      </c>
      <c r="I560" s="10" t="n">
        <v>1</v>
      </c>
      <c r="J560" s="12">
        <f>I560</f>
        <v/>
      </c>
      <c r="K560" t="inlineStr">
        <is>
          <t>Distinguished</t>
        </is>
      </c>
      <c r="L560" t="inlineStr">
        <is>
          <t>Adjunct</t>
        </is>
      </c>
      <c r="M560" t="inlineStr">
        <is>
          <t>Ela Cross</t>
        </is>
      </c>
    </row>
    <row r="561">
      <c r="A561" s="9" t="inlineStr">
        <is>
          <t>Edwin West</t>
        </is>
      </c>
      <c r="B561" s="9" t="inlineStr">
        <is>
          <t>6/15/25 - 7/12/25</t>
        </is>
      </c>
      <c r="C561" s="12" t="n">
        <v>0.68</v>
      </c>
      <c r="D561" s="12" t="n">
        <v>1.03</v>
      </c>
      <c r="E561" s="12" t="n">
        <v>1</v>
      </c>
      <c r="F561" s="12" t="n">
        <v>1</v>
      </c>
      <c r="G561" s="12" t="n">
        <v>0.78</v>
      </c>
      <c r="H561" s="9" t="n">
        <v>4</v>
      </c>
      <c r="I561" s="10" t="n">
        <v>0</v>
      </c>
      <c r="J561" s="12">
        <f>I561</f>
        <v/>
      </c>
      <c r="K561" t="inlineStr">
        <is>
          <t>Distinguished</t>
        </is>
      </c>
      <c r="L561" t="inlineStr">
        <is>
          <t>Adjunct</t>
        </is>
      </c>
      <c r="M561" t="inlineStr">
        <is>
          <t>Ela Cross</t>
        </is>
      </c>
    </row>
    <row r="562">
      <c r="A562" s="9" t="inlineStr">
        <is>
          <t>Edwin West</t>
        </is>
      </c>
      <c r="B562" s="9" t="inlineStr">
        <is>
          <t>7/13/25 - 8/10/25</t>
        </is>
      </c>
      <c r="C562" s="12" t="n">
        <v>0.85</v>
      </c>
      <c r="D562" s="12" t="n">
        <v>1.04</v>
      </c>
      <c r="E562" s="12" t="n">
        <v>1</v>
      </c>
      <c r="F562" s="12" t="n">
        <v>1</v>
      </c>
      <c r="G562" s="12" t="n">
        <v>0.86</v>
      </c>
      <c r="H562" s="9" t="n">
        <v>3</v>
      </c>
      <c r="I562" s="10" t="n">
        <v>1</v>
      </c>
      <c r="J562" s="12">
        <f>I562</f>
        <v/>
      </c>
      <c r="K562" t="inlineStr">
        <is>
          <t>Distinguished</t>
        </is>
      </c>
      <c r="L562" t="inlineStr">
        <is>
          <t>Adjunct</t>
        </is>
      </c>
      <c r="M562" t="inlineStr">
        <is>
          <t>Ela Cross</t>
        </is>
      </c>
    </row>
    <row r="563">
      <c r="A563" s="9" t="inlineStr">
        <is>
          <t>Edwin West</t>
        </is>
      </c>
      <c r="B563" s="9" t="inlineStr">
        <is>
          <t>8/10/25 - 9/6/25</t>
        </is>
      </c>
      <c r="C563" s="12" t="n">
        <v>0.73</v>
      </c>
      <c r="D563" s="12" t="n">
        <v>1.05</v>
      </c>
      <c r="E563" s="12" t="n">
        <v>1</v>
      </c>
      <c r="F563" s="12" t="n">
        <v>1</v>
      </c>
      <c r="G563" s="12" t="n">
        <v>1</v>
      </c>
      <c r="H563" s="9" t="n">
        <v>2</v>
      </c>
      <c r="I563" s="11" t="n"/>
      <c r="J563" s="9" t="n"/>
      <c r="K563" t="inlineStr">
        <is>
          <t>Distinguished</t>
        </is>
      </c>
      <c r="L563" t="inlineStr">
        <is>
          <t>Adjunct</t>
        </is>
      </c>
      <c r="M563" t="inlineStr">
        <is>
          <t>Ela Cross</t>
        </is>
      </c>
    </row>
    <row r="564">
      <c r="A564" s="9" t="inlineStr">
        <is>
          <t>Edwin West</t>
        </is>
      </c>
      <c r="B564" s="9" t="inlineStr">
        <is>
          <t>9/7/25 - 10/4/25</t>
        </is>
      </c>
      <c r="C564" s="12" t="n">
        <v>0.75</v>
      </c>
      <c r="D564" s="12" t="n">
        <v>1.05</v>
      </c>
      <c r="E564" s="12" t="n">
        <v>1</v>
      </c>
      <c r="F564" s="12" t="n">
        <v>0.9</v>
      </c>
      <c r="G564" s="12" t="n">
        <v>1</v>
      </c>
      <c r="H564" s="9" t="n">
        <v>1</v>
      </c>
      <c r="I564" s="10" t="inlineStr">
        <is>
          <t>2/2</t>
        </is>
      </c>
      <c r="J564" s="12" t="n">
        <v>1</v>
      </c>
      <c r="K564" t="inlineStr">
        <is>
          <t>Distinguished</t>
        </is>
      </c>
      <c r="L564" t="inlineStr">
        <is>
          <t>Adjunct</t>
        </is>
      </c>
      <c r="M564" t="inlineStr">
        <is>
          <t>Ela Cross</t>
        </is>
      </c>
    </row>
    <row r="565">
      <c r="A565" s="9" t="inlineStr">
        <is>
          <t>Elain Ng</t>
        </is>
      </c>
      <c r="B565" s="9" t="inlineStr">
        <is>
          <t>10/5/25 - 11/1/25</t>
        </is>
      </c>
      <c r="C565" s="12" t="n">
        <v>0.8208</v>
      </c>
      <c r="D565" s="12" t="n">
        <v>1.12009999999999</v>
      </c>
      <c r="E565" s="12" t="n">
        <v>0.9890109890109891</v>
      </c>
      <c r="F565" s="12" t="n">
        <v>1</v>
      </c>
      <c r="G565" s="12" t="n">
        <v>0.65</v>
      </c>
      <c r="H565" s="9" t="n">
        <v>1</v>
      </c>
      <c r="I565" s="10" t="n"/>
      <c r="J565" s="12" t="n"/>
      <c r="K565" t="e">
        <v>#N/A</v>
      </c>
      <c r="L565" t="e">
        <v>#N/A</v>
      </c>
      <c r="M565" t="e">
        <v>#N/A</v>
      </c>
    </row>
    <row r="566">
      <c r="A566" s="9" t="inlineStr">
        <is>
          <t>Elain Ng</t>
        </is>
      </c>
      <c r="B566" s="9" t="inlineStr">
        <is>
          <t>10/5/25 - 11/1/25</t>
        </is>
      </c>
      <c r="C566" s="12" t="n">
        <v>0.8208</v>
      </c>
      <c r="D566" s="12" t="n">
        <v>1.12009999999999</v>
      </c>
      <c r="E566" s="12" t="n">
        <v>0.9890109890109891</v>
      </c>
      <c r="F566" s="12" t="n">
        <v>1</v>
      </c>
      <c r="G566" s="12" t="n">
        <v>0.65</v>
      </c>
      <c r="H566" s="9" t="n">
        <v>1</v>
      </c>
      <c r="J566" s="9" t="n"/>
      <c r="K566" t="e">
        <v>#N/A</v>
      </c>
      <c r="L566" t="e">
        <v>#N/A</v>
      </c>
      <c r="M566" t="e">
        <v>#N/A</v>
      </c>
    </row>
    <row r="567">
      <c r="A567" s="9" t="inlineStr">
        <is>
          <t>Elain Ng</t>
        </is>
      </c>
      <c r="B567" s="9" t="inlineStr">
        <is>
          <t>11/2/25 - 11/29/25</t>
        </is>
      </c>
      <c r="C567" s="12" t="n">
        <v>0.8</v>
      </c>
      <c r="D567" s="12" t="n">
        <v>1.19</v>
      </c>
      <c r="E567" s="12" t="n">
        <v>1</v>
      </c>
      <c r="F567" s="12" t="n">
        <v>0.9399999999999999</v>
      </c>
      <c r="G567" s="12" t="n">
        <v>0.78</v>
      </c>
      <c r="H567" s="9" t="n">
        <v>11</v>
      </c>
      <c r="I567" s="13" t="n">
        <v>45690</v>
      </c>
      <c r="J567" s="12" t="n">
        <v>1</v>
      </c>
      <c r="K567" t="e">
        <v>#N/A</v>
      </c>
      <c r="L567" t="e">
        <v>#N/A</v>
      </c>
      <c r="M567" t="e">
        <v>#N/A</v>
      </c>
    </row>
    <row r="568">
      <c r="A568" s="9" t="inlineStr">
        <is>
          <t>Elain Ng</t>
        </is>
      </c>
      <c r="B568" s="9" t="inlineStr">
        <is>
          <t>11/30/25 - 12/27/25</t>
        </is>
      </c>
      <c r="C568" s="12" t="n">
        <v>0.93</v>
      </c>
      <c r="D568" s="12" t="n">
        <v>1.78</v>
      </c>
      <c r="E568" s="12" t="n">
        <v>1</v>
      </c>
      <c r="F568" s="12" t="n">
        <v>1</v>
      </c>
      <c r="G568" s="12" t="n">
        <v>0.68</v>
      </c>
      <c r="H568" s="9" t="n">
        <v>3</v>
      </c>
      <c r="I568" s="10" t="n">
        <v>1</v>
      </c>
      <c r="J568" s="12" t="n">
        <v>1</v>
      </c>
      <c r="K568" t="e">
        <v>#N/A</v>
      </c>
      <c r="L568" t="e">
        <v>#N/A</v>
      </c>
      <c r="M568" t="e">
        <v>#N/A</v>
      </c>
    </row>
    <row r="569">
      <c r="A569" s="9" t="inlineStr">
        <is>
          <t>Elain Ng</t>
        </is>
      </c>
      <c r="B569" s="9" t="inlineStr">
        <is>
          <t>12/28/25 - 1/25/26</t>
        </is>
      </c>
      <c r="C569" s="12" t="n">
        <v>0.7625</v>
      </c>
      <c r="D569" s="12" t="n">
        <v>1.375</v>
      </c>
      <c r="E569" s="12" t="n">
        <v>1</v>
      </c>
      <c r="F569" s="12" t="n">
        <v>1</v>
      </c>
      <c r="G569" s="12" t="n">
        <v>0.153846154</v>
      </c>
      <c r="H569" s="9" t="n">
        <v>2</v>
      </c>
      <c r="I569" s="10" t="n">
        <v>1</v>
      </c>
      <c r="J569" s="12">
        <f>I569</f>
        <v/>
      </c>
      <c r="K569" t="e">
        <v>#N/A</v>
      </c>
      <c r="L569" t="e">
        <v>#N/A</v>
      </c>
      <c r="M569" t="e">
        <v>#N/A</v>
      </c>
    </row>
    <row r="570">
      <c r="A570" s="9" t="inlineStr">
        <is>
          <t>Elain Ng</t>
        </is>
      </c>
      <c r="B570" s="9" t="inlineStr">
        <is>
          <t>5/18/25 - 6/14/25</t>
        </is>
      </c>
      <c r="C570" s="12" t="n">
        <v>1.11</v>
      </c>
      <c r="D570" s="12" t="n">
        <v>1.11</v>
      </c>
      <c r="E570" s="12" t="n">
        <v>0.97</v>
      </c>
      <c r="F570" s="12" t="n">
        <v>0.96</v>
      </c>
      <c r="G570" s="12" t="n">
        <v>1</v>
      </c>
      <c r="H570" s="9" t="n">
        <v>8</v>
      </c>
      <c r="I570" s="10" t="inlineStr">
        <is>
          <t xml:space="preserve"> 1/3</t>
        </is>
      </c>
      <c r="J570" s="12">
        <f>1/3</f>
        <v/>
      </c>
      <c r="K570" t="e">
        <v>#N/A</v>
      </c>
      <c r="L570" t="e">
        <v>#N/A</v>
      </c>
      <c r="M570" t="e">
        <v>#N/A</v>
      </c>
    </row>
    <row r="571">
      <c r="A571" s="9" t="inlineStr">
        <is>
          <t>Elain Ng</t>
        </is>
      </c>
      <c r="B571" s="9" t="inlineStr">
        <is>
          <t>6/15/25 - 7/12/25</t>
        </is>
      </c>
      <c r="C571" s="12" t="n">
        <v>0.45</v>
      </c>
      <c r="D571" s="12" t="n">
        <v>0.68</v>
      </c>
      <c r="E571" s="12" t="n">
        <v>0.98</v>
      </c>
      <c r="F571" s="12" t="n">
        <v>0.97</v>
      </c>
      <c r="G571" s="12" t="n">
        <v>0.78</v>
      </c>
      <c r="H571" s="9" t="n">
        <v>6</v>
      </c>
      <c r="I571" s="10" t="n">
        <v>1</v>
      </c>
      <c r="J571" s="12">
        <f>I571</f>
        <v/>
      </c>
      <c r="K571" t="e">
        <v>#N/A</v>
      </c>
      <c r="L571" t="e">
        <v>#N/A</v>
      </c>
      <c r="M571" t="e">
        <v>#N/A</v>
      </c>
    </row>
    <row r="572">
      <c r="A572" s="9" t="inlineStr">
        <is>
          <t>Elain Ng</t>
        </is>
      </c>
      <c r="B572" s="9" t="inlineStr">
        <is>
          <t>7/13/25 - 8/10/25</t>
        </is>
      </c>
      <c r="C572" s="12" t="n">
        <v>0.61</v>
      </c>
      <c r="D572" s="12" t="n">
        <v>1.15</v>
      </c>
      <c r="E572" s="12" t="n">
        <v>0.99</v>
      </c>
      <c r="F572" s="12" t="n">
        <v>1</v>
      </c>
      <c r="G572" s="12" t="n">
        <v>0.28</v>
      </c>
      <c r="H572" s="9" t="n">
        <v>6</v>
      </c>
      <c r="I572" s="10" t="n">
        <v>1</v>
      </c>
      <c r="J572" s="12">
        <f>I572</f>
        <v/>
      </c>
      <c r="K572" t="e">
        <v>#N/A</v>
      </c>
      <c r="L572" t="e">
        <v>#N/A</v>
      </c>
      <c r="M572" t="e">
        <v>#N/A</v>
      </c>
    </row>
    <row r="573">
      <c r="A573" s="9" t="inlineStr">
        <is>
          <t>Elain Ng</t>
        </is>
      </c>
      <c r="B573" s="9" t="inlineStr">
        <is>
          <t>8/10/25 - 9/6/25</t>
        </is>
      </c>
      <c r="C573" s="12" t="n">
        <v>0.95</v>
      </c>
      <c r="D573" s="12" t="n">
        <v>1.22</v>
      </c>
      <c r="E573" s="12" t="n">
        <v>0.98</v>
      </c>
      <c r="F573" s="12" t="n">
        <v>1</v>
      </c>
      <c r="G573" s="12" t="n">
        <v>0.53</v>
      </c>
      <c r="H573" s="9" t="n">
        <v>3</v>
      </c>
      <c r="I573" s="10" t="inlineStr">
        <is>
          <t>0/2</t>
        </is>
      </c>
      <c r="J573" s="12" t="n">
        <v>0</v>
      </c>
      <c r="K573" t="e">
        <v>#N/A</v>
      </c>
      <c r="L573" t="e">
        <v>#N/A</v>
      </c>
      <c r="M573" t="e">
        <v>#N/A</v>
      </c>
    </row>
    <row r="574">
      <c r="A574" s="9" t="inlineStr">
        <is>
          <t>Elain Ng</t>
        </is>
      </c>
      <c r="B574" s="9" t="inlineStr">
        <is>
          <t>9/7/25 - 10/4/25</t>
        </is>
      </c>
      <c r="C574" s="12" t="n">
        <v>0.93</v>
      </c>
      <c r="D574" s="12" t="n">
        <v>1.18</v>
      </c>
      <c r="E574" s="12" t="n">
        <v>0.99</v>
      </c>
      <c r="F574" s="12" t="n">
        <v>1</v>
      </c>
      <c r="G574" s="12" t="n">
        <v>0.8</v>
      </c>
      <c r="H574" s="9" t="n">
        <v>1</v>
      </c>
      <c r="I574" s="10" t="inlineStr">
        <is>
          <t>2/3</t>
        </is>
      </c>
      <c r="J574" s="12" t="n">
        <v>0.66</v>
      </c>
      <c r="K574" t="e">
        <v>#N/A</v>
      </c>
      <c r="L574" t="e">
        <v>#N/A</v>
      </c>
      <c r="M574" t="e">
        <v>#N/A</v>
      </c>
    </row>
    <row r="575">
      <c r="A575" s="9" t="inlineStr">
        <is>
          <t>Elijah Ramirez</t>
        </is>
      </c>
      <c r="B575" s="9" t="inlineStr">
        <is>
          <t>10/5/25 - 11/1/25</t>
        </is>
      </c>
      <c r="C575" s="12" t="n">
        <v>0.8146</v>
      </c>
      <c r="D575" s="12" t="n">
        <v>1.0905</v>
      </c>
      <c r="E575" s="12" t="n">
        <v>1</v>
      </c>
      <c r="F575" s="12" t="n">
        <v>1</v>
      </c>
      <c r="G575" s="12" t="n">
        <v>0.92</v>
      </c>
      <c r="H575" s="9" t="n">
        <v>2</v>
      </c>
      <c r="I575" s="10" t="n"/>
      <c r="J575" s="12" t="n"/>
      <c r="K575" t="inlineStr">
        <is>
          <t>Premium</t>
        </is>
      </c>
      <c r="L575" t="inlineStr">
        <is>
          <t>Professional</t>
        </is>
      </c>
      <c r="M575" t="inlineStr">
        <is>
          <t>Ian Plamondon</t>
        </is>
      </c>
    </row>
    <row r="576">
      <c r="A576" s="9" t="inlineStr">
        <is>
          <t>Elijah Ramirez</t>
        </is>
      </c>
      <c r="B576" s="9" t="inlineStr">
        <is>
          <t>10/5/25 - 11/1/25</t>
        </is>
      </c>
      <c r="C576" s="12" t="n">
        <v>0.8146</v>
      </c>
      <c r="D576" s="12" t="n">
        <v>1.0905</v>
      </c>
      <c r="E576" s="12" t="n">
        <v>1</v>
      </c>
      <c r="F576" s="12" t="n">
        <v>1</v>
      </c>
      <c r="G576" s="12" t="n">
        <v>0.92</v>
      </c>
      <c r="H576" s="9" t="n">
        <v>2</v>
      </c>
      <c r="J576" s="9" t="n"/>
      <c r="K576" t="inlineStr">
        <is>
          <t>Premium</t>
        </is>
      </c>
      <c r="L576" t="inlineStr">
        <is>
          <t>Professional</t>
        </is>
      </c>
      <c r="M576" t="inlineStr">
        <is>
          <t>Ian Plamondon</t>
        </is>
      </c>
    </row>
    <row r="577">
      <c r="A577" s="9" t="inlineStr">
        <is>
          <t>Elijah Ramirez</t>
        </is>
      </c>
      <c r="B577" s="9" t="inlineStr">
        <is>
          <t>11/2/25 - 11/29/25</t>
        </is>
      </c>
      <c r="C577" s="12" t="n">
        <v>0.67</v>
      </c>
      <c r="D577" s="12" t="n">
        <v>1.07</v>
      </c>
      <c r="E577" s="12" t="n">
        <v>0.97</v>
      </c>
      <c r="F577" s="12" t="n">
        <v>0.98</v>
      </c>
      <c r="G577" s="12" t="n">
        <v>1</v>
      </c>
      <c r="H577" s="9" t="n">
        <v>3</v>
      </c>
      <c r="I577" s="13" t="n">
        <v>45658</v>
      </c>
      <c r="J577" s="12" t="n">
        <v>1</v>
      </c>
      <c r="K577" t="inlineStr">
        <is>
          <t>Premium</t>
        </is>
      </c>
      <c r="L577" t="inlineStr">
        <is>
          <t>Professional</t>
        </is>
      </c>
      <c r="M577" t="inlineStr">
        <is>
          <t>Ian Plamondon</t>
        </is>
      </c>
    </row>
    <row r="578">
      <c r="A578" s="9" t="inlineStr">
        <is>
          <t>Elijah Ramirez</t>
        </is>
      </c>
      <c r="B578" s="9" t="inlineStr">
        <is>
          <t>11/30/25 - 12/27/25</t>
        </is>
      </c>
      <c r="C578" s="12" t="n">
        <v>0.47</v>
      </c>
      <c r="D578" s="12" t="n">
        <v>0.97</v>
      </c>
      <c r="E578" s="12" t="n">
        <v>1</v>
      </c>
      <c r="F578" s="12" t="n">
        <v>0.96</v>
      </c>
      <c r="G578" s="12" t="n">
        <v>1</v>
      </c>
      <c r="H578" s="9" t="n">
        <v>0</v>
      </c>
      <c r="I578" s="10" t="n"/>
      <c r="J578" s="12" t="n"/>
      <c r="K578" t="inlineStr">
        <is>
          <t>Premium</t>
        </is>
      </c>
      <c r="L578" t="inlineStr">
        <is>
          <t>Professional</t>
        </is>
      </c>
      <c r="M578" t="inlineStr">
        <is>
          <t>Ian Plamondon</t>
        </is>
      </c>
    </row>
    <row r="579">
      <c r="A579" s="9" t="inlineStr">
        <is>
          <t>Elijah Ramirez</t>
        </is>
      </c>
      <c r="B579" s="9" t="inlineStr">
        <is>
          <t>12/28/25 - 1/25/26</t>
        </is>
      </c>
      <c r="C579" s="12" t="n">
        <v>0.5292</v>
      </c>
      <c r="D579" s="12" t="n">
        <v>1.0576</v>
      </c>
      <c r="E579" s="12" t="n">
        <v>1</v>
      </c>
      <c r="F579" s="12" t="n">
        <v>0.833333333</v>
      </c>
      <c r="G579" s="12" t="n">
        <v>1</v>
      </c>
      <c r="H579" s="9" t="n">
        <v>3</v>
      </c>
      <c r="I579" s="10" t="inlineStr">
        <is>
          <t>0/1</t>
        </is>
      </c>
      <c r="J579" s="12" t="n">
        <v>0</v>
      </c>
      <c r="K579" t="inlineStr">
        <is>
          <t>Premium</t>
        </is>
      </c>
      <c r="L579" t="inlineStr">
        <is>
          <t>Professional</t>
        </is>
      </c>
      <c r="M579" t="inlineStr">
        <is>
          <t>Ian Plamondon</t>
        </is>
      </c>
    </row>
    <row r="580">
      <c r="A580" s="9" t="inlineStr">
        <is>
          <t>Elijah Ramirez</t>
        </is>
      </c>
      <c r="B580" s="9" t="inlineStr">
        <is>
          <t>5/18/25 - 6/14/25</t>
        </is>
      </c>
      <c r="C580" s="12" t="n">
        <v>0.92</v>
      </c>
      <c r="D580" s="12" t="n">
        <v>1.21</v>
      </c>
      <c r="E580" s="12" t="n">
        <v>1</v>
      </c>
      <c r="F580" s="12" t="n">
        <v>0.97</v>
      </c>
      <c r="G580" s="12" t="n">
        <v>0.77</v>
      </c>
      <c r="H580" s="9" t="n">
        <v>1</v>
      </c>
      <c r="I580" s="10" t="inlineStr">
        <is>
          <t xml:space="preserve"> 3/4</t>
        </is>
      </c>
      <c r="J580" s="12" t="n">
        <v>0.75</v>
      </c>
      <c r="K580" t="inlineStr">
        <is>
          <t>Premium</t>
        </is>
      </c>
      <c r="L580" t="inlineStr">
        <is>
          <t>Professional</t>
        </is>
      </c>
      <c r="M580" t="inlineStr">
        <is>
          <t>Ian Plamondon</t>
        </is>
      </c>
    </row>
    <row r="581">
      <c r="A581" s="9" t="inlineStr">
        <is>
          <t>Elijah Ramirez</t>
        </is>
      </c>
      <c r="B581" s="9" t="inlineStr">
        <is>
          <t>6/15/25 - 7/12/25</t>
        </is>
      </c>
      <c r="C581" s="12" t="n">
        <v>0.74</v>
      </c>
      <c r="D581" s="12" t="n">
        <v>1.09</v>
      </c>
      <c r="E581" s="12" t="n">
        <v>0.98</v>
      </c>
      <c r="F581" s="12" t="n">
        <v>0.93</v>
      </c>
      <c r="G581" s="12" t="n">
        <v>1</v>
      </c>
      <c r="H581" s="9" t="n">
        <v>2</v>
      </c>
      <c r="I581" s="10" t="inlineStr">
        <is>
          <t xml:space="preserve"> 6/7</t>
        </is>
      </c>
      <c r="J581" s="12" t="n">
        <v>0.86</v>
      </c>
      <c r="K581" t="inlineStr">
        <is>
          <t>Premium</t>
        </is>
      </c>
      <c r="L581" t="inlineStr">
        <is>
          <t>Professional</t>
        </is>
      </c>
      <c r="M581" t="inlineStr">
        <is>
          <t>Ian Plamondon</t>
        </is>
      </c>
    </row>
    <row r="582">
      <c r="A582" s="9" t="inlineStr">
        <is>
          <t>Elijah Ramirez</t>
        </is>
      </c>
      <c r="B582" s="9" t="inlineStr">
        <is>
          <t>7/13/25 - 8/10/25</t>
        </is>
      </c>
      <c r="C582" s="12" t="n">
        <v>0.84</v>
      </c>
      <c r="D582" s="12" t="n">
        <v>1.11</v>
      </c>
      <c r="E582" s="12" t="n">
        <v>0.98</v>
      </c>
      <c r="F582" s="12" t="n">
        <v>0.95</v>
      </c>
      <c r="G582" s="12" t="n">
        <v>0.77</v>
      </c>
      <c r="H582" s="9" t="n">
        <v>1</v>
      </c>
      <c r="I582" s="10" t="n">
        <v>0</v>
      </c>
      <c r="J582" s="12">
        <f>I582</f>
        <v/>
      </c>
      <c r="K582" t="inlineStr">
        <is>
          <t>Premium</t>
        </is>
      </c>
      <c r="L582" t="inlineStr">
        <is>
          <t>Professional</t>
        </is>
      </c>
      <c r="M582" t="inlineStr">
        <is>
          <t>Ian Plamondon</t>
        </is>
      </c>
    </row>
    <row r="583">
      <c r="A583" s="9" t="inlineStr">
        <is>
          <t>Elijah Ramirez</t>
        </is>
      </c>
      <c r="B583" s="9" t="inlineStr">
        <is>
          <t>8/10/25 - 9/6/25</t>
        </is>
      </c>
      <c r="C583" s="12" t="n">
        <v>0.92</v>
      </c>
      <c r="D583" s="12" t="n">
        <v>1.18</v>
      </c>
      <c r="E583" s="12" t="n">
        <v>0.98</v>
      </c>
      <c r="F583" s="12" t="n">
        <v>1</v>
      </c>
      <c r="G583" s="12" t="n">
        <v>0.87</v>
      </c>
      <c r="H583" s="9" t="n">
        <v>2</v>
      </c>
      <c r="I583" s="10" t="inlineStr">
        <is>
          <t>2/2</t>
        </is>
      </c>
      <c r="J583" s="12" t="n">
        <v>1</v>
      </c>
      <c r="K583" t="inlineStr">
        <is>
          <t>Premium</t>
        </is>
      </c>
      <c r="L583" t="inlineStr">
        <is>
          <t>Professional</t>
        </is>
      </c>
      <c r="M583" t="inlineStr">
        <is>
          <t>Ian Plamondon</t>
        </is>
      </c>
    </row>
    <row r="584">
      <c r="A584" s="9" t="inlineStr">
        <is>
          <t>Elijah Ramirez</t>
        </is>
      </c>
      <c r="B584" s="9" t="inlineStr">
        <is>
          <t>9/7/25 - 10/4/25</t>
        </is>
      </c>
      <c r="C584" s="12" t="n">
        <v>0.92</v>
      </c>
      <c r="D584" s="12" t="n">
        <v>1.13</v>
      </c>
      <c r="E584" s="12" t="n">
        <v>0.99</v>
      </c>
      <c r="F584" s="12" t="n">
        <v>0.99</v>
      </c>
      <c r="G584" s="12" t="n">
        <v>0.95</v>
      </c>
      <c r="H584" s="9" t="n">
        <v>1</v>
      </c>
      <c r="I584" s="10" t="inlineStr">
        <is>
          <t>0/2</t>
        </is>
      </c>
      <c r="J584" s="12" t="n">
        <v>0</v>
      </c>
      <c r="K584" t="inlineStr">
        <is>
          <t>Premium</t>
        </is>
      </c>
      <c r="L584" t="inlineStr">
        <is>
          <t>Professional</t>
        </is>
      </c>
      <c r="M584" t="inlineStr">
        <is>
          <t>Ian Plamondon</t>
        </is>
      </c>
    </row>
    <row r="585">
      <c r="A585" s="9" t="inlineStr">
        <is>
          <t>Elizabeth Simons</t>
        </is>
      </c>
      <c r="B585" s="9" t="inlineStr">
        <is>
          <t>10/5/25 - 11/1/25</t>
        </is>
      </c>
      <c r="C585" s="12" t="n">
        <v>1.1875</v>
      </c>
      <c r="D585" s="12" t="n">
        <v>1.34379999999999</v>
      </c>
      <c r="E585" s="12" t="n">
        <v>0.982142857142857</v>
      </c>
      <c r="F585" s="12" t="n">
        <v>0.405405405405405</v>
      </c>
      <c r="G585" s="12" t="n">
        <v>0.0909090909090909</v>
      </c>
      <c r="H585" s="9" t="n">
        <v>3</v>
      </c>
      <c r="I585" s="10" t="inlineStr">
        <is>
          <t>0/2</t>
        </is>
      </c>
      <c r="J585" s="12" t="n">
        <v>0</v>
      </c>
      <c r="K585" t="inlineStr">
        <is>
          <t>Distinguished</t>
        </is>
      </c>
      <c r="L585" t="inlineStr">
        <is>
          <t>Adjunct</t>
        </is>
      </c>
      <c r="M585" t="inlineStr">
        <is>
          <t>Kristin Haase-Alvey</t>
        </is>
      </c>
    </row>
    <row r="586">
      <c r="A586" s="9" t="inlineStr">
        <is>
          <t>Elizabeth Simons</t>
        </is>
      </c>
      <c r="B586" s="9" t="inlineStr">
        <is>
          <t>11/2/25 - 11/29/25</t>
        </is>
      </c>
      <c r="C586" s="12" t="n">
        <v>1.39</v>
      </c>
      <c r="D586" s="12" t="n">
        <v>1.32</v>
      </c>
      <c r="E586" s="12" t="n">
        <v>0.98</v>
      </c>
      <c r="F586" s="12" t="n">
        <v>1</v>
      </c>
      <c r="G586" s="12" t="n">
        <v>0.78</v>
      </c>
      <c r="H586" s="9" t="n">
        <v>3</v>
      </c>
      <c r="I586" s="13" t="n">
        <v>45663</v>
      </c>
      <c r="J586" s="14" t="n">
        <v>0.17</v>
      </c>
      <c r="K586" t="inlineStr">
        <is>
          <t>Distinguished</t>
        </is>
      </c>
      <c r="L586" t="inlineStr">
        <is>
          <t>Adjunct</t>
        </is>
      </c>
      <c r="M586" t="inlineStr">
        <is>
          <t>Kristin Haase-Alvey</t>
        </is>
      </c>
    </row>
    <row r="587">
      <c r="A587" s="9" t="inlineStr">
        <is>
          <t>Elizabeth Simons</t>
        </is>
      </c>
      <c r="B587" s="9" t="inlineStr">
        <is>
          <t>11/30/25 - 12/27/25</t>
        </is>
      </c>
      <c r="C587" s="12" t="n">
        <v>1.14</v>
      </c>
      <c r="D587" s="12" t="n">
        <v>0.93</v>
      </c>
      <c r="E587" s="12" t="n">
        <v>1</v>
      </c>
      <c r="F587" s="12" t="n">
        <v>1</v>
      </c>
      <c r="G587" s="12" t="n">
        <v>0.58</v>
      </c>
      <c r="H587" s="9" t="n">
        <v>6</v>
      </c>
      <c r="I587" s="10" t="n">
        <v>0.3333333333333333</v>
      </c>
      <c r="J587" s="12" t="n">
        <v>0.33</v>
      </c>
      <c r="K587" t="inlineStr">
        <is>
          <t>Distinguished</t>
        </is>
      </c>
      <c r="L587" t="inlineStr">
        <is>
          <t>Adjunct</t>
        </is>
      </c>
      <c r="M587" t="inlineStr">
        <is>
          <t>Kristin Haase-Alvey</t>
        </is>
      </c>
    </row>
    <row r="588">
      <c r="A588" s="9" t="inlineStr">
        <is>
          <t>Elizabeth Simons</t>
        </is>
      </c>
      <c r="B588" s="9" t="inlineStr">
        <is>
          <t>12/28/25 - 1/25/26</t>
        </is>
      </c>
      <c r="C588" s="12" t="n">
        <v>0.9583</v>
      </c>
      <c r="D588" s="12" t="n">
        <v>1.0117</v>
      </c>
      <c r="E588" s="12" t="n">
        <v>1</v>
      </c>
      <c r="F588" s="12" t="n">
        <v>1</v>
      </c>
      <c r="G588" s="12" t="n">
        <v>0.153846154</v>
      </c>
      <c r="H588" s="9" t="n">
        <v>7</v>
      </c>
      <c r="I588" s="10" t="n">
        <v>0.3333333333333333</v>
      </c>
      <c r="J588" s="12">
        <f>I588</f>
        <v/>
      </c>
      <c r="K588" t="inlineStr">
        <is>
          <t>Distinguished</t>
        </is>
      </c>
      <c r="L588" t="inlineStr">
        <is>
          <t>Adjunct</t>
        </is>
      </c>
      <c r="M588" t="inlineStr">
        <is>
          <t>Kristin Haase-Alvey</t>
        </is>
      </c>
    </row>
    <row r="589">
      <c r="A589" s="9" t="inlineStr">
        <is>
          <t>Elizabeth Simons</t>
        </is>
      </c>
      <c r="B589" s="9" t="inlineStr">
        <is>
          <t>5/18/25 - 6/14/25</t>
        </is>
      </c>
      <c r="C589" s="12" t="n">
        <v>0.98</v>
      </c>
      <c r="D589" s="12" t="n">
        <v>1.44</v>
      </c>
      <c r="E589" s="12" t="n">
        <v>1</v>
      </c>
      <c r="F589" s="12" t="n">
        <v>1</v>
      </c>
      <c r="G589" s="12" t="n">
        <v>0.75</v>
      </c>
      <c r="H589" s="9" t="e">
        <v>#N/A</v>
      </c>
      <c r="I589" s="10" t="n">
        <v>1</v>
      </c>
      <c r="J589" s="12">
        <f>I589</f>
        <v/>
      </c>
      <c r="K589" t="inlineStr">
        <is>
          <t>Distinguished</t>
        </is>
      </c>
      <c r="L589" t="inlineStr">
        <is>
          <t>Adjunct</t>
        </is>
      </c>
      <c r="M589" t="inlineStr">
        <is>
          <t>Kristin Haase-Alvey</t>
        </is>
      </c>
    </row>
    <row r="590">
      <c r="A590" s="9" t="inlineStr">
        <is>
          <t>Elizabeth Simons</t>
        </is>
      </c>
      <c r="B590" s="9" t="inlineStr">
        <is>
          <t>6/15/25 - 7/12/25</t>
        </is>
      </c>
      <c r="C590" s="12" t="n">
        <v>0.46</v>
      </c>
      <c r="D590" s="12" t="n">
        <v>1.54</v>
      </c>
      <c r="E590" s="12" t="n">
        <v>1</v>
      </c>
      <c r="F590" s="12" t="n">
        <v>0.86</v>
      </c>
      <c r="G590" s="12" t="n">
        <v>0.57</v>
      </c>
      <c r="H590" s="9" t="e">
        <v>#N/A</v>
      </c>
      <c r="I590" s="10" t="n">
        <v>1</v>
      </c>
      <c r="J590" s="12">
        <f>I590</f>
        <v/>
      </c>
      <c r="K590" t="inlineStr">
        <is>
          <t>Distinguished</t>
        </is>
      </c>
      <c r="L590" t="inlineStr">
        <is>
          <t>Adjunct</t>
        </is>
      </c>
      <c r="M590" t="inlineStr">
        <is>
          <t>Kristin Haase-Alvey</t>
        </is>
      </c>
    </row>
    <row r="591">
      <c r="A591" s="9" t="inlineStr">
        <is>
          <t>Elizabeth Simons</t>
        </is>
      </c>
      <c r="B591" s="9" t="inlineStr">
        <is>
          <t>7/13/25 - 8/10/25</t>
        </is>
      </c>
      <c r="C591" s="12" t="n">
        <v>1.1</v>
      </c>
      <c r="D591" s="12" t="n">
        <v>1.52</v>
      </c>
      <c r="E591" s="12" t="n">
        <v>1</v>
      </c>
      <c r="F591" s="12" t="n">
        <v>1</v>
      </c>
      <c r="G591" s="12" t="n">
        <v>0.71</v>
      </c>
      <c r="H591" s="9" t="n">
        <v>1</v>
      </c>
      <c r="J591" s="9" t="n"/>
      <c r="K591" t="inlineStr">
        <is>
          <t>Distinguished</t>
        </is>
      </c>
      <c r="L591" t="inlineStr">
        <is>
          <t>Adjunct</t>
        </is>
      </c>
      <c r="M591" t="inlineStr">
        <is>
          <t>Kristin Haase-Alvey</t>
        </is>
      </c>
    </row>
    <row r="592">
      <c r="A592" s="9" t="inlineStr">
        <is>
          <t>Elizabeth Simons</t>
        </is>
      </c>
      <c r="B592" s="9" t="inlineStr">
        <is>
          <t>8/10/25 - 9/6/25</t>
        </is>
      </c>
      <c r="C592" s="12" t="n">
        <v>0.89</v>
      </c>
      <c r="D592" s="12" t="n">
        <v>1.53</v>
      </c>
      <c r="E592" s="12" t="n">
        <v>1</v>
      </c>
      <c r="F592" s="12" t="n">
        <v>0.71</v>
      </c>
      <c r="G592" s="12" t="n">
        <v>0.5</v>
      </c>
      <c r="H592" s="9" t="n">
        <v>0</v>
      </c>
      <c r="I592" s="10" t="inlineStr">
        <is>
          <t>0/1</t>
        </is>
      </c>
      <c r="J592" s="12" t="n">
        <v>0</v>
      </c>
      <c r="K592" t="inlineStr">
        <is>
          <t>Distinguished</t>
        </is>
      </c>
      <c r="L592" t="inlineStr">
        <is>
          <t>Adjunct</t>
        </is>
      </c>
      <c r="M592" t="inlineStr">
        <is>
          <t>Kristin Haase-Alvey</t>
        </is>
      </c>
    </row>
    <row r="593">
      <c r="A593" s="9" t="inlineStr">
        <is>
          <t>Elizabeth Simons</t>
        </is>
      </c>
      <c r="B593" s="9" t="inlineStr">
        <is>
          <t>9/7/25 - 10/4/25</t>
        </is>
      </c>
      <c r="C593" s="12" t="n">
        <v>0.89</v>
      </c>
      <c r="D593" s="12" t="n">
        <v>1.3</v>
      </c>
      <c r="E593" s="12" t="n">
        <v>1</v>
      </c>
      <c r="F593" s="12" t="n">
        <v>1</v>
      </c>
      <c r="G593" s="12" t="n">
        <v>0.4</v>
      </c>
      <c r="H593" s="9" t="n">
        <v>4</v>
      </c>
      <c r="I593" s="10" t="inlineStr">
        <is>
          <t>2/7</t>
        </is>
      </c>
      <c r="J593" s="12" t="n">
        <v>0.29</v>
      </c>
      <c r="K593" t="inlineStr">
        <is>
          <t>Distinguished</t>
        </is>
      </c>
      <c r="L593" t="inlineStr">
        <is>
          <t>Adjunct</t>
        </is>
      </c>
      <c r="M593" t="inlineStr">
        <is>
          <t>Kristin Haase-Alvey</t>
        </is>
      </c>
    </row>
    <row r="594">
      <c r="A594" s="9" t="inlineStr">
        <is>
          <t>Elliot Emadian</t>
        </is>
      </c>
      <c r="B594" s="9" t="inlineStr">
        <is>
          <t>10/5/25 - 11/1/25</t>
        </is>
      </c>
      <c r="C594" s="12" t="n">
        <v>0.9583</v>
      </c>
      <c r="D594" s="12" t="n">
        <v>1.10359999999999</v>
      </c>
      <c r="E594" s="12" t="n">
        <v>0.99047619047619</v>
      </c>
      <c r="F594" s="12" t="n">
        <v>0.956521739130434</v>
      </c>
      <c r="G594" s="12" t="n">
        <v>0.5625</v>
      </c>
      <c r="H594" s="9" t="n">
        <v>6</v>
      </c>
      <c r="I594" s="10" t="inlineStr">
        <is>
          <t>1/6</t>
        </is>
      </c>
      <c r="J594" s="12" t="n">
        <v>0.17</v>
      </c>
      <c r="K594" t="e">
        <v>#N/A</v>
      </c>
      <c r="L594" t="e">
        <v>#N/A</v>
      </c>
      <c r="M594" t="e">
        <v>#N/A</v>
      </c>
    </row>
    <row r="595">
      <c r="A595" s="9" t="inlineStr">
        <is>
          <t>Elliot Emadian</t>
        </is>
      </c>
      <c r="B595" s="9" t="inlineStr">
        <is>
          <t>10/5/25 - 11/1/25</t>
        </is>
      </c>
      <c r="C595" s="12" t="n">
        <v>0.9583</v>
      </c>
      <c r="D595" s="12" t="n">
        <v>1.10359999999999</v>
      </c>
      <c r="E595" s="12" t="n">
        <v>0.99047619047619</v>
      </c>
      <c r="F595" s="12" t="n">
        <v>0.956521739130434</v>
      </c>
      <c r="G595" s="12" t="n">
        <v>0.5625</v>
      </c>
      <c r="H595" s="9" t="n">
        <v>6</v>
      </c>
      <c r="I595" s="10" t="inlineStr">
        <is>
          <t>1/6</t>
        </is>
      </c>
      <c r="J595" s="12">
        <f>_xlfn.TEXTBEFORE(I595, "/")/_xlfn.TEXTAFTER(I595,"/")</f>
        <v/>
      </c>
      <c r="K595" t="e">
        <v>#N/A</v>
      </c>
      <c r="L595" t="e">
        <v>#N/A</v>
      </c>
      <c r="M595" t="e">
        <v>#N/A</v>
      </c>
    </row>
    <row r="596">
      <c r="A596" s="9" t="inlineStr">
        <is>
          <t>Elliot Emadian</t>
        </is>
      </c>
      <c r="B596" s="9" t="inlineStr">
        <is>
          <t>11/2/25 - 11/29/25</t>
        </is>
      </c>
      <c r="C596" s="12" t="n">
        <v>1</v>
      </c>
      <c r="D596" s="12" t="n">
        <v>0.99</v>
      </c>
      <c r="E596" s="12" t="n">
        <v>0.99</v>
      </c>
      <c r="F596" s="12" t="n">
        <v>0.99</v>
      </c>
      <c r="G596" s="12" t="n">
        <v>0.82</v>
      </c>
      <c r="H596" s="9" t="n">
        <v>7</v>
      </c>
      <c r="I596" s="13" t="n">
        <v>45879</v>
      </c>
      <c r="J596" s="14" t="n">
        <v>0.8</v>
      </c>
      <c r="K596" t="e">
        <v>#N/A</v>
      </c>
      <c r="L596" t="e">
        <v>#N/A</v>
      </c>
      <c r="M596" t="e">
        <v>#N/A</v>
      </c>
    </row>
    <row r="597">
      <c r="A597" s="9" t="inlineStr">
        <is>
          <t>Elliot Emadian</t>
        </is>
      </c>
      <c r="B597" s="9" t="inlineStr">
        <is>
          <t>11/30/25 - 12/27/25</t>
        </is>
      </c>
      <c r="C597" s="12" t="n">
        <v>1.02</v>
      </c>
      <c r="D597" s="12" t="n">
        <v>1.03</v>
      </c>
      <c r="E597" s="12" t="n">
        <v>1</v>
      </c>
      <c r="F597" s="12" t="n">
        <v>0.99</v>
      </c>
      <c r="G597" s="12" t="n">
        <v>0.88</v>
      </c>
      <c r="H597" s="9" t="n">
        <v>8</v>
      </c>
      <c r="I597" s="10" t="n">
        <v>0.625</v>
      </c>
      <c r="J597" s="12">
        <f>5/8</f>
        <v/>
      </c>
      <c r="K597" t="e">
        <v>#N/A</v>
      </c>
      <c r="L597" t="e">
        <v>#N/A</v>
      </c>
      <c r="M597" t="e">
        <v>#N/A</v>
      </c>
    </row>
    <row r="598">
      <c r="A598" s="9" t="inlineStr">
        <is>
          <t>Elliot Emadian</t>
        </is>
      </c>
      <c r="B598" s="9" t="inlineStr">
        <is>
          <t>12/28/25 - 1/25/26</t>
        </is>
      </c>
      <c r="C598" s="12" t="n">
        <v>0.9917</v>
      </c>
      <c r="D598" s="12" t="n">
        <v>0.8832</v>
      </c>
      <c r="E598" s="12" t="n">
        <v>0.9917355369999999</v>
      </c>
      <c r="F598" s="12" t="n">
        <v>0.884615385</v>
      </c>
      <c r="G598" s="12" t="n">
        <v>0.842105263</v>
      </c>
      <c r="H598" s="9" t="n">
        <v>15</v>
      </c>
      <c r="I598" s="10" t="inlineStr">
        <is>
          <t>0/0</t>
        </is>
      </c>
      <c r="J598" s="12" t="n">
        <v>0</v>
      </c>
      <c r="K598" t="e">
        <v>#N/A</v>
      </c>
      <c r="L598" t="e">
        <v>#N/A</v>
      </c>
      <c r="M598" t="e">
        <v>#N/A</v>
      </c>
    </row>
    <row r="599">
      <c r="A599" s="9" t="inlineStr">
        <is>
          <t>Elliot Emadian</t>
        </is>
      </c>
      <c r="B599" s="9" t="inlineStr">
        <is>
          <t>8/10/25 - 9/6/25</t>
        </is>
      </c>
      <c r="C599" s="12" t="n">
        <v>0.46</v>
      </c>
      <c r="D599" s="12" t="n">
        <v>0.97</v>
      </c>
      <c r="E599" s="12" t="n">
        <v>1</v>
      </c>
      <c r="F599" s="12" t="n">
        <v>1</v>
      </c>
      <c r="G599" s="12" t="n">
        <v>1</v>
      </c>
      <c r="H599" s="9" t="n">
        <v>1</v>
      </c>
      <c r="I599" s="10" t="inlineStr">
        <is>
          <t>1/4</t>
        </is>
      </c>
      <c r="J599" s="12" t="n">
        <v>0.25</v>
      </c>
      <c r="K599" t="e">
        <v>#N/A</v>
      </c>
      <c r="L599" t="e">
        <v>#N/A</v>
      </c>
      <c r="M599" t="e">
        <v>#N/A</v>
      </c>
    </row>
    <row r="600">
      <c r="A600" s="9" t="inlineStr">
        <is>
          <t>Elliot Emadian</t>
        </is>
      </c>
      <c r="B600" s="9" t="inlineStr">
        <is>
          <t>9/7/25 - 10/4/25</t>
        </is>
      </c>
      <c r="C600" s="12" t="n">
        <v>0.68</v>
      </c>
      <c r="D600" s="12" t="n">
        <v>1.1</v>
      </c>
      <c r="E600" s="12" t="n">
        <v>1</v>
      </c>
      <c r="F600" s="12" t="n">
        <v>0.98</v>
      </c>
      <c r="G600" s="12" t="n">
        <v>0.71</v>
      </c>
      <c r="H600" s="9" t="n">
        <v>4</v>
      </c>
      <c r="I600" s="10" t="inlineStr">
        <is>
          <t>3/4</t>
        </is>
      </c>
      <c r="J600" s="12" t="n">
        <v>0.75</v>
      </c>
      <c r="K600" t="e">
        <v>#N/A</v>
      </c>
      <c r="L600" t="e">
        <v>#N/A</v>
      </c>
      <c r="M600" t="e">
        <v>#N/A</v>
      </c>
    </row>
    <row r="601">
      <c r="A601" s="9" t="inlineStr">
        <is>
          <t>Ellyn Schinke</t>
        </is>
      </c>
      <c r="B601" s="9" t="inlineStr">
        <is>
          <t>10/5/25 - 11/1/25</t>
        </is>
      </c>
      <c r="C601" s="12" t="n">
        <v>1.28129999999999</v>
      </c>
      <c r="D601" s="12" t="n">
        <v>1.0234</v>
      </c>
      <c r="E601" s="12" t="n">
        <v>1</v>
      </c>
      <c r="F601" s="12" t="n">
        <v>1</v>
      </c>
      <c r="G601" s="12" t="n">
        <v>0.944444444444444</v>
      </c>
      <c r="H601" s="9" t="n">
        <v>1</v>
      </c>
      <c r="I601" s="10" t="inlineStr">
        <is>
          <t>0/1</t>
        </is>
      </c>
      <c r="J601" s="12" t="n">
        <v>0</v>
      </c>
      <c r="K601" t="e">
        <v>#N/A</v>
      </c>
      <c r="L601" t="e">
        <v>#N/A</v>
      </c>
      <c r="M601" t="e">
        <v>#N/A</v>
      </c>
    </row>
    <row r="602">
      <c r="A602" s="9" t="inlineStr">
        <is>
          <t>Ellyn Schinke</t>
        </is>
      </c>
      <c r="B602" s="9" t="inlineStr">
        <is>
          <t>11/2/25 - 11/29/25</t>
        </is>
      </c>
      <c r="C602" s="12" t="n">
        <v>1.11</v>
      </c>
      <c r="D602" s="12" t="n">
        <v>1</v>
      </c>
      <c r="E602" s="12" t="n">
        <v>0.96</v>
      </c>
      <c r="F602" s="12" t="n">
        <v>0.9399999999999999</v>
      </c>
      <c r="G602" s="12" t="n">
        <v>0.75</v>
      </c>
      <c r="H602" s="9" t="n">
        <v>0</v>
      </c>
      <c r="I602" s="13" t="inlineStr">
        <is>
          <t>0/1</t>
        </is>
      </c>
      <c r="J602" s="12" t="n">
        <v>0</v>
      </c>
      <c r="K602" t="e">
        <v>#N/A</v>
      </c>
      <c r="L602" t="e">
        <v>#N/A</v>
      </c>
      <c r="M602" t="e">
        <v>#N/A</v>
      </c>
    </row>
    <row r="603">
      <c r="A603" s="9" t="inlineStr">
        <is>
          <t>Ellyn Schinke</t>
        </is>
      </c>
      <c r="B603" s="9" t="inlineStr">
        <is>
          <t>11/30/25 - 12/27/25</t>
        </is>
      </c>
      <c r="C603" s="12" t="n">
        <v>0.76</v>
      </c>
      <c r="D603" s="12" t="n">
        <v>0.95</v>
      </c>
      <c r="E603" s="12" t="n">
        <v>0.93</v>
      </c>
      <c r="F603" s="12" t="n">
        <v>0.92</v>
      </c>
      <c r="G603" s="12" t="n">
        <v>0.42</v>
      </c>
      <c r="H603" s="9" t="n">
        <v>0</v>
      </c>
      <c r="I603" s="10" t="n"/>
      <c r="J603" s="12" t="n"/>
      <c r="K603" t="e">
        <v>#N/A</v>
      </c>
      <c r="L603" t="e">
        <v>#N/A</v>
      </c>
      <c r="M603" t="e">
        <v>#N/A</v>
      </c>
    </row>
    <row r="604">
      <c r="A604" s="9" t="inlineStr">
        <is>
          <t>Ellyn Schinke</t>
        </is>
      </c>
      <c r="B604" s="9" t="inlineStr">
        <is>
          <t>5/18/25 - 6/14/25</t>
        </is>
      </c>
      <c r="C604" s="12" t="n">
        <v>1.05</v>
      </c>
      <c r="D604" s="12" t="n">
        <v>0.86</v>
      </c>
      <c r="E604" s="12" t="n">
        <v>1</v>
      </c>
      <c r="F604" s="12" t="n">
        <v>0.86</v>
      </c>
      <c r="G604" s="12" t="n">
        <v>0.9399999999999999</v>
      </c>
      <c r="H604" s="9" t="n">
        <v>2</v>
      </c>
      <c r="I604" s="10" t="n">
        <v>1</v>
      </c>
      <c r="J604" s="12">
        <f>I604</f>
        <v/>
      </c>
      <c r="K604" t="e">
        <v>#N/A</v>
      </c>
      <c r="L604" t="e">
        <v>#N/A</v>
      </c>
      <c r="M604" t="e">
        <v>#N/A</v>
      </c>
    </row>
    <row r="605">
      <c r="A605" s="9" t="inlineStr">
        <is>
          <t>Ellyn Schinke</t>
        </is>
      </c>
      <c r="B605" s="9" t="inlineStr">
        <is>
          <t>6/15/25 - 7/12/25</t>
        </is>
      </c>
      <c r="C605" s="12" t="n">
        <v>1.24</v>
      </c>
      <c r="D605" s="12" t="n">
        <v>1.14</v>
      </c>
      <c r="E605" s="12" t="n">
        <v>0.98</v>
      </c>
      <c r="F605" s="12" t="n">
        <v>1</v>
      </c>
      <c r="G605" s="12" t="n">
        <v>1</v>
      </c>
      <c r="H605" s="9" t="n">
        <v>2</v>
      </c>
      <c r="I605" s="10" t="inlineStr">
        <is>
          <t xml:space="preserve"> 4/5</t>
        </is>
      </c>
      <c r="J605" s="12" t="n">
        <v>0.8</v>
      </c>
      <c r="K605" t="e">
        <v>#N/A</v>
      </c>
      <c r="L605" t="e">
        <v>#N/A</v>
      </c>
      <c r="M605" t="e">
        <v>#N/A</v>
      </c>
    </row>
    <row r="606">
      <c r="A606" s="9" t="inlineStr">
        <is>
          <t>Ellyn Schinke</t>
        </is>
      </c>
      <c r="B606" s="9" t="inlineStr">
        <is>
          <t>7/13/25 - 8/10/25</t>
        </is>
      </c>
      <c r="C606" s="12" t="n">
        <v>1.51</v>
      </c>
      <c r="D606" s="12" t="n">
        <v>1.23</v>
      </c>
      <c r="E606" s="12" t="n">
        <v>1</v>
      </c>
      <c r="F606" s="12" t="n">
        <v>1</v>
      </c>
      <c r="G606" s="12" t="n">
        <v>0.82</v>
      </c>
      <c r="H606" s="9" t="n">
        <v>3</v>
      </c>
      <c r="I606" s="10" t="n">
        <v>1</v>
      </c>
      <c r="J606" s="12">
        <f>I606</f>
        <v/>
      </c>
      <c r="K606" t="e">
        <v>#N/A</v>
      </c>
      <c r="L606" t="e">
        <v>#N/A</v>
      </c>
      <c r="M606" t="e">
        <v>#N/A</v>
      </c>
    </row>
    <row r="607">
      <c r="A607" s="9" t="inlineStr">
        <is>
          <t>Ellyn Schinke</t>
        </is>
      </c>
      <c r="B607" s="9" t="inlineStr">
        <is>
          <t>8/10/25 - 9/6/25</t>
        </is>
      </c>
      <c r="C607" s="12" t="n">
        <v>1.8</v>
      </c>
      <c r="D607" s="12" t="n">
        <v>1.48</v>
      </c>
      <c r="E607" s="12" t="n">
        <v>0.96</v>
      </c>
      <c r="F607" s="12" t="n">
        <v>1</v>
      </c>
      <c r="G607" s="12" t="n">
        <v>0.88</v>
      </c>
      <c r="H607" s="9" t="n">
        <v>5</v>
      </c>
      <c r="I607" s="10" t="inlineStr">
        <is>
          <t>2/2</t>
        </is>
      </c>
      <c r="J607" s="12" t="n">
        <v>1</v>
      </c>
      <c r="K607" t="e">
        <v>#N/A</v>
      </c>
      <c r="L607" t="e">
        <v>#N/A</v>
      </c>
      <c r="M607" t="e">
        <v>#N/A</v>
      </c>
    </row>
    <row r="608">
      <c r="A608" s="9" t="inlineStr">
        <is>
          <t>Ellyn Schinke</t>
        </is>
      </c>
      <c r="B608" s="9" t="inlineStr">
        <is>
          <t>9/7/25 - 10/4/25</t>
        </is>
      </c>
      <c r="C608" s="12" t="n">
        <v>1.72</v>
      </c>
      <c r="D608" s="12" t="n">
        <v>1.36</v>
      </c>
      <c r="E608" s="12" t="n">
        <v>0.95</v>
      </c>
      <c r="F608" s="12" t="n">
        <v>0.98</v>
      </c>
      <c r="G608" s="12" t="n">
        <v>0.9399999999999999</v>
      </c>
      <c r="H608" s="9" t="n">
        <v>2</v>
      </c>
      <c r="I608" s="10" t="inlineStr">
        <is>
          <t>0/1</t>
        </is>
      </c>
      <c r="J608" s="12" t="n">
        <v>0</v>
      </c>
      <c r="K608" t="e">
        <v>#N/A</v>
      </c>
      <c r="L608" t="e">
        <v>#N/A</v>
      </c>
      <c r="M608" t="e">
        <v>#N/A</v>
      </c>
    </row>
    <row r="609">
      <c r="A609" s="9" t="inlineStr">
        <is>
          <t>Emma Brugman</t>
        </is>
      </c>
      <c r="B609" s="9" t="inlineStr">
        <is>
          <t>10/5/25 - 11/1/25</t>
        </is>
      </c>
      <c r="C609" s="12" t="n">
        <v>0.839299999999999</v>
      </c>
      <c r="D609" s="12" t="n">
        <v>0.9869</v>
      </c>
      <c r="E609" s="12" t="n">
        <v>0.975806451612903</v>
      </c>
      <c r="F609" s="12" t="n">
        <v>0.98876404494382</v>
      </c>
      <c r="G609" s="12" t="n">
        <v>0.375</v>
      </c>
      <c r="H609" s="9" t="n">
        <v>12</v>
      </c>
      <c r="I609" s="10" t="inlineStr">
        <is>
          <t>1/4</t>
        </is>
      </c>
      <c r="J609" s="12" t="n">
        <v>0.25</v>
      </c>
      <c r="K609" t="e">
        <v>#N/A</v>
      </c>
      <c r="L609" t="e">
        <v>#N/A</v>
      </c>
      <c r="M609" t="e">
        <v>#N/A</v>
      </c>
    </row>
    <row r="610">
      <c r="A610" s="9" t="inlineStr">
        <is>
          <t>Emma Brugman</t>
        </is>
      </c>
      <c r="B610" s="9" t="inlineStr">
        <is>
          <t>11/2/25 - 11/29/25</t>
        </is>
      </c>
      <c r="C610" s="12" t="n">
        <v>0.96</v>
      </c>
      <c r="D610" s="12" t="n">
        <v>0.97</v>
      </c>
      <c r="E610" s="12" t="n">
        <v>0.99</v>
      </c>
      <c r="F610" s="12" t="n">
        <v>1</v>
      </c>
      <c r="G610" s="12" t="n">
        <v>0.09</v>
      </c>
      <c r="H610" s="9" t="n">
        <v>12</v>
      </c>
      <c r="I610" s="13" t="n">
        <v>45662</v>
      </c>
      <c r="J610" s="14" t="n">
        <v>0.2</v>
      </c>
      <c r="K610" t="e">
        <v>#N/A</v>
      </c>
      <c r="L610" t="e">
        <v>#N/A</v>
      </c>
      <c r="M610" t="e">
        <v>#N/A</v>
      </c>
    </row>
    <row r="611">
      <c r="A611" s="9" t="inlineStr">
        <is>
          <t>Emma Brugman</t>
        </is>
      </c>
      <c r="B611" s="9" t="inlineStr">
        <is>
          <t>11/30/25 - 12/27/25</t>
        </is>
      </c>
      <c r="C611" s="12" t="n">
        <v>0.79</v>
      </c>
      <c r="D611" s="12" t="n">
        <v>1.05</v>
      </c>
      <c r="E611" s="12" t="n">
        <v>0.98</v>
      </c>
      <c r="F611" s="12" t="n">
        <v>1</v>
      </c>
      <c r="G611" s="12" t="n">
        <v>0.84</v>
      </c>
      <c r="H611" s="9" t="n">
        <v>14</v>
      </c>
      <c r="I611" s="10" t="n">
        <v>0.4285714285714285</v>
      </c>
      <c r="J611" s="12">
        <f>3/7</f>
        <v/>
      </c>
      <c r="K611" t="e">
        <v>#N/A</v>
      </c>
      <c r="L611" t="e">
        <v>#N/A</v>
      </c>
      <c r="M611" t="e">
        <v>#N/A</v>
      </c>
    </row>
    <row r="612">
      <c r="A612" s="9" t="inlineStr">
        <is>
          <t>Emma Brugman</t>
        </is>
      </c>
      <c r="B612" s="9" t="inlineStr">
        <is>
          <t>12/28/25 - 1/25/26</t>
        </is>
      </c>
      <c r="C612" s="12" t="n">
        <v>0.8821</v>
      </c>
      <c r="D612" s="12" t="n">
        <v>0.9433</v>
      </c>
      <c r="E612" s="12" t="n">
        <v>1</v>
      </c>
      <c r="F612" s="12" t="n">
        <v>0.99009901</v>
      </c>
      <c r="G612" s="12" t="n">
        <v>0.75</v>
      </c>
      <c r="H612" s="9" t="n">
        <v>22</v>
      </c>
      <c r="I612" s="10" t="n">
        <v>0.7</v>
      </c>
      <c r="J612" s="12">
        <f>I612</f>
        <v/>
      </c>
      <c r="K612" t="e">
        <v>#N/A</v>
      </c>
      <c r="L612" t="e">
        <v>#N/A</v>
      </c>
      <c r="M612" t="e">
        <v>#N/A</v>
      </c>
    </row>
    <row r="613">
      <c r="A613" s="9" t="inlineStr">
        <is>
          <t>Emma Brugman</t>
        </is>
      </c>
      <c r="B613" s="9" t="inlineStr">
        <is>
          <t>7/13/25 - 8/10/25</t>
        </is>
      </c>
      <c r="C613" s="12" t="n">
        <v>0.91</v>
      </c>
      <c r="D613" s="12" t="n">
        <v>1.02</v>
      </c>
      <c r="E613" s="12" t="n">
        <v>0.99</v>
      </c>
      <c r="F613" s="12" t="n">
        <v>1</v>
      </c>
      <c r="G613" s="12" t="n">
        <v>0.6899999999999999</v>
      </c>
      <c r="H613" s="9" t="n">
        <v>7</v>
      </c>
      <c r="I613" s="10" t="inlineStr">
        <is>
          <t xml:space="preserve"> 1/2</t>
        </is>
      </c>
      <c r="J613" s="12" t="n">
        <v>0.5</v>
      </c>
      <c r="K613" t="e">
        <v>#N/A</v>
      </c>
      <c r="L613" t="e">
        <v>#N/A</v>
      </c>
      <c r="M613" t="e">
        <v>#N/A</v>
      </c>
    </row>
    <row r="614">
      <c r="A614" s="9" t="inlineStr">
        <is>
          <t>Emma Brugman</t>
        </is>
      </c>
      <c r="B614" s="9" t="inlineStr">
        <is>
          <t>8/10/25 - 9/6/25</t>
        </is>
      </c>
      <c r="C614" s="12" t="n">
        <v>0.9399999999999999</v>
      </c>
      <c r="D614" s="12" t="n">
        <v>1.1</v>
      </c>
      <c r="E614" s="12" t="n">
        <v>0.99</v>
      </c>
      <c r="F614" s="12" t="n">
        <v>1</v>
      </c>
      <c r="G614" s="12" t="n">
        <v>0.53</v>
      </c>
      <c r="H614" s="9" t="n">
        <v>7</v>
      </c>
      <c r="I614" s="10" t="inlineStr">
        <is>
          <t>1/4</t>
        </is>
      </c>
      <c r="J614" s="12" t="n">
        <v>0.25</v>
      </c>
      <c r="K614" t="e">
        <v>#N/A</v>
      </c>
      <c r="L614" t="e">
        <v>#N/A</v>
      </c>
      <c r="M614" t="e">
        <v>#N/A</v>
      </c>
    </row>
    <row r="615">
      <c r="A615" s="9" t="inlineStr">
        <is>
          <t>Emma Brugman</t>
        </is>
      </c>
      <c r="B615" s="9" t="inlineStr">
        <is>
          <t>9/7/25 - 10/4/25</t>
        </is>
      </c>
      <c r="C615" s="12" t="n">
        <v>0.9</v>
      </c>
      <c r="D615" s="12" t="n">
        <v>1.02</v>
      </c>
      <c r="E615" s="12" t="n">
        <v>0.99</v>
      </c>
      <c r="F615" s="12" t="n">
        <v>0.96</v>
      </c>
      <c r="G615" s="12" t="n">
        <v>0.67</v>
      </c>
      <c r="H615" s="9" t="n">
        <v>14</v>
      </c>
      <c r="I615" s="10" t="inlineStr">
        <is>
          <t>1/5</t>
        </is>
      </c>
      <c r="J615" s="12" t="n">
        <v>0.2</v>
      </c>
      <c r="K615" t="e">
        <v>#N/A</v>
      </c>
      <c r="L615" t="e">
        <v>#N/A</v>
      </c>
      <c r="M615" t="e">
        <v>#N/A</v>
      </c>
    </row>
    <row r="616">
      <c r="A616" s="9" t="inlineStr">
        <is>
          <t>Eric Alexander</t>
        </is>
      </c>
      <c r="B616" s="9" t="inlineStr">
        <is>
          <t>10/5/25 - 11/1/25</t>
        </is>
      </c>
      <c r="C616" s="12" t="n">
        <v>0.4896</v>
      </c>
      <c r="D616" s="12" t="n">
        <v>1.0391</v>
      </c>
      <c r="E616" s="12" t="n">
        <v>1</v>
      </c>
      <c r="F616" s="12" t="n">
        <v>0.88235294117647</v>
      </c>
      <c r="G616" s="12" t="n">
        <v>1</v>
      </c>
      <c r="H616" s="9" t="n">
        <v>3</v>
      </c>
      <c r="I616" s="10" t="inlineStr">
        <is>
          <t>0/1</t>
        </is>
      </c>
      <c r="J616" s="12" t="n">
        <v>0</v>
      </c>
      <c r="K616" t="e">
        <v>#N/A</v>
      </c>
      <c r="L616" t="e">
        <v>#N/A</v>
      </c>
      <c r="M616" t="e">
        <v>#N/A</v>
      </c>
    </row>
    <row r="617">
      <c r="A617" s="9" t="inlineStr">
        <is>
          <t>Eric Alexander</t>
        </is>
      </c>
      <c r="B617" s="9" t="inlineStr">
        <is>
          <t>11/2/25 - 11/29/25</t>
        </is>
      </c>
      <c r="C617" s="12" t="n">
        <v>0.49</v>
      </c>
      <c r="D617" s="12" t="n">
        <v>1.05</v>
      </c>
      <c r="E617" s="12" t="n">
        <v>1</v>
      </c>
      <c r="F617" s="12" t="n">
        <v>1</v>
      </c>
      <c r="G617" s="12" t="n">
        <v>1</v>
      </c>
      <c r="H617" s="9" t="n">
        <v>1</v>
      </c>
      <c r="I617" s="13" t="n"/>
      <c r="J617" s="9" t="n"/>
      <c r="K617" t="e">
        <v>#N/A</v>
      </c>
      <c r="L617" t="e">
        <v>#N/A</v>
      </c>
      <c r="M617" t="e">
        <v>#N/A</v>
      </c>
    </row>
    <row r="618">
      <c r="A618" s="9" t="inlineStr">
        <is>
          <t>Eric Alexander</t>
        </is>
      </c>
      <c r="B618" s="9" t="inlineStr">
        <is>
          <t>5/18/25 - 6/14/25</t>
        </is>
      </c>
      <c r="C618" s="12" t="n">
        <v>0.98</v>
      </c>
      <c r="D618" s="12" t="n">
        <v>1.13</v>
      </c>
      <c r="E618" s="12" t="n">
        <v>1</v>
      </c>
      <c r="F618" s="12" t="n">
        <v>0.97</v>
      </c>
      <c r="G618" s="12" t="n">
        <v>0.86</v>
      </c>
      <c r="H618" s="9" t="n">
        <v>2</v>
      </c>
      <c r="J618" s="9" t="n"/>
      <c r="K618" t="e">
        <v>#N/A</v>
      </c>
      <c r="L618" t="e">
        <v>#N/A</v>
      </c>
      <c r="M618" t="e">
        <v>#N/A</v>
      </c>
    </row>
    <row r="619">
      <c r="A619" s="9" t="inlineStr">
        <is>
          <t>Eric Alexander</t>
        </is>
      </c>
      <c r="B619" s="9" t="inlineStr">
        <is>
          <t>6/15/25 - 7/12/25</t>
        </is>
      </c>
      <c r="C619" s="12" t="n">
        <v>0.75</v>
      </c>
      <c r="D619" s="12" t="n">
        <v>1.08</v>
      </c>
      <c r="E619" s="12" t="n">
        <v>1</v>
      </c>
      <c r="F619" s="12" t="n">
        <v>0.93</v>
      </c>
      <c r="G619" s="12" t="n">
        <v>0.8</v>
      </c>
      <c r="H619" s="9" t="n">
        <v>5</v>
      </c>
      <c r="I619" s="10" t="n">
        <v>1</v>
      </c>
      <c r="J619" s="12">
        <f>I619</f>
        <v/>
      </c>
      <c r="K619" t="e">
        <v>#N/A</v>
      </c>
      <c r="L619" t="e">
        <v>#N/A</v>
      </c>
      <c r="M619" t="e">
        <v>#N/A</v>
      </c>
    </row>
    <row r="620">
      <c r="A620" s="9" t="inlineStr">
        <is>
          <t>Eric Alexander</t>
        </is>
      </c>
      <c r="B620" s="9" t="inlineStr">
        <is>
          <t>7/13/25 - 8/10/25</t>
        </is>
      </c>
      <c r="C620" s="12" t="n">
        <v>0.99</v>
      </c>
      <c r="D620" s="12" t="n">
        <v>1.08</v>
      </c>
      <c r="E620" s="12" t="n">
        <v>1</v>
      </c>
      <c r="F620" s="12" t="n">
        <v>0.9</v>
      </c>
      <c r="G620" s="12" t="n">
        <v>0.78</v>
      </c>
      <c r="H620" s="9" t="n">
        <v>2</v>
      </c>
      <c r="J620" s="9" t="n"/>
      <c r="K620" t="e">
        <v>#N/A</v>
      </c>
      <c r="L620" t="e">
        <v>#N/A</v>
      </c>
      <c r="M620" t="e">
        <v>#N/A</v>
      </c>
    </row>
    <row r="621">
      <c r="A621" s="9" t="inlineStr">
        <is>
          <t>Eric Alexander</t>
        </is>
      </c>
      <c r="B621" s="9" t="inlineStr">
        <is>
          <t>8/10/25 - 9/6/25</t>
        </is>
      </c>
      <c r="C621" s="12" t="n">
        <v>0.84</v>
      </c>
      <c r="D621" s="12" t="n">
        <v>1.14</v>
      </c>
      <c r="E621" s="12" t="n">
        <v>1</v>
      </c>
      <c r="F621" s="12" t="n">
        <v>1</v>
      </c>
      <c r="G621" s="12" t="n">
        <v>0.86</v>
      </c>
      <c r="H621" s="9" t="n">
        <v>1</v>
      </c>
      <c r="I621" s="11" t="n"/>
      <c r="J621" s="9" t="n"/>
      <c r="K621" t="e">
        <v>#N/A</v>
      </c>
      <c r="L621" t="e">
        <v>#N/A</v>
      </c>
      <c r="M621" t="e">
        <v>#N/A</v>
      </c>
    </row>
    <row r="622">
      <c r="A622" s="9" t="inlineStr">
        <is>
          <t>Eric Alexander</t>
        </is>
      </c>
      <c r="B622" s="9" t="inlineStr">
        <is>
          <t>9/7/25 - 10/4/25</t>
        </is>
      </c>
      <c r="C622" s="12" t="n">
        <v>0.65</v>
      </c>
      <c r="D622" s="12" t="n">
        <v>1.09</v>
      </c>
      <c r="E622" s="12" t="n">
        <v>1</v>
      </c>
      <c r="F622" s="12" t="n">
        <v>1</v>
      </c>
      <c r="G622" s="12" t="n">
        <v>1</v>
      </c>
      <c r="H622" s="9" t="n">
        <v>3</v>
      </c>
      <c r="I622" s="10" t="inlineStr">
        <is>
          <t>1/1</t>
        </is>
      </c>
      <c r="J622" s="12" t="n">
        <v>1</v>
      </c>
      <c r="K622" t="e">
        <v>#N/A</v>
      </c>
      <c r="L622" t="e">
        <v>#N/A</v>
      </c>
      <c r="M622" t="e">
        <v>#N/A</v>
      </c>
    </row>
    <row r="623">
      <c r="A623" s="9" t="inlineStr">
        <is>
          <t>Eric Chang</t>
        </is>
      </c>
      <c r="B623" s="9" t="inlineStr">
        <is>
          <t>10/5/25 - 11/1/25</t>
        </is>
      </c>
      <c r="C623" s="12" t="n">
        <v>0.9708</v>
      </c>
      <c r="D623" s="12" t="n">
        <v>1.023</v>
      </c>
      <c r="E623" s="12" t="n">
        <v>0.963963963963963</v>
      </c>
      <c r="F623" s="12" t="n">
        <v>0.975308641975308</v>
      </c>
      <c r="G623" s="12" t="n">
        <v>0.727272727272727</v>
      </c>
      <c r="H623" s="9" t="n">
        <v>11</v>
      </c>
      <c r="I623" s="10" t="inlineStr">
        <is>
          <t>3/5</t>
        </is>
      </c>
      <c r="J623" s="12" t="n">
        <v>0.6</v>
      </c>
      <c r="K623" t="inlineStr">
        <is>
          <t>Distinguished</t>
        </is>
      </c>
      <c r="L623" t="inlineStr">
        <is>
          <t>Professional</t>
        </is>
      </c>
      <c r="M623" t="inlineStr">
        <is>
          <t>Annelies de Groot</t>
        </is>
      </c>
    </row>
    <row r="624">
      <c r="A624" s="9" t="inlineStr">
        <is>
          <t>Eric Chang</t>
        </is>
      </c>
      <c r="B624" s="9" t="inlineStr">
        <is>
          <t>11/2/25 - 11/29/25</t>
        </is>
      </c>
      <c r="C624" s="12" t="n">
        <v>0.91</v>
      </c>
      <c r="D624" s="12" t="n">
        <v>0.88</v>
      </c>
      <c r="E624" s="12" t="n">
        <v>0.9399999999999999</v>
      </c>
      <c r="F624" s="12" t="n">
        <v>0.99</v>
      </c>
      <c r="G624" s="12" t="n">
        <v>0.35</v>
      </c>
      <c r="H624" s="9" t="n">
        <v>21</v>
      </c>
      <c r="I624" s="13" t="n">
        <v>45695</v>
      </c>
      <c r="J624" s="14" t="n">
        <v>0.29</v>
      </c>
      <c r="K624" t="inlineStr">
        <is>
          <t>Distinguished</t>
        </is>
      </c>
      <c r="L624" t="inlineStr">
        <is>
          <t>Professional</t>
        </is>
      </c>
      <c r="M624" t="inlineStr">
        <is>
          <t>Annelies de Groot</t>
        </is>
      </c>
    </row>
    <row r="625">
      <c r="A625" s="9" t="inlineStr">
        <is>
          <t>Eric Chang</t>
        </is>
      </c>
      <c r="B625" s="9" t="inlineStr">
        <is>
          <t>11/30/25 - 12/27/25</t>
        </is>
      </c>
      <c r="C625" s="12" t="n">
        <v>0.87</v>
      </c>
      <c r="D625" s="12" t="n">
        <v>0.82</v>
      </c>
      <c r="E625" s="12" t="n">
        <v>0.97</v>
      </c>
      <c r="F625" s="12" t="n">
        <v>0.97</v>
      </c>
      <c r="G625" s="12" t="n">
        <v>0.44</v>
      </c>
      <c r="H625" s="9" t="n">
        <v>19</v>
      </c>
      <c r="I625" s="10" t="n">
        <v>1</v>
      </c>
      <c r="J625" s="12" t="n">
        <v>1</v>
      </c>
      <c r="K625" t="inlineStr">
        <is>
          <t>Distinguished</t>
        </is>
      </c>
      <c r="L625" t="inlineStr">
        <is>
          <t>Professional</t>
        </is>
      </c>
      <c r="M625" t="inlineStr">
        <is>
          <t>Annelies de Groot</t>
        </is>
      </c>
    </row>
    <row r="626">
      <c r="A626" s="9" t="inlineStr">
        <is>
          <t>Eric Chang</t>
        </is>
      </c>
      <c r="B626" s="9" t="inlineStr">
        <is>
          <t>12/28/25 - 1/25/26</t>
        </is>
      </c>
      <c r="C626" s="12" t="n">
        <v>0.8417</v>
      </c>
      <c r="D626" s="12" t="n">
        <v>0.8257</v>
      </c>
      <c r="E626" s="12" t="n">
        <v>0.989583333</v>
      </c>
      <c r="F626" s="12" t="n">
        <v>0.972972973</v>
      </c>
      <c r="G626" s="12" t="n">
        <v>0.619047619</v>
      </c>
      <c r="H626" s="9" t="n">
        <v>19</v>
      </c>
      <c r="I626" s="10" t="n">
        <v>0.3333333333333333</v>
      </c>
      <c r="J626" s="12">
        <f>I626</f>
        <v/>
      </c>
      <c r="K626" t="inlineStr">
        <is>
          <t>Distinguished</t>
        </is>
      </c>
      <c r="L626" t="inlineStr">
        <is>
          <t>Professional</t>
        </is>
      </c>
      <c r="M626" t="inlineStr">
        <is>
          <t>Annelies de Groot</t>
        </is>
      </c>
    </row>
    <row r="627">
      <c r="A627" s="9" t="inlineStr">
        <is>
          <t>Eric Chang</t>
        </is>
      </c>
      <c r="B627" s="9" t="inlineStr">
        <is>
          <t>5/18/25 - 6/14/25</t>
        </is>
      </c>
      <c r="C627" s="12" t="n">
        <v>0.61</v>
      </c>
      <c r="D627" s="12" t="n">
        <v>1.04</v>
      </c>
      <c r="E627" s="12" t="n">
        <v>0.9399999999999999</v>
      </c>
      <c r="F627" s="12" t="n">
        <v>0.86</v>
      </c>
      <c r="G627" s="12" t="n">
        <v>0.83</v>
      </c>
      <c r="H627" s="9" t="n">
        <v>4</v>
      </c>
      <c r="I627" s="10" t="inlineStr">
        <is>
          <t xml:space="preserve"> 3/4</t>
        </is>
      </c>
      <c r="J627" s="12" t="n">
        <v>0.75</v>
      </c>
      <c r="K627" t="inlineStr">
        <is>
          <t>Distinguished</t>
        </is>
      </c>
      <c r="L627" t="inlineStr">
        <is>
          <t>Professional</t>
        </is>
      </c>
      <c r="M627" t="inlineStr">
        <is>
          <t>Annelies de Groot</t>
        </is>
      </c>
    </row>
    <row r="628">
      <c r="A628" s="9" t="inlineStr">
        <is>
          <t>Eric Chang</t>
        </is>
      </c>
      <c r="B628" s="9" t="inlineStr">
        <is>
          <t>6/15/25 - 7/12/25</t>
        </is>
      </c>
      <c r="C628" s="12" t="n">
        <v>0.8</v>
      </c>
      <c r="D628" s="12" t="n">
        <v>1.03</v>
      </c>
      <c r="E628" s="12" t="n">
        <v>0.96</v>
      </c>
      <c r="F628" s="12" t="n">
        <v>1</v>
      </c>
      <c r="G628" s="12" t="n">
        <v>0.67</v>
      </c>
      <c r="H628" s="9" t="n">
        <v>6</v>
      </c>
      <c r="I628" s="10" t="inlineStr">
        <is>
          <t xml:space="preserve"> 2/3</t>
        </is>
      </c>
      <c r="J628" s="12" t="n">
        <v>0.67</v>
      </c>
      <c r="K628" t="inlineStr">
        <is>
          <t>Distinguished</t>
        </is>
      </c>
      <c r="L628" t="inlineStr">
        <is>
          <t>Professional</t>
        </is>
      </c>
      <c r="M628" t="inlineStr">
        <is>
          <t>Annelies de Groot</t>
        </is>
      </c>
    </row>
    <row r="629">
      <c r="A629" s="9" t="inlineStr">
        <is>
          <t>Eric Chang</t>
        </is>
      </c>
      <c r="B629" s="9" t="inlineStr">
        <is>
          <t>7/13/25 - 8/10/25</t>
        </is>
      </c>
      <c r="C629" s="12" t="n">
        <v>1.18</v>
      </c>
      <c r="D629" s="12" t="n">
        <v>1.21</v>
      </c>
      <c r="E629" s="12" t="n">
        <v>0.97</v>
      </c>
      <c r="F629" s="12" t="n">
        <v>0.97</v>
      </c>
      <c r="G629" s="12" t="n">
        <v>0.64</v>
      </c>
      <c r="H629" s="9" t="n">
        <v>10</v>
      </c>
      <c r="I629" s="10" t="inlineStr">
        <is>
          <t xml:space="preserve"> 1/2</t>
        </is>
      </c>
      <c r="J629" s="12" t="n">
        <v>0.5</v>
      </c>
      <c r="K629" t="inlineStr">
        <is>
          <t>Distinguished</t>
        </is>
      </c>
      <c r="L629" t="inlineStr">
        <is>
          <t>Professional</t>
        </is>
      </c>
      <c r="M629" t="inlineStr">
        <is>
          <t>Annelies de Groot</t>
        </is>
      </c>
    </row>
    <row r="630">
      <c r="A630" s="9" t="inlineStr">
        <is>
          <t>Eric Chang</t>
        </is>
      </c>
      <c r="B630" s="9" t="inlineStr">
        <is>
          <t>8/10/25 - 9/6/25</t>
        </is>
      </c>
      <c r="C630" s="12" t="n">
        <v>1.13</v>
      </c>
      <c r="D630" s="12" t="n">
        <v>1.1</v>
      </c>
      <c r="E630" s="12" t="n">
        <v>0.99</v>
      </c>
      <c r="F630" s="12" t="n">
        <v>0.88</v>
      </c>
      <c r="G630" s="12" t="n">
        <v>0.78</v>
      </c>
      <c r="H630" s="9" t="n">
        <v>5</v>
      </c>
      <c r="I630" s="10" t="inlineStr">
        <is>
          <t>1/1</t>
        </is>
      </c>
      <c r="J630" s="12" t="n">
        <v>1</v>
      </c>
      <c r="K630" t="inlineStr">
        <is>
          <t>Distinguished</t>
        </is>
      </c>
      <c r="L630" t="inlineStr">
        <is>
          <t>Professional</t>
        </is>
      </c>
      <c r="M630" t="inlineStr">
        <is>
          <t>Annelies de Groot</t>
        </is>
      </c>
    </row>
    <row r="631">
      <c r="A631" s="9" t="inlineStr">
        <is>
          <t>Eric Chang</t>
        </is>
      </c>
      <c r="B631" s="9" t="inlineStr">
        <is>
          <t>9/7/25 - 10/4/25</t>
        </is>
      </c>
      <c r="C631" s="12" t="n">
        <v>0.73</v>
      </c>
      <c r="D631" s="12" t="n">
        <v>0.96</v>
      </c>
      <c r="E631" s="12" t="n">
        <v>0.95</v>
      </c>
      <c r="F631" s="12" t="n">
        <v>0.93</v>
      </c>
      <c r="G631" s="12" t="n">
        <v>0.75</v>
      </c>
      <c r="H631" s="9" t="n">
        <v>7</v>
      </c>
      <c r="I631" s="10" t="inlineStr">
        <is>
          <t>0/2</t>
        </is>
      </c>
      <c r="J631" s="12" t="n">
        <v>0</v>
      </c>
      <c r="K631" t="inlineStr">
        <is>
          <t>Distinguished</t>
        </is>
      </c>
      <c r="L631" t="inlineStr">
        <is>
          <t>Professional</t>
        </is>
      </c>
      <c r="M631" t="inlineStr">
        <is>
          <t>Annelies de Groot</t>
        </is>
      </c>
    </row>
    <row r="632">
      <c r="A632" s="9" t="inlineStr">
        <is>
          <t>Erica Ichikawa</t>
        </is>
      </c>
      <c r="B632" s="9" t="inlineStr">
        <is>
          <t>10/5/25 - 11/1/25</t>
        </is>
      </c>
      <c r="C632" s="12" t="n">
        <v>0.8333</v>
      </c>
      <c r="D632" s="12" t="n">
        <v>0.8905999999999999</v>
      </c>
      <c r="E632" s="12" t="n">
        <v>0.9696969696969689</v>
      </c>
      <c r="F632" s="12" t="n">
        <v>0.678571428571428</v>
      </c>
      <c r="G632" s="12" t="n">
        <v>0</v>
      </c>
      <c r="H632" s="9" t="n">
        <v>3</v>
      </c>
      <c r="I632" s="10" t="inlineStr">
        <is>
          <t>1/1</t>
        </is>
      </c>
      <c r="J632" s="12" t="n">
        <v>1</v>
      </c>
      <c r="K632" t="e">
        <v>#N/A</v>
      </c>
      <c r="L632" t="e">
        <v>#N/A</v>
      </c>
      <c r="M632" t="e">
        <v>#N/A</v>
      </c>
    </row>
    <row r="633">
      <c r="A633" s="9" t="inlineStr">
        <is>
          <t>Erica Ichikawa</t>
        </is>
      </c>
      <c r="B633" s="9" t="inlineStr">
        <is>
          <t>11/2/25 - 11/29/25</t>
        </is>
      </c>
      <c r="C633" s="12" t="n">
        <v>0.78</v>
      </c>
      <c r="D633" s="12" t="n">
        <v>0.98</v>
      </c>
      <c r="E633" s="12" t="n">
        <v>1</v>
      </c>
      <c r="F633" s="12" t="n">
        <v>0.63</v>
      </c>
      <c r="G633" s="12" t="n">
        <v>0.78</v>
      </c>
      <c r="H633" s="9" t="n">
        <v>1</v>
      </c>
      <c r="I633" s="13" t="n"/>
      <c r="J633" s="9" t="n"/>
      <c r="K633" t="e">
        <v>#N/A</v>
      </c>
      <c r="L633" t="e">
        <v>#N/A</v>
      </c>
      <c r="M633" t="e">
        <v>#N/A</v>
      </c>
    </row>
    <row r="634">
      <c r="A634" s="9" t="inlineStr">
        <is>
          <t>Erica Ichikawa</t>
        </is>
      </c>
      <c r="B634" s="9" t="inlineStr">
        <is>
          <t>11/30/25 - 12/27/25</t>
        </is>
      </c>
      <c r="C634" s="12" t="n">
        <v>0.49</v>
      </c>
      <c r="D634" s="12" t="n">
        <v>1.01</v>
      </c>
      <c r="E634" s="12" t="n">
        <v>1</v>
      </c>
      <c r="F634" s="12" t="n">
        <v>0.93</v>
      </c>
      <c r="G634" s="12" t="n">
        <v>0.8</v>
      </c>
      <c r="H634" s="9" t="n">
        <v>6</v>
      </c>
      <c r="I634" s="10" t="n"/>
      <c r="J634" s="12" t="n"/>
      <c r="K634" t="e">
        <v>#N/A</v>
      </c>
      <c r="L634" t="e">
        <v>#N/A</v>
      </c>
      <c r="M634" t="e">
        <v>#N/A</v>
      </c>
    </row>
    <row r="635">
      <c r="A635" s="9" t="inlineStr">
        <is>
          <t>Erica Ichikawa</t>
        </is>
      </c>
      <c r="B635" s="9" t="inlineStr">
        <is>
          <t>12/28/25 - 1/25/26</t>
        </is>
      </c>
      <c r="C635" s="12" t="n">
        <v>0.8438</v>
      </c>
      <c r="D635" s="12" t="n">
        <v>1.0547</v>
      </c>
      <c r="E635" s="12" t="n">
        <v>1</v>
      </c>
      <c r="F635" s="12" t="n">
        <v>0.96</v>
      </c>
      <c r="G635" s="12" t="n">
        <v>0.142857143</v>
      </c>
      <c r="H635" s="9" t="n">
        <v>4</v>
      </c>
      <c r="I635" s="10" t="inlineStr">
        <is>
          <t>0/3</t>
        </is>
      </c>
      <c r="J635" s="12" t="n">
        <v>0</v>
      </c>
      <c r="K635" t="e">
        <v>#N/A</v>
      </c>
      <c r="L635" t="e">
        <v>#N/A</v>
      </c>
      <c r="M635" t="e">
        <v>#N/A</v>
      </c>
    </row>
    <row r="636">
      <c r="A636" s="9" t="inlineStr">
        <is>
          <t>Erica Ichikawa</t>
        </is>
      </c>
      <c r="B636" s="9" t="inlineStr">
        <is>
          <t>5/18/25 - 6/14/25</t>
        </is>
      </c>
      <c r="C636" s="12" t="n">
        <v>0.75</v>
      </c>
      <c r="D636" s="12" t="n">
        <v>1</v>
      </c>
      <c r="E636" s="12" t="n">
        <v>1</v>
      </c>
      <c r="F636" s="12" t="n">
        <v>0.8100000000000001</v>
      </c>
      <c r="G636" s="12" t="n">
        <v>0.5</v>
      </c>
      <c r="H636" s="9" t="n">
        <v>1</v>
      </c>
      <c r="J636" s="9" t="n"/>
      <c r="K636" t="e">
        <v>#N/A</v>
      </c>
      <c r="L636" t="e">
        <v>#N/A</v>
      </c>
      <c r="M636" t="e">
        <v>#N/A</v>
      </c>
    </row>
    <row r="637">
      <c r="A637" s="9" t="inlineStr">
        <is>
          <t>Erica Ichikawa</t>
        </is>
      </c>
      <c r="B637" s="9" t="inlineStr">
        <is>
          <t>6/15/25 - 7/12/25</t>
        </is>
      </c>
      <c r="C637" s="12" t="n">
        <v>0.38</v>
      </c>
      <c r="D637" s="12" t="n">
        <v>1.1</v>
      </c>
      <c r="E637" s="12" t="n">
        <v>1</v>
      </c>
      <c r="F637" s="12" t="n">
        <v>0.89</v>
      </c>
      <c r="G637" s="12" t="n">
        <v>0.5</v>
      </c>
      <c r="H637" s="9" t="n">
        <v>3</v>
      </c>
      <c r="J637" s="9" t="n"/>
      <c r="K637" t="e">
        <v>#N/A</v>
      </c>
      <c r="L637" t="e">
        <v>#N/A</v>
      </c>
      <c r="M637" t="e">
        <v>#N/A</v>
      </c>
    </row>
    <row r="638">
      <c r="A638" s="9" t="inlineStr">
        <is>
          <t>Erica Ichikawa</t>
        </is>
      </c>
      <c r="B638" s="9" t="inlineStr">
        <is>
          <t>7/13/25 - 8/10/25</t>
        </is>
      </c>
      <c r="C638" s="12" t="n">
        <v>0.5</v>
      </c>
      <c r="D638" s="12" t="n">
        <v>1.03</v>
      </c>
      <c r="E638" s="12" t="n">
        <v>1</v>
      </c>
      <c r="F638" s="12" t="n">
        <v>1</v>
      </c>
      <c r="G638" s="12" t="n">
        <v>0.5</v>
      </c>
      <c r="H638" s="9" t="n">
        <v>3</v>
      </c>
      <c r="I638" s="10" t="n">
        <v>1</v>
      </c>
      <c r="J638" s="12">
        <f>I638</f>
        <v/>
      </c>
      <c r="K638" t="e">
        <v>#N/A</v>
      </c>
      <c r="L638" t="e">
        <v>#N/A</v>
      </c>
      <c r="M638" t="e">
        <v>#N/A</v>
      </c>
    </row>
    <row r="639">
      <c r="A639" s="9" t="inlineStr">
        <is>
          <t>Erica Ichikawa</t>
        </is>
      </c>
      <c r="B639" s="9" t="inlineStr">
        <is>
          <t>8/10/25 - 9/6/25</t>
        </is>
      </c>
      <c r="C639" s="12" t="n">
        <v>0.66</v>
      </c>
      <c r="D639" s="12" t="n">
        <v>0.97</v>
      </c>
      <c r="E639" s="12" t="n">
        <v>1</v>
      </c>
      <c r="F639" s="12" t="n">
        <v>0.8</v>
      </c>
      <c r="G639" s="12" t="n">
        <v>1</v>
      </c>
      <c r="H639" s="9" t="n">
        <v>0</v>
      </c>
      <c r="I639" s="10" t="inlineStr">
        <is>
          <t>1/3</t>
        </is>
      </c>
      <c r="J639" s="12" t="n">
        <v>0.33</v>
      </c>
      <c r="K639" t="e">
        <v>#N/A</v>
      </c>
      <c r="L639" t="e">
        <v>#N/A</v>
      </c>
      <c r="M639" t="e">
        <v>#N/A</v>
      </c>
    </row>
    <row r="640">
      <c r="A640" s="9" t="inlineStr">
        <is>
          <t>Erica Ichikawa</t>
        </is>
      </c>
      <c r="B640" s="9" t="inlineStr">
        <is>
          <t>9/7/25 - 10/4/25</t>
        </is>
      </c>
      <c r="C640" s="12" t="n">
        <v>0.79</v>
      </c>
      <c r="D640" s="12" t="n">
        <v>1.05</v>
      </c>
      <c r="E640" s="12" t="n">
        <v>1</v>
      </c>
      <c r="F640" s="12" t="n">
        <v>0.97</v>
      </c>
      <c r="G640" s="12" t="n">
        <v>0.67</v>
      </c>
      <c r="H640" s="9" t="n">
        <v>1</v>
      </c>
      <c r="I640" s="11" t="n"/>
      <c r="J640" s="9" t="n"/>
      <c r="K640" t="e">
        <v>#N/A</v>
      </c>
      <c r="L640" t="e">
        <v>#N/A</v>
      </c>
      <c r="M640" t="e">
        <v>#N/A</v>
      </c>
    </row>
    <row r="641">
      <c r="A641" s="9" t="inlineStr">
        <is>
          <t>Erin Hicks</t>
        </is>
      </c>
      <c r="B641" s="9" t="inlineStr">
        <is>
          <t>5/18/25 - 6/14/25</t>
        </is>
      </c>
      <c r="C641" s="12" t="n">
        <v>0.15</v>
      </c>
      <c r="D641" s="12" t="n">
        <v>0.82</v>
      </c>
      <c r="E641" s="12" t="n">
        <v>1</v>
      </c>
      <c r="F641" s="12" t="n">
        <v>1</v>
      </c>
      <c r="G641" s="12" t="n">
        <v>1</v>
      </c>
      <c r="H641" s="9" t="e">
        <v>#N/A</v>
      </c>
      <c r="I641" s="10" t="n">
        <v>1</v>
      </c>
      <c r="J641" s="12">
        <f>I641</f>
        <v/>
      </c>
      <c r="K641" t="e">
        <v>#N/A</v>
      </c>
      <c r="L641" t="e">
        <v>#N/A</v>
      </c>
      <c r="M641" t="e">
        <v>#N/A</v>
      </c>
    </row>
    <row r="642">
      <c r="A642" s="9" t="inlineStr">
        <is>
          <t>Erin Hicks</t>
        </is>
      </c>
      <c r="B642" s="9" t="inlineStr">
        <is>
          <t>6/15/25 - 7/12/25</t>
        </is>
      </c>
      <c r="C642" s="12" t="n">
        <v>0.19</v>
      </c>
      <c r="D642" s="12" t="n">
        <v>0.95</v>
      </c>
      <c r="E642" s="12" t="n">
        <v>1</v>
      </c>
      <c r="F642" s="12" t="n">
        <v>0.86</v>
      </c>
      <c r="G642" s="12" t="n">
        <v>1</v>
      </c>
      <c r="H642" s="9" t="e">
        <v>#N/A</v>
      </c>
      <c r="J642" s="9" t="n"/>
      <c r="K642" t="e">
        <v>#N/A</v>
      </c>
      <c r="L642" t="e">
        <v>#N/A</v>
      </c>
      <c r="M642" t="e">
        <v>#N/A</v>
      </c>
    </row>
    <row r="643">
      <c r="A643" s="9" t="inlineStr">
        <is>
          <t>Erin Hicks</t>
        </is>
      </c>
      <c r="B643" s="9" t="inlineStr">
        <is>
          <t>7/13/25 - 8/10/25</t>
        </is>
      </c>
      <c r="C643" s="12" t="n">
        <v>0.29</v>
      </c>
      <c r="D643" s="12" t="n">
        <v>0.92</v>
      </c>
      <c r="E643" s="12" t="n">
        <v>1</v>
      </c>
      <c r="F643" s="12" t="n">
        <v>0.82</v>
      </c>
      <c r="G643" s="12" t="n">
        <v>0.86</v>
      </c>
      <c r="H643" s="9" t="n">
        <v>2</v>
      </c>
      <c r="I643" s="10" t="n">
        <v>1</v>
      </c>
      <c r="J643" s="12">
        <f>I643</f>
        <v/>
      </c>
      <c r="K643" t="e">
        <v>#N/A</v>
      </c>
      <c r="L643" t="e">
        <v>#N/A</v>
      </c>
      <c r="M643" t="e">
        <v>#N/A</v>
      </c>
    </row>
    <row r="644">
      <c r="A644" s="9" t="inlineStr">
        <is>
          <t>Erin Hicks</t>
        </is>
      </c>
      <c r="B644" s="9" t="inlineStr">
        <is>
          <t>8/10/25 - 9/6/25</t>
        </is>
      </c>
      <c r="C644" s="12" t="n">
        <v>0.73</v>
      </c>
      <c r="D644" s="12" t="n">
        <v>1.13</v>
      </c>
      <c r="E644" s="12" t="n">
        <v>0.9399999999999999</v>
      </c>
      <c r="F644" s="12" t="n">
        <v>1</v>
      </c>
      <c r="G644" s="12" t="n">
        <v>1</v>
      </c>
      <c r="H644" s="9" t="n">
        <v>0</v>
      </c>
      <c r="I644" s="11" t="n"/>
      <c r="J644" s="9" t="n"/>
      <c r="K644" t="e">
        <v>#N/A</v>
      </c>
      <c r="L644" t="e">
        <v>#N/A</v>
      </c>
      <c r="M644" t="e">
        <v>#N/A</v>
      </c>
    </row>
    <row r="645">
      <c r="A645" s="9" t="inlineStr">
        <is>
          <t>Erin Hicks</t>
        </is>
      </c>
      <c r="B645" s="9" t="inlineStr">
        <is>
          <t>9/7/25 - 10/4/25</t>
        </is>
      </c>
      <c r="C645" s="12" t="n">
        <v>0.71</v>
      </c>
      <c r="D645" s="12" t="n">
        <v>1.05</v>
      </c>
      <c r="E645" s="12" t="n">
        <v>1</v>
      </c>
      <c r="F645" s="12" t="n">
        <v>0.78</v>
      </c>
      <c r="G645" s="12" t="n">
        <v>1</v>
      </c>
      <c r="H645" s="9" t="n">
        <v>0</v>
      </c>
      <c r="I645" s="10" t="inlineStr">
        <is>
          <t>2/3</t>
        </is>
      </c>
      <c r="J645" s="12" t="n">
        <v>0.66</v>
      </c>
      <c r="K645" t="e">
        <v>#N/A</v>
      </c>
      <c r="L645" t="e">
        <v>#N/A</v>
      </c>
      <c r="M645" t="e">
        <v>#N/A</v>
      </c>
    </row>
    <row r="646">
      <c r="A646" s="9" t="inlineStr">
        <is>
          <t>Ernie Chu</t>
        </is>
      </c>
      <c r="B646" s="9" t="inlineStr">
        <is>
          <t>10/5/25 - 11/1/25</t>
        </is>
      </c>
      <c r="C646" s="12" t="n">
        <v>1.5417</v>
      </c>
      <c r="D646" s="12" t="n">
        <v>1.2928</v>
      </c>
      <c r="E646" s="12" t="n">
        <v>1</v>
      </c>
      <c r="F646" s="12" t="n">
        <v>0.963302752293577</v>
      </c>
      <c r="G646" s="12" t="n">
        <v>0.344827586206896</v>
      </c>
      <c r="H646" s="9" t="n">
        <v>14</v>
      </c>
      <c r="I646" s="10" t="inlineStr">
        <is>
          <t>7/18</t>
        </is>
      </c>
      <c r="J646" s="12" t="n">
        <v>0.39</v>
      </c>
      <c r="K646" t="inlineStr">
        <is>
          <t>Distinguished</t>
        </is>
      </c>
      <c r="L646" t="inlineStr">
        <is>
          <t>Professional</t>
        </is>
      </c>
      <c r="M646" t="inlineStr">
        <is>
          <t>Geoff St. Marie</t>
        </is>
      </c>
    </row>
    <row r="647">
      <c r="A647" s="9" t="inlineStr">
        <is>
          <t>Ernie Chu</t>
        </is>
      </c>
      <c r="B647" s="9" t="inlineStr">
        <is>
          <t>10/5/25 - 11/1/25</t>
        </is>
      </c>
      <c r="C647" s="12" t="n">
        <v>1.5417</v>
      </c>
      <c r="D647" s="12" t="n">
        <v>1.2928</v>
      </c>
      <c r="E647" s="12" t="n">
        <v>1</v>
      </c>
      <c r="F647" s="12" t="n">
        <v>0.963302752293577</v>
      </c>
      <c r="G647" s="12" t="n">
        <v>0.344827586206896</v>
      </c>
      <c r="H647" s="9" t="n">
        <v>14</v>
      </c>
      <c r="I647" s="10" t="inlineStr">
        <is>
          <t>7/18</t>
        </is>
      </c>
      <c r="J647" s="12">
        <f>_xlfn.TEXTBEFORE(I647, "/")/_xlfn.TEXTAFTER(I647,"/")</f>
        <v/>
      </c>
      <c r="K647" t="inlineStr">
        <is>
          <t>Distinguished</t>
        </is>
      </c>
      <c r="L647" t="inlineStr">
        <is>
          <t>Professional</t>
        </is>
      </c>
      <c r="M647" t="inlineStr">
        <is>
          <t>Geoff St. Marie</t>
        </is>
      </c>
    </row>
    <row r="648">
      <c r="A648" s="9" t="inlineStr">
        <is>
          <t>Ernie Chu</t>
        </is>
      </c>
      <c r="B648" s="9" t="inlineStr">
        <is>
          <t>11/2/25 - 11/29/25</t>
        </is>
      </c>
      <c r="C648" s="12" t="n">
        <v>1.42</v>
      </c>
      <c r="D648" s="12" t="n">
        <v>1.22</v>
      </c>
      <c r="E648" s="12" t="n">
        <v>0.99</v>
      </c>
      <c r="F648" s="12" t="n">
        <v>0.96</v>
      </c>
      <c r="G648" s="12" t="n">
        <v>0.85</v>
      </c>
      <c r="H648" s="9" t="n">
        <v>7</v>
      </c>
      <c r="I648" s="13" t="n">
        <v>45668</v>
      </c>
      <c r="J648" s="14" t="n">
        <v>0.09</v>
      </c>
      <c r="K648" t="inlineStr">
        <is>
          <t>Distinguished</t>
        </is>
      </c>
      <c r="L648" t="inlineStr">
        <is>
          <t>Professional</t>
        </is>
      </c>
      <c r="M648" t="inlineStr">
        <is>
          <t>Geoff St. Marie</t>
        </is>
      </c>
    </row>
    <row r="649">
      <c r="A649" s="9" t="inlineStr">
        <is>
          <t>Ernie Chu</t>
        </is>
      </c>
      <c r="B649" s="9" t="inlineStr">
        <is>
          <t>11/30/25 - 12/27/25</t>
        </is>
      </c>
      <c r="C649" s="12" t="n">
        <v>1.28</v>
      </c>
      <c r="D649" s="12" t="n">
        <v>1.15</v>
      </c>
      <c r="E649" s="12" t="n">
        <v>0.99</v>
      </c>
      <c r="F649" s="12" t="n">
        <v>0.98</v>
      </c>
      <c r="G649" s="12" t="n">
        <v>0.66</v>
      </c>
      <c r="H649" s="9" t="n">
        <v>18</v>
      </c>
      <c r="I649" s="10" t="n">
        <v>0.5</v>
      </c>
      <c r="J649" s="12" t="n">
        <v>0.5</v>
      </c>
      <c r="K649" t="inlineStr">
        <is>
          <t>Distinguished</t>
        </is>
      </c>
      <c r="L649" t="inlineStr">
        <is>
          <t>Professional</t>
        </is>
      </c>
      <c r="M649" t="inlineStr">
        <is>
          <t>Geoff St. Marie</t>
        </is>
      </c>
    </row>
    <row r="650">
      <c r="A650" s="9" t="inlineStr">
        <is>
          <t>Ernie Chu</t>
        </is>
      </c>
      <c r="B650" s="9" t="inlineStr">
        <is>
          <t>12/28/25 - 1/25/26</t>
        </is>
      </c>
      <c r="C650" s="12" t="n">
        <v>1.3458</v>
      </c>
      <c r="D650" s="12" t="n">
        <v>1.25</v>
      </c>
      <c r="E650" s="12" t="n">
        <v>0.980645161</v>
      </c>
      <c r="F650" s="12" t="n">
        <v>0.9902912619999999</v>
      </c>
      <c r="G650" s="12" t="n">
        <v>0.896551724</v>
      </c>
      <c r="H650" s="9" t="n">
        <v>23</v>
      </c>
      <c r="I650" s="10" t="n">
        <v>0.1428571428571428</v>
      </c>
      <c r="J650" s="12">
        <f>I650</f>
        <v/>
      </c>
      <c r="K650" t="inlineStr">
        <is>
          <t>Distinguished</t>
        </is>
      </c>
      <c r="L650" t="inlineStr">
        <is>
          <t>Professional</t>
        </is>
      </c>
      <c r="M650" t="inlineStr">
        <is>
          <t>Geoff St. Marie</t>
        </is>
      </c>
    </row>
    <row r="651">
      <c r="A651" s="9" t="inlineStr">
        <is>
          <t>Ernie Chu</t>
        </is>
      </c>
      <c r="B651" s="9" t="inlineStr">
        <is>
          <t>5/18/25 - 6/14/25</t>
        </is>
      </c>
      <c r="C651" s="12" t="n">
        <v>0.66</v>
      </c>
      <c r="D651" s="12" t="n">
        <v>1.29</v>
      </c>
      <c r="E651" s="12" t="n">
        <v>0.97</v>
      </c>
      <c r="F651" s="12" t="n">
        <v>0.84</v>
      </c>
      <c r="G651" s="12" t="n">
        <v>1</v>
      </c>
      <c r="H651" s="9" t="n">
        <v>1</v>
      </c>
      <c r="I651" s="10" t="inlineStr">
        <is>
          <t xml:space="preserve"> 1/2</t>
        </is>
      </c>
      <c r="J651" s="12" t="n">
        <v>0.5</v>
      </c>
      <c r="K651" t="inlineStr">
        <is>
          <t>Distinguished</t>
        </is>
      </c>
      <c r="L651" t="inlineStr">
        <is>
          <t>Professional</t>
        </is>
      </c>
      <c r="M651" t="inlineStr">
        <is>
          <t>Geoff St. Marie</t>
        </is>
      </c>
    </row>
    <row r="652">
      <c r="A652" s="9" t="inlineStr">
        <is>
          <t>Ernie Chu</t>
        </is>
      </c>
      <c r="B652" s="9" t="inlineStr">
        <is>
          <t>6/15/25 - 7/12/25</t>
        </is>
      </c>
      <c r="C652" s="12" t="n">
        <v>0.38</v>
      </c>
      <c r="D652" s="12" t="n">
        <v>1.71</v>
      </c>
      <c r="E652" s="12" t="n">
        <v>1</v>
      </c>
      <c r="F652" s="12" t="n">
        <v>0.88</v>
      </c>
      <c r="G652" s="12" t="n">
        <v>0.75</v>
      </c>
      <c r="H652" s="9" t="n">
        <v>4</v>
      </c>
      <c r="I652" s="10" t="inlineStr">
        <is>
          <t xml:space="preserve"> 2/5</t>
        </is>
      </c>
      <c r="J652" s="12" t="n">
        <v>0.4</v>
      </c>
      <c r="K652" t="inlineStr">
        <is>
          <t>Distinguished</t>
        </is>
      </c>
      <c r="L652" t="inlineStr">
        <is>
          <t>Professional</t>
        </is>
      </c>
      <c r="M652" t="inlineStr">
        <is>
          <t>Geoff St. Marie</t>
        </is>
      </c>
    </row>
    <row r="653">
      <c r="A653" s="9" t="inlineStr">
        <is>
          <t>Ernie Chu</t>
        </is>
      </c>
      <c r="B653" s="9" t="inlineStr">
        <is>
          <t>7/13/25 - 8/10/25</t>
        </is>
      </c>
      <c r="C653" s="12" t="n">
        <v>0.37</v>
      </c>
      <c r="D653" s="12" t="n">
        <v>1.07</v>
      </c>
      <c r="E653" s="12" t="n">
        <v>1</v>
      </c>
      <c r="F653" s="12" t="n">
        <v>1</v>
      </c>
      <c r="G653" s="12" t="n">
        <v>0.52</v>
      </c>
      <c r="H653" s="9" t="n">
        <v>2</v>
      </c>
      <c r="I653" s="10" t="inlineStr">
        <is>
          <t xml:space="preserve"> 1/4</t>
        </is>
      </c>
      <c r="J653" s="12" t="n">
        <v>0.25</v>
      </c>
      <c r="K653" t="inlineStr">
        <is>
          <t>Distinguished</t>
        </is>
      </c>
      <c r="L653" t="inlineStr">
        <is>
          <t>Professional</t>
        </is>
      </c>
      <c r="M653" t="inlineStr">
        <is>
          <t>Geoff St. Marie</t>
        </is>
      </c>
    </row>
    <row r="654">
      <c r="A654" s="9" t="inlineStr">
        <is>
          <t>Ernie Chu</t>
        </is>
      </c>
      <c r="B654" s="9" t="inlineStr">
        <is>
          <t>8/10/25 - 9/6/25</t>
        </is>
      </c>
      <c r="C654" s="12" t="n">
        <v>1.04</v>
      </c>
      <c r="D654" s="12" t="n">
        <v>1.41</v>
      </c>
      <c r="E654" s="12" t="n">
        <v>1</v>
      </c>
      <c r="F654" s="12" t="n">
        <v>0.97</v>
      </c>
      <c r="G654" s="12" t="n">
        <v>0.4</v>
      </c>
      <c r="H654" s="9" t="n">
        <v>1</v>
      </c>
      <c r="I654" s="10" t="inlineStr">
        <is>
          <t>5/12</t>
        </is>
      </c>
      <c r="J654" s="12" t="n">
        <v>0.42</v>
      </c>
      <c r="K654" t="inlineStr">
        <is>
          <t>Distinguished</t>
        </is>
      </c>
      <c r="L654" t="inlineStr">
        <is>
          <t>Professional</t>
        </is>
      </c>
      <c r="M654" t="inlineStr">
        <is>
          <t>Geoff St. Marie</t>
        </is>
      </c>
    </row>
    <row r="655">
      <c r="A655" s="9" t="inlineStr">
        <is>
          <t>Ernie Chu</t>
        </is>
      </c>
      <c r="B655" s="9" t="inlineStr">
        <is>
          <t>9/7/25 - 10/4/25</t>
        </is>
      </c>
      <c r="C655" s="12" t="n">
        <v>1.29</v>
      </c>
      <c r="D655" s="12" t="n">
        <v>1.31</v>
      </c>
      <c r="E655" s="12" t="n">
        <v>1</v>
      </c>
      <c r="F655" s="12" t="n">
        <v>0.99</v>
      </c>
      <c r="G655" s="12" t="n">
        <v>0.29</v>
      </c>
      <c r="H655" s="9" t="n">
        <v>3</v>
      </c>
      <c r="I655" s="10" t="inlineStr">
        <is>
          <t>3/12</t>
        </is>
      </c>
      <c r="J655" s="12" t="n">
        <v>0.25</v>
      </c>
      <c r="K655" t="inlineStr">
        <is>
          <t>Distinguished</t>
        </is>
      </c>
      <c r="L655" t="inlineStr">
        <is>
          <t>Professional</t>
        </is>
      </c>
      <c r="M655" t="inlineStr">
        <is>
          <t>Geoff St. Marie</t>
        </is>
      </c>
    </row>
    <row r="656">
      <c r="A656" s="9" t="inlineStr">
        <is>
          <t>Eryn Self</t>
        </is>
      </c>
      <c r="B656" s="9" t="inlineStr">
        <is>
          <t>10/5/25 - 11/1/25</t>
        </is>
      </c>
      <c r="C656" s="12" t="n">
        <v>1.0208</v>
      </c>
      <c r="D656" s="12" t="n">
        <v>1.1289</v>
      </c>
      <c r="E656" s="12" t="n">
        <v>1</v>
      </c>
      <c r="F656" s="12" t="n">
        <v>0.926829268292682</v>
      </c>
      <c r="G656" s="12" t="n">
        <v>1</v>
      </c>
      <c r="H656" s="9" t="n">
        <v>3</v>
      </c>
      <c r="I656" s="10" t="inlineStr">
        <is>
          <t>2/3</t>
        </is>
      </c>
      <c r="J656" s="12" t="n">
        <v>0.66</v>
      </c>
      <c r="K656" t="e">
        <v>#N/A</v>
      </c>
      <c r="L656" t="e">
        <v>#N/A</v>
      </c>
      <c r="M656" t="e">
        <v>#N/A</v>
      </c>
    </row>
    <row r="657">
      <c r="A657" s="9" t="inlineStr">
        <is>
          <t>Eryn Self</t>
        </is>
      </c>
      <c r="B657" s="9" t="inlineStr">
        <is>
          <t>10/5/25 - 11/1/25</t>
        </is>
      </c>
      <c r="C657" s="12" t="n">
        <v>1.0208</v>
      </c>
      <c r="D657" s="12" t="n">
        <v>1.1289</v>
      </c>
      <c r="E657" s="12" t="n">
        <v>1</v>
      </c>
      <c r="F657" s="12" t="n">
        <v>0.926829268292682</v>
      </c>
      <c r="G657" s="12" t="n">
        <v>1</v>
      </c>
      <c r="H657" s="9" t="n">
        <v>3</v>
      </c>
      <c r="I657" s="10" t="inlineStr">
        <is>
          <t>2/3</t>
        </is>
      </c>
      <c r="J657" s="12">
        <f>_xlfn.TEXTBEFORE(I657, "/")/_xlfn.TEXTAFTER(I657,"/")</f>
        <v/>
      </c>
      <c r="K657" t="e">
        <v>#N/A</v>
      </c>
      <c r="L657" t="e">
        <v>#N/A</v>
      </c>
      <c r="M657" t="e">
        <v>#N/A</v>
      </c>
    </row>
    <row r="658">
      <c r="A658" s="9" t="inlineStr">
        <is>
          <t>Eryn Self</t>
        </is>
      </c>
      <c r="B658" s="9" t="inlineStr">
        <is>
          <t>11/2/25 - 11/29/25</t>
        </is>
      </c>
      <c r="C658" s="12" t="n">
        <v>0.7</v>
      </c>
      <c r="D658" s="12" t="n">
        <v>0.71</v>
      </c>
      <c r="E658" s="12" t="n">
        <v>1</v>
      </c>
      <c r="F658" s="12" t="n">
        <v>0.96</v>
      </c>
      <c r="G658" s="12" t="n">
        <v>0.67</v>
      </c>
      <c r="H658" s="9" t="n">
        <v>0</v>
      </c>
      <c r="I658" s="13" t="n"/>
      <c r="J658" s="9" t="n"/>
      <c r="K658" t="e">
        <v>#N/A</v>
      </c>
      <c r="L658" t="e">
        <v>#N/A</v>
      </c>
      <c r="M658" t="e">
        <v>#N/A</v>
      </c>
    </row>
    <row r="659">
      <c r="A659" s="9" t="inlineStr">
        <is>
          <t>Eryn Self</t>
        </is>
      </c>
      <c r="B659" s="9" t="inlineStr">
        <is>
          <t>5/18/25 - 6/14/25</t>
        </is>
      </c>
      <c r="C659" s="12" t="n">
        <v>0.47</v>
      </c>
      <c r="D659" s="12" t="n">
        <v>1.23</v>
      </c>
      <c r="E659" s="12" t="n">
        <v>1</v>
      </c>
      <c r="F659" s="12" t="n">
        <v>0.9399999999999999</v>
      </c>
      <c r="G659" s="12" t="n">
        <v>0.8</v>
      </c>
      <c r="H659" s="9" t="e">
        <v>#N/A</v>
      </c>
      <c r="I659" s="10" t="n">
        <v>1</v>
      </c>
      <c r="J659" s="12">
        <f>I659</f>
        <v/>
      </c>
      <c r="K659" t="e">
        <v>#N/A</v>
      </c>
      <c r="L659" t="e">
        <v>#N/A</v>
      </c>
      <c r="M659" t="e">
        <v>#N/A</v>
      </c>
    </row>
    <row r="660">
      <c r="A660" s="9" t="inlineStr">
        <is>
          <t>Eryn Self</t>
        </is>
      </c>
      <c r="B660" s="9" t="inlineStr">
        <is>
          <t>6/15/25 - 7/12/25</t>
        </is>
      </c>
      <c r="C660" s="12" t="n">
        <v>0.46</v>
      </c>
      <c r="D660" s="12" t="n">
        <v>1.16</v>
      </c>
      <c r="E660" s="12" t="n">
        <v>1</v>
      </c>
      <c r="F660" s="12" t="n">
        <v>0.8100000000000001</v>
      </c>
      <c r="G660" s="12" t="n">
        <v>1</v>
      </c>
      <c r="H660" s="9" t="n">
        <v>1</v>
      </c>
      <c r="I660" s="10" t="n">
        <v>1</v>
      </c>
      <c r="J660" s="12">
        <f>I660</f>
        <v/>
      </c>
      <c r="K660" t="e">
        <v>#N/A</v>
      </c>
      <c r="L660" t="e">
        <v>#N/A</v>
      </c>
      <c r="M660" t="e">
        <v>#N/A</v>
      </c>
    </row>
    <row r="661">
      <c r="A661" s="9" t="inlineStr">
        <is>
          <t>Eryn Self</t>
        </is>
      </c>
      <c r="B661" s="9" t="inlineStr">
        <is>
          <t>7/13/25 - 8/10/25</t>
        </is>
      </c>
      <c r="C661" s="12" t="n">
        <v>0.39</v>
      </c>
      <c r="D661" s="12" t="n">
        <v>1.11</v>
      </c>
      <c r="E661" s="12" t="n">
        <v>1</v>
      </c>
      <c r="F661" s="12" t="n">
        <v>1</v>
      </c>
      <c r="G661" s="12" t="n">
        <v>1</v>
      </c>
      <c r="H661" s="9" t="e">
        <v>#N/A</v>
      </c>
      <c r="J661" s="9" t="n"/>
      <c r="K661" t="e">
        <v>#N/A</v>
      </c>
      <c r="L661" t="e">
        <v>#N/A</v>
      </c>
      <c r="M661" t="e">
        <v>#N/A</v>
      </c>
    </row>
    <row r="662">
      <c r="A662" s="9" t="inlineStr">
        <is>
          <t>Eryn Self</t>
        </is>
      </c>
      <c r="B662" s="9" t="inlineStr">
        <is>
          <t>8/10/25 - 9/6/25</t>
        </is>
      </c>
      <c r="C662" s="12" t="n">
        <v>0.74</v>
      </c>
      <c r="D662" s="12" t="n">
        <v>1.17</v>
      </c>
      <c r="E662" s="12" t="n">
        <v>1</v>
      </c>
      <c r="F662" s="12" t="n">
        <v>0.96</v>
      </c>
      <c r="G662" s="12" t="n">
        <v>1</v>
      </c>
      <c r="H662" s="9" t="n">
        <v>2</v>
      </c>
      <c r="I662" s="10" t="inlineStr">
        <is>
          <t>3/3</t>
        </is>
      </c>
      <c r="J662" s="12" t="n">
        <v>1</v>
      </c>
      <c r="K662" t="e">
        <v>#N/A</v>
      </c>
      <c r="L662" t="e">
        <v>#N/A</v>
      </c>
      <c r="M662" t="e">
        <v>#N/A</v>
      </c>
    </row>
    <row r="663">
      <c r="A663" s="9" t="inlineStr">
        <is>
          <t>Eryn Self</t>
        </is>
      </c>
      <c r="B663" s="9" t="inlineStr">
        <is>
          <t>9/7/25 - 10/4/25</t>
        </is>
      </c>
      <c r="C663" s="12" t="n">
        <v>0.95</v>
      </c>
      <c r="D663" s="12" t="n">
        <v>1.11</v>
      </c>
      <c r="E663" s="12" t="n">
        <v>1</v>
      </c>
      <c r="F663" s="12" t="n">
        <v>0.9399999999999999</v>
      </c>
      <c r="G663" s="12" t="n">
        <v>1</v>
      </c>
      <c r="H663" s="9" t="n">
        <v>2</v>
      </c>
      <c r="I663" s="10" t="inlineStr">
        <is>
          <t>1/1</t>
        </is>
      </c>
      <c r="J663" s="12" t="n">
        <v>1</v>
      </c>
      <c r="K663" t="e">
        <v>#N/A</v>
      </c>
      <c r="L663" t="e">
        <v>#N/A</v>
      </c>
      <c r="M663" t="e">
        <v>#N/A</v>
      </c>
    </row>
    <row r="664">
      <c r="A664" s="9" t="inlineStr">
        <is>
          <t>Eve Shames</t>
        </is>
      </c>
      <c r="B664" s="9" t="inlineStr">
        <is>
          <t>5/18/25 - 6/14/25</t>
        </is>
      </c>
      <c r="C664" s="12" t="n">
        <v>0.74</v>
      </c>
      <c r="D664" s="12" t="n">
        <v>1.15</v>
      </c>
      <c r="E664" s="12" t="n">
        <v>1</v>
      </c>
      <c r="F664" s="12" t="n">
        <v>0.85</v>
      </c>
      <c r="G664" s="12" t="n">
        <v>0.5</v>
      </c>
      <c r="H664" s="9" t="n">
        <v>0</v>
      </c>
      <c r="J664" s="9" t="n"/>
      <c r="K664" t="e">
        <v>#N/A</v>
      </c>
      <c r="L664" t="e">
        <v>#N/A</v>
      </c>
      <c r="M664" t="e">
        <v>#N/A</v>
      </c>
    </row>
    <row r="665">
      <c r="A665" s="9" t="inlineStr">
        <is>
          <t>Eve Shames</t>
        </is>
      </c>
      <c r="B665" s="9" t="inlineStr">
        <is>
          <t>6/15/25 - 7/12/25</t>
        </is>
      </c>
      <c r="C665" s="12" t="n">
        <v>0.21</v>
      </c>
      <c r="D665" s="12" t="n">
        <v>1.05</v>
      </c>
      <c r="E665" s="12" t="n">
        <v>1</v>
      </c>
      <c r="F665" s="12" t="n">
        <v>0.7</v>
      </c>
      <c r="G665" s="12" t="n">
        <v>0.17</v>
      </c>
      <c r="H665" s="9" t="e">
        <v>#N/A</v>
      </c>
      <c r="J665" s="9" t="n"/>
      <c r="K665" t="e">
        <v>#N/A</v>
      </c>
      <c r="L665" t="e">
        <v>#N/A</v>
      </c>
      <c r="M665" t="e">
        <v>#N/A</v>
      </c>
    </row>
    <row r="666">
      <c r="A666" s="9" t="inlineStr">
        <is>
          <t>Eve Shames</t>
        </is>
      </c>
      <c r="B666" s="9" t="inlineStr">
        <is>
          <t>7/13/25 - 8/10/25</t>
        </is>
      </c>
      <c r="C666" s="12" t="n">
        <v>0.21</v>
      </c>
      <c r="D666" s="12" t="n">
        <v>0.77</v>
      </c>
      <c r="E666" s="12" t="n">
        <v>1</v>
      </c>
      <c r="F666" s="12" t="n">
        <v>1</v>
      </c>
      <c r="G666" s="12" t="n">
        <v>0.5</v>
      </c>
      <c r="H666" s="9" t="e">
        <v>#N/A</v>
      </c>
      <c r="J666" s="9" t="n"/>
      <c r="K666" t="e">
        <v>#N/A</v>
      </c>
      <c r="L666" t="e">
        <v>#N/A</v>
      </c>
      <c r="M666" t="e">
        <v>#N/A</v>
      </c>
    </row>
    <row r="667">
      <c r="A667" s="9" t="inlineStr">
        <is>
          <t>Faith Rogers</t>
        </is>
      </c>
      <c r="B667" s="9" t="inlineStr">
        <is>
          <t>10/5/25 - 11/1/25</t>
        </is>
      </c>
      <c r="C667" s="12" t="n">
        <v>0.7833</v>
      </c>
      <c r="D667" s="12" t="n">
        <v>1.00329999999999</v>
      </c>
      <c r="E667" s="12" t="n">
        <v>0.9655172413793101</v>
      </c>
      <c r="F667" s="12" t="n">
        <v>1</v>
      </c>
      <c r="G667" s="12" t="n">
        <v>1</v>
      </c>
      <c r="H667" s="9" t="n">
        <v>2</v>
      </c>
      <c r="I667" s="10" t="inlineStr">
        <is>
          <t>0/3</t>
        </is>
      </c>
      <c r="J667" s="12" t="n">
        <v>0</v>
      </c>
      <c r="K667" t="inlineStr">
        <is>
          <t>Distinguished</t>
        </is>
      </c>
      <c r="L667" t="inlineStr">
        <is>
          <t>Professional</t>
        </is>
      </c>
      <c r="M667" t="inlineStr">
        <is>
          <t>Geoff St. Marie</t>
        </is>
      </c>
    </row>
    <row r="668">
      <c r="A668" s="9" t="inlineStr">
        <is>
          <t>Faith Rogers</t>
        </is>
      </c>
      <c r="B668" s="9" t="inlineStr">
        <is>
          <t>11/2/25 - 11/29/25</t>
        </is>
      </c>
      <c r="C668" s="12" t="n">
        <v>0.72</v>
      </c>
      <c r="D668" s="12" t="n">
        <v>0.91</v>
      </c>
      <c r="E668" s="12" t="n">
        <v>0.96</v>
      </c>
      <c r="F668" s="12" t="n">
        <v>0.98</v>
      </c>
      <c r="G668" s="12" t="n">
        <v>1</v>
      </c>
      <c r="H668" s="9" t="n">
        <v>0</v>
      </c>
      <c r="I668" s="13" t="n">
        <v>45658</v>
      </c>
      <c r="J668" s="12" t="n">
        <v>1</v>
      </c>
      <c r="K668" t="inlineStr">
        <is>
          <t>Distinguished</t>
        </is>
      </c>
      <c r="L668" t="inlineStr">
        <is>
          <t>Professional</t>
        </is>
      </c>
      <c r="M668" t="inlineStr">
        <is>
          <t>Geoff St. Marie</t>
        </is>
      </c>
    </row>
    <row r="669">
      <c r="A669" s="9" t="inlineStr">
        <is>
          <t>Faith Rogers</t>
        </is>
      </c>
      <c r="B669" s="9" t="inlineStr">
        <is>
          <t>11/30/25 - 12/27/25</t>
        </is>
      </c>
      <c r="C669" s="12" t="n">
        <v>0.36</v>
      </c>
      <c r="D669" s="12" t="n">
        <v>0.6899999999999999</v>
      </c>
      <c r="E669" s="12" t="n">
        <v>0.85</v>
      </c>
      <c r="F669" s="12" t="n">
        <v>1</v>
      </c>
      <c r="G669" s="12" t="n">
        <v>1</v>
      </c>
      <c r="H669" s="9" t="n">
        <v>2</v>
      </c>
      <c r="I669" s="10" t="inlineStr">
        <is>
          <t>0/1</t>
        </is>
      </c>
      <c r="J669" s="12" t="n">
        <v>0</v>
      </c>
      <c r="K669" t="inlineStr">
        <is>
          <t>Distinguished</t>
        </is>
      </c>
      <c r="L669" t="inlineStr">
        <is>
          <t>Professional</t>
        </is>
      </c>
      <c r="M669" t="inlineStr">
        <is>
          <t>Geoff St. Marie</t>
        </is>
      </c>
    </row>
    <row r="670">
      <c r="A670" s="9" t="inlineStr">
        <is>
          <t>Faith Rogers</t>
        </is>
      </c>
      <c r="B670" s="9" t="inlineStr">
        <is>
          <t>12/28/25 - 1/25/26</t>
        </is>
      </c>
      <c r="C670" s="12" t="n">
        <v>0.5167</v>
      </c>
      <c r="D670" s="12" t="n">
        <v>0.9704</v>
      </c>
      <c r="E670" s="12" t="n">
        <v>0.983050847</v>
      </c>
      <c r="F670" s="12" t="n">
        <v>0.975609756</v>
      </c>
      <c r="G670" s="12" t="n">
        <v>0.818181818</v>
      </c>
      <c r="H670" s="9" t="n">
        <v>2</v>
      </c>
      <c r="I670" s="10" t="n">
        <v>0.3333333333333333</v>
      </c>
      <c r="J670" s="12">
        <f>I670</f>
        <v/>
      </c>
      <c r="K670" t="inlineStr">
        <is>
          <t>Distinguished</t>
        </is>
      </c>
      <c r="L670" t="inlineStr">
        <is>
          <t>Professional</t>
        </is>
      </c>
      <c r="M670" t="inlineStr">
        <is>
          <t>Geoff St. Marie</t>
        </is>
      </c>
    </row>
    <row r="671">
      <c r="A671" s="9" t="inlineStr">
        <is>
          <t>Faith Rogers</t>
        </is>
      </c>
      <c r="B671" s="9" t="inlineStr">
        <is>
          <t>5/18/25 - 6/14/25</t>
        </is>
      </c>
      <c r="C671" s="12" t="n">
        <v>0.35</v>
      </c>
      <c r="D671" s="12" t="n">
        <v>0.73</v>
      </c>
      <c r="E671" s="12" t="n">
        <v>0.98</v>
      </c>
      <c r="F671" s="12" t="n">
        <v>1</v>
      </c>
      <c r="G671" s="12" t="n">
        <v>0.67</v>
      </c>
      <c r="H671" s="9" t="e">
        <v>#N/A</v>
      </c>
      <c r="I671" s="10" t="n">
        <v>1</v>
      </c>
      <c r="J671" s="12">
        <f>I671</f>
        <v/>
      </c>
      <c r="K671" t="inlineStr">
        <is>
          <t>Distinguished</t>
        </is>
      </c>
      <c r="L671" t="inlineStr">
        <is>
          <t>Professional</t>
        </is>
      </c>
      <c r="M671" t="inlineStr">
        <is>
          <t>Geoff St. Marie</t>
        </is>
      </c>
    </row>
    <row r="672">
      <c r="A672" s="9" t="inlineStr">
        <is>
          <t>Faith Rogers</t>
        </is>
      </c>
      <c r="B672" s="9" t="inlineStr">
        <is>
          <t>6/15/25 - 7/12/25</t>
        </is>
      </c>
      <c r="C672" s="12" t="n">
        <v>0.35</v>
      </c>
      <c r="D672" s="12" t="n">
        <v>0.91</v>
      </c>
      <c r="E672" s="12" t="n">
        <v>0.9399999999999999</v>
      </c>
      <c r="F672" s="12" t="n">
        <v>1</v>
      </c>
      <c r="G672" s="12" t="n">
        <v>0.5</v>
      </c>
      <c r="H672" s="9" t="n">
        <v>0</v>
      </c>
      <c r="I672" s="10" t="n">
        <v>0</v>
      </c>
      <c r="J672" s="12">
        <f>I672</f>
        <v/>
      </c>
      <c r="K672" t="inlineStr">
        <is>
          <t>Distinguished</t>
        </is>
      </c>
      <c r="L672" t="inlineStr">
        <is>
          <t>Professional</t>
        </is>
      </c>
      <c r="M672" t="inlineStr">
        <is>
          <t>Geoff St. Marie</t>
        </is>
      </c>
    </row>
    <row r="673">
      <c r="A673" s="9" t="inlineStr">
        <is>
          <t>Faith Rogers</t>
        </is>
      </c>
      <c r="B673" s="9" t="inlineStr">
        <is>
          <t>7/13/25 - 8/10/25</t>
        </is>
      </c>
      <c r="C673" s="12" t="n">
        <v>0.55</v>
      </c>
      <c r="D673" s="12" t="n">
        <v>1.01</v>
      </c>
      <c r="E673" s="12" t="n">
        <v>0.9399999999999999</v>
      </c>
      <c r="F673" s="12" t="n">
        <v>1</v>
      </c>
      <c r="G673" s="12" t="n">
        <v>0.73</v>
      </c>
      <c r="H673" s="9" t="n">
        <v>2</v>
      </c>
      <c r="I673" s="10" t="inlineStr">
        <is>
          <t xml:space="preserve"> 2/3</t>
        </is>
      </c>
      <c r="J673" s="12" t="n">
        <v>0.67</v>
      </c>
      <c r="K673" t="inlineStr">
        <is>
          <t>Distinguished</t>
        </is>
      </c>
      <c r="L673" t="inlineStr">
        <is>
          <t>Professional</t>
        </is>
      </c>
      <c r="M673" t="inlineStr">
        <is>
          <t>Geoff St. Marie</t>
        </is>
      </c>
    </row>
    <row r="674">
      <c r="A674" s="9" t="inlineStr">
        <is>
          <t>Faith Rogers</t>
        </is>
      </c>
      <c r="B674" s="9" t="inlineStr">
        <is>
          <t>8/10/25 - 9/6/25</t>
        </is>
      </c>
      <c r="C674" s="12" t="n">
        <v>0.72</v>
      </c>
      <c r="D674" s="12" t="n">
        <v>0.97</v>
      </c>
      <c r="E674" s="12" t="n">
        <v>0.96</v>
      </c>
      <c r="F674" s="12" t="n">
        <v>0.98</v>
      </c>
      <c r="G674" s="12" t="n">
        <v>0.85</v>
      </c>
      <c r="H674" s="9" t="n">
        <v>3</v>
      </c>
      <c r="I674" s="10" t="inlineStr">
        <is>
          <t>3/5</t>
        </is>
      </c>
      <c r="J674" s="12" t="n">
        <v>0.6</v>
      </c>
      <c r="K674" t="inlineStr">
        <is>
          <t>Distinguished</t>
        </is>
      </c>
      <c r="L674" t="inlineStr">
        <is>
          <t>Professional</t>
        </is>
      </c>
      <c r="M674" t="inlineStr">
        <is>
          <t>Geoff St. Marie</t>
        </is>
      </c>
    </row>
    <row r="675">
      <c r="A675" s="9" t="inlineStr">
        <is>
          <t>Faith Rogers</t>
        </is>
      </c>
      <c r="B675" s="9" t="inlineStr">
        <is>
          <t>9/7/25 - 10/4/25</t>
        </is>
      </c>
      <c r="C675" s="12" t="n">
        <v>0.78</v>
      </c>
      <c r="D675" s="12" t="n">
        <v>1.02</v>
      </c>
      <c r="E675" s="12" t="n">
        <v>1</v>
      </c>
      <c r="F675" s="12" t="n">
        <v>0.97</v>
      </c>
      <c r="G675" s="12" t="n">
        <v>1</v>
      </c>
      <c r="H675" s="9" t="n">
        <v>4</v>
      </c>
      <c r="I675" s="10" t="inlineStr">
        <is>
          <t>3/4</t>
        </is>
      </c>
      <c r="J675" s="12" t="n">
        <v>0.75</v>
      </c>
      <c r="K675" t="inlineStr">
        <is>
          <t>Distinguished</t>
        </is>
      </c>
      <c r="L675" t="inlineStr">
        <is>
          <t>Professional</t>
        </is>
      </c>
      <c r="M675" t="inlineStr">
        <is>
          <t>Geoff St. Marie</t>
        </is>
      </c>
    </row>
    <row r="676">
      <c r="A676" s="9" t="inlineStr">
        <is>
          <t>Gabriel Saint Cyr</t>
        </is>
      </c>
      <c r="B676" s="9" t="inlineStr">
        <is>
          <t>10/5/25 - 11/1/25</t>
        </is>
      </c>
      <c r="C676" s="12" t="n">
        <v>0.7604</v>
      </c>
      <c r="D676" s="12" t="n">
        <v>1.1602</v>
      </c>
      <c r="E676" s="12" t="n">
        <v>1</v>
      </c>
      <c r="F676" s="12" t="n">
        <v>0.964285714285714</v>
      </c>
      <c r="G676" s="12" t="n">
        <v>1</v>
      </c>
      <c r="H676" s="9" t="n">
        <v>0</v>
      </c>
      <c r="I676" s="10" t="inlineStr">
        <is>
          <t>1/2</t>
        </is>
      </c>
      <c r="J676" s="12" t="n">
        <v>0.5</v>
      </c>
      <c r="K676" t="inlineStr">
        <is>
          <t>Distinguished</t>
        </is>
      </c>
      <c r="L676" t="inlineStr">
        <is>
          <t>Adjunct</t>
        </is>
      </c>
      <c r="M676" t="inlineStr">
        <is>
          <t>Geoff St. Marie</t>
        </is>
      </c>
    </row>
    <row r="677">
      <c r="A677" s="9" t="inlineStr">
        <is>
          <t>Gabriel Saint Cyr</t>
        </is>
      </c>
      <c r="B677" s="9" t="inlineStr">
        <is>
          <t>11/2/25 - 11/29/25</t>
        </is>
      </c>
      <c r="C677" s="12" t="n">
        <v>0.67</v>
      </c>
      <c r="D677" s="12" t="n">
        <v>1.15</v>
      </c>
      <c r="E677" s="12" t="n">
        <v>1</v>
      </c>
      <c r="F677" s="12" t="n">
        <v>1</v>
      </c>
      <c r="G677" s="12" t="n">
        <v>0.71</v>
      </c>
      <c r="H677" s="9" t="n">
        <v>1</v>
      </c>
      <c r="I677" s="13" t="n">
        <v>45658</v>
      </c>
      <c r="J677" s="12" t="n">
        <v>1</v>
      </c>
      <c r="K677" t="inlineStr">
        <is>
          <t>Distinguished</t>
        </is>
      </c>
      <c r="L677" t="inlineStr">
        <is>
          <t>Adjunct</t>
        </is>
      </c>
      <c r="M677" t="inlineStr">
        <is>
          <t>Geoff St. Marie</t>
        </is>
      </c>
    </row>
    <row r="678">
      <c r="A678" s="9" t="inlineStr">
        <is>
          <t>Gabriel Saint Cyr</t>
        </is>
      </c>
      <c r="B678" s="9" t="inlineStr">
        <is>
          <t>11/30/25 - 12/27/25</t>
        </is>
      </c>
      <c r="C678" s="12" t="n">
        <v>0.48</v>
      </c>
      <c r="D678" s="12" t="n">
        <v>0.99</v>
      </c>
      <c r="E678" s="12" t="n">
        <v>1</v>
      </c>
      <c r="F678" s="12" t="n">
        <v>1</v>
      </c>
      <c r="G678" s="12" t="n">
        <v>0.89</v>
      </c>
      <c r="H678" s="9" t="n">
        <v>1</v>
      </c>
      <c r="I678" s="10" t="n"/>
      <c r="J678" s="12" t="n"/>
      <c r="K678" t="inlineStr">
        <is>
          <t>Distinguished</t>
        </is>
      </c>
      <c r="L678" t="inlineStr">
        <is>
          <t>Adjunct</t>
        </is>
      </c>
      <c r="M678" t="inlineStr">
        <is>
          <t>Geoff St. Marie</t>
        </is>
      </c>
    </row>
    <row r="679">
      <c r="A679" s="9" t="inlineStr">
        <is>
          <t>Gabriel Saint Cyr</t>
        </is>
      </c>
      <c r="B679" s="9" t="inlineStr">
        <is>
          <t>12/28/25 - 1/25/26</t>
        </is>
      </c>
      <c r="C679" s="12" t="n">
        <v>0.5208</v>
      </c>
      <c r="D679" s="12" t="n">
        <v>0.9530999999999999</v>
      </c>
      <c r="E679" s="12" t="n">
        <v>1</v>
      </c>
      <c r="F679" s="12" t="n">
        <v>0.9523809519999999</v>
      </c>
      <c r="G679" s="12" t="n">
        <v>0.625</v>
      </c>
      <c r="H679" s="9" t="n">
        <v>0</v>
      </c>
      <c r="I679" s="10" t="n">
        <v>1</v>
      </c>
      <c r="J679" s="12">
        <f>I679</f>
        <v/>
      </c>
      <c r="K679" t="inlineStr">
        <is>
          <t>Distinguished</t>
        </is>
      </c>
      <c r="L679" t="inlineStr">
        <is>
          <t>Adjunct</t>
        </is>
      </c>
      <c r="M679" t="inlineStr">
        <is>
          <t>Geoff St. Marie</t>
        </is>
      </c>
    </row>
    <row r="680">
      <c r="A680" s="9" t="inlineStr">
        <is>
          <t>Gabriel Saint Cyr</t>
        </is>
      </c>
      <c r="B680" s="9" t="inlineStr">
        <is>
          <t>5/18/25 - 6/14/25</t>
        </is>
      </c>
      <c r="C680" s="12" t="n">
        <v>0.3</v>
      </c>
      <c r="D680" s="12" t="n">
        <v>0.9</v>
      </c>
      <c r="E680" s="12" t="n">
        <v>1</v>
      </c>
      <c r="F680" s="12" t="n">
        <v>1</v>
      </c>
      <c r="G680" s="12" t="n">
        <v>0.6</v>
      </c>
      <c r="H680" s="9" t="e">
        <v>#N/A</v>
      </c>
      <c r="J680" s="9" t="n"/>
      <c r="K680" t="inlineStr">
        <is>
          <t>Distinguished</t>
        </is>
      </c>
      <c r="L680" t="inlineStr">
        <is>
          <t>Adjunct</t>
        </is>
      </c>
      <c r="M680" t="inlineStr">
        <is>
          <t>Geoff St. Marie</t>
        </is>
      </c>
    </row>
    <row r="681">
      <c r="A681" s="9" t="inlineStr">
        <is>
          <t>Gabriel Saint Cyr</t>
        </is>
      </c>
      <c r="B681" s="9" t="inlineStr">
        <is>
          <t>6/15/25 - 7/12/25</t>
        </is>
      </c>
      <c r="C681" s="12" t="n">
        <v>0.23</v>
      </c>
      <c r="D681" s="12" t="n">
        <v>1.09</v>
      </c>
      <c r="E681" s="12" t="n">
        <v>1</v>
      </c>
      <c r="F681" s="12" t="n">
        <v>1</v>
      </c>
      <c r="G681" s="12" t="n">
        <v>0.6</v>
      </c>
      <c r="H681" s="9" t="e">
        <v>#N/A</v>
      </c>
      <c r="J681" s="9" t="n"/>
      <c r="K681" t="inlineStr">
        <is>
          <t>Distinguished</t>
        </is>
      </c>
      <c r="L681" t="inlineStr">
        <is>
          <t>Adjunct</t>
        </is>
      </c>
      <c r="M681" t="inlineStr">
        <is>
          <t>Geoff St. Marie</t>
        </is>
      </c>
    </row>
    <row r="682">
      <c r="A682" s="9" t="inlineStr">
        <is>
          <t>Gabriel Saint Cyr</t>
        </is>
      </c>
      <c r="B682" s="9" t="inlineStr">
        <is>
          <t>7/13/25 - 8/10/25</t>
        </is>
      </c>
      <c r="C682" s="12" t="n">
        <v>0.4</v>
      </c>
      <c r="D682" s="12" t="n">
        <v>1.08</v>
      </c>
      <c r="E682" s="12" t="n">
        <v>1</v>
      </c>
      <c r="F682" s="12" t="n">
        <v>1</v>
      </c>
      <c r="G682" s="12" t="n">
        <v>0.57</v>
      </c>
      <c r="H682" s="9" t="e">
        <v>#N/A</v>
      </c>
      <c r="I682" s="10" t="n">
        <v>0</v>
      </c>
      <c r="J682" s="12">
        <f>I682</f>
        <v/>
      </c>
      <c r="K682" t="inlineStr">
        <is>
          <t>Distinguished</t>
        </is>
      </c>
      <c r="L682" t="inlineStr">
        <is>
          <t>Adjunct</t>
        </is>
      </c>
      <c r="M682" t="inlineStr">
        <is>
          <t>Geoff St. Marie</t>
        </is>
      </c>
    </row>
    <row r="683">
      <c r="A683" s="9" t="inlineStr">
        <is>
          <t>Gabriel Saint Cyr</t>
        </is>
      </c>
      <c r="B683" s="9" t="inlineStr">
        <is>
          <t>8/10/25 - 9/6/25</t>
        </is>
      </c>
      <c r="C683" s="12" t="n">
        <v>0.82</v>
      </c>
      <c r="D683" s="12" t="n">
        <v>1.09</v>
      </c>
      <c r="E683" s="12" t="n">
        <v>1</v>
      </c>
      <c r="F683" s="12" t="n">
        <v>1</v>
      </c>
      <c r="G683" s="12" t="n">
        <v>0.67</v>
      </c>
      <c r="H683" s="9" t="n">
        <v>0</v>
      </c>
      <c r="I683" s="11" t="n"/>
      <c r="J683" s="9" t="n"/>
      <c r="K683" t="inlineStr">
        <is>
          <t>Distinguished</t>
        </is>
      </c>
      <c r="L683" t="inlineStr">
        <is>
          <t>Adjunct</t>
        </is>
      </c>
      <c r="M683" t="inlineStr">
        <is>
          <t>Geoff St. Marie</t>
        </is>
      </c>
    </row>
    <row r="684">
      <c r="A684" s="9" t="inlineStr">
        <is>
          <t>Gabriel Saint Cyr</t>
        </is>
      </c>
      <c r="B684" s="9" t="inlineStr">
        <is>
          <t>9/7/25 - 10/4/25</t>
        </is>
      </c>
      <c r="C684" s="12" t="n">
        <v>0.9399999999999999</v>
      </c>
      <c r="D684" s="12" t="n">
        <v>1.15</v>
      </c>
      <c r="E684" s="12" t="n">
        <v>1</v>
      </c>
      <c r="F684" s="12" t="n">
        <v>1</v>
      </c>
      <c r="G684" s="12" t="n">
        <v>0.5</v>
      </c>
      <c r="H684" s="9" t="n">
        <v>1</v>
      </c>
      <c r="I684" s="10" t="inlineStr">
        <is>
          <t>4/4</t>
        </is>
      </c>
      <c r="J684" s="12" t="n">
        <v>1</v>
      </c>
      <c r="K684" t="inlineStr">
        <is>
          <t>Distinguished</t>
        </is>
      </c>
      <c r="L684" t="inlineStr">
        <is>
          <t>Adjunct</t>
        </is>
      </c>
      <c r="M684" t="inlineStr">
        <is>
          <t>Geoff St. Marie</t>
        </is>
      </c>
    </row>
    <row r="685">
      <c r="A685" s="9" t="inlineStr">
        <is>
          <t>Gale Hermes</t>
        </is>
      </c>
      <c r="B685" s="9" t="inlineStr">
        <is>
          <t>10/5/25 - 11/1/25</t>
        </is>
      </c>
      <c r="C685" s="12" t="n">
        <v>0.825</v>
      </c>
      <c r="D685" s="12" t="n">
        <v>1.301</v>
      </c>
      <c r="E685" s="12" t="n">
        <v>0.9898989898989889</v>
      </c>
      <c r="F685" s="12" t="n">
        <v>0.9710144927536229</v>
      </c>
      <c r="G685" s="12" t="n">
        <v>0.904761904761904</v>
      </c>
      <c r="H685" s="9" t="n">
        <v>2</v>
      </c>
      <c r="I685" s="10" t="inlineStr">
        <is>
          <t>0/5</t>
        </is>
      </c>
      <c r="J685" s="12" t="n">
        <v>0</v>
      </c>
      <c r="K685" t="inlineStr">
        <is>
          <t>Premium</t>
        </is>
      </c>
      <c r="L685" t="inlineStr">
        <is>
          <t>Professional</t>
        </is>
      </c>
      <c r="M685" t="inlineStr">
        <is>
          <t>Ian Plamondon</t>
        </is>
      </c>
    </row>
    <row r="686">
      <c r="A686" s="9" t="inlineStr">
        <is>
          <t>Gale Hermes</t>
        </is>
      </c>
      <c r="B686" s="9" t="inlineStr">
        <is>
          <t>11/2/25 - 11/29/25</t>
        </is>
      </c>
      <c r="C686" s="12" t="n">
        <v>0.74</v>
      </c>
      <c r="D686" s="12" t="n">
        <v>1.29</v>
      </c>
      <c r="E686" s="12" t="n">
        <v>1</v>
      </c>
      <c r="F686" s="12" t="n">
        <v>0.95</v>
      </c>
      <c r="G686" s="12" t="n">
        <v>0.8100000000000001</v>
      </c>
      <c r="H686" s="9" t="n">
        <v>2</v>
      </c>
      <c r="I686" s="13" t="inlineStr">
        <is>
          <t>0/3</t>
        </is>
      </c>
      <c r="J686" s="12" t="n">
        <v>0</v>
      </c>
      <c r="K686" t="inlineStr">
        <is>
          <t>Premium</t>
        </is>
      </c>
      <c r="L686" t="inlineStr">
        <is>
          <t>Professional</t>
        </is>
      </c>
      <c r="M686" t="inlineStr">
        <is>
          <t>Ian Plamondon</t>
        </is>
      </c>
    </row>
    <row r="687">
      <c r="A687" s="9" t="inlineStr">
        <is>
          <t>Gale Hermes</t>
        </is>
      </c>
      <c r="B687" s="9" t="inlineStr">
        <is>
          <t>11/30/25 - 12/27/25</t>
        </is>
      </c>
      <c r="C687" s="12" t="n">
        <v>0.53</v>
      </c>
      <c r="D687" s="12" t="n">
        <v>0.96</v>
      </c>
      <c r="E687" s="12" t="n">
        <v>0.97</v>
      </c>
      <c r="F687" s="12" t="n">
        <v>0.89</v>
      </c>
      <c r="G687" s="12" t="n">
        <v>0.86</v>
      </c>
      <c r="H687" s="9" t="n">
        <v>3</v>
      </c>
      <c r="I687" s="10" t="inlineStr">
        <is>
          <t>0/1</t>
        </is>
      </c>
      <c r="J687" s="12" t="n">
        <v>0</v>
      </c>
      <c r="K687" t="inlineStr">
        <is>
          <t>Premium</t>
        </is>
      </c>
      <c r="L687" t="inlineStr">
        <is>
          <t>Professional</t>
        </is>
      </c>
      <c r="M687" t="inlineStr">
        <is>
          <t>Ian Plamondon</t>
        </is>
      </c>
    </row>
    <row r="688">
      <c r="A688" s="9" t="inlineStr">
        <is>
          <t>Gale Hermes</t>
        </is>
      </c>
      <c r="B688" s="9" t="inlineStr">
        <is>
          <t>12/28/25 - 1/25/26</t>
        </is>
      </c>
      <c r="C688" s="12" t="n">
        <v>0.525</v>
      </c>
      <c r="D688" s="12" t="n">
        <v>1.2138</v>
      </c>
      <c r="E688" s="12" t="n">
        <v>1</v>
      </c>
      <c r="F688" s="12" t="n">
        <v>0.951219512</v>
      </c>
      <c r="G688" s="12" t="n">
        <v>0.714285714</v>
      </c>
      <c r="H688" s="9" t="n">
        <v>3</v>
      </c>
      <c r="I688" s="10" t="inlineStr">
        <is>
          <t>0/2</t>
        </is>
      </c>
      <c r="J688" s="12" t="n">
        <v>0</v>
      </c>
      <c r="K688" t="inlineStr">
        <is>
          <t>Premium</t>
        </is>
      </c>
      <c r="L688" t="inlineStr">
        <is>
          <t>Professional</t>
        </is>
      </c>
      <c r="M688" t="inlineStr">
        <is>
          <t>Ian Plamondon</t>
        </is>
      </c>
    </row>
    <row r="689">
      <c r="A689" s="9" t="inlineStr">
        <is>
          <t>Gale Hermes</t>
        </is>
      </c>
      <c r="B689" s="9" t="inlineStr">
        <is>
          <t>5/18/25 - 6/14/25</t>
        </is>
      </c>
      <c r="C689" s="12" t="n">
        <v>0.5600000000000001</v>
      </c>
      <c r="D689" s="12" t="n">
        <v>0.95</v>
      </c>
      <c r="E689" s="12" t="n">
        <v>0.99</v>
      </c>
      <c r="F689" s="12" t="n">
        <v>0.93</v>
      </c>
      <c r="G689" s="12" t="n">
        <v>0.78</v>
      </c>
      <c r="H689" s="9" t="e">
        <v>#N/A</v>
      </c>
      <c r="I689" s="10" t="n">
        <v>0</v>
      </c>
      <c r="J689" s="12">
        <f>I689</f>
        <v/>
      </c>
      <c r="K689" t="inlineStr">
        <is>
          <t>Premium</t>
        </is>
      </c>
      <c r="L689" t="inlineStr">
        <is>
          <t>Professional</t>
        </is>
      </c>
      <c r="M689" t="inlineStr">
        <is>
          <t>Ian Plamondon</t>
        </is>
      </c>
    </row>
    <row r="690">
      <c r="A690" s="9" t="inlineStr">
        <is>
          <t>Gale Hermes</t>
        </is>
      </c>
      <c r="B690" s="9" t="inlineStr">
        <is>
          <t>6/15/25 - 7/12/25</t>
        </is>
      </c>
      <c r="C690" s="12" t="n">
        <v>0.41</v>
      </c>
      <c r="D690" s="12" t="n">
        <v>1.15</v>
      </c>
      <c r="E690" s="12" t="n">
        <v>0.98</v>
      </c>
      <c r="F690" s="12" t="n">
        <v>0.89</v>
      </c>
      <c r="G690" s="12" t="n">
        <v>0.8</v>
      </c>
      <c r="H690" s="9" t="n">
        <v>1</v>
      </c>
      <c r="I690" s="10" t="n">
        <v>0</v>
      </c>
      <c r="J690" s="12">
        <f>I690</f>
        <v/>
      </c>
      <c r="K690" t="inlineStr">
        <is>
          <t>Premium</t>
        </is>
      </c>
      <c r="L690" t="inlineStr">
        <is>
          <t>Professional</t>
        </is>
      </c>
      <c r="M690" t="inlineStr">
        <is>
          <t>Ian Plamondon</t>
        </is>
      </c>
    </row>
    <row r="691">
      <c r="A691" s="9" t="inlineStr">
        <is>
          <t>Gale Hermes</t>
        </is>
      </c>
      <c r="B691" s="9" t="inlineStr">
        <is>
          <t>7/13/25 - 8/10/25</t>
        </is>
      </c>
      <c r="C691" s="12" t="n">
        <v>0.23</v>
      </c>
      <c r="D691" s="12" t="n">
        <v>1.12</v>
      </c>
      <c r="E691" s="12" t="n">
        <v>1</v>
      </c>
      <c r="F691" s="12" t="n">
        <v>1</v>
      </c>
      <c r="G691" s="12" t="n">
        <v>0.72</v>
      </c>
      <c r="H691" s="9" t="n">
        <v>1</v>
      </c>
      <c r="J691" s="9" t="n"/>
      <c r="K691" t="inlineStr">
        <is>
          <t>Premium</t>
        </is>
      </c>
      <c r="L691" t="inlineStr">
        <is>
          <t>Professional</t>
        </is>
      </c>
      <c r="M691" t="inlineStr">
        <is>
          <t>Ian Plamondon</t>
        </is>
      </c>
    </row>
    <row r="692">
      <c r="A692" s="9" t="inlineStr">
        <is>
          <t>Gale Hermes</t>
        </is>
      </c>
      <c r="B692" s="9" t="inlineStr">
        <is>
          <t>8/10/25 - 9/6/25</t>
        </is>
      </c>
      <c r="C692" s="12" t="n">
        <v>0.87</v>
      </c>
      <c r="D692" s="12" t="n">
        <v>1.31</v>
      </c>
      <c r="E692" s="12" t="n">
        <v>1</v>
      </c>
      <c r="F692" s="12" t="n">
        <v>1</v>
      </c>
      <c r="G692" s="12" t="n">
        <v>0.57</v>
      </c>
      <c r="H692" s="9" t="n">
        <v>3</v>
      </c>
      <c r="I692" s="10" t="inlineStr">
        <is>
          <t>0/8</t>
        </is>
      </c>
      <c r="J692" s="12" t="n">
        <v>0</v>
      </c>
      <c r="K692" t="inlineStr">
        <is>
          <t>Premium</t>
        </is>
      </c>
      <c r="L692" t="inlineStr">
        <is>
          <t>Professional</t>
        </is>
      </c>
      <c r="M692" t="inlineStr">
        <is>
          <t>Ian Plamondon</t>
        </is>
      </c>
    </row>
    <row r="693">
      <c r="A693" s="9" t="inlineStr">
        <is>
          <t>Gale Hermes</t>
        </is>
      </c>
      <c r="B693" s="9" t="inlineStr">
        <is>
          <t>9/7/25 - 10/4/25</t>
        </is>
      </c>
      <c r="C693" s="12" t="n">
        <v>0.92</v>
      </c>
      <c r="D693" s="12" t="n">
        <v>1.32</v>
      </c>
      <c r="E693" s="12" t="n">
        <v>0.99</v>
      </c>
      <c r="F693" s="12" t="n">
        <v>0.97</v>
      </c>
      <c r="G693" s="12" t="n">
        <v>0.88</v>
      </c>
      <c r="H693" s="9" t="n">
        <v>2</v>
      </c>
      <c r="I693" s="10" t="inlineStr">
        <is>
          <t>0/3</t>
        </is>
      </c>
      <c r="J693" s="12" t="n">
        <v>0</v>
      </c>
      <c r="K693" t="inlineStr">
        <is>
          <t>Premium</t>
        </is>
      </c>
      <c r="L693" t="inlineStr">
        <is>
          <t>Professional</t>
        </is>
      </c>
      <c r="M693" t="inlineStr">
        <is>
          <t>Ian Plamondon</t>
        </is>
      </c>
    </row>
    <row r="694">
      <c r="A694" s="9" t="inlineStr">
        <is>
          <t>Garrett Shields</t>
        </is>
      </c>
      <c r="B694" s="9" t="inlineStr">
        <is>
          <t>9/7/25 - 10/4/25</t>
        </is>
      </c>
      <c r="C694" s="12" t="n">
        <v>0.66</v>
      </c>
      <c r="D694" s="12" t="n">
        <v>1.03</v>
      </c>
      <c r="E694" s="12" t="n">
        <v>0.9399999999999999</v>
      </c>
      <c r="F694" s="12" t="n">
        <v>0.89</v>
      </c>
      <c r="G694" s="12" t="n">
        <v>0</v>
      </c>
      <c r="H694" s="9" t="n">
        <v>2</v>
      </c>
      <c r="I694" s="10" t="inlineStr">
        <is>
          <t>0/6</t>
        </is>
      </c>
      <c r="J694" s="12" t="n">
        <v>0</v>
      </c>
      <c r="K694" t="e">
        <v>#N/A</v>
      </c>
      <c r="L694" t="e">
        <v>#N/A</v>
      </c>
      <c r="M694" t="e">
        <v>#N/A</v>
      </c>
    </row>
    <row r="695">
      <c r="A695" s="9" t="inlineStr">
        <is>
          <t>Geoff St. Marie</t>
        </is>
      </c>
      <c r="B695" s="9" t="inlineStr">
        <is>
          <t>5/18/25 - 6/14/25</t>
        </is>
      </c>
      <c r="C695" s="12" t="n">
        <v>0.32</v>
      </c>
      <c r="D695" s="12" t="n">
        <v>0.8100000000000001</v>
      </c>
      <c r="E695" s="12" t="n">
        <v>1</v>
      </c>
      <c r="F695" s="12" t="n">
        <v>0.92</v>
      </c>
      <c r="G695" s="12" t="n">
        <v>0.5</v>
      </c>
      <c r="H695" s="9" t="e">
        <v>#N/A</v>
      </c>
      <c r="I695" s="10" t="inlineStr">
        <is>
          <t xml:space="preserve"> 1/2</t>
        </is>
      </c>
      <c r="J695" s="12" t="n">
        <v>0.5</v>
      </c>
      <c r="K695" t="e">
        <v>#N/A</v>
      </c>
      <c r="L695" t="e">
        <v>#N/A</v>
      </c>
      <c r="M695" t="e">
        <v>#N/A</v>
      </c>
    </row>
    <row r="696">
      <c r="A696" s="9" t="inlineStr">
        <is>
          <t>Gigi Glover</t>
        </is>
      </c>
      <c r="B696" s="9" t="inlineStr">
        <is>
          <t>10/5/25 - 11/1/25</t>
        </is>
      </c>
      <c r="C696" s="12" t="n">
        <v>0.9738</v>
      </c>
      <c r="D696" s="12" t="n">
        <v>1.2467</v>
      </c>
      <c r="E696" s="12" t="n">
        <v>0.991452991452991</v>
      </c>
      <c r="F696" s="12" t="n">
        <v>0.958904109589041</v>
      </c>
      <c r="G696" s="12" t="n">
        <v>0.727272727272727</v>
      </c>
      <c r="H696" s="9" t="n">
        <v>0</v>
      </c>
      <c r="I696" s="10" t="inlineStr">
        <is>
          <t>0/4</t>
        </is>
      </c>
      <c r="J696" s="12" t="n">
        <v>0</v>
      </c>
      <c r="K696" t="inlineStr">
        <is>
          <t>Distinguished</t>
        </is>
      </c>
      <c r="L696" t="inlineStr">
        <is>
          <t>Professional</t>
        </is>
      </c>
      <c r="M696" t="inlineStr">
        <is>
          <t>Geoff St. Marie</t>
        </is>
      </c>
    </row>
    <row r="697">
      <c r="A697" s="9" t="inlineStr">
        <is>
          <t>Gigi Glover</t>
        </is>
      </c>
      <c r="B697" s="9" t="inlineStr">
        <is>
          <t>11/2/25 - 11/29/25</t>
        </is>
      </c>
      <c r="C697" s="12" t="n">
        <v>0.84</v>
      </c>
      <c r="D697" s="12" t="n">
        <v>1.01</v>
      </c>
      <c r="E697" s="12" t="n">
        <v>0.96</v>
      </c>
      <c r="F697" s="12" t="n">
        <v>0.98</v>
      </c>
      <c r="G697" s="12" t="n">
        <v>0.44</v>
      </c>
      <c r="H697" s="9" t="n">
        <v>2</v>
      </c>
      <c r="I697" s="13" t="n">
        <v>45658</v>
      </c>
      <c r="J697" s="12" t="n">
        <v>1</v>
      </c>
      <c r="K697" t="inlineStr">
        <is>
          <t>Distinguished</t>
        </is>
      </c>
      <c r="L697" t="inlineStr">
        <is>
          <t>Professional</t>
        </is>
      </c>
      <c r="M697" t="inlineStr">
        <is>
          <t>Geoff St. Marie</t>
        </is>
      </c>
    </row>
    <row r="698">
      <c r="A698" s="9" t="inlineStr">
        <is>
          <t>Gigi Glover</t>
        </is>
      </c>
      <c r="B698" s="9" t="inlineStr">
        <is>
          <t>11/30/25 - 12/27/25</t>
        </is>
      </c>
      <c r="C698" s="12" t="n">
        <v>0.5</v>
      </c>
      <c r="D698" s="12" t="n">
        <v>1.07</v>
      </c>
      <c r="E698" s="12" t="n">
        <v>0.96</v>
      </c>
      <c r="F698" s="12" t="n">
        <v>0.97</v>
      </c>
      <c r="G698" s="12" t="n">
        <v>0.85</v>
      </c>
      <c r="H698" s="9" t="n">
        <v>2</v>
      </c>
      <c r="I698" s="10" t="inlineStr">
        <is>
          <t>0/1</t>
        </is>
      </c>
      <c r="J698" s="12" t="n">
        <v>0</v>
      </c>
      <c r="K698" t="inlineStr">
        <is>
          <t>Distinguished</t>
        </is>
      </c>
      <c r="L698" t="inlineStr">
        <is>
          <t>Professional</t>
        </is>
      </c>
      <c r="M698" t="inlineStr">
        <is>
          <t>Geoff St. Marie</t>
        </is>
      </c>
    </row>
    <row r="699">
      <c r="A699" s="9" t="inlineStr">
        <is>
          <t>Gigi Glover</t>
        </is>
      </c>
      <c r="B699" s="9" t="inlineStr">
        <is>
          <t>12/28/25 - 1/25/26</t>
        </is>
      </c>
      <c r="C699" s="12" t="n">
        <v>0.55</v>
      </c>
      <c r="D699" s="12" t="n">
        <v>1.2023</v>
      </c>
      <c r="E699" s="12" t="n">
        <v>0.982758621</v>
      </c>
      <c r="F699" s="12" t="n">
        <v>0.720930233</v>
      </c>
      <c r="G699" s="12" t="n">
        <v>0.714285714</v>
      </c>
      <c r="H699" s="9" t="n">
        <v>0</v>
      </c>
      <c r="I699" s="10" t="n">
        <v>1</v>
      </c>
      <c r="J699" s="12">
        <f>I699</f>
        <v/>
      </c>
      <c r="K699" t="inlineStr">
        <is>
          <t>Distinguished</t>
        </is>
      </c>
      <c r="L699" t="inlineStr">
        <is>
          <t>Professional</t>
        </is>
      </c>
      <c r="M699" t="inlineStr">
        <is>
          <t>Geoff St. Marie</t>
        </is>
      </c>
    </row>
    <row r="700">
      <c r="A700" s="9" t="inlineStr">
        <is>
          <t>Gigi Glover</t>
        </is>
      </c>
      <c r="B700" s="9" t="inlineStr">
        <is>
          <t>5/18/25 - 6/14/25</t>
        </is>
      </c>
      <c r="C700" s="12" t="n">
        <v>0.63</v>
      </c>
      <c r="D700" s="12" t="n">
        <v>1.2</v>
      </c>
      <c r="E700" s="12" t="n">
        <v>0.97</v>
      </c>
      <c r="F700" s="12" t="n">
        <v>0.93</v>
      </c>
      <c r="G700" s="12" t="n">
        <v>0.75</v>
      </c>
      <c r="H700" s="9" t="n">
        <v>1</v>
      </c>
      <c r="I700" s="10" t="n">
        <v>1</v>
      </c>
      <c r="J700" s="12">
        <f>I700</f>
        <v/>
      </c>
      <c r="K700" t="inlineStr">
        <is>
          <t>Distinguished</t>
        </is>
      </c>
      <c r="L700" t="inlineStr">
        <is>
          <t>Professional</t>
        </is>
      </c>
      <c r="M700" t="inlineStr">
        <is>
          <t>Geoff St. Marie</t>
        </is>
      </c>
    </row>
    <row r="701">
      <c r="A701" s="9" t="inlineStr">
        <is>
          <t>Gigi Glover</t>
        </is>
      </c>
      <c r="B701" s="9" t="inlineStr">
        <is>
          <t>6/15/25 - 7/12/25</t>
        </is>
      </c>
      <c r="C701" s="12" t="n">
        <v>0.44</v>
      </c>
      <c r="D701" s="12" t="n">
        <v>1.31</v>
      </c>
      <c r="E701" s="12" t="n">
        <v>1</v>
      </c>
      <c r="F701" s="12" t="n">
        <v>1</v>
      </c>
      <c r="G701" s="12" t="n">
        <v>0.22</v>
      </c>
      <c r="H701" s="9" t="n">
        <v>1</v>
      </c>
      <c r="I701" s="10" t="n">
        <v>1</v>
      </c>
      <c r="J701" s="12">
        <f>I701</f>
        <v/>
      </c>
      <c r="K701" t="inlineStr">
        <is>
          <t>Distinguished</t>
        </is>
      </c>
      <c r="L701" t="inlineStr">
        <is>
          <t>Professional</t>
        </is>
      </c>
      <c r="M701" t="inlineStr">
        <is>
          <t>Geoff St. Marie</t>
        </is>
      </c>
    </row>
    <row r="702">
      <c r="A702" s="9" t="inlineStr">
        <is>
          <t>Gigi Glover</t>
        </is>
      </c>
      <c r="B702" s="9" t="inlineStr">
        <is>
          <t>7/13/25 - 8/10/25</t>
        </is>
      </c>
      <c r="C702" s="12" t="n">
        <v>0.65</v>
      </c>
      <c r="D702" s="12" t="n">
        <v>1.28</v>
      </c>
      <c r="E702" s="12" t="n">
        <v>0.96</v>
      </c>
      <c r="F702" s="12" t="n">
        <v>1</v>
      </c>
      <c r="G702" s="12" t="n">
        <v>0.73</v>
      </c>
      <c r="H702" s="9" t="n">
        <v>3</v>
      </c>
      <c r="I702" s="10" t="n">
        <v>1</v>
      </c>
      <c r="J702" s="12">
        <f>I702</f>
        <v/>
      </c>
      <c r="K702" t="inlineStr">
        <is>
          <t>Distinguished</t>
        </is>
      </c>
      <c r="L702" t="inlineStr">
        <is>
          <t>Professional</t>
        </is>
      </c>
      <c r="M702" t="inlineStr">
        <is>
          <t>Geoff St. Marie</t>
        </is>
      </c>
    </row>
    <row r="703">
      <c r="A703" s="9" t="inlineStr">
        <is>
          <t>Gigi Glover</t>
        </is>
      </c>
      <c r="B703" s="9" t="inlineStr">
        <is>
          <t>8/10/25 - 9/6/25</t>
        </is>
      </c>
      <c r="C703" s="12" t="n">
        <v>0.53</v>
      </c>
      <c r="D703" s="12" t="n">
        <v>1.1</v>
      </c>
      <c r="E703" s="12" t="n">
        <v>1</v>
      </c>
      <c r="F703" s="12" t="n">
        <v>0.95</v>
      </c>
      <c r="G703" s="12" t="n">
        <v>1</v>
      </c>
      <c r="H703" s="9" t="n">
        <v>0</v>
      </c>
      <c r="I703" s="11" t="n"/>
      <c r="J703" s="9" t="n"/>
      <c r="K703" t="inlineStr">
        <is>
          <t>Distinguished</t>
        </is>
      </c>
      <c r="L703" t="inlineStr">
        <is>
          <t>Professional</t>
        </is>
      </c>
      <c r="M703" t="inlineStr">
        <is>
          <t>Geoff St. Marie</t>
        </is>
      </c>
    </row>
    <row r="704">
      <c r="A704" s="9" t="inlineStr">
        <is>
          <t>Gigi Glover</t>
        </is>
      </c>
      <c r="B704" s="9" t="inlineStr">
        <is>
          <t>9/7/25 - 10/4/25</t>
        </is>
      </c>
      <c r="C704" s="12" t="n">
        <v>0.8</v>
      </c>
      <c r="D704" s="12" t="n">
        <v>1.43</v>
      </c>
      <c r="E704" s="12" t="n">
        <v>1</v>
      </c>
      <c r="F704" s="12" t="n">
        <v>0.98</v>
      </c>
      <c r="G704" s="12" t="n">
        <v>0.78</v>
      </c>
      <c r="H704" s="9" t="n">
        <v>1</v>
      </c>
      <c r="I704" s="10" t="inlineStr">
        <is>
          <t>2/2</t>
        </is>
      </c>
      <c r="J704" s="12" t="n">
        <v>1</v>
      </c>
      <c r="K704" t="inlineStr">
        <is>
          <t>Distinguished</t>
        </is>
      </c>
      <c r="L704" t="inlineStr">
        <is>
          <t>Professional</t>
        </is>
      </c>
      <c r="M704" t="inlineStr">
        <is>
          <t>Geoff St. Marie</t>
        </is>
      </c>
    </row>
    <row r="705">
      <c r="A705" s="9" t="inlineStr">
        <is>
          <t>Gillian Ware</t>
        </is>
      </c>
      <c r="B705" s="9" t="inlineStr">
        <is>
          <t>10/5/25 - 11/1/25</t>
        </is>
      </c>
      <c r="C705" s="12" t="n">
        <v>1.3375</v>
      </c>
      <c r="D705" s="12" t="n">
        <v>1.3516</v>
      </c>
      <c r="E705" s="12" t="n">
        <v>1</v>
      </c>
      <c r="F705" s="12" t="n">
        <v>0.98876404494382</v>
      </c>
      <c r="G705" s="12" t="n">
        <v>0.896551724137931</v>
      </c>
      <c r="H705" s="9" t="n">
        <v>16</v>
      </c>
      <c r="I705" s="10" t="inlineStr">
        <is>
          <t>3/9</t>
        </is>
      </c>
      <c r="J705" s="12" t="n">
        <v>0.33</v>
      </c>
      <c r="K705" t="e">
        <v>#N/A</v>
      </c>
      <c r="L705" t="e">
        <v>#N/A</v>
      </c>
      <c r="M705" t="e">
        <v>#N/A</v>
      </c>
    </row>
    <row r="706">
      <c r="A706" s="9" t="inlineStr">
        <is>
          <t>Gillian Ware</t>
        </is>
      </c>
      <c r="B706" s="9" t="inlineStr">
        <is>
          <t>10/5/25 - 11/1/25</t>
        </is>
      </c>
      <c r="C706" s="12" t="n">
        <v>1.3375</v>
      </c>
      <c r="D706" s="12" t="n">
        <v>1.3516</v>
      </c>
      <c r="E706" s="12" t="n">
        <v>1</v>
      </c>
      <c r="F706" s="12" t="n">
        <v>0.98876404494382</v>
      </c>
      <c r="G706" s="12" t="n">
        <v>0.896551724137931</v>
      </c>
      <c r="H706" s="9" t="n">
        <v>16</v>
      </c>
      <c r="I706" s="10" t="inlineStr">
        <is>
          <t>3/9</t>
        </is>
      </c>
      <c r="J706" s="12">
        <f>_xlfn.TEXTBEFORE(I706, "/")/_xlfn.TEXTAFTER(I706,"/")</f>
        <v/>
      </c>
      <c r="K706" t="e">
        <v>#N/A</v>
      </c>
      <c r="L706" t="e">
        <v>#N/A</v>
      </c>
      <c r="M706" t="e">
        <v>#N/A</v>
      </c>
    </row>
    <row r="707">
      <c r="A707" s="9" t="inlineStr">
        <is>
          <t>Gillian Ware</t>
        </is>
      </c>
      <c r="B707" s="9" t="inlineStr">
        <is>
          <t>11/2/25 - 11/29/25</t>
        </is>
      </c>
      <c r="C707" s="12" t="n">
        <v>1.11</v>
      </c>
      <c r="D707" s="12" t="n">
        <v>1</v>
      </c>
      <c r="E707" s="12" t="n">
        <v>0.98</v>
      </c>
      <c r="F707" s="12" t="n">
        <v>1</v>
      </c>
      <c r="G707" s="12" t="n">
        <v>0.86</v>
      </c>
      <c r="H707" s="9" t="n">
        <v>13</v>
      </c>
      <c r="I707" s="13" t="inlineStr">
        <is>
          <t>0/2</t>
        </is>
      </c>
      <c r="J707" s="12" t="n">
        <v>0</v>
      </c>
      <c r="K707" t="e">
        <v>#N/A</v>
      </c>
      <c r="L707" t="e">
        <v>#N/A</v>
      </c>
      <c r="M707" t="e">
        <v>#N/A</v>
      </c>
    </row>
    <row r="708">
      <c r="A708" s="9" t="inlineStr">
        <is>
          <t>Gillian Ware</t>
        </is>
      </c>
      <c r="B708" s="9" t="inlineStr">
        <is>
          <t>11/30/25 - 12/27/25</t>
        </is>
      </c>
      <c r="C708" s="12" t="n">
        <v>0.53</v>
      </c>
      <c r="D708" s="12" t="n">
        <v>0.72</v>
      </c>
      <c r="E708" s="12" t="n">
        <v>1</v>
      </c>
      <c r="F708" s="12" t="n">
        <v>0.72</v>
      </c>
      <c r="G708" s="12" t="n">
        <v>0.76</v>
      </c>
      <c r="H708" s="9" t="n">
        <v>3</v>
      </c>
      <c r="I708" s="10" t="n">
        <v>0.5</v>
      </c>
      <c r="J708" s="12" t="n">
        <v>0.5</v>
      </c>
      <c r="K708" t="e">
        <v>#N/A</v>
      </c>
      <c r="L708" t="e">
        <v>#N/A</v>
      </c>
      <c r="M708" t="e">
        <v>#N/A</v>
      </c>
    </row>
    <row r="709">
      <c r="A709" s="9" t="inlineStr">
        <is>
          <t>Gillian Ware</t>
        </is>
      </c>
      <c r="B709" s="9" t="inlineStr">
        <is>
          <t>12/28/25 - 1/25/26</t>
        </is>
      </c>
      <c r="C709" s="12" t="n">
        <v>0.7875</v>
      </c>
      <c r="D709" s="12" t="n">
        <v>0.9323</v>
      </c>
      <c r="E709" s="12" t="n">
        <v>1</v>
      </c>
      <c r="F709" s="12" t="n">
        <v>0.905660377</v>
      </c>
      <c r="G709" s="12" t="n">
        <v>0.8125</v>
      </c>
      <c r="H709" s="9" t="n">
        <v>17</v>
      </c>
      <c r="I709" s="10" t="inlineStr">
        <is>
          <t>0/4</t>
        </is>
      </c>
      <c r="J709" s="12" t="n">
        <v>0</v>
      </c>
      <c r="K709" t="e">
        <v>#N/A</v>
      </c>
      <c r="L709" t="e">
        <v>#N/A</v>
      </c>
      <c r="M709" t="e">
        <v>#N/A</v>
      </c>
    </row>
    <row r="710">
      <c r="A710" s="9" t="inlineStr">
        <is>
          <t>Gillian Ware</t>
        </is>
      </c>
      <c r="B710" s="9" t="inlineStr">
        <is>
          <t>5/18/25 - 6/14/25</t>
        </is>
      </c>
      <c r="C710" s="12" t="n">
        <v>0.6899999999999999</v>
      </c>
      <c r="D710" s="12" t="n">
        <v>1.07</v>
      </c>
      <c r="E710" s="12" t="n">
        <v>1</v>
      </c>
      <c r="F710" s="12" t="n">
        <v>0.6899999999999999</v>
      </c>
      <c r="G710" s="12" t="n">
        <v>0.95</v>
      </c>
      <c r="H710" s="9" t="n">
        <v>16</v>
      </c>
      <c r="I710" s="10" t="inlineStr">
        <is>
          <t xml:space="preserve"> 1/7</t>
        </is>
      </c>
      <c r="J710" s="12" t="n">
        <v>0.14</v>
      </c>
      <c r="K710" t="e">
        <v>#N/A</v>
      </c>
      <c r="L710" t="e">
        <v>#N/A</v>
      </c>
      <c r="M710" t="e">
        <v>#N/A</v>
      </c>
    </row>
    <row r="711">
      <c r="A711" s="9" t="inlineStr">
        <is>
          <t>Gillian Ware</t>
        </is>
      </c>
      <c r="B711" s="9" t="inlineStr">
        <is>
          <t>6/15/25 - 7/12/25</t>
        </is>
      </c>
      <c r="C711" s="12" t="n">
        <v>0.66</v>
      </c>
      <c r="D711" s="12" t="n">
        <v>0.96</v>
      </c>
      <c r="E711" s="12" t="n">
        <v>0.99</v>
      </c>
      <c r="F711" s="12" t="n">
        <v>1</v>
      </c>
      <c r="G711" s="12" t="n">
        <v>0.77</v>
      </c>
      <c r="H711" s="9" t="n">
        <v>6</v>
      </c>
      <c r="I711" s="10" t="inlineStr">
        <is>
          <t xml:space="preserve"> 3/5</t>
        </is>
      </c>
      <c r="J711" s="12" t="n">
        <v>0.6</v>
      </c>
      <c r="K711" t="e">
        <v>#N/A</v>
      </c>
      <c r="L711" t="e">
        <v>#N/A</v>
      </c>
      <c r="M711" t="e">
        <v>#N/A</v>
      </c>
    </row>
    <row r="712">
      <c r="A712" s="9" t="inlineStr">
        <is>
          <t>Gillian Ware</t>
        </is>
      </c>
      <c r="B712" s="9" t="inlineStr">
        <is>
          <t>7/13/25 - 8/10/25</t>
        </is>
      </c>
      <c r="C712" s="12" t="n">
        <v>0.88</v>
      </c>
      <c r="D712" s="12" t="n">
        <v>1.05</v>
      </c>
      <c r="E712" s="12" t="n">
        <v>1</v>
      </c>
      <c r="F712" s="12" t="n">
        <v>0.98</v>
      </c>
      <c r="G712" s="12" t="n">
        <v>0.89</v>
      </c>
      <c r="H712" s="9" t="n">
        <v>14</v>
      </c>
      <c r="I712" s="10" t="inlineStr">
        <is>
          <t xml:space="preserve"> 4/9</t>
        </is>
      </c>
      <c r="J712" s="12" t="n">
        <v>0.44</v>
      </c>
      <c r="K712" t="e">
        <v>#N/A</v>
      </c>
      <c r="L712" t="e">
        <v>#N/A</v>
      </c>
      <c r="M712" t="e">
        <v>#N/A</v>
      </c>
    </row>
    <row r="713">
      <c r="A713" s="9" t="inlineStr">
        <is>
          <t>Gillian Ware</t>
        </is>
      </c>
      <c r="B713" s="9" t="inlineStr">
        <is>
          <t>8/10/25 - 9/6/25</t>
        </is>
      </c>
      <c r="C713" s="12" t="n">
        <v>0.86</v>
      </c>
      <c r="D713" s="12" t="n">
        <v>0.97</v>
      </c>
      <c r="E713" s="12" t="n">
        <v>0.99</v>
      </c>
      <c r="F713" s="12" t="n">
        <v>0.98</v>
      </c>
      <c r="G713" s="12" t="n">
        <v>0.9</v>
      </c>
      <c r="H713" s="9" t="n">
        <v>13</v>
      </c>
      <c r="I713" s="10" t="inlineStr">
        <is>
          <t>0/3</t>
        </is>
      </c>
      <c r="J713" s="12" t="n">
        <v>0</v>
      </c>
      <c r="K713" t="e">
        <v>#N/A</v>
      </c>
      <c r="L713" t="e">
        <v>#N/A</v>
      </c>
      <c r="M713" t="e">
        <v>#N/A</v>
      </c>
    </row>
    <row r="714">
      <c r="A714" s="9" t="inlineStr">
        <is>
          <t>Gillian Ware</t>
        </is>
      </c>
      <c r="B714" s="9" t="inlineStr">
        <is>
          <t>9/7/25 - 10/4/25</t>
        </is>
      </c>
      <c r="C714" s="12" t="n">
        <v>0.9399999999999999</v>
      </c>
      <c r="D714" s="12" t="n">
        <v>0.96</v>
      </c>
      <c r="E714" s="12" t="n">
        <v>1</v>
      </c>
      <c r="F714" s="12" t="n">
        <v>0.98</v>
      </c>
      <c r="G714" s="12" t="n">
        <v>0.96</v>
      </c>
      <c r="H714" s="9" t="n">
        <v>13</v>
      </c>
      <c r="I714" s="10" t="inlineStr">
        <is>
          <t>0/3</t>
        </is>
      </c>
      <c r="J714" s="12" t="n">
        <v>0</v>
      </c>
      <c r="K714" t="e">
        <v>#N/A</v>
      </c>
      <c r="L714" t="e">
        <v>#N/A</v>
      </c>
      <c r="M714" t="e">
        <v>#N/A</v>
      </c>
    </row>
    <row r="715">
      <c r="A715" s="9" t="inlineStr">
        <is>
          <t>Grace Yoo</t>
        </is>
      </c>
      <c r="B715" s="9" t="inlineStr">
        <is>
          <t>5/18/25 - 6/14/25</t>
        </is>
      </c>
      <c r="C715" s="12" t="n">
        <v>0.76</v>
      </c>
      <c r="D715" s="12" t="n">
        <v>0.85</v>
      </c>
      <c r="E715" s="12" t="n">
        <v>1</v>
      </c>
      <c r="F715" s="12" t="n">
        <v>0.9399999999999999</v>
      </c>
      <c r="G715" s="12" t="n">
        <v>0.67</v>
      </c>
      <c r="H715" s="9" t="n">
        <v>10</v>
      </c>
      <c r="J715" s="9" t="n"/>
      <c r="K715" t="e">
        <v>#N/A</v>
      </c>
      <c r="L715" t="e">
        <v>#N/A</v>
      </c>
      <c r="M715" t="e">
        <v>#N/A</v>
      </c>
    </row>
    <row r="716">
      <c r="A716" s="9" t="inlineStr">
        <is>
          <t>Grace Yoo</t>
        </is>
      </c>
      <c r="B716" s="9" t="inlineStr">
        <is>
          <t>6/15/25 - 7/12/25</t>
        </is>
      </c>
      <c r="C716" s="12" t="n">
        <v>0.55</v>
      </c>
      <c r="D716" s="12" t="n">
        <v>0.74</v>
      </c>
      <c r="E716" s="12" t="n">
        <v>1</v>
      </c>
      <c r="F716" s="12" t="n">
        <v>0.93</v>
      </c>
      <c r="G716" s="12" t="n">
        <v>0.55</v>
      </c>
      <c r="H716" s="9" t="n">
        <v>8</v>
      </c>
      <c r="I716" s="10" t="inlineStr">
        <is>
          <t xml:space="preserve"> 5/6</t>
        </is>
      </c>
      <c r="J716" s="12" t="n">
        <v>0.83</v>
      </c>
      <c r="K716" t="e">
        <v>#N/A</v>
      </c>
      <c r="L716" t="e">
        <v>#N/A</v>
      </c>
      <c r="M716" t="e">
        <v>#N/A</v>
      </c>
    </row>
    <row r="717">
      <c r="A717" s="9" t="inlineStr">
        <is>
          <t>Greg Carroll</t>
        </is>
      </c>
      <c r="B717" s="9" t="inlineStr">
        <is>
          <t>10/5/25 - 11/1/25</t>
        </is>
      </c>
      <c r="C717" s="12" t="n">
        <v>1.0914</v>
      </c>
      <c r="D717" s="12" t="n">
        <v>0.9342</v>
      </c>
      <c r="E717" s="12" t="n">
        <v>0.754237288135593</v>
      </c>
      <c r="F717" s="12" t="n">
        <v>0.510416666666666</v>
      </c>
      <c r="G717" s="12" t="n">
        <v>0.384615384615384</v>
      </c>
      <c r="H717" s="9" t="n">
        <v>9</v>
      </c>
      <c r="I717" s="10" t="inlineStr">
        <is>
          <t>1/2</t>
        </is>
      </c>
      <c r="J717" s="12" t="n">
        <v>0.5</v>
      </c>
      <c r="K717" t="e">
        <v>#N/A</v>
      </c>
      <c r="L717" t="e">
        <v>#N/A</v>
      </c>
      <c r="M717" t="e">
        <v>#N/A</v>
      </c>
    </row>
    <row r="718">
      <c r="A718" s="9" t="inlineStr">
        <is>
          <t>Greg Carroll</t>
        </is>
      </c>
      <c r="B718" s="9" t="inlineStr">
        <is>
          <t>5/18/25 - 6/14/25</t>
        </is>
      </c>
      <c r="C718" s="12" t="n">
        <v>0.38</v>
      </c>
      <c r="D718" s="12" t="n">
        <v>0.96</v>
      </c>
      <c r="E718" s="12" t="n">
        <v>1</v>
      </c>
      <c r="F718" s="12" t="n">
        <v>0.93</v>
      </c>
      <c r="G718" s="12" t="n">
        <v>0.82</v>
      </c>
      <c r="H718" s="9" t="n">
        <v>1</v>
      </c>
      <c r="I718" s="10" t="inlineStr">
        <is>
          <t xml:space="preserve"> 4/9</t>
        </is>
      </c>
      <c r="J718" s="12" t="n">
        <v>0.44</v>
      </c>
      <c r="K718" t="e">
        <v>#N/A</v>
      </c>
      <c r="L718" t="e">
        <v>#N/A</v>
      </c>
      <c r="M718" t="e">
        <v>#N/A</v>
      </c>
    </row>
    <row r="719">
      <c r="A719" s="9" t="inlineStr">
        <is>
          <t>Greg Carroll</t>
        </is>
      </c>
      <c r="B719" s="9" t="inlineStr">
        <is>
          <t>6/15/25 - 7/12/25</t>
        </is>
      </c>
      <c r="C719" s="12" t="n">
        <v>0.49</v>
      </c>
      <c r="D719" s="12" t="n">
        <v>1.12</v>
      </c>
      <c r="E719" s="12" t="n">
        <v>0.86</v>
      </c>
      <c r="F719" s="12" t="n">
        <v>0.78</v>
      </c>
      <c r="G719" s="12" t="n">
        <v>0.68</v>
      </c>
      <c r="H719" s="9" t="n">
        <v>1</v>
      </c>
      <c r="I719" s="10" t="inlineStr">
        <is>
          <t xml:space="preserve"> 2/3</t>
        </is>
      </c>
      <c r="J719" s="12" t="n">
        <v>0.67</v>
      </c>
      <c r="K719" t="e">
        <v>#N/A</v>
      </c>
      <c r="L719" t="e">
        <v>#N/A</v>
      </c>
      <c r="M719" t="e">
        <v>#N/A</v>
      </c>
    </row>
    <row r="720">
      <c r="A720" s="9" t="inlineStr">
        <is>
          <t>Greg Carroll</t>
        </is>
      </c>
      <c r="B720" s="9" t="inlineStr">
        <is>
          <t>7/13/25 - 8/10/25</t>
        </is>
      </c>
      <c r="C720" s="12" t="n">
        <v>1.13</v>
      </c>
      <c r="D720" s="12" t="n">
        <v>1.24</v>
      </c>
      <c r="E720" s="12" t="n">
        <v>0.79</v>
      </c>
      <c r="F720" s="12" t="n">
        <v>1</v>
      </c>
      <c r="G720" s="12" t="n">
        <v>0.71</v>
      </c>
      <c r="H720" s="9" t="n">
        <v>5</v>
      </c>
      <c r="I720" s="10" t="inlineStr">
        <is>
          <t xml:space="preserve"> 1/2</t>
        </is>
      </c>
      <c r="J720" s="12" t="n">
        <v>0.5</v>
      </c>
      <c r="K720" t="e">
        <v>#N/A</v>
      </c>
      <c r="L720" t="e">
        <v>#N/A</v>
      </c>
      <c r="M720" t="e">
        <v>#N/A</v>
      </c>
    </row>
    <row r="721">
      <c r="A721" s="9" t="inlineStr">
        <is>
          <t>Greg Carroll</t>
        </is>
      </c>
      <c r="B721" s="9" t="inlineStr">
        <is>
          <t>8/10/25 - 9/6/25</t>
        </is>
      </c>
      <c r="C721" s="12" t="n">
        <v>1.08</v>
      </c>
      <c r="D721" s="12" t="n">
        <v>1.11</v>
      </c>
      <c r="E721" s="12" t="n">
        <v>0.9</v>
      </c>
      <c r="F721" s="12" t="n">
        <v>0.96</v>
      </c>
      <c r="G721" s="12" t="n">
        <v>0.9399999999999999</v>
      </c>
      <c r="H721" s="9" t="n">
        <v>9</v>
      </c>
      <c r="I721" s="10" t="inlineStr">
        <is>
          <t>4/5</t>
        </is>
      </c>
      <c r="J721" s="12" t="n">
        <v>0.8</v>
      </c>
      <c r="K721" t="e">
        <v>#N/A</v>
      </c>
      <c r="L721" t="e">
        <v>#N/A</v>
      </c>
      <c r="M721" t="e">
        <v>#N/A</v>
      </c>
    </row>
    <row r="722">
      <c r="A722" s="9" t="inlineStr">
        <is>
          <t>Greg Carroll</t>
        </is>
      </c>
      <c r="B722" s="9" t="inlineStr">
        <is>
          <t>9/7/25 - 10/4/25</t>
        </is>
      </c>
      <c r="C722" s="12" t="n">
        <v>1.01</v>
      </c>
      <c r="D722" s="12" t="n">
        <v>1.05</v>
      </c>
      <c r="E722" s="12" t="n">
        <v>0.82</v>
      </c>
      <c r="F722" s="12" t="n">
        <v>0.7</v>
      </c>
      <c r="G722" s="12" t="n">
        <v>0.62</v>
      </c>
      <c r="H722" s="9" t="n">
        <v>5</v>
      </c>
      <c r="I722" s="10" t="inlineStr">
        <is>
          <t>2/3</t>
        </is>
      </c>
      <c r="J722" s="12" t="n">
        <v>0.66</v>
      </c>
      <c r="K722" t="e">
        <v>#N/A</v>
      </c>
      <c r="L722" t="e">
        <v>#N/A</v>
      </c>
      <c r="M722" t="e">
        <v>#N/A</v>
      </c>
    </row>
    <row r="723">
      <c r="A723" s="9" t="inlineStr">
        <is>
          <t>Grigori Martirosyan</t>
        </is>
      </c>
      <c r="B723" s="9" t="inlineStr">
        <is>
          <t>10/5/25 - 11/1/25</t>
        </is>
      </c>
      <c r="C723" s="12" t="n">
        <v>0</v>
      </c>
      <c r="D723" s="12" t="n">
        <v>0</v>
      </c>
      <c r="E723" s="12" t="n">
        <v>0</v>
      </c>
      <c r="F723" s="12" t="n">
        <v>0</v>
      </c>
      <c r="G723" s="12" t="n">
        <v>0</v>
      </c>
      <c r="H723" s="9" t="n">
        <v>0</v>
      </c>
      <c r="I723" s="10" t="n"/>
      <c r="J723" s="12" t="n"/>
      <c r="K723" t="e">
        <v>#N/A</v>
      </c>
      <c r="L723" t="e">
        <v>#N/A</v>
      </c>
      <c r="M723" t="e">
        <v>#N/A</v>
      </c>
    </row>
    <row r="724">
      <c r="A724" s="9" t="inlineStr">
        <is>
          <t>Grigori Martirosyan</t>
        </is>
      </c>
      <c r="B724" s="9" t="inlineStr">
        <is>
          <t>10/5/25 - 11/1/25</t>
        </is>
      </c>
      <c r="C724" s="12" t="n">
        <v>0</v>
      </c>
      <c r="D724" s="12" t="n">
        <v>0</v>
      </c>
      <c r="E724" s="12" t="n">
        <v>0</v>
      </c>
      <c r="F724" s="12" t="n">
        <v>0</v>
      </c>
      <c r="G724" s="12" t="n">
        <v>0</v>
      </c>
      <c r="H724" s="9" t="n">
        <v>0</v>
      </c>
      <c r="J724" s="9" t="n"/>
      <c r="K724" t="e">
        <v>#N/A</v>
      </c>
      <c r="L724" t="e">
        <v>#N/A</v>
      </c>
      <c r="M724" t="e">
        <v>#N/A</v>
      </c>
    </row>
    <row r="725">
      <c r="A725" s="9" t="inlineStr">
        <is>
          <t>Grigori Martirosyan</t>
        </is>
      </c>
      <c r="B725" s="9" t="inlineStr">
        <is>
          <t>11/2/25 - 11/29/25</t>
        </is>
      </c>
      <c r="C725" s="12" t="n">
        <v>0.13</v>
      </c>
      <c r="D725" s="12" t="n">
        <v>0.84</v>
      </c>
      <c r="E725" s="12" t="n">
        <v>1</v>
      </c>
      <c r="F725" s="12" t="n">
        <v>0.5</v>
      </c>
      <c r="G725" s="12" t="n">
        <v>0</v>
      </c>
      <c r="H725" s="9" t="n">
        <v>0</v>
      </c>
      <c r="I725" s="13" t="inlineStr">
        <is>
          <t>0/1</t>
        </is>
      </c>
      <c r="J725" s="12" t="n">
        <v>0</v>
      </c>
      <c r="K725" t="e">
        <v>#N/A</v>
      </c>
      <c r="L725" t="e">
        <v>#N/A</v>
      </c>
      <c r="M725" t="e">
        <v>#N/A</v>
      </c>
    </row>
    <row r="726">
      <c r="A726" s="9" t="inlineStr">
        <is>
          <t>Hailey Caudill</t>
        </is>
      </c>
      <c r="B726" s="9" t="inlineStr">
        <is>
          <t>10/5/25 - 11/1/25</t>
        </is>
      </c>
      <c r="C726" s="12" t="n">
        <v>0.6354</v>
      </c>
      <c r="D726" s="12" t="n">
        <v>1.1758</v>
      </c>
      <c r="E726" s="12" t="n">
        <v>1</v>
      </c>
      <c r="F726" s="12" t="n">
        <v>1</v>
      </c>
      <c r="G726" s="12" t="n">
        <v>1</v>
      </c>
      <c r="H726" s="9" t="n">
        <v>1</v>
      </c>
      <c r="I726" s="10" t="inlineStr">
        <is>
          <t>1/1</t>
        </is>
      </c>
      <c r="J726" s="12" t="n">
        <v>1</v>
      </c>
      <c r="K726" t="e">
        <v>#N/A</v>
      </c>
      <c r="L726" t="e">
        <v>#N/A</v>
      </c>
      <c r="M726" t="e">
        <v>#N/A</v>
      </c>
    </row>
    <row r="727">
      <c r="A727" s="9" t="inlineStr">
        <is>
          <t>Hailey Caudill</t>
        </is>
      </c>
      <c r="B727" s="9" t="inlineStr">
        <is>
          <t>11/2/25 - 11/29/25</t>
        </is>
      </c>
      <c r="C727" s="12" t="n">
        <v>0.5</v>
      </c>
      <c r="D727" s="12" t="n">
        <v>1.03</v>
      </c>
      <c r="E727" s="12" t="n">
        <v>1</v>
      </c>
      <c r="F727" s="12" t="n">
        <v>1</v>
      </c>
      <c r="G727" s="12" t="n">
        <v>1</v>
      </c>
      <c r="H727" s="9" t="n">
        <v>1</v>
      </c>
      <c r="I727" s="13" t="n"/>
      <c r="J727" s="9" t="n"/>
      <c r="K727" t="e">
        <v>#N/A</v>
      </c>
      <c r="L727" t="e">
        <v>#N/A</v>
      </c>
      <c r="M727" t="e">
        <v>#N/A</v>
      </c>
    </row>
    <row r="728">
      <c r="A728" s="9" t="inlineStr">
        <is>
          <t>Hailey Caudill</t>
        </is>
      </c>
      <c r="B728" s="9" t="inlineStr">
        <is>
          <t>5/18/25 - 6/14/25</t>
        </is>
      </c>
      <c r="C728" s="12" t="n">
        <v>0.52</v>
      </c>
      <c r="D728" s="12" t="n">
        <v>1.2</v>
      </c>
      <c r="E728" s="12" t="n">
        <v>1</v>
      </c>
      <c r="F728" s="12" t="n">
        <v>1</v>
      </c>
      <c r="G728" s="12" t="n">
        <v>1</v>
      </c>
      <c r="H728" s="9" t="n">
        <v>1</v>
      </c>
      <c r="I728" s="10" t="n">
        <v>1</v>
      </c>
      <c r="J728" s="12">
        <f>I728</f>
        <v/>
      </c>
      <c r="K728" t="e">
        <v>#N/A</v>
      </c>
      <c r="L728" t="e">
        <v>#N/A</v>
      </c>
      <c r="M728" t="e">
        <v>#N/A</v>
      </c>
    </row>
    <row r="729">
      <c r="A729" s="9" t="inlineStr">
        <is>
          <t>Hailey Caudill</t>
        </is>
      </c>
      <c r="B729" s="9" t="inlineStr">
        <is>
          <t>6/15/25 - 7/12/25</t>
        </is>
      </c>
      <c r="C729" s="12" t="n">
        <v>0.44</v>
      </c>
      <c r="D729" s="12" t="n">
        <v>0.92</v>
      </c>
      <c r="E729" s="12" t="n">
        <v>1</v>
      </c>
      <c r="F729" s="12" t="n">
        <v>0.97</v>
      </c>
      <c r="G729" s="12" t="n">
        <v>1</v>
      </c>
      <c r="H729" s="9" t="n">
        <v>3</v>
      </c>
      <c r="I729" s="10" t="n">
        <v>1</v>
      </c>
      <c r="J729" s="12">
        <f>I729</f>
        <v/>
      </c>
      <c r="K729" t="e">
        <v>#N/A</v>
      </c>
      <c r="L729" t="e">
        <v>#N/A</v>
      </c>
      <c r="M729" t="e">
        <v>#N/A</v>
      </c>
    </row>
    <row r="730">
      <c r="A730" s="9" t="inlineStr">
        <is>
          <t>Hailey Caudill</t>
        </is>
      </c>
      <c r="B730" s="9" t="inlineStr">
        <is>
          <t>7/13/25 - 8/10/25</t>
        </is>
      </c>
      <c r="C730" s="12" t="n">
        <v>1.32</v>
      </c>
      <c r="D730" s="12" t="n">
        <v>2.48</v>
      </c>
      <c r="E730" s="12" t="n">
        <v>1</v>
      </c>
      <c r="F730" s="12" t="n">
        <v>1</v>
      </c>
      <c r="G730" s="12" t="n">
        <v>0.9399999999999999</v>
      </c>
      <c r="H730" s="9" t="n">
        <v>1</v>
      </c>
      <c r="I730" s="10" t="n">
        <v>1</v>
      </c>
      <c r="J730" s="12">
        <f>I730</f>
        <v/>
      </c>
      <c r="K730" t="e">
        <v>#N/A</v>
      </c>
      <c r="L730" t="e">
        <v>#N/A</v>
      </c>
      <c r="M730" t="e">
        <v>#N/A</v>
      </c>
    </row>
    <row r="731">
      <c r="A731" s="9" t="inlineStr">
        <is>
          <t>Hailey Caudill</t>
        </is>
      </c>
      <c r="B731" s="9" t="inlineStr">
        <is>
          <t>8/10/25 - 9/6/25</t>
        </is>
      </c>
      <c r="C731" s="12" t="n">
        <v>1.5</v>
      </c>
      <c r="D731" s="12" t="n">
        <v>1.58</v>
      </c>
      <c r="E731" s="12" t="n">
        <v>1</v>
      </c>
      <c r="F731" s="12" t="n">
        <v>1</v>
      </c>
      <c r="G731" s="12" t="n">
        <v>0.9399999999999999</v>
      </c>
      <c r="H731" s="9" t="n">
        <v>2</v>
      </c>
      <c r="I731" s="11" t="n"/>
      <c r="J731" s="9" t="n"/>
      <c r="K731" t="e">
        <v>#N/A</v>
      </c>
      <c r="L731" t="e">
        <v>#N/A</v>
      </c>
      <c r="M731" t="e">
        <v>#N/A</v>
      </c>
    </row>
    <row r="732">
      <c r="A732" s="9" t="inlineStr">
        <is>
          <t>Hailey Caudill</t>
        </is>
      </c>
      <c r="B732" s="9" t="inlineStr">
        <is>
          <t>9/7/25 - 10/4/25</t>
        </is>
      </c>
      <c r="C732" s="12" t="n">
        <v>0.71</v>
      </c>
      <c r="D732" s="12" t="n">
        <v>1.12</v>
      </c>
      <c r="E732" s="12" t="n">
        <v>1</v>
      </c>
      <c r="F732" s="12" t="n">
        <v>1</v>
      </c>
      <c r="G732" s="12" t="n">
        <v>1</v>
      </c>
      <c r="H732" s="9" t="n">
        <v>0</v>
      </c>
      <c r="I732" s="11" t="n"/>
      <c r="J732" s="9" t="n"/>
      <c r="K732" t="e">
        <v>#N/A</v>
      </c>
      <c r="L732" t="e">
        <v>#N/A</v>
      </c>
      <c r="M732" t="e">
        <v>#N/A</v>
      </c>
    </row>
    <row r="733">
      <c r="A733" s="9" t="inlineStr">
        <is>
          <t>Hannah Duliere</t>
        </is>
      </c>
      <c r="B733" s="9" t="inlineStr">
        <is>
          <t>10/5/25 - 11/1/25</t>
        </is>
      </c>
      <c r="C733" s="12" t="n">
        <v>1.0519</v>
      </c>
      <c r="D733" s="12" t="n">
        <v>1.4474</v>
      </c>
      <c r="E733" s="12" t="n">
        <v>1</v>
      </c>
      <c r="F733" s="12" t="n">
        <v>0.986301369863013</v>
      </c>
      <c r="G733" s="12" t="n">
        <v>0.785714285714285</v>
      </c>
      <c r="H733" s="9" t="n">
        <v>6</v>
      </c>
      <c r="I733" s="10" t="n"/>
      <c r="J733" s="12" t="n"/>
      <c r="K733" t="e">
        <v>#N/A</v>
      </c>
      <c r="L733" t="e">
        <v>#N/A</v>
      </c>
      <c r="M733" t="e">
        <v>#N/A</v>
      </c>
    </row>
    <row r="734">
      <c r="A734" s="9" t="inlineStr">
        <is>
          <t>Hannah Duliere</t>
        </is>
      </c>
      <c r="B734" s="9" t="inlineStr">
        <is>
          <t>10/5/25 - 11/1/25</t>
        </is>
      </c>
      <c r="C734" s="12" t="n">
        <v>1.0519</v>
      </c>
      <c r="D734" s="12" t="n">
        <v>1.4474</v>
      </c>
      <c r="E734" s="12" t="n">
        <v>1</v>
      </c>
      <c r="F734" s="12" t="n">
        <v>0.986301369863013</v>
      </c>
      <c r="G734" s="12" t="n">
        <v>0.785714285714285</v>
      </c>
      <c r="H734" s="9" t="n">
        <v>6</v>
      </c>
      <c r="J734" s="9" t="n"/>
      <c r="K734" t="e">
        <v>#N/A</v>
      </c>
      <c r="L734" t="e">
        <v>#N/A</v>
      </c>
      <c r="M734" t="e">
        <v>#N/A</v>
      </c>
    </row>
    <row r="735">
      <c r="A735" s="9" t="inlineStr">
        <is>
          <t>Hannah Duliere</t>
        </is>
      </c>
      <c r="B735" s="9" t="inlineStr">
        <is>
          <t>11/2/25 - 11/29/25</t>
        </is>
      </c>
      <c r="C735" s="12" t="n">
        <v>0.95</v>
      </c>
      <c r="D735" s="12" t="n">
        <v>1.28</v>
      </c>
      <c r="E735" s="12" t="n">
        <v>0.99</v>
      </c>
      <c r="F735" s="12" t="n">
        <v>0.95</v>
      </c>
      <c r="G735" s="12" t="n">
        <v>0.8100000000000001</v>
      </c>
      <c r="H735" s="9" t="n">
        <v>4</v>
      </c>
      <c r="I735" s="13" t="n"/>
      <c r="J735" s="9" t="n"/>
      <c r="K735" t="e">
        <v>#N/A</v>
      </c>
      <c r="L735" t="e">
        <v>#N/A</v>
      </c>
      <c r="M735" t="e">
        <v>#N/A</v>
      </c>
    </row>
    <row r="736">
      <c r="A736" s="9" t="inlineStr">
        <is>
          <t>Hannah Duliere</t>
        </is>
      </c>
      <c r="B736" s="9" t="inlineStr">
        <is>
          <t>11/30/25 - 12/27/25</t>
        </is>
      </c>
      <c r="C736" s="12" t="n">
        <v>0.6899999999999999</v>
      </c>
      <c r="D736" s="12" t="n">
        <v>1.54</v>
      </c>
      <c r="E736" s="12" t="n">
        <v>1</v>
      </c>
      <c r="F736" s="12" t="n">
        <v>0.95</v>
      </c>
      <c r="G736" s="12" t="n">
        <v>0.92</v>
      </c>
      <c r="H736" s="9" t="n">
        <v>3</v>
      </c>
      <c r="I736" s="10" t="inlineStr">
        <is>
          <t>0/1</t>
        </is>
      </c>
      <c r="J736" s="12" t="n">
        <v>0</v>
      </c>
      <c r="K736" t="e">
        <v>#N/A</v>
      </c>
      <c r="L736" t="e">
        <v>#N/A</v>
      </c>
      <c r="M736" t="e">
        <v>#N/A</v>
      </c>
    </row>
    <row r="737">
      <c r="A737" s="9" t="inlineStr">
        <is>
          <t>Hannah Duliere</t>
        </is>
      </c>
      <c r="B737" s="9" t="inlineStr">
        <is>
          <t>12/28/25 - 1/25/26</t>
        </is>
      </c>
      <c r="C737" s="12" t="n">
        <v>0.6</v>
      </c>
      <c r="D737" s="12" t="n">
        <v>1.4243</v>
      </c>
      <c r="E737" s="12" t="n">
        <v>1</v>
      </c>
      <c r="F737" s="12" t="n">
        <v>0.869565217</v>
      </c>
      <c r="G737" s="12" t="n">
        <v>0.888888889</v>
      </c>
      <c r="H737" s="9" t="n">
        <v>0</v>
      </c>
      <c r="I737" s="10" t="n">
        <v>1</v>
      </c>
      <c r="J737" s="12">
        <f>I737</f>
        <v/>
      </c>
      <c r="K737" t="e">
        <v>#N/A</v>
      </c>
      <c r="L737" t="e">
        <v>#N/A</v>
      </c>
      <c r="M737" t="e">
        <v>#N/A</v>
      </c>
    </row>
    <row r="738">
      <c r="A738" s="9" t="inlineStr">
        <is>
          <t>Hannah Duliere</t>
        </is>
      </c>
      <c r="B738" s="9" t="inlineStr">
        <is>
          <t>5/18/25 - 6/14/25</t>
        </is>
      </c>
      <c r="C738" s="12" t="n">
        <v>0.77</v>
      </c>
      <c r="D738" s="12" t="n">
        <v>1.5</v>
      </c>
      <c r="E738" s="12" t="n">
        <v>0.95</v>
      </c>
      <c r="F738" s="12" t="n">
        <v>1</v>
      </c>
      <c r="G738" s="12" t="n">
        <v>0.6</v>
      </c>
      <c r="H738" s="9" t="e">
        <v>#N/A</v>
      </c>
      <c r="I738" s="10" t="inlineStr">
        <is>
          <t xml:space="preserve"> 2/5</t>
        </is>
      </c>
      <c r="J738" s="12" t="n">
        <v>0.4</v>
      </c>
      <c r="K738" t="e">
        <v>#N/A</v>
      </c>
      <c r="L738" t="e">
        <v>#N/A</v>
      </c>
      <c r="M738" t="e">
        <v>#N/A</v>
      </c>
    </row>
    <row r="739">
      <c r="A739" s="9" t="inlineStr">
        <is>
          <t>Hannah Duliere</t>
        </is>
      </c>
      <c r="B739" s="9" t="inlineStr">
        <is>
          <t>6/15/25 - 7/12/25</t>
        </is>
      </c>
      <c r="C739" s="12" t="n">
        <v>0.57</v>
      </c>
      <c r="D739" s="12" t="n">
        <v>1.53</v>
      </c>
      <c r="E739" s="12" t="n">
        <v>1</v>
      </c>
      <c r="F739" s="12" t="n">
        <v>0.98</v>
      </c>
      <c r="G739" s="12" t="n">
        <v>0.95</v>
      </c>
      <c r="H739" s="9" t="n">
        <v>1</v>
      </c>
      <c r="I739" s="10" t="inlineStr">
        <is>
          <t xml:space="preserve"> 1/2</t>
        </is>
      </c>
      <c r="J739" s="12" t="n">
        <v>0.5</v>
      </c>
      <c r="K739" t="e">
        <v>#N/A</v>
      </c>
      <c r="L739" t="e">
        <v>#N/A</v>
      </c>
      <c r="M739" t="e">
        <v>#N/A</v>
      </c>
    </row>
    <row r="740">
      <c r="A740" s="9" t="inlineStr">
        <is>
          <t>Hannah Duliere</t>
        </is>
      </c>
      <c r="B740" s="9" t="inlineStr">
        <is>
          <t>7/13/25 - 8/10/25</t>
        </is>
      </c>
      <c r="C740" s="12" t="n">
        <v>0.93</v>
      </c>
      <c r="D740" s="12" t="n">
        <v>1.36</v>
      </c>
      <c r="E740" s="12" t="n">
        <v>1</v>
      </c>
      <c r="F740" s="12" t="n">
        <v>0.95</v>
      </c>
      <c r="G740" s="12" t="n">
        <v>0.6899999999999999</v>
      </c>
      <c r="H740" s="9" t="n">
        <v>2</v>
      </c>
      <c r="I740" s="10" t="inlineStr">
        <is>
          <t xml:space="preserve"> 1/3</t>
        </is>
      </c>
      <c r="J740" s="12">
        <f>1/3</f>
        <v/>
      </c>
      <c r="K740" t="e">
        <v>#N/A</v>
      </c>
      <c r="L740" t="e">
        <v>#N/A</v>
      </c>
      <c r="M740" t="e">
        <v>#N/A</v>
      </c>
    </row>
    <row r="741">
      <c r="A741" s="9" t="inlineStr">
        <is>
          <t>Hannah Duliere</t>
        </is>
      </c>
      <c r="B741" s="9" t="inlineStr">
        <is>
          <t>8/10/25 - 9/6/25</t>
        </is>
      </c>
      <c r="C741" s="12" t="n">
        <v>1.14</v>
      </c>
      <c r="D741" s="12" t="n">
        <v>1.44</v>
      </c>
      <c r="E741" s="12" t="n">
        <v>0.98</v>
      </c>
      <c r="F741" s="12" t="n">
        <v>0.97</v>
      </c>
      <c r="G741" s="12" t="n">
        <v>0.64</v>
      </c>
      <c r="H741" s="9" t="n">
        <v>1</v>
      </c>
      <c r="I741" s="10" t="inlineStr">
        <is>
          <t>1/4</t>
        </is>
      </c>
      <c r="J741" s="12" t="n">
        <v>0.25</v>
      </c>
      <c r="K741" t="e">
        <v>#N/A</v>
      </c>
      <c r="L741" t="e">
        <v>#N/A</v>
      </c>
      <c r="M741" t="e">
        <v>#N/A</v>
      </c>
    </row>
    <row r="742">
      <c r="A742" s="9" t="inlineStr">
        <is>
          <t>Hannah Duliere</t>
        </is>
      </c>
      <c r="B742" s="9" t="inlineStr">
        <is>
          <t>9/7/25 - 10/4/25</t>
        </is>
      </c>
      <c r="C742" s="12" t="n">
        <v>1.1</v>
      </c>
      <c r="D742" s="12" t="n">
        <v>1.2</v>
      </c>
      <c r="E742" s="12" t="n">
        <v>1</v>
      </c>
      <c r="F742" s="12" t="n">
        <v>1</v>
      </c>
      <c r="G742" s="12" t="n">
        <v>0.68</v>
      </c>
      <c r="H742" s="9" t="n">
        <v>7</v>
      </c>
      <c r="I742" s="10" t="inlineStr">
        <is>
          <t>1/1</t>
        </is>
      </c>
      <c r="J742" s="12" t="n">
        <v>1</v>
      </c>
      <c r="K742" t="e">
        <v>#N/A</v>
      </c>
      <c r="L742" t="e">
        <v>#N/A</v>
      </c>
      <c r="M742" t="e">
        <v>#N/A</v>
      </c>
    </row>
    <row r="743">
      <c r="A743" s="9" t="inlineStr">
        <is>
          <t>Hannah Ervitz</t>
        </is>
      </c>
      <c r="B743" s="9" t="inlineStr">
        <is>
          <t>10/5/25 - 11/1/25</t>
        </is>
      </c>
      <c r="C743" s="12" t="n">
        <v>0.85</v>
      </c>
      <c r="D743" s="12" t="n">
        <v>1</v>
      </c>
      <c r="E743" s="12" t="n">
        <v>1</v>
      </c>
      <c r="F743" s="12" t="n">
        <v>1</v>
      </c>
      <c r="G743" s="12" t="n">
        <v>1</v>
      </c>
      <c r="H743" s="9" t="n">
        <v>9</v>
      </c>
      <c r="I743" s="10" t="inlineStr">
        <is>
          <t>1/1</t>
        </is>
      </c>
      <c r="J743" s="12" t="n">
        <v>1</v>
      </c>
      <c r="K743" t="inlineStr">
        <is>
          <t>Distinguished</t>
        </is>
      </c>
      <c r="L743" t="inlineStr">
        <is>
          <t>Adjunct</t>
        </is>
      </c>
      <c r="M743" t="inlineStr">
        <is>
          <t>Kristin Haase-Alvey</t>
        </is>
      </c>
    </row>
    <row r="744">
      <c r="A744" s="9" t="inlineStr">
        <is>
          <t>Hannah Ervitz</t>
        </is>
      </c>
      <c r="B744" s="9" t="inlineStr">
        <is>
          <t>11/2/25 - 11/29/25</t>
        </is>
      </c>
      <c r="C744" s="12" t="n">
        <v>0.85</v>
      </c>
      <c r="D744" s="12" t="n">
        <v>1</v>
      </c>
      <c r="E744" s="12" t="n">
        <v>1</v>
      </c>
      <c r="F744" s="12" t="n">
        <v>0.97</v>
      </c>
      <c r="G744" s="12" t="n">
        <v>0.96</v>
      </c>
      <c r="H744" s="9" t="n">
        <v>14</v>
      </c>
      <c r="I744" s="13" t="inlineStr">
        <is>
          <t>0/3</t>
        </is>
      </c>
      <c r="J744" s="12" t="n">
        <v>0</v>
      </c>
      <c r="K744" t="inlineStr">
        <is>
          <t>Distinguished</t>
        </is>
      </c>
      <c r="L744" t="inlineStr">
        <is>
          <t>Adjunct</t>
        </is>
      </c>
      <c r="M744" t="inlineStr">
        <is>
          <t>Kristin Haase-Alvey</t>
        </is>
      </c>
    </row>
    <row r="745">
      <c r="A745" s="9" t="inlineStr">
        <is>
          <t>Hannah Ervitz</t>
        </is>
      </c>
      <c r="B745" s="9" t="inlineStr">
        <is>
          <t>11/30/25 - 12/27/25</t>
        </is>
      </c>
      <c r="C745" s="12" t="n">
        <v>0.73</v>
      </c>
      <c r="D745" s="12" t="n">
        <v>0.78</v>
      </c>
      <c r="E745" s="12" t="n">
        <v>1</v>
      </c>
      <c r="F745" s="12" t="n">
        <v>0.97</v>
      </c>
      <c r="G745" s="12" t="n">
        <v>1</v>
      </c>
      <c r="H745" s="9" t="n">
        <v>7</v>
      </c>
      <c r="I745" s="10" t="n">
        <v>0.2</v>
      </c>
      <c r="J745" s="12">
        <f>1/5</f>
        <v/>
      </c>
      <c r="K745" t="inlineStr">
        <is>
          <t>Distinguished</t>
        </is>
      </c>
      <c r="L745" t="inlineStr">
        <is>
          <t>Adjunct</t>
        </is>
      </c>
      <c r="M745" t="inlineStr">
        <is>
          <t>Kristin Haase-Alvey</t>
        </is>
      </c>
    </row>
    <row r="746">
      <c r="A746" s="9" t="inlineStr">
        <is>
          <t>Hannah Ervitz</t>
        </is>
      </c>
      <c r="B746" s="9" t="inlineStr">
        <is>
          <t>12/28/25 - 1/25/26</t>
        </is>
      </c>
      <c r="C746" s="12" t="n">
        <v>0.6625</v>
      </c>
      <c r="D746" s="12" t="n">
        <v>0.6957</v>
      </c>
      <c r="E746" s="12" t="n">
        <v>0.987012987</v>
      </c>
      <c r="F746" s="12" t="n">
        <v>0.9433962259999999</v>
      </c>
      <c r="G746" s="12" t="n">
        <v>1</v>
      </c>
      <c r="H746" s="9" t="n">
        <v>19</v>
      </c>
      <c r="I746" s="10" t="inlineStr">
        <is>
          <t>0/3</t>
        </is>
      </c>
      <c r="J746" s="12" t="n">
        <v>0</v>
      </c>
      <c r="K746" t="inlineStr">
        <is>
          <t>Distinguished</t>
        </is>
      </c>
      <c r="L746" t="inlineStr">
        <is>
          <t>Adjunct</t>
        </is>
      </c>
      <c r="M746" t="inlineStr">
        <is>
          <t>Kristin Haase-Alvey</t>
        </is>
      </c>
    </row>
    <row r="747">
      <c r="A747" s="9" t="inlineStr">
        <is>
          <t>Hannah Ervitz</t>
        </is>
      </c>
      <c r="B747" s="9" t="inlineStr">
        <is>
          <t>5/18/25 - 6/14/25</t>
        </is>
      </c>
      <c r="C747" s="12" t="n">
        <v>0.78</v>
      </c>
      <c r="D747" s="12" t="n">
        <v>0.78</v>
      </c>
      <c r="E747" s="12" t="n">
        <v>1</v>
      </c>
      <c r="F747" s="12" t="n">
        <v>0.98</v>
      </c>
      <c r="G747" s="12" t="n">
        <v>0.86</v>
      </c>
      <c r="H747" s="9" t="n">
        <v>10</v>
      </c>
      <c r="I747" s="10" t="n">
        <v>1</v>
      </c>
      <c r="J747" s="12">
        <f>I747</f>
        <v/>
      </c>
      <c r="K747" t="inlineStr">
        <is>
          <t>Distinguished</t>
        </is>
      </c>
      <c r="L747" t="inlineStr">
        <is>
          <t>Adjunct</t>
        </is>
      </c>
      <c r="M747" t="inlineStr">
        <is>
          <t>Kristin Haase-Alvey</t>
        </is>
      </c>
    </row>
    <row r="748">
      <c r="A748" s="9" t="inlineStr">
        <is>
          <t>Hannah Ervitz</t>
        </is>
      </c>
      <c r="B748" s="9" t="inlineStr">
        <is>
          <t>6/15/25 - 7/12/25</t>
        </is>
      </c>
      <c r="C748" s="12" t="n">
        <v>0.41</v>
      </c>
      <c r="D748" s="12" t="n">
        <v>0.7</v>
      </c>
      <c r="E748" s="12" t="n">
        <v>1</v>
      </c>
      <c r="F748" s="12" t="n">
        <v>0.96</v>
      </c>
      <c r="G748" s="12" t="n">
        <v>0.5600000000000001</v>
      </c>
      <c r="H748" s="9" t="n">
        <v>3</v>
      </c>
      <c r="I748" s="10" t="inlineStr">
        <is>
          <t xml:space="preserve"> 1/4</t>
        </is>
      </c>
      <c r="J748" s="12" t="n">
        <v>0.25</v>
      </c>
      <c r="K748" t="inlineStr">
        <is>
          <t>Distinguished</t>
        </is>
      </c>
      <c r="L748" t="inlineStr">
        <is>
          <t>Adjunct</t>
        </is>
      </c>
      <c r="M748" t="inlineStr">
        <is>
          <t>Kristin Haase-Alvey</t>
        </is>
      </c>
    </row>
    <row r="749">
      <c r="A749" s="9" t="inlineStr">
        <is>
          <t>Hannah Ervitz</t>
        </is>
      </c>
      <c r="B749" s="9" t="inlineStr">
        <is>
          <t>7/13/25 - 8/10/25</t>
        </is>
      </c>
      <c r="C749" s="12" t="n">
        <v>0.8100000000000001</v>
      </c>
      <c r="D749" s="12" t="n">
        <v>0.98</v>
      </c>
      <c r="E749" s="12" t="n">
        <v>1</v>
      </c>
      <c r="F749" s="12" t="n">
        <v>0.9399999999999999</v>
      </c>
      <c r="G749" s="12" t="n">
        <v>0.68</v>
      </c>
      <c r="H749" s="9" t="n">
        <v>4</v>
      </c>
      <c r="I749" s="10" t="inlineStr">
        <is>
          <t xml:space="preserve"> 1/5</t>
        </is>
      </c>
      <c r="J749" s="12" t="n">
        <v>0.2</v>
      </c>
      <c r="K749" t="inlineStr">
        <is>
          <t>Distinguished</t>
        </is>
      </c>
      <c r="L749" t="inlineStr">
        <is>
          <t>Adjunct</t>
        </is>
      </c>
      <c r="M749" t="inlineStr">
        <is>
          <t>Kristin Haase-Alvey</t>
        </is>
      </c>
    </row>
    <row r="750">
      <c r="A750" s="9" t="inlineStr">
        <is>
          <t>Hannah Ervitz</t>
        </is>
      </c>
      <c r="B750" s="9" t="inlineStr">
        <is>
          <t>8/10/25 - 9/6/25</t>
        </is>
      </c>
      <c r="C750" s="12" t="n">
        <v>0.73</v>
      </c>
      <c r="D750" s="12" t="n">
        <v>1.01</v>
      </c>
      <c r="E750" s="12" t="n">
        <v>1</v>
      </c>
      <c r="F750" s="12" t="n">
        <v>1</v>
      </c>
      <c r="G750" s="12" t="n">
        <v>1</v>
      </c>
      <c r="H750" s="9" t="n">
        <v>7</v>
      </c>
      <c r="I750" s="10" t="inlineStr">
        <is>
          <t>0/3</t>
        </is>
      </c>
      <c r="J750" s="12" t="n">
        <v>0</v>
      </c>
      <c r="K750" t="inlineStr">
        <is>
          <t>Distinguished</t>
        </is>
      </c>
      <c r="L750" t="inlineStr">
        <is>
          <t>Adjunct</t>
        </is>
      </c>
      <c r="M750" t="inlineStr">
        <is>
          <t>Kristin Haase-Alvey</t>
        </is>
      </c>
    </row>
    <row r="751">
      <c r="A751" s="9" t="inlineStr">
        <is>
          <t>Hannah Ervitz</t>
        </is>
      </c>
      <c r="B751" s="9" t="inlineStr">
        <is>
          <t>9/7/25 - 10/4/25</t>
        </is>
      </c>
      <c r="C751" s="12" t="n">
        <v>0.84</v>
      </c>
      <c r="D751" s="12" t="n">
        <v>1.02</v>
      </c>
      <c r="E751" s="12" t="n">
        <v>1</v>
      </c>
      <c r="F751" s="12" t="n">
        <v>0.97</v>
      </c>
      <c r="G751" s="12" t="n">
        <v>1</v>
      </c>
      <c r="H751" s="9" t="n">
        <v>14</v>
      </c>
      <c r="I751" s="10" t="inlineStr">
        <is>
          <t>0/6</t>
        </is>
      </c>
      <c r="J751" s="12" t="n">
        <v>0</v>
      </c>
      <c r="K751" t="inlineStr">
        <is>
          <t>Distinguished</t>
        </is>
      </c>
      <c r="L751" t="inlineStr">
        <is>
          <t>Adjunct</t>
        </is>
      </c>
      <c r="M751" t="inlineStr">
        <is>
          <t>Kristin Haase-Alvey</t>
        </is>
      </c>
    </row>
    <row r="752">
      <c r="A752" s="9" t="inlineStr">
        <is>
          <t>Hannah Lodge</t>
        </is>
      </c>
      <c r="B752" s="9" t="inlineStr">
        <is>
          <t>10/5/25 - 11/1/25</t>
        </is>
      </c>
      <c r="C752" s="12" t="n">
        <v>1.0958</v>
      </c>
      <c r="D752" s="12" t="n">
        <v>1.47859999999999</v>
      </c>
      <c r="E752" s="12" t="n">
        <v>0.9921875</v>
      </c>
      <c r="F752" s="12" t="n">
        <v>0.961538461538461</v>
      </c>
      <c r="G752" s="12" t="n">
        <v>0.913043478260869</v>
      </c>
      <c r="H752" s="9" t="n">
        <v>1</v>
      </c>
      <c r="I752" s="10" t="inlineStr">
        <is>
          <t>2/4</t>
        </is>
      </c>
      <c r="J752" s="12" t="n">
        <v>0.5</v>
      </c>
      <c r="K752" t="inlineStr">
        <is>
          <t>Premium</t>
        </is>
      </c>
      <c r="L752" t="inlineStr">
        <is>
          <t>Professional</t>
        </is>
      </c>
      <c r="M752" t="inlineStr">
        <is>
          <t>Ian Plamondon</t>
        </is>
      </c>
    </row>
    <row r="753">
      <c r="A753" s="9" t="inlineStr">
        <is>
          <t>Hannah Lodge</t>
        </is>
      </c>
      <c r="B753" s="9" t="inlineStr">
        <is>
          <t>11/2/25 - 11/29/25</t>
        </is>
      </c>
      <c r="C753" s="12" t="n">
        <v>0.93</v>
      </c>
      <c r="D753" s="12" t="n">
        <v>1.15</v>
      </c>
      <c r="E753" s="12" t="n">
        <v>0.99</v>
      </c>
      <c r="F753" s="12" t="n">
        <v>0.96</v>
      </c>
      <c r="G753" s="12" t="n">
        <v>1</v>
      </c>
      <c r="H753" s="9" t="n">
        <v>3</v>
      </c>
      <c r="I753" s="13" t="n">
        <v>45719</v>
      </c>
      <c r="J753" s="12" t="n">
        <v>1</v>
      </c>
      <c r="K753" t="inlineStr">
        <is>
          <t>Premium</t>
        </is>
      </c>
      <c r="L753" t="inlineStr">
        <is>
          <t>Professional</t>
        </is>
      </c>
      <c r="M753" t="inlineStr">
        <is>
          <t>Ian Plamondon</t>
        </is>
      </c>
    </row>
    <row r="754">
      <c r="A754" s="9" t="inlineStr">
        <is>
          <t>Hannah Lodge</t>
        </is>
      </c>
      <c r="B754" s="9" t="inlineStr">
        <is>
          <t>11/30/25 - 12/27/25</t>
        </is>
      </c>
      <c r="C754" s="12" t="n">
        <v>0.59</v>
      </c>
      <c r="D754" s="12" t="n">
        <v>1.57</v>
      </c>
      <c r="E754" s="12" t="n">
        <v>0.98</v>
      </c>
      <c r="F754" s="12" t="n">
        <v>0.93</v>
      </c>
      <c r="G754" s="12" t="n">
        <v>0.93</v>
      </c>
      <c r="H754" s="9" t="n">
        <v>1</v>
      </c>
      <c r="I754" s="10" t="inlineStr">
        <is>
          <t>0/1</t>
        </is>
      </c>
      <c r="J754" s="12" t="n">
        <v>0</v>
      </c>
      <c r="K754" t="inlineStr">
        <is>
          <t>Premium</t>
        </is>
      </c>
      <c r="L754" t="inlineStr">
        <is>
          <t>Professional</t>
        </is>
      </c>
      <c r="M754" t="inlineStr">
        <is>
          <t>Ian Plamondon</t>
        </is>
      </c>
    </row>
    <row r="755">
      <c r="A755" s="9" t="inlineStr">
        <is>
          <t>Hannah Lodge</t>
        </is>
      </c>
      <c r="B755" s="9" t="inlineStr">
        <is>
          <t>12/28/25 - 1/25/26</t>
        </is>
      </c>
      <c r="C755" s="12" t="n">
        <v>0.675</v>
      </c>
      <c r="D755" s="12" t="n">
        <v>1.6036</v>
      </c>
      <c r="E755" s="12" t="n">
        <v>0.987179487</v>
      </c>
      <c r="F755" s="12" t="n">
        <v>0.897959184</v>
      </c>
      <c r="G755" s="12" t="n">
        <v>0.692307692</v>
      </c>
      <c r="H755" s="9" t="n">
        <v>1</v>
      </c>
      <c r="I755" s="10" t="n">
        <v>1</v>
      </c>
      <c r="J755" s="12">
        <f>I755</f>
        <v/>
      </c>
      <c r="K755" t="inlineStr">
        <is>
          <t>Premium</t>
        </is>
      </c>
      <c r="L755" t="inlineStr">
        <is>
          <t>Professional</t>
        </is>
      </c>
      <c r="M755" t="inlineStr">
        <is>
          <t>Ian Plamondon</t>
        </is>
      </c>
    </row>
    <row r="756">
      <c r="A756" s="9" t="inlineStr">
        <is>
          <t>Hannah Lodge</t>
        </is>
      </c>
      <c r="B756" s="9" t="inlineStr">
        <is>
          <t>5/18/25 - 6/14/25</t>
        </is>
      </c>
      <c r="C756" s="12" t="n">
        <v>0.97</v>
      </c>
      <c r="D756" s="12" t="n">
        <v>1.6</v>
      </c>
      <c r="E756" s="12" t="n">
        <v>0.99</v>
      </c>
      <c r="F756" s="12" t="n">
        <v>0.85</v>
      </c>
      <c r="G756" s="12" t="n">
        <v>0.95</v>
      </c>
      <c r="H756" s="9" t="n">
        <v>1</v>
      </c>
      <c r="I756" s="10" t="inlineStr">
        <is>
          <t xml:space="preserve"> 5/7</t>
        </is>
      </c>
      <c r="J756" s="12" t="n">
        <v>0.71</v>
      </c>
      <c r="K756" t="inlineStr">
        <is>
          <t>Premium</t>
        </is>
      </c>
      <c r="L756" t="inlineStr">
        <is>
          <t>Professional</t>
        </is>
      </c>
      <c r="M756" t="inlineStr">
        <is>
          <t>Ian Plamondon</t>
        </is>
      </c>
    </row>
    <row r="757">
      <c r="A757" s="9" t="inlineStr">
        <is>
          <t>Hannah Lodge</t>
        </is>
      </c>
      <c r="B757" s="9" t="inlineStr">
        <is>
          <t>6/15/25 - 7/12/25</t>
        </is>
      </c>
      <c r="C757" s="12" t="n">
        <v>0.86</v>
      </c>
      <c r="D757" s="12" t="n">
        <v>1.74</v>
      </c>
      <c r="E757" s="12" t="n">
        <v>1</v>
      </c>
      <c r="F757" s="12" t="n">
        <v>0.96</v>
      </c>
      <c r="G757" s="12" t="n">
        <v>0.85</v>
      </c>
      <c r="H757" s="9" t="n">
        <v>5</v>
      </c>
      <c r="I757" s="10" t="n">
        <v>1</v>
      </c>
      <c r="J757" s="12">
        <f>I757</f>
        <v/>
      </c>
      <c r="K757" t="inlineStr">
        <is>
          <t>Premium</t>
        </is>
      </c>
      <c r="L757" t="inlineStr">
        <is>
          <t>Professional</t>
        </is>
      </c>
      <c r="M757" t="inlineStr">
        <is>
          <t>Ian Plamondon</t>
        </is>
      </c>
    </row>
    <row r="758">
      <c r="A758" s="9" t="inlineStr">
        <is>
          <t>Hannah Lodge</t>
        </is>
      </c>
      <c r="B758" s="9" t="inlineStr">
        <is>
          <t>7/13/25 - 8/10/25</t>
        </is>
      </c>
      <c r="C758" s="12" t="n">
        <v>1.04</v>
      </c>
      <c r="D758" s="12" t="n">
        <v>1.62</v>
      </c>
      <c r="E758" s="12" t="n">
        <v>1</v>
      </c>
      <c r="F758" s="12" t="n">
        <v>1</v>
      </c>
      <c r="G758" s="12" t="n">
        <v>0.79</v>
      </c>
      <c r="H758" s="9" t="n">
        <v>1</v>
      </c>
      <c r="I758" s="10" t="n">
        <v>1</v>
      </c>
      <c r="J758" s="12">
        <f>I758</f>
        <v/>
      </c>
      <c r="K758" t="inlineStr">
        <is>
          <t>Premium</t>
        </is>
      </c>
      <c r="L758" t="inlineStr">
        <is>
          <t>Professional</t>
        </is>
      </c>
      <c r="M758" t="inlineStr">
        <is>
          <t>Ian Plamondon</t>
        </is>
      </c>
    </row>
    <row r="759">
      <c r="A759" s="9" t="inlineStr">
        <is>
          <t>Hannah Lodge</t>
        </is>
      </c>
      <c r="B759" s="9" t="inlineStr">
        <is>
          <t>8/10/25 - 9/6/25</t>
        </is>
      </c>
      <c r="C759" s="12" t="n">
        <v>1.2</v>
      </c>
      <c r="D759" s="12" t="n">
        <v>1.69</v>
      </c>
      <c r="E759" s="12" t="n">
        <v>0.99</v>
      </c>
      <c r="F759" s="12" t="n">
        <v>0.98</v>
      </c>
      <c r="G759" s="12" t="n">
        <v>1</v>
      </c>
      <c r="H759" s="9" t="n">
        <v>0</v>
      </c>
      <c r="I759" s="10" t="inlineStr">
        <is>
          <t>1/4</t>
        </is>
      </c>
      <c r="J759" s="12" t="n">
        <v>0.25</v>
      </c>
      <c r="K759" t="inlineStr">
        <is>
          <t>Premium</t>
        </is>
      </c>
      <c r="L759" t="inlineStr">
        <is>
          <t>Professional</t>
        </is>
      </c>
      <c r="M759" t="inlineStr">
        <is>
          <t>Ian Plamondon</t>
        </is>
      </c>
    </row>
    <row r="760">
      <c r="A760" s="9" t="inlineStr">
        <is>
          <t>Hannah Lodge</t>
        </is>
      </c>
      <c r="B760" s="9" t="inlineStr">
        <is>
          <t>9/7/25 - 10/4/25</t>
        </is>
      </c>
      <c r="C760" s="12" t="n">
        <v>1.16</v>
      </c>
      <c r="D760" s="12" t="n">
        <v>1.36</v>
      </c>
      <c r="E760" s="12" t="n">
        <v>0.99</v>
      </c>
      <c r="F760" s="12" t="n">
        <v>0.96</v>
      </c>
      <c r="G760" s="12" t="n">
        <v>1</v>
      </c>
      <c r="H760" s="9" t="n">
        <v>2</v>
      </c>
      <c r="I760" s="10" t="inlineStr">
        <is>
          <t>1/1</t>
        </is>
      </c>
      <c r="J760" s="12" t="n">
        <v>1</v>
      </c>
      <c r="K760" t="inlineStr">
        <is>
          <t>Premium</t>
        </is>
      </c>
      <c r="L760" t="inlineStr">
        <is>
          <t>Professional</t>
        </is>
      </c>
      <c r="M760" t="inlineStr">
        <is>
          <t>Ian Plamondon</t>
        </is>
      </c>
    </row>
    <row r="761">
      <c r="A761" s="9" t="inlineStr">
        <is>
          <t>Himshikha Nath</t>
        </is>
      </c>
      <c r="B761" s="9" t="inlineStr">
        <is>
          <t>5/18/25 - 6/14/25</t>
        </is>
      </c>
      <c r="C761" s="12" t="n">
        <v>0.76</v>
      </c>
      <c r="D761" s="12" t="n">
        <v>0.96</v>
      </c>
      <c r="E761" s="12" t="n">
        <v>0.85</v>
      </c>
      <c r="F761" s="12" t="n">
        <v>1</v>
      </c>
      <c r="G761" s="12" t="n">
        <v>0</v>
      </c>
      <c r="H761" s="9" t="e">
        <v>#N/A</v>
      </c>
      <c r="J761" s="9" t="n"/>
      <c r="K761" t="e">
        <v>#N/A</v>
      </c>
      <c r="L761" t="e">
        <v>#N/A</v>
      </c>
      <c r="M761" t="e">
        <v>#N/A</v>
      </c>
    </row>
    <row r="762">
      <c r="A762" s="9" t="inlineStr">
        <is>
          <t>Himshikha Nath</t>
        </is>
      </c>
      <c r="B762" s="9" t="inlineStr">
        <is>
          <t>6/15/25 - 7/12/25</t>
        </is>
      </c>
      <c r="C762" s="12" t="n">
        <v>0.19</v>
      </c>
      <c r="D762" s="12" t="n">
        <v>1.09</v>
      </c>
      <c r="E762" s="12" t="n">
        <v>0.83</v>
      </c>
      <c r="F762" s="12" t="n">
        <v>0</v>
      </c>
      <c r="G762" s="12" t="n">
        <v>0</v>
      </c>
      <c r="H762" s="9" t="e">
        <v>#N/A</v>
      </c>
      <c r="J762" s="9" t="n"/>
      <c r="K762" t="e">
        <v>#N/A</v>
      </c>
      <c r="L762" t="e">
        <v>#N/A</v>
      </c>
      <c r="M762" t="e">
        <v>#N/A</v>
      </c>
    </row>
    <row r="763">
      <c r="A763" s="9" t="inlineStr">
        <is>
          <t>Ishita Mehta</t>
        </is>
      </c>
      <c r="B763" s="9" t="inlineStr">
        <is>
          <t>12/28/25 - 1/25/26</t>
        </is>
      </c>
      <c r="C763" s="12" t="n">
        <v>0.081</v>
      </c>
      <c r="D763" s="12" t="n">
        <v>0.626</v>
      </c>
      <c r="E763" s="12" t="n">
        <v>0.833333333</v>
      </c>
      <c r="F763" s="12" t="n">
        <v>1</v>
      </c>
      <c r="G763" s="12" t="n">
        <v>0</v>
      </c>
      <c r="H763" s="9" t="n">
        <v>0</v>
      </c>
      <c r="I763" s="10" t="n">
        <v>1</v>
      </c>
      <c r="J763" s="12">
        <f>I763</f>
        <v/>
      </c>
      <c r="K763" t="e">
        <v>#N/A</v>
      </c>
      <c r="L763" t="e">
        <v>#N/A</v>
      </c>
      <c r="M763" t="e">
        <v>#N/A</v>
      </c>
    </row>
    <row r="764">
      <c r="A764" s="9" t="inlineStr">
        <is>
          <t>Jacey Clifton</t>
        </is>
      </c>
      <c r="B764" s="9" t="inlineStr">
        <is>
          <t>10/5/25 - 11/1/25</t>
        </is>
      </c>
      <c r="C764" s="12" t="n">
        <v>1.5625</v>
      </c>
      <c r="D764" s="12" t="n">
        <v>1.3633</v>
      </c>
      <c r="E764" s="12" t="n">
        <v>0.988888888888888</v>
      </c>
      <c r="F764" s="12" t="n">
        <v>0.929824561403508</v>
      </c>
      <c r="G764" s="12" t="n">
        <v>0.727272727272727</v>
      </c>
      <c r="H764" s="9" t="n">
        <v>7</v>
      </c>
      <c r="I764" s="10" t="inlineStr">
        <is>
          <t>0/1</t>
        </is>
      </c>
      <c r="J764" s="12" t="n">
        <v>0</v>
      </c>
      <c r="K764" t="inlineStr">
        <is>
          <t>Distinguished</t>
        </is>
      </c>
      <c r="L764" t="inlineStr">
        <is>
          <t>Adjunct</t>
        </is>
      </c>
      <c r="M764" t="inlineStr">
        <is>
          <t>Ela Cross</t>
        </is>
      </c>
    </row>
    <row r="765">
      <c r="A765" s="9" t="inlineStr">
        <is>
          <t>Jacey Clifton</t>
        </is>
      </c>
      <c r="B765" s="9" t="inlineStr">
        <is>
          <t>11/2/25 - 11/29/25</t>
        </is>
      </c>
      <c r="C765" s="12" t="n">
        <v>1.27</v>
      </c>
      <c r="D765" s="12" t="n">
        <v>1.12</v>
      </c>
      <c r="E765" s="12" t="n">
        <v>1</v>
      </c>
      <c r="F765" s="12" t="n">
        <v>0.95</v>
      </c>
      <c r="G765" s="12" t="n">
        <v>0.8100000000000001</v>
      </c>
      <c r="H765" s="9" t="n">
        <v>12</v>
      </c>
      <c r="I765" s="13" t="n"/>
      <c r="J765" s="9" t="n"/>
      <c r="K765" t="inlineStr">
        <is>
          <t>Distinguished</t>
        </is>
      </c>
      <c r="L765" t="inlineStr">
        <is>
          <t>Adjunct</t>
        </is>
      </c>
      <c r="M765" t="inlineStr">
        <is>
          <t>Ela Cross</t>
        </is>
      </c>
    </row>
    <row r="766">
      <c r="A766" s="9" t="inlineStr">
        <is>
          <t>Jacey Clifton</t>
        </is>
      </c>
      <c r="B766" s="9" t="inlineStr">
        <is>
          <t>11/30/25 - 12/27/25</t>
        </is>
      </c>
      <c r="C766" s="12" t="n">
        <v>0.88</v>
      </c>
      <c r="D766" s="12" t="n">
        <v>0.8</v>
      </c>
      <c r="E766" s="12" t="n">
        <v>1</v>
      </c>
      <c r="F766" s="12" t="n">
        <v>0.95</v>
      </c>
      <c r="G766" s="12" t="n">
        <v>0.67</v>
      </c>
      <c r="H766" s="9" t="n">
        <v>5</v>
      </c>
      <c r="I766" s="10" t="n"/>
      <c r="J766" s="12" t="n"/>
      <c r="K766" t="inlineStr">
        <is>
          <t>Distinguished</t>
        </is>
      </c>
      <c r="L766" t="inlineStr">
        <is>
          <t>Adjunct</t>
        </is>
      </c>
      <c r="M766" t="inlineStr">
        <is>
          <t>Ela Cross</t>
        </is>
      </c>
    </row>
    <row r="767">
      <c r="A767" s="9" t="inlineStr">
        <is>
          <t>Jacey Clifton</t>
        </is>
      </c>
      <c r="B767" s="9" t="inlineStr">
        <is>
          <t>12/28/25 - 1/25/26</t>
        </is>
      </c>
      <c r="C767" s="12" t="n">
        <v>1.1458</v>
      </c>
      <c r="D767" s="12" t="n">
        <v>0.9922</v>
      </c>
      <c r="E767" s="12" t="n">
        <v>1</v>
      </c>
      <c r="F767" s="12" t="n">
        <v>0.957446809</v>
      </c>
      <c r="G767" s="12" t="n">
        <v>0.714285714</v>
      </c>
      <c r="H767" s="9" t="n">
        <v>8</v>
      </c>
      <c r="I767" s="10" t="n">
        <v>1</v>
      </c>
      <c r="J767" s="12">
        <f>I767</f>
        <v/>
      </c>
      <c r="K767" t="inlineStr">
        <is>
          <t>Distinguished</t>
        </is>
      </c>
      <c r="L767" t="inlineStr">
        <is>
          <t>Adjunct</t>
        </is>
      </c>
      <c r="M767" t="inlineStr">
        <is>
          <t>Ela Cross</t>
        </is>
      </c>
    </row>
    <row r="768">
      <c r="A768" s="9" t="inlineStr">
        <is>
          <t>Jacey Clifton</t>
        </is>
      </c>
      <c r="B768" s="9" t="inlineStr">
        <is>
          <t>5/18/25 - 6/14/25</t>
        </is>
      </c>
      <c r="C768" s="12" t="n">
        <v>0.73</v>
      </c>
      <c r="D768" s="12" t="n">
        <v>1.04</v>
      </c>
      <c r="E768" s="12" t="n">
        <v>1</v>
      </c>
      <c r="F768" s="12" t="n">
        <v>0.73</v>
      </c>
      <c r="G768" s="12" t="n">
        <v>1</v>
      </c>
      <c r="H768" s="9" t="n">
        <v>8</v>
      </c>
      <c r="I768" s="10" t="n">
        <v>1</v>
      </c>
      <c r="J768" s="12">
        <f>I768</f>
        <v/>
      </c>
      <c r="K768" t="inlineStr">
        <is>
          <t>Distinguished</t>
        </is>
      </c>
      <c r="L768" t="inlineStr">
        <is>
          <t>Adjunct</t>
        </is>
      </c>
      <c r="M768" t="inlineStr">
        <is>
          <t>Ela Cross</t>
        </is>
      </c>
    </row>
    <row r="769">
      <c r="A769" s="9" t="inlineStr">
        <is>
          <t>Jacey Clifton</t>
        </is>
      </c>
      <c r="B769" s="9" t="inlineStr">
        <is>
          <t>6/15/25 - 7/12/25</t>
        </is>
      </c>
      <c r="C769" s="12" t="n">
        <v>0.59</v>
      </c>
      <c r="D769" s="12" t="n">
        <v>1.02</v>
      </c>
      <c r="E769" s="12" t="n">
        <v>1</v>
      </c>
      <c r="F769" s="12" t="n">
        <v>1</v>
      </c>
      <c r="G769" s="12" t="n">
        <v>0.88</v>
      </c>
      <c r="H769" s="9" t="n">
        <v>8</v>
      </c>
      <c r="I769" s="10" t="inlineStr">
        <is>
          <t xml:space="preserve"> 3/5</t>
        </is>
      </c>
      <c r="J769" s="12" t="n">
        <v>0.6</v>
      </c>
      <c r="K769" t="inlineStr">
        <is>
          <t>Distinguished</t>
        </is>
      </c>
      <c r="L769" t="inlineStr">
        <is>
          <t>Adjunct</t>
        </is>
      </c>
      <c r="M769" t="inlineStr">
        <is>
          <t>Ela Cross</t>
        </is>
      </c>
    </row>
    <row r="770">
      <c r="A770" s="9" t="inlineStr">
        <is>
          <t>Jacey Clifton</t>
        </is>
      </c>
      <c r="B770" s="9" t="inlineStr">
        <is>
          <t>7/13/25 - 8/10/25</t>
        </is>
      </c>
      <c r="C770" s="12" t="n">
        <v>0.6899999999999999</v>
      </c>
      <c r="D770" s="12" t="n">
        <v>0.95</v>
      </c>
      <c r="E770" s="12" t="n">
        <v>1</v>
      </c>
      <c r="F770" s="12" t="n">
        <v>1</v>
      </c>
      <c r="G770" s="12" t="n">
        <v>0.21</v>
      </c>
      <c r="H770" s="9" t="n">
        <v>6</v>
      </c>
      <c r="I770" s="10" t="n">
        <v>1</v>
      </c>
      <c r="J770" s="12">
        <f>I770</f>
        <v/>
      </c>
      <c r="K770" t="inlineStr">
        <is>
          <t>Distinguished</t>
        </is>
      </c>
      <c r="L770" t="inlineStr">
        <is>
          <t>Adjunct</t>
        </is>
      </c>
      <c r="M770" t="inlineStr">
        <is>
          <t>Ela Cross</t>
        </is>
      </c>
    </row>
    <row r="771">
      <c r="A771" s="9" t="inlineStr">
        <is>
          <t>Jacey Clifton</t>
        </is>
      </c>
      <c r="B771" s="9" t="inlineStr">
        <is>
          <t>8/10/25 - 9/6/25</t>
        </is>
      </c>
      <c r="C771" s="12" t="n">
        <v>0.92</v>
      </c>
      <c r="D771" s="12" t="n">
        <v>1.01</v>
      </c>
      <c r="E771" s="12" t="n">
        <v>0.99</v>
      </c>
      <c r="F771" s="12" t="n">
        <v>1</v>
      </c>
      <c r="G771" s="12" t="n">
        <v>0.82</v>
      </c>
      <c r="H771" s="9" t="n">
        <v>7</v>
      </c>
      <c r="I771" s="10" t="inlineStr">
        <is>
          <t>2/2</t>
        </is>
      </c>
      <c r="J771" s="12" t="n">
        <v>1</v>
      </c>
      <c r="K771" t="inlineStr">
        <is>
          <t>Distinguished</t>
        </is>
      </c>
      <c r="L771" t="inlineStr">
        <is>
          <t>Adjunct</t>
        </is>
      </c>
      <c r="M771" t="inlineStr">
        <is>
          <t>Ela Cross</t>
        </is>
      </c>
    </row>
    <row r="772">
      <c r="A772" s="9" t="inlineStr">
        <is>
          <t>Jacey Clifton</t>
        </is>
      </c>
      <c r="B772" s="9" t="inlineStr">
        <is>
          <t>9/7/25 - 10/4/25</t>
        </is>
      </c>
      <c r="C772" s="12" t="n">
        <v>0.96</v>
      </c>
      <c r="D772" s="12" t="n">
        <v>1.03</v>
      </c>
      <c r="E772" s="12" t="n">
        <v>0.98</v>
      </c>
      <c r="F772" s="12" t="n">
        <v>0.97</v>
      </c>
      <c r="G772" s="12" t="n">
        <v>0.83</v>
      </c>
      <c r="H772" s="9" t="n">
        <v>7</v>
      </c>
      <c r="I772" s="10" t="inlineStr">
        <is>
          <t>3/6</t>
        </is>
      </c>
      <c r="J772" s="12" t="n">
        <v>0.5</v>
      </c>
      <c r="K772" t="inlineStr">
        <is>
          <t>Distinguished</t>
        </is>
      </c>
      <c r="L772" t="inlineStr">
        <is>
          <t>Adjunct</t>
        </is>
      </c>
      <c r="M772" t="inlineStr">
        <is>
          <t>Ela Cross</t>
        </is>
      </c>
    </row>
    <row r="773">
      <c r="A773" s="9" t="inlineStr">
        <is>
          <t>Jackson Byars</t>
        </is>
      </c>
      <c r="B773" s="9" t="inlineStr">
        <is>
          <t>10/5/25 - 11/1/25</t>
        </is>
      </c>
      <c r="C773" s="12" t="n">
        <v>0.8745000000000001</v>
      </c>
      <c r="D773" s="12" t="n">
        <v>1.15839999999999</v>
      </c>
      <c r="E773" s="12" t="n">
        <v>0.991452991452991</v>
      </c>
      <c r="F773" s="12" t="n">
        <v>0.934782608695652</v>
      </c>
      <c r="G773" s="12" t="n">
        <v>0.714285714285714</v>
      </c>
      <c r="H773" s="9" t="n">
        <v>1</v>
      </c>
      <c r="I773" s="10" t="inlineStr">
        <is>
          <t>1/3</t>
        </is>
      </c>
      <c r="J773" s="12" t="n">
        <v>0.33</v>
      </c>
      <c r="K773" t="e">
        <v>#N/A</v>
      </c>
      <c r="L773" t="e">
        <v>#N/A</v>
      </c>
      <c r="M773" t="e">
        <v>#N/A</v>
      </c>
    </row>
    <row r="774">
      <c r="A774" s="9" t="inlineStr">
        <is>
          <t>Jackson Byars</t>
        </is>
      </c>
      <c r="B774" s="9" t="inlineStr">
        <is>
          <t>10/5/25 - 11/1/25</t>
        </is>
      </c>
      <c r="C774" s="12" t="n">
        <v>0.8745000000000001</v>
      </c>
      <c r="D774" s="12" t="n">
        <v>1.15839999999999</v>
      </c>
      <c r="E774" s="12" t="n">
        <v>0.991452991452991</v>
      </c>
      <c r="F774" s="12" t="n">
        <v>0.934782608695652</v>
      </c>
      <c r="G774" s="12" t="n">
        <v>0.714285714285714</v>
      </c>
      <c r="H774" s="9" t="n">
        <v>1</v>
      </c>
      <c r="I774" s="10" t="inlineStr">
        <is>
          <t>1/3</t>
        </is>
      </c>
      <c r="J774" s="12">
        <f>_xlfn.TEXTBEFORE(I774, "/")/_xlfn.TEXTAFTER(I774,"/")</f>
        <v/>
      </c>
      <c r="K774" t="e">
        <v>#N/A</v>
      </c>
      <c r="L774" t="e">
        <v>#N/A</v>
      </c>
      <c r="M774" t="e">
        <v>#N/A</v>
      </c>
    </row>
    <row r="775">
      <c r="A775" s="9" t="inlineStr">
        <is>
          <t>Jackson Byars</t>
        </is>
      </c>
      <c r="B775" s="9" t="inlineStr">
        <is>
          <t>11/2/25 - 11/29/25</t>
        </is>
      </c>
      <c r="C775" s="12" t="n">
        <v>0.91</v>
      </c>
      <c r="D775" s="12" t="n">
        <v>1.31</v>
      </c>
      <c r="E775" s="12" t="n">
        <v>1</v>
      </c>
      <c r="F775" s="12" t="n">
        <v>0.89</v>
      </c>
      <c r="G775" s="12" t="n">
        <v>1</v>
      </c>
      <c r="H775" s="9" t="n">
        <v>3</v>
      </c>
      <c r="I775" s="13" t="inlineStr">
        <is>
          <t>0/2</t>
        </is>
      </c>
      <c r="J775" s="12" t="n">
        <v>0</v>
      </c>
      <c r="K775" t="e">
        <v>#N/A</v>
      </c>
      <c r="L775" t="e">
        <v>#N/A</v>
      </c>
      <c r="M775" t="e">
        <v>#N/A</v>
      </c>
    </row>
    <row r="776">
      <c r="A776" s="9" t="inlineStr">
        <is>
          <t>Jackson Byars</t>
        </is>
      </c>
      <c r="B776" s="9" t="inlineStr">
        <is>
          <t>11/30/25 - 12/27/25</t>
        </is>
      </c>
      <c r="C776" s="12" t="n">
        <v>0.79</v>
      </c>
      <c r="D776" s="12" t="n">
        <v>1.35</v>
      </c>
      <c r="E776" s="12" t="n">
        <v>1</v>
      </c>
      <c r="F776" s="12" t="n">
        <v>0.87</v>
      </c>
      <c r="G776" s="12" t="n">
        <v>0.88</v>
      </c>
      <c r="H776" s="9" t="n">
        <v>4</v>
      </c>
      <c r="I776" s="10" t="inlineStr">
        <is>
          <t>0/3</t>
        </is>
      </c>
      <c r="J776" s="12" t="n">
        <v>0</v>
      </c>
      <c r="K776" t="e">
        <v>#N/A</v>
      </c>
      <c r="L776" t="e">
        <v>#N/A</v>
      </c>
      <c r="M776" t="e">
        <v>#N/A</v>
      </c>
    </row>
    <row r="777">
      <c r="A777" s="9" t="inlineStr">
        <is>
          <t>Jackson Byars</t>
        </is>
      </c>
      <c r="B777" s="9" t="inlineStr">
        <is>
          <t>12/28/25 - 1/25/26</t>
        </is>
      </c>
      <c r="C777" s="12" t="n">
        <v>0.7375</v>
      </c>
      <c r="D777" s="12" t="n">
        <v>1.102</v>
      </c>
      <c r="E777" s="12" t="n">
        <v>1</v>
      </c>
      <c r="F777" s="12" t="n">
        <v>0.7846153850000001</v>
      </c>
      <c r="G777" s="12" t="n">
        <v>0.588235294</v>
      </c>
      <c r="H777" s="9" t="n">
        <v>3</v>
      </c>
      <c r="I777" s="10" t="n">
        <v>0.5</v>
      </c>
      <c r="J777" s="12">
        <f>I777</f>
        <v/>
      </c>
      <c r="K777" t="e">
        <v>#N/A</v>
      </c>
      <c r="L777" t="e">
        <v>#N/A</v>
      </c>
      <c r="M777" t="e">
        <v>#N/A</v>
      </c>
    </row>
    <row r="778">
      <c r="A778" s="9" t="inlineStr">
        <is>
          <t>Jackson Byars</t>
        </is>
      </c>
      <c r="B778" s="9" t="inlineStr">
        <is>
          <t>5/18/25 - 6/14/25</t>
        </is>
      </c>
      <c r="C778" s="12" t="n">
        <v>0.9</v>
      </c>
      <c r="D778" s="12" t="n">
        <v>1.19</v>
      </c>
      <c r="E778" s="12" t="n">
        <v>0.98</v>
      </c>
      <c r="F778" s="12" t="n">
        <v>0.97</v>
      </c>
      <c r="G778" s="12" t="n">
        <v>0.9399999999999999</v>
      </c>
      <c r="H778" s="9" t="n">
        <v>3</v>
      </c>
      <c r="I778" s="10" t="inlineStr">
        <is>
          <t xml:space="preserve"> 1/2</t>
        </is>
      </c>
      <c r="J778" s="12" t="n">
        <v>0.5</v>
      </c>
      <c r="K778" t="e">
        <v>#N/A</v>
      </c>
      <c r="L778" t="e">
        <v>#N/A</v>
      </c>
      <c r="M778" t="e">
        <v>#N/A</v>
      </c>
    </row>
    <row r="779">
      <c r="A779" s="9" t="inlineStr">
        <is>
          <t>Jackson Byars</t>
        </is>
      </c>
      <c r="B779" s="9" t="inlineStr">
        <is>
          <t>6/15/25 - 7/12/25</t>
        </is>
      </c>
      <c r="C779" s="12" t="n">
        <v>0.53</v>
      </c>
      <c r="D779" s="12" t="n">
        <v>1.08</v>
      </c>
      <c r="E779" s="12" t="n">
        <v>1</v>
      </c>
      <c r="F779" s="12" t="n">
        <v>1</v>
      </c>
      <c r="G779" s="12" t="n">
        <v>0.75</v>
      </c>
      <c r="H779" s="9" t="n">
        <v>5</v>
      </c>
      <c r="I779" s="10" t="inlineStr">
        <is>
          <t xml:space="preserve"> 3/4</t>
        </is>
      </c>
      <c r="J779" s="12" t="n">
        <v>0.75</v>
      </c>
      <c r="K779" t="e">
        <v>#N/A</v>
      </c>
      <c r="L779" t="e">
        <v>#N/A</v>
      </c>
      <c r="M779" t="e">
        <v>#N/A</v>
      </c>
    </row>
    <row r="780">
      <c r="A780" s="9" t="inlineStr">
        <is>
          <t>Jackson Byars</t>
        </is>
      </c>
      <c r="B780" s="9" t="inlineStr">
        <is>
          <t>7/13/25 - 8/10/25</t>
        </is>
      </c>
      <c r="C780" s="12" t="n">
        <v>0.65</v>
      </c>
      <c r="D780" s="12" t="n">
        <v>1.13</v>
      </c>
      <c r="E780" s="12" t="n">
        <v>1</v>
      </c>
      <c r="F780" s="12" t="n">
        <v>0.96</v>
      </c>
      <c r="G780" s="12" t="n">
        <v>0.95</v>
      </c>
      <c r="H780" s="9" t="n">
        <v>4</v>
      </c>
      <c r="I780" s="10" t="inlineStr">
        <is>
          <t xml:space="preserve"> 1/4</t>
        </is>
      </c>
      <c r="J780" s="12" t="n">
        <v>0.25</v>
      </c>
      <c r="K780" t="e">
        <v>#N/A</v>
      </c>
      <c r="L780" t="e">
        <v>#N/A</v>
      </c>
      <c r="M780" t="e">
        <v>#N/A</v>
      </c>
    </row>
    <row r="781">
      <c r="A781" s="9" t="inlineStr">
        <is>
          <t>Jackson Byars</t>
        </is>
      </c>
      <c r="B781" s="9" t="inlineStr">
        <is>
          <t>8/10/25 - 9/6/25</t>
        </is>
      </c>
      <c r="C781" s="12" t="n">
        <v>0.71</v>
      </c>
      <c r="D781" s="12" t="n">
        <v>1.22</v>
      </c>
      <c r="E781" s="12" t="n">
        <v>1</v>
      </c>
      <c r="F781" s="12" t="n">
        <v>0.98</v>
      </c>
      <c r="G781" s="12" t="n">
        <v>1</v>
      </c>
      <c r="H781" s="9" t="n">
        <v>2</v>
      </c>
      <c r="I781" s="10" t="inlineStr">
        <is>
          <t>0/5</t>
        </is>
      </c>
      <c r="J781" s="12" t="n">
        <v>0</v>
      </c>
      <c r="K781" t="e">
        <v>#N/A</v>
      </c>
      <c r="L781" t="e">
        <v>#N/A</v>
      </c>
      <c r="M781" t="e">
        <v>#N/A</v>
      </c>
    </row>
    <row r="782">
      <c r="A782" s="9" t="inlineStr">
        <is>
          <t>Jackson Byars</t>
        </is>
      </c>
      <c r="B782" s="9" t="inlineStr">
        <is>
          <t>9/7/25 - 10/4/25</t>
        </is>
      </c>
      <c r="C782" s="12" t="n">
        <v>0.87</v>
      </c>
      <c r="D782" s="12" t="n">
        <v>1.24</v>
      </c>
      <c r="E782" s="12" t="n">
        <v>1</v>
      </c>
      <c r="F782" s="12" t="n">
        <v>0.99</v>
      </c>
      <c r="G782" s="12" t="n">
        <v>0.75</v>
      </c>
      <c r="H782" s="9" t="n">
        <v>1</v>
      </c>
      <c r="I782" s="10" t="inlineStr">
        <is>
          <t>0/6</t>
        </is>
      </c>
      <c r="J782" s="12" t="n">
        <v>0</v>
      </c>
      <c r="K782" t="e">
        <v>#N/A</v>
      </c>
      <c r="L782" t="e">
        <v>#N/A</v>
      </c>
      <c r="M782" t="e">
        <v>#N/A</v>
      </c>
    </row>
    <row r="783">
      <c r="A783" s="9" t="inlineStr">
        <is>
          <t>Jacob Karn</t>
        </is>
      </c>
      <c r="B783" s="9" t="inlineStr">
        <is>
          <t>10/5/25 - 11/1/25</t>
        </is>
      </c>
      <c r="C783" s="12" t="n">
        <v>1.025</v>
      </c>
      <c r="D783" s="12" t="n">
        <v>1.1432</v>
      </c>
      <c r="E783" s="12" t="n">
        <v>0.971830985915492</v>
      </c>
      <c r="F783" s="12" t="n">
        <v>0.963636363636363</v>
      </c>
      <c r="G783" s="12" t="n">
        <v>0.470588235294117</v>
      </c>
      <c r="H783" s="9" t="n">
        <v>6</v>
      </c>
      <c r="I783" s="10" t="inlineStr">
        <is>
          <t>3/3</t>
        </is>
      </c>
      <c r="J783" s="12" t="n">
        <v>1</v>
      </c>
      <c r="K783" t="inlineStr">
        <is>
          <t>Distinguished</t>
        </is>
      </c>
      <c r="L783" t="inlineStr">
        <is>
          <t>Professional</t>
        </is>
      </c>
      <c r="M783" t="inlineStr">
        <is>
          <t>Geoff St. Marie</t>
        </is>
      </c>
    </row>
    <row r="784">
      <c r="A784" s="9" t="inlineStr">
        <is>
          <t>Jacob Karn</t>
        </is>
      </c>
      <c r="B784" s="9" t="inlineStr">
        <is>
          <t>11/2/25 - 11/29/25</t>
        </is>
      </c>
      <c r="C784" s="12" t="n">
        <v>0.63</v>
      </c>
      <c r="D784" s="12" t="n">
        <v>0.62</v>
      </c>
      <c r="E784" s="12" t="n">
        <v>1</v>
      </c>
      <c r="F784" s="12" t="n">
        <v>1</v>
      </c>
      <c r="G784" s="12" t="n">
        <v>0.36</v>
      </c>
      <c r="H784" s="9" t="n">
        <v>9</v>
      </c>
      <c r="I784" s="13" t="n">
        <v>45691</v>
      </c>
      <c r="J784" s="14" t="n">
        <v>0.67</v>
      </c>
      <c r="K784" t="inlineStr">
        <is>
          <t>Distinguished</t>
        </is>
      </c>
      <c r="L784" t="inlineStr">
        <is>
          <t>Professional</t>
        </is>
      </c>
      <c r="M784" t="inlineStr">
        <is>
          <t>Geoff St. Marie</t>
        </is>
      </c>
    </row>
    <row r="785">
      <c r="A785" s="9" t="inlineStr">
        <is>
          <t>Jacob Karn</t>
        </is>
      </c>
      <c r="B785" s="9" t="inlineStr">
        <is>
          <t>11/30/25 - 12/27/25</t>
        </is>
      </c>
      <c r="C785" s="12" t="n">
        <v>0.89</v>
      </c>
      <c r="D785" s="12" t="n">
        <v>1.07</v>
      </c>
      <c r="E785" s="12" t="n">
        <v>0.99</v>
      </c>
      <c r="F785" s="12" t="n">
        <v>0.99</v>
      </c>
      <c r="G785" s="12" t="n">
        <v>0.2</v>
      </c>
      <c r="H785" s="9" t="n">
        <v>10</v>
      </c>
      <c r="I785" s="10" t="n">
        <v>0.5454545454545454</v>
      </c>
      <c r="J785" s="12" t="n">
        <v>0.5</v>
      </c>
      <c r="K785" t="inlineStr">
        <is>
          <t>Distinguished</t>
        </is>
      </c>
      <c r="L785" t="inlineStr">
        <is>
          <t>Professional</t>
        </is>
      </c>
      <c r="M785" t="inlineStr">
        <is>
          <t>Geoff St. Marie</t>
        </is>
      </c>
    </row>
    <row r="786">
      <c r="A786" s="9" t="inlineStr">
        <is>
          <t>Jacob Karn</t>
        </is>
      </c>
      <c r="B786" s="9" t="inlineStr">
        <is>
          <t>12/28/25 - 1/25/26</t>
        </is>
      </c>
      <c r="C786" s="12" t="n">
        <v>0.8542</v>
      </c>
      <c r="D786" s="12" t="n">
        <v>1.1316</v>
      </c>
      <c r="E786" s="12" t="n">
        <v>0.98989899</v>
      </c>
      <c r="F786" s="12" t="n">
        <v>0.987341772</v>
      </c>
      <c r="G786" s="12" t="n">
        <v>0.428571429</v>
      </c>
      <c r="H786" s="9" t="n">
        <v>13</v>
      </c>
      <c r="I786" s="10" t="n">
        <v>0.8</v>
      </c>
      <c r="J786" s="12">
        <f>I786</f>
        <v/>
      </c>
      <c r="K786" t="inlineStr">
        <is>
          <t>Distinguished</t>
        </is>
      </c>
      <c r="L786" t="inlineStr">
        <is>
          <t>Professional</t>
        </is>
      </c>
      <c r="M786" t="inlineStr">
        <is>
          <t>Geoff St. Marie</t>
        </is>
      </c>
    </row>
    <row r="787">
      <c r="A787" s="9" t="inlineStr">
        <is>
          <t>Jacob Karn</t>
        </is>
      </c>
      <c r="B787" s="9" t="inlineStr">
        <is>
          <t>5/18/25 - 6/14/25</t>
        </is>
      </c>
      <c r="C787" s="12" t="n">
        <v>0.58</v>
      </c>
      <c r="D787" s="12" t="n">
        <v>1.08</v>
      </c>
      <c r="E787" s="12" t="n">
        <v>0.89</v>
      </c>
      <c r="F787" s="12" t="n">
        <v>0.97</v>
      </c>
      <c r="G787" s="12" t="n">
        <v>1</v>
      </c>
      <c r="H787" s="9" t="n">
        <v>2</v>
      </c>
      <c r="J787" s="9" t="n"/>
      <c r="K787" t="inlineStr">
        <is>
          <t>Distinguished</t>
        </is>
      </c>
      <c r="L787" t="inlineStr">
        <is>
          <t>Professional</t>
        </is>
      </c>
      <c r="M787" t="inlineStr">
        <is>
          <t>Geoff St. Marie</t>
        </is>
      </c>
    </row>
    <row r="788">
      <c r="A788" s="9" t="inlineStr">
        <is>
          <t>Jacob Karn</t>
        </is>
      </c>
      <c r="B788" s="9" t="inlineStr">
        <is>
          <t>6/15/25 - 7/12/25</t>
        </is>
      </c>
      <c r="C788" s="12" t="n">
        <v>0.1</v>
      </c>
      <c r="D788" s="12" t="n">
        <v>1.04</v>
      </c>
      <c r="E788" s="12" t="n">
        <v>1</v>
      </c>
      <c r="F788" s="12" t="n">
        <v>0.43</v>
      </c>
      <c r="G788" s="12" t="n">
        <v>0.8</v>
      </c>
      <c r="H788" s="9" t="n">
        <v>1</v>
      </c>
      <c r="I788" s="10" t="n">
        <v>1</v>
      </c>
      <c r="J788" s="12">
        <f>I788</f>
        <v/>
      </c>
      <c r="K788" t="inlineStr">
        <is>
          <t>Distinguished</t>
        </is>
      </c>
      <c r="L788" t="inlineStr">
        <is>
          <t>Professional</t>
        </is>
      </c>
      <c r="M788" t="inlineStr">
        <is>
          <t>Geoff St. Marie</t>
        </is>
      </c>
    </row>
    <row r="789">
      <c r="A789" s="9" t="inlineStr">
        <is>
          <t>Jacob Karn</t>
        </is>
      </c>
      <c r="B789" s="9" t="inlineStr">
        <is>
          <t>7/13/25 - 8/10/25</t>
        </is>
      </c>
      <c r="C789" s="12" t="n">
        <v>0.36</v>
      </c>
      <c r="D789" s="12" t="n">
        <v>1.02</v>
      </c>
      <c r="E789" s="12" t="n">
        <v>0.93</v>
      </c>
      <c r="F789" s="12" t="n">
        <v>1</v>
      </c>
      <c r="G789" s="12" t="n">
        <v>0.5600000000000001</v>
      </c>
      <c r="H789" s="9" t="n">
        <v>2</v>
      </c>
      <c r="I789" s="10" t="inlineStr">
        <is>
          <t xml:space="preserve"> 2/3</t>
        </is>
      </c>
      <c r="J789" s="12" t="n">
        <v>0.67</v>
      </c>
      <c r="K789" t="inlineStr">
        <is>
          <t>Distinguished</t>
        </is>
      </c>
      <c r="L789" t="inlineStr">
        <is>
          <t>Professional</t>
        </is>
      </c>
      <c r="M789" t="inlineStr">
        <is>
          <t>Geoff St. Marie</t>
        </is>
      </c>
    </row>
    <row r="790">
      <c r="A790" s="9" t="inlineStr">
        <is>
          <t>Jacob Karn</t>
        </is>
      </c>
      <c r="B790" s="9" t="inlineStr">
        <is>
          <t>8/10/25 - 9/6/25</t>
        </is>
      </c>
      <c r="C790" s="12" t="n">
        <v>0.59</v>
      </c>
      <c r="D790" s="12" t="n">
        <v>1</v>
      </c>
      <c r="E790" s="12" t="n">
        <v>0.98</v>
      </c>
      <c r="F790" s="12" t="n">
        <v>1</v>
      </c>
      <c r="G790" s="12" t="n">
        <v>0.5</v>
      </c>
      <c r="H790" s="9" t="n">
        <v>5</v>
      </c>
      <c r="I790" s="10" t="inlineStr">
        <is>
          <t>3/5</t>
        </is>
      </c>
      <c r="J790" s="12" t="n">
        <v>0.6</v>
      </c>
      <c r="K790" t="inlineStr">
        <is>
          <t>Distinguished</t>
        </is>
      </c>
      <c r="L790" t="inlineStr">
        <is>
          <t>Professional</t>
        </is>
      </c>
      <c r="M790" t="inlineStr">
        <is>
          <t>Geoff St. Marie</t>
        </is>
      </c>
    </row>
    <row r="791">
      <c r="A791" s="9" t="inlineStr">
        <is>
          <t>Jacob Karn</t>
        </is>
      </c>
      <c r="B791" s="9" t="inlineStr">
        <is>
          <t>9/7/25 - 10/4/25</t>
        </is>
      </c>
      <c r="C791" s="12" t="n">
        <v>0.89</v>
      </c>
      <c r="D791" s="12" t="n">
        <v>1.16</v>
      </c>
      <c r="E791" s="12" t="n">
        <v>1</v>
      </c>
      <c r="F791" s="12" t="n">
        <v>1</v>
      </c>
      <c r="G791" s="12" t="n">
        <v>0.3</v>
      </c>
      <c r="H791" s="9" t="n">
        <v>4</v>
      </c>
      <c r="I791" s="10" t="inlineStr">
        <is>
          <t>0/3</t>
        </is>
      </c>
      <c r="J791" s="12" t="n">
        <v>0</v>
      </c>
      <c r="K791" t="inlineStr">
        <is>
          <t>Distinguished</t>
        </is>
      </c>
      <c r="L791" t="inlineStr">
        <is>
          <t>Professional</t>
        </is>
      </c>
      <c r="M791" t="inlineStr">
        <is>
          <t>Geoff St. Marie</t>
        </is>
      </c>
    </row>
    <row r="792">
      <c r="A792" s="9" t="inlineStr">
        <is>
          <t>Jacqueline Le</t>
        </is>
      </c>
      <c r="B792" s="9" t="inlineStr">
        <is>
          <t>5/18/25 - 6/14/25</t>
        </is>
      </c>
      <c r="C792" s="12" t="n">
        <v>0.86</v>
      </c>
      <c r="D792" s="12" t="n">
        <v>0.77</v>
      </c>
      <c r="E792" s="12" t="n">
        <v>1</v>
      </c>
      <c r="F792" s="12" t="n">
        <v>0.75</v>
      </c>
      <c r="G792" s="12" t="n">
        <v>0.5</v>
      </c>
      <c r="H792" s="9" t="n">
        <v>2</v>
      </c>
      <c r="I792" s="10" t="n">
        <v>1</v>
      </c>
      <c r="J792" s="12">
        <f>I792</f>
        <v/>
      </c>
      <c r="K792" t="e">
        <v>#N/A</v>
      </c>
      <c r="L792" t="e">
        <v>#N/A</v>
      </c>
      <c r="M792" t="e">
        <v>#N/A</v>
      </c>
    </row>
    <row r="793">
      <c r="A793" s="9" t="inlineStr">
        <is>
          <t>Jacqueline Le</t>
        </is>
      </c>
      <c r="B793" s="9" t="inlineStr">
        <is>
          <t>6/15/25 - 7/12/25</t>
        </is>
      </c>
      <c r="C793" s="12" t="n">
        <v>0.41</v>
      </c>
      <c r="D793" s="12" t="n">
        <v>0.38</v>
      </c>
      <c r="E793" s="12" t="n">
        <v>1</v>
      </c>
      <c r="F793" s="12" t="n">
        <v>0.78</v>
      </c>
      <c r="G793" s="12" t="n">
        <v>0.57</v>
      </c>
      <c r="H793" s="9" t="n">
        <v>4</v>
      </c>
      <c r="I793" s="10" t="n">
        <v>0</v>
      </c>
      <c r="J793" s="12">
        <f>I793</f>
        <v/>
      </c>
      <c r="K793" t="e">
        <v>#N/A</v>
      </c>
      <c r="L793" t="e">
        <v>#N/A</v>
      </c>
      <c r="M793" t="e">
        <v>#N/A</v>
      </c>
    </row>
    <row r="794">
      <c r="A794" s="9" t="inlineStr">
        <is>
          <t>Jacqueline Le</t>
        </is>
      </c>
      <c r="B794" s="9" t="inlineStr">
        <is>
          <t>7/13/25 - 8/10/25</t>
        </is>
      </c>
      <c r="C794" s="12" t="n">
        <v>0.68</v>
      </c>
      <c r="D794" s="12" t="n">
        <v>0.54</v>
      </c>
      <c r="E794" s="12" t="n">
        <v>0.96</v>
      </c>
      <c r="F794" s="12" t="n">
        <v>0.52</v>
      </c>
      <c r="G794" s="12" t="n">
        <v>0.38</v>
      </c>
      <c r="H794" s="9" t="n">
        <v>1</v>
      </c>
      <c r="J794" s="9" t="n"/>
      <c r="K794" t="e">
        <v>#N/A</v>
      </c>
      <c r="L794" t="e">
        <v>#N/A</v>
      </c>
      <c r="M794" t="e">
        <v>#N/A</v>
      </c>
    </row>
    <row r="795">
      <c r="A795" s="9" t="inlineStr">
        <is>
          <t>Jake Corvino</t>
        </is>
      </c>
      <c r="B795" s="9" t="inlineStr">
        <is>
          <t>10/5/25 - 11/1/25</t>
        </is>
      </c>
      <c r="C795" s="12" t="n">
        <v>0.9583</v>
      </c>
      <c r="D795" s="12" t="n">
        <v>1.0156</v>
      </c>
      <c r="E795" s="12" t="n">
        <v>0.976744186046511</v>
      </c>
      <c r="F795" s="12" t="n">
        <v>1</v>
      </c>
      <c r="G795" s="12" t="n">
        <v>0.7333333333333329</v>
      </c>
      <c r="H795" s="9" t="n">
        <v>3</v>
      </c>
      <c r="I795" s="10" t="n"/>
      <c r="J795" s="12" t="n"/>
      <c r="K795" t="inlineStr">
        <is>
          <t>Distinguished</t>
        </is>
      </c>
      <c r="L795" t="inlineStr">
        <is>
          <t>Adjunct</t>
        </is>
      </c>
      <c r="M795" t="inlineStr">
        <is>
          <t>Ela Cross</t>
        </is>
      </c>
    </row>
    <row r="796">
      <c r="A796" s="9" t="inlineStr">
        <is>
          <t>Jake Corvino</t>
        </is>
      </c>
      <c r="B796" s="9" t="inlineStr">
        <is>
          <t>10/5/25 - 11/1/25</t>
        </is>
      </c>
      <c r="C796" s="12" t="n">
        <v>0.9583</v>
      </c>
      <c r="D796" s="12" t="n">
        <v>1.0156</v>
      </c>
      <c r="E796" s="12" t="n">
        <v>0.976744186046511</v>
      </c>
      <c r="F796" s="12" t="n">
        <v>1</v>
      </c>
      <c r="G796" s="12" t="n">
        <v>0.7333333333333329</v>
      </c>
      <c r="H796" s="9" t="n">
        <v>3</v>
      </c>
      <c r="J796" s="9" t="n"/>
      <c r="K796" t="inlineStr">
        <is>
          <t>Distinguished</t>
        </is>
      </c>
      <c r="L796" t="inlineStr">
        <is>
          <t>Adjunct</t>
        </is>
      </c>
      <c r="M796" t="inlineStr">
        <is>
          <t>Ela Cross</t>
        </is>
      </c>
    </row>
    <row r="797">
      <c r="A797" s="9" t="inlineStr">
        <is>
          <t>Jake Corvino</t>
        </is>
      </c>
      <c r="B797" s="9" t="inlineStr">
        <is>
          <t>11/2/25 - 11/29/25</t>
        </is>
      </c>
      <c r="C797" s="12" t="n">
        <v>0.09</v>
      </c>
      <c r="D797" s="12" t="n">
        <v>0.31</v>
      </c>
      <c r="E797" s="12" t="n">
        <v>1</v>
      </c>
      <c r="F797" s="12" t="n">
        <v>0</v>
      </c>
      <c r="G797" s="12" t="n">
        <v>0.5</v>
      </c>
      <c r="H797" s="9" t="n">
        <v>3</v>
      </c>
      <c r="I797" s="13" t="n"/>
      <c r="J797" s="9" t="n"/>
      <c r="K797" t="inlineStr">
        <is>
          <t>Distinguished</t>
        </is>
      </c>
      <c r="L797" t="inlineStr">
        <is>
          <t>Adjunct</t>
        </is>
      </c>
      <c r="M797" t="inlineStr">
        <is>
          <t>Ela Cross</t>
        </is>
      </c>
    </row>
    <row r="798">
      <c r="A798" s="9" t="inlineStr">
        <is>
          <t>Jake Corvino</t>
        </is>
      </c>
      <c r="B798" s="9" t="inlineStr">
        <is>
          <t>11/30/25 - 12/27/25</t>
        </is>
      </c>
      <c r="C798" s="12" t="n">
        <v>0.58</v>
      </c>
      <c r="D798" s="12" t="n">
        <v>1.07</v>
      </c>
      <c r="E798" s="12" t="n">
        <v>0.96</v>
      </c>
      <c r="F798" s="12" t="n">
        <v>1</v>
      </c>
      <c r="G798" s="12" t="n">
        <v>0.18</v>
      </c>
      <c r="H798" s="9" t="n">
        <v>3</v>
      </c>
      <c r="I798" s="10" t="n"/>
      <c r="J798" s="12" t="n"/>
      <c r="K798" t="inlineStr">
        <is>
          <t>Distinguished</t>
        </is>
      </c>
      <c r="L798" t="inlineStr">
        <is>
          <t>Adjunct</t>
        </is>
      </c>
      <c r="M798" t="inlineStr">
        <is>
          <t>Ela Cross</t>
        </is>
      </c>
    </row>
    <row r="799">
      <c r="A799" s="9" t="inlineStr">
        <is>
          <t>Jake Corvino</t>
        </is>
      </c>
      <c r="B799" s="9" t="inlineStr">
        <is>
          <t>12/28/25 - 1/25/26</t>
        </is>
      </c>
      <c r="C799" s="12" t="n">
        <v>0.3542</v>
      </c>
      <c r="D799" s="12" t="n">
        <v>1.1602</v>
      </c>
      <c r="E799" s="12" t="n">
        <v>0.785714286</v>
      </c>
      <c r="F799" s="12" t="n">
        <v>0.6</v>
      </c>
      <c r="G799" s="12" t="n">
        <v>0</v>
      </c>
      <c r="H799" s="9" t="n">
        <v>2</v>
      </c>
      <c r="I799" s="10" t="inlineStr">
        <is>
          <t>0/0</t>
        </is>
      </c>
      <c r="J799" s="12" t="n">
        <v>0</v>
      </c>
      <c r="K799" t="inlineStr">
        <is>
          <t>Distinguished</t>
        </is>
      </c>
      <c r="L799" t="inlineStr">
        <is>
          <t>Adjunct</t>
        </is>
      </c>
      <c r="M799" t="inlineStr">
        <is>
          <t>Ela Cross</t>
        </is>
      </c>
    </row>
    <row r="800">
      <c r="A800" s="9" t="inlineStr">
        <is>
          <t>Jake Corvino</t>
        </is>
      </c>
      <c r="B800" s="9" t="inlineStr">
        <is>
          <t>5/18/25 - 6/14/25</t>
        </is>
      </c>
      <c r="C800" s="12" t="n">
        <v>1.02</v>
      </c>
      <c r="D800" s="12" t="n">
        <v>1.38</v>
      </c>
      <c r="E800" s="12" t="n">
        <v>0.98</v>
      </c>
      <c r="F800" s="12" t="n">
        <v>1</v>
      </c>
      <c r="G800" s="12" t="n">
        <v>0.85</v>
      </c>
      <c r="H800" s="9" t="n">
        <v>10</v>
      </c>
      <c r="I800" s="10" t="n">
        <v>0</v>
      </c>
      <c r="J800" s="12">
        <f>I800</f>
        <v/>
      </c>
      <c r="K800" t="inlineStr">
        <is>
          <t>Distinguished</t>
        </is>
      </c>
      <c r="L800" t="inlineStr">
        <is>
          <t>Adjunct</t>
        </is>
      </c>
      <c r="M800" t="inlineStr">
        <is>
          <t>Ela Cross</t>
        </is>
      </c>
    </row>
    <row r="801">
      <c r="A801" s="9" t="inlineStr">
        <is>
          <t>Jake Corvino</t>
        </is>
      </c>
      <c r="B801" s="9" t="inlineStr">
        <is>
          <t>6/15/25 - 7/12/25</t>
        </is>
      </c>
      <c r="C801" s="12" t="n">
        <v>0.75</v>
      </c>
      <c r="D801" s="12" t="n">
        <v>0.9399999999999999</v>
      </c>
      <c r="E801" s="12" t="n">
        <v>1</v>
      </c>
      <c r="F801" s="12" t="n">
        <v>0.96</v>
      </c>
      <c r="G801" s="12" t="n">
        <v>0.62</v>
      </c>
      <c r="H801" s="9" t="n">
        <v>5</v>
      </c>
      <c r="I801" s="10" t="inlineStr">
        <is>
          <t xml:space="preserve"> 1/2</t>
        </is>
      </c>
      <c r="J801" s="12" t="n">
        <v>0.5</v>
      </c>
      <c r="K801" t="inlineStr">
        <is>
          <t>Distinguished</t>
        </is>
      </c>
      <c r="L801" t="inlineStr">
        <is>
          <t>Adjunct</t>
        </is>
      </c>
      <c r="M801" t="inlineStr">
        <is>
          <t>Ela Cross</t>
        </is>
      </c>
    </row>
    <row r="802">
      <c r="A802" s="9" t="inlineStr">
        <is>
          <t>Jake Corvino</t>
        </is>
      </c>
      <c r="B802" s="9" t="inlineStr">
        <is>
          <t>7/13/25 - 8/10/25</t>
        </is>
      </c>
      <c r="C802" s="12" t="n">
        <v>0.95</v>
      </c>
      <c r="D802" s="12" t="n">
        <v>1.2</v>
      </c>
      <c r="E802" s="12" t="n">
        <v>0.98</v>
      </c>
      <c r="F802" s="12" t="n">
        <v>1</v>
      </c>
      <c r="G802" s="12" t="n">
        <v>0.13</v>
      </c>
      <c r="H802" s="9" t="n">
        <v>9</v>
      </c>
      <c r="J802" s="9" t="n"/>
      <c r="K802" t="inlineStr">
        <is>
          <t>Distinguished</t>
        </is>
      </c>
      <c r="L802" t="inlineStr">
        <is>
          <t>Adjunct</t>
        </is>
      </c>
      <c r="M802" t="inlineStr">
        <is>
          <t>Ela Cross</t>
        </is>
      </c>
    </row>
    <row r="803">
      <c r="A803" s="9" t="inlineStr">
        <is>
          <t>Jake Corvino</t>
        </is>
      </c>
      <c r="B803" s="9" t="inlineStr">
        <is>
          <t>8/10/25 - 9/6/25</t>
        </is>
      </c>
      <c r="C803" s="12" t="n">
        <v>0.96</v>
      </c>
      <c r="D803" s="12" t="n">
        <v>1.29</v>
      </c>
      <c r="E803" s="12" t="n">
        <v>0.95</v>
      </c>
      <c r="F803" s="12" t="n">
        <v>1</v>
      </c>
      <c r="G803" s="12" t="n">
        <v>0</v>
      </c>
      <c r="H803" s="9" t="n">
        <v>5</v>
      </c>
      <c r="I803" s="10" t="inlineStr">
        <is>
          <t>1/1</t>
        </is>
      </c>
      <c r="J803" s="12" t="n">
        <v>1</v>
      </c>
      <c r="K803" t="inlineStr">
        <is>
          <t>Distinguished</t>
        </is>
      </c>
      <c r="L803" t="inlineStr">
        <is>
          <t>Adjunct</t>
        </is>
      </c>
      <c r="M803" t="inlineStr">
        <is>
          <t>Ela Cross</t>
        </is>
      </c>
    </row>
    <row r="804">
      <c r="A804" s="9" t="inlineStr">
        <is>
          <t>Jake Corvino</t>
        </is>
      </c>
      <c r="B804" s="9" t="inlineStr">
        <is>
          <t>9/7/25 - 10/4/25</t>
        </is>
      </c>
      <c r="C804" s="12" t="n">
        <v>1.18</v>
      </c>
      <c r="D804" s="12" t="n">
        <v>1.44</v>
      </c>
      <c r="E804" s="12" t="n">
        <v>0.96</v>
      </c>
      <c r="F804" s="12" t="n">
        <v>0.97</v>
      </c>
      <c r="G804" s="12" t="n">
        <v>0.79</v>
      </c>
      <c r="H804" s="9" t="n">
        <v>3</v>
      </c>
      <c r="I804" s="11" t="n"/>
      <c r="J804" s="9" t="n"/>
      <c r="K804" t="inlineStr">
        <is>
          <t>Distinguished</t>
        </is>
      </c>
      <c r="L804" t="inlineStr">
        <is>
          <t>Adjunct</t>
        </is>
      </c>
      <c r="M804" t="inlineStr">
        <is>
          <t>Ela Cross</t>
        </is>
      </c>
    </row>
    <row r="805">
      <c r="A805" s="9" t="inlineStr">
        <is>
          <t>Jamaul Pemberton</t>
        </is>
      </c>
      <c r="B805" s="9" t="inlineStr">
        <is>
          <t>10/5/25 - 11/1/25</t>
        </is>
      </c>
      <c r="C805" s="12" t="n">
        <v>0.6881</v>
      </c>
      <c r="D805" s="12" t="n">
        <v>1.2427</v>
      </c>
      <c r="E805" s="12" t="n">
        <v>1</v>
      </c>
      <c r="F805" s="12" t="n">
        <v>0.95</v>
      </c>
      <c r="G805" s="12" t="n">
        <v>1</v>
      </c>
      <c r="H805" s="9" t="n">
        <v>0</v>
      </c>
      <c r="I805" s="10" t="inlineStr">
        <is>
          <t>1/1</t>
        </is>
      </c>
      <c r="J805" s="12" t="n">
        <v>1</v>
      </c>
      <c r="K805" t="e">
        <v>#N/A</v>
      </c>
      <c r="L805" t="e">
        <v>#N/A</v>
      </c>
      <c r="M805" t="e">
        <v>#N/A</v>
      </c>
    </row>
    <row r="806">
      <c r="A806" s="9" t="inlineStr">
        <is>
          <t>Jamaul Pemberton</t>
        </is>
      </c>
      <c r="B806" s="9" t="inlineStr">
        <is>
          <t>11/2/25 - 11/29/25</t>
        </is>
      </c>
      <c r="C806" s="12" t="n">
        <v>0.54</v>
      </c>
      <c r="D806" s="12" t="n">
        <v>1.22</v>
      </c>
      <c r="E806" s="12" t="n">
        <v>1</v>
      </c>
      <c r="F806" s="12" t="n">
        <v>0.93</v>
      </c>
      <c r="G806" s="12" t="n">
        <v>1</v>
      </c>
      <c r="H806" s="9" t="n">
        <v>0</v>
      </c>
      <c r="I806" s="13" t="n"/>
      <c r="J806" s="9" t="n"/>
      <c r="K806" t="e">
        <v>#N/A</v>
      </c>
      <c r="L806" t="e">
        <v>#N/A</v>
      </c>
      <c r="M806" t="e">
        <v>#N/A</v>
      </c>
    </row>
    <row r="807">
      <c r="A807" s="9" t="inlineStr">
        <is>
          <t>Jamaul Pemberton</t>
        </is>
      </c>
      <c r="B807" s="9" t="inlineStr">
        <is>
          <t>11/30/25 - 12/27/25</t>
        </is>
      </c>
      <c r="C807" s="12" t="n">
        <v>0.29</v>
      </c>
      <c r="D807" s="12" t="n">
        <v>1.08</v>
      </c>
      <c r="E807" s="12" t="n">
        <v>1</v>
      </c>
      <c r="F807" s="12" t="n">
        <v>0.92</v>
      </c>
      <c r="G807" s="12" t="n">
        <v>0.92</v>
      </c>
      <c r="H807" s="9" t="n">
        <v>0</v>
      </c>
      <c r="I807" s="10" t="n"/>
      <c r="J807" s="12" t="n"/>
      <c r="K807" t="e">
        <v>#N/A</v>
      </c>
      <c r="L807" t="e">
        <v>#N/A</v>
      </c>
      <c r="M807" t="e">
        <v>#N/A</v>
      </c>
    </row>
    <row r="808">
      <c r="A808" s="9" t="inlineStr">
        <is>
          <t>Jamaul Pemberton</t>
        </is>
      </c>
      <c r="B808" s="9" t="inlineStr">
        <is>
          <t>12/28/25 - 1/25/26</t>
        </is>
      </c>
      <c r="C808" s="12" t="n">
        <v>0.4083</v>
      </c>
      <c r="D808" s="12" t="n">
        <v>1.0526</v>
      </c>
      <c r="E808" s="12" t="n">
        <v>1</v>
      </c>
      <c r="F808" s="12" t="n">
        <v>0.931034483</v>
      </c>
      <c r="G808" s="12" t="n">
        <v>0.714285714</v>
      </c>
      <c r="H808" s="9" t="n">
        <v>1</v>
      </c>
      <c r="I808" s="10" t="n">
        <v>1</v>
      </c>
      <c r="J808" s="12">
        <f>I808</f>
        <v/>
      </c>
      <c r="K808" t="e">
        <v>#N/A</v>
      </c>
      <c r="L808" t="e">
        <v>#N/A</v>
      </c>
      <c r="M808" t="e">
        <v>#N/A</v>
      </c>
    </row>
    <row r="809">
      <c r="A809" s="9" t="inlineStr">
        <is>
          <t>Jamaul Pemberton</t>
        </is>
      </c>
      <c r="B809" s="9" t="inlineStr">
        <is>
          <t>5/18/25 - 6/14/25</t>
        </is>
      </c>
      <c r="C809" s="12" t="n">
        <v>0.54</v>
      </c>
      <c r="D809" s="12" t="n">
        <v>1.14</v>
      </c>
      <c r="E809" s="12" t="n">
        <v>0.99</v>
      </c>
      <c r="F809" s="12" t="n">
        <v>0.86</v>
      </c>
      <c r="G809" s="12" t="n">
        <v>1</v>
      </c>
      <c r="H809" s="9" t="n">
        <v>1</v>
      </c>
      <c r="I809" s="10" t="inlineStr">
        <is>
          <t xml:space="preserve"> 5/6</t>
        </is>
      </c>
      <c r="J809" s="12" t="n">
        <v>0.83</v>
      </c>
      <c r="K809" t="e">
        <v>#N/A</v>
      </c>
      <c r="L809" t="e">
        <v>#N/A</v>
      </c>
      <c r="M809" t="e">
        <v>#N/A</v>
      </c>
    </row>
    <row r="810">
      <c r="A810" s="9" t="inlineStr">
        <is>
          <t>Jamaul Pemberton</t>
        </is>
      </c>
      <c r="B810" s="9" t="inlineStr">
        <is>
          <t>6/15/25 - 7/12/25</t>
        </is>
      </c>
      <c r="C810" s="12" t="n">
        <v>0.65</v>
      </c>
      <c r="D810" s="12" t="n">
        <v>1.19</v>
      </c>
      <c r="E810" s="12" t="n">
        <v>1</v>
      </c>
      <c r="F810" s="12" t="n">
        <v>0.98</v>
      </c>
      <c r="G810" s="12" t="n">
        <v>0.9399999999999999</v>
      </c>
      <c r="H810" s="9" t="e">
        <v>#N/A</v>
      </c>
      <c r="I810" s="10" t="n">
        <v>1</v>
      </c>
      <c r="J810" s="12">
        <f>I810</f>
        <v/>
      </c>
      <c r="K810" t="e">
        <v>#N/A</v>
      </c>
      <c r="L810" t="e">
        <v>#N/A</v>
      </c>
      <c r="M810" t="e">
        <v>#N/A</v>
      </c>
    </row>
    <row r="811">
      <c r="A811" s="9" t="inlineStr">
        <is>
          <t>Jamaul Pemberton</t>
        </is>
      </c>
      <c r="B811" s="9" t="inlineStr">
        <is>
          <t>7/13/25 - 8/10/25</t>
        </is>
      </c>
      <c r="C811" s="12" t="n">
        <v>0.92</v>
      </c>
      <c r="D811" s="12" t="n">
        <v>1.24</v>
      </c>
      <c r="E811" s="12" t="n">
        <v>1</v>
      </c>
      <c r="F811" s="12" t="n">
        <v>0.97</v>
      </c>
      <c r="G811" s="12" t="n">
        <v>0.96</v>
      </c>
      <c r="H811" s="9" t="n">
        <v>1</v>
      </c>
      <c r="I811" s="10" t="inlineStr">
        <is>
          <t xml:space="preserve"> 2/3</t>
        </is>
      </c>
      <c r="J811" s="12" t="n">
        <v>0.67</v>
      </c>
      <c r="K811" t="e">
        <v>#N/A</v>
      </c>
      <c r="L811" t="e">
        <v>#N/A</v>
      </c>
      <c r="M811" t="e">
        <v>#N/A</v>
      </c>
    </row>
    <row r="812">
      <c r="A812" s="9" t="inlineStr">
        <is>
          <t>Jamaul Pemberton</t>
        </is>
      </c>
      <c r="B812" s="9" t="inlineStr">
        <is>
          <t>8/10/25 - 9/6/25</t>
        </is>
      </c>
      <c r="C812" s="12" t="n">
        <v>1.08</v>
      </c>
      <c r="D812" s="12" t="n">
        <v>1.3</v>
      </c>
      <c r="E812" s="12" t="n">
        <v>1</v>
      </c>
      <c r="F812" s="12" t="n">
        <v>0.86</v>
      </c>
      <c r="G812" s="12" t="n">
        <v>0.88</v>
      </c>
      <c r="H812" s="9" t="n">
        <v>9</v>
      </c>
      <c r="I812" s="10" t="inlineStr">
        <is>
          <t>0/2</t>
        </is>
      </c>
      <c r="J812" s="12" t="n">
        <v>0</v>
      </c>
      <c r="K812" t="e">
        <v>#N/A</v>
      </c>
      <c r="L812" t="e">
        <v>#N/A</v>
      </c>
      <c r="M812" t="e">
        <v>#N/A</v>
      </c>
    </row>
    <row r="813">
      <c r="A813" s="9" t="inlineStr">
        <is>
          <t>Jamaul Pemberton</t>
        </is>
      </c>
      <c r="B813" s="9" t="inlineStr">
        <is>
          <t>9/7/25 - 10/4/25</t>
        </is>
      </c>
      <c r="C813" s="12" t="n">
        <v>1.03</v>
      </c>
      <c r="D813" s="12" t="n">
        <v>1.28</v>
      </c>
      <c r="E813" s="12" t="n">
        <v>0.99</v>
      </c>
      <c r="F813" s="12" t="n">
        <v>0.97</v>
      </c>
      <c r="G813" s="12" t="n">
        <v>0.96</v>
      </c>
      <c r="H813" s="9" t="n">
        <v>2</v>
      </c>
      <c r="I813" s="11" t="n"/>
      <c r="J813" s="9" t="n"/>
      <c r="K813" t="e">
        <v>#N/A</v>
      </c>
      <c r="L813" t="e">
        <v>#N/A</v>
      </c>
      <c r="M813" t="e">
        <v>#N/A</v>
      </c>
    </row>
    <row r="814">
      <c r="A814" s="9" t="inlineStr">
        <is>
          <t>James Falconer</t>
        </is>
      </c>
      <c r="B814" s="9" t="inlineStr">
        <is>
          <t>10/5/25 - 11/1/25</t>
        </is>
      </c>
      <c r="C814" s="12" t="n">
        <v>0.9214</v>
      </c>
      <c r="D814" s="12" t="n">
        <v>1.03339999999999</v>
      </c>
      <c r="E814" s="12" t="n">
        <v>0.992248062015503</v>
      </c>
      <c r="F814" s="12" t="n">
        <v>0.97</v>
      </c>
      <c r="G814" s="12" t="n">
        <v>0.9375</v>
      </c>
      <c r="H814" s="9" t="n">
        <v>14</v>
      </c>
      <c r="I814" s="10" t="inlineStr">
        <is>
          <t>4/7</t>
        </is>
      </c>
      <c r="J814" s="12" t="n">
        <v>0.57</v>
      </c>
      <c r="K814" t="inlineStr">
        <is>
          <t>Distinguished</t>
        </is>
      </c>
      <c r="L814" t="inlineStr">
        <is>
          <t>Professional</t>
        </is>
      </c>
      <c r="M814" t="inlineStr">
        <is>
          <t>Geoff St. Marie</t>
        </is>
      </c>
    </row>
    <row r="815">
      <c r="A815" s="9" t="inlineStr">
        <is>
          <t>James Falconer</t>
        </is>
      </c>
      <c r="B815" s="9" t="inlineStr">
        <is>
          <t>10/5/25 - 11/1/25</t>
        </is>
      </c>
      <c r="C815" s="12" t="n">
        <v>0.9214</v>
      </c>
      <c r="D815" s="12" t="n">
        <v>1.03339999999999</v>
      </c>
      <c r="E815" s="12" t="n">
        <v>0.992248062015503</v>
      </c>
      <c r="F815" s="12" t="n">
        <v>0.97</v>
      </c>
      <c r="G815" s="12" t="n">
        <v>0.9375</v>
      </c>
      <c r="H815" s="9" t="n">
        <v>14</v>
      </c>
      <c r="I815" s="10" t="inlineStr">
        <is>
          <t>4/7</t>
        </is>
      </c>
      <c r="J815" s="12">
        <f>_xlfn.TEXTBEFORE(I815, "/")/_xlfn.TEXTAFTER(I815,"/")</f>
        <v/>
      </c>
      <c r="K815" t="inlineStr">
        <is>
          <t>Distinguished</t>
        </is>
      </c>
      <c r="L815" t="inlineStr">
        <is>
          <t>Professional</t>
        </is>
      </c>
      <c r="M815" t="inlineStr">
        <is>
          <t>Geoff St. Marie</t>
        </is>
      </c>
    </row>
    <row r="816">
      <c r="A816" s="9" t="inlineStr">
        <is>
          <t>James Falconer</t>
        </is>
      </c>
      <c r="B816" s="9" t="inlineStr">
        <is>
          <t>11/2/25 - 11/29/25</t>
        </is>
      </c>
      <c r="C816" s="12" t="n">
        <v>0.91</v>
      </c>
      <c r="D816" s="12" t="n">
        <v>1.02</v>
      </c>
      <c r="E816" s="12" t="n">
        <v>0.98</v>
      </c>
      <c r="F816" s="12" t="n">
        <v>0.96</v>
      </c>
      <c r="G816" s="12" t="n">
        <v>0.96</v>
      </c>
      <c r="H816" s="9" t="n">
        <v>11</v>
      </c>
      <c r="I816" s="13" t="n">
        <v>45751</v>
      </c>
      <c r="J816" s="12" t="n">
        <v>1</v>
      </c>
      <c r="K816" t="inlineStr">
        <is>
          <t>Distinguished</t>
        </is>
      </c>
      <c r="L816" t="inlineStr">
        <is>
          <t>Professional</t>
        </is>
      </c>
      <c r="M816" t="inlineStr">
        <is>
          <t>Geoff St. Marie</t>
        </is>
      </c>
    </row>
    <row r="817">
      <c r="A817" s="9" t="inlineStr">
        <is>
          <t>James Falconer</t>
        </is>
      </c>
      <c r="B817" s="9" t="inlineStr">
        <is>
          <t>11/30/25 - 12/27/25</t>
        </is>
      </c>
      <c r="C817" s="12" t="n">
        <v>0.71</v>
      </c>
      <c r="D817" s="12" t="n">
        <v>0.8100000000000001</v>
      </c>
      <c r="E817" s="12" t="n">
        <v>0.99</v>
      </c>
      <c r="F817" s="12" t="n">
        <v>0.97</v>
      </c>
      <c r="G817" s="12" t="n">
        <v>0.88</v>
      </c>
      <c r="H817" s="9" t="n">
        <v>10</v>
      </c>
      <c r="I817" s="10" t="n">
        <v>0.5</v>
      </c>
      <c r="J817" s="12" t="n">
        <v>0.5</v>
      </c>
      <c r="K817" t="inlineStr">
        <is>
          <t>Distinguished</t>
        </is>
      </c>
      <c r="L817" t="inlineStr">
        <is>
          <t>Professional</t>
        </is>
      </c>
      <c r="M817" t="inlineStr">
        <is>
          <t>Geoff St. Marie</t>
        </is>
      </c>
    </row>
    <row r="818">
      <c r="A818" s="9" t="inlineStr">
        <is>
          <t>James Falconer</t>
        </is>
      </c>
      <c r="B818" s="9" t="inlineStr">
        <is>
          <t>12/28/25 - 1/25/26</t>
        </is>
      </c>
      <c r="C818" s="12" t="n">
        <v>0.8321</v>
      </c>
      <c r="D818" s="12" t="n">
        <v>0.9767</v>
      </c>
      <c r="E818" s="12" t="n">
        <v>0.991525424</v>
      </c>
      <c r="F818" s="12" t="n">
        <v>0.988888889</v>
      </c>
      <c r="G818" s="12" t="n">
        <v>0.913043478</v>
      </c>
      <c r="H818" s="9" t="n">
        <v>10</v>
      </c>
      <c r="I818" s="10" t="n">
        <v>1</v>
      </c>
      <c r="J818" s="12">
        <f>I818</f>
        <v/>
      </c>
      <c r="K818" t="inlineStr">
        <is>
          <t>Distinguished</t>
        </is>
      </c>
      <c r="L818" t="inlineStr">
        <is>
          <t>Professional</t>
        </is>
      </c>
      <c r="M818" t="inlineStr">
        <is>
          <t>Geoff St. Marie</t>
        </is>
      </c>
    </row>
    <row r="819">
      <c r="A819" s="9" t="inlineStr">
        <is>
          <t>James Falconer</t>
        </is>
      </c>
      <c r="B819" s="9" t="inlineStr">
        <is>
          <t>5/18/25 - 6/14/25</t>
        </is>
      </c>
      <c r="C819" s="12" t="n">
        <v>0.88</v>
      </c>
      <c r="D819" s="12" t="n">
        <v>1.05</v>
      </c>
      <c r="E819" s="12" t="n">
        <v>1</v>
      </c>
      <c r="F819" s="12" t="n">
        <v>0.95</v>
      </c>
      <c r="G819" s="12" t="n">
        <v>0.78</v>
      </c>
      <c r="H819" s="9" t="n">
        <v>4</v>
      </c>
      <c r="I819" s="10" t="n">
        <v>1</v>
      </c>
      <c r="J819" s="12">
        <f>I819</f>
        <v/>
      </c>
      <c r="K819" t="inlineStr">
        <is>
          <t>Distinguished</t>
        </is>
      </c>
      <c r="L819" t="inlineStr">
        <is>
          <t>Professional</t>
        </is>
      </c>
      <c r="M819" t="inlineStr">
        <is>
          <t>Geoff St. Marie</t>
        </is>
      </c>
    </row>
    <row r="820">
      <c r="A820" s="9" t="inlineStr">
        <is>
          <t>James Falconer</t>
        </is>
      </c>
      <c r="B820" s="9" t="inlineStr">
        <is>
          <t>6/15/25 - 7/12/25</t>
        </is>
      </c>
      <c r="C820" s="12" t="n">
        <v>0.66</v>
      </c>
      <c r="D820" s="12" t="n">
        <v>0.97</v>
      </c>
      <c r="E820" s="12" t="n">
        <v>1</v>
      </c>
      <c r="F820" s="12" t="n">
        <v>0.93</v>
      </c>
      <c r="G820" s="12" t="n">
        <v>0.79</v>
      </c>
      <c r="H820" s="9" t="n">
        <v>8</v>
      </c>
      <c r="I820" s="10" t="inlineStr">
        <is>
          <t xml:space="preserve"> 3/4</t>
        </is>
      </c>
      <c r="J820" s="12" t="n">
        <v>0.75</v>
      </c>
      <c r="K820" t="inlineStr">
        <is>
          <t>Distinguished</t>
        </is>
      </c>
      <c r="L820" t="inlineStr">
        <is>
          <t>Professional</t>
        </is>
      </c>
      <c r="M820" t="inlineStr">
        <is>
          <t>Geoff St. Marie</t>
        </is>
      </c>
    </row>
    <row r="821">
      <c r="A821" s="9" t="inlineStr">
        <is>
          <t>James Falconer</t>
        </is>
      </c>
      <c r="B821" s="9" t="inlineStr">
        <is>
          <t>7/13/25 - 8/10/25</t>
        </is>
      </c>
      <c r="C821" s="12" t="n">
        <v>0.87</v>
      </c>
      <c r="D821" s="12" t="n">
        <v>0.92</v>
      </c>
      <c r="E821" s="12" t="n">
        <v>1</v>
      </c>
      <c r="F821" s="12" t="n">
        <v>1</v>
      </c>
      <c r="G821" s="12" t="n">
        <v>0.74</v>
      </c>
      <c r="H821" s="9" t="n">
        <v>7</v>
      </c>
      <c r="I821" s="10" t="n">
        <v>1</v>
      </c>
      <c r="J821" s="12">
        <f>I821</f>
        <v/>
      </c>
      <c r="K821" t="inlineStr">
        <is>
          <t>Distinguished</t>
        </is>
      </c>
      <c r="L821" t="inlineStr">
        <is>
          <t>Professional</t>
        </is>
      </c>
      <c r="M821" t="inlineStr">
        <is>
          <t>Geoff St. Marie</t>
        </is>
      </c>
    </row>
    <row r="822">
      <c r="A822" s="9" t="inlineStr">
        <is>
          <t>James Falconer</t>
        </is>
      </c>
      <c r="B822" s="9" t="inlineStr">
        <is>
          <t>8/10/25 - 9/6/25</t>
        </is>
      </c>
      <c r="C822" s="12" t="n">
        <v>1</v>
      </c>
      <c r="D822" s="12" t="n">
        <v>1.1</v>
      </c>
      <c r="E822" s="12" t="n">
        <v>1</v>
      </c>
      <c r="F822" s="12" t="n">
        <v>0.92</v>
      </c>
      <c r="G822" s="12" t="n">
        <v>0.96</v>
      </c>
      <c r="H822" s="9" t="n">
        <v>8</v>
      </c>
      <c r="I822" s="10" t="inlineStr">
        <is>
          <t>2/2</t>
        </is>
      </c>
      <c r="J822" s="12" t="n">
        <v>1</v>
      </c>
      <c r="K822" t="inlineStr">
        <is>
          <t>Distinguished</t>
        </is>
      </c>
      <c r="L822" t="inlineStr">
        <is>
          <t>Professional</t>
        </is>
      </c>
      <c r="M822" t="inlineStr">
        <is>
          <t>Geoff St. Marie</t>
        </is>
      </c>
    </row>
    <row r="823">
      <c r="A823" s="9" t="inlineStr">
        <is>
          <t>James Falconer</t>
        </is>
      </c>
      <c r="B823" s="9" t="inlineStr">
        <is>
          <t>9/7/25 - 10/4/25</t>
        </is>
      </c>
      <c r="C823" s="12" t="n">
        <v>0.95</v>
      </c>
      <c r="D823" s="12" t="n">
        <v>1.11</v>
      </c>
      <c r="E823" s="12" t="n">
        <v>0.99</v>
      </c>
      <c r="F823" s="12" t="n">
        <v>0.96</v>
      </c>
      <c r="G823" s="12" t="n">
        <v>1</v>
      </c>
      <c r="H823" s="9" t="n">
        <v>11</v>
      </c>
      <c r="I823" s="10" t="inlineStr">
        <is>
          <t>1/1</t>
        </is>
      </c>
      <c r="J823" s="12" t="n">
        <v>1</v>
      </c>
      <c r="K823" t="inlineStr">
        <is>
          <t>Distinguished</t>
        </is>
      </c>
      <c r="L823" t="inlineStr">
        <is>
          <t>Professional</t>
        </is>
      </c>
      <c r="M823" t="inlineStr">
        <is>
          <t>Geoff St. Marie</t>
        </is>
      </c>
    </row>
    <row r="824">
      <c r="A824" s="9" t="inlineStr">
        <is>
          <t>Jason Keller</t>
        </is>
      </c>
      <c r="B824" s="9" t="inlineStr">
        <is>
          <t>10/5/25 - 11/1/25</t>
        </is>
      </c>
      <c r="C824" s="12" t="n">
        <v>0.775</v>
      </c>
      <c r="D824" s="12" t="n">
        <v>1.1118</v>
      </c>
      <c r="E824" s="12" t="n">
        <v>0.987951807228915</v>
      </c>
      <c r="F824" s="12" t="n">
        <v>0.982456140350877</v>
      </c>
      <c r="G824" s="12" t="n">
        <v>0.478260869565217</v>
      </c>
      <c r="H824" s="9" t="n">
        <v>1</v>
      </c>
      <c r="I824" s="10" t="n"/>
      <c r="J824" s="12" t="n"/>
      <c r="K824" t="inlineStr">
        <is>
          <t>Premium</t>
        </is>
      </c>
      <c r="L824" t="inlineStr">
        <is>
          <t>Professional</t>
        </is>
      </c>
      <c r="M824" t="inlineStr">
        <is>
          <t>Kristin Haase-Alvey</t>
        </is>
      </c>
    </row>
    <row r="825">
      <c r="A825" s="9" t="inlineStr">
        <is>
          <t>Jason Keller</t>
        </is>
      </c>
      <c r="B825" s="9" t="inlineStr">
        <is>
          <t>10/5/25 - 11/1/25</t>
        </is>
      </c>
      <c r="C825" s="12" t="n">
        <v>0.775</v>
      </c>
      <c r="D825" s="12" t="n">
        <v>1.1118</v>
      </c>
      <c r="E825" s="12" t="n">
        <v>0.987951807228915</v>
      </c>
      <c r="F825" s="12" t="n">
        <v>0.982456140350877</v>
      </c>
      <c r="G825" s="12" t="n">
        <v>0.478260869565217</v>
      </c>
      <c r="H825" s="9" t="n">
        <v>1</v>
      </c>
      <c r="J825" s="9" t="n"/>
      <c r="K825" t="inlineStr">
        <is>
          <t>Premium</t>
        </is>
      </c>
      <c r="L825" t="inlineStr">
        <is>
          <t>Professional</t>
        </is>
      </c>
      <c r="M825" t="inlineStr">
        <is>
          <t>Kristin Haase-Alvey</t>
        </is>
      </c>
    </row>
    <row r="826">
      <c r="A826" s="9" t="inlineStr">
        <is>
          <t>Jason Keller</t>
        </is>
      </c>
      <c r="B826" s="9" t="inlineStr">
        <is>
          <t>11/2/25 - 11/29/25</t>
        </is>
      </c>
      <c r="C826" s="12" t="n">
        <v>0.33</v>
      </c>
      <c r="D826" s="12" t="n">
        <v>0.92</v>
      </c>
      <c r="E826" s="12" t="n">
        <v>1</v>
      </c>
      <c r="F826" s="12" t="n">
        <v>1</v>
      </c>
      <c r="G826" s="12" t="n">
        <v>0.42</v>
      </c>
      <c r="H826" s="9" t="n">
        <v>0</v>
      </c>
      <c r="I826" s="13" t="inlineStr">
        <is>
          <t>0/1</t>
        </is>
      </c>
      <c r="J826" s="12" t="n">
        <v>0</v>
      </c>
      <c r="K826" t="inlineStr">
        <is>
          <t>Premium</t>
        </is>
      </c>
      <c r="L826" t="inlineStr">
        <is>
          <t>Professional</t>
        </is>
      </c>
      <c r="M826" t="inlineStr">
        <is>
          <t>Kristin Haase-Alvey</t>
        </is>
      </c>
    </row>
    <row r="827">
      <c r="A827" s="9" t="inlineStr">
        <is>
          <t>Jason Keller</t>
        </is>
      </c>
      <c r="B827" s="9" t="inlineStr">
        <is>
          <t>11/30/25 - 12/27/25</t>
        </is>
      </c>
      <c r="C827" s="12" t="n">
        <v>0.51</v>
      </c>
      <c r="D827" s="12" t="n">
        <v>1.19</v>
      </c>
      <c r="E827" s="12" t="n">
        <v>0.96</v>
      </c>
      <c r="F827" s="12" t="n">
        <v>0.97</v>
      </c>
      <c r="G827" s="12" t="n">
        <v>0.59</v>
      </c>
      <c r="H827" s="9" t="n">
        <v>0</v>
      </c>
      <c r="I827" s="10" t="inlineStr">
        <is>
          <t>0/1</t>
        </is>
      </c>
      <c r="J827" s="12" t="n">
        <v>0</v>
      </c>
      <c r="K827" t="inlineStr">
        <is>
          <t>Premium</t>
        </is>
      </c>
      <c r="L827" t="inlineStr">
        <is>
          <t>Professional</t>
        </is>
      </c>
      <c r="M827" t="inlineStr">
        <is>
          <t>Kristin Haase-Alvey</t>
        </is>
      </c>
    </row>
    <row r="828">
      <c r="A828" s="9" t="inlineStr">
        <is>
          <t>Jason Keller</t>
        </is>
      </c>
      <c r="B828" s="9" t="inlineStr">
        <is>
          <t>12/28/25 - 1/25/26</t>
        </is>
      </c>
      <c r="C828" s="12" t="n">
        <v>0.4375</v>
      </c>
      <c r="D828" s="12" t="n">
        <v>0.8947000000000001</v>
      </c>
      <c r="E828" s="12" t="n">
        <v>1</v>
      </c>
      <c r="F828" s="12" t="n">
        <v>0.974358974</v>
      </c>
      <c r="G828" s="12" t="n">
        <v>0.5</v>
      </c>
      <c r="H828" s="9" t="n">
        <v>3</v>
      </c>
      <c r="I828" s="10" t="inlineStr">
        <is>
          <t>0/1</t>
        </is>
      </c>
      <c r="J828" s="12" t="n">
        <v>0</v>
      </c>
      <c r="K828" t="inlineStr">
        <is>
          <t>Premium</t>
        </is>
      </c>
      <c r="L828" t="inlineStr">
        <is>
          <t>Professional</t>
        </is>
      </c>
      <c r="M828" t="inlineStr">
        <is>
          <t>Kristin Haase-Alvey</t>
        </is>
      </c>
    </row>
    <row r="829">
      <c r="A829" s="9" t="inlineStr">
        <is>
          <t>Jason Keller</t>
        </is>
      </c>
      <c r="B829" s="9" t="inlineStr">
        <is>
          <t>5/18/25 - 6/14/25</t>
        </is>
      </c>
      <c r="C829" s="12" t="n">
        <v>0.7</v>
      </c>
      <c r="D829" s="12" t="n">
        <v>0.97</v>
      </c>
      <c r="E829" s="12" t="n">
        <v>0.99</v>
      </c>
      <c r="F829" s="12" t="n">
        <v>0.92</v>
      </c>
      <c r="G829" s="12" t="n">
        <v>0.75</v>
      </c>
      <c r="H829" s="9" t="n">
        <v>2</v>
      </c>
      <c r="I829" s="10" t="inlineStr">
        <is>
          <t xml:space="preserve"> 5/6</t>
        </is>
      </c>
      <c r="J829" s="12" t="n">
        <v>0.83</v>
      </c>
      <c r="K829" t="inlineStr">
        <is>
          <t>Premium</t>
        </is>
      </c>
      <c r="L829" t="inlineStr">
        <is>
          <t>Professional</t>
        </is>
      </c>
      <c r="M829" t="inlineStr">
        <is>
          <t>Kristin Haase-Alvey</t>
        </is>
      </c>
    </row>
    <row r="830">
      <c r="A830" s="9" t="inlineStr">
        <is>
          <t>Jason Keller</t>
        </is>
      </c>
      <c r="B830" s="9" t="inlineStr">
        <is>
          <t>6/15/25 - 7/12/25</t>
        </is>
      </c>
      <c r="C830" s="12" t="n">
        <v>0.78</v>
      </c>
      <c r="D830" s="12" t="n">
        <v>1.07</v>
      </c>
      <c r="E830" s="12" t="n">
        <v>1</v>
      </c>
      <c r="F830" s="12" t="n">
        <v>0.98</v>
      </c>
      <c r="G830" s="12" t="n">
        <v>0.67</v>
      </c>
      <c r="H830" s="9" t="n">
        <v>2</v>
      </c>
      <c r="I830" s="10" t="n">
        <v>1</v>
      </c>
      <c r="J830" s="12">
        <f>I830</f>
        <v/>
      </c>
      <c r="K830" t="inlineStr">
        <is>
          <t>Premium</t>
        </is>
      </c>
      <c r="L830" t="inlineStr">
        <is>
          <t>Professional</t>
        </is>
      </c>
      <c r="M830" t="inlineStr">
        <is>
          <t>Kristin Haase-Alvey</t>
        </is>
      </c>
    </row>
    <row r="831">
      <c r="A831" s="9" t="inlineStr">
        <is>
          <t>Jason Keller</t>
        </is>
      </c>
      <c r="B831" s="9" t="inlineStr">
        <is>
          <t>7/13/25 - 8/10/25</t>
        </is>
      </c>
      <c r="C831" s="12" t="n">
        <v>0.9</v>
      </c>
      <c r="D831" s="12" t="n">
        <v>1.15</v>
      </c>
      <c r="E831" s="12" t="n">
        <v>0.99</v>
      </c>
      <c r="F831" s="12" t="n">
        <v>0.93</v>
      </c>
      <c r="G831" s="12" t="n">
        <v>0.41</v>
      </c>
      <c r="H831" s="9" t="e">
        <v>#N/A</v>
      </c>
      <c r="I831" s="10" t="inlineStr">
        <is>
          <t xml:space="preserve"> 3/4</t>
        </is>
      </c>
      <c r="J831" s="12" t="n">
        <v>0.75</v>
      </c>
      <c r="K831" t="inlineStr">
        <is>
          <t>Premium</t>
        </is>
      </c>
      <c r="L831" t="inlineStr">
        <is>
          <t>Professional</t>
        </is>
      </c>
      <c r="M831" t="inlineStr">
        <is>
          <t>Kristin Haase-Alvey</t>
        </is>
      </c>
    </row>
    <row r="832">
      <c r="A832" s="9" t="inlineStr">
        <is>
          <t>Jason Keller</t>
        </is>
      </c>
      <c r="B832" s="9" t="inlineStr">
        <is>
          <t>8/10/25 - 9/6/25</t>
        </is>
      </c>
      <c r="C832" s="12" t="n">
        <v>0.75</v>
      </c>
      <c r="D832" s="12" t="n">
        <v>1.23</v>
      </c>
      <c r="E832" s="12" t="n">
        <v>0.98</v>
      </c>
      <c r="F832" s="12" t="n">
        <v>0.96</v>
      </c>
      <c r="G832" s="12" t="n">
        <v>0.4</v>
      </c>
      <c r="H832" s="9" t="n">
        <v>2</v>
      </c>
      <c r="I832" s="10" t="inlineStr">
        <is>
          <t>0/1</t>
        </is>
      </c>
      <c r="J832" s="12" t="n">
        <v>0</v>
      </c>
      <c r="K832" t="inlineStr">
        <is>
          <t>Premium</t>
        </is>
      </c>
      <c r="L832" t="inlineStr">
        <is>
          <t>Professional</t>
        </is>
      </c>
      <c r="M832" t="inlineStr">
        <is>
          <t>Kristin Haase-Alvey</t>
        </is>
      </c>
    </row>
    <row r="833">
      <c r="A833" s="9" t="inlineStr">
        <is>
          <t>Jason Keller</t>
        </is>
      </c>
      <c r="B833" s="9" t="inlineStr">
        <is>
          <t>9/7/25 - 10/4/25</t>
        </is>
      </c>
      <c r="C833" s="12" t="n">
        <v>0.77</v>
      </c>
      <c r="D833" s="12" t="n">
        <v>0.97</v>
      </c>
      <c r="E833" s="12" t="n">
        <v>0.99</v>
      </c>
      <c r="F833" s="12" t="n">
        <v>0.95</v>
      </c>
      <c r="G833" s="12" t="n">
        <v>0.32</v>
      </c>
      <c r="H833" s="9" t="n">
        <v>6</v>
      </c>
      <c r="I833" s="10" t="inlineStr">
        <is>
          <t>2/3</t>
        </is>
      </c>
      <c r="J833" s="12" t="n">
        <v>0.66</v>
      </c>
      <c r="K833" t="inlineStr">
        <is>
          <t>Premium</t>
        </is>
      </c>
      <c r="L833" t="inlineStr">
        <is>
          <t>Professional</t>
        </is>
      </c>
      <c r="M833" t="inlineStr">
        <is>
          <t>Kristin Haase-Alvey</t>
        </is>
      </c>
    </row>
    <row r="834">
      <c r="A834" s="9" t="inlineStr">
        <is>
          <t>Jason Noble</t>
        </is>
      </c>
      <c r="B834" s="9" t="inlineStr">
        <is>
          <t>10/5/25 - 11/1/25</t>
        </is>
      </c>
      <c r="C834" s="12" t="n">
        <v>0.875</v>
      </c>
      <c r="D834" s="12" t="n">
        <v>0.991799999999999</v>
      </c>
      <c r="E834" s="12" t="n">
        <v>0.918699186991869</v>
      </c>
      <c r="F834" s="12" t="n">
        <v>0.9625</v>
      </c>
      <c r="G834" s="12" t="n">
        <v>0.952380952380952</v>
      </c>
      <c r="H834" s="9" t="n">
        <v>14</v>
      </c>
      <c r="I834" s="10" t="inlineStr">
        <is>
          <t>0/2</t>
        </is>
      </c>
      <c r="J834" s="12" t="n">
        <v>0</v>
      </c>
      <c r="K834" t="inlineStr">
        <is>
          <t>Distinguished</t>
        </is>
      </c>
      <c r="L834" t="inlineStr">
        <is>
          <t>Professional</t>
        </is>
      </c>
      <c r="M834" t="inlineStr">
        <is>
          <t>Kristin Haase-Alvey</t>
        </is>
      </c>
    </row>
    <row r="835">
      <c r="A835" s="9" t="inlineStr">
        <is>
          <t>Jason Noble</t>
        </is>
      </c>
      <c r="B835" s="9" t="inlineStr">
        <is>
          <t>11/2/25 - 11/29/25</t>
        </is>
      </c>
      <c r="C835" s="12" t="n">
        <v>0.87</v>
      </c>
      <c r="D835" s="12" t="n">
        <v>0.93</v>
      </c>
      <c r="E835" s="12" t="n">
        <v>0.92</v>
      </c>
      <c r="F835" s="12" t="n">
        <v>0.96</v>
      </c>
      <c r="G835" s="12" t="n">
        <v>0.9</v>
      </c>
      <c r="H835" s="9" t="n">
        <v>8</v>
      </c>
      <c r="I835" s="13" t="n">
        <v>45755</v>
      </c>
      <c r="J835" s="14" t="n">
        <v>0.5</v>
      </c>
      <c r="K835" t="inlineStr">
        <is>
          <t>Distinguished</t>
        </is>
      </c>
      <c r="L835" t="inlineStr">
        <is>
          <t>Professional</t>
        </is>
      </c>
      <c r="M835" t="inlineStr">
        <is>
          <t>Kristin Haase-Alvey</t>
        </is>
      </c>
    </row>
    <row r="836">
      <c r="A836" s="9" t="inlineStr">
        <is>
          <t>Jason Noble</t>
        </is>
      </c>
      <c r="B836" s="9" t="inlineStr">
        <is>
          <t>11/30/25 - 12/27/25</t>
        </is>
      </c>
      <c r="C836" s="12" t="n">
        <v>0.74</v>
      </c>
      <c r="D836" s="12" t="n">
        <v>0.85</v>
      </c>
      <c r="E836" s="12" t="n">
        <v>0.95</v>
      </c>
      <c r="F836" s="12" t="n">
        <v>0.84</v>
      </c>
      <c r="G836" s="12" t="n">
        <v>1</v>
      </c>
      <c r="H836" s="9" t="n">
        <v>16</v>
      </c>
      <c r="I836" s="10" t="n"/>
      <c r="J836" s="12" t="n"/>
      <c r="K836" t="inlineStr">
        <is>
          <t>Distinguished</t>
        </is>
      </c>
      <c r="L836" t="inlineStr">
        <is>
          <t>Professional</t>
        </is>
      </c>
      <c r="M836" t="inlineStr">
        <is>
          <t>Kristin Haase-Alvey</t>
        </is>
      </c>
    </row>
    <row r="837">
      <c r="A837" s="9" t="inlineStr">
        <is>
          <t>Jason Noble</t>
        </is>
      </c>
      <c r="B837" s="9" t="inlineStr">
        <is>
          <t>12/28/25 - 1/25/26</t>
        </is>
      </c>
      <c r="C837" s="12" t="n">
        <v>0.9</v>
      </c>
      <c r="D837" s="12" t="n">
        <v>1.0987</v>
      </c>
      <c r="E837" s="12" t="n">
        <v>0.9375</v>
      </c>
      <c r="F837" s="12" t="n">
        <v>0.959459459</v>
      </c>
      <c r="G837" s="12" t="n">
        <v>0.85</v>
      </c>
      <c r="H837" s="9" t="n">
        <v>16</v>
      </c>
      <c r="I837" s="10" t="n">
        <v>0.5</v>
      </c>
      <c r="J837" s="12">
        <f>I837</f>
        <v/>
      </c>
      <c r="K837" t="inlineStr">
        <is>
          <t>Distinguished</t>
        </is>
      </c>
      <c r="L837" t="inlineStr">
        <is>
          <t>Professional</t>
        </is>
      </c>
      <c r="M837" t="inlineStr">
        <is>
          <t>Kristin Haase-Alvey</t>
        </is>
      </c>
    </row>
    <row r="838">
      <c r="A838" s="9" t="inlineStr">
        <is>
          <t>Jason Noble</t>
        </is>
      </c>
      <c r="B838" s="9" t="inlineStr">
        <is>
          <t>5/18/25 - 6/14/25</t>
        </is>
      </c>
      <c r="C838" s="12" t="n">
        <v>0.6</v>
      </c>
      <c r="D838" s="12" t="n">
        <v>0.9399999999999999</v>
      </c>
      <c r="E838" s="12" t="n">
        <v>0.88</v>
      </c>
      <c r="F838" s="12" t="n">
        <v>0.97</v>
      </c>
      <c r="G838" s="12" t="n">
        <v>0.33</v>
      </c>
      <c r="H838" s="9" t="n">
        <v>5</v>
      </c>
      <c r="I838" s="10" t="n">
        <v>0</v>
      </c>
      <c r="J838" s="12">
        <f>I838</f>
        <v/>
      </c>
      <c r="K838" t="inlineStr">
        <is>
          <t>Distinguished</t>
        </is>
      </c>
      <c r="L838" t="inlineStr">
        <is>
          <t>Professional</t>
        </is>
      </c>
      <c r="M838" t="inlineStr">
        <is>
          <t>Kristin Haase-Alvey</t>
        </is>
      </c>
    </row>
    <row r="839">
      <c r="A839" s="9" t="inlineStr">
        <is>
          <t>Jason Noble</t>
        </is>
      </c>
      <c r="B839" s="9" t="inlineStr">
        <is>
          <t>6/15/25 - 7/12/25</t>
        </is>
      </c>
      <c r="C839" s="12" t="n">
        <v>0.14</v>
      </c>
      <c r="D839" s="12" t="n">
        <v>0.47</v>
      </c>
      <c r="E839" s="12" t="n">
        <v>0.95</v>
      </c>
      <c r="F839" s="12" t="n">
        <v>0.83</v>
      </c>
      <c r="G839" s="12" t="n">
        <v>0.58</v>
      </c>
      <c r="H839" s="9" t="n">
        <v>2</v>
      </c>
      <c r="I839" s="10" t="n">
        <v>1</v>
      </c>
      <c r="J839" s="12">
        <f>I839</f>
        <v/>
      </c>
      <c r="K839" t="inlineStr">
        <is>
          <t>Distinguished</t>
        </is>
      </c>
      <c r="L839" t="inlineStr">
        <is>
          <t>Professional</t>
        </is>
      </c>
      <c r="M839" t="inlineStr">
        <is>
          <t>Kristin Haase-Alvey</t>
        </is>
      </c>
    </row>
    <row r="840">
      <c r="A840" s="9" t="inlineStr">
        <is>
          <t>Jason Noble</t>
        </is>
      </c>
      <c r="B840" s="9" t="inlineStr">
        <is>
          <t>7/13/25 - 8/10/25</t>
        </is>
      </c>
      <c r="C840" s="12" t="n">
        <v>0.53</v>
      </c>
      <c r="D840" s="12" t="n">
        <v>1.02</v>
      </c>
      <c r="E840" s="12" t="n">
        <v>0.96</v>
      </c>
      <c r="F840" s="12" t="n">
        <v>0.9</v>
      </c>
      <c r="G840" s="12" t="n">
        <v>0.75</v>
      </c>
      <c r="H840" s="9" t="n">
        <v>5</v>
      </c>
      <c r="I840" s="10" t="inlineStr">
        <is>
          <t xml:space="preserve"> 1/8</t>
        </is>
      </c>
      <c r="J840" s="12" t="n">
        <v>0.13</v>
      </c>
      <c r="K840" t="inlineStr">
        <is>
          <t>Distinguished</t>
        </is>
      </c>
      <c r="L840" t="inlineStr">
        <is>
          <t>Professional</t>
        </is>
      </c>
      <c r="M840" t="inlineStr">
        <is>
          <t>Kristin Haase-Alvey</t>
        </is>
      </c>
    </row>
    <row r="841">
      <c r="A841" s="9" t="inlineStr">
        <is>
          <t>Jason Noble</t>
        </is>
      </c>
      <c r="B841" s="9" t="inlineStr">
        <is>
          <t>8/10/25 - 9/6/25</t>
        </is>
      </c>
      <c r="C841" s="12" t="n">
        <v>0.72</v>
      </c>
      <c r="D841" s="12" t="n">
        <v>1.07</v>
      </c>
      <c r="E841" s="12" t="n">
        <v>0.95</v>
      </c>
      <c r="F841" s="12" t="n">
        <v>0.97</v>
      </c>
      <c r="G841" s="12" t="n">
        <v>0.92</v>
      </c>
      <c r="H841" s="9" t="n">
        <v>6</v>
      </c>
      <c r="I841" s="10" t="inlineStr">
        <is>
          <t>2/5</t>
        </is>
      </c>
      <c r="J841" s="12" t="n">
        <v>0.4</v>
      </c>
      <c r="K841" t="inlineStr">
        <is>
          <t>Distinguished</t>
        </is>
      </c>
      <c r="L841" t="inlineStr">
        <is>
          <t>Professional</t>
        </is>
      </c>
      <c r="M841" t="inlineStr">
        <is>
          <t>Kristin Haase-Alvey</t>
        </is>
      </c>
    </row>
    <row r="842">
      <c r="A842" s="9" t="inlineStr">
        <is>
          <t>Jason Noble</t>
        </is>
      </c>
      <c r="B842" s="9" t="inlineStr">
        <is>
          <t>9/7/25 - 10/4/25</t>
        </is>
      </c>
      <c r="C842" s="12" t="n">
        <v>0.95</v>
      </c>
      <c r="D842" s="12" t="n">
        <v>0.96</v>
      </c>
      <c r="E842" s="12" t="n">
        <v>0.92</v>
      </c>
      <c r="F842" s="12" t="n">
        <v>1</v>
      </c>
      <c r="G842" s="12" t="n">
        <v>0.88</v>
      </c>
      <c r="H842" s="9" t="n">
        <v>12</v>
      </c>
      <c r="I842" s="10" t="inlineStr">
        <is>
          <t>0/3</t>
        </is>
      </c>
      <c r="J842" s="12" t="n">
        <v>0</v>
      </c>
      <c r="K842" t="inlineStr">
        <is>
          <t>Distinguished</t>
        </is>
      </c>
      <c r="L842" t="inlineStr">
        <is>
          <t>Professional</t>
        </is>
      </c>
      <c r="M842" t="inlineStr">
        <is>
          <t>Kristin Haase-Alvey</t>
        </is>
      </c>
    </row>
    <row r="843">
      <c r="A843" s="9" t="inlineStr">
        <is>
          <t>Jayna Boaz</t>
        </is>
      </c>
      <c r="B843" s="9" t="inlineStr">
        <is>
          <t>10/5/25 - 11/1/25</t>
        </is>
      </c>
      <c r="C843" s="12" t="n">
        <v>1.05209999999999</v>
      </c>
      <c r="D843" s="12" t="n">
        <v>1.51949999999999</v>
      </c>
      <c r="E843" s="12" t="n">
        <v>0.792452830188679</v>
      </c>
      <c r="F843" s="12" t="n">
        <v>0.6875</v>
      </c>
      <c r="G843" s="12" t="n">
        <v>0.555555555555555</v>
      </c>
      <c r="H843" s="9" t="n">
        <v>2</v>
      </c>
      <c r="I843" s="10" t="inlineStr">
        <is>
          <t>0/1</t>
        </is>
      </c>
      <c r="J843" s="12" t="n">
        <v>0</v>
      </c>
      <c r="K843" t="inlineStr">
        <is>
          <t>Advanced</t>
        </is>
      </c>
      <c r="L843" t="inlineStr">
        <is>
          <t>Adjunct</t>
        </is>
      </c>
      <c r="M843" t="inlineStr">
        <is>
          <t>Ela Cross</t>
        </is>
      </c>
    </row>
    <row r="844">
      <c r="A844" s="9" t="inlineStr">
        <is>
          <t>Jayna Boaz</t>
        </is>
      </c>
      <c r="B844" s="9" t="inlineStr">
        <is>
          <t>11/2/25 - 11/29/25</t>
        </is>
      </c>
      <c r="C844" s="12" t="n">
        <v>1.03</v>
      </c>
      <c r="D844" s="12" t="n">
        <v>1.54</v>
      </c>
      <c r="E844" s="12" t="n">
        <v>0.92</v>
      </c>
      <c r="F844" s="12" t="n">
        <v>0.96</v>
      </c>
      <c r="G844" s="12" t="n">
        <v>1</v>
      </c>
      <c r="H844" s="9" t="n">
        <v>2</v>
      </c>
      <c r="I844" s="13" t="n">
        <v>45691</v>
      </c>
      <c r="J844" s="14" t="n">
        <v>0.67</v>
      </c>
      <c r="K844" t="inlineStr">
        <is>
          <t>Advanced</t>
        </is>
      </c>
      <c r="L844" t="inlineStr">
        <is>
          <t>Adjunct</t>
        </is>
      </c>
      <c r="M844" t="inlineStr">
        <is>
          <t>Ela Cross</t>
        </is>
      </c>
    </row>
    <row r="845">
      <c r="A845" s="9" t="inlineStr">
        <is>
          <t>Jayna Boaz</t>
        </is>
      </c>
      <c r="B845" s="9" t="inlineStr">
        <is>
          <t>11/30/25 - 12/27/25</t>
        </is>
      </c>
      <c r="C845" s="12" t="n">
        <v>1</v>
      </c>
      <c r="D845" s="12" t="n">
        <v>1.34</v>
      </c>
      <c r="E845" s="12" t="n">
        <v>0.9</v>
      </c>
      <c r="F845" s="12" t="n">
        <v>0.9</v>
      </c>
      <c r="G845" s="12" t="n">
        <v>0.44</v>
      </c>
      <c r="H845" s="9" t="n">
        <v>5</v>
      </c>
      <c r="I845" s="10" t="n">
        <v>0.2</v>
      </c>
      <c r="J845" s="12">
        <f>1/5</f>
        <v/>
      </c>
      <c r="K845" t="inlineStr">
        <is>
          <t>Advanced</t>
        </is>
      </c>
      <c r="L845" t="inlineStr">
        <is>
          <t>Adjunct</t>
        </is>
      </c>
      <c r="M845" t="inlineStr">
        <is>
          <t>Ela Cross</t>
        </is>
      </c>
    </row>
    <row r="846">
      <c r="A846" s="9" t="inlineStr">
        <is>
          <t>Jayna Boaz</t>
        </is>
      </c>
      <c r="B846" s="9" t="inlineStr">
        <is>
          <t>12/28/25 - 1/25/26</t>
        </is>
      </c>
      <c r="C846" s="12" t="n">
        <v>1.1354</v>
      </c>
      <c r="D846" s="12" t="n">
        <v>1.1719</v>
      </c>
      <c r="E846" s="12" t="n">
        <v>0.942307692</v>
      </c>
      <c r="F846" s="12" t="n">
        <v>0.694444444</v>
      </c>
      <c r="G846" s="12" t="n">
        <v>0.125</v>
      </c>
      <c r="H846" s="9" t="n">
        <v>7</v>
      </c>
      <c r="I846" s="10" t="inlineStr">
        <is>
          <t>0/2</t>
        </is>
      </c>
      <c r="J846" s="12" t="n">
        <v>0</v>
      </c>
      <c r="K846" t="inlineStr">
        <is>
          <t>Advanced</t>
        </is>
      </c>
      <c r="L846" t="inlineStr">
        <is>
          <t>Adjunct</t>
        </is>
      </c>
      <c r="M846" t="inlineStr">
        <is>
          <t>Ela Cross</t>
        </is>
      </c>
    </row>
    <row r="847">
      <c r="A847" s="9" t="inlineStr">
        <is>
          <t>Jayna Boaz</t>
        </is>
      </c>
      <c r="B847" s="9" t="inlineStr">
        <is>
          <t>9/7/25 - 10/4/25</t>
        </is>
      </c>
      <c r="C847" s="12" t="n">
        <v>1.39</v>
      </c>
      <c r="D847" s="12" t="n">
        <v>1.93</v>
      </c>
      <c r="E847" s="12" t="n">
        <v>0.9399999999999999</v>
      </c>
      <c r="F847" s="12" t="n">
        <v>0.93</v>
      </c>
      <c r="G847" s="12" t="n">
        <v>0.4</v>
      </c>
      <c r="H847" s="9" t="n">
        <v>0</v>
      </c>
      <c r="I847" s="10" t="inlineStr">
        <is>
          <t>0/6</t>
        </is>
      </c>
      <c r="J847" s="12" t="n">
        <v>0</v>
      </c>
      <c r="K847" t="inlineStr">
        <is>
          <t>Advanced</t>
        </is>
      </c>
      <c r="L847" t="inlineStr">
        <is>
          <t>Adjunct</t>
        </is>
      </c>
      <c r="M847" t="inlineStr">
        <is>
          <t>Ela Cross</t>
        </is>
      </c>
    </row>
    <row r="848">
      <c r="A848" s="9" t="inlineStr">
        <is>
          <t>Jennifer Hernandez</t>
        </is>
      </c>
      <c r="B848" s="9" t="inlineStr">
        <is>
          <t>10/5/25 - 11/1/25</t>
        </is>
      </c>
      <c r="C848" s="12" t="n">
        <v>0.7188</v>
      </c>
      <c r="D848" s="12" t="n">
        <v>1.0755</v>
      </c>
      <c r="E848" s="12" t="n">
        <v>0.982758620689655</v>
      </c>
      <c r="F848" s="12" t="n">
        <v>0.97560975609756</v>
      </c>
      <c r="G848" s="12" t="n">
        <v>1</v>
      </c>
      <c r="H848" s="9" t="n">
        <v>3</v>
      </c>
      <c r="I848" s="10" t="inlineStr">
        <is>
          <t>3/3</t>
        </is>
      </c>
      <c r="J848" s="12" t="n">
        <v>1</v>
      </c>
      <c r="K848" t="inlineStr">
        <is>
          <t>Distinguished</t>
        </is>
      </c>
      <c r="L848" t="inlineStr">
        <is>
          <t>Adjunct</t>
        </is>
      </c>
      <c r="M848" t="inlineStr">
        <is>
          <t>Kristin Haase-Alvey</t>
        </is>
      </c>
    </row>
    <row r="849">
      <c r="A849" s="9" t="inlineStr">
        <is>
          <t>Jennifer Hernandez</t>
        </is>
      </c>
      <c r="B849" s="9" t="inlineStr">
        <is>
          <t>11/2/25 - 11/29/25</t>
        </is>
      </c>
      <c r="C849" s="12" t="n">
        <v>0.74</v>
      </c>
      <c r="D849" s="12" t="n">
        <v>1.1</v>
      </c>
      <c r="E849" s="12" t="n">
        <v>1</v>
      </c>
      <c r="F849" s="12" t="n">
        <v>0.97</v>
      </c>
      <c r="G849" s="12" t="n">
        <v>1</v>
      </c>
      <c r="H849" s="9" t="n">
        <v>3</v>
      </c>
      <c r="I849" s="13" t="n"/>
      <c r="J849" s="9" t="n"/>
      <c r="K849" t="inlineStr">
        <is>
          <t>Distinguished</t>
        </is>
      </c>
      <c r="L849" t="inlineStr">
        <is>
          <t>Adjunct</t>
        </is>
      </c>
      <c r="M849" t="inlineStr">
        <is>
          <t>Kristin Haase-Alvey</t>
        </is>
      </c>
    </row>
    <row r="850">
      <c r="A850" s="9" t="inlineStr">
        <is>
          <t>Jennifer Hernandez</t>
        </is>
      </c>
      <c r="B850" s="9" t="inlineStr">
        <is>
          <t>11/30/25 - 12/27/25</t>
        </is>
      </c>
      <c r="C850" s="12" t="n">
        <v>0.55</v>
      </c>
      <c r="D850" s="12" t="n">
        <v>0.86</v>
      </c>
      <c r="E850" s="12" t="n">
        <v>1</v>
      </c>
      <c r="F850" s="12" t="n">
        <v>1</v>
      </c>
      <c r="G850" s="12" t="n">
        <v>0.93</v>
      </c>
      <c r="H850" s="9" t="n">
        <v>4</v>
      </c>
      <c r="I850" s="10" t="n">
        <v>1</v>
      </c>
      <c r="J850" s="12" t="n">
        <v>1</v>
      </c>
      <c r="K850" t="inlineStr">
        <is>
          <t>Distinguished</t>
        </is>
      </c>
      <c r="L850" t="inlineStr">
        <is>
          <t>Adjunct</t>
        </is>
      </c>
      <c r="M850" t="inlineStr">
        <is>
          <t>Kristin Haase-Alvey</t>
        </is>
      </c>
    </row>
    <row r="851">
      <c r="A851" s="9" t="inlineStr">
        <is>
          <t>Jennifer Hernandez</t>
        </is>
      </c>
      <c r="B851" s="9" t="inlineStr">
        <is>
          <t>12/28/25 - 1/25/26</t>
        </is>
      </c>
      <c r="C851" s="12" t="n">
        <v>0.35</v>
      </c>
      <c r="D851" s="12" t="n">
        <v>0.9271</v>
      </c>
      <c r="E851" s="12" t="n">
        <v>1</v>
      </c>
      <c r="F851" s="12" t="n">
        <v>1</v>
      </c>
      <c r="G851" s="12" t="n">
        <v>1</v>
      </c>
      <c r="H851" s="9" t="n">
        <v>0</v>
      </c>
      <c r="I851" s="10" t="inlineStr">
        <is>
          <t>0/0</t>
        </is>
      </c>
      <c r="J851" s="12" t="n">
        <v>0</v>
      </c>
      <c r="K851" t="inlineStr">
        <is>
          <t>Distinguished</t>
        </is>
      </c>
      <c r="L851" t="inlineStr">
        <is>
          <t>Adjunct</t>
        </is>
      </c>
      <c r="M851" t="inlineStr">
        <is>
          <t>Kristin Haase-Alvey</t>
        </is>
      </c>
    </row>
    <row r="852">
      <c r="A852" s="9" t="inlineStr">
        <is>
          <t>Jennifer Hernandez</t>
        </is>
      </c>
      <c r="B852" s="9" t="inlineStr">
        <is>
          <t>5/18/25 - 6/14/25</t>
        </is>
      </c>
      <c r="C852" s="12" t="n">
        <v>0.49</v>
      </c>
      <c r="D852" s="12" t="n">
        <v>0.96</v>
      </c>
      <c r="E852" s="12" t="n">
        <v>1</v>
      </c>
      <c r="F852" s="12" t="n">
        <v>1</v>
      </c>
      <c r="G852" s="12" t="n">
        <v>0.89</v>
      </c>
      <c r="H852" s="9" t="n">
        <v>4</v>
      </c>
      <c r="I852" s="10" t="n">
        <v>1</v>
      </c>
      <c r="J852" s="12">
        <f>I852</f>
        <v/>
      </c>
      <c r="K852" t="inlineStr">
        <is>
          <t>Distinguished</t>
        </is>
      </c>
      <c r="L852" t="inlineStr">
        <is>
          <t>Adjunct</t>
        </is>
      </c>
      <c r="M852" t="inlineStr">
        <is>
          <t>Kristin Haase-Alvey</t>
        </is>
      </c>
    </row>
    <row r="853">
      <c r="A853" s="9" t="inlineStr">
        <is>
          <t>Jennifer Hernandez</t>
        </is>
      </c>
      <c r="B853" s="9" t="inlineStr">
        <is>
          <t>6/15/25 - 7/12/25</t>
        </is>
      </c>
      <c r="C853" s="12" t="n">
        <v>0.33</v>
      </c>
      <c r="D853" s="12" t="n">
        <v>1.05</v>
      </c>
      <c r="E853" s="12" t="n">
        <v>1</v>
      </c>
      <c r="F853" s="12" t="n">
        <v>1</v>
      </c>
      <c r="G853" s="12" t="n">
        <v>0.91</v>
      </c>
      <c r="H853" s="9" t="n">
        <v>4</v>
      </c>
      <c r="J853" s="9" t="n"/>
      <c r="K853" t="inlineStr">
        <is>
          <t>Distinguished</t>
        </is>
      </c>
      <c r="L853" t="inlineStr">
        <is>
          <t>Adjunct</t>
        </is>
      </c>
      <c r="M853" t="inlineStr">
        <is>
          <t>Kristin Haase-Alvey</t>
        </is>
      </c>
    </row>
    <row r="854">
      <c r="A854" s="9" t="inlineStr">
        <is>
          <t>Jennifer Hernandez</t>
        </is>
      </c>
      <c r="B854" s="9" t="inlineStr">
        <is>
          <t>7/13/25 - 8/10/25</t>
        </is>
      </c>
      <c r="C854" s="12" t="n">
        <v>0.4</v>
      </c>
      <c r="D854" s="12" t="n">
        <v>1</v>
      </c>
      <c r="E854" s="12" t="n">
        <v>1</v>
      </c>
      <c r="F854" s="12" t="n">
        <v>1</v>
      </c>
      <c r="G854" s="12" t="n">
        <v>0.88</v>
      </c>
      <c r="H854" s="9" t="n">
        <v>3</v>
      </c>
      <c r="I854" s="10" t="n">
        <v>1</v>
      </c>
      <c r="J854" s="12">
        <f>I854</f>
        <v/>
      </c>
      <c r="K854" t="inlineStr">
        <is>
          <t>Distinguished</t>
        </is>
      </c>
      <c r="L854" t="inlineStr">
        <is>
          <t>Adjunct</t>
        </is>
      </c>
      <c r="M854" t="inlineStr">
        <is>
          <t>Kristin Haase-Alvey</t>
        </is>
      </c>
    </row>
    <row r="855">
      <c r="A855" s="9" t="inlineStr">
        <is>
          <t>Jennifer Hernandez</t>
        </is>
      </c>
      <c r="B855" s="9" t="inlineStr">
        <is>
          <t>8/10/25 - 9/6/25</t>
        </is>
      </c>
      <c r="C855" s="12" t="n">
        <v>0.53</v>
      </c>
      <c r="D855" s="12" t="n">
        <v>1</v>
      </c>
      <c r="E855" s="12" t="n">
        <v>1</v>
      </c>
      <c r="F855" s="12" t="n">
        <v>0.93</v>
      </c>
      <c r="G855" s="12" t="n">
        <v>0.89</v>
      </c>
      <c r="H855" s="9" t="n">
        <v>4</v>
      </c>
      <c r="I855" s="11" t="n"/>
      <c r="J855" s="9" t="n"/>
      <c r="K855" t="inlineStr">
        <is>
          <t>Distinguished</t>
        </is>
      </c>
      <c r="L855" t="inlineStr">
        <is>
          <t>Adjunct</t>
        </is>
      </c>
      <c r="M855" t="inlineStr">
        <is>
          <t>Kristin Haase-Alvey</t>
        </is>
      </c>
    </row>
    <row r="856">
      <c r="A856" s="9" t="inlineStr">
        <is>
          <t>Jennifer Hernandez</t>
        </is>
      </c>
      <c r="B856" s="9" t="inlineStr">
        <is>
          <t>9/7/25 - 10/4/25</t>
        </is>
      </c>
      <c r="C856" s="12" t="n">
        <v>0.52</v>
      </c>
      <c r="D856" s="12" t="n">
        <v>1.04</v>
      </c>
      <c r="E856" s="12" t="n">
        <v>1</v>
      </c>
      <c r="F856" s="12" t="n">
        <v>0.97</v>
      </c>
      <c r="G856" s="12" t="n">
        <v>0.83</v>
      </c>
      <c r="H856" s="9" t="n">
        <v>1</v>
      </c>
      <c r="I856" s="10" t="inlineStr">
        <is>
          <t>2/2</t>
        </is>
      </c>
      <c r="J856" s="12" t="n">
        <v>1</v>
      </c>
      <c r="K856" t="inlineStr">
        <is>
          <t>Distinguished</t>
        </is>
      </c>
      <c r="L856" t="inlineStr">
        <is>
          <t>Adjunct</t>
        </is>
      </c>
      <c r="M856" t="inlineStr">
        <is>
          <t>Kristin Haase-Alvey</t>
        </is>
      </c>
    </row>
    <row r="857">
      <c r="A857" s="9" t="inlineStr">
        <is>
          <t>Jesse Squires</t>
        </is>
      </c>
      <c r="B857" s="9" t="inlineStr">
        <is>
          <t>10/5/25 - 11/1/25</t>
        </is>
      </c>
      <c r="C857" s="12" t="n">
        <v>0.9292</v>
      </c>
      <c r="D857" s="12" t="n">
        <v>0.9589</v>
      </c>
      <c r="E857" s="12" t="n">
        <v>1</v>
      </c>
      <c r="F857" s="12" t="n">
        <v>0.963414634146341</v>
      </c>
      <c r="G857" s="12" t="n">
        <v>0.68</v>
      </c>
      <c r="H857" s="9" t="n">
        <v>6</v>
      </c>
      <c r="I857" s="10" t="inlineStr">
        <is>
          <t>2/2</t>
        </is>
      </c>
      <c r="J857" s="12" t="n">
        <v>1</v>
      </c>
      <c r="K857" t="inlineStr">
        <is>
          <t>Distinguished</t>
        </is>
      </c>
      <c r="L857" t="inlineStr">
        <is>
          <t>Professional</t>
        </is>
      </c>
      <c r="M857" t="inlineStr">
        <is>
          <t>Kristin Haase-Alvey</t>
        </is>
      </c>
    </row>
    <row r="858">
      <c r="A858" s="9" t="inlineStr">
        <is>
          <t>Jesse Squires</t>
        </is>
      </c>
      <c r="B858" s="9" t="inlineStr">
        <is>
          <t>11/2/25 - 11/29/25</t>
        </is>
      </c>
      <c r="C858" s="12" t="n">
        <v>0.83</v>
      </c>
      <c r="D858" s="12" t="n">
        <v>0.91</v>
      </c>
      <c r="E858" s="12" t="n">
        <v>1</v>
      </c>
      <c r="F858" s="12" t="n">
        <v>0.99</v>
      </c>
      <c r="G858" s="12" t="n">
        <v>0.83</v>
      </c>
      <c r="H858" s="9" t="n">
        <v>3</v>
      </c>
      <c r="I858" s="13" t="n">
        <v>45660</v>
      </c>
      <c r="J858" s="14">
        <f>1/3</f>
        <v/>
      </c>
      <c r="K858" t="inlineStr">
        <is>
          <t>Distinguished</t>
        </is>
      </c>
      <c r="L858" t="inlineStr">
        <is>
          <t>Professional</t>
        </is>
      </c>
      <c r="M858" t="inlineStr">
        <is>
          <t>Kristin Haase-Alvey</t>
        </is>
      </c>
    </row>
    <row r="859">
      <c r="A859" s="9" t="inlineStr">
        <is>
          <t>Jesse Squires</t>
        </is>
      </c>
      <c r="B859" s="9" t="inlineStr">
        <is>
          <t>11/30/25 - 12/27/25</t>
        </is>
      </c>
      <c r="C859" s="12" t="n">
        <v>0.64</v>
      </c>
      <c r="D859" s="12" t="n">
        <v>0.89</v>
      </c>
      <c r="E859" s="12" t="n">
        <v>1</v>
      </c>
      <c r="F859" s="12" t="n">
        <v>1</v>
      </c>
      <c r="G859" s="12" t="n">
        <v>0.95</v>
      </c>
      <c r="H859" s="9" t="n">
        <v>4</v>
      </c>
      <c r="I859" s="10" t="n">
        <v>0.8571428571428571</v>
      </c>
      <c r="J859" s="12">
        <f>6/7</f>
        <v/>
      </c>
      <c r="K859" t="inlineStr">
        <is>
          <t>Distinguished</t>
        </is>
      </c>
      <c r="L859" t="inlineStr">
        <is>
          <t>Professional</t>
        </is>
      </c>
      <c r="M859" t="inlineStr">
        <is>
          <t>Kristin Haase-Alvey</t>
        </is>
      </c>
    </row>
    <row r="860">
      <c r="A860" s="9" t="inlineStr">
        <is>
          <t>Jesse Squires</t>
        </is>
      </c>
      <c r="B860" s="9" t="inlineStr">
        <is>
          <t>12/28/25 - 1/25/26</t>
        </is>
      </c>
      <c r="C860" s="12" t="n">
        <v>0.8583</v>
      </c>
      <c r="D860" s="12" t="n">
        <v>0.903</v>
      </c>
      <c r="E860" s="12" t="n">
        <v>1</v>
      </c>
      <c r="F860" s="12" t="n">
        <v>0.9487179489999999</v>
      </c>
      <c r="G860" s="12" t="n">
        <v>0.8</v>
      </c>
      <c r="H860" s="9" t="n">
        <v>15</v>
      </c>
      <c r="I860" s="10" t="n">
        <v>0.5</v>
      </c>
      <c r="J860" s="12">
        <f>I860</f>
        <v/>
      </c>
      <c r="K860" t="inlineStr">
        <is>
          <t>Distinguished</t>
        </is>
      </c>
      <c r="L860" t="inlineStr">
        <is>
          <t>Professional</t>
        </is>
      </c>
      <c r="M860" t="inlineStr">
        <is>
          <t>Kristin Haase-Alvey</t>
        </is>
      </c>
    </row>
    <row r="861">
      <c r="A861" s="9" t="inlineStr">
        <is>
          <t>Jesse Squires</t>
        </is>
      </c>
      <c r="B861" s="9" t="inlineStr">
        <is>
          <t>5/18/25 - 6/14/25</t>
        </is>
      </c>
      <c r="C861" s="12" t="n">
        <v>0.83</v>
      </c>
      <c r="D861" s="12" t="n">
        <v>1.01</v>
      </c>
      <c r="E861" s="12" t="n">
        <v>0.97</v>
      </c>
      <c r="F861" s="12" t="n">
        <v>0.96</v>
      </c>
      <c r="G861" s="12" t="n">
        <v>0.38</v>
      </c>
      <c r="H861" s="9" t="n">
        <v>2</v>
      </c>
      <c r="I861" s="10" t="n">
        <v>0</v>
      </c>
      <c r="J861" s="12">
        <f>I861</f>
        <v/>
      </c>
      <c r="K861" t="inlineStr">
        <is>
          <t>Distinguished</t>
        </is>
      </c>
      <c r="L861" t="inlineStr">
        <is>
          <t>Professional</t>
        </is>
      </c>
      <c r="M861" t="inlineStr">
        <is>
          <t>Kristin Haase-Alvey</t>
        </is>
      </c>
    </row>
    <row r="862">
      <c r="A862" s="9" t="inlineStr">
        <is>
          <t>Jesse Squires</t>
        </is>
      </c>
      <c r="B862" s="9" t="inlineStr">
        <is>
          <t>6/15/25 - 7/12/25</t>
        </is>
      </c>
      <c r="C862" s="12" t="n">
        <v>0.63</v>
      </c>
      <c r="D862" s="12" t="n">
        <v>1.08</v>
      </c>
      <c r="E862" s="12" t="n">
        <v>1</v>
      </c>
      <c r="F862" s="12" t="n">
        <v>0.91</v>
      </c>
      <c r="G862" s="12" t="n">
        <v>0.82</v>
      </c>
      <c r="H862" s="9" t="n">
        <v>2</v>
      </c>
      <c r="J862" s="9" t="n"/>
      <c r="K862" t="inlineStr">
        <is>
          <t>Distinguished</t>
        </is>
      </c>
      <c r="L862" t="inlineStr">
        <is>
          <t>Professional</t>
        </is>
      </c>
      <c r="M862" t="inlineStr">
        <is>
          <t>Kristin Haase-Alvey</t>
        </is>
      </c>
    </row>
    <row r="863">
      <c r="A863" s="9" t="inlineStr">
        <is>
          <t>Jesse Squires</t>
        </is>
      </c>
      <c r="B863" s="9" t="inlineStr">
        <is>
          <t>7/13/25 - 8/10/25</t>
        </is>
      </c>
      <c r="C863" s="12" t="n">
        <v>0.4</v>
      </c>
      <c r="D863" s="12" t="n">
        <v>0.89</v>
      </c>
      <c r="E863" s="12" t="n">
        <v>1</v>
      </c>
      <c r="F863" s="12" t="n">
        <v>1</v>
      </c>
      <c r="G863" s="12" t="n">
        <v>0.77</v>
      </c>
      <c r="H863" s="9" t="n">
        <v>2</v>
      </c>
      <c r="I863" s="10" t="n">
        <v>1</v>
      </c>
      <c r="J863" s="12">
        <f>I863</f>
        <v/>
      </c>
      <c r="K863" t="inlineStr">
        <is>
          <t>Distinguished</t>
        </is>
      </c>
      <c r="L863" t="inlineStr">
        <is>
          <t>Professional</t>
        </is>
      </c>
      <c r="M863" t="inlineStr">
        <is>
          <t>Kristin Haase-Alvey</t>
        </is>
      </c>
    </row>
    <row r="864">
      <c r="A864" s="9" t="inlineStr">
        <is>
          <t>Jesse Squires</t>
        </is>
      </c>
      <c r="B864" s="9" t="inlineStr">
        <is>
          <t>8/10/25 - 9/6/25</t>
        </is>
      </c>
      <c r="C864" s="12" t="n">
        <v>0.65</v>
      </c>
      <c r="D864" s="12" t="n">
        <v>0.97</v>
      </c>
      <c r="E864" s="12" t="n">
        <v>1</v>
      </c>
      <c r="F864" s="12" t="n">
        <v>0.95</v>
      </c>
      <c r="G864" s="12" t="n">
        <v>0.7</v>
      </c>
      <c r="H864" s="9" t="n">
        <v>2</v>
      </c>
      <c r="I864" s="10" t="inlineStr">
        <is>
          <t>8/9</t>
        </is>
      </c>
      <c r="J864" s="12" t="n">
        <v>0.89</v>
      </c>
      <c r="K864" t="inlineStr">
        <is>
          <t>Distinguished</t>
        </is>
      </c>
      <c r="L864" t="inlineStr">
        <is>
          <t>Professional</t>
        </is>
      </c>
      <c r="M864" t="inlineStr">
        <is>
          <t>Kristin Haase-Alvey</t>
        </is>
      </c>
    </row>
    <row r="865">
      <c r="A865" s="9" t="inlineStr">
        <is>
          <t>Jesse Squires</t>
        </is>
      </c>
      <c r="B865" s="9" t="inlineStr">
        <is>
          <t>9/7/25 - 10/4/25</t>
        </is>
      </c>
      <c r="C865" s="12" t="n">
        <v>0.86</v>
      </c>
      <c r="D865" s="12" t="n">
        <v>1.02</v>
      </c>
      <c r="E865" s="12" t="n">
        <v>1</v>
      </c>
      <c r="F865" s="12" t="n">
        <v>0.97</v>
      </c>
      <c r="G865" s="12" t="n">
        <v>0.79</v>
      </c>
      <c r="H865" s="9" t="n">
        <v>9</v>
      </c>
      <c r="I865" s="10" t="inlineStr">
        <is>
          <t>6/11</t>
        </is>
      </c>
      <c r="J865" s="12" t="n">
        <v>0.55</v>
      </c>
      <c r="K865" t="inlineStr">
        <is>
          <t>Distinguished</t>
        </is>
      </c>
      <c r="L865" t="inlineStr">
        <is>
          <t>Professional</t>
        </is>
      </c>
      <c r="M865" t="inlineStr">
        <is>
          <t>Kristin Haase-Alvey</t>
        </is>
      </c>
    </row>
    <row r="866">
      <c r="A866" s="9" t="inlineStr">
        <is>
          <t>Jessica Menkhus</t>
        </is>
      </c>
      <c r="B866" s="9" t="inlineStr">
        <is>
          <t>10/5/25 - 11/1/25</t>
        </is>
      </c>
      <c r="C866" s="12" t="n">
        <v>0.8229</v>
      </c>
      <c r="D866" s="12" t="n">
        <v>1.3789</v>
      </c>
      <c r="E866" s="12" t="n">
        <v>0.972972972972972</v>
      </c>
      <c r="F866" s="12" t="n">
        <v>1</v>
      </c>
      <c r="G866" s="12" t="n">
        <v>1</v>
      </c>
      <c r="H866" s="9" t="n">
        <v>2</v>
      </c>
      <c r="I866" s="10" t="inlineStr">
        <is>
          <t>1/2</t>
        </is>
      </c>
      <c r="J866" s="12" t="n">
        <v>0.5</v>
      </c>
      <c r="K866" t="inlineStr">
        <is>
          <t>Premium</t>
        </is>
      </c>
      <c r="L866" t="inlineStr">
        <is>
          <t>Adjunct</t>
        </is>
      </c>
      <c r="M866" t="inlineStr">
        <is>
          <t>Ela Cross</t>
        </is>
      </c>
    </row>
    <row r="867">
      <c r="A867" s="9" t="inlineStr">
        <is>
          <t>Jessica Menkhus</t>
        </is>
      </c>
      <c r="B867" s="9" t="inlineStr">
        <is>
          <t>11/2/25 - 11/29/25</t>
        </is>
      </c>
      <c r="C867" s="12" t="n">
        <v>0.83</v>
      </c>
      <c r="D867" s="12" t="n">
        <v>1.31</v>
      </c>
      <c r="E867" s="12" t="n">
        <v>1</v>
      </c>
      <c r="F867" s="12" t="n">
        <v>0.96</v>
      </c>
      <c r="G867" s="12" t="n">
        <v>1</v>
      </c>
      <c r="H867" s="9" t="n">
        <v>2</v>
      </c>
      <c r="I867" s="13" t="n"/>
      <c r="J867" s="9" t="n"/>
      <c r="K867" t="inlineStr">
        <is>
          <t>Premium</t>
        </is>
      </c>
      <c r="L867" t="inlineStr">
        <is>
          <t>Adjunct</t>
        </is>
      </c>
      <c r="M867" t="inlineStr">
        <is>
          <t>Ela Cross</t>
        </is>
      </c>
    </row>
    <row r="868">
      <c r="A868" s="9" t="inlineStr">
        <is>
          <t>Jessica Menkhus</t>
        </is>
      </c>
      <c r="B868" s="9" t="inlineStr">
        <is>
          <t>11/30/25 - 12/27/25</t>
        </is>
      </c>
      <c r="C868" s="12" t="n">
        <v>0.52</v>
      </c>
      <c r="D868" s="12" t="n">
        <v>1.18</v>
      </c>
      <c r="E868" s="12" t="n">
        <v>1</v>
      </c>
      <c r="F868" s="12" t="n">
        <v>1</v>
      </c>
      <c r="G868" s="12" t="n">
        <v>1</v>
      </c>
      <c r="H868" s="9" t="n">
        <v>2</v>
      </c>
      <c r="I868" s="10" t="n"/>
      <c r="J868" s="12" t="n"/>
      <c r="K868" t="inlineStr">
        <is>
          <t>Premium</t>
        </is>
      </c>
      <c r="L868" t="inlineStr">
        <is>
          <t>Adjunct</t>
        </is>
      </c>
      <c r="M868" t="inlineStr">
        <is>
          <t>Ela Cross</t>
        </is>
      </c>
    </row>
    <row r="869">
      <c r="A869" s="9" t="inlineStr">
        <is>
          <t>Jessica Menkhus</t>
        </is>
      </c>
      <c r="B869" s="9" t="inlineStr">
        <is>
          <t>12/28/25 - 1/25/26</t>
        </is>
      </c>
      <c r="C869" s="12" t="n">
        <v>0.3438</v>
      </c>
      <c r="D869" s="12" t="n">
        <v>1.1484</v>
      </c>
      <c r="E869" s="12" t="n">
        <v>1</v>
      </c>
      <c r="F869" s="12" t="n">
        <v>1</v>
      </c>
      <c r="G869" s="12" t="n">
        <v>1</v>
      </c>
      <c r="H869" s="9" t="n">
        <v>0</v>
      </c>
      <c r="I869" s="10" t="inlineStr">
        <is>
          <t>0/0</t>
        </is>
      </c>
      <c r="J869" s="12" t="n">
        <v>0</v>
      </c>
      <c r="K869" t="inlineStr">
        <is>
          <t>Premium</t>
        </is>
      </c>
      <c r="L869" t="inlineStr">
        <is>
          <t>Adjunct</t>
        </is>
      </c>
      <c r="M869" t="inlineStr">
        <is>
          <t>Ela Cross</t>
        </is>
      </c>
    </row>
    <row r="870">
      <c r="A870" s="9" t="inlineStr">
        <is>
          <t>Jessica Menkhus</t>
        </is>
      </c>
      <c r="B870" s="9" t="inlineStr">
        <is>
          <t>5/18/25 - 6/14/25</t>
        </is>
      </c>
      <c r="C870" s="12" t="n">
        <v>0.41</v>
      </c>
      <c r="D870" s="12" t="n">
        <v>1.55</v>
      </c>
      <c r="E870" s="12" t="n">
        <v>1</v>
      </c>
      <c r="F870" s="12" t="n">
        <v>1</v>
      </c>
      <c r="G870" s="12" t="n">
        <v>1</v>
      </c>
      <c r="H870" s="9" t="n">
        <v>0</v>
      </c>
      <c r="I870" s="10" t="n">
        <v>1</v>
      </c>
      <c r="J870" s="12">
        <f>I870</f>
        <v/>
      </c>
      <c r="K870" t="inlineStr">
        <is>
          <t>Premium</t>
        </is>
      </c>
      <c r="L870" t="inlineStr">
        <is>
          <t>Adjunct</t>
        </is>
      </c>
      <c r="M870" t="inlineStr">
        <is>
          <t>Ela Cross</t>
        </is>
      </c>
    </row>
    <row r="871">
      <c r="A871" s="9" t="inlineStr">
        <is>
          <t>Jessica Menkhus</t>
        </is>
      </c>
      <c r="B871" s="9" t="inlineStr">
        <is>
          <t>6/15/25 - 7/12/25</t>
        </is>
      </c>
      <c r="C871" s="12" t="n">
        <v>1.23</v>
      </c>
      <c r="D871" s="12" t="n">
        <v>1.94</v>
      </c>
      <c r="E871" s="12" t="n">
        <v>1</v>
      </c>
      <c r="F871" s="12" t="n">
        <v>1</v>
      </c>
      <c r="G871" s="12" t="n">
        <v>0.8</v>
      </c>
      <c r="H871" s="9" t="e">
        <v>#N/A</v>
      </c>
      <c r="I871" s="10" t="inlineStr">
        <is>
          <t xml:space="preserve"> 4/5</t>
        </is>
      </c>
      <c r="J871" s="12" t="n">
        <v>0.8</v>
      </c>
      <c r="K871" t="inlineStr">
        <is>
          <t>Premium</t>
        </is>
      </c>
      <c r="L871" t="inlineStr">
        <is>
          <t>Adjunct</t>
        </is>
      </c>
      <c r="M871" t="inlineStr">
        <is>
          <t>Ela Cross</t>
        </is>
      </c>
    </row>
    <row r="872">
      <c r="A872" s="9" t="inlineStr">
        <is>
          <t>Jessica Menkhus</t>
        </is>
      </c>
      <c r="B872" s="9" t="inlineStr">
        <is>
          <t>7/13/25 - 8/10/25</t>
        </is>
      </c>
      <c r="C872" s="12" t="n">
        <v>0.86</v>
      </c>
      <c r="D872" s="12" t="n">
        <v>1.74</v>
      </c>
      <c r="E872" s="12" t="n">
        <v>1</v>
      </c>
      <c r="F872" s="12" t="n">
        <v>0.95</v>
      </c>
      <c r="G872" s="12" t="n">
        <v>0.67</v>
      </c>
      <c r="H872" s="9" t="e">
        <v>#N/A</v>
      </c>
      <c r="I872" s="10" t="n">
        <v>1</v>
      </c>
      <c r="J872" s="12">
        <f>I872</f>
        <v/>
      </c>
      <c r="K872" t="inlineStr">
        <is>
          <t>Premium</t>
        </is>
      </c>
      <c r="L872" t="inlineStr">
        <is>
          <t>Adjunct</t>
        </is>
      </c>
      <c r="M872" t="inlineStr">
        <is>
          <t>Ela Cross</t>
        </is>
      </c>
    </row>
    <row r="873">
      <c r="A873" s="9" t="inlineStr">
        <is>
          <t>Jessica Menkhus</t>
        </is>
      </c>
      <c r="B873" s="9" t="inlineStr">
        <is>
          <t>8/10/25 - 9/6/25</t>
        </is>
      </c>
      <c r="C873" s="12" t="n">
        <v>1.14</v>
      </c>
      <c r="D873" s="12" t="n">
        <v>1.45</v>
      </c>
      <c r="E873" s="12" t="n">
        <v>1</v>
      </c>
      <c r="F873" s="12" t="n">
        <v>1</v>
      </c>
      <c r="G873" s="12" t="n">
        <v>1</v>
      </c>
      <c r="H873" s="9" t="n">
        <v>1</v>
      </c>
      <c r="I873" s="10" t="inlineStr">
        <is>
          <t>1/2</t>
        </is>
      </c>
      <c r="J873" s="12" t="n">
        <v>0.5</v>
      </c>
      <c r="K873" t="inlineStr">
        <is>
          <t>Premium</t>
        </is>
      </c>
      <c r="L873" t="inlineStr">
        <is>
          <t>Adjunct</t>
        </is>
      </c>
      <c r="M873" t="inlineStr">
        <is>
          <t>Ela Cross</t>
        </is>
      </c>
    </row>
    <row r="874">
      <c r="A874" s="9" t="inlineStr">
        <is>
          <t>Jessica Menkhus</t>
        </is>
      </c>
      <c r="B874" s="9" t="inlineStr">
        <is>
          <t>9/7/25 - 10/4/25</t>
        </is>
      </c>
      <c r="C874" s="12" t="n">
        <v>0.76</v>
      </c>
      <c r="D874" s="12" t="n">
        <v>1.37</v>
      </c>
      <c r="E874" s="12" t="n">
        <v>1</v>
      </c>
      <c r="F874" s="12" t="n">
        <v>0.97</v>
      </c>
      <c r="G874" s="12" t="n">
        <v>1</v>
      </c>
      <c r="H874" s="9" t="n">
        <v>0</v>
      </c>
      <c r="I874" s="11" t="n"/>
      <c r="J874" s="9" t="n"/>
      <c r="K874" t="inlineStr">
        <is>
          <t>Premium</t>
        </is>
      </c>
      <c r="L874" t="inlineStr">
        <is>
          <t>Adjunct</t>
        </is>
      </c>
      <c r="M874" t="inlineStr">
        <is>
          <t>Ela Cross</t>
        </is>
      </c>
    </row>
    <row r="875">
      <c r="A875" s="9" t="inlineStr">
        <is>
          <t>Jessica Milner</t>
        </is>
      </c>
      <c r="B875" s="9" t="inlineStr">
        <is>
          <t>5/18/25 - 6/14/25</t>
        </is>
      </c>
      <c r="C875" s="12" t="n">
        <v>0.05</v>
      </c>
      <c r="D875" s="12" t="n">
        <v>1.18</v>
      </c>
      <c r="E875" s="12" t="n">
        <v>0.93</v>
      </c>
      <c r="F875" s="12" t="n">
        <v>0.75</v>
      </c>
      <c r="G875" s="12" t="n">
        <v>0</v>
      </c>
      <c r="H875" s="9" t="n">
        <v>0</v>
      </c>
      <c r="J875" s="9" t="n"/>
      <c r="K875" t="e">
        <v>#N/A</v>
      </c>
      <c r="L875" t="e">
        <v>#N/A</v>
      </c>
      <c r="M875" t="e">
        <v>#N/A</v>
      </c>
    </row>
    <row r="876">
      <c r="A876" s="9" t="inlineStr">
        <is>
          <t>Jessica Peterson</t>
        </is>
      </c>
      <c r="B876" s="9" t="inlineStr">
        <is>
          <t>10/5/25 - 11/1/25</t>
        </is>
      </c>
      <c r="C876" s="12" t="n">
        <v>0</v>
      </c>
      <c r="D876" s="12" t="n">
        <v>0</v>
      </c>
      <c r="E876" s="12" t="n">
        <v>0</v>
      </c>
      <c r="F876" s="12" t="n">
        <v>0</v>
      </c>
      <c r="G876" s="12" t="n">
        <v>0</v>
      </c>
      <c r="H876" s="9" t="n">
        <v>2</v>
      </c>
      <c r="I876" s="10" t="n"/>
      <c r="J876" s="12" t="n"/>
      <c r="K876" t="inlineStr">
        <is>
          <t>Premium</t>
        </is>
      </c>
      <c r="L876" t="inlineStr">
        <is>
          <t>Adjunct</t>
        </is>
      </c>
      <c r="M876" t="inlineStr">
        <is>
          <t>Annelies de Groot</t>
        </is>
      </c>
    </row>
    <row r="877">
      <c r="A877" s="9" t="inlineStr">
        <is>
          <t>Jessica Peterson</t>
        </is>
      </c>
      <c r="B877" s="9" t="inlineStr">
        <is>
          <t>10/5/25 - 11/1/25</t>
        </is>
      </c>
      <c r="C877" s="12" t="n">
        <v>0</v>
      </c>
      <c r="D877" s="12" t="n">
        <v>0</v>
      </c>
      <c r="E877" s="12" t="n">
        <v>0</v>
      </c>
      <c r="F877" s="12" t="n">
        <v>0</v>
      </c>
      <c r="G877" s="12" t="n">
        <v>0</v>
      </c>
      <c r="H877" s="9" t="n">
        <v>2</v>
      </c>
      <c r="J877" s="9" t="n"/>
      <c r="K877" t="inlineStr">
        <is>
          <t>Premium</t>
        </is>
      </c>
      <c r="L877" t="inlineStr">
        <is>
          <t>Adjunct</t>
        </is>
      </c>
      <c r="M877" t="inlineStr">
        <is>
          <t>Annelies de Groot</t>
        </is>
      </c>
    </row>
    <row r="878">
      <c r="A878" s="9" t="inlineStr">
        <is>
          <t>Jessica Peterson</t>
        </is>
      </c>
      <c r="B878" s="9" t="inlineStr">
        <is>
          <t>11/2/25 - 11/29/25</t>
        </is>
      </c>
      <c r="C878" s="12" t="n">
        <v>0.23</v>
      </c>
      <c r="D878" s="12" t="n">
        <v>1.33</v>
      </c>
      <c r="E878" s="12" t="n">
        <v>1</v>
      </c>
      <c r="F878" s="12" t="n">
        <v>1</v>
      </c>
      <c r="G878" s="12" t="n">
        <v>0</v>
      </c>
      <c r="H878" s="9" t="n">
        <v>0</v>
      </c>
      <c r="I878" s="13" t="n">
        <v>45658</v>
      </c>
      <c r="J878" s="12" t="n">
        <v>1</v>
      </c>
      <c r="K878" t="inlineStr">
        <is>
          <t>Premium</t>
        </is>
      </c>
      <c r="L878" t="inlineStr">
        <is>
          <t>Adjunct</t>
        </is>
      </c>
      <c r="M878" t="inlineStr">
        <is>
          <t>Annelies de Groot</t>
        </is>
      </c>
    </row>
    <row r="879">
      <c r="A879" s="9" t="inlineStr">
        <is>
          <t>Jessica Peterson</t>
        </is>
      </c>
      <c r="B879" s="9" t="inlineStr">
        <is>
          <t>11/30/25 - 12/27/25</t>
        </is>
      </c>
      <c r="C879" s="12" t="n">
        <v>0.78</v>
      </c>
      <c r="D879" s="12" t="n">
        <v>1.51</v>
      </c>
      <c r="E879" s="12" t="n">
        <v>0.97</v>
      </c>
      <c r="F879" s="12" t="n">
        <v>1</v>
      </c>
      <c r="G879" s="12" t="n">
        <v>0.8</v>
      </c>
      <c r="H879" s="9" t="n">
        <v>0</v>
      </c>
      <c r="I879" s="10" t="n">
        <v>1</v>
      </c>
      <c r="J879" s="12" t="n">
        <v>1</v>
      </c>
      <c r="K879" t="inlineStr">
        <is>
          <t>Premium</t>
        </is>
      </c>
      <c r="L879" t="inlineStr">
        <is>
          <t>Adjunct</t>
        </is>
      </c>
      <c r="M879" t="inlineStr">
        <is>
          <t>Annelies de Groot</t>
        </is>
      </c>
    </row>
    <row r="880">
      <c r="A880" s="9" t="inlineStr">
        <is>
          <t>Jessica Peterson</t>
        </is>
      </c>
      <c r="B880" s="9" t="inlineStr">
        <is>
          <t>12/28/25 - 1/25/26</t>
        </is>
      </c>
      <c r="C880" s="12" t="n">
        <v>0.8021</v>
      </c>
      <c r="D880" s="12" t="n">
        <v>1.1563</v>
      </c>
      <c r="E880" s="12" t="n">
        <v>0.96969697</v>
      </c>
      <c r="F880" s="12" t="n">
        <v>1</v>
      </c>
      <c r="G880" s="12" t="n">
        <v>0.6</v>
      </c>
      <c r="H880" s="9" t="n">
        <v>3</v>
      </c>
      <c r="I880" s="10" t="n">
        <v>1</v>
      </c>
      <c r="J880" s="12">
        <f>I880</f>
        <v/>
      </c>
      <c r="K880" t="inlineStr">
        <is>
          <t>Premium</t>
        </is>
      </c>
      <c r="L880" t="inlineStr">
        <is>
          <t>Adjunct</t>
        </is>
      </c>
      <c r="M880" t="inlineStr">
        <is>
          <t>Annelies de Groot</t>
        </is>
      </c>
    </row>
    <row r="881">
      <c r="A881" s="9" t="inlineStr">
        <is>
          <t>Jessica Peterson</t>
        </is>
      </c>
      <c r="B881" s="9" t="inlineStr">
        <is>
          <t>5/18/25 - 6/14/25</t>
        </is>
      </c>
      <c r="C881" s="12" t="n">
        <v>0.96</v>
      </c>
      <c r="D881" s="12" t="n">
        <v>1.35</v>
      </c>
      <c r="E881" s="12" t="n">
        <v>0.98</v>
      </c>
      <c r="F881" s="12" t="n">
        <v>1</v>
      </c>
      <c r="G881" s="12" t="n">
        <v>0.71</v>
      </c>
      <c r="H881" s="9" t="n">
        <v>1</v>
      </c>
      <c r="I881" s="10" t="n">
        <v>1</v>
      </c>
      <c r="J881" s="12">
        <f>I881</f>
        <v/>
      </c>
      <c r="K881" t="inlineStr">
        <is>
          <t>Premium</t>
        </is>
      </c>
      <c r="L881" t="inlineStr">
        <is>
          <t>Adjunct</t>
        </is>
      </c>
      <c r="M881" t="inlineStr">
        <is>
          <t>Annelies de Groot</t>
        </is>
      </c>
    </row>
    <row r="882">
      <c r="A882" s="9" t="inlineStr">
        <is>
          <t>Jessica Peterson</t>
        </is>
      </c>
      <c r="B882" s="9" t="inlineStr">
        <is>
          <t>6/15/25 - 7/12/25</t>
        </is>
      </c>
      <c r="C882" s="12" t="n">
        <v>0.91</v>
      </c>
      <c r="D882" s="12" t="n">
        <v>1.48</v>
      </c>
      <c r="E882" s="12" t="n">
        <v>0.98</v>
      </c>
      <c r="F882" s="12" t="n">
        <v>1</v>
      </c>
      <c r="G882" s="12" t="n">
        <v>0.9</v>
      </c>
      <c r="H882" s="9" t="n">
        <v>1</v>
      </c>
      <c r="I882" s="10" t="inlineStr">
        <is>
          <t xml:space="preserve"> 1/2</t>
        </is>
      </c>
      <c r="J882" s="12" t="n">
        <v>0.5</v>
      </c>
      <c r="K882" t="inlineStr">
        <is>
          <t>Premium</t>
        </is>
      </c>
      <c r="L882" t="inlineStr">
        <is>
          <t>Adjunct</t>
        </is>
      </c>
      <c r="M882" t="inlineStr">
        <is>
          <t>Annelies de Groot</t>
        </is>
      </c>
    </row>
    <row r="883">
      <c r="A883" s="9" t="inlineStr">
        <is>
          <t>Jessica Peterson</t>
        </is>
      </c>
      <c r="B883" s="9" t="inlineStr">
        <is>
          <t>7/13/25 - 8/10/25</t>
        </is>
      </c>
      <c r="C883" s="12" t="n">
        <v>0.93</v>
      </c>
      <c r="D883" s="12" t="n">
        <v>1.28</v>
      </c>
      <c r="E883" s="12" t="n">
        <v>1</v>
      </c>
      <c r="F883" s="12" t="n">
        <v>1</v>
      </c>
      <c r="G883" s="12" t="n">
        <v>0.6</v>
      </c>
      <c r="H883" s="9" t="e">
        <v>#N/A</v>
      </c>
      <c r="J883" s="9" t="n"/>
      <c r="K883" t="inlineStr">
        <is>
          <t>Premium</t>
        </is>
      </c>
      <c r="L883" t="inlineStr">
        <is>
          <t>Adjunct</t>
        </is>
      </c>
      <c r="M883" t="inlineStr">
        <is>
          <t>Annelies de Groot</t>
        </is>
      </c>
    </row>
    <row r="884">
      <c r="A884" s="9" t="inlineStr">
        <is>
          <t>Jessica Peterson</t>
        </is>
      </c>
      <c r="B884" s="9" t="inlineStr">
        <is>
          <t>8/10/25 - 9/6/25</t>
        </is>
      </c>
      <c r="C884" s="12" t="n">
        <v>0.29</v>
      </c>
      <c r="D884" s="12" t="n">
        <v>0.97</v>
      </c>
      <c r="E884" s="12" t="n">
        <v>1</v>
      </c>
      <c r="F884" s="12" t="n">
        <v>1</v>
      </c>
      <c r="G884" s="12" t="n">
        <v>0.5</v>
      </c>
      <c r="H884" s="9" t="n">
        <v>0</v>
      </c>
      <c r="I884" s="11" t="n"/>
      <c r="J884" s="9" t="n"/>
      <c r="K884" t="inlineStr">
        <is>
          <t>Premium</t>
        </is>
      </c>
      <c r="L884" t="inlineStr">
        <is>
          <t>Adjunct</t>
        </is>
      </c>
      <c r="M884" t="inlineStr">
        <is>
          <t>Annelies de Groot</t>
        </is>
      </c>
    </row>
    <row r="885">
      <c r="A885" s="9" t="inlineStr">
        <is>
          <t>Jessica Peterson</t>
        </is>
      </c>
      <c r="B885" s="9" t="inlineStr">
        <is>
          <t>9/7/25 - 10/4/25</t>
        </is>
      </c>
      <c r="C885" s="12" t="n">
        <v>0</v>
      </c>
      <c r="D885" s="12" t="n">
        <v>0</v>
      </c>
      <c r="E885" s="12" t="n">
        <v>0</v>
      </c>
      <c r="F885" s="12" t="n">
        <v>0</v>
      </c>
      <c r="G885" s="12" t="n">
        <v>0</v>
      </c>
      <c r="H885" s="9" t="n">
        <v>0</v>
      </c>
      <c r="I885" s="11" t="n"/>
      <c r="J885" s="9" t="n"/>
      <c r="K885" t="inlineStr">
        <is>
          <t>Premium</t>
        </is>
      </c>
      <c r="L885" t="inlineStr">
        <is>
          <t>Adjunct</t>
        </is>
      </c>
      <c r="M885" t="inlineStr">
        <is>
          <t>Annelies de Groot</t>
        </is>
      </c>
    </row>
    <row r="886">
      <c r="A886" s="9" t="inlineStr">
        <is>
          <t>Jessica Wall</t>
        </is>
      </c>
      <c r="B886" s="9" t="inlineStr">
        <is>
          <t>10/5/25 - 11/1/25</t>
        </is>
      </c>
      <c r="C886" s="12" t="n">
        <v>0.9417</v>
      </c>
      <c r="D886" s="12" t="n">
        <v>1.0263</v>
      </c>
      <c r="E886" s="12" t="n">
        <v>0.977099236641221</v>
      </c>
      <c r="F886" s="12" t="n">
        <v>0.985294117647058</v>
      </c>
      <c r="G886" s="12" t="n">
        <v>0.8</v>
      </c>
      <c r="H886" s="9" t="n">
        <v>12</v>
      </c>
      <c r="I886" s="10" t="inlineStr">
        <is>
          <t>1/1</t>
        </is>
      </c>
      <c r="J886" s="12" t="n">
        <v>1</v>
      </c>
      <c r="K886" t="inlineStr">
        <is>
          <t>Distinguished</t>
        </is>
      </c>
      <c r="L886" t="inlineStr">
        <is>
          <t>Professional</t>
        </is>
      </c>
      <c r="M886" t="inlineStr">
        <is>
          <t>Kristin Haase-Alvey</t>
        </is>
      </c>
    </row>
    <row r="887">
      <c r="A887" s="9" t="inlineStr">
        <is>
          <t>Jessica Wall</t>
        </is>
      </c>
      <c r="B887" s="9" t="inlineStr">
        <is>
          <t>11/2/25 - 11/29/25</t>
        </is>
      </c>
      <c r="C887" s="12" t="n">
        <v>0.87</v>
      </c>
      <c r="D887" s="12" t="n">
        <v>1</v>
      </c>
      <c r="E887" s="12" t="n">
        <v>1</v>
      </c>
      <c r="F887" s="12" t="n">
        <v>1</v>
      </c>
      <c r="G887" s="12" t="n">
        <v>0.53</v>
      </c>
      <c r="H887" s="9" t="n">
        <v>11</v>
      </c>
      <c r="I887" s="13" t="n">
        <v>45784</v>
      </c>
      <c r="J887" s="14" t="n">
        <v>0.71</v>
      </c>
      <c r="K887" t="inlineStr">
        <is>
          <t>Distinguished</t>
        </is>
      </c>
      <c r="L887" t="inlineStr">
        <is>
          <t>Professional</t>
        </is>
      </c>
      <c r="M887" t="inlineStr">
        <is>
          <t>Kristin Haase-Alvey</t>
        </is>
      </c>
    </row>
    <row r="888">
      <c r="A888" s="9" t="inlineStr">
        <is>
          <t>Jessica Wall</t>
        </is>
      </c>
      <c r="B888" s="9" t="inlineStr">
        <is>
          <t>11/30/25 - 12/27/25</t>
        </is>
      </c>
      <c r="C888" s="12" t="n">
        <v>0.7</v>
      </c>
      <c r="D888" s="12" t="n">
        <v>1.05</v>
      </c>
      <c r="E888" s="12" t="n">
        <v>1</v>
      </c>
      <c r="F888" s="12" t="n">
        <v>0.98</v>
      </c>
      <c r="G888" s="12" t="n">
        <v>0.86</v>
      </c>
      <c r="H888" s="9" t="n">
        <v>8</v>
      </c>
      <c r="I888" s="10" t="n">
        <v>0.6666666666666666</v>
      </c>
      <c r="J888" s="12" t="n">
        <v>0.66</v>
      </c>
      <c r="K888" t="inlineStr">
        <is>
          <t>Distinguished</t>
        </is>
      </c>
      <c r="L888" t="inlineStr">
        <is>
          <t>Professional</t>
        </is>
      </c>
      <c r="M888" t="inlineStr">
        <is>
          <t>Kristin Haase-Alvey</t>
        </is>
      </c>
    </row>
    <row r="889">
      <c r="A889" s="9" t="inlineStr">
        <is>
          <t>Jessica Wall</t>
        </is>
      </c>
      <c r="B889" s="9" t="inlineStr">
        <is>
          <t>12/28/25 - 1/25/26</t>
        </is>
      </c>
      <c r="C889" s="12" t="n">
        <v>1.0292</v>
      </c>
      <c r="D889" s="12" t="n">
        <v>0.9901</v>
      </c>
      <c r="E889" s="12" t="n">
        <v>0.992592593</v>
      </c>
      <c r="F889" s="12" t="n">
        <v>0.961538462</v>
      </c>
      <c r="G889" s="12" t="n">
        <v>0.583333333</v>
      </c>
      <c r="H889" s="9" t="n">
        <v>7</v>
      </c>
      <c r="I889" s="10" t="n">
        <v>0.7272727272727273</v>
      </c>
      <c r="J889" s="12">
        <f>I889</f>
        <v/>
      </c>
      <c r="K889" t="inlineStr">
        <is>
          <t>Distinguished</t>
        </is>
      </c>
      <c r="L889" t="inlineStr">
        <is>
          <t>Professional</t>
        </is>
      </c>
      <c r="M889" t="inlineStr">
        <is>
          <t>Kristin Haase-Alvey</t>
        </is>
      </c>
    </row>
    <row r="890">
      <c r="A890" s="9" t="inlineStr">
        <is>
          <t>Jessica Wall</t>
        </is>
      </c>
      <c r="B890" s="9" t="inlineStr">
        <is>
          <t>5/18/25 - 6/14/25</t>
        </is>
      </c>
      <c r="C890" s="12" t="n">
        <v>0.66</v>
      </c>
      <c r="D890" s="12" t="n">
        <v>0.98</v>
      </c>
      <c r="E890" s="12" t="n">
        <v>1</v>
      </c>
      <c r="F890" s="12" t="n">
        <v>1</v>
      </c>
      <c r="G890" s="12" t="n">
        <v>0.67</v>
      </c>
      <c r="H890" s="9" t="n">
        <v>6</v>
      </c>
      <c r="I890" s="10" t="n">
        <v>1</v>
      </c>
      <c r="J890" s="12">
        <f>I890</f>
        <v/>
      </c>
      <c r="K890" t="inlineStr">
        <is>
          <t>Distinguished</t>
        </is>
      </c>
      <c r="L890" t="inlineStr">
        <is>
          <t>Professional</t>
        </is>
      </c>
      <c r="M890" t="inlineStr">
        <is>
          <t>Kristin Haase-Alvey</t>
        </is>
      </c>
    </row>
    <row r="891">
      <c r="A891" s="9" t="inlineStr">
        <is>
          <t>Jessica Wall</t>
        </is>
      </c>
      <c r="B891" s="9" t="inlineStr">
        <is>
          <t>6/15/25 - 7/12/25</t>
        </is>
      </c>
      <c r="C891" s="12" t="n">
        <v>0.38</v>
      </c>
      <c r="D891" s="12" t="n">
        <v>1.04</v>
      </c>
      <c r="E891" s="12" t="n">
        <v>1</v>
      </c>
      <c r="F891" s="12" t="n">
        <v>0.91</v>
      </c>
      <c r="G891" s="12" t="n">
        <v>1</v>
      </c>
      <c r="H891" s="9" t="e">
        <v>#N/A</v>
      </c>
      <c r="I891" s="10" t="n">
        <v>0</v>
      </c>
      <c r="J891" s="12">
        <f>I891</f>
        <v/>
      </c>
      <c r="K891" t="inlineStr">
        <is>
          <t>Distinguished</t>
        </is>
      </c>
      <c r="L891" t="inlineStr">
        <is>
          <t>Professional</t>
        </is>
      </c>
      <c r="M891" t="inlineStr">
        <is>
          <t>Kristin Haase-Alvey</t>
        </is>
      </c>
    </row>
    <row r="892">
      <c r="A892" s="9" t="inlineStr">
        <is>
          <t>Jessica Wall</t>
        </is>
      </c>
      <c r="B892" s="9" t="inlineStr">
        <is>
          <t>7/13/25 - 8/10/25</t>
        </is>
      </c>
      <c r="C892" s="12" t="n">
        <v>0.73</v>
      </c>
      <c r="D892" s="12" t="n">
        <v>1.47</v>
      </c>
      <c r="E892" s="12" t="n">
        <v>0.97</v>
      </c>
      <c r="F892" s="12" t="n">
        <v>1</v>
      </c>
      <c r="G892" s="12" t="n">
        <v>0.79</v>
      </c>
      <c r="H892" s="9" t="e">
        <v>#N/A</v>
      </c>
      <c r="I892" s="10" t="inlineStr">
        <is>
          <t xml:space="preserve"> 3/4</t>
        </is>
      </c>
      <c r="J892" s="12" t="n">
        <v>0.75</v>
      </c>
      <c r="K892" t="inlineStr">
        <is>
          <t>Distinguished</t>
        </is>
      </c>
      <c r="L892" t="inlineStr">
        <is>
          <t>Professional</t>
        </is>
      </c>
      <c r="M892" t="inlineStr">
        <is>
          <t>Kristin Haase-Alvey</t>
        </is>
      </c>
    </row>
    <row r="893">
      <c r="A893" s="9" t="inlineStr">
        <is>
          <t>Jessica Wall</t>
        </is>
      </c>
      <c r="B893" s="9" t="inlineStr">
        <is>
          <t>8/10/25 - 9/6/25</t>
        </is>
      </c>
      <c r="C893" s="12" t="n">
        <v>0.75</v>
      </c>
      <c r="D893" s="12" t="n">
        <v>0.96</v>
      </c>
      <c r="E893" s="12" t="n">
        <v>0.98</v>
      </c>
      <c r="F893" s="12" t="n">
        <v>0.98</v>
      </c>
      <c r="G893" s="12" t="n">
        <v>0.27</v>
      </c>
      <c r="H893" s="9" t="n">
        <v>9</v>
      </c>
      <c r="I893" s="10" t="inlineStr">
        <is>
          <t>6/8</t>
        </is>
      </c>
      <c r="J893" s="12" t="n">
        <v>0.75</v>
      </c>
      <c r="K893" t="inlineStr">
        <is>
          <t>Distinguished</t>
        </is>
      </c>
      <c r="L893" t="inlineStr">
        <is>
          <t>Professional</t>
        </is>
      </c>
      <c r="M893" t="inlineStr">
        <is>
          <t>Kristin Haase-Alvey</t>
        </is>
      </c>
    </row>
    <row r="894">
      <c r="A894" s="9" t="inlineStr">
        <is>
          <t>Jessica Wall</t>
        </is>
      </c>
      <c r="B894" s="9" t="inlineStr">
        <is>
          <t>9/7/25 - 10/4/25</t>
        </is>
      </c>
      <c r="C894" s="12" t="n">
        <v>0.9399999999999999</v>
      </c>
      <c r="D894" s="12" t="n">
        <v>1.08</v>
      </c>
      <c r="E894" s="12" t="n">
        <v>0.99</v>
      </c>
      <c r="F894" s="12" t="n">
        <v>1</v>
      </c>
      <c r="G894" s="12" t="n">
        <v>0.5</v>
      </c>
      <c r="H894" s="9" t="n">
        <v>9</v>
      </c>
      <c r="I894" s="10" t="inlineStr">
        <is>
          <t>7/10</t>
        </is>
      </c>
      <c r="J894" s="12" t="n">
        <v>0.7</v>
      </c>
      <c r="K894" t="inlineStr">
        <is>
          <t>Distinguished</t>
        </is>
      </c>
      <c r="L894" t="inlineStr">
        <is>
          <t>Professional</t>
        </is>
      </c>
      <c r="M894" t="inlineStr">
        <is>
          <t>Kristin Haase-Alvey</t>
        </is>
      </c>
    </row>
    <row r="895">
      <c r="A895" s="9" t="inlineStr">
        <is>
          <t>Jia Yin</t>
        </is>
      </c>
      <c r="B895" s="9" t="inlineStr">
        <is>
          <t>5/18/25 - 6/14/25</t>
        </is>
      </c>
      <c r="C895" s="12" t="n">
        <v>0.97</v>
      </c>
      <c r="D895" s="12" t="n">
        <v>1.32</v>
      </c>
      <c r="E895" s="12" t="n">
        <v>0.89</v>
      </c>
      <c r="F895" s="12" t="n">
        <v>0.6</v>
      </c>
      <c r="G895" s="12" t="n">
        <v>0</v>
      </c>
      <c r="H895" s="9" t="n">
        <v>2</v>
      </c>
      <c r="I895" s="10" t="n">
        <v>0</v>
      </c>
      <c r="J895" s="12">
        <f>I895</f>
        <v/>
      </c>
      <c r="K895" t="e">
        <v>#N/A</v>
      </c>
      <c r="L895" t="e">
        <v>#N/A</v>
      </c>
      <c r="M895" t="e">
        <v>#N/A</v>
      </c>
    </row>
    <row r="896">
      <c r="A896" s="9" t="inlineStr">
        <is>
          <t>Jill Watson</t>
        </is>
      </c>
      <c r="B896" s="9" t="inlineStr">
        <is>
          <t>11/2/25 - 11/29/25</t>
        </is>
      </c>
      <c r="C896" s="12" t="n">
        <v>0.08</v>
      </c>
      <c r="D896" s="12" t="n">
        <v>0.38</v>
      </c>
      <c r="E896" s="12" t="n">
        <v>0.9</v>
      </c>
      <c r="F896" s="12" t="n">
        <v>0.88</v>
      </c>
      <c r="G896" s="12" t="n">
        <v>0</v>
      </c>
      <c r="H896" s="9" t="n">
        <v>0</v>
      </c>
      <c r="I896" s="13" t="inlineStr">
        <is>
          <t>0/2</t>
        </is>
      </c>
      <c r="J896" s="12" t="n">
        <v>0</v>
      </c>
      <c r="K896" t="inlineStr">
        <is>
          <t>Distinguished</t>
        </is>
      </c>
      <c r="L896" t="inlineStr">
        <is>
          <t>Professional</t>
        </is>
      </c>
      <c r="M896" t="inlineStr">
        <is>
          <t>Ian Plamondon</t>
        </is>
      </c>
    </row>
    <row r="897">
      <c r="A897" s="9" t="inlineStr">
        <is>
          <t>Jill Watson</t>
        </is>
      </c>
      <c r="B897" s="9" t="inlineStr">
        <is>
          <t>11/30/25 - 12/27/25</t>
        </is>
      </c>
      <c r="C897" s="12" t="n">
        <v>0.86</v>
      </c>
      <c r="D897" s="12" t="n">
        <v>1.11</v>
      </c>
      <c r="E897" s="12" t="n">
        <v>1</v>
      </c>
      <c r="F897" s="12" t="n">
        <v>1</v>
      </c>
      <c r="G897" s="12" t="n">
        <v>0</v>
      </c>
      <c r="H897" s="9" t="n">
        <v>12</v>
      </c>
      <c r="I897" s="10" t="n">
        <v>0.7142857142857143</v>
      </c>
      <c r="J897" s="12">
        <f>5/7</f>
        <v/>
      </c>
      <c r="K897" t="inlineStr">
        <is>
          <t>Distinguished</t>
        </is>
      </c>
      <c r="L897" t="inlineStr">
        <is>
          <t>Professional</t>
        </is>
      </c>
      <c r="M897" t="inlineStr">
        <is>
          <t>Ian Plamondon</t>
        </is>
      </c>
    </row>
    <row r="898">
      <c r="A898" s="9" t="inlineStr">
        <is>
          <t>Jill Watson</t>
        </is>
      </c>
      <c r="B898" s="9" t="inlineStr">
        <is>
          <t>12/28/25 - 1/25/26</t>
        </is>
      </c>
      <c r="C898" s="12" t="n">
        <v>1.0214</v>
      </c>
      <c r="D898" s="12" t="n">
        <v>1.1453</v>
      </c>
      <c r="E898" s="12" t="n">
        <v>1</v>
      </c>
      <c r="F898" s="12" t="n">
        <v>0.9487179489999999</v>
      </c>
      <c r="G898" s="12" t="n">
        <v>0.263157895</v>
      </c>
      <c r="H898" s="9" t="n">
        <v>15</v>
      </c>
      <c r="I898" s="10" t="n">
        <v>0.8571428571428571</v>
      </c>
      <c r="J898" s="12">
        <f>I898</f>
        <v/>
      </c>
      <c r="K898" t="inlineStr">
        <is>
          <t>Distinguished</t>
        </is>
      </c>
      <c r="L898" t="inlineStr">
        <is>
          <t>Professional</t>
        </is>
      </c>
      <c r="M898" t="inlineStr">
        <is>
          <t>Ian Plamondon</t>
        </is>
      </c>
    </row>
    <row r="899">
      <c r="A899" s="9" t="inlineStr">
        <is>
          <t>Jimmy Works</t>
        </is>
      </c>
      <c r="B899" s="9" t="inlineStr">
        <is>
          <t>10/5/25 - 11/1/25</t>
        </is>
      </c>
      <c r="C899" s="12" t="n">
        <v>0.6875</v>
      </c>
      <c r="D899" s="12" t="n">
        <v>1.1302</v>
      </c>
      <c r="E899" s="12" t="n">
        <v>0.981818181818181</v>
      </c>
      <c r="F899" s="12" t="n">
        <v>0.911764705882352</v>
      </c>
      <c r="G899" s="12" t="n">
        <v>0.75</v>
      </c>
      <c r="H899" s="9" t="n">
        <v>0</v>
      </c>
      <c r="I899" s="10" t="inlineStr">
        <is>
          <t>1/1</t>
        </is>
      </c>
      <c r="J899" s="12" t="n">
        <v>1</v>
      </c>
      <c r="K899" t="inlineStr">
        <is>
          <t>Distinguished</t>
        </is>
      </c>
      <c r="L899" t="inlineStr">
        <is>
          <t>Adjunct</t>
        </is>
      </c>
      <c r="M899" t="inlineStr">
        <is>
          <t>Kristin Haase-Alvey</t>
        </is>
      </c>
    </row>
    <row r="900">
      <c r="A900" s="9" t="inlineStr">
        <is>
          <t>Jimmy Works</t>
        </is>
      </c>
      <c r="B900" s="9" t="inlineStr">
        <is>
          <t>11/2/25 - 11/29/25</t>
        </is>
      </c>
      <c r="C900" s="12" t="n">
        <v>0.63</v>
      </c>
      <c r="D900" s="12" t="n">
        <v>1.07</v>
      </c>
      <c r="E900" s="12" t="n">
        <v>1</v>
      </c>
      <c r="F900" s="12" t="n">
        <v>1</v>
      </c>
      <c r="G900" s="12" t="n">
        <v>0.8</v>
      </c>
      <c r="H900" s="9" t="n">
        <v>0</v>
      </c>
      <c r="I900" s="13" t="inlineStr">
        <is>
          <t>0/2</t>
        </is>
      </c>
      <c r="J900" s="12" t="n">
        <v>0</v>
      </c>
      <c r="K900" t="inlineStr">
        <is>
          <t>Distinguished</t>
        </is>
      </c>
      <c r="L900" t="inlineStr">
        <is>
          <t>Adjunct</t>
        </is>
      </c>
      <c r="M900" t="inlineStr">
        <is>
          <t>Kristin Haase-Alvey</t>
        </is>
      </c>
    </row>
    <row r="901">
      <c r="A901" s="9" t="inlineStr">
        <is>
          <t>Jimmy Works</t>
        </is>
      </c>
      <c r="B901" s="9" t="inlineStr">
        <is>
          <t>11/30/25 - 12/27/25</t>
        </is>
      </c>
      <c r="C901" s="12" t="n">
        <v>0.54</v>
      </c>
      <c r="D901" s="12" t="n">
        <v>1.06</v>
      </c>
      <c r="E901" s="12" t="n">
        <v>1</v>
      </c>
      <c r="F901" s="12" t="n">
        <v>1</v>
      </c>
      <c r="G901" s="12" t="n">
        <v>1</v>
      </c>
      <c r="H901" s="9" t="n">
        <v>4</v>
      </c>
      <c r="I901" s="10" t="n">
        <v>0.5</v>
      </c>
      <c r="J901" s="12" t="n">
        <v>0.5</v>
      </c>
      <c r="K901" t="inlineStr">
        <is>
          <t>Distinguished</t>
        </is>
      </c>
      <c r="L901" t="inlineStr">
        <is>
          <t>Adjunct</t>
        </is>
      </c>
      <c r="M901" t="inlineStr">
        <is>
          <t>Kristin Haase-Alvey</t>
        </is>
      </c>
    </row>
    <row r="902">
      <c r="A902" s="9" t="inlineStr">
        <is>
          <t>Jimmy Works</t>
        </is>
      </c>
      <c r="B902" s="9" t="inlineStr">
        <is>
          <t>12/28/25 - 1/25/26</t>
        </is>
      </c>
      <c r="C902" s="12" t="n">
        <v>0.4313</v>
      </c>
      <c r="D902" s="12" t="n">
        <v>0.724</v>
      </c>
      <c r="E902" s="12" t="n">
        <v>0.931034483</v>
      </c>
      <c r="F902" s="12" t="n">
        <v>0.956521739</v>
      </c>
      <c r="G902" s="12" t="n">
        <v>0.777777778</v>
      </c>
      <c r="H902" s="9" t="n">
        <v>2</v>
      </c>
      <c r="I902" s="10" t="n">
        <v>1</v>
      </c>
      <c r="J902" s="12">
        <f>I902</f>
        <v/>
      </c>
      <c r="K902" t="inlineStr">
        <is>
          <t>Distinguished</t>
        </is>
      </c>
      <c r="L902" t="inlineStr">
        <is>
          <t>Adjunct</t>
        </is>
      </c>
      <c r="M902" t="inlineStr">
        <is>
          <t>Kristin Haase-Alvey</t>
        </is>
      </c>
    </row>
    <row r="903">
      <c r="A903" s="9" t="inlineStr">
        <is>
          <t>Jimmy Works</t>
        </is>
      </c>
      <c r="B903" s="9" t="inlineStr">
        <is>
          <t>5/18/25 - 6/14/25</t>
        </is>
      </c>
      <c r="C903" s="12" t="n">
        <v>0.63</v>
      </c>
      <c r="D903" s="12" t="n">
        <v>1.12</v>
      </c>
      <c r="E903" s="12" t="n">
        <v>1</v>
      </c>
      <c r="F903" s="12" t="n">
        <v>1</v>
      </c>
      <c r="G903" s="12" t="n">
        <v>1</v>
      </c>
      <c r="H903" s="9" t="n">
        <v>1</v>
      </c>
      <c r="I903" s="10" t="n">
        <v>1</v>
      </c>
      <c r="J903" s="12">
        <f>I903</f>
        <v/>
      </c>
      <c r="K903" t="inlineStr">
        <is>
          <t>Distinguished</t>
        </is>
      </c>
      <c r="L903" t="inlineStr">
        <is>
          <t>Adjunct</t>
        </is>
      </c>
      <c r="M903" t="inlineStr">
        <is>
          <t>Kristin Haase-Alvey</t>
        </is>
      </c>
    </row>
    <row r="904">
      <c r="A904" s="9" t="inlineStr">
        <is>
          <t>Jimmy Works</t>
        </is>
      </c>
      <c r="B904" s="9" t="inlineStr">
        <is>
          <t>6/15/25 - 7/12/25</t>
        </is>
      </c>
      <c r="C904" s="12" t="n">
        <v>0.34</v>
      </c>
      <c r="D904" s="12" t="n">
        <v>1.06</v>
      </c>
      <c r="E904" s="12" t="n">
        <v>0.96</v>
      </c>
      <c r="F904" s="12" t="n">
        <v>1</v>
      </c>
      <c r="G904" s="12" t="n">
        <v>0.64</v>
      </c>
      <c r="H904" s="9" t="n">
        <v>1</v>
      </c>
      <c r="I904" s="10" t="n">
        <v>1</v>
      </c>
      <c r="J904" s="12">
        <f>I904</f>
        <v/>
      </c>
      <c r="K904" t="inlineStr">
        <is>
          <t>Distinguished</t>
        </is>
      </c>
      <c r="L904" t="inlineStr">
        <is>
          <t>Adjunct</t>
        </is>
      </c>
      <c r="M904" t="inlineStr">
        <is>
          <t>Kristin Haase-Alvey</t>
        </is>
      </c>
    </row>
    <row r="905">
      <c r="A905" s="9" t="inlineStr">
        <is>
          <t>Jimmy Works</t>
        </is>
      </c>
      <c r="B905" s="9" t="inlineStr">
        <is>
          <t>7/13/25 - 8/10/25</t>
        </is>
      </c>
      <c r="C905" s="12" t="n">
        <v>0.5</v>
      </c>
      <c r="D905" s="12" t="n">
        <v>0.99</v>
      </c>
      <c r="E905" s="12" t="n">
        <v>1</v>
      </c>
      <c r="F905" s="12" t="n">
        <v>1</v>
      </c>
      <c r="G905" s="12" t="n">
        <v>0.44</v>
      </c>
      <c r="H905" s="9" t="e">
        <v>#N/A</v>
      </c>
      <c r="I905" s="10" t="n">
        <v>0</v>
      </c>
      <c r="J905" s="12">
        <f>I905</f>
        <v/>
      </c>
      <c r="K905" t="inlineStr">
        <is>
          <t>Distinguished</t>
        </is>
      </c>
      <c r="L905" t="inlineStr">
        <is>
          <t>Adjunct</t>
        </is>
      </c>
      <c r="M905" t="inlineStr">
        <is>
          <t>Kristin Haase-Alvey</t>
        </is>
      </c>
    </row>
    <row r="906">
      <c r="A906" s="9" t="inlineStr">
        <is>
          <t>Jimmy Works</t>
        </is>
      </c>
      <c r="B906" s="9" t="inlineStr">
        <is>
          <t>8/10/25 - 9/6/25</t>
        </is>
      </c>
      <c r="C906" s="12" t="n">
        <v>0.57</v>
      </c>
      <c r="D906" s="12" t="n">
        <v>1.17</v>
      </c>
      <c r="E906" s="12" t="n">
        <v>1</v>
      </c>
      <c r="F906" s="12" t="n">
        <v>0.75</v>
      </c>
      <c r="G906" s="12" t="n">
        <v>1</v>
      </c>
      <c r="H906" s="9" t="n">
        <v>1</v>
      </c>
      <c r="I906" s="11" t="n"/>
      <c r="J906" s="9" t="n"/>
      <c r="K906" t="inlineStr">
        <is>
          <t>Distinguished</t>
        </is>
      </c>
      <c r="L906" t="inlineStr">
        <is>
          <t>Adjunct</t>
        </is>
      </c>
      <c r="M906" t="inlineStr">
        <is>
          <t>Kristin Haase-Alvey</t>
        </is>
      </c>
    </row>
    <row r="907">
      <c r="A907" s="9" t="inlineStr">
        <is>
          <t>Jimmy Works</t>
        </is>
      </c>
      <c r="B907" s="9" t="inlineStr">
        <is>
          <t>9/7/25 - 10/4/25</t>
        </is>
      </c>
      <c r="C907" s="12" t="n">
        <v>0.82</v>
      </c>
      <c r="D907" s="12" t="n">
        <v>1.15</v>
      </c>
      <c r="E907" s="12" t="n">
        <v>1</v>
      </c>
      <c r="F907" s="12" t="n">
        <v>1</v>
      </c>
      <c r="G907" s="12" t="n">
        <v>0.9</v>
      </c>
      <c r="H907" s="9" t="n">
        <v>0</v>
      </c>
      <c r="I907" s="10" t="inlineStr">
        <is>
          <t>1/5</t>
        </is>
      </c>
      <c r="J907" s="12" t="n">
        <v>0.2</v>
      </c>
      <c r="K907" t="inlineStr">
        <is>
          <t>Distinguished</t>
        </is>
      </c>
      <c r="L907" t="inlineStr">
        <is>
          <t>Adjunct</t>
        </is>
      </c>
      <c r="M907" t="inlineStr">
        <is>
          <t>Kristin Haase-Alvey</t>
        </is>
      </c>
    </row>
    <row r="908">
      <c r="A908" s="9" t="inlineStr">
        <is>
          <t>Jocelyne Nolasco</t>
        </is>
      </c>
      <c r="B908" s="9" t="inlineStr">
        <is>
          <t>11/30/25 - 12/27/25</t>
        </is>
      </c>
      <c r="C908" s="12" t="n">
        <v>0</v>
      </c>
      <c r="D908" s="12" t="n">
        <v>0.08</v>
      </c>
      <c r="E908" s="12" t="n">
        <v>0</v>
      </c>
      <c r="F908" s="12" t="n">
        <v>0</v>
      </c>
      <c r="G908" s="12" t="n">
        <v>0</v>
      </c>
      <c r="H908" s="9" t="n">
        <v>0</v>
      </c>
      <c r="I908" s="10" t="n"/>
      <c r="J908" s="12" t="n"/>
      <c r="K908" t="e">
        <v>#N/A</v>
      </c>
      <c r="L908" t="e">
        <v>#N/A</v>
      </c>
      <c r="M908" t="e">
        <v>#N/A</v>
      </c>
    </row>
    <row r="909">
      <c r="A909" s="9" t="inlineStr">
        <is>
          <t>Joe Rotondo</t>
        </is>
      </c>
      <c r="B909" s="9" t="inlineStr">
        <is>
          <t>10/5/25 - 11/1/25</t>
        </is>
      </c>
      <c r="C909" s="12" t="n">
        <v>1.2448</v>
      </c>
      <c r="D909" s="12" t="n">
        <v>1.1992</v>
      </c>
      <c r="E909" s="12" t="n">
        <v>0.907692307692307</v>
      </c>
      <c r="F909" s="12" t="n">
        <v>0.25</v>
      </c>
      <c r="G909" s="12" t="n">
        <v>0.7</v>
      </c>
      <c r="H909" s="9" t="n">
        <v>5</v>
      </c>
      <c r="I909" s="10" t="inlineStr">
        <is>
          <t>1/5</t>
        </is>
      </c>
      <c r="J909" s="12" t="n">
        <v>0.2</v>
      </c>
      <c r="K909" t="e">
        <v>#N/A</v>
      </c>
      <c r="L909" t="e">
        <v>#N/A</v>
      </c>
      <c r="M909" t="e">
        <v>#N/A</v>
      </c>
    </row>
    <row r="910">
      <c r="A910" s="9" t="inlineStr">
        <is>
          <t>Joe Rotondo</t>
        </is>
      </c>
      <c r="B910" s="9" t="inlineStr">
        <is>
          <t>5/18/25 - 6/14/25</t>
        </is>
      </c>
      <c r="C910" s="12" t="n">
        <v>0.65</v>
      </c>
      <c r="D910" s="12" t="n">
        <v>1.31</v>
      </c>
      <c r="E910" s="12" t="n">
        <v>0.91</v>
      </c>
      <c r="F910" s="12" t="n">
        <v>0.67</v>
      </c>
      <c r="G910" s="12" t="n">
        <v>0.7</v>
      </c>
      <c r="H910" s="9" t="n">
        <v>3</v>
      </c>
      <c r="I910" s="10" t="n">
        <v>1</v>
      </c>
      <c r="J910" s="12">
        <f>I910</f>
        <v/>
      </c>
      <c r="K910" t="e">
        <v>#N/A</v>
      </c>
      <c r="L910" t="e">
        <v>#N/A</v>
      </c>
      <c r="M910" t="e">
        <v>#N/A</v>
      </c>
    </row>
    <row r="911">
      <c r="A911" s="9" t="inlineStr">
        <is>
          <t>Joe Rotondo</t>
        </is>
      </c>
      <c r="B911" s="9" t="inlineStr">
        <is>
          <t>6/15/25 - 7/12/25</t>
        </is>
      </c>
      <c r="C911" s="12" t="n">
        <v>0.38</v>
      </c>
      <c r="D911" s="12" t="n">
        <v>0.9</v>
      </c>
      <c r="E911" s="12" t="n">
        <v>0.97</v>
      </c>
      <c r="F911" s="12" t="n">
        <v>1</v>
      </c>
      <c r="G911" s="12" t="n">
        <v>0.83</v>
      </c>
      <c r="H911" s="9" t="e">
        <v>#N/A</v>
      </c>
      <c r="I911" s="10" t="n">
        <v>1</v>
      </c>
      <c r="J911" s="12">
        <f>I911</f>
        <v/>
      </c>
      <c r="K911" t="e">
        <v>#N/A</v>
      </c>
      <c r="L911" t="e">
        <v>#N/A</v>
      </c>
      <c r="M911" t="e">
        <v>#N/A</v>
      </c>
    </row>
    <row r="912">
      <c r="A912" s="9" t="inlineStr">
        <is>
          <t>Joe Rotondo</t>
        </is>
      </c>
      <c r="B912" s="9" t="inlineStr">
        <is>
          <t>7/13/25 - 8/10/25</t>
        </is>
      </c>
      <c r="C912" s="12" t="n">
        <v>0.67</v>
      </c>
      <c r="D912" s="12" t="n">
        <v>1.15</v>
      </c>
      <c r="E912" s="12" t="n">
        <v>0.97</v>
      </c>
      <c r="F912" s="12" t="n">
        <v>1</v>
      </c>
      <c r="G912" s="12" t="n">
        <v>0.5</v>
      </c>
      <c r="H912" s="9" t="n">
        <v>6</v>
      </c>
      <c r="I912" s="10" t="n">
        <v>0</v>
      </c>
      <c r="J912" s="12">
        <f>I912</f>
        <v/>
      </c>
      <c r="K912" t="e">
        <v>#N/A</v>
      </c>
      <c r="L912" t="e">
        <v>#N/A</v>
      </c>
      <c r="M912" t="e">
        <v>#N/A</v>
      </c>
    </row>
    <row r="913">
      <c r="A913" s="9" t="inlineStr">
        <is>
          <t>Joe Rotondo</t>
        </is>
      </c>
      <c r="B913" s="9" t="inlineStr">
        <is>
          <t>8/10/25 - 9/6/25</t>
        </is>
      </c>
      <c r="C913" s="12" t="n">
        <v>0.72</v>
      </c>
      <c r="D913" s="12" t="n">
        <v>1.22</v>
      </c>
      <c r="E913" s="12" t="n">
        <v>0.9399999999999999</v>
      </c>
      <c r="F913" s="12" t="n">
        <v>1</v>
      </c>
      <c r="G913" s="12" t="n">
        <v>0</v>
      </c>
      <c r="H913" s="9" t="n">
        <v>1</v>
      </c>
      <c r="I913" s="11" t="n"/>
      <c r="J913" s="9" t="n"/>
      <c r="K913" t="e">
        <v>#N/A</v>
      </c>
      <c r="L913" t="e">
        <v>#N/A</v>
      </c>
      <c r="M913" t="e">
        <v>#N/A</v>
      </c>
    </row>
    <row r="914">
      <c r="A914" s="9" t="inlineStr">
        <is>
          <t>Joe Rotondo</t>
        </is>
      </c>
      <c r="B914" s="9" t="inlineStr">
        <is>
          <t>9/7/25 - 10/4/25</t>
        </is>
      </c>
      <c r="C914" s="12" t="n">
        <v>0.85</v>
      </c>
      <c r="D914" s="12" t="n">
        <v>1.5</v>
      </c>
      <c r="E914" s="12" t="n">
        <v>0.88</v>
      </c>
      <c r="F914" s="12" t="n">
        <v>1</v>
      </c>
      <c r="G914" s="12" t="n">
        <v>0.78</v>
      </c>
      <c r="H914" s="9" t="n">
        <v>5</v>
      </c>
      <c r="I914" s="10" t="inlineStr">
        <is>
          <t>0/1</t>
        </is>
      </c>
      <c r="J914" s="12" t="n">
        <v>0</v>
      </c>
      <c r="K914" t="e">
        <v>#N/A</v>
      </c>
      <c r="L914" t="e">
        <v>#N/A</v>
      </c>
      <c r="M914" t="e">
        <v>#N/A</v>
      </c>
    </row>
    <row r="915">
      <c r="A915" s="9" t="inlineStr">
        <is>
          <t>Johann Shetti</t>
        </is>
      </c>
      <c r="B915" s="9" t="inlineStr">
        <is>
          <t>10/5/25 - 11/1/25</t>
        </is>
      </c>
      <c r="C915" s="12" t="n">
        <v>0.7813</v>
      </c>
      <c r="D915" s="12" t="n">
        <v>1.15229999999999</v>
      </c>
      <c r="E915" s="12" t="n">
        <v>0.918367346938775</v>
      </c>
      <c r="F915" s="12" t="n">
        <v>0.9428571428571419</v>
      </c>
      <c r="G915" s="12" t="n">
        <v>1</v>
      </c>
      <c r="H915" s="9" t="n">
        <v>4</v>
      </c>
      <c r="I915" s="10" t="inlineStr">
        <is>
          <t>1/6</t>
        </is>
      </c>
      <c r="J915" s="12" t="n">
        <v>0.17</v>
      </c>
      <c r="K915" t="e">
        <v>#N/A</v>
      </c>
      <c r="L915" t="e">
        <v>#N/A</v>
      </c>
      <c r="M915" t="e">
        <v>#N/A</v>
      </c>
    </row>
    <row r="916">
      <c r="A916" s="9" t="inlineStr">
        <is>
          <t>Johann Shetti</t>
        </is>
      </c>
      <c r="B916" s="9" t="inlineStr">
        <is>
          <t>10/5/25 - 11/1/25</t>
        </is>
      </c>
      <c r="C916" s="12" t="n">
        <v>0.7813</v>
      </c>
      <c r="D916" s="12" t="n">
        <v>1.15229999999999</v>
      </c>
      <c r="E916" s="12" t="n">
        <v>0.918367346938775</v>
      </c>
      <c r="F916" s="12" t="n">
        <v>0.9428571428571419</v>
      </c>
      <c r="G916" s="12" t="n">
        <v>1</v>
      </c>
      <c r="H916" s="9" t="n">
        <v>4</v>
      </c>
      <c r="I916" s="10" t="inlineStr">
        <is>
          <t>1/6</t>
        </is>
      </c>
      <c r="J916" s="12">
        <f>_xlfn.TEXTBEFORE(I916, "/")/_xlfn.TEXTAFTER(I916,"/")</f>
        <v/>
      </c>
      <c r="K916" t="e">
        <v>#N/A</v>
      </c>
      <c r="L916" t="e">
        <v>#N/A</v>
      </c>
      <c r="M916" t="e">
        <v>#N/A</v>
      </c>
    </row>
    <row r="917">
      <c r="A917" s="9" t="inlineStr">
        <is>
          <t>Johann Shetti</t>
        </is>
      </c>
      <c r="B917" s="9" t="inlineStr">
        <is>
          <t>11/2/25 - 11/29/25</t>
        </is>
      </c>
      <c r="C917" s="12" t="n">
        <v>0.95</v>
      </c>
      <c r="D917" s="12" t="n">
        <v>1.18</v>
      </c>
      <c r="E917" s="12" t="n">
        <v>0.79</v>
      </c>
      <c r="F917" s="12" t="n">
        <v>0.92</v>
      </c>
      <c r="G917" s="12" t="n">
        <v>0</v>
      </c>
      <c r="H917" s="9" t="n">
        <v>5</v>
      </c>
      <c r="I917" s="13" t="inlineStr">
        <is>
          <t>0/6</t>
        </is>
      </c>
      <c r="J917" s="12" t="n">
        <v>0</v>
      </c>
      <c r="K917" t="e">
        <v>#N/A</v>
      </c>
      <c r="L917" t="e">
        <v>#N/A</v>
      </c>
      <c r="M917" t="e">
        <v>#N/A</v>
      </c>
    </row>
    <row r="918">
      <c r="A918" s="9" t="inlineStr">
        <is>
          <t>Johann Shetti</t>
        </is>
      </c>
      <c r="B918" s="9" t="inlineStr">
        <is>
          <t>11/30/25 - 12/27/25</t>
        </is>
      </c>
      <c r="C918" s="12" t="n">
        <v>0.77</v>
      </c>
      <c r="D918" s="12" t="n">
        <v>1.13</v>
      </c>
      <c r="E918" s="12" t="n">
        <v>0.83</v>
      </c>
      <c r="F918" s="12" t="n">
        <v>0.68</v>
      </c>
      <c r="G918" s="12" t="n">
        <v>0</v>
      </c>
      <c r="H918" s="9" t="n">
        <v>4</v>
      </c>
      <c r="I918" s="10" t="n">
        <v>1</v>
      </c>
      <c r="J918" s="12" t="n">
        <v>1</v>
      </c>
      <c r="K918" t="e">
        <v>#N/A</v>
      </c>
      <c r="L918" t="e">
        <v>#N/A</v>
      </c>
      <c r="M918" t="e">
        <v>#N/A</v>
      </c>
    </row>
    <row r="919">
      <c r="A919" s="9" t="inlineStr">
        <is>
          <t>Johann Shetti</t>
        </is>
      </c>
      <c r="B919" s="9" t="inlineStr">
        <is>
          <t>5/18/25 - 6/14/25</t>
        </is>
      </c>
      <c r="C919" s="12" t="n">
        <v>0.51</v>
      </c>
      <c r="D919" s="12" t="n">
        <v>1.13</v>
      </c>
      <c r="E919" s="12" t="n">
        <v>0.85</v>
      </c>
      <c r="F919" s="12" t="n">
        <v>0.77</v>
      </c>
      <c r="G919" s="12" t="n">
        <v>0.5</v>
      </c>
      <c r="H919" s="9" t="n">
        <v>3</v>
      </c>
      <c r="I919" s="10" t="n">
        <v>0</v>
      </c>
      <c r="J919" s="12">
        <f>I919</f>
        <v/>
      </c>
      <c r="K919" t="e">
        <v>#N/A</v>
      </c>
      <c r="L919" t="e">
        <v>#N/A</v>
      </c>
      <c r="M919" t="e">
        <v>#N/A</v>
      </c>
    </row>
    <row r="920">
      <c r="A920" s="9" t="inlineStr">
        <is>
          <t>Johann Shetti</t>
        </is>
      </c>
      <c r="B920" s="9" t="inlineStr">
        <is>
          <t>6/15/25 - 7/12/25</t>
        </is>
      </c>
      <c r="C920" s="12" t="n">
        <v>0.43</v>
      </c>
      <c r="D920" s="12" t="n">
        <v>1.04</v>
      </c>
      <c r="E920" s="12" t="n">
        <v>0.84</v>
      </c>
      <c r="F920" s="12" t="n">
        <v>1</v>
      </c>
      <c r="G920" s="12" t="n">
        <v>0.4</v>
      </c>
      <c r="H920" s="9" t="n">
        <v>3</v>
      </c>
      <c r="J920" s="9" t="n"/>
      <c r="K920" t="e">
        <v>#N/A</v>
      </c>
      <c r="L920" t="e">
        <v>#N/A</v>
      </c>
      <c r="M920" t="e">
        <v>#N/A</v>
      </c>
    </row>
    <row r="921">
      <c r="A921" s="9" t="inlineStr">
        <is>
          <t>Johann Shetti</t>
        </is>
      </c>
      <c r="B921" s="9" t="inlineStr">
        <is>
          <t>7/13/25 - 8/10/25</t>
        </is>
      </c>
      <c r="C921" s="12" t="n">
        <v>0.42</v>
      </c>
      <c r="D921" s="12" t="n">
        <v>1.11</v>
      </c>
      <c r="E921" s="12" t="n">
        <v>1</v>
      </c>
      <c r="F921" s="12" t="n">
        <v>0.9399999999999999</v>
      </c>
      <c r="G921" s="12" t="n">
        <v>0.5</v>
      </c>
      <c r="H921" s="9" t="n">
        <v>1</v>
      </c>
      <c r="J921" s="9" t="n"/>
      <c r="K921" t="e">
        <v>#N/A</v>
      </c>
      <c r="L921" t="e">
        <v>#N/A</v>
      </c>
      <c r="M921" t="e">
        <v>#N/A</v>
      </c>
    </row>
    <row r="922">
      <c r="A922" s="9" t="inlineStr">
        <is>
          <t>Johann Shetti</t>
        </is>
      </c>
      <c r="B922" s="9" t="inlineStr">
        <is>
          <t>8/10/25 - 9/6/25</t>
        </is>
      </c>
      <c r="C922" s="12" t="n">
        <v>0.27</v>
      </c>
      <c r="D922" s="12" t="n">
        <v>0.86</v>
      </c>
      <c r="E922" s="12" t="n">
        <v>1</v>
      </c>
      <c r="F922" s="12" t="n">
        <v>0.6899999999999999</v>
      </c>
      <c r="G922" s="12" t="n">
        <v>0.6</v>
      </c>
      <c r="H922" s="9" t="n">
        <v>4</v>
      </c>
      <c r="I922" s="11" t="n"/>
      <c r="J922" s="9" t="n"/>
      <c r="K922" t="e">
        <v>#N/A</v>
      </c>
      <c r="L922" t="e">
        <v>#N/A</v>
      </c>
      <c r="M922" t="e">
        <v>#N/A</v>
      </c>
    </row>
    <row r="923">
      <c r="A923" s="9" t="inlineStr">
        <is>
          <t>Johann Shetti</t>
        </is>
      </c>
      <c r="B923" s="9" t="inlineStr">
        <is>
          <t>9/7/25 - 10/4/25</t>
        </is>
      </c>
      <c r="C923" s="12" t="n">
        <v>0.33</v>
      </c>
      <c r="D923" s="12" t="n">
        <v>0.8</v>
      </c>
      <c r="E923" s="12" t="n">
        <v>1</v>
      </c>
      <c r="F923" s="12" t="n">
        <v>0.64</v>
      </c>
      <c r="G923" s="12" t="n">
        <v>1</v>
      </c>
      <c r="H923" s="9" t="n">
        <v>1</v>
      </c>
      <c r="I923" s="10" t="inlineStr">
        <is>
          <t>1/4</t>
        </is>
      </c>
      <c r="J923" s="12" t="n">
        <v>0.25</v>
      </c>
      <c r="K923" t="e">
        <v>#N/A</v>
      </c>
      <c r="L923" t="e">
        <v>#N/A</v>
      </c>
      <c r="M923" t="e">
        <v>#N/A</v>
      </c>
    </row>
    <row r="924">
      <c r="A924" s="9" t="inlineStr">
        <is>
          <t>John Corbett</t>
        </is>
      </c>
      <c r="B924" s="9" t="inlineStr">
        <is>
          <t>10/5/25 - 11/1/25</t>
        </is>
      </c>
      <c r="C924" s="12" t="n">
        <v>0.9167</v>
      </c>
      <c r="D924" s="12" t="n">
        <v>1.023</v>
      </c>
      <c r="E924" s="12" t="n">
        <v>1</v>
      </c>
      <c r="F924" s="12" t="n">
        <v>1</v>
      </c>
      <c r="G924" s="12" t="n">
        <v>0</v>
      </c>
      <c r="H924" s="9" t="n">
        <v>9</v>
      </c>
      <c r="I924" s="10" t="inlineStr">
        <is>
          <t>3/8</t>
        </is>
      </c>
      <c r="J924" s="12" t="n">
        <v>0.38</v>
      </c>
      <c r="K924" t="inlineStr">
        <is>
          <t>Distinguished</t>
        </is>
      </c>
      <c r="L924" t="inlineStr">
        <is>
          <t>Adjunct</t>
        </is>
      </c>
      <c r="M924" t="inlineStr">
        <is>
          <t>Geoff St. Marie</t>
        </is>
      </c>
    </row>
    <row r="925">
      <c r="A925" s="9" t="inlineStr">
        <is>
          <t>John Corbett</t>
        </is>
      </c>
      <c r="B925" s="9" t="inlineStr">
        <is>
          <t>10/5/25 - 11/1/25</t>
        </is>
      </c>
      <c r="C925" s="12" t="n">
        <v>0.9167</v>
      </c>
      <c r="D925" s="12" t="n">
        <v>1.023</v>
      </c>
      <c r="E925" s="12" t="n">
        <v>1</v>
      </c>
      <c r="F925" s="12" t="n">
        <v>1</v>
      </c>
      <c r="G925" s="12" t="n">
        <v>0</v>
      </c>
      <c r="H925" s="9" t="n">
        <v>9</v>
      </c>
      <c r="I925" s="10" t="inlineStr">
        <is>
          <t>3/8</t>
        </is>
      </c>
      <c r="J925" s="12">
        <f>_xlfn.TEXTBEFORE(I925, "/")/_xlfn.TEXTAFTER(I925,"/")</f>
        <v/>
      </c>
      <c r="K925" t="inlineStr">
        <is>
          <t>Distinguished</t>
        </is>
      </c>
      <c r="L925" t="inlineStr">
        <is>
          <t>Adjunct</t>
        </is>
      </c>
      <c r="M925" t="inlineStr">
        <is>
          <t>Geoff St. Marie</t>
        </is>
      </c>
    </row>
    <row r="926">
      <c r="A926" s="9" t="inlineStr">
        <is>
          <t>John Corbett</t>
        </is>
      </c>
      <c r="B926" s="9" t="inlineStr">
        <is>
          <t>11/2/25 - 11/29/25</t>
        </is>
      </c>
      <c r="C926" s="12" t="n">
        <v>0.93</v>
      </c>
      <c r="D926" s="12" t="n">
        <v>0.98</v>
      </c>
      <c r="E926" s="12" t="n">
        <v>0.98</v>
      </c>
      <c r="F926" s="12" t="n">
        <v>0.99</v>
      </c>
      <c r="G926" s="12" t="n">
        <v>0.67</v>
      </c>
      <c r="H926" s="9" t="n">
        <v>11</v>
      </c>
      <c r="I926" s="13" t="inlineStr">
        <is>
          <t>0/3</t>
        </is>
      </c>
      <c r="J926" s="12" t="n">
        <v>0</v>
      </c>
      <c r="K926" t="inlineStr">
        <is>
          <t>Distinguished</t>
        </is>
      </c>
      <c r="L926" t="inlineStr">
        <is>
          <t>Adjunct</t>
        </is>
      </c>
      <c r="M926" t="inlineStr">
        <is>
          <t>Geoff St. Marie</t>
        </is>
      </c>
    </row>
    <row r="927">
      <c r="A927" s="9" t="inlineStr">
        <is>
          <t>John Corbett</t>
        </is>
      </c>
      <c r="B927" s="9" t="inlineStr">
        <is>
          <t>11/30/25 - 12/27/25</t>
        </is>
      </c>
      <c r="C927" s="12" t="n">
        <v>0.78</v>
      </c>
      <c r="D927" s="12" t="n">
        <v>0.97</v>
      </c>
      <c r="E927" s="12" t="n">
        <v>0.99</v>
      </c>
      <c r="F927" s="12" t="n">
        <v>0.98</v>
      </c>
      <c r="G927" s="12" t="n">
        <v>1</v>
      </c>
      <c r="H927" s="9" t="n">
        <v>6</v>
      </c>
      <c r="I927" s="10" t="n"/>
      <c r="J927" s="12" t="n"/>
      <c r="K927" t="inlineStr">
        <is>
          <t>Distinguished</t>
        </is>
      </c>
      <c r="L927" t="inlineStr">
        <is>
          <t>Adjunct</t>
        </is>
      </c>
      <c r="M927" t="inlineStr">
        <is>
          <t>Geoff St. Marie</t>
        </is>
      </c>
    </row>
    <row r="928">
      <c r="A928" s="9" t="inlineStr">
        <is>
          <t>John Corbett</t>
        </is>
      </c>
      <c r="B928" s="9" t="inlineStr">
        <is>
          <t>12/28/25 - 1/25/26</t>
        </is>
      </c>
      <c r="C928" s="12" t="n">
        <v>0.9625</v>
      </c>
      <c r="D928" s="12" t="n">
        <v>1.3264</v>
      </c>
      <c r="E928" s="12" t="n">
        <v>1</v>
      </c>
      <c r="F928" s="12" t="n">
        <v>1</v>
      </c>
      <c r="G928" s="12" t="n">
        <v>0.846153846</v>
      </c>
      <c r="H928" s="9" t="n">
        <v>3</v>
      </c>
      <c r="I928" s="10" t="inlineStr">
        <is>
          <t>0/6</t>
        </is>
      </c>
      <c r="J928" s="12" t="n">
        <v>0</v>
      </c>
      <c r="K928" t="inlineStr">
        <is>
          <t>Distinguished</t>
        </is>
      </c>
      <c r="L928" t="inlineStr">
        <is>
          <t>Adjunct</t>
        </is>
      </c>
      <c r="M928" t="inlineStr">
        <is>
          <t>Geoff St. Marie</t>
        </is>
      </c>
    </row>
    <row r="929">
      <c r="A929" s="9" t="inlineStr">
        <is>
          <t>John Corbett</t>
        </is>
      </c>
      <c r="B929" s="9" t="inlineStr">
        <is>
          <t>5/18/25 - 6/14/25</t>
        </is>
      </c>
      <c r="C929" s="12" t="n">
        <v>0.42</v>
      </c>
      <c r="D929" s="12" t="n">
        <v>1.19</v>
      </c>
      <c r="E929" s="12" t="n">
        <v>1</v>
      </c>
      <c r="F929" s="12" t="n">
        <v>0.75</v>
      </c>
      <c r="G929" s="12" t="n">
        <v>0.88</v>
      </c>
      <c r="H929" s="9" t="n">
        <v>1</v>
      </c>
      <c r="I929" s="10" t="inlineStr">
        <is>
          <t xml:space="preserve"> 3/5</t>
        </is>
      </c>
      <c r="J929" s="12" t="n">
        <v>0.6</v>
      </c>
      <c r="K929" t="inlineStr">
        <is>
          <t>Distinguished</t>
        </is>
      </c>
      <c r="L929" t="inlineStr">
        <is>
          <t>Adjunct</t>
        </is>
      </c>
      <c r="M929" t="inlineStr">
        <is>
          <t>Geoff St. Marie</t>
        </is>
      </c>
    </row>
    <row r="930">
      <c r="A930" s="9" t="inlineStr">
        <is>
          <t>John Corbett</t>
        </is>
      </c>
      <c r="B930" s="9" t="inlineStr">
        <is>
          <t>6/15/25 - 7/12/25</t>
        </is>
      </c>
      <c r="C930" s="12" t="n">
        <v>0.45</v>
      </c>
      <c r="D930" s="12" t="n">
        <v>1.08</v>
      </c>
      <c r="E930" s="12" t="n">
        <v>1</v>
      </c>
      <c r="F930" s="12" t="n">
        <v>1</v>
      </c>
      <c r="G930" s="12" t="n">
        <v>0.71</v>
      </c>
      <c r="H930" s="9" t="n">
        <v>2</v>
      </c>
      <c r="I930" s="10" t="inlineStr">
        <is>
          <t xml:space="preserve"> 1/4</t>
        </is>
      </c>
      <c r="J930" s="12" t="n">
        <v>0.25</v>
      </c>
      <c r="K930" t="inlineStr">
        <is>
          <t>Distinguished</t>
        </is>
      </c>
      <c r="L930" t="inlineStr">
        <is>
          <t>Adjunct</t>
        </is>
      </c>
      <c r="M930" t="inlineStr">
        <is>
          <t>Geoff St. Marie</t>
        </is>
      </c>
    </row>
    <row r="931">
      <c r="A931" s="9" t="inlineStr">
        <is>
          <t>John Corbett</t>
        </is>
      </c>
      <c r="B931" s="9" t="inlineStr">
        <is>
          <t>7/13/25 - 8/10/25</t>
        </is>
      </c>
      <c r="C931" s="12" t="n">
        <v>0.79</v>
      </c>
      <c r="D931" s="12" t="n">
        <v>1.02</v>
      </c>
      <c r="E931" s="12" t="n">
        <v>0.97</v>
      </c>
      <c r="F931" s="12" t="n">
        <v>0.84</v>
      </c>
      <c r="G931" s="12" t="n">
        <v>0.45</v>
      </c>
      <c r="H931" s="9" t="n">
        <v>4</v>
      </c>
      <c r="I931" s="10" t="n">
        <v>0</v>
      </c>
      <c r="J931" s="12">
        <f>I931</f>
        <v/>
      </c>
      <c r="K931" t="inlineStr">
        <is>
          <t>Distinguished</t>
        </is>
      </c>
      <c r="L931" t="inlineStr">
        <is>
          <t>Adjunct</t>
        </is>
      </c>
      <c r="M931" t="inlineStr">
        <is>
          <t>Geoff St. Marie</t>
        </is>
      </c>
    </row>
    <row r="932">
      <c r="A932" s="9" t="inlineStr">
        <is>
          <t>John Corbett</t>
        </is>
      </c>
      <c r="B932" s="9" t="inlineStr">
        <is>
          <t>8/10/25 - 9/6/25</t>
        </is>
      </c>
      <c r="C932" s="12" t="n">
        <v>0.5</v>
      </c>
      <c r="D932" s="12" t="n">
        <v>0.92</v>
      </c>
      <c r="E932" s="12" t="n">
        <v>0.95</v>
      </c>
      <c r="F932" s="12" t="n">
        <v>0.71</v>
      </c>
      <c r="G932" s="12" t="n">
        <v>0</v>
      </c>
      <c r="H932" s="9" t="n">
        <v>5</v>
      </c>
      <c r="I932" s="10" t="inlineStr">
        <is>
          <t>0/2</t>
        </is>
      </c>
      <c r="J932" s="12" t="n">
        <v>0</v>
      </c>
      <c r="K932" t="inlineStr">
        <is>
          <t>Distinguished</t>
        </is>
      </c>
      <c r="L932" t="inlineStr">
        <is>
          <t>Adjunct</t>
        </is>
      </c>
      <c r="M932" t="inlineStr">
        <is>
          <t>Geoff St. Marie</t>
        </is>
      </c>
    </row>
    <row r="933">
      <c r="A933" s="9" t="inlineStr">
        <is>
          <t>John Corbett</t>
        </is>
      </c>
      <c r="B933" s="9" t="inlineStr">
        <is>
          <t>9/7/25 - 10/4/25</t>
        </is>
      </c>
      <c r="C933" s="12" t="n">
        <v>0.72</v>
      </c>
      <c r="D933" s="12" t="n">
        <v>1.07</v>
      </c>
      <c r="E933" s="12" t="n">
        <v>0.86</v>
      </c>
      <c r="F933" s="12" t="n">
        <v>0.93</v>
      </c>
      <c r="G933" s="12" t="n">
        <v>0</v>
      </c>
      <c r="H933" s="9" t="n">
        <v>13</v>
      </c>
      <c r="I933" s="10" t="inlineStr">
        <is>
          <t>1/7</t>
        </is>
      </c>
      <c r="J933" s="12" t="n">
        <v>0.14</v>
      </c>
      <c r="K933" t="inlineStr">
        <is>
          <t>Distinguished</t>
        </is>
      </c>
      <c r="L933" t="inlineStr">
        <is>
          <t>Adjunct</t>
        </is>
      </c>
      <c r="M933" t="inlineStr">
        <is>
          <t>Geoff St. Marie</t>
        </is>
      </c>
    </row>
    <row r="934">
      <c r="A934" s="9" t="inlineStr">
        <is>
          <t>John Licitra</t>
        </is>
      </c>
      <c r="B934" s="9" t="inlineStr">
        <is>
          <t>10/5/25 - 11/1/25</t>
        </is>
      </c>
      <c r="C934" s="12" t="n">
        <v>0.9833</v>
      </c>
      <c r="D934" s="12" t="n">
        <v>1.0691</v>
      </c>
      <c r="E934" s="12" t="n">
        <v>1</v>
      </c>
      <c r="F934" s="12" t="n">
        <v>0.975308641975308</v>
      </c>
      <c r="G934" s="12" t="n">
        <v>0.642857142857142</v>
      </c>
      <c r="H934" s="9" t="n">
        <v>8</v>
      </c>
      <c r="I934" s="10" t="inlineStr">
        <is>
          <t>0/8</t>
        </is>
      </c>
      <c r="J934" s="12" t="n">
        <v>0</v>
      </c>
      <c r="K934" t="inlineStr">
        <is>
          <t>Distinguished</t>
        </is>
      </c>
      <c r="L934" t="inlineStr">
        <is>
          <t>Professional</t>
        </is>
      </c>
      <c r="M934" t="inlineStr">
        <is>
          <t>Geoff St. Marie</t>
        </is>
      </c>
    </row>
    <row r="935">
      <c r="A935" s="9" t="inlineStr">
        <is>
          <t>John Licitra</t>
        </is>
      </c>
      <c r="B935" s="9" t="inlineStr">
        <is>
          <t>11/2/25 - 11/29/25</t>
        </is>
      </c>
      <c r="C935" s="12" t="n">
        <v>0.75</v>
      </c>
      <c r="D935" s="12" t="n">
        <v>1.08</v>
      </c>
      <c r="E935" s="12" t="n">
        <v>1</v>
      </c>
      <c r="F935" s="12" t="n">
        <v>0.96</v>
      </c>
      <c r="G935" s="12" t="n">
        <v>0.85</v>
      </c>
      <c r="H935" s="9" t="n">
        <v>7</v>
      </c>
      <c r="I935" s="13" t="n">
        <v>45724</v>
      </c>
      <c r="J935" s="14" t="n">
        <v>0.38</v>
      </c>
      <c r="K935" t="inlineStr">
        <is>
          <t>Distinguished</t>
        </is>
      </c>
      <c r="L935" t="inlineStr">
        <is>
          <t>Professional</t>
        </is>
      </c>
      <c r="M935" t="inlineStr">
        <is>
          <t>Geoff St. Marie</t>
        </is>
      </c>
    </row>
    <row r="936">
      <c r="A936" s="9" t="inlineStr">
        <is>
          <t>John Licitra</t>
        </is>
      </c>
      <c r="B936" s="9" t="inlineStr">
        <is>
          <t>11/30/25 - 12/27/25</t>
        </is>
      </c>
      <c r="C936" s="12" t="n">
        <v>0.48</v>
      </c>
      <c r="D936" s="12" t="n">
        <v>0.7</v>
      </c>
      <c r="E936" s="12" t="n">
        <v>1</v>
      </c>
      <c r="F936" s="12" t="n">
        <v>0.98</v>
      </c>
      <c r="G936" s="12" t="n">
        <v>1</v>
      </c>
      <c r="H936" s="9" t="n">
        <v>6</v>
      </c>
      <c r="I936" s="10" t="n">
        <v>0.5</v>
      </c>
      <c r="J936" s="12" t="n">
        <v>0.5</v>
      </c>
      <c r="K936" t="inlineStr">
        <is>
          <t>Distinguished</t>
        </is>
      </c>
      <c r="L936" t="inlineStr">
        <is>
          <t>Professional</t>
        </is>
      </c>
      <c r="M936" t="inlineStr">
        <is>
          <t>Geoff St. Marie</t>
        </is>
      </c>
    </row>
    <row r="937">
      <c r="A937" s="9" t="inlineStr">
        <is>
          <t>John Licitra</t>
        </is>
      </c>
      <c r="B937" s="9" t="inlineStr">
        <is>
          <t>12/28/25 - 1/25/26</t>
        </is>
      </c>
      <c r="C937" s="12" t="n">
        <v>0.1875</v>
      </c>
      <c r="D937" s="12" t="n">
        <v>0.8586</v>
      </c>
      <c r="E937" s="12" t="n">
        <v>1</v>
      </c>
      <c r="F937" s="12" t="n">
        <v>1</v>
      </c>
      <c r="G937" s="12" t="n">
        <v>1</v>
      </c>
      <c r="H937" s="9" t="n">
        <v>3</v>
      </c>
      <c r="I937" s="10" t="inlineStr">
        <is>
          <t>0/0</t>
        </is>
      </c>
      <c r="J937" s="12" t="n">
        <v>0</v>
      </c>
      <c r="K937" t="inlineStr">
        <is>
          <t>Distinguished</t>
        </is>
      </c>
      <c r="L937" t="inlineStr">
        <is>
          <t>Professional</t>
        </is>
      </c>
      <c r="M937" t="inlineStr">
        <is>
          <t>Geoff St. Marie</t>
        </is>
      </c>
    </row>
    <row r="938">
      <c r="A938" s="9" t="inlineStr">
        <is>
          <t>John Licitra</t>
        </is>
      </c>
      <c r="B938" s="9" t="inlineStr">
        <is>
          <t>9/7/25 - 10/4/25</t>
        </is>
      </c>
      <c r="C938" s="12" t="n">
        <v>0.68</v>
      </c>
      <c r="D938" s="12" t="n">
        <v>1.03</v>
      </c>
      <c r="E938" s="12" t="n">
        <v>1</v>
      </c>
      <c r="F938" s="12" t="n">
        <v>0.96</v>
      </c>
      <c r="G938" s="12" t="n">
        <v>1</v>
      </c>
      <c r="H938" s="9" t="n">
        <v>2</v>
      </c>
      <c r="I938" s="10" t="inlineStr">
        <is>
          <t>2/11</t>
        </is>
      </c>
      <c r="J938" s="12" t="n">
        <v>0.18</v>
      </c>
      <c r="K938" t="inlineStr">
        <is>
          <t>Distinguished</t>
        </is>
      </c>
      <c r="L938" t="inlineStr">
        <is>
          <t>Professional</t>
        </is>
      </c>
      <c r="M938" t="inlineStr">
        <is>
          <t>Geoff St. Marie</t>
        </is>
      </c>
    </row>
    <row r="939">
      <c r="A939" s="9" t="inlineStr">
        <is>
          <t>John Olmos</t>
        </is>
      </c>
      <c r="B939" s="9" t="inlineStr">
        <is>
          <t>10/5/25 - 11/1/25</t>
        </is>
      </c>
      <c r="C939" s="12" t="n">
        <v>0.7875</v>
      </c>
      <c r="D939" s="12" t="n">
        <v>1.33219999999999</v>
      </c>
      <c r="E939" s="12" t="n">
        <v>1</v>
      </c>
      <c r="F939" s="12" t="n">
        <v>1</v>
      </c>
      <c r="G939" s="12" t="n">
        <v>0.9411764705882349</v>
      </c>
      <c r="H939" s="9" t="n">
        <v>1</v>
      </c>
      <c r="I939" s="10" t="inlineStr">
        <is>
          <t>1/3</t>
        </is>
      </c>
      <c r="J939" s="12" t="n">
        <v>0.33</v>
      </c>
      <c r="K939" t="inlineStr">
        <is>
          <t>Distinguished</t>
        </is>
      </c>
      <c r="L939" t="inlineStr">
        <is>
          <t>Professional</t>
        </is>
      </c>
      <c r="M939" t="inlineStr">
        <is>
          <t>Geoff St. Marie</t>
        </is>
      </c>
    </row>
    <row r="940">
      <c r="A940" s="9" t="inlineStr">
        <is>
          <t>John Olmos</t>
        </is>
      </c>
      <c r="B940" s="9" t="inlineStr">
        <is>
          <t>10/5/25 - 11/1/25</t>
        </is>
      </c>
      <c r="C940" s="12" t="n">
        <v>0.7875</v>
      </c>
      <c r="D940" s="12" t="n">
        <v>1.33219999999999</v>
      </c>
      <c r="E940" s="12" t="n">
        <v>1</v>
      </c>
      <c r="F940" s="12" t="n">
        <v>1</v>
      </c>
      <c r="G940" s="12" t="n">
        <v>0.9411764705882349</v>
      </c>
      <c r="H940" s="9" t="n">
        <v>1</v>
      </c>
      <c r="I940" s="10" t="inlineStr">
        <is>
          <t>1/3</t>
        </is>
      </c>
      <c r="J940" s="12">
        <f>_xlfn.TEXTBEFORE(I940, "/")/_xlfn.TEXTAFTER(I940,"/")</f>
        <v/>
      </c>
      <c r="K940" t="inlineStr">
        <is>
          <t>Distinguished</t>
        </is>
      </c>
      <c r="L940" t="inlineStr">
        <is>
          <t>Professional</t>
        </is>
      </c>
      <c r="M940" t="inlineStr">
        <is>
          <t>Geoff St. Marie</t>
        </is>
      </c>
    </row>
    <row r="941">
      <c r="A941" s="9" t="inlineStr">
        <is>
          <t>John Olmos</t>
        </is>
      </c>
      <c r="B941" s="9" t="inlineStr">
        <is>
          <t>11/2/25 - 11/29/25</t>
        </is>
      </c>
      <c r="C941" s="12" t="n">
        <v>0.65</v>
      </c>
      <c r="D941" s="12" t="n">
        <v>1.32</v>
      </c>
      <c r="E941" s="12" t="n">
        <v>1</v>
      </c>
      <c r="F941" s="12" t="n">
        <v>0.7</v>
      </c>
      <c r="G941" s="12" t="n">
        <v>1</v>
      </c>
      <c r="H941" s="9" t="n">
        <v>1</v>
      </c>
      <c r="I941" s="13" t="n">
        <v>45658</v>
      </c>
      <c r="J941" s="12" t="n">
        <v>1</v>
      </c>
      <c r="K941" t="inlineStr">
        <is>
          <t>Distinguished</t>
        </is>
      </c>
      <c r="L941" t="inlineStr">
        <is>
          <t>Professional</t>
        </is>
      </c>
      <c r="M941" t="inlineStr">
        <is>
          <t>Geoff St. Marie</t>
        </is>
      </c>
    </row>
    <row r="942">
      <c r="A942" s="9" t="inlineStr">
        <is>
          <t>John Olmos</t>
        </is>
      </c>
      <c r="B942" s="9" t="inlineStr">
        <is>
          <t>11/30/25 - 12/27/25</t>
        </is>
      </c>
      <c r="C942" s="12" t="n">
        <v>0.54</v>
      </c>
      <c r="D942" s="12" t="n">
        <v>1.18</v>
      </c>
      <c r="E942" s="12" t="n">
        <v>1</v>
      </c>
      <c r="F942" s="12" t="n">
        <v>0.93</v>
      </c>
      <c r="G942" s="12" t="n">
        <v>0.82</v>
      </c>
      <c r="H942" s="9" t="n">
        <v>2</v>
      </c>
      <c r="I942" s="10" t="n">
        <v>0.4</v>
      </c>
      <c r="J942" s="12" t="n">
        <v>0.4</v>
      </c>
      <c r="K942" t="inlineStr">
        <is>
          <t>Distinguished</t>
        </is>
      </c>
      <c r="L942" t="inlineStr">
        <is>
          <t>Professional</t>
        </is>
      </c>
      <c r="M942" t="inlineStr">
        <is>
          <t>Geoff St. Marie</t>
        </is>
      </c>
    </row>
    <row r="943">
      <c r="A943" s="9" t="inlineStr">
        <is>
          <t>John Olmos</t>
        </is>
      </c>
      <c r="B943" s="9" t="inlineStr">
        <is>
          <t>12/28/25 - 1/25/26</t>
        </is>
      </c>
      <c r="C943" s="12" t="n">
        <v>0.4542</v>
      </c>
      <c r="D943" s="12" t="n">
        <v>1.2878</v>
      </c>
      <c r="E943" s="12" t="n">
        <v>1</v>
      </c>
      <c r="F943" s="12" t="n">
        <v>1</v>
      </c>
      <c r="G943" s="12" t="n">
        <v>0.875</v>
      </c>
      <c r="H943" s="9" t="n">
        <v>1</v>
      </c>
      <c r="I943" s="10" t="n">
        <v>1</v>
      </c>
      <c r="J943" s="12">
        <f>I943</f>
        <v/>
      </c>
      <c r="K943" t="inlineStr">
        <is>
          <t>Distinguished</t>
        </is>
      </c>
      <c r="L943" t="inlineStr">
        <is>
          <t>Professional</t>
        </is>
      </c>
      <c r="M943" t="inlineStr">
        <is>
          <t>Geoff St. Marie</t>
        </is>
      </c>
    </row>
    <row r="944">
      <c r="A944" s="9" t="inlineStr">
        <is>
          <t>John Olmos</t>
        </is>
      </c>
      <c r="B944" s="9" t="inlineStr">
        <is>
          <t>5/18/25 - 6/14/25</t>
        </is>
      </c>
      <c r="C944" s="12" t="n">
        <v>0.9</v>
      </c>
      <c r="D944" s="12" t="n">
        <v>1.24</v>
      </c>
      <c r="E944" s="12" t="n">
        <v>1</v>
      </c>
      <c r="F944" s="12" t="n">
        <v>1</v>
      </c>
      <c r="G944" s="12" t="n">
        <v>0.89</v>
      </c>
      <c r="H944" s="9" t="n">
        <v>3</v>
      </c>
      <c r="I944" s="10" t="inlineStr">
        <is>
          <t xml:space="preserve"> 2/3</t>
        </is>
      </c>
      <c r="J944" s="12" t="n">
        <v>0.67</v>
      </c>
      <c r="K944" t="inlineStr">
        <is>
          <t>Distinguished</t>
        </is>
      </c>
      <c r="L944" t="inlineStr">
        <is>
          <t>Professional</t>
        </is>
      </c>
      <c r="M944" t="inlineStr">
        <is>
          <t>Geoff St. Marie</t>
        </is>
      </c>
    </row>
    <row r="945">
      <c r="A945" s="9" t="inlineStr">
        <is>
          <t>John Olmos</t>
        </is>
      </c>
      <c r="B945" s="9" t="inlineStr">
        <is>
          <t>6/15/25 - 7/12/25</t>
        </is>
      </c>
      <c r="C945" s="12" t="n">
        <v>0.47</v>
      </c>
      <c r="D945" s="12" t="n">
        <v>1.11</v>
      </c>
      <c r="E945" s="12" t="n">
        <v>1</v>
      </c>
      <c r="F945" s="12" t="n">
        <v>1</v>
      </c>
      <c r="G945" s="12" t="n">
        <v>0.92</v>
      </c>
      <c r="H945" s="9" t="e">
        <v>#N/A</v>
      </c>
      <c r="I945" s="10" t="n">
        <v>1</v>
      </c>
      <c r="J945" s="12">
        <f>I945</f>
        <v/>
      </c>
      <c r="K945" t="inlineStr">
        <is>
          <t>Distinguished</t>
        </is>
      </c>
      <c r="L945" t="inlineStr">
        <is>
          <t>Professional</t>
        </is>
      </c>
      <c r="M945" t="inlineStr">
        <is>
          <t>Geoff St. Marie</t>
        </is>
      </c>
    </row>
    <row r="946">
      <c r="A946" s="9" t="inlineStr">
        <is>
          <t>John Olmos</t>
        </is>
      </c>
      <c r="B946" s="9" t="inlineStr">
        <is>
          <t>7/13/25 - 8/10/25</t>
        </is>
      </c>
      <c r="C946" s="12" t="n">
        <v>0.75</v>
      </c>
      <c r="D946" s="12" t="n">
        <v>1.11</v>
      </c>
      <c r="E946" s="12" t="n">
        <v>1</v>
      </c>
      <c r="F946" s="12" t="n">
        <v>1</v>
      </c>
      <c r="G946" s="12" t="n">
        <v>0.75</v>
      </c>
      <c r="H946" s="9" t="n">
        <v>2</v>
      </c>
      <c r="I946" s="10" t="n">
        <v>1</v>
      </c>
      <c r="J946" s="12">
        <f>I946</f>
        <v/>
      </c>
      <c r="K946" t="inlineStr">
        <is>
          <t>Distinguished</t>
        </is>
      </c>
      <c r="L946" t="inlineStr">
        <is>
          <t>Professional</t>
        </is>
      </c>
      <c r="M946" t="inlineStr">
        <is>
          <t>Geoff St. Marie</t>
        </is>
      </c>
    </row>
    <row r="947">
      <c r="A947" s="9" t="inlineStr">
        <is>
          <t>John Olmos</t>
        </is>
      </c>
      <c r="B947" s="9" t="inlineStr">
        <is>
          <t>8/10/25 - 9/6/25</t>
        </is>
      </c>
      <c r="C947" s="12" t="n">
        <v>0.9</v>
      </c>
      <c r="D947" s="12" t="n">
        <v>1.36</v>
      </c>
      <c r="E947" s="12" t="n">
        <v>1</v>
      </c>
      <c r="F947" s="12" t="n">
        <v>1</v>
      </c>
      <c r="G947" s="12" t="n">
        <v>0.88</v>
      </c>
      <c r="H947" s="9" t="n">
        <v>1</v>
      </c>
      <c r="I947" s="10" t="inlineStr">
        <is>
          <t>2/3</t>
        </is>
      </c>
      <c r="J947" s="12" t="n">
        <v>0.66</v>
      </c>
      <c r="K947" t="inlineStr">
        <is>
          <t>Distinguished</t>
        </is>
      </c>
      <c r="L947" t="inlineStr">
        <is>
          <t>Professional</t>
        </is>
      </c>
      <c r="M947" t="inlineStr">
        <is>
          <t>Geoff St. Marie</t>
        </is>
      </c>
    </row>
    <row r="948">
      <c r="A948" s="9" t="inlineStr">
        <is>
          <t>John Olmos</t>
        </is>
      </c>
      <c r="B948" s="9" t="inlineStr">
        <is>
          <t>9/7/25 - 10/4/25</t>
        </is>
      </c>
      <c r="C948" s="12" t="n">
        <v>0.86</v>
      </c>
      <c r="D948" s="12" t="n">
        <v>1.49</v>
      </c>
      <c r="E948" s="12" t="n">
        <v>1</v>
      </c>
      <c r="F948" s="12" t="n">
        <v>0.96</v>
      </c>
      <c r="G948" s="12" t="n">
        <v>0.8100000000000001</v>
      </c>
      <c r="H948" s="9" t="n">
        <v>1</v>
      </c>
      <c r="I948" s="10" t="inlineStr">
        <is>
          <t>1/2</t>
        </is>
      </c>
      <c r="J948" s="12" t="n">
        <v>0.5</v>
      </c>
      <c r="K948" t="inlineStr">
        <is>
          <t>Distinguished</t>
        </is>
      </c>
      <c r="L948" t="inlineStr">
        <is>
          <t>Professional</t>
        </is>
      </c>
      <c r="M948" t="inlineStr">
        <is>
          <t>Geoff St. Marie</t>
        </is>
      </c>
    </row>
    <row r="949">
      <c r="A949" s="9" t="inlineStr">
        <is>
          <t>Jon Cathapermal</t>
        </is>
      </c>
      <c r="B949" s="9" t="inlineStr">
        <is>
          <t>10/5/25 - 11/1/25</t>
        </is>
      </c>
      <c r="C949" s="12" t="n">
        <v>0.978599999999999</v>
      </c>
      <c r="D949" s="12" t="n">
        <v>1.093</v>
      </c>
      <c r="E949" s="12" t="n">
        <v>1</v>
      </c>
      <c r="F949" s="12" t="n">
        <v>0.953846153846153</v>
      </c>
      <c r="G949" s="12" t="n">
        <v>0.923076923076923</v>
      </c>
      <c r="H949" s="9" t="n">
        <v>8</v>
      </c>
      <c r="I949" s="10" t="inlineStr">
        <is>
          <t>15/18</t>
        </is>
      </c>
      <c r="J949" s="12" t="n">
        <v>0.83</v>
      </c>
      <c r="K949" t="inlineStr">
        <is>
          <t>Distinguished</t>
        </is>
      </c>
      <c r="L949" t="inlineStr">
        <is>
          <t>Professional</t>
        </is>
      </c>
      <c r="M949" t="inlineStr">
        <is>
          <t>Geoff St. Marie</t>
        </is>
      </c>
    </row>
    <row r="950">
      <c r="A950" s="9" t="inlineStr">
        <is>
          <t>Jon Cathapermal</t>
        </is>
      </c>
      <c r="B950" s="9" t="inlineStr">
        <is>
          <t>10/5/25 - 11/1/25</t>
        </is>
      </c>
      <c r="C950" s="12" t="n">
        <v>0.978599999999999</v>
      </c>
      <c r="D950" s="12" t="n">
        <v>1.093</v>
      </c>
      <c r="E950" s="12" t="n">
        <v>1</v>
      </c>
      <c r="F950" s="12" t="n">
        <v>0.953846153846153</v>
      </c>
      <c r="G950" s="12" t="n">
        <v>0.923076923076923</v>
      </c>
      <c r="H950" s="9" t="n">
        <v>8</v>
      </c>
      <c r="I950" s="10" t="inlineStr">
        <is>
          <t>15/18</t>
        </is>
      </c>
      <c r="J950" s="12">
        <f>_xlfn.TEXTBEFORE(I950, "/")/_xlfn.TEXTAFTER(I950,"/")</f>
        <v/>
      </c>
      <c r="K950" t="inlineStr">
        <is>
          <t>Distinguished</t>
        </is>
      </c>
      <c r="L950" t="inlineStr">
        <is>
          <t>Professional</t>
        </is>
      </c>
      <c r="M950" t="inlineStr">
        <is>
          <t>Geoff St. Marie</t>
        </is>
      </c>
    </row>
    <row r="951">
      <c r="A951" s="9" t="inlineStr">
        <is>
          <t>Jon Cathapermal</t>
        </is>
      </c>
      <c r="B951" s="9" t="inlineStr">
        <is>
          <t>11/2/25 - 11/29/25</t>
        </is>
      </c>
      <c r="C951" s="12" t="n">
        <v>0.96</v>
      </c>
      <c r="D951" s="12" t="n">
        <v>1.08</v>
      </c>
      <c r="E951" s="12" t="n">
        <v>0.98</v>
      </c>
      <c r="F951" s="12" t="n">
        <v>0.93</v>
      </c>
      <c r="G951" s="12" t="n">
        <v>0.72</v>
      </c>
      <c r="H951" s="9" t="n">
        <v>5</v>
      </c>
      <c r="I951" s="13" t="n">
        <v>45846</v>
      </c>
      <c r="J951" s="14" t="n">
        <v>0.88</v>
      </c>
      <c r="K951" t="inlineStr">
        <is>
          <t>Distinguished</t>
        </is>
      </c>
      <c r="L951" t="inlineStr">
        <is>
          <t>Professional</t>
        </is>
      </c>
      <c r="M951" t="inlineStr">
        <is>
          <t>Geoff St. Marie</t>
        </is>
      </c>
    </row>
    <row r="952">
      <c r="A952" s="9" t="inlineStr">
        <is>
          <t>Jon Cathapermal</t>
        </is>
      </c>
      <c r="B952" s="9" t="inlineStr">
        <is>
          <t>11/30/25 - 12/27/25</t>
        </is>
      </c>
      <c r="C952" s="12" t="n">
        <v>0.87</v>
      </c>
      <c r="D952" s="12" t="n">
        <v>1.13</v>
      </c>
      <c r="E952" s="12" t="n">
        <v>0.98</v>
      </c>
      <c r="F952" s="12" t="n">
        <v>0.83</v>
      </c>
      <c r="G952" s="12" t="n">
        <v>0.8</v>
      </c>
      <c r="H952" s="9" t="n">
        <v>11</v>
      </c>
      <c r="I952" s="10" t="n">
        <v>1</v>
      </c>
      <c r="J952" s="12" t="n">
        <v>1</v>
      </c>
      <c r="K952" t="inlineStr">
        <is>
          <t>Distinguished</t>
        </is>
      </c>
      <c r="L952" t="inlineStr">
        <is>
          <t>Professional</t>
        </is>
      </c>
      <c r="M952" t="inlineStr">
        <is>
          <t>Geoff St. Marie</t>
        </is>
      </c>
    </row>
    <row r="953">
      <c r="A953" s="9" t="inlineStr">
        <is>
          <t>Jon Cathapermal</t>
        </is>
      </c>
      <c r="B953" s="9" t="inlineStr">
        <is>
          <t>12/28/25 - 1/25/26</t>
        </is>
      </c>
      <c r="C953" s="12" t="n">
        <v>0.9714</v>
      </c>
      <c r="D953" s="12" t="n">
        <v>1.0203</v>
      </c>
      <c r="E953" s="12" t="n">
        <v>0.976377953</v>
      </c>
      <c r="F953" s="12" t="n">
        <v>0.9</v>
      </c>
      <c r="G953" s="12" t="n">
        <v>0.5</v>
      </c>
      <c r="H953" s="9" t="n">
        <v>12</v>
      </c>
      <c r="I953" s="10" t="n">
        <v>1</v>
      </c>
      <c r="J953" s="12">
        <f>I953</f>
        <v/>
      </c>
      <c r="K953" t="inlineStr">
        <is>
          <t>Distinguished</t>
        </is>
      </c>
      <c r="L953" t="inlineStr">
        <is>
          <t>Professional</t>
        </is>
      </c>
      <c r="M953" t="inlineStr">
        <is>
          <t>Geoff St. Marie</t>
        </is>
      </c>
    </row>
    <row r="954">
      <c r="A954" s="9" t="inlineStr">
        <is>
          <t>Jon Cathapermal</t>
        </is>
      </c>
      <c r="B954" s="9" t="inlineStr">
        <is>
          <t>5/18/25 - 6/14/25</t>
        </is>
      </c>
      <c r="C954" s="12" t="n">
        <v>1.09</v>
      </c>
      <c r="D954" s="12" t="n">
        <v>1.2</v>
      </c>
      <c r="E954" s="12" t="n">
        <v>0.99</v>
      </c>
      <c r="F954" s="12" t="n">
        <v>0.95</v>
      </c>
      <c r="G954" s="12" t="n">
        <v>0.83</v>
      </c>
      <c r="H954" s="9" t="n">
        <v>10</v>
      </c>
      <c r="I954" s="10" t="n">
        <v>1</v>
      </c>
      <c r="J954" s="12">
        <f>I954</f>
        <v/>
      </c>
      <c r="K954" t="inlineStr">
        <is>
          <t>Distinguished</t>
        </is>
      </c>
      <c r="L954" t="inlineStr">
        <is>
          <t>Professional</t>
        </is>
      </c>
      <c r="M954" t="inlineStr">
        <is>
          <t>Geoff St. Marie</t>
        </is>
      </c>
    </row>
    <row r="955">
      <c r="A955" s="9" t="inlineStr">
        <is>
          <t>Jon Cathapermal</t>
        </is>
      </c>
      <c r="B955" s="9" t="inlineStr">
        <is>
          <t>6/15/25 - 7/12/25</t>
        </is>
      </c>
      <c r="C955" s="12" t="n">
        <v>0.92</v>
      </c>
      <c r="D955" s="12" t="n">
        <v>0.97</v>
      </c>
      <c r="E955" s="12" t="n">
        <v>0.97</v>
      </c>
      <c r="F955" s="12" t="n">
        <v>1</v>
      </c>
      <c r="G955" s="12" t="n">
        <v>0.47</v>
      </c>
      <c r="H955" s="9" t="n">
        <v>2</v>
      </c>
      <c r="I955" s="10" t="n">
        <v>1</v>
      </c>
      <c r="J955" s="12">
        <f>I955</f>
        <v/>
      </c>
      <c r="K955" t="inlineStr">
        <is>
          <t>Distinguished</t>
        </is>
      </c>
      <c r="L955" t="inlineStr">
        <is>
          <t>Professional</t>
        </is>
      </c>
      <c r="M955" t="inlineStr">
        <is>
          <t>Geoff St. Marie</t>
        </is>
      </c>
    </row>
    <row r="956">
      <c r="A956" s="9" t="inlineStr">
        <is>
          <t>Jon Cathapermal</t>
        </is>
      </c>
      <c r="B956" s="9" t="inlineStr">
        <is>
          <t>7/13/25 - 8/10/25</t>
        </is>
      </c>
      <c r="C956" s="12" t="n">
        <v>0.93</v>
      </c>
      <c r="D956" s="12" t="n">
        <v>0.86</v>
      </c>
      <c r="E956" s="12" t="n">
        <v>0.95</v>
      </c>
      <c r="F956" s="12" t="n">
        <v>1</v>
      </c>
      <c r="G956" s="12" t="n">
        <v>0.5</v>
      </c>
      <c r="H956" s="9" t="n">
        <v>3</v>
      </c>
      <c r="J956" s="9" t="n"/>
      <c r="K956" t="inlineStr">
        <is>
          <t>Distinguished</t>
        </is>
      </c>
      <c r="L956" t="inlineStr">
        <is>
          <t>Professional</t>
        </is>
      </c>
      <c r="M956" t="inlineStr">
        <is>
          <t>Geoff St. Marie</t>
        </is>
      </c>
    </row>
    <row r="957">
      <c r="A957" s="9" t="inlineStr">
        <is>
          <t>Jon Cathapermal</t>
        </is>
      </c>
      <c r="B957" s="9" t="inlineStr">
        <is>
          <t>8/10/25 - 9/6/25</t>
        </is>
      </c>
      <c r="C957" s="12" t="n">
        <v>0.85</v>
      </c>
      <c r="D957" s="12" t="n">
        <v>1.09</v>
      </c>
      <c r="E957" s="12" t="n">
        <v>0.97</v>
      </c>
      <c r="F957" s="12" t="n">
        <v>1</v>
      </c>
      <c r="G957" s="12" t="n">
        <v>0.5600000000000001</v>
      </c>
      <c r="H957" s="9" t="n">
        <v>1</v>
      </c>
      <c r="I957" s="10" t="inlineStr">
        <is>
          <t>5/5</t>
        </is>
      </c>
      <c r="J957" s="12" t="n">
        <v>1</v>
      </c>
      <c r="K957" t="inlineStr">
        <is>
          <t>Distinguished</t>
        </is>
      </c>
      <c r="L957" t="inlineStr">
        <is>
          <t>Professional</t>
        </is>
      </c>
      <c r="M957" t="inlineStr">
        <is>
          <t>Geoff St. Marie</t>
        </is>
      </c>
    </row>
    <row r="958">
      <c r="A958" s="9" t="inlineStr">
        <is>
          <t>Jon Cathapermal</t>
        </is>
      </c>
      <c r="B958" s="9" t="inlineStr">
        <is>
          <t>9/7/25 - 10/4/25</t>
        </is>
      </c>
      <c r="C958" s="12" t="n">
        <v>0.71</v>
      </c>
      <c r="D958" s="12" t="n">
        <v>1.08</v>
      </c>
      <c r="E958" s="12" t="n">
        <v>0.99</v>
      </c>
      <c r="F958" s="12" t="n">
        <v>0.96</v>
      </c>
      <c r="G958" s="12" t="n">
        <v>1</v>
      </c>
      <c r="H958" s="9" t="n">
        <v>3</v>
      </c>
      <c r="I958" s="10" t="inlineStr">
        <is>
          <t>11/11</t>
        </is>
      </c>
      <c r="J958" s="12" t="n">
        <v>1</v>
      </c>
      <c r="K958" t="inlineStr">
        <is>
          <t>Distinguished</t>
        </is>
      </c>
      <c r="L958" t="inlineStr">
        <is>
          <t>Professional</t>
        </is>
      </c>
      <c r="M958" t="inlineStr">
        <is>
          <t>Geoff St. Marie</t>
        </is>
      </c>
    </row>
    <row r="959">
      <c r="A959" s="9" t="inlineStr">
        <is>
          <t>Jonathan Getscher</t>
        </is>
      </c>
      <c r="B959" s="9" t="inlineStr">
        <is>
          <t>5/18/25 - 6/14/25</t>
        </is>
      </c>
      <c r="C959" s="12" t="n">
        <v>0.97</v>
      </c>
      <c r="D959" s="12" t="n">
        <v>1.16</v>
      </c>
      <c r="E959" s="12" t="n">
        <v>1</v>
      </c>
      <c r="F959" s="12" t="n">
        <v>0.6899999999999999</v>
      </c>
      <c r="G959" s="12" t="n">
        <v>0.75</v>
      </c>
      <c r="H959" s="9" t="n">
        <v>5</v>
      </c>
      <c r="I959" s="10" t="n">
        <v>1</v>
      </c>
      <c r="J959" s="12">
        <f>I959</f>
        <v/>
      </c>
      <c r="K959" t="e">
        <v>#N/A</v>
      </c>
      <c r="L959" t="e">
        <v>#N/A</v>
      </c>
      <c r="M959" t="e">
        <v>#N/A</v>
      </c>
    </row>
    <row r="960">
      <c r="A960" s="9" t="inlineStr">
        <is>
          <t>Jonathan Grams</t>
        </is>
      </c>
      <c r="B960" s="9" t="inlineStr">
        <is>
          <t>10/5/25 - 11/1/25</t>
        </is>
      </c>
      <c r="C960" s="12" t="n">
        <v>0.6667</v>
      </c>
      <c r="D960" s="12" t="n">
        <v>1.33979999999999</v>
      </c>
      <c r="E960" s="12" t="n">
        <v>1</v>
      </c>
      <c r="F960" s="12" t="n">
        <v>1</v>
      </c>
      <c r="G960" s="12" t="n">
        <v>1</v>
      </c>
      <c r="H960" s="9" t="n">
        <v>0</v>
      </c>
      <c r="I960" s="10" t="inlineStr">
        <is>
          <t>1/1</t>
        </is>
      </c>
      <c r="J960" s="12" t="n">
        <v>1</v>
      </c>
      <c r="K960" t="e">
        <v>#N/A</v>
      </c>
      <c r="L960" t="e">
        <v>#N/A</v>
      </c>
      <c r="M960" t="e">
        <v>#N/A</v>
      </c>
    </row>
    <row r="961">
      <c r="A961" s="9" t="inlineStr">
        <is>
          <t>Jonathan Grams</t>
        </is>
      </c>
      <c r="B961" s="9" t="inlineStr">
        <is>
          <t>11/2/25 - 11/29/25</t>
        </is>
      </c>
      <c r="C961" s="12" t="n">
        <v>0.57</v>
      </c>
      <c r="D961" s="12" t="n">
        <v>1.29</v>
      </c>
      <c r="E961" s="12" t="n">
        <v>1</v>
      </c>
      <c r="F961" s="12" t="n">
        <v>1</v>
      </c>
      <c r="G961" s="12" t="n">
        <v>1</v>
      </c>
      <c r="H961" s="9" t="n">
        <v>1</v>
      </c>
      <c r="I961" s="13" t="n"/>
      <c r="J961" s="9" t="n"/>
      <c r="K961" t="e">
        <v>#N/A</v>
      </c>
      <c r="L961" t="e">
        <v>#N/A</v>
      </c>
      <c r="M961" t="e">
        <v>#N/A</v>
      </c>
    </row>
    <row r="962">
      <c r="A962" s="9" t="inlineStr">
        <is>
          <t>Jonathan Grams</t>
        </is>
      </c>
      <c r="B962" s="9" t="inlineStr">
        <is>
          <t>11/30/25 - 12/27/25</t>
        </is>
      </c>
      <c r="C962" s="12" t="n">
        <v>0.35</v>
      </c>
      <c r="D962" s="12" t="n">
        <v>1.02</v>
      </c>
      <c r="E962" s="12" t="n">
        <v>1</v>
      </c>
      <c r="F962" s="12" t="n">
        <v>1</v>
      </c>
      <c r="G962" s="12" t="n">
        <v>1</v>
      </c>
      <c r="H962" s="9" t="n">
        <v>2</v>
      </c>
      <c r="I962" s="10" t="inlineStr">
        <is>
          <t>0/1</t>
        </is>
      </c>
      <c r="J962" s="12" t="n">
        <v>0</v>
      </c>
      <c r="K962" t="e">
        <v>#N/A</v>
      </c>
      <c r="L962" t="e">
        <v>#N/A</v>
      </c>
      <c r="M962" t="e">
        <v>#N/A</v>
      </c>
    </row>
    <row r="963">
      <c r="A963" s="9" t="inlineStr">
        <is>
          <t>Jonathan Grams</t>
        </is>
      </c>
      <c r="B963" s="9" t="inlineStr">
        <is>
          <t>12/28/25 - 1/25/26</t>
        </is>
      </c>
      <c r="C963" s="12" t="n">
        <v>0.3229</v>
      </c>
      <c r="D963" s="12" t="n">
        <v>1.2148</v>
      </c>
      <c r="E963" s="12" t="n">
        <v>1</v>
      </c>
      <c r="F963" s="12" t="n">
        <v>1</v>
      </c>
      <c r="G963" s="12" t="n">
        <v>1</v>
      </c>
      <c r="H963" s="9" t="n">
        <v>0</v>
      </c>
      <c r="I963" s="10" t="n">
        <v>0.5</v>
      </c>
      <c r="J963" s="12">
        <f>I963</f>
        <v/>
      </c>
      <c r="K963" t="e">
        <v>#N/A</v>
      </c>
      <c r="L963" t="e">
        <v>#N/A</v>
      </c>
      <c r="M963" t="e">
        <v>#N/A</v>
      </c>
    </row>
    <row r="964">
      <c r="A964" s="9" t="inlineStr">
        <is>
          <t>Jonathan Grams</t>
        </is>
      </c>
      <c r="B964" s="9" t="inlineStr">
        <is>
          <t>5/18/25 - 6/14/25</t>
        </is>
      </c>
      <c r="C964" s="12" t="n">
        <v>1.02</v>
      </c>
      <c r="D964" s="12" t="n">
        <v>1.29</v>
      </c>
      <c r="E964" s="12" t="n">
        <v>0.98</v>
      </c>
      <c r="F964" s="12" t="n">
        <v>0.96</v>
      </c>
      <c r="G964" s="12" t="n">
        <v>1</v>
      </c>
      <c r="H964" s="9" t="e">
        <v>#N/A</v>
      </c>
      <c r="J964" s="9" t="n"/>
      <c r="K964" t="e">
        <v>#N/A</v>
      </c>
      <c r="L964" t="e">
        <v>#N/A</v>
      </c>
      <c r="M964" t="e">
        <v>#N/A</v>
      </c>
    </row>
    <row r="965">
      <c r="A965" s="9" t="inlineStr">
        <is>
          <t>Jonathan Grams</t>
        </is>
      </c>
      <c r="B965" s="9" t="inlineStr">
        <is>
          <t>6/15/25 - 7/12/25</t>
        </is>
      </c>
      <c r="C965" s="12" t="n">
        <v>0.18</v>
      </c>
      <c r="D965" s="12" t="n">
        <v>0.6899999999999999</v>
      </c>
      <c r="E965" s="12" t="n">
        <v>1</v>
      </c>
      <c r="F965" s="12" t="n">
        <v>1</v>
      </c>
      <c r="G965" s="12" t="n">
        <v>1</v>
      </c>
      <c r="H965" s="9" t="e">
        <v>#N/A</v>
      </c>
      <c r="J965" s="9" t="n"/>
      <c r="K965" t="e">
        <v>#N/A</v>
      </c>
      <c r="L965" t="e">
        <v>#N/A</v>
      </c>
      <c r="M965" t="e">
        <v>#N/A</v>
      </c>
    </row>
    <row r="966">
      <c r="A966" s="9" t="inlineStr">
        <is>
          <t>Jonathan Grams</t>
        </is>
      </c>
      <c r="B966" s="9" t="inlineStr">
        <is>
          <t>7/13/25 - 8/10/25</t>
        </is>
      </c>
      <c r="C966" s="12" t="n">
        <v>0</v>
      </c>
      <c r="D966" s="12" t="n">
        <v>0</v>
      </c>
      <c r="E966" s="12" t="n">
        <v>0</v>
      </c>
      <c r="F966" s="12" t="n">
        <v>0</v>
      </c>
      <c r="G966" s="12" t="n">
        <v>1</v>
      </c>
      <c r="H966" s="9" t="e">
        <v>#N/A</v>
      </c>
      <c r="J966" s="9" t="n"/>
      <c r="K966" t="e">
        <v>#N/A</v>
      </c>
      <c r="L966" t="e">
        <v>#N/A</v>
      </c>
      <c r="M966" t="e">
        <v>#N/A</v>
      </c>
    </row>
    <row r="967">
      <c r="A967" s="9" t="inlineStr">
        <is>
          <t>Jonathan Grams</t>
        </is>
      </c>
      <c r="B967" s="9" t="inlineStr">
        <is>
          <t>8/10/25 - 9/6/25</t>
        </is>
      </c>
      <c r="C967" s="12" t="n">
        <v>0</v>
      </c>
      <c r="D967" s="12" t="n">
        <v>0</v>
      </c>
      <c r="E967" s="12" t="n">
        <v>0</v>
      </c>
      <c r="F967" s="12" t="n">
        <v>0</v>
      </c>
      <c r="G967" s="12" t="n">
        <v>0</v>
      </c>
      <c r="H967" s="9" t="n">
        <v>0</v>
      </c>
      <c r="I967" s="11" t="n"/>
      <c r="J967" s="9" t="n"/>
      <c r="K967" t="e">
        <v>#N/A</v>
      </c>
      <c r="L967" t="e">
        <v>#N/A</v>
      </c>
      <c r="M967" t="e">
        <v>#N/A</v>
      </c>
    </row>
    <row r="968">
      <c r="A968" s="9" t="inlineStr">
        <is>
          <t>Jonathan Grams</t>
        </is>
      </c>
      <c r="B968" s="9" t="inlineStr">
        <is>
          <t>9/7/25 - 10/4/25</t>
        </is>
      </c>
      <c r="C968" s="12" t="n">
        <v>0.42</v>
      </c>
      <c r="D968" s="12" t="n">
        <v>1.21</v>
      </c>
      <c r="E968" s="12" t="n">
        <v>1</v>
      </c>
      <c r="F968" s="12" t="n">
        <v>1</v>
      </c>
      <c r="G968" s="12" t="n">
        <v>1</v>
      </c>
      <c r="H968" s="9" t="n">
        <v>0</v>
      </c>
      <c r="I968" s="10" t="inlineStr">
        <is>
          <t>4/4</t>
        </is>
      </c>
      <c r="J968" s="12" t="n">
        <v>1</v>
      </c>
      <c r="K968" t="e">
        <v>#N/A</v>
      </c>
      <c r="L968" t="e">
        <v>#N/A</v>
      </c>
      <c r="M968" t="e">
        <v>#N/A</v>
      </c>
    </row>
    <row r="969">
      <c r="A969" s="9" t="inlineStr">
        <is>
          <t>Jose Falconi</t>
        </is>
      </c>
      <c r="B969" s="9" t="inlineStr">
        <is>
          <t>10/5/25 - 11/1/25</t>
        </is>
      </c>
      <c r="C969" s="12" t="n">
        <v>0.889299999999999</v>
      </c>
      <c r="D969" s="12" t="n">
        <v>0.9797</v>
      </c>
      <c r="E969" s="12" t="n">
        <v>0.993150684931506</v>
      </c>
      <c r="F969" s="12" t="n">
        <v>0.96039603960396</v>
      </c>
      <c r="G969" s="12" t="n">
        <v>0.461538461538461</v>
      </c>
      <c r="H969" s="9" t="n">
        <v>14</v>
      </c>
      <c r="I969" s="10" t="inlineStr">
        <is>
          <t>0/7</t>
        </is>
      </c>
      <c r="J969" s="12" t="n">
        <v>0</v>
      </c>
      <c r="K969" t="e">
        <v>#N/A</v>
      </c>
      <c r="L969" t="e">
        <v>#N/A</v>
      </c>
      <c r="M969" t="e">
        <v>#N/A</v>
      </c>
    </row>
    <row r="970">
      <c r="A970" s="9" t="inlineStr">
        <is>
          <t>Jose Falconi</t>
        </is>
      </c>
      <c r="B970" s="9" t="inlineStr">
        <is>
          <t>11/2/25 - 11/29/25</t>
        </is>
      </c>
      <c r="C970" s="12" t="n">
        <v>0.9</v>
      </c>
      <c r="D970" s="12" t="n">
        <v>0.97</v>
      </c>
      <c r="E970" s="12" t="n">
        <v>0.99</v>
      </c>
      <c r="F970" s="12" t="n">
        <v>0.99</v>
      </c>
      <c r="G970" s="12" t="n">
        <v>0.59</v>
      </c>
      <c r="H970" s="9" t="n">
        <v>12</v>
      </c>
      <c r="I970" s="13" t="n">
        <v>45722</v>
      </c>
      <c r="J970" s="14" t="n">
        <v>0.5</v>
      </c>
      <c r="K970" t="e">
        <v>#N/A</v>
      </c>
      <c r="L970" t="e">
        <v>#N/A</v>
      </c>
      <c r="M970" t="e">
        <v>#N/A</v>
      </c>
    </row>
    <row r="971">
      <c r="A971" s="9" t="inlineStr">
        <is>
          <t>Jose Falconi</t>
        </is>
      </c>
      <c r="B971" s="9" t="inlineStr">
        <is>
          <t>11/30/25 - 12/27/25</t>
        </is>
      </c>
      <c r="C971" s="12" t="n">
        <v>0.83</v>
      </c>
      <c r="D971" s="12" t="n">
        <v>0.9</v>
      </c>
      <c r="E971" s="12" t="n">
        <v>0.97</v>
      </c>
      <c r="F971" s="12" t="n">
        <v>1</v>
      </c>
      <c r="G971" s="12" t="n">
        <v>0.63</v>
      </c>
      <c r="H971" s="9" t="n">
        <v>18</v>
      </c>
      <c r="I971" s="10" t="inlineStr">
        <is>
          <t>0/5</t>
        </is>
      </c>
      <c r="J971" s="12" t="n">
        <v>0</v>
      </c>
      <c r="K971" t="e">
        <v>#N/A</v>
      </c>
      <c r="L971" t="e">
        <v>#N/A</v>
      </c>
      <c r="M971" t="e">
        <v>#N/A</v>
      </c>
    </row>
    <row r="972">
      <c r="A972" s="9" t="inlineStr">
        <is>
          <t>Jose Falconi</t>
        </is>
      </c>
      <c r="B972" s="9" t="inlineStr">
        <is>
          <t>12/28/25 - 1/25/26</t>
        </is>
      </c>
      <c r="C972" s="12" t="n">
        <v>0.8929</v>
      </c>
      <c r="D972" s="12" t="n">
        <v>0.9578</v>
      </c>
      <c r="E972" s="12" t="n">
        <v>0.9930069929999999</v>
      </c>
      <c r="F972" s="12" t="n">
        <v>0.976744186</v>
      </c>
      <c r="G972" s="12" t="n">
        <v>0.714285714</v>
      </c>
      <c r="H972" s="9" t="n">
        <v>20</v>
      </c>
      <c r="I972" s="10" t="n">
        <v>0.3333333333333333</v>
      </c>
      <c r="J972" s="12">
        <f>I972</f>
        <v/>
      </c>
      <c r="K972" t="e">
        <v>#N/A</v>
      </c>
      <c r="L972" t="e">
        <v>#N/A</v>
      </c>
      <c r="M972" t="e">
        <v>#N/A</v>
      </c>
    </row>
    <row r="973">
      <c r="A973" s="9" t="inlineStr">
        <is>
          <t>Jose Falconi</t>
        </is>
      </c>
      <c r="B973" s="9" t="inlineStr">
        <is>
          <t>5/18/25 - 6/14/25</t>
        </is>
      </c>
      <c r="C973" s="12" t="n">
        <v>0.65</v>
      </c>
      <c r="D973" s="12" t="n">
        <v>0.99</v>
      </c>
      <c r="E973" s="12" t="n">
        <v>1</v>
      </c>
      <c r="F973" s="12" t="n">
        <v>0.98</v>
      </c>
      <c r="G973" s="12" t="n">
        <v>1</v>
      </c>
      <c r="H973" s="9" t="n">
        <v>5</v>
      </c>
      <c r="I973" s="10" t="n">
        <v>0</v>
      </c>
      <c r="J973" s="12">
        <f>I973</f>
        <v/>
      </c>
      <c r="K973" t="e">
        <v>#N/A</v>
      </c>
      <c r="L973" t="e">
        <v>#N/A</v>
      </c>
      <c r="M973" t="e">
        <v>#N/A</v>
      </c>
    </row>
    <row r="974">
      <c r="A974" s="9" t="inlineStr">
        <is>
          <t>Jose Falconi</t>
        </is>
      </c>
      <c r="B974" s="9" t="inlineStr">
        <is>
          <t>6/15/25 - 7/12/25</t>
        </is>
      </c>
      <c r="C974" s="12" t="n">
        <v>0.4</v>
      </c>
      <c r="D974" s="12" t="n">
        <v>1.05</v>
      </c>
      <c r="E974" s="12" t="n">
        <v>1</v>
      </c>
      <c r="F974" s="12" t="n">
        <v>0.97</v>
      </c>
      <c r="G974" s="12" t="n">
        <v>0.78</v>
      </c>
      <c r="H974" s="9" t="n">
        <v>7</v>
      </c>
      <c r="I974" s="10" t="inlineStr">
        <is>
          <t xml:space="preserve"> 2/3</t>
        </is>
      </c>
      <c r="J974" s="12" t="n">
        <v>0.67</v>
      </c>
      <c r="K974" t="e">
        <v>#N/A</v>
      </c>
      <c r="L974" t="e">
        <v>#N/A</v>
      </c>
      <c r="M974" t="e">
        <v>#N/A</v>
      </c>
    </row>
    <row r="975">
      <c r="A975" s="9" t="inlineStr">
        <is>
          <t>Jose Falconi</t>
        </is>
      </c>
      <c r="B975" s="9" t="inlineStr">
        <is>
          <t>7/13/25 - 8/10/25</t>
        </is>
      </c>
      <c r="C975" s="12" t="n">
        <v>0.85</v>
      </c>
      <c r="D975" s="12" t="n">
        <v>1.23</v>
      </c>
      <c r="E975" s="12" t="n">
        <v>0.99</v>
      </c>
      <c r="F975" s="12" t="n">
        <v>1</v>
      </c>
      <c r="G975" s="12" t="n">
        <v>0.52</v>
      </c>
      <c r="H975" s="9" t="n">
        <v>8</v>
      </c>
      <c r="I975" s="10" t="inlineStr">
        <is>
          <t xml:space="preserve"> 1/2</t>
        </is>
      </c>
      <c r="J975" s="12" t="n">
        <v>0.5</v>
      </c>
      <c r="K975" t="e">
        <v>#N/A</v>
      </c>
      <c r="L975" t="e">
        <v>#N/A</v>
      </c>
      <c r="M975" t="e">
        <v>#N/A</v>
      </c>
    </row>
    <row r="976">
      <c r="A976" s="9" t="inlineStr">
        <is>
          <t>Jose Falconi</t>
        </is>
      </c>
      <c r="B976" s="9" t="inlineStr">
        <is>
          <t>8/10/25 - 9/6/25</t>
        </is>
      </c>
      <c r="C976" s="12" t="n">
        <v>0.89</v>
      </c>
      <c r="D976" s="12" t="n">
        <v>1.04</v>
      </c>
      <c r="E976" s="12" t="n">
        <v>0.98</v>
      </c>
      <c r="F976" s="12" t="n">
        <v>0.97</v>
      </c>
      <c r="G976" s="12" t="n">
        <v>0.52</v>
      </c>
      <c r="H976" s="9" t="n">
        <v>10</v>
      </c>
      <c r="I976" s="10" t="inlineStr">
        <is>
          <t>1/3</t>
        </is>
      </c>
      <c r="J976" s="12" t="n">
        <v>0.33</v>
      </c>
      <c r="K976" t="e">
        <v>#N/A</v>
      </c>
      <c r="L976" t="e">
        <v>#N/A</v>
      </c>
      <c r="M976" t="e">
        <v>#N/A</v>
      </c>
    </row>
    <row r="977">
      <c r="A977" s="9" t="inlineStr">
        <is>
          <t>Jose Falconi</t>
        </is>
      </c>
      <c r="B977" s="9" t="inlineStr">
        <is>
          <t>9/7/25 - 10/4/25</t>
        </is>
      </c>
      <c r="C977" s="12" t="n">
        <v>0.87</v>
      </c>
      <c r="D977" s="12" t="n">
        <v>1.02</v>
      </c>
      <c r="E977" s="12" t="n">
        <v>0.98</v>
      </c>
      <c r="F977" s="12" t="n">
        <v>1</v>
      </c>
      <c r="G977" s="12" t="n">
        <v>0.5</v>
      </c>
      <c r="H977" s="9" t="n">
        <v>4</v>
      </c>
      <c r="I977" s="10" t="inlineStr">
        <is>
          <t>0/8</t>
        </is>
      </c>
      <c r="J977" s="12" t="n">
        <v>0</v>
      </c>
      <c r="K977" t="e">
        <v>#N/A</v>
      </c>
      <c r="L977" t="e">
        <v>#N/A</v>
      </c>
      <c r="M977" t="e">
        <v>#N/A</v>
      </c>
    </row>
    <row r="978">
      <c r="A978" s="9" t="inlineStr">
        <is>
          <t>Joshua Duff</t>
        </is>
      </c>
      <c r="B978" s="9" t="inlineStr">
        <is>
          <t>5/18/25 - 6/14/25</t>
        </is>
      </c>
      <c r="C978" s="12" t="n">
        <v>0.65</v>
      </c>
      <c r="D978" s="12" t="n">
        <v>0.92</v>
      </c>
      <c r="E978" s="12" t="n">
        <v>0.99</v>
      </c>
      <c r="F978" s="12" t="n">
        <v>0.89</v>
      </c>
      <c r="G978" s="12" t="n">
        <v>0.85</v>
      </c>
      <c r="H978" s="9" t="n">
        <v>14</v>
      </c>
      <c r="I978" s="10" t="n">
        <v>0</v>
      </c>
      <c r="J978" s="12">
        <f>I978</f>
        <v/>
      </c>
      <c r="K978" t="e">
        <v>#N/A</v>
      </c>
      <c r="L978" t="e">
        <v>#N/A</v>
      </c>
      <c r="M978" t="e">
        <v>#N/A</v>
      </c>
    </row>
    <row r="979">
      <c r="A979" s="9" t="inlineStr">
        <is>
          <t>Joshua Duff</t>
        </is>
      </c>
      <c r="B979" s="9" t="inlineStr">
        <is>
          <t>6/15/25 - 7/12/25</t>
        </is>
      </c>
      <c r="C979" s="12" t="n">
        <v>0.92</v>
      </c>
      <c r="D979" s="12" t="n">
        <v>0.99</v>
      </c>
      <c r="E979" s="12" t="n">
        <v>0.99</v>
      </c>
      <c r="F979" s="12" t="n">
        <v>0.66</v>
      </c>
      <c r="G979" s="12" t="n">
        <v>0.5</v>
      </c>
      <c r="H979" s="9" t="n">
        <v>10</v>
      </c>
      <c r="I979" s="10" t="n">
        <v>0</v>
      </c>
      <c r="J979" s="12">
        <f>I979</f>
        <v/>
      </c>
      <c r="K979" t="e">
        <v>#N/A</v>
      </c>
      <c r="L979" t="e">
        <v>#N/A</v>
      </c>
      <c r="M979" t="e">
        <v>#N/A</v>
      </c>
    </row>
    <row r="980">
      <c r="A980" s="9" t="inlineStr">
        <is>
          <t>Joshua Duff</t>
        </is>
      </c>
      <c r="B980" s="9" t="inlineStr">
        <is>
          <t>7/13/25 - 8/10/25</t>
        </is>
      </c>
      <c r="C980" s="12" t="n">
        <v>0.99</v>
      </c>
      <c r="D980" s="12" t="n">
        <v>0.9</v>
      </c>
      <c r="E980" s="12" t="n">
        <v>1</v>
      </c>
      <c r="F980" s="12" t="n">
        <v>0.74</v>
      </c>
      <c r="G980" s="12" t="n">
        <v>0.32</v>
      </c>
      <c r="H980" s="9" t="n">
        <v>11</v>
      </c>
      <c r="I980" s="10" t="n">
        <v>0</v>
      </c>
      <c r="J980" s="12">
        <f>I980</f>
        <v/>
      </c>
      <c r="K980" t="e">
        <v>#N/A</v>
      </c>
      <c r="L980" t="e">
        <v>#N/A</v>
      </c>
      <c r="M980" t="e">
        <v>#N/A</v>
      </c>
    </row>
    <row r="981">
      <c r="A981" s="9" t="inlineStr">
        <is>
          <t>Joshua Duff</t>
        </is>
      </c>
      <c r="B981" s="9" t="inlineStr">
        <is>
          <t>8/10/25 - 9/6/25</t>
        </is>
      </c>
      <c r="C981" s="12" t="n">
        <v>0.91</v>
      </c>
      <c r="D981" s="12" t="n">
        <v>0.96</v>
      </c>
      <c r="E981" s="12" t="n">
        <v>0.99</v>
      </c>
      <c r="F981" s="12" t="n">
        <v>0.9</v>
      </c>
      <c r="G981" s="12" t="n">
        <v>0.27</v>
      </c>
      <c r="H981" s="9" t="n">
        <v>20</v>
      </c>
      <c r="I981" s="11" t="n"/>
      <c r="J981" s="9" t="n"/>
      <c r="K981" t="e">
        <v>#N/A</v>
      </c>
      <c r="L981" t="e">
        <v>#N/A</v>
      </c>
      <c r="M981" t="e">
        <v>#N/A</v>
      </c>
    </row>
    <row r="982">
      <c r="A982" s="9" t="inlineStr">
        <is>
          <t>Joyraj D'souza</t>
        </is>
      </c>
      <c r="B982" s="9" t="inlineStr">
        <is>
          <t>10/5/25 - 11/1/25</t>
        </is>
      </c>
      <c r="C982" s="12" t="n">
        <v>1.1944</v>
      </c>
      <c r="D982" s="12" t="n">
        <v>1.168</v>
      </c>
      <c r="E982" s="12" t="n">
        <v>1</v>
      </c>
      <c r="F982" s="12" t="n">
        <v>0.975</v>
      </c>
      <c r="G982" s="12" t="n">
        <v>1</v>
      </c>
      <c r="H982" s="9" t="n">
        <v>6</v>
      </c>
      <c r="I982" s="10" t="inlineStr">
        <is>
          <t>3/4</t>
        </is>
      </c>
      <c r="J982" s="12" t="n">
        <v>0.75</v>
      </c>
      <c r="K982" t="inlineStr">
        <is>
          <t>Distinguished</t>
        </is>
      </c>
      <c r="L982" t="inlineStr">
        <is>
          <t>Adjunct</t>
        </is>
      </c>
      <c r="M982" t="inlineStr">
        <is>
          <t>Kristin Haase-Alvey</t>
        </is>
      </c>
    </row>
    <row r="983">
      <c r="A983" s="9" t="inlineStr">
        <is>
          <t>Joyraj D'souza</t>
        </is>
      </c>
      <c r="B983" s="9" t="inlineStr">
        <is>
          <t>11/2/25 - 11/29/25</t>
        </is>
      </c>
      <c r="C983" s="12" t="n">
        <v>1.36</v>
      </c>
      <c r="D983" s="12" t="n">
        <v>1.26</v>
      </c>
      <c r="E983" s="12" t="n">
        <v>1</v>
      </c>
      <c r="F983" s="12" t="n">
        <v>0.96</v>
      </c>
      <c r="G983" s="12" t="n">
        <v>1</v>
      </c>
      <c r="H983" s="9" t="n">
        <v>6</v>
      </c>
      <c r="I983" s="13" t="n">
        <v>45692</v>
      </c>
      <c r="J983" s="14" t="n">
        <v>0.5</v>
      </c>
      <c r="K983" t="inlineStr">
        <is>
          <t>Distinguished</t>
        </is>
      </c>
      <c r="L983" t="inlineStr">
        <is>
          <t>Adjunct</t>
        </is>
      </c>
      <c r="M983" t="inlineStr">
        <is>
          <t>Kristin Haase-Alvey</t>
        </is>
      </c>
    </row>
    <row r="984">
      <c r="A984" s="9" t="inlineStr">
        <is>
          <t>Joyraj D'souza</t>
        </is>
      </c>
      <c r="B984" s="9" t="inlineStr">
        <is>
          <t>11/30/25 - 12/27/25</t>
        </is>
      </c>
      <c r="C984" s="12" t="n">
        <v>1.42</v>
      </c>
      <c r="D984" s="12" t="n">
        <v>1.3</v>
      </c>
      <c r="E984" s="12" t="n">
        <v>0.99</v>
      </c>
      <c r="F984" s="12" t="n">
        <v>0.98</v>
      </c>
      <c r="G984" s="12" t="n">
        <v>1</v>
      </c>
      <c r="H984" s="9" t="n">
        <v>5</v>
      </c>
      <c r="I984" s="10" t="n">
        <v>0.6666666666666666</v>
      </c>
      <c r="J984" s="12" t="n">
        <v>0.66</v>
      </c>
      <c r="K984" t="inlineStr">
        <is>
          <t>Distinguished</t>
        </is>
      </c>
      <c r="L984" t="inlineStr">
        <is>
          <t>Adjunct</t>
        </is>
      </c>
      <c r="M984" t="inlineStr">
        <is>
          <t>Kristin Haase-Alvey</t>
        </is>
      </c>
    </row>
    <row r="985">
      <c r="A985" s="9" t="inlineStr">
        <is>
          <t>Joyraj D'souza</t>
        </is>
      </c>
      <c r="B985" s="9" t="inlineStr">
        <is>
          <t>12/28/25 - 1/25/26</t>
        </is>
      </c>
      <c r="C985" s="12" t="n">
        <v>1.3333</v>
      </c>
      <c r="D985" s="12" t="n">
        <v>1.2422</v>
      </c>
      <c r="E985" s="12" t="n">
        <v>1</v>
      </c>
      <c r="F985" s="12" t="n">
        <v>0.978723404</v>
      </c>
      <c r="G985" s="12" t="n">
        <v>1</v>
      </c>
      <c r="H985" s="9" t="n">
        <v>8</v>
      </c>
      <c r="I985" s="10" t="inlineStr">
        <is>
          <t>0/0</t>
        </is>
      </c>
      <c r="J985" s="12" t="n">
        <v>0</v>
      </c>
      <c r="K985" t="inlineStr">
        <is>
          <t>Distinguished</t>
        </is>
      </c>
      <c r="L985" t="inlineStr">
        <is>
          <t>Adjunct</t>
        </is>
      </c>
      <c r="M985" t="inlineStr">
        <is>
          <t>Kristin Haase-Alvey</t>
        </is>
      </c>
    </row>
    <row r="986">
      <c r="A986" s="9" t="inlineStr">
        <is>
          <t>Joyraj D'souza</t>
        </is>
      </c>
      <c r="B986" s="9" t="inlineStr">
        <is>
          <t>5/18/25 - 6/14/25</t>
        </is>
      </c>
      <c r="C986" s="12" t="n">
        <v>1.72</v>
      </c>
      <c r="D986" s="12" t="n">
        <v>2.04</v>
      </c>
      <c r="E986" s="12" t="n">
        <v>1</v>
      </c>
      <c r="F986" s="12" t="n">
        <v>0.95</v>
      </c>
      <c r="G986" s="12" t="n">
        <v>0.86</v>
      </c>
      <c r="H986" s="9" t="n">
        <v>3</v>
      </c>
      <c r="I986" s="10" t="n">
        <v>1</v>
      </c>
      <c r="J986" s="12">
        <f>I986</f>
        <v/>
      </c>
      <c r="K986" t="inlineStr">
        <is>
          <t>Distinguished</t>
        </is>
      </c>
      <c r="L986" t="inlineStr">
        <is>
          <t>Adjunct</t>
        </is>
      </c>
      <c r="M986" t="inlineStr">
        <is>
          <t>Kristin Haase-Alvey</t>
        </is>
      </c>
    </row>
    <row r="987">
      <c r="A987" s="9" t="inlineStr">
        <is>
          <t>Joyraj D'souza</t>
        </is>
      </c>
      <c r="B987" s="9" t="inlineStr">
        <is>
          <t>6/15/25 - 7/12/25</t>
        </is>
      </c>
      <c r="C987" s="12" t="n">
        <v>0.75</v>
      </c>
      <c r="D987" s="12" t="n">
        <v>1.77</v>
      </c>
      <c r="E987" s="12" t="n">
        <v>1</v>
      </c>
      <c r="F987" s="12" t="n">
        <v>0.93</v>
      </c>
      <c r="G987" s="12" t="n">
        <v>1</v>
      </c>
      <c r="H987" s="9" t="e">
        <v>#N/A</v>
      </c>
      <c r="I987" s="10" t="n">
        <v>0</v>
      </c>
      <c r="J987" s="12">
        <f>I987</f>
        <v/>
      </c>
      <c r="K987" t="inlineStr">
        <is>
          <t>Distinguished</t>
        </is>
      </c>
      <c r="L987" t="inlineStr">
        <is>
          <t>Adjunct</t>
        </is>
      </c>
      <c r="M987" t="inlineStr">
        <is>
          <t>Kristin Haase-Alvey</t>
        </is>
      </c>
    </row>
    <row r="988">
      <c r="A988" s="9" t="inlineStr">
        <is>
          <t>Joyraj D'souza</t>
        </is>
      </c>
      <c r="B988" s="9" t="inlineStr">
        <is>
          <t>7/13/25 - 8/10/25</t>
        </is>
      </c>
      <c r="C988" s="12" t="n">
        <v>0.4</v>
      </c>
      <c r="D988" s="12" t="n">
        <v>1.51</v>
      </c>
      <c r="E988" s="12" t="n">
        <v>1</v>
      </c>
      <c r="F988" s="12" t="n">
        <v>0.93</v>
      </c>
      <c r="G988" s="12" t="n">
        <v>1</v>
      </c>
      <c r="H988" s="9" t="n">
        <v>2</v>
      </c>
      <c r="I988" s="10" t="n">
        <v>1</v>
      </c>
      <c r="J988" s="12">
        <f>I988</f>
        <v/>
      </c>
      <c r="K988" t="inlineStr">
        <is>
          <t>Distinguished</t>
        </is>
      </c>
      <c r="L988" t="inlineStr">
        <is>
          <t>Adjunct</t>
        </is>
      </c>
      <c r="M988" t="inlineStr">
        <is>
          <t>Kristin Haase-Alvey</t>
        </is>
      </c>
    </row>
    <row r="989">
      <c r="A989" s="9" t="inlineStr">
        <is>
          <t>Joyraj D'souza</t>
        </is>
      </c>
      <c r="B989" s="9" t="inlineStr">
        <is>
          <t>8/10/25 - 9/6/25</t>
        </is>
      </c>
      <c r="C989" s="12" t="n">
        <v>0.92</v>
      </c>
      <c r="D989" s="12" t="n">
        <v>1.62</v>
      </c>
      <c r="E989" s="12" t="n">
        <v>1</v>
      </c>
      <c r="F989" s="12" t="n">
        <v>0.97</v>
      </c>
      <c r="G989" s="12" t="n">
        <v>0.63</v>
      </c>
      <c r="H989" s="9" t="n">
        <v>3</v>
      </c>
      <c r="I989" s="10" t="inlineStr">
        <is>
          <t>2/4</t>
        </is>
      </c>
      <c r="J989" s="12" t="n">
        <v>0.5</v>
      </c>
      <c r="K989" t="inlineStr">
        <is>
          <t>Distinguished</t>
        </is>
      </c>
      <c r="L989" t="inlineStr">
        <is>
          <t>Adjunct</t>
        </is>
      </c>
      <c r="M989" t="inlineStr">
        <is>
          <t>Kristin Haase-Alvey</t>
        </is>
      </c>
    </row>
    <row r="990">
      <c r="A990" s="9" t="inlineStr">
        <is>
          <t>Joyraj D'souza</t>
        </is>
      </c>
      <c r="B990" s="9" t="inlineStr">
        <is>
          <t>9/7/25 - 10/4/25</t>
        </is>
      </c>
      <c r="C990" s="12" t="n">
        <v>0.99</v>
      </c>
      <c r="D990" s="12" t="n">
        <v>1.21</v>
      </c>
      <c r="E990" s="12" t="n">
        <v>1</v>
      </c>
      <c r="F990" s="12" t="n">
        <v>0.88</v>
      </c>
      <c r="G990" s="12" t="n">
        <v>0.73</v>
      </c>
      <c r="H990" s="9" t="n">
        <v>10</v>
      </c>
      <c r="I990" s="10" t="inlineStr">
        <is>
          <t>1/1</t>
        </is>
      </c>
      <c r="J990" s="12" t="n">
        <v>1</v>
      </c>
      <c r="K990" t="inlineStr">
        <is>
          <t>Distinguished</t>
        </is>
      </c>
      <c r="L990" t="inlineStr">
        <is>
          <t>Adjunct</t>
        </is>
      </c>
      <c r="M990" t="inlineStr">
        <is>
          <t>Kristin Haase-Alvey</t>
        </is>
      </c>
    </row>
    <row r="991">
      <c r="A991" s="9" t="inlineStr">
        <is>
          <t>Juan Nunez</t>
        </is>
      </c>
      <c r="B991" s="9" t="inlineStr">
        <is>
          <t>11/30/25 - 12/27/25</t>
        </is>
      </c>
      <c r="C991" s="12" t="n">
        <v>0</v>
      </c>
      <c r="D991" s="12" t="n">
        <v>0</v>
      </c>
      <c r="E991" s="12" t="n">
        <v>0</v>
      </c>
      <c r="F991" s="12" t="n">
        <v>0</v>
      </c>
      <c r="G991" s="12" t="n">
        <v>0</v>
      </c>
      <c r="H991" s="9" t="n">
        <v>0</v>
      </c>
      <c r="I991" s="10" t="n"/>
      <c r="J991" s="12" t="n"/>
      <c r="K991" t="inlineStr">
        <is>
          <t>Distinguished</t>
        </is>
      </c>
      <c r="L991" t="inlineStr">
        <is>
          <t>Professional</t>
        </is>
      </c>
      <c r="M991" t="inlineStr">
        <is>
          <t>Kristin Haase-Alvey</t>
        </is>
      </c>
    </row>
    <row r="992">
      <c r="A992" s="9" t="inlineStr">
        <is>
          <t>Juan Nunez</t>
        </is>
      </c>
      <c r="B992" s="9" t="inlineStr">
        <is>
          <t>12/28/25 - 1/25/26</t>
        </is>
      </c>
      <c r="C992" s="12" t="n">
        <v>0.0667</v>
      </c>
      <c r="D992" s="12" t="n">
        <v>0.8092</v>
      </c>
      <c r="E992" s="12" t="n">
        <v>1</v>
      </c>
      <c r="F992" s="12" t="n">
        <v>1</v>
      </c>
      <c r="G992" s="12" t="n">
        <v>0</v>
      </c>
      <c r="H992" s="9" t="n">
        <v>0</v>
      </c>
      <c r="I992" s="10" t="n">
        <v>0.75</v>
      </c>
      <c r="J992" s="12">
        <f>I992</f>
        <v/>
      </c>
      <c r="K992" t="inlineStr">
        <is>
          <t>Distinguished</t>
        </is>
      </c>
      <c r="L992" t="inlineStr">
        <is>
          <t>Professional</t>
        </is>
      </c>
      <c r="M992" t="inlineStr">
        <is>
          <t>Kristin Haase-Alvey</t>
        </is>
      </c>
    </row>
    <row r="993">
      <c r="A993" s="9" t="inlineStr">
        <is>
          <t>Judi Abo Hana</t>
        </is>
      </c>
      <c r="B993" s="9" t="inlineStr">
        <is>
          <t>10/5/25 - 11/1/25</t>
        </is>
      </c>
      <c r="C993" s="12" t="n">
        <v>1.175</v>
      </c>
      <c r="D993" s="12" t="n">
        <v>1.46609999999999</v>
      </c>
      <c r="E993" s="12" t="n">
        <v>1</v>
      </c>
      <c r="F993" s="12" t="n">
        <v>1</v>
      </c>
      <c r="G993" s="12" t="n">
        <v>0.5</v>
      </c>
      <c r="H993" s="9" t="n">
        <v>8</v>
      </c>
      <c r="I993" s="10" t="inlineStr">
        <is>
          <t>7/9</t>
        </is>
      </c>
      <c r="J993" s="12" t="n">
        <v>0.78</v>
      </c>
      <c r="K993" t="inlineStr">
        <is>
          <t>Advanced</t>
        </is>
      </c>
      <c r="L993" t="inlineStr">
        <is>
          <t>Adjunct</t>
        </is>
      </c>
      <c r="M993" t="inlineStr">
        <is>
          <t>Geoff St. Marie</t>
        </is>
      </c>
    </row>
    <row r="994">
      <c r="A994" s="9" t="inlineStr">
        <is>
          <t>Judi Abo Hana</t>
        </is>
      </c>
      <c r="B994" s="9" t="inlineStr">
        <is>
          <t>10/5/25 - 11/1/25</t>
        </is>
      </c>
      <c r="C994" s="12" t="n">
        <v>1.175</v>
      </c>
      <c r="D994" s="12" t="n">
        <v>1.46609999999999</v>
      </c>
      <c r="E994" s="12" t="n">
        <v>1</v>
      </c>
      <c r="F994" s="12" t="n">
        <v>1</v>
      </c>
      <c r="G994" s="12" t="n">
        <v>0.5</v>
      </c>
      <c r="H994" s="9" t="n">
        <v>8</v>
      </c>
      <c r="I994" s="10" t="inlineStr">
        <is>
          <t>7/9</t>
        </is>
      </c>
      <c r="J994" s="12">
        <f>_xlfn.TEXTBEFORE(I994, "/")/_xlfn.TEXTAFTER(I994,"/")</f>
        <v/>
      </c>
      <c r="K994" t="inlineStr">
        <is>
          <t>Advanced</t>
        </is>
      </c>
      <c r="L994" t="inlineStr">
        <is>
          <t>Adjunct</t>
        </is>
      </c>
      <c r="M994" t="inlineStr">
        <is>
          <t>Geoff St. Marie</t>
        </is>
      </c>
    </row>
    <row r="995">
      <c r="A995" s="9" t="inlineStr">
        <is>
          <t>Judi Abo Hana</t>
        </is>
      </c>
      <c r="B995" s="9" t="inlineStr">
        <is>
          <t>11/2/25 - 11/29/25</t>
        </is>
      </c>
      <c r="C995" s="12" t="n">
        <v>1.26</v>
      </c>
      <c r="D995" s="12" t="n">
        <v>1.32</v>
      </c>
      <c r="E995" s="12" t="n">
        <v>0.99</v>
      </c>
      <c r="F995" s="12" t="n">
        <v>1</v>
      </c>
      <c r="G995" s="12" t="n">
        <v>0.53</v>
      </c>
      <c r="H995" s="9" t="n">
        <v>14</v>
      </c>
      <c r="I995" s="13" t="n">
        <v>45753</v>
      </c>
      <c r="J995" s="14" t="n">
        <v>0.67</v>
      </c>
      <c r="K995" t="inlineStr">
        <is>
          <t>Advanced</t>
        </is>
      </c>
      <c r="L995" t="inlineStr">
        <is>
          <t>Adjunct</t>
        </is>
      </c>
      <c r="M995" t="inlineStr">
        <is>
          <t>Geoff St. Marie</t>
        </is>
      </c>
    </row>
    <row r="996">
      <c r="A996" s="9" t="inlineStr">
        <is>
          <t>Judi Abo Hana</t>
        </is>
      </c>
      <c r="B996" s="9" t="inlineStr">
        <is>
          <t>11/30/25 - 12/27/25</t>
        </is>
      </c>
      <c r="C996" s="12" t="n">
        <v>1.23</v>
      </c>
      <c r="D996" s="12" t="n">
        <v>1.32</v>
      </c>
      <c r="E996" s="12" t="n">
        <v>1</v>
      </c>
      <c r="F996" s="12" t="n">
        <v>0.9399999999999999</v>
      </c>
      <c r="G996" s="12" t="n">
        <v>0.65</v>
      </c>
      <c r="H996" s="9" t="n">
        <v>10</v>
      </c>
      <c r="I996" s="10" t="n">
        <v>0.75</v>
      </c>
      <c r="J996" s="12" t="n">
        <v>0.75</v>
      </c>
      <c r="K996" t="inlineStr">
        <is>
          <t>Advanced</t>
        </is>
      </c>
      <c r="L996" t="inlineStr">
        <is>
          <t>Adjunct</t>
        </is>
      </c>
      <c r="M996" t="inlineStr">
        <is>
          <t>Geoff St. Marie</t>
        </is>
      </c>
    </row>
    <row r="997">
      <c r="A997" s="9" t="inlineStr">
        <is>
          <t>Judi Abo Hana</t>
        </is>
      </c>
      <c r="B997" s="9" t="inlineStr">
        <is>
          <t>12/28/25 - 1/25/26</t>
        </is>
      </c>
      <c r="C997" s="12" t="n">
        <v>1.475</v>
      </c>
      <c r="D997" s="12" t="n">
        <v>1.7292</v>
      </c>
      <c r="E997" s="12" t="n">
        <v>1</v>
      </c>
      <c r="F997" s="12" t="n">
        <v>0.988372093</v>
      </c>
      <c r="G997" s="12" t="n">
        <v>0.476190476</v>
      </c>
      <c r="H997" s="9" t="n">
        <v>15</v>
      </c>
      <c r="I997" s="10" t="n">
        <v>0.7</v>
      </c>
      <c r="J997" s="12">
        <f>I997</f>
        <v/>
      </c>
      <c r="K997" t="inlineStr">
        <is>
          <t>Advanced</t>
        </is>
      </c>
      <c r="L997" t="inlineStr">
        <is>
          <t>Adjunct</t>
        </is>
      </c>
      <c r="M997" t="inlineStr">
        <is>
          <t>Geoff St. Marie</t>
        </is>
      </c>
    </row>
    <row r="998">
      <c r="A998" s="9" t="inlineStr">
        <is>
          <t>Judi Abo Hana</t>
        </is>
      </c>
      <c r="B998" s="9" t="inlineStr">
        <is>
          <t>9/7/25 - 10/4/25</t>
        </is>
      </c>
      <c r="C998" s="12" t="n">
        <v>0.59</v>
      </c>
      <c r="D998" s="12" t="n">
        <v>1.31</v>
      </c>
      <c r="E998" s="12" t="n">
        <v>1</v>
      </c>
      <c r="F998" s="12" t="n">
        <v>1</v>
      </c>
      <c r="G998" s="12" t="n">
        <v>0</v>
      </c>
      <c r="H998" s="9" t="n">
        <v>2</v>
      </c>
      <c r="I998" s="10" t="inlineStr">
        <is>
          <t>12/14</t>
        </is>
      </c>
      <c r="J998" s="12" t="n">
        <v>0.86</v>
      </c>
      <c r="K998" t="inlineStr">
        <is>
          <t>Advanced</t>
        </is>
      </c>
      <c r="L998" t="inlineStr">
        <is>
          <t>Adjunct</t>
        </is>
      </c>
      <c r="M998" t="inlineStr">
        <is>
          <t>Geoff St. Marie</t>
        </is>
      </c>
    </row>
    <row r="999">
      <c r="A999" s="9" t="inlineStr">
        <is>
          <t>Julia Saderholm</t>
        </is>
      </c>
      <c r="B999" s="9" t="inlineStr">
        <is>
          <t>10/5/25 - 11/1/25</t>
        </is>
      </c>
      <c r="C999" s="12" t="n">
        <v>1.0542</v>
      </c>
      <c r="D999" s="12" t="n">
        <v>1.1579</v>
      </c>
      <c r="E999" s="12" t="n">
        <v>1</v>
      </c>
      <c r="F999" s="12" t="n">
        <v>0.846153846153846</v>
      </c>
      <c r="G999" s="12" t="n">
        <v>0.166666666666666</v>
      </c>
      <c r="H999" s="9" t="n">
        <v>9</v>
      </c>
      <c r="I999" s="10" t="inlineStr">
        <is>
          <t>0/8</t>
        </is>
      </c>
      <c r="J999" s="12" t="n">
        <v>0</v>
      </c>
      <c r="K999" t="inlineStr">
        <is>
          <t>Distinguished</t>
        </is>
      </c>
      <c r="L999" t="inlineStr">
        <is>
          <t>Professional</t>
        </is>
      </c>
      <c r="M999" t="inlineStr">
        <is>
          <t>Ela Cross</t>
        </is>
      </c>
    </row>
    <row r="1000">
      <c r="A1000" s="9" t="inlineStr">
        <is>
          <t>Julia Saderholm</t>
        </is>
      </c>
      <c r="B1000" s="9" t="inlineStr">
        <is>
          <t>11/2/25 - 11/29/25</t>
        </is>
      </c>
      <c r="C1000" s="12" t="n">
        <v>0.68</v>
      </c>
      <c r="D1000" s="12" t="n">
        <v>0.89</v>
      </c>
      <c r="E1000" s="12" t="n">
        <v>0.97</v>
      </c>
      <c r="F1000" s="12" t="n">
        <v>0.82</v>
      </c>
      <c r="G1000" s="12" t="n">
        <v>0.7</v>
      </c>
      <c r="H1000" s="9" t="n">
        <v>4</v>
      </c>
      <c r="I1000" s="13" t="inlineStr">
        <is>
          <t>0/5</t>
        </is>
      </c>
      <c r="J1000" s="12" t="n">
        <v>0</v>
      </c>
      <c r="K1000" t="inlineStr">
        <is>
          <t>Distinguished</t>
        </is>
      </c>
      <c r="L1000" t="inlineStr">
        <is>
          <t>Professional</t>
        </is>
      </c>
      <c r="M1000" t="inlineStr">
        <is>
          <t>Ela Cross</t>
        </is>
      </c>
    </row>
    <row r="1001">
      <c r="A1001" s="9" t="inlineStr">
        <is>
          <t>Julia Saderholm</t>
        </is>
      </c>
      <c r="B1001" s="9" t="inlineStr">
        <is>
          <t>11/30/25 - 12/27/25</t>
        </is>
      </c>
      <c r="C1001" s="12" t="n">
        <v>0.79</v>
      </c>
      <c r="D1001" s="12" t="n">
        <v>0.96</v>
      </c>
      <c r="E1001" s="12" t="n">
        <v>1</v>
      </c>
      <c r="F1001" s="12" t="n">
        <v>1</v>
      </c>
      <c r="G1001" s="12" t="n">
        <v>0.67</v>
      </c>
      <c r="H1001" s="9" t="n">
        <v>16</v>
      </c>
      <c r="I1001" s="10" t="n">
        <v>0.8</v>
      </c>
      <c r="J1001" s="12" t="n">
        <v>0.8</v>
      </c>
      <c r="K1001" t="inlineStr">
        <is>
          <t>Distinguished</t>
        </is>
      </c>
      <c r="L1001" t="inlineStr">
        <is>
          <t>Professional</t>
        </is>
      </c>
      <c r="M1001" t="inlineStr">
        <is>
          <t>Ela Cross</t>
        </is>
      </c>
    </row>
    <row r="1002">
      <c r="A1002" s="9" t="inlineStr">
        <is>
          <t>Julia Saderholm</t>
        </is>
      </c>
      <c r="B1002" s="9" t="inlineStr">
        <is>
          <t>12/28/25 - 1/25/26</t>
        </is>
      </c>
      <c r="C1002" s="12" t="n">
        <v>1.025</v>
      </c>
      <c r="D1002" s="12" t="n">
        <v>1.1069</v>
      </c>
      <c r="E1002" s="12" t="n">
        <v>1</v>
      </c>
      <c r="F1002" s="12" t="n">
        <v>0.986842105</v>
      </c>
      <c r="G1002" s="12" t="n">
        <v>0.36</v>
      </c>
      <c r="H1002" s="9" t="n">
        <v>16</v>
      </c>
      <c r="I1002" s="10" t="n">
        <v>0.7777777777777778</v>
      </c>
      <c r="J1002" s="12">
        <f>I1002</f>
        <v/>
      </c>
      <c r="K1002" t="inlineStr">
        <is>
          <t>Distinguished</t>
        </is>
      </c>
      <c r="L1002" t="inlineStr">
        <is>
          <t>Professional</t>
        </is>
      </c>
      <c r="M1002" t="inlineStr">
        <is>
          <t>Ela Cross</t>
        </is>
      </c>
    </row>
    <row r="1003">
      <c r="A1003" s="9" t="inlineStr">
        <is>
          <t>Julia Saderholm</t>
        </is>
      </c>
      <c r="B1003" s="9" t="inlineStr">
        <is>
          <t>9/7/25 - 10/4/25</t>
        </is>
      </c>
      <c r="C1003" s="12" t="n">
        <v>0.89</v>
      </c>
      <c r="D1003" s="12" t="n">
        <v>1.1</v>
      </c>
      <c r="E1003" s="12" t="n">
        <v>1</v>
      </c>
      <c r="F1003" s="12" t="n">
        <v>0.8100000000000001</v>
      </c>
      <c r="G1003" s="12" t="n">
        <v>0</v>
      </c>
      <c r="H1003" s="9" t="n">
        <v>7</v>
      </c>
      <c r="I1003" s="10" t="inlineStr">
        <is>
          <t>0/13</t>
        </is>
      </c>
      <c r="J1003" s="12" t="n">
        <v>0</v>
      </c>
      <c r="K1003" t="inlineStr">
        <is>
          <t>Distinguished</t>
        </is>
      </c>
      <c r="L1003" t="inlineStr">
        <is>
          <t>Professional</t>
        </is>
      </c>
      <c r="M1003" t="inlineStr">
        <is>
          <t>Ela Cross</t>
        </is>
      </c>
    </row>
    <row r="1004">
      <c r="A1004" s="9" t="inlineStr">
        <is>
          <t>Julie Byrom</t>
        </is>
      </c>
      <c r="B1004" s="9" t="inlineStr">
        <is>
          <t>10/5/25 - 11/1/25</t>
        </is>
      </c>
      <c r="C1004" s="12" t="n">
        <v>0.906299999999999</v>
      </c>
      <c r="D1004" s="12" t="n">
        <v>1.06579999999999</v>
      </c>
      <c r="E1004" s="12" t="n">
        <v>1</v>
      </c>
      <c r="F1004" s="12" t="n">
        <v>1</v>
      </c>
      <c r="G1004" s="12" t="n">
        <v>0.863636363636363</v>
      </c>
      <c r="H1004" s="9" t="n">
        <v>3</v>
      </c>
      <c r="I1004" s="10" t="inlineStr">
        <is>
          <t>1/2</t>
        </is>
      </c>
      <c r="J1004" s="12" t="n">
        <v>0.5</v>
      </c>
      <c r="K1004" t="inlineStr">
        <is>
          <t>Premium</t>
        </is>
      </c>
      <c r="L1004" t="inlineStr">
        <is>
          <t>Professional</t>
        </is>
      </c>
      <c r="M1004" t="inlineStr">
        <is>
          <t>Ela Cross</t>
        </is>
      </c>
    </row>
    <row r="1005">
      <c r="A1005" s="9" t="inlineStr">
        <is>
          <t>Julie Byrom</t>
        </is>
      </c>
      <c r="B1005" s="9" t="inlineStr">
        <is>
          <t>11/2/25 - 11/29/25</t>
        </is>
      </c>
      <c r="C1005" s="12" t="n">
        <v>0.82</v>
      </c>
      <c r="D1005" s="12" t="n">
        <v>0.99</v>
      </c>
      <c r="E1005" s="12" t="n">
        <v>1</v>
      </c>
      <c r="F1005" s="12" t="n">
        <v>1</v>
      </c>
      <c r="G1005" s="12" t="n">
        <v>1</v>
      </c>
      <c r="H1005" s="9" t="n">
        <v>5</v>
      </c>
      <c r="I1005" s="13" t="n">
        <v>45690</v>
      </c>
      <c r="J1005" s="12" t="n">
        <v>1</v>
      </c>
      <c r="K1005" t="inlineStr">
        <is>
          <t>Premium</t>
        </is>
      </c>
      <c r="L1005" t="inlineStr">
        <is>
          <t>Professional</t>
        </is>
      </c>
      <c r="M1005" t="inlineStr">
        <is>
          <t>Ela Cross</t>
        </is>
      </c>
    </row>
    <row r="1006">
      <c r="A1006" s="9" t="inlineStr">
        <is>
          <t>Julie Byrom</t>
        </is>
      </c>
      <c r="B1006" s="9" t="inlineStr">
        <is>
          <t>11/30/25 - 12/27/25</t>
        </is>
      </c>
      <c r="C1006" s="12" t="n">
        <v>0.8</v>
      </c>
      <c r="D1006" s="12" t="n">
        <v>0.93</v>
      </c>
      <c r="E1006" s="12" t="n">
        <v>1</v>
      </c>
      <c r="F1006" s="12" t="n">
        <v>1</v>
      </c>
      <c r="G1006" s="12" t="n">
        <v>0.96</v>
      </c>
      <c r="H1006" s="9" t="n">
        <v>5</v>
      </c>
      <c r="I1006" s="10" t="n">
        <v>1</v>
      </c>
      <c r="J1006" s="12" t="n">
        <v>1</v>
      </c>
      <c r="K1006" t="inlineStr">
        <is>
          <t>Premium</t>
        </is>
      </c>
      <c r="L1006" t="inlineStr">
        <is>
          <t>Professional</t>
        </is>
      </c>
      <c r="M1006" t="inlineStr">
        <is>
          <t>Ela Cross</t>
        </is>
      </c>
    </row>
    <row r="1007">
      <c r="A1007" s="9" t="inlineStr">
        <is>
          <t>Julie Byrom</t>
        </is>
      </c>
      <c r="B1007" s="9" t="inlineStr">
        <is>
          <t>12/28/25 - 1/25/26</t>
        </is>
      </c>
      <c r="C1007" s="12" t="n">
        <v>0.6125</v>
      </c>
      <c r="D1007" s="12" t="n">
        <v>1.0921</v>
      </c>
      <c r="E1007" s="12" t="n">
        <v>1</v>
      </c>
      <c r="F1007" s="12" t="n">
        <v>1</v>
      </c>
      <c r="G1007" s="12" t="n">
        <v>0.941176471</v>
      </c>
      <c r="H1007" s="9" t="n">
        <v>3</v>
      </c>
      <c r="I1007" s="10" t="n">
        <v>0.6666666666666666</v>
      </c>
      <c r="J1007" s="12">
        <f>I1007</f>
        <v/>
      </c>
      <c r="K1007" t="inlineStr">
        <is>
          <t>Premium</t>
        </is>
      </c>
      <c r="L1007" t="inlineStr">
        <is>
          <t>Professional</t>
        </is>
      </c>
      <c r="M1007" t="inlineStr">
        <is>
          <t>Ela Cross</t>
        </is>
      </c>
    </row>
    <row r="1008">
      <c r="A1008" s="9" t="inlineStr">
        <is>
          <t>Julie Byrom</t>
        </is>
      </c>
      <c r="B1008" s="9" t="inlineStr">
        <is>
          <t>5/18/25 - 6/14/25</t>
        </is>
      </c>
      <c r="C1008" s="12" t="n">
        <v>0.88</v>
      </c>
      <c r="D1008" s="12" t="n">
        <v>1.04</v>
      </c>
      <c r="E1008" s="12" t="n">
        <v>1</v>
      </c>
      <c r="F1008" s="12" t="n">
        <v>1</v>
      </c>
      <c r="G1008" s="12" t="n">
        <v>0.72</v>
      </c>
      <c r="H1008" s="9" t="n">
        <v>8</v>
      </c>
      <c r="I1008" s="10" t="n">
        <v>1</v>
      </c>
      <c r="J1008" s="12">
        <f>I1008</f>
        <v/>
      </c>
      <c r="K1008" t="inlineStr">
        <is>
          <t>Premium</t>
        </is>
      </c>
      <c r="L1008" t="inlineStr">
        <is>
          <t>Professional</t>
        </is>
      </c>
      <c r="M1008" t="inlineStr">
        <is>
          <t>Ela Cross</t>
        </is>
      </c>
    </row>
    <row r="1009">
      <c r="A1009" s="9" t="inlineStr">
        <is>
          <t>Julie Byrom</t>
        </is>
      </c>
      <c r="B1009" s="9" t="inlineStr">
        <is>
          <t>6/15/25 - 7/12/25</t>
        </is>
      </c>
      <c r="C1009" s="12" t="n">
        <v>0.36</v>
      </c>
      <c r="D1009" s="12" t="n">
        <v>0.74</v>
      </c>
      <c r="E1009" s="12" t="n">
        <v>1</v>
      </c>
      <c r="F1009" s="12" t="n">
        <v>1</v>
      </c>
      <c r="G1009" s="12" t="n">
        <v>0.77</v>
      </c>
      <c r="H1009" s="9" t="n">
        <v>5</v>
      </c>
      <c r="J1009" s="9" t="n"/>
      <c r="K1009" t="inlineStr">
        <is>
          <t>Premium</t>
        </is>
      </c>
      <c r="L1009" t="inlineStr">
        <is>
          <t>Professional</t>
        </is>
      </c>
      <c r="M1009" t="inlineStr">
        <is>
          <t>Ela Cross</t>
        </is>
      </c>
    </row>
    <row r="1010">
      <c r="A1010" s="9" t="inlineStr">
        <is>
          <t>Julie Byrom</t>
        </is>
      </c>
      <c r="B1010" s="9" t="inlineStr">
        <is>
          <t>7/13/25 - 8/10/25</t>
        </is>
      </c>
      <c r="C1010" s="12" t="n">
        <v>0.82</v>
      </c>
      <c r="D1010" s="12" t="n">
        <v>1.05</v>
      </c>
      <c r="E1010" s="12" t="n">
        <v>1</v>
      </c>
      <c r="F1010" s="12" t="n">
        <v>1</v>
      </c>
      <c r="G1010" s="12" t="n">
        <v>0.8</v>
      </c>
      <c r="H1010" s="9" t="n">
        <v>2</v>
      </c>
      <c r="I1010" s="10" t="n">
        <v>1</v>
      </c>
      <c r="J1010" s="12">
        <f>I1010</f>
        <v/>
      </c>
      <c r="K1010" t="inlineStr">
        <is>
          <t>Premium</t>
        </is>
      </c>
      <c r="L1010" t="inlineStr">
        <is>
          <t>Professional</t>
        </is>
      </c>
      <c r="M1010" t="inlineStr">
        <is>
          <t>Ela Cross</t>
        </is>
      </c>
    </row>
    <row r="1011">
      <c r="A1011" s="9" t="inlineStr">
        <is>
          <t>Julie Byrom</t>
        </is>
      </c>
      <c r="B1011" s="9" t="inlineStr">
        <is>
          <t>8/10/25 - 9/6/25</t>
        </is>
      </c>
      <c r="C1011" s="12" t="n">
        <v>0.85</v>
      </c>
      <c r="D1011" s="12" t="n">
        <v>1.08</v>
      </c>
      <c r="E1011" s="12" t="n">
        <v>1</v>
      </c>
      <c r="F1011" s="12" t="n">
        <v>1</v>
      </c>
      <c r="G1011" s="12" t="n">
        <v>0.86</v>
      </c>
      <c r="H1011" s="9" t="n">
        <v>0</v>
      </c>
      <c r="I1011" s="10" t="inlineStr">
        <is>
          <t>1/1</t>
        </is>
      </c>
      <c r="J1011" s="12" t="n">
        <v>1</v>
      </c>
      <c r="K1011" t="inlineStr">
        <is>
          <t>Premium</t>
        </is>
      </c>
      <c r="L1011" t="inlineStr">
        <is>
          <t>Professional</t>
        </is>
      </c>
      <c r="M1011" t="inlineStr">
        <is>
          <t>Ela Cross</t>
        </is>
      </c>
    </row>
    <row r="1012">
      <c r="A1012" s="9" t="inlineStr">
        <is>
          <t>Julie Byrom</t>
        </is>
      </c>
      <c r="B1012" s="9" t="inlineStr">
        <is>
          <t>9/7/25 - 10/4/25</t>
        </is>
      </c>
      <c r="C1012" s="12" t="n">
        <v>0.86</v>
      </c>
      <c r="D1012" s="12" t="n">
        <v>1.07</v>
      </c>
      <c r="E1012" s="12" t="n">
        <v>1</v>
      </c>
      <c r="F1012" s="12" t="n">
        <v>1</v>
      </c>
      <c r="G1012" s="12" t="n">
        <v>1</v>
      </c>
      <c r="H1012" s="9" t="n">
        <v>5</v>
      </c>
      <c r="I1012" s="10" t="inlineStr">
        <is>
          <t>4/4</t>
        </is>
      </c>
      <c r="J1012" s="12" t="n">
        <v>1</v>
      </c>
      <c r="K1012" t="inlineStr">
        <is>
          <t>Premium</t>
        </is>
      </c>
      <c r="L1012" t="inlineStr">
        <is>
          <t>Professional</t>
        </is>
      </c>
      <c r="M1012" t="inlineStr">
        <is>
          <t>Ela Cross</t>
        </is>
      </c>
    </row>
    <row r="1013">
      <c r="A1013" s="9" t="inlineStr">
        <is>
          <t>Kailot Harris</t>
        </is>
      </c>
      <c r="B1013" s="9" t="inlineStr">
        <is>
          <t>10/5/25 - 11/1/25</t>
        </is>
      </c>
      <c r="C1013" s="12" t="n">
        <v>1.05</v>
      </c>
      <c r="D1013" s="12" t="n">
        <v>1.0247</v>
      </c>
      <c r="E1013" s="12" t="n">
        <v>1</v>
      </c>
      <c r="F1013" s="12" t="n">
        <v>0.857142857142857</v>
      </c>
      <c r="G1013" s="12" t="n">
        <v>0.739130434782608</v>
      </c>
      <c r="H1013" s="9" t="n">
        <v>8</v>
      </c>
      <c r="I1013" s="10" t="inlineStr">
        <is>
          <t>6/9</t>
        </is>
      </c>
      <c r="J1013" s="12" t="n">
        <v>0.67</v>
      </c>
      <c r="K1013" t="inlineStr">
        <is>
          <t>Distinguished</t>
        </is>
      </c>
      <c r="L1013" t="inlineStr">
        <is>
          <t>Professional</t>
        </is>
      </c>
      <c r="M1013" t="inlineStr">
        <is>
          <t>Kristin Haase-Alvey</t>
        </is>
      </c>
    </row>
    <row r="1014">
      <c r="A1014" s="9" t="inlineStr">
        <is>
          <t>Kailot Harris</t>
        </is>
      </c>
      <c r="B1014" s="9" t="inlineStr">
        <is>
          <t>10/5/25 - 11/1/25</t>
        </is>
      </c>
      <c r="C1014" s="12" t="n">
        <v>1.05</v>
      </c>
      <c r="D1014" s="12" t="n">
        <v>1.0247</v>
      </c>
      <c r="E1014" s="12" t="n">
        <v>1</v>
      </c>
      <c r="F1014" s="12" t="n">
        <v>0.857142857142857</v>
      </c>
      <c r="G1014" s="12" t="n">
        <v>0.739130434782608</v>
      </c>
      <c r="H1014" s="9" t="n">
        <v>8</v>
      </c>
      <c r="I1014" s="10" t="inlineStr">
        <is>
          <t>6/9</t>
        </is>
      </c>
      <c r="J1014" s="12">
        <f>_xlfn.TEXTBEFORE(I1014, "/")/_xlfn.TEXTAFTER(I1014,"/")</f>
        <v/>
      </c>
      <c r="K1014" t="inlineStr">
        <is>
          <t>Distinguished</t>
        </is>
      </c>
      <c r="L1014" t="inlineStr">
        <is>
          <t>Professional</t>
        </is>
      </c>
      <c r="M1014" t="inlineStr">
        <is>
          <t>Kristin Haase-Alvey</t>
        </is>
      </c>
    </row>
    <row r="1015">
      <c r="A1015" s="9" t="inlineStr">
        <is>
          <t>Kailot Harris</t>
        </is>
      </c>
      <c r="B1015" s="9" t="inlineStr">
        <is>
          <t>11/2/25 - 11/29/25</t>
        </is>
      </c>
      <c r="C1015" s="12" t="n">
        <v>1.01</v>
      </c>
      <c r="D1015" s="12" t="n">
        <v>0.99</v>
      </c>
      <c r="E1015" s="12" t="n">
        <v>1</v>
      </c>
      <c r="F1015" s="12" t="n">
        <v>0.8100000000000001</v>
      </c>
      <c r="G1015" s="12" t="n">
        <v>0.95</v>
      </c>
      <c r="H1015" s="9" t="n">
        <v>8</v>
      </c>
      <c r="I1015" s="13" t="n">
        <v>45695</v>
      </c>
      <c r="J1015" s="14" t="n">
        <v>0.29</v>
      </c>
      <c r="K1015" t="inlineStr">
        <is>
          <t>Distinguished</t>
        </is>
      </c>
      <c r="L1015" t="inlineStr">
        <is>
          <t>Professional</t>
        </is>
      </c>
      <c r="M1015" t="inlineStr">
        <is>
          <t>Kristin Haase-Alvey</t>
        </is>
      </c>
    </row>
    <row r="1016">
      <c r="A1016" s="9" t="inlineStr">
        <is>
          <t>Kailot Harris</t>
        </is>
      </c>
      <c r="B1016" s="9" t="inlineStr">
        <is>
          <t>11/30/25 - 12/27/25</t>
        </is>
      </c>
      <c r="C1016" s="12" t="n">
        <v>0.83</v>
      </c>
      <c r="D1016" s="12" t="n">
        <v>1.1</v>
      </c>
      <c r="E1016" s="12" t="n">
        <v>1</v>
      </c>
      <c r="F1016" s="12" t="n">
        <v>1</v>
      </c>
      <c r="G1016" s="12" t="n">
        <v>0.96</v>
      </c>
      <c r="H1016" s="9" t="n">
        <v>10</v>
      </c>
      <c r="I1016" s="10" t="n">
        <v>0.5</v>
      </c>
      <c r="J1016" s="12" t="n">
        <v>0.5</v>
      </c>
      <c r="K1016" t="inlineStr">
        <is>
          <t>Distinguished</t>
        </is>
      </c>
      <c r="L1016" t="inlineStr">
        <is>
          <t>Professional</t>
        </is>
      </c>
      <c r="M1016" t="inlineStr">
        <is>
          <t>Kristin Haase-Alvey</t>
        </is>
      </c>
    </row>
    <row r="1017">
      <c r="A1017" s="9" t="inlineStr">
        <is>
          <t>Kailot Harris</t>
        </is>
      </c>
      <c r="B1017" s="9" t="inlineStr">
        <is>
          <t>12/28/25 - 1/25/26</t>
        </is>
      </c>
      <c r="C1017" s="12" t="n">
        <v>0.8833</v>
      </c>
      <c r="D1017" s="12" t="n">
        <v>0.9868</v>
      </c>
      <c r="E1017" s="12" t="n">
        <v>1</v>
      </c>
      <c r="F1017" s="12" t="n">
        <v>1</v>
      </c>
      <c r="G1017" s="12" t="n">
        <v>0.944444444</v>
      </c>
      <c r="H1017" s="9" t="n">
        <v>11</v>
      </c>
      <c r="I1017" s="10" t="n">
        <v>0.3</v>
      </c>
      <c r="J1017" s="12">
        <f>I1017</f>
        <v/>
      </c>
      <c r="K1017" t="inlineStr">
        <is>
          <t>Distinguished</t>
        </is>
      </c>
      <c r="L1017" t="inlineStr">
        <is>
          <t>Professional</t>
        </is>
      </c>
      <c r="M1017" t="inlineStr">
        <is>
          <t>Kristin Haase-Alvey</t>
        </is>
      </c>
    </row>
    <row r="1018">
      <c r="A1018" s="9" t="inlineStr">
        <is>
          <t>Kailot Harris</t>
        </is>
      </c>
      <c r="B1018" s="9" t="inlineStr">
        <is>
          <t>5/18/25 - 6/14/25</t>
        </is>
      </c>
      <c r="C1018" s="12" t="n">
        <v>0.76</v>
      </c>
      <c r="D1018" s="12" t="n">
        <v>0.77</v>
      </c>
      <c r="E1018" s="12" t="n">
        <v>1</v>
      </c>
      <c r="F1018" s="12" t="n">
        <v>1</v>
      </c>
      <c r="G1018" s="12" t="n">
        <v>0.67</v>
      </c>
      <c r="H1018" s="9" t="n">
        <v>5</v>
      </c>
      <c r="I1018" s="10" t="n">
        <v>0</v>
      </c>
      <c r="J1018" s="12">
        <f>I1018</f>
        <v/>
      </c>
      <c r="K1018" t="inlineStr">
        <is>
          <t>Distinguished</t>
        </is>
      </c>
      <c r="L1018" t="inlineStr">
        <is>
          <t>Professional</t>
        </is>
      </c>
      <c r="M1018" t="inlineStr">
        <is>
          <t>Kristin Haase-Alvey</t>
        </is>
      </c>
    </row>
    <row r="1019">
      <c r="A1019" s="9" t="inlineStr">
        <is>
          <t>Kailot Harris</t>
        </is>
      </c>
      <c r="B1019" s="9" t="inlineStr">
        <is>
          <t>6/15/25 - 7/12/25</t>
        </is>
      </c>
      <c r="C1019" s="12" t="n">
        <v>0.53</v>
      </c>
      <c r="D1019" s="12" t="n">
        <v>0.62</v>
      </c>
      <c r="E1019" s="12" t="n">
        <v>0.99</v>
      </c>
      <c r="F1019" s="12" t="n">
        <v>1</v>
      </c>
      <c r="G1019" s="12" t="n">
        <v>0.73</v>
      </c>
      <c r="H1019" s="9" t="n">
        <v>2</v>
      </c>
      <c r="I1019" s="10" t="inlineStr">
        <is>
          <t xml:space="preserve"> 1/3</t>
        </is>
      </c>
      <c r="J1019" s="12">
        <f>1/3</f>
        <v/>
      </c>
      <c r="K1019" t="inlineStr">
        <is>
          <t>Distinguished</t>
        </is>
      </c>
      <c r="L1019" t="inlineStr">
        <is>
          <t>Professional</t>
        </is>
      </c>
      <c r="M1019" t="inlineStr">
        <is>
          <t>Kristin Haase-Alvey</t>
        </is>
      </c>
    </row>
    <row r="1020">
      <c r="A1020" s="9" t="inlineStr">
        <is>
          <t>Kailot Harris</t>
        </is>
      </c>
      <c r="B1020" s="9" t="inlineStr">
        <is>
          <t>7/13/25 - 8/10/25</t>
        </is>
      </c>
      <c r="C1020" s="12" t="n">
        <v>1.05</v>
      </c>
      <c r="D1020" s="12" t="n">
        <v>1.09</v>
      </c>
      <c r="E1020" s="12" t="n">
        <v>0.99</v>
      </c>
      <c r="F1020" s="12" t="n">
        <v>1</v>
      </c>
      <c r="G1020" s="12" t="n">
        <v>0.45</v>
      </c>
      <c r="H1020" s="9" t="n">
        <v>8</v>
      </c>
      <c r="I1020" s="10" t="inlineStr">
        <is>
          <t xml:space="preserve"> 1/3</t>
        </is>
      </c>
      <c r="J1020" s="12">
        <f>1/3</f>
        <v/>
      </c>
      <c r="K1020" t="inlineStr">
        <is>
          <t>Distinguished</t>
        </is>
      </c>
      <c r="L1020" t="inlineStr">
        <is>
          <t>Professional</t>
        </is>
      </c>
      <c r="M1020" t="inlineStr">
        <is>
          <t>Kristin Haase-Alvey</t>
        </is>
      </c>
    </row>
    <row r="1021">
      <c r="A1021" s="9" t="inlineStr">
        <is>
          <t>Kailot Harris</t>
        </is>
      </c>
      <c r="B1021" s="9" t="inlineStr">
        <is>
          <t>8/10/25 - 9/6/25</t>
        </is>
      </c>
      <c r="C1021" s="12" t="n">
        <v>1.16</v>
      </c>
      <c r="D1021" s="12" t="n">
        <v>1.16</v>
      </c>
      <c r="E1021" s="12" t="n">
        <v>1</v>
      </c>
      <c r="F1021" s="12" t="n">
        <v>1</v>
      </c>
      <c r="G1021" s="12" t="n">
        <v>1</v>
      </c>
      <c r="H1021" s="9" t="n">
        <v>3</v>
      </c>
      <c r="I1021" s="10" t="inlineStr">
        <is>
          <t>2/3</t>
        </is>
      </c>
      <c r="J1021" s="12" t="n">
        <v>0.66</v>
      </c>
      <c r="K1021" t="inlineStr">
        <is>
          <t>Distinguished</t>
        </is>
      </c>
      <c r="L1021" t="inlineStr">
        <is>
          <t>Professional</t>
        </is>
      </c>
      <c r="M1021" t="inlineStr">
        <is>
          <t>Kristin Haase-Alvey</t>
        </is>
      </c>
    </row>
    <row r="1022">
      <c r="A1022" s="9" t="inlineStr">
        <is>
          <t>Kailot Harris</t>
        </is>
      </c>
      <c r="B1022" s="9" t="inlineStr">
        <is>
          <t>9/7/25 - 10/4/25</t>
        </is>
      </c>
      <c r="C1022" s="12" t="n">
        <v>1</v>
      </c>
      <c r="D1022" s="12" t="n">
        <v>1.01</v>
      </c>
      <c r="E1022" s="12" t="n">
        <v>1</v>
      </c>
      <c r="F1022" s="12" t="n">
        <v>1</v>
      </c>
      <c r="G1022" s="12" t="n">
        <v>0.65</v>
      </c>
      <c r="H1022" s="9" t="n">
        <v>2</v>
      </c>
      <c r="I1022" s="10" t="inlineStr">
        <is>
          <t>1/7</t>
        </is>
      </c>
      <c r="J1022" s="12" t="n">
        <v>0.14</v>
      </c>
      <c r="K1022" t="inlineStr">
        <is>
          <t>Distinguished</t>
        </is>
      </c>
      <c r="L1022" t="inlineStr">
        <is>
          <t>Professional</t>
        </is>
      </c>
      <c r="M1022" t="inlineStr">
        <is>
          <t>Kristin Haase-Alvey</t>
        </is>
      </c>
    </row>
    <row r="1023">
      <c r="A1023" s="9" t="inlineStr">
        <is>
          <t>Karen Gonzalez</t>
        </is>
      </c>
      <c r="B1023" s="9" t="inlineStr">
        <is>
          <t>5/18/25 - 6/14/25</t>
        </is>
      </c>
      <c r="C1023" s="12" t="n">
        <v>1.2</v>
      </c>
      <c r="D1023" s="12" t="n">
        <v>1.74</v>
      </c>
      <c r="E1023" s="12" t="n">
        <v>0.99</v>
      </c>
      <c r="F1023" s="12" t="n">
        <v>0.96</v>
      </c>
      <c r="G1023" s="12" t="n">
        <v>0.53</v>
      </c>
      <c r="H1023" s="9" t="n">
        <v>3</v>
      </c>
      <c r="I1023" s="10" t="inlineStr">
        <is>
          <t xml:space="preserve"> 2/7</t>
        </is>
      </c>
      <c r="J1023" s="12" t="n">
        <v>0.29</v>
      </c>
      <c r="K1023" t="e">
        <v>#N/A</v>
      </c>
      <c r="L1023" t="e">
        <v>#N/A</v>
      </c>
      <c r="M1023" t="e">
        <v>#N/A</v>
      </c>
    </row>
    <row r="1024">
      <c r="A1024" s="9" t="inlineStr">
        <is>
          <t>Karen Gonzalez</t>
        </is>
      </c>
      <c r="B1024" s="9" t="inlineStr">
        <is>
          <t>6/15/25 - 7/12/25</t>
        </is>
      </c>
      <c r="C1024" s="12" t="n">
        <v>0.91</v>
      </c>
      <c r="D1024" s="12" t="n">
        <v>1.93</v>
      </c>
      <c r="E1024" s="12" t="n">
        <v>0.99</v>
      </c>
      <c r="F1024" s="12" t="n">
        <v>0.98</v>
      </c>
      <c r="G1024" s="12" t="n">
        <v>0.5600000000000001</v>
      </c>
      <c r="H1024" s="9" t="n">
        <v>2</v>
      </c>
      <c r="I1024" s="10" t="inlineStr">
        <is>
          <t xml:space="preserve"> 1/3</t>
        </is>
      </c>
      <c r="J1024" s="12">
        <f>1/3</f>
        <v/>
      </c>
      <c r="K1024" t="e">
        <v>#N/A</v>
      </c>
      <c r="L1024" t="e">
        <v>#N/A</v>
      </c>
      <c r="M1024" t="e">
        <v>#N/A</v>
      </c>
    </row>
    <row r="1025">
      <c r="A1025" s="9" t="inlineStr">
        <is>
          <t>Karen Gonzalez</t>
        </is>
      </c>
      <c r="B1025" s="9" t="inlineStr">
        <is>
          <t>7/13/25 - 8/10/25</t>
        </is>
      </c>
      <c r="C1025" s="12" t="n">
        <v>0.95</v>
      </c>
      <c r="D1025" s="12" t="n">
        <v>1.68</v>
      </c>
      <c r="E1025" s="12" t="n">
        <v>0.99</v>
      </c>
      <c r="F1025" s="12" t="n">
        <v>0.3</v>
      </c>
      <c r="G1025" s="12" t="n">
        <v>0.46</v>
      </c>
      <c r="H1025" s="9" t="n">
        <v>5</v>
      </c>
      <c r="I1025" s="10" t="n">
        <v>0</v>
      </c>
      <c r="J1025" s="12">
        <f>I1025</f>
        <v/>
      </c>
      <c r="K1025" t="e">
        <v>#N/A</v>
      </c>
      <c r="L1025" t="e">
        <v>#N/A</v>
      </c>
      <c r="M1025" t="e">
        <v>#N/A</v>
      </c>
    </row>
    <row r="1026">
      <c r="A1026" s="9" t="inlineStr">
        <is>
          <t>Karleigh Arrington</t>
        </is>
      </c>
      <c r="B1026" s="9" t="inlineStr">
        <is>
          <t>11/30/25 - 12/27/25</t>
        </is>
      </c>
      <c r="C1026" s="12" t="n">
        <v>0</v>
      </c>
      <c r="D1026" s="12" t="n">
        <v>0</v>
      </c>
      <c r="E1026" s="12" t="n">
        <v>0</v>
      </c>
      <c r="F1026" s="12" t="n">
        <v>0</v>
      </c>
      <c r="G1026" s="12" t="n">
        <v>0</v>
      </c>
      <c r="H1026" s="9" t="n">
        <v>0</v>
      </c>
      <c r="I1026" s="10" t="n"/>
      <c r="J1026" s="12" t="n"/>
      <c r="K1026" t="inlineStr">
        <is>
          <t>Distinguished</t>
        </is>
      </c>
      <c r="L1026" t="inlineStr">
        <is>
          <t>Professional</t>
        </is>
      </c>
      <c r="M1026" t="inlineStr">
        <is>
          <t>Annelies de Groot</t>
        </is>
      </c>
    </row>
    <row r="1027">
      <c r="A1027" s="9" t="inlineStr">
        <is>
          <t>Karleigh Arrington</t>
        </is>
      </c>
      <c r="B1027" s="9" t="inlineStr">
        <is>
          <t>12/28/25 - 1/25/26</t>
        </is>
      </c>
      <c r="C1027" s="12" t="n">
        <v>0.3286</v>
      </c>
      <c r="D1027" s="12" t="n">
        <v>0.6555</v>
      </c>
      <c r="E1027" s="12" t="n">
        <v>1</v>
      </c>
      <c r="F1027" s="12" t="n">
        <v>0.965517241</v>
      </c>
      <c r="G1027" s="12" t="n">
        <v>1</v>
      </c>
      <c r="H1027" s="9" t="n">
        <v>0</v>
      </c>
      <c r="I1027" s="10" t="n">
        <v>0.9090909090909091</v>
      </c>
      <c r="J1027" s="12">
        <f>I1027</f>
        <v/>
      </c>
      <c r="K1027" t="inlineStr">
        <is>
          <t>Distinguished</t>
        </is>
      </c>
      <c r="L1027" t="inlineStr">
        <is>
          <t>Professional</t>
        </is>
      </c>
      <c r="M1027" t="inlineStr">
        <is>
          <t>Annelies de Groot</t>
        </is>
      </c>
    </row>
    <row r="1028">
      <c r="A1028" s="9" t="inlineStr">
        <is>
          <t>Katherine Clarke</t>
        </is>
      </c>
      <c r="B1028" s="9" t="inlineStr">
        <is>
          <t>10/5/25 - 11/1/25</t>
        </is>
      </c>
      <c r="C1028" s="12" t="n">
        <v>0.6833</v>
      </c>
      <c r="D1028" s="12" t="n">
        <v>1.0099</v>
      </c>
      <c r="E1028" s="12" t="n">
        <v>1</v>
      </c>
      <c r="F1028" s="12" t="n">
        <v>0.966666666666666</v>
      </c>
      <c r="G1028" s="12" t="n">
        <v>0.9090909090909089</v>
      </c>
      <c r="H1028" s="9" t="n">
        <v>0</v>
      </c>
      <c r="I1028" s="10" t="inlineStr">
        <is>
          <t>0/1</t>
        </is>
      </c>
      <c r="J1028" s="12" t="n">
        <v>0</v>
      </c>
      <c r="K1028" t="inlineStr">
        <is>
          <t>Distinguished</t>
        </is>
      </c>
      <c r="L1028" t="inlineStr">
        <is>
          <t>Professional</t>
        </is>
      </c>
      <c r="M1028" t="inlineStr">
        <is>
          <t>Kristin Haase-Alvey</t>
        </is>
      </c>
    </row>
    <row r="1029">
      <c r="A1029" s="9" t="inlineStr">
        <is>
          <t>Katherine Clarke</t>
        </is>
      </c>
      <c r="B1029" s="9" t="inlineStr">
        <is>
          <t>11/2/25 - 11/29/25</t>
        </is>
      </c>
      <c r="C1029" s="12" t="n">
        <v>0.4</v>
      </c>
      <c r="D1029" s="12" t="n">
        <v>1.14</v>
      </c>
      <c r="E1029" s="12" t="n">
        <v>1</v>
      </c>
      <c r="F1029" s="12" t="n">
        <v>0.92</v>
      </c>
      <c r="G1029" s="12" t="n">
        <v>1</v>
      </c>
      <c r="H1029" s="9" t="n">
        <v>1</v>
      </c>
      <c r="I1029" s="13" t="n">
        <v>45691</v>
      </c>
      <c r="J1029" s="14" t="n">
        <v>0.67</v>
      </c>
      <c r="K1029" t="inlineStr">
        <is>
          <t>Distinguished</t>
        </is>
      </c>
      <c r="L1029" t="inlineStr">
        <is>
          <t>Professional</t>
        </is>
      </c>
      <c r="M1029" t="inlineStr">
        <is>
          <t>Kristin Haase-Alvey</t>
        </is>
      </c>
    </row>
    <row r="1030">
      <c r="A1030" s="9" t="inlineStr">
        <is>
          <t>Katherine Clarke</t>
        </is>
      </c>
      <c r="B1030" s="9" t="inlineStr">
        <is>
          <t>11/30/25 - 12/27/25</t>
        </is>
      </c>
      <c r="C1030" s="12" t="n">
        <v>0.37</v>
      </c>
      <c r="D1030" s="12" t="n">
        <v>0.9</v>
      </c>
      <c r="E1030" s="12" t="n">
        <v>1</v>
      </c>
      <c r="F1030" s="12" t="n">
        <v>0.74</v>
      </c>
      <c r="G1030" s="12" t="n">
        <v>0.89</v>
      </c>
      <c r="H1030" s="9" t="n">
        <v>2</v>
      </c>
      <c r="I1030" s="10" t="n">
        <v>1</v>
      </c>
      <c r="J1030" s="12" t="n">
        <v>1</v>
      </c>
      <c r="K1030" t="inlineStr">
        <is>
          <t>Distinguished</t>
        </is>
      </c>
      <c r="L1030" t="inlineStr">
        <is>
          <t>Professional</t>
        </is>
      </c>
      <c r="M1030" t="inlineStr">
        <is>
          <t>Kristin Haase-Alvey</t>
        </is>
      </c>
    </row>
    <row r="1031">
      <c r="A1031" s="9" t="inlineStr">
        <is>
          <t>Katherine Clarke</t>
        </is>
      </c>
      <c r="B1031" s="9" t="inlineStr">
        <is>
          <t>12/28/25 - 1/25/26</t>
        </is>
      </c>
      <c r="C1031" s="12" t="n">
        <v>0.4333</v>
      </c>
      <c r="D1031" s="12" t="n">
        <v>0.8602</v>
      </c>
      <c r="E1031" s="12" t="n">
        <v>1</v>
      </c>
      <c r="F1031" s="12" t="n">
        <v>0.953488372</v>
      </c>
      <c r="G1031" s="12" t="n">
        <v>0.75</v>
      </c>
      <c r="H1031" s="9" t="n">
        <v>1</v>
      </c>
      <c r="I1031" s="10" t="n">
        <v>0.1666666666666667</v>
      </c>
      <c r="J1031" s="12">
        <f>I1031</f>
        <v/>
      </c>
      <c r="K1031" t="inlineStr">
        <is>
          <t>Distinguished</t>
        </is>
      </c>
      <c r="L1031" t="inlineStr">
        <is>
          <t>Professional</t>
        </is>
      </c>
      <c r="M1031" t="inlineStr">
        <is>
          <t>Kristin Haase-Alvey</t>
        </is>
      </c>
    </row>
    <row r="1032">
      <c r="A1032" s="9" t="inlineStr">
        <is>
          <t>Katherine Clarke</t>
        </is>
      </c>
      <c r="B1032" s="9" t="inlineStr">
        <is>
          <t>5/18/25 - 6/14/25</t>
        </is>
      </c>
      <c r="C1032" s="12" t="n">
        <v>0.7</v>
      </c>
      <c r="D1032" s="12" t="n">
        <v>0.93</v>
      </c>
      <c r="E1032" s="12" t="n">
        <v>1</v>
      </c>
      <c r="F1032" s="12" t="n">
        <v>0.93</v>
      </c>
      <c r="G1032" s="12" t="n">
        <v>0.9399999999999999</v>
      </c>
      <c r="H1032" s="9" t="n">
        <v>6</v>
      </c>
      <c r="I1032" s="10" t="n">
        <v>1</v>
      </c>
      <c r="J1032" s="12">
        <f>I1032</f>
        <v/>
      </c>
      <c r="K1032" t="inlineStr">
        <is>
          <t>Distinguished</t>
        </is>
      </c>
      <c r="L1032" t="inlineStr">
        <is>
          <t>Professional</t>
        </is>
      </c>
      <c r="M1032" t="inlineStr">
        <is>
          <t>Kristin Haase-Alvey</t>
        </is>
      </c>
    </row>
    <row r="1033">
      <c r="A1033" s="9" t="inlineStr">
        <is>
          <t>Katherine Clarke</t>
        </is>
      </c>
      <c r="B1033" s="9" t="inlineStr">
        <is>
          <t>6/15/25 - 7/12/25</t>
        </is>
      </c>
      <c r="C1033" s="12" t="n">
        <v>0.48</v>
      </c>
      <c r="D1033" s="12" t="n">
        <v>0.75</v>
      </c>
      <c r="E1033" s="12" t="n">
        <v>1</v>
      </c>
      <c r="F1033" s="12" t="n">
        <v>0.95</v>
      </c>
      <c r="G1033" s="12" t="n">
        <v>1</v>
      </c>
      <c r="H1033" s="9" t="n">
        <v>8</v>
      </c>
      <c r="I1033" s="10" t="n">
        <v>1</v>
      </c>
      <c r="J1033" s="12">
        <f>I1033</f>
        <v/>
      </c>
      <c r="K1033" t="inlineStr">
        <is>
          <t>Distinguished</t>
        </is>
      </c>
      <c r="L1033" t="inlineStr">
        <is>
          <t>Professional</t>
        </is>
      </c>
      <c r="M1033" t="inlineStr">
        <is>
          <t>Kristin Haase-Alvey</t>
        </is>
      </c>
    </row>
    <row r="1034">
      <c r="A1034" s="9" t="inlineStr">
        <is>
          <t>Katherine Clarke</t>
        </is>
      </c>
      <c r="B1034" s="9" t="inlineStr">
        <is>
          <t>7/13/25 - 8/10/25</t>
        </is>
      </c>
      <c r="C1034" s="12" t="n">
        <v>0.71</v>
      </c>
      <c r="D1034" s="12" t="n">
        <v>1.05</v>
      </c>
      <c r="E1034" s="12" t="n">
        <v>1</v>
      </c>
      <c r="F1034" s="12" t="n">
        <v>0.6899999999999999</v>
      </c>
      <c r="G1034" s="12" t="n">
        <v>0.8</v>
      </c>
      <c r="H1034" s="9" t="n">
        <v>8</v>
      </c>
      <c r="I1034" s="10" t="n">
        <v>1</v>
      </c>
      <c r="J1034" s="12">
        <f>I1034</f>
        <v/>
      </c>
      <c r="K1034" t="inlineStr">
        <is>
          <t>Distinguished</t>
        </is>
      </c>
      <c r="L1034" t="inlineStr">
        <is>
          <t>Professional</t>
        </is>
      </c>
      <c r="M1034" t="inlineStr">
        <is>
          <t>Kristin Haase-Alvey</t>
        </is>
      </c>
    </row>
    <row r="1035">
      <c r="A1035" s="9" t="inlineStr">
        <is>
          <t>Katherine Clarke</t>
        </is>
      </c>
      <c r="B1035" s="9" t="inlineStr">
        <is>
          <t>8/10/25 - 9/6/25</t>
        </is>
      </c>
      <c r="C1035" s="12" t="n">
        <v>0.74</v>
      </c>
      <c r="D1035" s="12" t="n">
        <v>1.09</v>
      </c>
      <c r="E1035" s="12" t="n">
        <v>1</v>
      </c>
      <c r="F1035" s="12" t="n">
        <v>0.95</v>
      </c>
      <c r="G1035" s="12" t="n">
        <v>0.85</v>
      </c>
      <c r="H1035" s="9" t="n">
        <v>1</v>
      </c>
      <c r="I1035" s="10" t="inlineStr">
        <is>
          <t>1/1</t>
        </is>
      </c>
      <c r="J1035" s="12" t="n">
        <v>1</v>
      </c>
      <c r="K1035" t="inlineStr">
        <is>
          <t>Distinguished</t>
        </is>
      </c>
      <c r="L1035" t="inlineStr">
        <is>
          <t>Professional</t>
        </is>
      </c>
      <c r="M1035" t="inlineStr">
        <is>
          <t>Kristin Haase-Alvey</t>
        </is>
      </c>
    </row>
    <row r="1036">
      <c r="A1036" s="9" t="inlineStr">
        <is>
          <t>Katherine Clarke</t>
        </is>
      </c>
      <c r="B1036" s="9" t="inlineStr">
        <is>
          <t>9/7/25 - 10/4/25</t>
        </is>
      </c>
      <c r="C1036" s="12" t="n">
        <v>0.8</v>
      </c>
      <c r="D1036" s="12" t="n">
        <v>0.98</v>
      </c>
      <c r="E1036" s="12" t="n">
        <v>1</v>
      </c>
      <c r="F1036" s="12" t="n">
        <v>0.92</v>
      </c>
      <c r="G1036" s="12" t="n">
        <v>0.86</v>
      </c>
      <c r="H1036" s="9" t="n">
        <v>0</v>
      </c>
      <c r="I1036" s="10" t="inlineStr">
        <is>
          <t>1/3</t>
        </is>
      </c>
      <c r="J1036" s="12" t="n">
        <v>0.33</v>
      </c>
      <c r="K1036" t="inlineStr">
        <is>
          <t>Distinguished</t>
        </is>
      </c>
      <c r="L1036" t="inlineStr">
        <is>
          <t>Professional</t>
        </is>
      </c>
      <c r="M1036" t="inlineStr">
        <is>
          <t>Kristin Haase-Alvey</t>
        </is>
      </c>
    </row>
    <row r="1037">
      <c r="A1037" s="9" t="inlineStr">
        <is>
          <t>Katherine Dickerson</t>
        </is>
      </c>
      <c r="B1037" s="9" t="inlineStr">
        <is>
          <t>10/5/25 - 11/1/25</t>
        </is>
      </c>
      <c r="C1037" s="12" t="n">
        <v>0.5179</v>
      </c>
      <c r="D1037" s="12" t="n">
        <v>1.0044</v>
      </c>
      <c r="E1037" s="12" t="n">
        <v>0.984375</v>
      </c>
      <c r="F1037" s="12" t="n">
        <v>0.936170212765957</v>
      </c>
      <c r="G1037" s="12" t="n">
        <v>0.260869565217391</v>
      </c>
      <c r="H1037" s="9" t="n">
        <v>1</v>
      </c>
      <c r="I1037" s="10" t="inlineStr">
        <is>
          <t>0/4</t>
        </is>
      </c>
      <c r="J1037" s="12" t="n">
        <v>0</v>
      </c>
      <c r="K1037" t="inlineStr">
        <is>
          <t>Premium</t>
        </is>
      </c>
      <c r="L1037" t="inlineStr">
        <is>
          <t>Professional</t>
        </is>
      </c>
      <c r="M1037" t="inlineStr">
        <is>
          <t>Geoff St. Marie</t>
        </is>
      </c>
    </row>
    <row r="1038">
      <c r="A1038" s="9" t="inlineStr">
        <is>
          <t>Katherine Dickerson</t>
        </is>
      </c>
      <c r="B1038" s="9" t="inlineStr">
        <is>
          <t>11/2/25 - 11/29/25</t>
        </is>
      </c>
      <c r="C1038" s="12" t="n">
        <v>0.78</v>
      </c>
      <c r="D1038" s="12" t="n">
        <v>1.3</v>
      </c>
      <c r="E1038" s="12" t="n">
        <v>1</v>
      </c>
      <c r="F1038" s="12" t="n">
        <v>0.92</v>
      </c>
      <c r="G1038" s="12" t="n">
        <v>0.32</v>
      </c>
      <c r="H1038" s="9" t="n">
        <v>2</v>
      </c>
      <c r="I1038" s="13" t="n">
        <v>45662</v>
      </c>
      <c r="J1038" s="14" t="n">
        <v>0.2</v>
      </c>
      <c r="K1038" t="inlineStr">
        <is>
          <t>Premium</t>
        </is>
      </c>
      <c r="L1038" t="inlineStr">
        <is>
          <t>Professional</t>
        </is>
      </c>
      <c r="M1038" t="inlineStr">
        <is>
          <t>Geoff St. Marie</t>
        </is>
      </c>
    </row>
    <row r="1039">
      <c r="A1039" s="9" t="inlineStr">
        <is>
          <t>Katherine Dickerson</t>
        </is>
      </c>
      <c r="B1039" s="9" t="inlineStr">
        <is>
          <t>11/30/25 - 12/27/25</t>
        </is>
      </c>
      <c r="C1039" s="12" t="n">
        <v>0.57</v>
      </c>
      <c r="D1039" s="12" t="n">
        <v>1.32</v>
      </c>
      <c r="E1039" s="12" t="n">
        <v>1</v>
      </c>
      <c r="F1039" s="12" t="n">
        <v>0.96</v>
      </c>
      <c r="G1039" s="12" t="n">
        <v>0.5</v>
      </c>
      <c r="H1039" s="9" t="n">
        <v>1</v>
      </c>
      <c r="I1039" s="10" t="inlineStr">
        <is>
          <t>0/2</t>
        </is>
      </c>
      <c r="J1039" s="12" t="n">
        <v>0</v>
      </c>
      <c r="K1039" t="inlineStr">
        <is>
          <t>Premium</t>
        </is>
      </c>
      <c r="L1039" t="inlineStr">
        <is>
          <t>Professional</t>
        </is>
      </c>
      <c r="M1039" t="inlineStr">
        <is>
          <t>Geoff St. Marie</t>
        </is>
      </c>
    </row>
    <row r="1040">
      <c r="A1040" s="9" t="inlineStr">
        <is>
          <t>Katherine Dickerson</t>
        </is>
      </c>
      <c r="B1040" s="9" t="inlineStr">
        <is>
          <t>12/28/25 - 1/25/26</t>
        </is>
      </c>
      <c r="C1040" s="12" t="n">
        <v>0.5571</v>
      </c>
      <c r="D1040" s="12" t="n">
        <v>1.3895</v>
      </c>
      <c r="E1040" s="12" t="n">
        <v>1</v>
      </c>
      <c r="F1040" s="12" t="n">
        <v>0.960784314</v>
      </c>
      <c r="G1040" s="12" t="n">
        <v>0.588235294</v>
      </c>
      <c r="H1040" s="9" t="n">
        <v>2</v>
      </c>
      <c r="I1040" s="10" t="inlineStr">
        <is>
          <t>0/5</t>
        </is>
      </c>
      <c r="J1040" s="12" t="n">
        <v>0</v>
      </c>
      <c r="K1040" t="inlineStr">
        <is>
          <t>Premium</t>
        </is>
      </c>
      <c r="L1040" t="inlineStr">
        <is>
          <t>Professional</t>
        </is>
      </c>
      <c r="M1040" t="inlineStr">
        <is>
          <t>Geoff St. Marie</t>
        </is>
      </c>
    </row>
    <row r="1041">
      <c r="A1041" s="9" t="inlineStr">
        <is>
          <t>Katherine Dickerson</t>
        </is>
      </c>
      <c r="B1041" s="9" t="inlineStr">
        <is>
          <t>5/18/25 - 6/14/25</t>
        </is>
      </c>
      <c r="C1041" s="12" t="n">
        <v>0.75</v>
      </c>
      <c r="D1041" s="12" t="n">
        <v>1.3</v>
      </c>
      <c r="E1041" s="12" t="n">
        <v>1</v>
      </c>
      <c r="F1041" s="12" t="n">
        <v>0.93</v>
      </c>
      <c r="G1041" s="12" t="n">
        <v>0.57</v>
      </c>
      <c r="H1041" s="9" t="n">
        <v>2</v>
      </c>
      <c r="I1041" s="10" t="n">
        <v>0</v>
      </c>
      <c r="J1041" s="12">
        <f>I1041</f>
        <v/>
      </c>
      <c r="K1041" t="inlineStr">
        <is>
          <t>Premium</t>
        </is>
      </c>
      <c r="L1041" t="inlineStr">
        <is>
          <t>Professional</t>
        </is>
      </c>
      <c r="M1041" t="inlineStr">
        <is>
          <t>Geoff St. Marie</t>
        </is>
      </c>
    </row>
    <row r="1042">
      <c r="A1042" s="9" t="inlineStr">
        <is>
          <t>Katherine Dickerson</t>
        </is>
      </c>
      <c r="B1042" s="9" t="inlineStr">
        <is>
          <t>6/15/25 - 7/12/25</t>
        </is>
      </c>
      <c r="C1042" s="12" t="n">
        <v>0.71</v>
      </c>
      <c r="D1042" s="12" t="n">
        <v>1.43</v>
      </c>
      <c r="E1042" s="12" t="n">
        <v>1</v>
      </c>
      <c r="F1042" s="12" t="n">
        <v>0.92</v>
      </c>
      <c r="G1042" s="12" t="n">
        <v>0.42</v>
      </c>
      <c r="H1042" s="9" t="n">
        <v>1</v>
      </c>
      <c r="I1042" s="10" t="inlineStr">
        <is>
          <t xml:space="preserve"> 1/8</t>
        </is>
      </c>
      <c r="J1042" s="12" t="n">
        <v>0.13</v>
      </c>
      <c r="K1042" t="inlineStr">
        <is>
          <t>Premium</t>
        </is>
      </c>
      <c r="L1042" t="inlineStr">
        <is>
          <t>Professional</t>
        </is>
      </c>
      <c r="M1042" t="inlineStr">
        <is>
          <t>Geoff St. Marie</t>
        </is>
      </c>
    </row>
    <row r="1043">
      <c r="A1043" s="9" t="inlineStr">
        <is>
          <t>Katherine Dickerson</t>
        </is>
      </c>
      <c r="B1043" s="9" t="inlineStr">
        <is>
          <t>7/13/25 - 8/10/25</t>
        </is>
      </c>
      <c r="C1043" s="12" t="n">
        <v>0.9399999999999999</v>
      </c>
      <c r="D1043" s="12" t="n">
        <v>1.21</v>
      </c>
      <c r="E1043" s="12" t="n">
        <v>1</v>
      </c>
      <c r="F1043" s="12" t="n">
        <v>0.91</v>
      </c>
      <c r="G1043" s="12" t="n">
        <v>0.33</v>
      </c>
      <c r="H1043" s="9" t="n">
        <v>4</v>
      </c>
      <c r="I1043" s="10" t="n">
        <v>0</v>
      </c>
      <c r="J1043" s="12">
        <f>I1043</f>
        <v/>
      </c>
      <c r="K1043" t="inlineStr">
        <is>
          <t>Premium</t>
        </is>
      </c>
      <c r="L1043" t="inlineStr">
        <is>
          <t>Professional</t>
        </is>
      </c>
      <c r="M1043" t="inlineStr">
        <is>
          <t>Geoff St. Marie</t>
        </is>
      </c>
    </row>
    <row r="1044">
      <c r="A1044" s="9" t="inlineStr">
        <is>
          <t>Katherine Dickerson</t>
        </is>
      </c>
      <c r="B1044" s="9" t="inlineStr">
        <is>
          <t>8/10/25 - 9/6/25</t>
        </is>
      </c>
      <c r="C1044" s="12" t="n">
        <v>0.95</v>
      </c>
      <c r="D1044" s="12" t="n">
        <v>1.12</v>
      </c>
      <c r="E1044" s="12" t="n">
        <v>1</v>
      </c>
      <c r="F1044" s="12" t="n">
        <v>0.88</v>
      </c>
      <c r="G1044" s="12" t="n">
        <v>0.26</v>
      </c>
      <c r="H1044" s="9" t="n">
        <v>8</v>
      </c>
      <c r="I1044" s="10" t="inlineStr">
        <is>
          <t>0/1</t>
        </is>
      </c>
      <c r="J1044" s="12" t="n">
        <v>0</v>
      </c>
      <c r="K1044" t="inlineStr">
        <is>
          <t>Premium</t>
        </is>
      </c>
      <c r="L1044" t="inlineStr">
        <is>
          <t>Professional</t>
        </is>
      </c>
      <c r="M1044" t="inlineStr">
        <is>
          <t>Geoff St. Marie</t>
        </is>
      </c>
    </row>
    <row r="1045">
      <c r="A1045" s="9" t="inlineStr">
        <is>
          <t>Katherine Dickerson</t>
        </is>
      </c>
      <c r="B1045" s="9" t="inlineStr">
        <is>
          <t>9/7/25 - 10/4/25</t>
        </is>
      </c>
      <c r="C1045" s="12" t="n">
        <v>0.8100000000000001</v>
      </c>
      <c r="D1045" s="12" t="n">
        <v>1.32</v>
      </c>
      <c r="E1045" s="12" t="n">
        <v>1</v>
      </c>
      <c r="F1045" s="12" t="n">
        <v>0.89</v>
      </c>
      <c r="G1045" s="12" t="n">
        <v>0.33</v>
      </c>
      <c r="H1045" s="9" t="n">
        <v>0</v>
      </c>
      <c r="I1045" s="10" t="inlineStr">
        <is>
          <t>1/2</t>
        </is>
      </c>
      <c r="J1045" s="12" t="n">
        <v>0.5</v>
      </c>
      <c r="K1045" t="inlineStr">
        <is>
          <t>Premium</t>
        </is>
      </c>
      <c r="L1045" t="inlineStr">
        <is>
          <t>Professional</t>
        </is>
      </c>
      <c r="M1045" t="inlineStr">
        <is>
          <t>Geoff St. Marie</t>
        </is>
      </c>
    </row>
    <row r="1046">
      <c r="A1046" s="9" t="inlineStr">
        <is>
          <t>Katie Lykens</t>
        </is>
      </c>
      <c r="B1046" s="9" t="inlineStr">
        <is>
          <t>10/5/25 - 11/1/25</t>
        </is>
      </c>
      <c r="C1046" s="12" t="n">
        <v>0.3854</v>
      </c>
      <c r="D1046" s="12" t="n">
        <v>1.28129999999999</v>
      </c>
      <c r="E1046" s="12" t="n">
        <v>1</v>
      </c>
      <c r="F1046" s="12" t="n">
        <v>1</v>
      </c>
      <c r="G1046" s="12" t="n">
        <v>0.545454545454545</v>
      </c>
      <c r="H1046" s="9" t="n">
        <v>0</v>
      </c>
      <c r="I1046" s="10" t="inlineStr">
        <is>
          <t>1/1</t>
        </is>
      </c>
      <c r="J1046" s="12" t="n">
        <v>1</v>
      </c>
      <c r="K1046" t="e">
        <v>#N/A</v>
      </c>
      <c r="L1046" t="e">
        <v>#N/A</v>
      </c>
      <c r="M1046" t="e">
        <v>#N/A</v>
      </c>
    </row>
    <row r="1047">
      <c r="A1047" s="9" t="inlineStr">
        <is>
          <t>Katie Lykens</t>
        </is>
      </c>
      <c r="B1047" s="9" t="inlineStr">
        <is>
          <t>11/2/25 - 11/29/25</t>
        </is>
      </c>
      <c r="C1047" s="12" t="n">
        <v>0.25</v>
      </c>
      <c r="D1047" s="12" t="n">
        <v>0.86</v>
      </c>
      <c r="E1047" s="12" t="n">
        <v>1</v>
      </c>
      <c r="F1047" s="12" t="n">
        <v>1</v>
      </c>
      <c r="G1047" s="12" t="n">
        <v>0.5</v>
      </c>
      <c r="H1047" s="9" t="n">
        <v>0</v>
      </c>
      <c r="I1047" s="13" t="n">
        <v>45658</v>
      </c>
      <c r="J1047" s="12" t="n">
        <v>1</v>
      </c>
      <c r="K1047" t="e">
        <v>#N/A</v>
      </c>
      <c r="L1047" t="e">
        <v>#N/A</v>
      </c>
      <c r="M1047" t="e">
        <v>#N/A</v>
      </c>
    </row>
    <row r="1048">
      <c r="A1048" s="9" t="inlineStr">
        <is>
          <t>Katie Lykens</t>
        </is>
      </c>
      <c r="B1048" s="9" t="inlineStr">
        <is>
          <t>11/30/25 - 12/27/25</t>
        </is>
      </c>
      <c r="C1048" s="12" t="n">
        <v>0.1</v>
      </c>
      <c r="D1048" s="12" t="n">
        <v>1.26</v>
      </c>
      <c r="E1048" s="12" t="n">
        <v>1</v>
      </c>
      <c r="F1048" s="12" t="n">
        <v>1</v>
      </c>
      <c r="G1048" s="12" t="n">
        <v>0.5</v>
      </c>
      <c r="H1048" s="9" t="n">
        <v>2</v>
      </c>
      <c r="I1048" s="10" t="n">
        <v>1</v>
      </c>
      <c r="J1048" s="12" t="n">
        <v>1</v>
      </c>
      <c r="K1048" t="e">
        <v>#N/A</v>
      </c>
      <c r="L1048" t="e">
        <v>#N/A</v>
      </c>
      <c r="M1048" t="e">
        <v>#N/A</v>
      </c>
    </row>
    <row r="1049">
      <c r="A1049" s="9" t="inlineStr">
        <is>
          <t>Katie Lykens</t>
        </is>
      </c>
      <c r="B1049" s="9" t="inlineStr">
        <is>
          <t>12/28/25 - 1/25/26</t>
        </is>
      </c>
      <c r="C1049" s="12" t="n">
        <v>0.3542</v>
      </c>
      <c r="D1049" s="12" t="n">
        <v>1.2539</v>
      </c>
      <c r="E1049" s="12" t="n">
        <v>1</v>
      </c>
      <c r="F1049" s="12" t="n">
        <v>1</v>
      </c>
      <c r="G1049" s="12" t="n">
        <v>1</v>
      </c>
      <c r="H1049" s="9" t="n">
        <v>0</v>
      </c>
      <c r="I1049" s="10" t="n">
        <v>1</v>
      </c>
      <c r="J1049" s="12">
        <f>I1049</f>
        <v/>
      </c>
      <c r="K1049" t="e">
        <v>#N/A</v>
      </c>
      <c r="L1049" t="e">
        <v>#N/A</v>
      </c>
      <c r="M1049" t="e">
        <v>#N/A</v>
      </c>
    </row>
    <row r="1050">
      <c r="A1050" s="9" t="inlineStr">
        <is>
          <t>Katie Lykens</t>
        </is>
      </c>
      <c r="B1050" s="9" t="inlineStr">
        <is>
          <t>5/18/25 - 6/14/25</t>
        </is>
      </c>
      <c r="C1050" s="12" t="n">
        <v>0.84</v>
      </c>
      <c r="D1050" s="12" t="n">
        <v>1.38</v>
      </c>
      <c r="E1050" s="12" t="n">
        <v>1</v>
      </c>
      <c r="F1050" s="12" t="n">
        <v>1</v>
      </c>
      <c r="G1050" s="12" t="n">
        <v>0.5</v>
      </c>
      <c r="H1050" s="9" t="n">
        <v>5</v>
      </c>
      <c r="I1050" s="10" t="n">
        <v>0</v>
      </c>
      <c r="J1050" s="12">
        <f>I1050</f>
        <v/>
      </c>
      <c r="K1050" t="e">
        <v>#N/A</v>
      </c>
      <c r="L1050" t="e">
        <v>#N/A</v>
      </c>
      <c r="M1050" t="e">
        <v>#N/A</v>
      </c>
    </row>
    <row r="1051">
      <c r="A1051" s="9" t="inlineStr">
        <is>
          <t>Katie Lykens</t>
        </is>
      </c>
      <c r="B1051" s="9" t="inlineStr">
        <is>
          <t>6/15/25 - 7/12/25</t>
        </is>
      </c>
      <c r="C1051" s="12" t="n">
        <v>0.27</v>
      </c>
      <c r="D1051" s="12" t="n">
        <v>1.09</v>
      </c>
      <c r="E1051" s="12" t="n">
        <v>1</v>
      </c>
      <c r="F1051" s="12" t="n">
        <v>1</v>
      </c>
      <c r="G1051" s="12" t="n">
        <v>0.67</v>
      </c>
      <c r="H1051" s="9" t="n">
        <v>3</v>
      </c>
      <c r="I1051" s="10" t="n">
        <v>1</v>
      </c>
      <c r="J1051" s="12">
        <f>I1051</f>
        <v/>
      </c>
      <c r="K1051" t="e">
        <v>#N/A</v>
      </c>
      <c r="L1051" t="e">
        <v>#N/A</v>
      </c>
      <c r="M1051" t="e">
        <v>#N/A</v>
      </c>
    </row>
    <row r="1052">
      <c r="A1052" s="9" t="inlineStr">
        <is>
          <t>Katie Lykens</t>
        </is>
      </c>
      <c r="B1052" s="9" t="inlineStr">
        <is>
          <t>7/13/25 - 8/10/25</t>
        </is>
      </c>
      <c r="C1052" s="12" t="n">
        <v>0.5600000000000001</v>
      </c>
      <c r="D1052" s="12" t="n">
        <v>1.09</v>
      </c>
      <c r="E1052" s="12" t="n">
        <v>1</v>
      </c>
      <c r="F1052" s="12" t="n">
        <v>1</v>
      </c>
      <c r="G1052" s="12" t="n">
        <v>0.33</v>
      </c>
      <c r="H1052" s="9" t="n">
        <v>6</v>
      </c>
      <c r="I1052" s="10" t="n">
        <v>1</v>
      </c>
      <c r="J1052" s="12">
        <f>I1052</f>
        <v/>
      </c>
      <c r="K1052" t="e">
        <v>#N/A</v>
      </c>
      <c r="L1052" t="e">
        <v>#N/A</v>
      </c>
      <c r="M1052" t="e">
        <v>#N/A</v>
      </c>
    </row>
    <row r="1053">
      <c r="A1053" s="9" t="inlineStr">
        <is>
          <t>Katie Lykens</t>
        </is>
      </c>
      <c r="B1053" s="9" t="inlineStr">
        <is>
          <t>8/10/25 - 9/6/25</t>
        </is>
      </c>
      <c r="C1053" s="12" t="n">
        <v>1.02</v>
      </c>
      <c r="D1053" s="12" t="n">
        <v>1.34</v>
      </c>
      <c r="E1053" s="12" t="n">
        <v>0.98</v>
      </c>
      <c r="F1053" s="12" t="n">
        <v>1</v>
      </c>
      <c r="G1053" s="12" t="n">
        <v>0.22</v>
      </c>
      <c r="H1053" s="9" t="n">
        <v>9</v>
      </c>
      <c r="I1053" s="10" t="inlineStr">
        <is>
          <t>2/2</t>
        </is>
      </c>
      <c r="J1053" s="12" t="n">
        <v>1</v>
      </c>
      <c r="K1053" t="e">
        <v>#N/A</v>
      </c>
      <c r="L1053" t="e">
        <v>#N/A</v>
      </c>
      <c r="M1053" t="e">
        <v>#N/A</v>
      </c>
    </row>
    <row r="1054">
      <c r="A1054" s="9" t="inlineStr">
        <is>
          <t>Katie Lykens</t>
        </is>
      </c>
      <c r="B1054" s="9" t="inlineStr">
        <is>
          <t>9/7/25 - 10/4/25</t>
        </is>
      </c>
      <c r="C1054" s="12" t="n">
        <v>1.08</v>
      </c>
      <c r="D1054" s="12" t="n">
        <v>1.33</v>
      </c>
      <c r="E1054" s="12" t="n">
        <v>1</v>
      </c>
      <c r="F1054" s="12" t="n">
        <v>1</v>
      </c>
      <c r="G1054" s="12" t="n">
        <v>0.55</v>
      </c>
      <c r="H1054" s="9" t="n">
        <v>4</v>
      </c>
      <c r="I1054" s="11" t="n"/>
      <c r="J1054" s="9" t="n"/>
      <c r="K1054" t="e">
        <v>#N/A</v>
      </c>
      <c r="L1054" t="e">
        <v>#N/A</v>
      </c>
      <c r="M1054" t="e">
        <v>#N/A</v>
      </c>
    </row>
    <row r="1055">
      <c r="A1055" s="9" t="inlineStr">
        <is>
          <t>Kiersten Guetlein</t>
        </is>
      </c>
      <c r="B1055" s="9" t="inlineStr">
        <is>
          <t>10/5/25 - 11/1/25</t>
        </is>
      </c>
      <c r="C1055" s="12" t="n">
        <v>0.8792</v>
      </c>
      <c r="D1055" s="12" t="n">
        <v>1.1776</v>
      </c>
      <c r="E1055" s="12" t="n">
        <v>1</v>
      </c>
      <c r="F1055" s="12" t="n">
        <v>0.971830985915492</v>
      </c>
      <c r="G1055" s="12" t="n">
        <v>0.74074074074074</v>
      </c>
      <c r="H1055" s="9" t="n">
        <v>4</v>
      </c>
      <c r="I1055" s="10" t="inlineStr">
        <is>
          <t>2/2</t>
        </is>
      </c>
      <c r="J1055" s="12" t="n">
        <v>1</v>
      </c>
      <c r="K1055" t="inlineStr">
        <is>
          <t>Premium</t>
        </is>
      </c>
      <c r="L1055" t="inlineStr">
        <is>
          <t>Professional</t>
        </is>
      </c>
      <c r="M1055" t="inlineStr">
        <is>
          <t>Ela Cross</t>
        </is>
      </c>
    </row>
    <row r="1056">
      <c r="A1056" s="9" t="inlineStr">
        <is>
          <t>Kiersten Guetlein</t>
        </is>
      </c>
      <c r="B1056" s="9" t="inlineStr">
        <is>
          <t>11/2/25 - 11/29/25</t>
        </is>
      </c>
      <c r="C1056" s="12" t="n">
        <v>0.76</v>
      </c>
      <c r="D1056" s="12" t="n">
        <v>1.18</v>
      </c>
      <c r="E1056" s="12" t="n">
        <v>0.99</v>
      </c>
      <c r="F1056" s="12" t="n">
        <v>0.98</v>
      </c>
      <c r="G1056" s="12" t="n">
        <v>0.9399999999999999</v>
      </c>
      <c r="H1056" s="9" t="n">
        <v>6</v>
      </c>
      <c r="I1056" s="13" t="n">
        <v>45658</v>
      </c>
      <c r="J1056" s="12" t="n">
        <v>1</v>
      </c>
      <c r="K1056" t="inlineStr">
        <is>
          <t>Premium</t>
        </is>
      </c>
      <c r="L1056" t="inlineStr">
        <is>
          <t>Professional</t>
        </is>
      </c>
      <c r="M1056" t="inlineStr">
        <is>
          <t>Ela Cross</t>
        </is>
      </c>
    </row>
    <row r="1057">
      <c r="A1057" s="9" t="inlineStr">
        <is>
          <t>Kiersten Guetlein</t>
        </is>
      </c>
      <c r="B1057" s="9" t="inlineStr">
        <is>
          <t>11/30/25 - 12/27/25</t>
        </is>
      </c>
      <c r="C1057" s="12" t="n">
        <v>0.5</v>
      </c>
      <c r="D1057" s="12" t="n">
        <v>1.16</v>
      </c>
      <c r="E1057" s="12" t="n">
        <v>0.96</v>
      </c>
      <c r="F1057" s="12" t="n">
        <v>1</v>
      </c>
      <c r="G1057" s="12" t="n">
        <v>0.9399999999999999</v>
      </c>
      <c r="H1057" s="9" t="n">
        <v>5</v>
      </c>
      <c r="I1057" s="10" t="n">
        <v>1</v>
      </c>
      <c r="J1057" s="12" t="n">
        <v>1</v>
      </c>
      <c r="K1057" t="inlineStr">
        <is>
          <t>Premium</t>
        </is>
      </c>
      <c r="L1057" t="inlineStr">
        <is>
          <t>Professional</t>
        </is>
      </c>
      <c r="M1057" t="inlineStr">
        <is>
          <t>Ela Cross</t>
        </is>
      </c>
    </row>
    <row r="1058">
      <c r="A1058" s="9" t="inlineStr">
        <is>
          <t>Kiersten Guetlein</t>
        </is>
      </c>
      <c r="B1058" s="9" t="inlineStr">
        <is>
          <t>12/28/25 - 1/25/26</t>
        </is>
      </c>
      <c r="C1058" s="12" t="n">
        <v>0.425</v>
      </c>
      <c r="D1058" s="12" t="n">
        <v>1.1228</v>
      </c>
      <c r="E1058" s="12" t="n">
        <v>1</v>
      </c>
      <c r="F1058" s="12" t="n">
        <v>1</v>
      </c>
      <c r="G1058" s="12" t="n">
        <v>0.75</v>
      </c>
      <c r="H1058" s="9" t="n">
        <v>2</v>
      </c>
      <c r="I1058" s="10" t="inlineStr">
        <is>
          <t>0/0</t>
        </is>
      </c>
      <c r="J1058" s="12" t="n">
        <v>0</v>
      </c>
      <c r="K1058" t="inlineStr">
        <is>
          <t>Premium</t>
        </is>
      </c>
      <c r="L1058" t="inlineStr">
        <is>
          <t>Professional</t>
        </is>
      </c>
      <c r="M1058" t="inlineStr">
        <is>
          <t>Ela Cross</t>
        </is>
      </c>
    </row>
    <row r="1059">
      <c r="A1059" s="9" t="inlineStr">
        <is>
          <t>Kiersten Guetlein</t>
        </is>
      </c>
      <c r="B1059" s="9" t="inlineStr">
        <is>
          <t>5/18/25 - 6/14/25</t>
        </is>
      </c>
      <c r="C1059" s="12" t="n">
        <v>1.03</v>
      </c>
      <c r="D1059" s="12" t="n">
        <v>2.08</v>
      </c>
      <c r="E1059" s="12" t="n">
        <v>0.96</v>
      </c>
      <c r="F1059" s="12" t="n">
        <v>1</v>
      </c>
      <c r="G1059" s="12" t="n">
        <v>0.75</v>
      </c>
      <c r="H1059" s="9" t="n">
        <v>1</v>
      </c>
      <c r="I1059" s="10" t="n">
        <v>1</v>
      </c>
      <c r="J1059" s="12">
        <f>I1059</f>
        <v/>
      </c>
      <c r="K1059" t="inlineStr">
        <is>
          <t>Premium</t>
        </is>
      </c>
      <c r="L1059" t="inlineStr">
        <is>
          <t>Professional</t>
        </is>
      </c>
      <c r="M1059" t="inlineStr">
        <is>
          <t>Ela Cross</t>
        </is>
      </c>
    </row>
    <row r="1060">
      <c r="A1060" s="9" t="inlineStr">
        <is>
          <t>Kiersten Guetlein</t>
        </is>
      </c>
      <c r="B1060" s="9" t="inlineStr">
        <is>
          <t>6/15/25 - 7/12/25</t>
        </is>
      </c>
      <c r="C1060" s="12" t="n">
        <v>0.61</v>
      </c>
      <c r="D1060" s="12" t="n">
        <v>1.24</v>
      </c>
      <c r="E1060" s="12" t="n">
        <v>1</v>
      </c>
      <c r="F1060" s="12" t="n">
        <v>1</v>
      </c>
      <c r="G1060" s="12" t="n">
        <v>0.59</v>
      </c>
      <c r="H1060" s="9" t="n">
        <v>2</v>
      </c>
      <c r="I1060" s="10" t="n">
        <v>1</v>
      </c>
      <c r="J1060" s="12">
        <f>I1060</f>
        <v/>
      </c>
      <c r="K1060" t="inlineStr">
        <is>
          <t>Premium</t>
        </is>
      </c>
      <c r="L1060" t="inlineStr">
        <is>
          <t>Professional</t>
        </is>
      </c>
      <c r="M1060" t="inlineStr">
        <is>
          <t>Ela Cross</t>
        </is>
      </c>
    </row>
    <row r="1061">
      <c r="A1061" s="9" t="inlineStr">
        <is>
          <t>Kiersten Guetlein</t>
        </is>
      </c>
      <c r="B1061" s="9" t="inlineStr">
        <is>
          <t>7/13/25 - 8/10/25</t>
        </is>
      </c>
      <c r="C1061" s="12" t="n">
        <v>1.05</v>
      </c>
      <c r="D1061" s="12" t="n">
        <v>1.31</v>
      </c>
      <c r="E1061" s="12" t="n">
        <v>1</v>
      </c>
      <c r="F1061" s="12" t="n">
        <v>1</v>
      </c>
      <c r="G1061" s="12" t="n">
        <v>0.44</v>
      </c>
      <c r="H1061" s="9" t="n">
        <v>6</v>
      </c>
      <c r="I1061" s="10" t="n">
        <v>1</v>
      </c>
      <c r="J1061" s="12">
        <f>I1061</f>
        <v/>
      </c>
      <c r="K1061" t="inlineStr">
        <is>
          <t>Premium</t>
        </is>
      </c>
      <c r="L1061" t="inlineStr">
        <is>
          <t>Professional</t>
        </is>
      </c>
      <c r="M1061" t="inlineStr">
        <is>
          <t>Ela Cross</t>
        </is>
      </c>
    </row>
    <row r="1062">
      <c r="A1062" s="9" t="inlineStr">
        <is>
          <t>Kiersten Guetlein</t>
        </is>
      </c>
      <c r="B1062" s="9" t="inlineStr">
        <is>
          <t>8/10/25 - 9/6/25</t>
        </is>
      </c>
      <c r="C1062" s="12" t="n">
        <v>1.07</v>
      </c>
      <c r="D1062" s="12" t="n">
        <v>1.16</v>
      </c>
      <c r="E1062" s="12" t="n">
        <v>0.99</v>
      </c>
      <c r="F1062" s="12" t="n">
        <v>1</v>
      </c>
      <c r="G1062" s="12" t="n">
        <v>0.76</v>
      </c>
      <c r="H1062" s="9" t="n">
        <v>4</v>
      </c>
      <c r="I1062" s="10" t="inlineStr">
        <is>
          <t>0/1</t>
        </is>
      </c>
      <c r="J1062" s="12" t="n">
        <v>0</v>
      </c>
      <c r="K1062" t="inlineStr">
        <is>
          <t>Premium</t>
        </is>
      </c>
      <c r="L1062" t="inlineStr">
        <is>
          <t>Professional</t>
        </is>
      </c>
      <c r="M1062" t="inlineStr">
        <is>
          <t>Ela Cross</t>
        </is>
      </c>
    </row>
    <row r="1063">
      <c r="A1063" s="9" t="inlineStr">
        <is>
          <t>Kiersten Guetlein</t>
        </is>
      </c>
      <c r="B1063" s="9" t="inlineStr">
        <is>
          <t>9/7/25 - 10/4/25</t>
        </is>
      </c>
      <c r="C1063" s="12" t="n">
        <v>1</v>
      </c>
      <c r="D1063" s="12" t="n">
        <v>1.18</v>
      </c>
      <c r="E1063" s="12" t="n">
        <v>0.99</v>
      </c>
      <c r="F1063" s="12" t="n">
        <v>0.99</v>
      </c>
      <c r="G1063" s="12" t="n">
        <v>0.67</v>
      </c>
      <c r="H1063" s="9" t="n">
        <v>3</v>
      </c>
      <c r="I1063" s="10" t="inlineStr">
        <is>
          <t>1/1</t>
        </is>
      </c>
      <c r="J1063" s="12" t="n">
        <v>1</v>
      </c>
      <c r="K1063" t="inlineStr">
        <is>
          <t>Premium</t>
        </is>
      </c>
      <c r="L1063" t="inlineStr">
        <is>
          <t>Professional</t>
        </is>
      </c>
      <c r="M1063" t="inlineStr">
        <is>
          <t>Ela Cross</t>
        </is>
      </c>
    </row>
    <row r="1064">
      <c r="A1064" s="9" t="inlineStr">
        <is>
          <t>Kira Lioto</t>
        </is>
      </c>
      <c r="B1064" s="9" t="inlineStr">
        <is>
          <t>12/28/25 - 1/25/26</t>
        </is>
      </c>
      <c r="C1064" s="12" t="n">
        <v>0.3194</v>
      </c>
      <c r="D1064" s="12" t="n">
        <v>0.8542</v>
      </c>
      <c r="E1064" s="12" t="n">
        <v>1</v>
      </c>
      <c r="F1064" s="12" t="n">
        <v>1</v>
      </c>
      <c r="G1064" s="12" t="n">
        <v>0</v>
      </c>
      <c r="H1064" s="9" t="n">
        <v>0</v>
      </c>
      <c r="I1064" s="10" t="n">
        <v>0.8</v>
      </c>
      <c r="J1064" s="12">
        <f>I1064</f>
        <v/>
      </c>
      <c r="K1064" t="e">
        <v>#N/A</v>
      </c>
      <c r="L1064" t="e">
        <v>#N/A</v>
      </c>
      <c r="M1064" t="e">
        <v>#N/A</v>
      </c>
    </row>
    <row r="1065">
      <c r="A1065" s="9" t="inlineStr">
        <is>
          <t>Kris Gamble</t>
        </is>
      </c>
      <c r="B1065" s="9" t="inlineStr">
        <is>
          <t>5/18/25 - 6/14/25</t>
        </is>
      </c>
      <c r="C1065" s="12" t="n">
        <v>0.4</v>
      </c>
      <c r="D1065" s="12" t="n">
        <v>0.49</v>
      </c>
      <c r="E1065" s="12" t="n">
        <v>1</v>
      </c>
      <c r="F1065" s="12" t="n">
        <v>1</v>
      </c>
      <c r="G1065" s="12" t="n">
        <v>0.63</v>
      </c>
      <c r="H1065" s="9" t="e">
        <v>#N/A</v>
      </c>
      <c r="I1065" s="10" t="n">
        <v>1</v>
      </c>
      <c r="J1065" s="12">
        <f>I1065</f>
        <v/>
      </c>
      <c r="K1065" t="e">
        <v>#N/A</v>
      </c>
      <c r="L1065" t="e">
        <v>#N/A</v>
      </c>
      <c r="M1065" t="e">
        <v>#N/A</v>
      </c>
    </row>
    <row r="1066">
      <c r="A1066" s="9" t="inlineStr">
        <is>
          <t>Krishna Rastogi</t>
        </is>
      </c>
      <c r="B1066" s="9" t="inlineStr">
        <is>
          <t>12/28/25 - 1/25/26</t>
        </is>
      </c>
      <c r="C1066" s="12" t="n">
        <v>0</v>
      </c>
      <c r="D1066" s="12" t="n">
        <v>0.5859</v>
      </c>
      <c r="E1066" s="12" t="n">
        <v>0</v>
      </c>
      <c r="F1066" s="12" t="n">
        <v>0</v>
      </c>
      <c r="G1066" s="12" t="n">
        <v>0</v>
      </c>
      <c r="H1066" s="9" t="n">
        <v>0</v>
      </c>
      <c r="I1066" s="10" t="inlineStr">
        <is>
          <t>0/0</t>
        </is>
      </c>
      <c r="J1066" s="12" t="n">
        <v>0</v>
      </c>
      <c r="K1066" t="e">
        <v>#N/A</v>
      </c>
      <c r="L1066" t="e">
        <v>#N/A</v>
      </c>
      <c r="M1066" t="e">
        <v>#N/A</v>
      </c>
    </row>
    <row r="1067">
      <c r="A1067" s="9" t="inlineStr">
        <is>
          <t>Kristen Fox</t>
        </is>
      </c>
      <c r="B1067" s="9" t="inlineStr">
        <is>
          <t>10/5/25 - 11/1/25</t>
        </is>
      </c>
      <c r="C1067" s="12" t="n">
        <v>0.6292</v>
      </c>
      <c r="D1067" s="12" t="n">
        <v>0.674299999999999</v>
      </c>
      <c r="E1067" s="12" t="n">
        <v>0.923076923076923</v>
      </c>
      <c r="F1067" s="12" t="n">
        <v>0.904761904761904</v>
      </c>
      <c r="G1067" s="12" t="n">
        <v>0.9090909090909089</v>
      </c>
      <c r="H1067" s="9" t="n">
        <v>8</v>
      </c>
      <c r="I1067" s="10" t="inlineStr">
        <is>
          <t>4/8</t>
        </is>
      </c>
      <c r="J1067" s="12" t="n">
        <v>0.5</v>
      </c>
      <c r="K1067" t="inlineStr">
        <is>
          <t>Distinguished</t>
        </is>
      </c>
      <c r="L1067" t="inlineStr">
        <is>
          <t>Professional</t>
        </is>
      </c>
      <c r="M1067" t="inlineStr">
        <is>
          <t>Kristin Haase-Alvey</t>
        </is>
      </c>
    </row>
    <row r="1068">
      <c r="A1068" s="9" t="inlineStr">
        <is>
          <t>Kristen Fox</t>
        </is>
      </c>
      <c r="B1068" s="9" t="inlineStr">
        <is>
          <t>11/2/25 - 11/29/25</t>
        </is>
      </c>
      <c r="C1068" s="12" t="n">
        <v>0.87</v>
      </c>
      <c r="D1068" s="12" t="n">
        <v>0.97</v>
      </c>
      <c r="E1068" s="12" t="n">
        <v>0.85</v>
      </c>
      <c r="F1068" s="12" t="n">
        <v>0.93</v>
      </c>
      <c r="G1068" s="12" t="n">
        <v>0.9</v>
      </c>
      <c r="H1068" s="9" t="n">
        <v>16</v>
      </c>
      <c r="I1068" s="13" t="n">
        <v>45659</v>
      </c>
      <c r="J1068" s="12" t="n">
        <v>0.5</v>
      </c>
      <c r="K1068" t="inlineStr">
        <is>
          <t>Distinguished</t>
        </is>
      </c>
      <c r="L1068" t="inlineStr">
        <is>
          <t>Professional</t>
        </is>
      </c>
      <c r="M1068" t="inlineStr">
        <is>
          <t>Kristin Haase-Alvey</t>
        </is>
      </c>
    </row>
    <row r="1069">
      <c r="A1069" s="9" t="inlineStr">
        <is>
          <t>Kristen Fox</t>
        </is>
      </c>
      <c r="B1069" s="9" t="inlineStr">
        <is>
          <t>11/30/25 - 12/27/25</t>
        </is>
      </c>
      <c r="C1069" s="12" t="n">
        <v>0.8</v>
      </c>
      <c r="D1069" s="12" t="n">
        <v>0.98</v>
      </c>
      <c r="E1069" s="12" t="n">
        <v>0.9</v>
      </c>
      <c r="F1069" s="12" t="n">
        <v>0.93</v>
      </c>
      <c r="G1069" s="12" t="n">
        <v>0.93</v>
      </c>
      <c r="H1069" s="9" t="n">
        <v>10</v>
      </c>
      <c r="I1069" s="10" t="n">
        <v>0.6666666666666666</v>
      </c>
      <c r="J1069" s="12" t="n">
        <v>0.66</v>
      </c>
      <c r="K1069" t="inlineStr">
        <is>
          <t>Distinguished</t>
        </is>
      </c>
      <c r="L1069" t="inlineStr">
        <is>
          <t>Professional</t>
        </is>
      </c>
      <c r="M1069" t="inlineStr">
        <is>
          <t>Kristin Haase-Alvey</t>
        </is>
      </c>
    </row>
    <row r="1070">
      <c r="A1070" s="9" t="inlineStr">
        <is>
          <t>Kristen Fox</t>
        </is>
      </c>
      <c r="B1070" s="9" t="inlineStr">
        <is>
          <t>12/28/25 - 1/25/26</t>
        </is>
      </c>
      <c r="C1070" s="12" t="n">
        <v>0.8208</v>
      </c>
      <c r="D1070" s="12" t="n">
        <v>0.8914</v>
      </c>
      <c r="E1070" s="12" t="n">
        <v>0.9</v>
      </c>
      <c r="F1070" s="12" t="n">
        <v>0.892473118</v>
      </c>
      <c r="G1070" s="12" t="n">
        <v>0.875</v>
      </c>
      <c r="H1070" s="9" t="n">
        <v>22</v>
      </c>
      <c r="I1070" s="10" t="n">
        <v>0.8</v>
      </c>
      <c r="J1070" s="12">
        <f>I1070</f>
        <v/>
      </c>
      <c r="K1070" t="inlineStr">
        <is>
          <t>Distinguished</t>
        </is>
      </c>
      <c r="L1070" t="inlineStr">
        <is>
          <t>Professional</t>
        </is>
      </c>
      <c r="M1070" t="inlineStr">
        <is>
          <t>Kristin Haase-Alvey</t>
        </is>
      </c>
    </row>
    <row r="1071">
      <c r="A1071" s="9" t="inlineStr">
        <is>
          <t>Kristen Fox</t>
        </is>
      </c>
      <c r="B1071" s="9" t="inlineStr">
        <is>
          <t>5/18/25 - 6/14/25</t>
        </is>
      </c>
      <c r="C1071" s="12" t="n">
        <v>0.8</v>
      </c>
      <c r="D1071" s="12" t="n">
        <v>1</v>
      </c>
      <c r="E1071" s="12" t="n">
        <v>0.92</v>
      </c>
      <c r="F1071" s="12" t="n">
        <v>0.97</v>
      </c>
      <c r="G1071" s="12" t="n">
        <v>0.7</v>
      </c>
      <c r="H1071" s="9" t="n">
        <v>6</v>
      </c>
      <c r="I1071" s="10" t="inlineStr">
        <is>
          <t xml:space="preserve"> 1/3</t>
        </is>
      </c>
      <c r="J1071" s="12">
        <f>1/3</f>
        <v/>
      </c>
      <c r="K1071" t="inlineStr">
        <is>
          <t>Distinguished</t>
        </is>
      </c>
      <c r="L1071" t="inlineStr">
        <is>
          <t>Professional</t>
        </is>
      </c>
      <c r="M1071" t="inlineStr">
        <is>
          <t>Kristin Haase-Alvey</t>
        </is>
      </c>
    </row>
    <row r="1072">
      <c r="A1072" s="9" t="inlineStr">
        <is>
          <t>Kristen Fox</t>
        </is>
      </c>
      <c r="B1072" s="9" t="inlineStr">
        <is>
          <t>6/15/25 - 7/12/25</t>
        </is>
      </c>
      <c r="C1072" s="12" t="n">
        <v>0.66</v>
      </c>
      <c r="D1072" s="12" t="n">
        <v>0.75</v>
      </c>
      <c r="E1072" s="12" t="n">
        <v>0.92</v>
      </c>
      <c r="F1072" s="12" t="n">
        <v>0.9399999999999999</v>
      </c>
      <c r="G1072" s="12" t="n">
        <v>0.67</v>
      </c>
      <c r="H1072" s="9" t="n">
        <v>13</v>
      </c>
      <c r="I1072" s="10" t="inlineStr">
        <is>
          <t xml:space="preserve"> 1/2</t>
        </is>
      </c>
      <c r="J1072" s="12" t="n">
        <v>0.5</v>
      </c>
      <c r="K1072" t="inlineStr">
        <is>
          <t>Distinguished</t>
        </is>
      </c>
      <c r="L1072" t="inlineStr">
        <is>
          <t>Professional</t>
        </is>
      </c>
      <c r="M1072" t="inlineStr">
        <is>
          <t>Kristin Haase-Alvey</t>
        </is>
      </c>
    </row>
    <row r="1073">
      <c r="A1073" s="9" t="inlineStr">
        <is>
          <t>Kristen Fox</t>
        </is>
      </c>
      <c r="B1073" s="9" t="inlineStr">
        <is>
          <t>7/13/25 - 8/10/25</t>
        </is>
      </c>
      <c r="C1073" s="12" t="n">
        <v>0.96</v>
      </c>
      <c r="D1073" s="12" t="n">
        <v>1.06</v>
      </c>
      <c r="E1073" s="12" t="n">
        <v>0.87</v>
      </c>
      <c r="F1073" s="12" t="n">
        <v>0.95</v>
      </c>
      <c r="G1073" s="12" t="n">
        <v>0.96</v>
      </c>
      <c r="H1073" s="9" t="n">
        <v>10</v>
      </c>
      <c r="I1073" s="10" t="n">
        <v>1</v>
      </c>
      <c r="J1073" s="12">
        <f>I1073</f>
        <v/>
      </c>
      <c r="K1073" t="inlineStr">
        <is>
          <t>Distinguished</t>
        </is>
      </c>
      <c r="L1073" t="inlineStr">
        <is>
          <t>Professional</t>
        </is>
      </c>
      <c r="M1073" t="inlineStr">
        <is>
          <t>Kristin Haase-Alvey</t>
        </is>
      </c>
    </row>
    <row r="1074">
      <c r="A1074" s="9" t="inlineStr">
        <is>
          <t>Kristen Fox</t>
        </is>
      </c>
      <c r="B1074" s="9" t="inlineStr">
        <is>
          <t>8/10/25 - 9/6/25</t>
        </is>
      </c>
      <c r="C1074" s="12" t="n">
        <v>0.82</v>
      </c>
      <c r="D1074" s="12" t="n">
        <v>0.92</v>
      </c>
      <c r="E1074" s="12" t="n">
        <v>0.9</v>
      </c>
      <c r="F1074" s="12" t="n">
        <v>0.97</v>
      </c>
      <c r="G1074" s="12" t="n">
        <v>0.89</v>
      </c>
      <c r="H1074" s="9" t="n">
        <v>7</v>
      </c>
      <c r="I1074" s="10" t="inlineStr">
        <is>
          <t>1/1</t>
        </is>
      </c>
      <c r="J1074" s="12" t="n">
        <v>1</v>
      </c>
      <c r="K1074" t="inlineStr">
        <is>
          <t>Distinguished</t>
        </is>
      </c>
      <c r="L1074" t="inlineStr">
        <is>
          <t>Professional</t>
        </is>
      </c>
      <c r="M1074" t="inlineStr">
        <is>
          <t>Kristin Haase-Alvey</t>
        </is>
      </c>
    </row>
    <row r="1075">
      <c r="A1075" s="9" t="inlineStr">
        <is>
          <t>Kristen Fox</t>
        </is>
      </c>
      <c r="B1075" s="9" t="inlineStr">
        <is>
          <t>9/7/25 - 10/4/25</t>
        </is>
      </c>
      <c r="C1075" s="12" t="n">
        <v>0.8</v>
      </c>
      <c r="D1075" s="12" t="n">
        <v>0.84</v>
      </c>
      <c r="E1075" s="12" t="n">
        <v>0.92</v>
      </c>
      <c r="F1075" s="12" t="n">
        <v>1</v>
      </c>
      <c r="G1075" s="12" t="n">
        <v>0.9399999999999999</v>
      </c>
      <c r="H1075" s="9" t="n">
        <v>12</v>
      </c>
      <c r="I1075" s="10" t="inlineStr">
        <is>
          <t>6/8</t>
        </is>
      </c>
      <c r="J1075" s="12" t="n">
        <v>0.75</v>
      </c>
      <c r="K1075" t="inlineStr">
        <is>
          <t>Distinguished</t>
        </is>
      </c>
      <c r="L1075" t="inlineStr">
        <is>
          <t>Professional</t>
        </is>
      </c>
      <c r="M1075" t="inlineStr">
        <is>
          <t>Kristin Haase-Alvey</t>
        </is>
      </c>
    </row>
    <row r="1076">
      <c r="A1076" s="9" t="inlineStr">
        <is>
          <t>Kristen Luigart</t>
        </is>
      </c>
      <c r="B1076" s="9" t="inlineStr">
        <is>
          <t>10/5/25 - 11/1/25</t>
        </is>
      </c>
      <c r="C1076" s="12" t="n">
        <v>0.4</v>
      </c>
      <c r="D1076" s="12" t="n">
        <v>1.21709999999999</v>
      </c>
      <c r="E1076" s="12" t="n">
        <v>0.977777777777777</v>
      </c>
      <c r="F1076" s="12" t="n">
        <v>1</v>
      </c>
      <c r="G1076" s="12" t="n">
        <v>0.875</v>
      </c>
      <c r="H1076" s="9" t="n">
        <v>1</v>
      </c>
      <c r="I1076" s="10" t="inlineStr">
        <is>
          <t>0/1</t>
        </is>
      </c>
      <c r="J1076" s="12" t="n">
        <v>0</v>
      </c>
      <c r="K1076" t="inlineStr">
        <is>
          <t>Distinguished</t>
        </is>
      </c>
      <c r="L1076" t="inlineStr">
        <is>
          <t>Professional</t>
        </is>
      </c>
      <c r="M1076" t="inlineStr">
        <is>
          <t>Ian Plamondon</t>
        </is>
      </c>
    </row>
    <row r="1077">
      <c r="A1077" s="9" t="inlineStr">
        <is>
          <t>Kristen Luigart</t>
        </is>
      </c>
      <c r="B1077" s="9" t="inlineStr">
        <is>
          <t>11/2/25 - 11/29/25</t>
        </is>
      </c>
      <c r="C1077" s="12" t="n">
        <v>0.45</v>
      </c>
      <c r="D1077" s="12" t="n">
        <v>1.02</v>
      </c>
      <c r="E1077" s="12" t="n">
        <v>1</v>
      </c>
      <c r="F1077" s="12" t="n">
        <v>0.84</v>
      </c>
      <c r="G1077" s="12" t="n">
        <v>0.5</v>
      </c>
      <c r="H1077" s="9" t="n">
        <v>1</v>
      </c>
      <c r="I1077" s="13" t="n">
        <v>45659</v>
      </c>
      <c r="J1077" s="12" t="n">
        <v>0.5</v>
      </c>
      <c r="K1077" t="inlineStr">
        <is>
          <t>Distinguished</t>
        </is>
      </c>
      <c r="L1077" t="inlineStr">
        <is>
          <t>Professional</t>
        </is>
      </c>
      <c r="M1077" t="inlineStr">
        <is>
          <t>Ian Plamondon</t>
        </is>
      </c>
    </row>
    <row r="1078">
      <c r="A1078" s="9" t="inlineStr">
        <is>
          <t>Kristen Luigart</t>
        </is>
      </c>
      <c r="B1078" s="9" t="inlineStr">
        <is>
          <t>11/30/25 - 12/27/25</t>
        </is>
      </c>
      <c r="C1078" s="12" t="n">
        <v>0.37</v>
      </c>
      <c r="D1078" s="12" t="n">
        <v>0.95</v>
      </c>
      <c r="E1078" s="12" t="n">
        <v>0.92</v>
      </c>
      <c r="F1078" s="12" t="n">
        <v>1</v>
      </c>
      <c r="G1078" s="12" t="n">
        <v>1</v>
      </c>
      <c r="H1078" s="9" t="n">
        <v>6</v>
      </c>
      <c r="I1078" s="10" t="n">
        <v>1</v>
      </c>
      <c r="J1078" s="12" t="n">
        <v>1</v>
      </c>
      <c r="K1078" t="inlineStr">
        <is>
          <t>Distinguished</t>
        </is>
      </c>
      <c r="L1078" t="inlineStr">
        <is>
          <t>Professional</t>
        </is>
      </c>
      <c r="M1078" t="inlineStr">
        <is>
          <t>Ian Plamondon</t>
        </is>
      </c>
    </row>
    <row r="1079">
      <c r="A1079" s="9" t="inlineStr">
        <is>
          <t>Kristen Luigart</t>
        </is>
      </c>
      <c r="B1079" s="9" t="inlineStr">
        <is>
          <t>12/28/25 - 1/25/26</t>
        </is>
      </c>
      <c r="C1079" s="12" t="n">
        <v>0.3583</v>
      </c>
      <c r="D1079" s="12" t="n">
        <v>1.0296</v>
      </c>
      <c r="E1079" s="12" t="n">
        <v>0.909090909</v>
      </c>
      <c r="F1079" s="12" t="n">
        <v>1</v>
      </c>
      <c r="G1079" s="12" t="n">
        <v>0.5</v>
      </c>
      <c r="H1079" s="9" t="n">
        <v>0</v>
      </c>
      <c r="I1079" s="10" t="n">
        <v>1</v>
      </c>
      <c r="J1079" s="12">
        <f>I1079</f>
        <v/>
      </c>
      <c r="K1079" t="inlineStr">
        <is>
          <t>Distinguished</t>
        </is>
      </c>
      <c r="L1079" t="inlineStr">
        <is>
          <t>Professional</t>
        </is>
      </c>
      <c r="M1079" t="inlineStr">
        <is>
          <t>Ian Plamondon</t>
        </is>
      </c>
    </row>
    <row r="1080">
      <c r="A1080" s="9" t="inlineStr">
        <is>
          <t>Kristen Luigart</t>
        </is>
      </c>
      <c r="B1080" s="9" t="inlineStr">
        <is>
          <t>5/18/25 - 6/14/25</t>
        </is>
      </c>
      <c r="C1080" s="12" t="n">
        <v>0.45</v>
      </c>
      <c r="D1080" s="12" t="n">
        <v>1.1</v>
      </c>
      <c r="E1080" s="12" t="n">
        <v>1</v>
      </c>
      <c r="F1080" s="12" t="n">
        <v>1</v>
      </c>
      <c r="G1080" s="12" t="n">
        <v>0.86</v>
      </c>
      <c r="H1080" s="9" t="n">
        <v>1</v>
      </c>
      <c r="J1080" s="9" t="n"/>
      <c r="K1080" t="inlineStr">
        <is>
          <t>Distinguished</t>
        </is>
      </c>
      <c r="L1080" t="inlineStr">
        <is>
          <t>Professional</t>
        </is>
      </c>
      <c r="M1080" t="inlineStr">
        <is>
          <t>Ian Plamondon</t>
        </is>
      </c>
    </row>
    <row r="1081">
      <c r="A1081" s="9" t="inlineStr">
        <is>
          <t>Kristen Luigart</t>
        </is>
      </c>
      <c r="B1081" s="9" t="inlineStr">
        <is>
          <t>6/15/25 - 7/12/25</t>
        </is>
      </c>
      <c r="C1081" s="12" t="n">
        <v>0.33</v>
      </c>
      <c r="D1081" s="12" t="n">
        <v>0.99</v>
      </c>
      <c r="E1081" s="12" t="n">
        <v>1</v>
      </c>
      <c r="F1081" s="12" t="n">
        <v>1</v>
      </c>
      <c r="G1081" s="12" t="n">
        <v>1</v>
      </c>
      <c r="H1081" s="9" t="n">
        <v>1</v>
      </c>
      <c r="J1081" s="9" t="n"/>
      <c r="K1081" t="inlineStr">
        <is>
          <t>Distinguished</t>
        </is>
      </c>
      <c r="L1081" t="inlineStr">
        <is>
          <t>Professional</t>
        </is>
      </c>
      <c r="M1081" t="inlineStr">
        <is>
          <t>Ian Plamondon</t>
        </is>
      </c>
    </row>
    <row r="1082">
      <c r="A1082" s="9" t="inlineStr">
        <is>
          <t>Kristen Luigart</t>
        </is>
      </c>
      <c r="B1082" s="9" t="inlineStr">
        <is>
          <t>7/13/25 - 8/10/25</t>
        </is>
      </c>
      <c r="C1082" s="12" t="n">
        <v>0.33</v>
      </c>
      <c r="D1082" s="12" t="n">
        <v>1.07</v>
      </c>
      <c r="E1082" s="12" t="n">
        <v>1</v>
      </c>
      <c r="F1082" s="12" t="n">
        <v>1</v>
      </c>
      <c r="G1082" s="12" t="n">
        <v>0.75</v>
      </c>
      <c r="H1082" s="9" t="n">
        <v>1</v>
      </c>
      <c r="I1082" s="10" t="n">
        <v>1</v>
      </c>
      <c r="J1082" s="12">
        <f>I1082</f>
        <v/>
      </c>
      <c r="K1082" t="inlineStr">
        <is>
          <t>Distinguished</t>
        </is>
      </c>
      <c r="L1082" t="inlineStr">
        <is>
          <t>Professional</t>
        </is>
      </c>
      <c r="M1082" t="inlineStr">
        <is>
          <t>Ian Plamondon</t>
        </is>
      </c>
    </row>
    <row r="1083">
      <c r="A1083" s="9" t="inlineStr">
        <is>
          <t>Kristen Luigart</t>
        </is>
      </c>
      <c r="B1083" s="9" t="inlineStr">
        <is>
          <t>8/10/25 - 9/6/25</t>
        </is>
      </c>
      <c r="C1083" s="12" t="n">
        <v>0.35</v>
      </c>
      <c r="D1083" s="12" t="n">
        <v>1.15</v>
      </c>
      <c r="E1083" s="12" t="n">
        <v>0.98</v>
      </c>
      <c r="F1083" s="12" t="n">
        <v>1</v>
      </c>
      <c r="G1083" s="12" t="n">
        <v>0.78</v>
      </c>
      <c r="H1083" s="9" t="n">
        <v>1</v>
      </c>
      <c r="I1083" s="11" t="n"/>
      <c r="J1083" s="9" t="n"/>
      <c r="K1083" t="inlineStr">
        <is>
          <t>Distinguished</t>
        </is>
      </c>
      <c r="L1083" t="inlineStr">
        <is>
          <t>Professional</t>
        </is>
      </c>
      <c r="M1083" t="inlineStr">
        <is>
          <t>Ian Plamondon</t>
        </is>
      </c>
    </row>
    <row r="1084">
      <c r="A1084" s="9" t="inlineStr">
        <is>
          <t>Kristen Luigart</t>
        </is>
      </c>
      <c r="B1084" s="9" t="inlineStr">
        <is>
          <t>9/7/25 - 10/4/25</t>
        </is>
      </c>
      <c r="C1084" s="12" t="n">
        <v>0.29</v>
      </c>
      <c r="D1084" s="12" t="n">
        <v>0.63</v>
      </c>
      <c r="E1084" s="12" t="n">
        <v>0.9399999999999999</v>
      </c>
      <c r="F1084" s="12" t="n">
        <v>1</v>
      </c>
      <c r="G1084" s="12" t="n">
        <v>0.86</v>
      </c>
      <c r="H1084" s="9" t="n">
        <v>2</v>
      </c>
      <c r="I1084" s="11" t="n"/>
      <c r="J1084" s="9" t="n"/>
      <c r="K1084" t="inlineStr">
        <is>
          <t>Distinguished</t>
        </is>
      </c>
      <c r="L1084" t="inlineStr">
        <is>
          <t>Professional</t>
        </is>
      </c>
      <c r="M1084" t="inlineStr">
        <is>
          <t>Ian Plamondon</t>
        </is>
      </c>
    </row>
    <row r="1085">
      <c r="A1085" s="9" t="inlineStr">
        <is>
          <t>Lana Kargetta</t>
        </is>
      </c>
      <c r="B1085" s="9" t="inlineStr">
        <is>
          <t>10/5/25 - 11/1/25</t>
        </is>
      </c>
      <c r="C1085" s="12" t="n">
        <v>0</v>
      </c>
      <c r="D1085" s="12" t="n">
        <v>0.7396</v>
      </c>
      <c r="E1085" s="12" t="n">
        <v>0</v>
      </c>
      <c r="F1085" s="12" t="n">
        <v>0</v>
      </c>
      <c r="G1085" s="12" t="n">
        <v>0</v>
      </c>
      <c r="H1085" s="9" t="n">
        <v>0</v>
      </c>
      <c r="I1085" s="10" t="n"/>
      <c r="J1085" s="12" t="n"/>
      <c r="K1085" t="inlineStr">
        <is>
          <t>Advanced</t>
        </is>
      </c>
      <c r="L1085" t="inlineStr">
        <is>
          <t>Adjunct</t>
        </is>
      </c>
      <c r="M1085" t="inlineStr">
        <is>
          <t>Geoff St. Marie</t>
        </is>
      </c>
    </row>
    <row r="1086">
      <c r="A1086" s="9" t="inlineStr">
        <is>
          <t>Lana Kargetta</t>
        </is>
      </c>
      <c r="B1086" s="9" t="inlineStr">
        <is>
          <t>10/5/25 - 11/1/25</t>
        </is>
      </c>
      <c r="C1086" s="12" t="n">
        <v>0</v>
      </c>
      <c r="D1086" s="12" t="n">
        <v>0.7396</v>
      </c>
      <c r="E1086" s="12" t="n">
        <v>0</v>
      </c>
      <c r="F1086" s="12" t="n">
        <v>0</v>
      </c>
      <c r="G1086" s="12" t="n">
        <v>0</v>
      </c>
      <c r="H1086" s="9" t="n">
        <v>0</v>
      </c>
      <c r="J1086" s="9" t="n"/>
      <c r="K1086" t="inlineStr">
        <is>
          <t>Advanced</t>
        </is>
      </c>
      <c r="L1086" t="inlineStr">
        <is>
          <t>Adjunct</t>
        </is>
      </c>
      <c r="M1086" t="inlineStr">
        <is>
          <t>Geoff St. Marie</t>
        </is>
      </c>
    </row>
    <row r="1087">
      <c r="A1087" s="9" t="inlineStr">
        <is>
          <t>Lana Kargetta</t>
        </is>
      </c>
      <c r="B1087" s="9" t="inlineStr">
        <is>
          <t>11/2/25 - 11/29/25</t>
        </is>
      </c>
      <c r="C1087" s="12" t="n">
        <v>0.42</v>
      </c>
      <c r="D1087" s="12" t="n">
        <v>0.79</v>
      </c>
      <c r="E1087" s="12" t="n">
        <v>1</v>
      </c>
      <c r="F1087" s="12" t="n">
        <v>0.96</v>
      </c>
      <c r="G1087" s="12" t="n">
        <v>0</v>
      </c>
      <c r="H1087" s="9" t="n">
        <v>2</v>
      </c>
      <c r="I1087" s="13" t="n">
        <v>45974</v>
      </c>
      <c r="J1087" s="14" t="n">
        <v>0.85</v>
      </c>
      <c r="K1087" t="inlineStr">
        <is>
          <t>Advanced</t>
        </is>
      </c>
      <c r="L1087" t="inlineStr">
        <is>
          <t>Adjunct</t>
        </is>
      </c>
      <c r="M1087" t="inlineStr">
        <is>
          <t>Geoff St. Marie</t>
        </is>
      </c>
    </row>
    <row r="1088">
      <c r="A1088" s="9" t="inlineStr">
        <is>
          <t>Lana Kargetta</t>
        </is>
      </c>
      <c r="B1088" s="9" t="inlineStr">
        <is>
          <t>11/30/25 - 12/27/25</t>
        </is>
      </c>
      <c r="C1088" s="12" t="n">
        <v>0.72</v>
      </c>
      <c r="D1088" s="12" t="n">
        <v>0.72</v>
      </c>
      <c r="E1088" s="12" t="n">
        <v>0.84</v>
      </c>
      <c r="F1088" s="12" t="n">
        <v>0.95</v>
      </c>
      <c r="G1088" s="12" t="n">
        <v>0</v>
      </c>
      <c r="H1088" s="9" t="n">
        <v>16</v>
      </c>
      <c r="I1088" s="10" t="n">
        <v>0.4</v>
      </c>
      <c r="J1088" s="12" t="n">
        <v>0.4</v>
      </c>
      <c r="K1088" t="inlineStr">
        <is>
          <t>Advanced</t>
        </is>
      </c>
      <c r="L1088" t="inlineStr">
        <is>
          <t>Adjunct</t>
        </is>
      </c>
      <c r="M1088" t="inlineStr">
        <is>
          <t>Geoff St. Marie</t>
        </is>
      </c>
    </row>
    <row r="1089">
      <c r="A1089" s="9" t="inlineStr">
        <is>
          <t>Lana Kargetta</t>
        </is>
      </c>
      <c r="B1089" s="9" t="inlineStr">
        <is>
          <t>12/28/25 - 1/25/26</t>
        </is>
      </c>
      <c r="C1089" s="12" t="n">
        <v>1.0125</v>
      </c>
      <c r="D1089" s="12" t="n">
        <v>1.0729</v>
      </c>
      <c r="E1089" s="12" t="n">
        <v>0.931034483</v>
      </c>
      <c r="F1089" s="12" t="n">
        <v>0.9629629629999999</v>
      </c>
      <c r="G1089" s="12" t="n">
        <v>0.714285714</v>
      </c>
      <c r="H1089" s="9" t="n">
        <v>9</v>
      </c>
      <c r="I1089" s="10" t="n">
        <v>0.5714285714285714</v>
      </c>
      <c r="J1089" s="12">
        <f>I1089</f>
        <v/>
      </c>
      <c r="K1089" t="inlineStr">
        <is>
          <t>Advanced</t>
        </is>
      </c>
      <c r="L1089" t="inlineStr">
        <is>
          <t>Adjunct</t>
        </is>
      </c>
      <c r="M1089" t="inlineStr">
        <is>
          <t>Geoff St. Marie</t>
        </is>
      </c>
    </row>
    <row r="1090">
      <c r="A1090" s="9" t="inlineStr">
        <is>
          <t>Laurel Turner</t>
        </is>
      </c>
      <c r="B1090" s="9" t="inlineStr">
        <is>
          <t>5/18/25 - 6/14/25</t>
        </is>
      </c>
      <c r="C1090" s="12" t="n">
        <v>0.37</v>
      </c>
      <c r="D1090" s="12" t="n">
        <v>0.87</v>
      </c>
      <c r="E1090" s="12" t="n">
        <v>1</v>
      </c>
      <c r="F1090" s="12" t="n">
        <v>0.88</v>
      </c>
      <c r="G1090" s="12" t="n">
        <v>0.89</v>
      </c>
      <c r="H1090" s="9" t="n">
        <v>2</v>
      </c>
      <c r="I1090" s="10" t="n">
        <v>0</v>
      </c>
      <c r="J1090" s="12">
        <f>I1090</f>
        <v/>
      </c>
      <c r="K1090" t="e">
        <v>#N/A</v>
      </c>
      <c r="L1090" t="e">
        <v>#N/A</v>
      </c>
      <c r="M1090" t="e">
        <v>#N/A</v>
      </c>
    </row>
    <row r="1091">
      <c r="A1091" s="9" t="inlineStr">
        <is>
          <t>Laurel Turner</t>
        </is>
      </c>
      <c r="B1091" s="9" t="inlineStr">
        <is>
          <t>6/15/25 - 7/12/25</t>
        </is>
      </c>
      <c r="C1091" s="12" t="n">
        <v>0.8</v>
      </c>
      <c r="D1091" s="12" t="n">
        <v>1.05</v>
      </c>
      <c r="E1091" s="12" t="n">
        <v>0.95</v>
      </c>
      <c r="F1091" s="12" t="n">
        <v>0.79</v>
      </c>
      <c r="G1091" s="12" t="n">
        <v>0.5600000000000001</v>
      </c>
      <c r="H1091" s="9" t="n">
        <v>5</v>
      </c>
      <c r="I1091" s="10" t="n">
        <v>0</v>
      </c>
      <c r="J1091" s="12">
        <f>I1091</f>
        <v/>
      </c>
      <c r="K1091" t="e">
        <v>#N/A</v>
      </c>
      <c r="L1091" t="e">
        <v>#N/A</v>
      </c>
      <c r="M1091" t="e">
        <v>#N/A</v>
      </c>
    </row>
    <row r="1092">
      <c r="A1092" s="9" t="inlineStr">
        <is>
          <t>Laurel Turner</t>
        </is>
      </c>
      <c r="B1092" s="9" t="inlineStr">
        <is>
          <t>7/13/25 - 8/10/25</t>
        </is>
      </c>
      <c r="C1092" s="12" t="n">
        <v>0.97</v>
      </c>
      <c r="D1092" s="12" t="n">
        <v>1.09</v>
      </c>
      <c r="E1092" s="12" t="n">
        <v>0.98</v>
      </c>
      <c r="F1092" s="12" t="n">
        <v>1</v>
      </c>
      <c r="G1092" s="12" t="n">
        <v>0.67</v>
      </c>
      <c r="H1092" s="9" t="n">
        <v>3</v>
      </c>
      <c r="I1092" s="10" t="inlineStr">
        <is>
          <t xml:space="preserve"> 5/8</t>
        </is>
      </c>
      <c r="J1092" s="12" t="n">
        <v>0.63</v>
      </c>
      <c r="K1092" t="e">
        <v>#N/A</v>
      </c>
      <c r="L1092" t="e">
        <v>#N/A</v>
      </c>
      <c r="M1092" t="e">
        <v>#N/A</v>
      </c>
    </row>
    <row r="1093">
      <c r="A1093" s="9" t="inlineStr">
        <is>
          <t>Laurel Turner</t>
        </is>
      </c>
      <c r="B1093" s="9" t="inlineStr">
        <is>
          <t>8/10/25 - 9/6/25</t>
        </is>
      </c>
      <c r="C1093" s="12" t="n">
        <v>0.89</v>
      </c>
      <c r="D1093" s="12" t="n">
        <v>0.97</v>
      </c>
      <c r="E1093" s="12" t="n">
        <v>0.97</v>
      </c>
      <c r="F1093" s="12" t="n">
        <v>0.9</v>
      </c>
      <c r="G1093" s="12" t="n">
        <v>0.77</v>
      </c>
      <c r="H1093" s="9" t="n">
        <v>6</v>
      </c>
      <c r="I1093" s="10" t="inlineStr">
        <is>
          <t>6/6</t>
        </is>
      </c>
      <c r="J1093" s="12" t="n">
        <v>1</v>
      </c>
      <c r="K1093" t="e">
        <v>#N/A</v>
      </c>
      <c r="L1093" t="e">
        <v>#N/A</v>
      </c>
      <c r="M1093" t="e">
        <v>#N/A</v>
      </c>
    </row>
    <row r="1094">
      <c r="A1094" s="9" t="inlineStr">
        <is>
          <t>Lauren Seidl</t>
        </is>
      </c>
      <c r="B1094" s="9" t="inlineStr">
        <is>
          <t>11/2/25 - 11/29/25</t>
        </is>
      </c>
      <c r="C1094" s="12" t="n">
        <v>0</v>
      </c>
      <c r="D1094" s="12" t="n">
        <v>0.68</v>
      </c>
      <c r="E1094" s="12" t="n">
        <v>0</v>
      </c>
      <c r="F1094" s="12" t="n">
        <v>0</v>
      </c>
      <c r="G1094" s="12" t="n">
        <v>0</v>
      </c>
      <c r="H1094" s="9" t="n">
        <v>0</v>
      </c>
      <c r="I1094" s="13" t="n"/>
      <c r="J1094" s="9" t="n"/>
      <c r="K1094" t="e">
        <v>#N/A</v>
      </c>
      <c r="L1094" t="e">
        <v>#N/A</v>
      </c>
      <c r="M1094" t="e">
        <v>#N/A</v>
      </c>
    </row>
    <row r="1095">
      <c r="A1095" s="9" t="inlineStr">
        <is>
          <t>Levi Fox</t>
        </is>
      </c>
      <c r="B1095" s="9" t="inlineStr">
        <is>
          <t>10/5/25 - 11/1/25</t>
        </is>
      </c>
      <c r="C1095" s="12" t="n">
        <v>0.5917</v>
      </c>
      <c r="D1095" s="12" t="n">
        <v>0.7796</v>
      </c>
      <c r="E1095" s="12" t="n">
        <v>0.970149253731343</v>
      </c>
      <c r="F1095" s="12" t="n">
        <v>1</v>
      </c>
      <c r="G1095" s="12" t="n">
        <v>0.31578947368421</v>
      </c>
      <c r="H1095" s="9" t="n">
        <v>1</v>
      </c>
      <c r="I1095" s="10" t="inlineStr">
        <is>
          <t>3/4</t>
        </is>
      </c>
      <c r="J1095" s="12" t="n">
        <v>0.75</v>
      </c>
      <c r="K1095" t="inlineStr">
        <is>
          <t>Premium</t>
        </is>
      </c>
      <c r="L1095" t="inlineStr">
        <is>
          <t>Professional</t>
        </is>
      </c>
      <c r="M1095" t="inlineStr">
        <is>
          <t>Geoff St. Marie</t>
        </is>
      </c>
    </row>
    <row r="1096">
      <c r="A1096" s="9" t="inlineStr">
        <is>
          <t>Levi Fox</t>
        </is>
      </c>
      <c r="B1096" s="9" t="inlineStr">
        <is>
          <t>11/2/25 - 11/29/25</t>
        </is>
      </c>
      <c r="C1096" s="12" t="n">
        <v>0.51</v>
      </c>
      <c r="D1096" s="12" t="n">
        <v>0.76</v>
      </c>
      <c r="E1096" s="12" t="n">
        <v>0.98</v>
      </c>
      <c r="F1096" s="12" t="n">
        <v>0.85</v>
      </c>
      <c r="G1096" s="12" t="n">
        <v>1</v>
      </c>
      <c r="H1096" s="9" t="n">
        <v>1</v>
      </c>
      <c r="I1096" s="13" t="n">
        <v>45658</v>
      </c>
      <c r="J1096" s="12" t="n">
        <v>1</v>
      </c>
      <c r="K1096" t="inlineStr">
        <is>
          <t>Premium</t>
        </is>
      </c>
      <c r="L1096" t="inlineStr">
        <is>
          <t>Professional</t>
        </is>
      </c>
      <c r="M1096" t="inlineStr">
        <is>
          <t>Geoff St. Marie</t>
        </is>
      </c>
    </row>
    <row r="1097">
      <c r="A1097" s="9" t="inlineStr">
        <is>
          <t>Levi Fox</t>
        </is>
      </c>
      <c r="B1097" s="9" t="inlineStr">
        <is>
          <t>11/30/25 - 12/27/25</t>
        </is>
      </c>
      <c r="C1097" s="12" t="n">
        <v>0.33</v>
      </c>
      <c r="D1097" s="12" t="n">
        <v>0.75</v>
      </c>
      <c r="E1097" s="12" t="n">
        <v>1</v>
      </c>
      <c r="F1097" s="12" t="n">
        <v>0.87</v>
      </c>
      <c r="G1097" s="12" t="n">
        <v>1</v>
      </c>
      <c r="H1097" s="9" t="n">
        <v>1</v>
      </c>
      <c r="I1097" s="10" t="n">
        <v>1</v>
      </c>
      <c r="J1097" s="12" t="n">
        <v>1</v>
      </c>
      <c r="K1097" t="inlineStr">
        <is>
          <t>Premium</t>
        </is>
      </c>
      <c r="L1097" t="inlineStr">
        <is>
          <t>Professional</t>
        </is>
      </c>
      <c r="M1097" t="inlineStr">
        <is>
          <t>Geoff St. Marie</t>
        </is>
      </c>
    </row>
    <row r="1098">
      <c r="A1098" s="9" t="inlineStr">
        <is>
          <t>Levi Fox</t>
        </is>
      </c>
      <c r="B1098" s="9" t="inlineStr">
        <is>
          <t>12/28/25 - 1/25/26</t>
        </is>
      </c>
      <c r="C1098" s="12" t="n">
        <v>0.3583</v>
      </c>
      <c r="D1098" s="12" t="n">
        <v>0.7851</v>
      </c>
      <c r="E1098" s="12" t="n">
        <v>0.976190476</v>
      </c>
      <c r="F1098" s="12" t="n">
        <v>1</v>
      </c>
      <c r="G1098" s="12" t="n">
        <v>0.636363636</v>
      </c>
      <c r="H1098" s="9" t="n">
        <v>0</v>
      </c>
      <c r="I1098" s="10" t="inlineStr">
        <is>
          <t>0/1</t>
        </is>
      </c>
      <c r="J1098" s="12" t="n">
        <v>0</v>
      </c>
      <c r="K1098" t="inlineStr">
        <is>
          <t>Premium</t>
        </is>
      </c>
      <c r="L1098" t="inlineStr">
        <is>
          <t>Professional</t>
        </is>
      </c>
      <c r="M1098" t="inlineStr">
        <is>
          <t>Geoff St. Marie</t>
        </is>
      </c>
    </row>
    <row r="1099">
      <c r="A1099" s="9" t="inlineStr">
        <is>
          <t>Levi Fox</t>
        </is>
      </c>
      <c r="B1099" s="9" t="inlineStr">
        <is>
          <t>5/18/25 - 6/14/25</t>
        </is>
      </c>
      <c r="C1099" s="12" t="n">
        <v>0.5600000000000001</v>
      </c>
      <c r="D1099" s="12" t="n">
        <v>1.08</v>
      </c>
      <c r="E1099" s="12" t="n">
        <v>0.91</v>
      </c>
      <c r="F1099" s="12" t="n">
        <v>0.97</v>
      </c>
      <c r="G1099" s="12" t="n">
        <v>0.73</v>
      </c>
      <c r="H1099" s="9" t="n">
        <v>3</v>
      </c>
      <c r="I1099" s="10" t="inlineStr">
        <is>
          <t xml:space="preserve"> 3/4</t>
        </is>
      </c>
      <c r="J1099" s="12" t="n">
        <v>0.75</v>
      </c>
      <c r="K1099" t="inlineStr">
        <is>
          <t>Premium</t>
        </is>
      </c>
      <c r="L1099" t="inlineStr">
        <is>
          <t>Professional</t>
        </is>
      </c>
      <c r="M1099" t="inlineStr">
        <is>
          <t>Geoff St. Marie</t>
        </is>
      </c>
    </row>
    <row r="1100">
      <c r="A1100" s="9" t="inlineStr">
        <is>
          <t>Levi Fox</t>
        </is>
      </c>
      <c r="B1100" s="9" t="inlineStr">
        <is>
          <t>6/15/25 - 7/12/25</t>
        </is>
      </c>
      <c r="C1100" s="12" t="n">
        <v>0.44</v>
      </c>
      <c r="D1100" s="12" t="n">
        <v>0.97</v>
      </c>
      <c r="E1100" s="12" t="n">
        <v>0.95</v>
      </c>
      <c r="F1100" s="12" t="n">
        <v>0.97</v>
      </c>
      <c r="G1100" s="12" t="n">
        <v>0.8</v>
      </c>
      <c r="H1100" s="9" t="n">
        <v>1</v>
      </c>
      <c r="I1100" s="10" t="n">
        <v>1</v>
      </c>
      <c r="J1100" s="12">
        <f>I1100</f>
        <v/>
      </c>
      <c r="K1100" t="inlineStr">
        <is>
          <t>Premium</t>
        </is>
      </c>
      <c r="L1100" t="inlineStr">
        <is>
          <t>Professional</t>
        </is>
      </c>
      <c r="M1100" t="inlineStr">
        <is>
          <t>Geoff St. Marie</t>
        </is>
      </c>
    </row>
    <row r="1101">
      <c r="A1101" s="9" t="inlineStr">
        <is>
          <t>Levi Fox</t>
        </is>
      </c>
      <c r="B1101" s="9" t="inlineStr">
        <is>
          <t>7/13/25 - 8/10/25</t>
        </is>
      </c>
      <c r="C1101" s="12" t="n">
        <v>0.6899999999999999</v>
      </c>
      <c r="D1101" s="12" t="n">
        <v>1.13</v>
      </c>
      <c r="E1101" s="12" t="n">
        <v>1</v>
      </c>
      <c r="F1101" s="12" t="n">
        <v>0.98</v>
      </c>
      <c r="G1101" s="12" t="n">
        <v>0.9399999999999999</v>
      </c>
      <c r="H1101" s="9" t="n">
        <v>1</v>
      </c>
      <c r="I1101" s="10" t="n">
        <v>1</v>
      </c>
      <c r="J1101" s="12">
        <f>I1101</f>
        <v/>
      </c>
      <c r="K1101" t="inlineStr">
        <is>
          <t>Premium</t>
        </is>
      </c>
      <c r="L1101" t="inlineStr">
        <is>
          <t>Professional</t>
        </is>
      </c>
      <c r="M1101" t="inlineStr">
        <is>
          <t>Geoff St. Marie</t>
        </is>
      </c>
    </row>
    <row r="1102">
      <c r="A1102" s="9" t="inlineStr">
        <is>
          <t>Levi Fox</t>
        </is>
      </c>
      <c r="B1102" s="9" t="inlineStr">
        <is>
          <t>8/10/25 - 9/6/25</t>
        </is>
      </c>
      <c r="C1102" s="12" t="n">
        <v>0.74</v>
      </c>
      <c r="D1102" s="12" t="n">
        <v>0.99</v>
      </c>
      <c r="E1102" s="12" t="n">
        <v>0.9399999999999999</v>
      </c>
      <c r="F1102" s="12" t="n">
        <v>0.98</v>
      </c>
      <c r="G1102" s="12" t="n">
        <v>0.63</v>
      </c>
      <c r="H1102" s="9" t="n">
        <v>1</v>
      </c>
      <c r="I1102" s="11" t="n"/>
      <c r="J1102" s="9" t="n"/>
      <c r="K1102" t="inlineStr">
        <is>
          <t>Premium</t>
        </is>
      </c>
      <c r="L1102" t="inlineStr">
        <is>
          <t>Professional</t>
        </is>
      </c>
      <c r="M1102" t="inlineStr">
        <is>
          <t>Geoff St. Marie</t>
        </is>
      </c>
    </row>
    <row r="1103">
      <c r="A1103" s="9" t="inlineStr">
        <is>
          <t>Levi Fox</t>
        </is>
      </c>
      <c r="B1103" s="9" t="inlineStr">
        <is>
          <t>9/7/25 - 10/4/25</t>
        </is>
      </c>
      <c r="C1103" s="12" t="n">
        <v>0.5</v>
      </c>
      <c r="D1103" s="12" t="n">
        <v>0.82</v>
      </c>
      <c r="E1103" s="12" t="n">
        <v>0.9399999999999999</v>
      </c>
      <c r="F1103" s="12" t="n">
        <v>1</v>
      </c>
      <c r="G1103" s="12" t="n">
        <v>0.18</v>
      </c>
      <c r="H1103" s="9" t="n">
        <v>2</v>
      </c>
      <c r="I1103" s="10" t="inlineStr">
        <is>
          <t>3/4</t>
        </is>
      </c>
      <c r="J1103" s="12" t="n">
        <v>0.75</v>
      </c>
      <c r="K1103" t="inlineStr">
        <is>
          <t>Premium</t>
        </is>
      </c>
      <c r="L1103" t="inlineStr">
        <is>
          <t>Professional</t>
        </is>
      </c>
      <c r="M1103" t="inlineStr">
        <is>
          <t>Geoff St. Marie</t>
        </is>
      </c>
    </row>
    <row r="1104">
      <c r="A1104" s="9" t="inlineStr">
        <is>
          <t>Linda Hindi</t>
        </is>
      </c>
      <c r="B1104" s="9" t="inlineStr">
        <is>
          <t>10/5/25 - 11/1/25</t>
        </is>
      </c>
      <c r="C1104" s="12" t="n">
        <v>0.8792</v>
      </c>
      <c r="D1104" s="12" t="n">
        <v>1.7845</v>
      </c>
      <c r="E1104" s="12" t="n">
        <v>0.970588235294117</v>
      </c>
      <c r="F1104" s="12" t="n">
        <v>1</v>
      </c>
      <c r="G1104" s="12" t="n">
        <v>1</v>
      </c>
      <c r="H1104" s="9" t="n">
        <v>2</v>
      </c>
      <c r="I1104" s="10" t="inlineStr">
        <is>
          <t>5/5</t>
        </is>
      </c>
      <c r="J1104" s="12" t="n">
        <v>1</v>
      </c>
      <c r="K1104" t="e">
        <v>#N/A</v>
      </c>
      <c r="L1104" t="e">
        <v>#N/A</v>
      </c>
      <c r="M1104" t="e">
        <v>#N/A</v>
      </c>
    </row>
    <row r="1105">
      <c r="A1105" s="9" t="inlineStr">
        <is>
          <t>Linda Hindi</t>
        </is>
      </c>
      <c r="B1105" s="9" t="inlineStr">
        <is>
          <t>11/2/25 - 11/29/25</t>
        </is>
      </c>
      <c r="C1105" s="12" t="n">
        <v>0.9</v>
      </c>
      <c r="D1105" s="12" t="n">
        <v>1.7</v>
      </c>
      <c r="E1105" s="12" t="n">
        <v>0.93</v>
      </c>
      <c r="F1105" s="12" t="n">
        <v>0.98</v>
      </c>
      <c r="G1105" s="12" t="n">
        <v>0.95</v>
      </c>
      <c r="H1105" s="9" t="n">
        <v>5</v>
      </c>
      <c r="I1105" s="13" t="n">
        <v>45720</v>
      </c>
      <c r="J1105" s="14" t="n">
        <v>0.75</v>
      </c>
      <c r="K1105" t="e">
        <v>#N/A</v>
      </c>
      <c r="L1105" t="e">
        <v>#N/A</v>
      </c>
      <c r="M1105" t="e">
        <v>#N/A</v>
      </c>
    </row>
    <row r="1106">
      <c r="A1106" s="9" t="inlineStr">
        <is>
          <t>Linda Hindi</t>
        </is>
      </c>
      <c r="B1106" s="9" t="inlineStr">
        <is>
          <t>11/30/25 - 12/27/25</t>
        </is>
      </c>
      <c r="C1106" s="12" t="n">
        <v>0.67</v>
      </c>
      <c r="D1106" s="12" t="n">
        <v>1.55</v>
      </c>
      <c r="E1106" s="12" t="n">
        <v>0.9399999999999999</v>
      </c>
      <c r="F1106" s="12" t="n">
        <v>0.98</v>
      </c>
      <c r="G1106" s="12" t="n">
        <v>0.95</v>
      </c>
      <c r="H1106" s="9" t="n">
        <v>1</v>
      </c>
      <c r="I1106" s="10" t="n">
        <v>1</v>
      </c>
      <c r="J1106" s="12" t="n">
        <v>1</v>
      </c>
      <c r="K1106" t="e">
        <v>#N/A</v>
      </c>
      <c r="L1106" t="e">
        <v>#N/A</v>
      </c>
      <c r="M1106" t="e">
        <v>#N/A</v>
      </c>
    </row>
    <row r="1107">
      <c r="A1107" s="9" t="inlineStr">
        <is>
          <t>Linda Hindi</t>
        </is>
      </c>
      <c r="B1107" s="9" t="inlineStr">
        <is>
          <t>12/28/25 - 1/25/26</t>
        </is>
      </c>
      <c r="C1107" s="12" t="n">
        <v>0.5792</v>
      </c>
      <c r="D1107" s="12" t="n">
        <v>1.5641</v>
      </c>
      <c r="E1107" s="12" t="n">
        <v>0.927536232</v>
      </c>
      <c r="F1107" s="12" t="n">
        <v>0.979591837</v>
      </c>
      <c r="G1107" s="12" t="n">
        <v>1</v>
      </c>
      <c r="H1107" s="9" t="n">
        <v>2</v>
      </c>
      <c r="I1107" s="10" t="n">
        <v>0.8333333333333334</v>
      </c>
      <c r="J1107" s="12">
        <f>I1107</f>
        <v/>
      </c>
      <c r="K1107" t="e">
        <v>#N/A</v>
      </c>
      <c r="L1107" t="e">
        <v>#N/A</v>
      </c>
      <c r="M1107" t="e">
        <v>#N/A</v>
      </c>
    </row>
    <row r="1108">
      <c r="A1108" s="9" t="inlineStr">
        <is>
          <t>Linda Hindi</t>
        </is>
      </c>
      <c r="B1108" s="9" t="inlineStr">
        <is>
          <t>5/18/25 - 6/14/25</t>
        </is>
      </c>
      <c r="C1108" s="12" t="n">
        <v>0.91</v>
      </c>
      <c r="D1108" s="12" t="n">
        <v>1.41</v>
      </c>
      <c r="E1108" s="12" t="n">
        <v>1</v>
      </c>
      <c r="F1108" s="12" t="n">
        <v>0.96</v>
      </c>
      <c r="G1108" s="12" t="n">
        <v>1</v>
      </c>
      <c r="H1108" s="9" t="e">
        <v>#N/A</v>
      </c>
      <c r="I1108" s="10" t="n">
        <v>1</v>
      </c>
      <c r="J1108" s="12">
        <f>I1108</f>
        <v/>
      </c>
      <c r="K1108" t="e">
        <v>#N/A</v>
      </c>
      <c r="L1108" t="e">
        <v>#N/A</v>
      </c>
      <c r="M1108" t="e">
        <v>#N/A</v>
      </c>
    </row>
    <row r="1109">
      <c r="A1109" s="9" t="inlineStr">
        <is>
          <t>Linda Hindi</t>
        </is>
      </c>
      <c r="B1109" s="9" t="inlineStr">
        <is>
          <t>6/15/25 - 7/12/25</t>
        </is>
      </c>
      <c r="C1109" s="12" t="n">
        <v>0.4</v>
      </c>
      <c r="D1109" s="12" t="n">
        <v>1.34</v>
      </c>
      <c r="E1109" s="12" t="n">
        <v>1</v>
      </c>
      <c r="F1109" s="12" t="n">
        <v>1</v>
      </c>
      <c r="G1109" s="12" t="n">
        <v>1</v>
      </c>
      <c r="H1109" s="9" t="n">
        <v>1</v>
      </c>
      <c r="I1109" s="10" t="n">
        <v>1</v>
      </c>
      <c r="J1109" s="12">
        <f>I1109</f>
        <v/>
      </c>
      <c r="K1109" t="e">
        <v>#N/A</v>
      </c>
      <c r="L1109" t="e">
        <v>#N/A</v>
      </c>
      <c r="M1109" t="e">
        <v>#N/A</v>
      </c>
    </row>
    <row r="1110">
      <c r="A1110" s="9" t="inlineStr">
        <is>
          <t>Linda Hindi</t>
        </is>
      </c>
      <c r="B1110" s="9" t="inlineStr">
        <is>
          <t>7/13/25 - 8/10/25</t>
        </is>
      </c>
      <c r="C1110" s="12" t="n">
        <v>0.72</v>
      </c>
      <c r="D1110" s="12" t="n">
        <v>1.35</v>
      </c>
      <c r="E1110" s="12" t="n">
        <v>0.99</v>
      </c>
      <c r="F1110" s="12" t="n">
        <v>0.98</v>
      </c>
      <c r="G1110" s="12" t="n">
        <v>1</v>
      </c>
      <c r="H1110" s="9" t="e">
        <v>#N/A</v>
      </c>
      <c r="I1110" s="10" t="n">
        <v>1</v>
      </c>
      <c r="J1110" s="12">
        <f>I1110</f>
        <v/>
      </c>
      <c r="K1110" t="e">
        <v>#N/A</v>
      </c>
      <c r="L1110" t="e">
        <v>#N/A</v>
      </c>
      <c r="M1110" t="e">
        <v>#N/A</v>
      </c>
    </row>
    <row r="1111">
      <c r="A1111" s="9" t="inlineStr">
        <is>
          <t>Linda Hindi</t>
        </is>
      </c>
      <c r="B1111" s="9" t="inlineStr">
        <is>
          <t>8/10/25 - 9/6/25</t>
        </is>
      </c>
      <c r="C1111" s="12" t="n">
        <v>1.01</v>
      </c>
      <c r="D1111" s="12" t="n">
        <v>1.67</v>
      </c>
      <c r="E1111" s="12" t="n">
        <v>0.99</v>
      </c>
      <c r="F1111" s="12" t="n">
        <v>1</v>
      </c>
      <c r="G1111" s="12" t="n">
        <v>1</v>
      </c>
      <c r="H1111" s="9" t="n">
        <v>3</v>
      </c>
      <c r="I1111" s="10" t="inlineStr">
        <is>
          <t>4/4</t>
        </is>
      </c>
      <c r="J1111" s="12" t="n">
        <v>1</v>
      </c>
      <c r="K1111" t="e">
        <v>#N/A</v>
      </c>
      <c r="L1111" t="e">
        <v>#N/A</v>
      </c>
      <c r="M1111" t="e">
        <v>#N/A</v>
      </c>
    </row>
    <row r="1112">
      <c r="A1112" s="9" t="inlineStr">
        <is>
          <t>Linda Hindi</t>
        </is>
      </c>
      <c r="B1112" s="9" t="inlineStr">
        <is>
          <t>9/7/25 - 10/4/25</t>
        </is>
      </c>
      <c r="C1112" s="12" t="n">
        <v>1</v>
      </c>
      <c r="D1112" s="12" t="n">
        <v>1.75</v>
      </c>
      <c r="E1112" s="12" t="n">
        <v>1</v>
      </c>
      <c r="F1112" s="12" t="n">
        <v>1</v>
      </c>
      <c r="G1112" s="12" t="n">
        <v>1</v>
      </c>
      <c r="H1112" s="9" t="n">
        <v>0</v>
      </c>
      <c r="I1112" s="10" t="inlineStr">
        <is>
          <t>5/5</t>
        </is>
      </c>
      <c r="J1112" s="12" t="n">
        <v>1</v>
      </c>
      <c r="K1112" t="e">
        <v>#N/A</v>
      </c>
      <c r="L1112" t="e">
        <v>#N/A</v>
      </c>
      <c r="M1112" t="e">
        <v>#N/A</v>
      </c>
    </row>
    <row r="1113">
      <c r="A1113" s="9" t="inlineStr">
        <is>
          <t>Lisa Bartle</t>
        </is>
      </c>
      <c r="B1113" s="9" t="inlineStr">
        <is>
          <t>10/5/25 - 11/1/25</t>
        </is>
      </c>
      <c r="C1113" s="12" t="n">
        <v>0.9271</v>
      </c>
      <c r="D1113" s="12" t="n">
        <v>1.2227</v>
      </c>
      <c r="E1113" s="12" t="n">
        <v>0.9375</v>
      </c>
      <c r="F1113" s="12" t="n">
        <v>0.888888888888888</v>
      </c>
      <c r="G1113" s="12" t="n">
        <v>0.916666666666666</v>
      </c>
      <c r="H1113" s="9" t="n">
        <v>3</v>
      </c>
      <c r="I1113" s="10" t="inlineStr">
        <is>
          <t>0/2</t>
        </is>
      </c>
      <c r="J1113" s="12" t="n">
        <v>0</v>
      </c>
      <c r="K1113" t="inlineStr">
        <is>
          <t>Premium</t>
        </is>
      </c>
      <c r="L1113" t="inlineStr">
        <is>
          <t>Adjunct</t>
        </is>
      </c>
      <c r="M1113" t="inlineStr">
        <is>
          <t>Annelies de Groot</t>
        </is>
      </c>
    </row>
    <row r="1114">
      <c r="A1114" s="9" t="inlineStr">
        <is>
          <t>Lisa Bartle</t>
        </is>
      </c>
      <c r="B1114" s="9" t="inlineStr">
        <is>
          <t>11/2/25 - 11/29/25</t>
        </is>
      </c>
      <c r="C1114" s="12" t="n">
        <v>0.72</v>
      </c>
      <c r="D1114" s="12" t="n">
        <v>1.25</v>
      </c>
      <c r="E1114" s="12" t="n">
        <v>1</v>
      </c>
      <c r="F1114" s="12" t="n">
        <v>1</v>
      </c>
      <c r="G1114" s="12" t="n">
        <v>0.86</v>
      </c>
      <c r="H1114" s="9" t="n">
        <v>2</v>
      </c>
      <c r="I1114" s="13" t="inlineStr">
        <is>
          <t>0/3</t>
        </is>
      </c>
      <c r="J1114" s="12" t="n">
        <v>0</v>
      </c>
      <c r="K1114" t="inlineStr">
        <is>
          <t>Premium</t>
        </is>
      </c>
      <c r="L1114" t="inlineStr">
        <is>
          <t>Adjunct</t>
        </is>
      </c>
      <c r="M1114" t="inlineStr">
        <is>
          <t>Annelies de Groot</t>
        </is>
      </c>
    </row>
    <row r="1115">
      <c r="A1115" s="9" t="inlineStr">
        <is>
          <t>Lisa Bartle</t>
        </is>
      </c>
      <c r="B1115" s="9" t="inlineStr">
        <is>
          <t>11/30/25 - 12/27/25</t>
        </is>
      </c>
      <c r="C1115" s="12" t="n">
        <v>0.98</v>
      </c>
      <c r="D1115" s="12" t="n">
        <v>1.38</v>
      </c>
      <c r="E1115" s="12" t="n">
        <v>0.9</v>
      </c>
      <c r="F1115" s="12" t="n">
        <v>0.93</v>
      </c>
      <c r="G1115" s="12" t="n">
        <v>0.82</v>
      </c>
      <c r="H1115" s="9" t="n">
        <v>0</v>
      </c>
      <c r="I1115" s="10" t="inlineStr">
        <is>
          <t>0/1</t>
        </is>
      </c>
      <c r="J1115" s="12" t="n">
        <v>0</v>
      </c>
      <c r="K1115" t="inlineStr">
        <is>
          <t>Premium</t>
        </is>
      </c>
      <c r="L1115" t="inlineStr">
        <is>
          <t>Adjunct</t>
        </is>
      </c>
      <c r="M1115" t="inlineStr">
        <is>
          <t>Annelies de Groot</t>
        </is>
      </c>
    </row>
    <row r="1116">
      <c r="A1116" s="9" t="inlineStr">
        <is>
          <t>Lisa Bartle</t>
        </is>
      </c>
      <c r="B1116" s="9" t="inlineStr">
        <is>
          <t>12/28/25 - 1/25/26</t>
        </is>
      </c>
      <c r="C1116" s="12" t="n">
        <v>1.125</v>
      </c>
      <c r="D1116" s="12" t="n">
        <v>1.3672</v>
      </c>
      <c r="E1116" s="12" t="n">
        <v>0.911111111</v>
      </c>
      <c r="F1116" s="12" t="n">
        <v>0.861111111</v>
      </c>
      <c r="G1116" s="12" t="n">
        <v>0.8</v>
      </c>
      <c r="H1116" s="9" t="n">
        <v>0</v>
      </c>
      <c r="I1116" s="10" t="inlineStr">
        <is>
          <t>0/2</t>
        </is>
      </c>
      <c r="J1116" s="12" t="n">
        <v>0</v>
      </c>
      <c r="K1116" t="inlineStr">
        <is>
          <t>Premium</t>
        </is>
      </c>
      <c r="L1116" t="inlineStr">
        <is>
          <t>Adjunct</t>
        </is>
      </c>
      <c r="M1116" t="inlineStr">
        <is>
          <t>Annelies de Groot</t>
        </is>
      </c>
    </row>
    <row r="1117">
      <c r="A1117" s="9" t="inlineStr">
        <is>
          <t>Lisa Bartle</t>
        </is>
      </c>
      <c r="B1117" s="9" t="inlineStr">
        <is>
          <t>5/18/25 - 6/14/25</t>
        </is>
      </c>
      <c r="C1117" s="12" t="n">
        <v>1.15</v>
      </c>
      <c r="D1117" s="12" t="n">
        <v>1.23</v>
      </c>
      <c r="E1117" s="12" t="n">
        <v>0.96</v>
      </c>
      <c r="F1117" s="12" t="n">
        <v>0.76</v>
      </c>
      <c r="G1117" s="12" t="n">
        <v>0.5</v>
      </c>
      <c r="H1117" s="9" t="n">
        <v>1</v>
      </c>
      <c r="I1117" s="10" t="n">
        <v>0</v>
      </c>
      <c r="J1117" s="12">
        <f>I1117</f>
        <v/>
      </c>
      <c r="K1117" t="inlineStr">
        <is>
          <t>Premium</t>
        </is>
      </c>
      <c r="L1117" t="inlineStr">
        <is>
          <t>Adjunct</t>
        </is>
      </c>
      <c r="M1117" t="inlineStr">
        <is>
          <t>Annelies de Groot</t>
        </is>
      </c>
    </row>
    <row r="1118">
      <c r="A1118" s="9" t="inlineStr">
        <is>
          <t>Lisa Bartle</t>
        </is>
      </c>
      <c r="B1118" s="9" t="inlineStr">
        <is>
          <t>6/15/25 - 7/12/25</t>
        </is>
      </c>
      <c r="C1118" s="12" t="n">
        <v>1.11</v>
      </c>
      <c r="D1118" s="12" t="n">
        <v>1.47</v>
      </c>
      <c r="E1118" s="12" t="n">
        <v>1</v>
      </c>
      <c r="F1118" s="12" t="n">
        <v>1</v>
      </c>
      <c r="G1118" s="12" t="n">
        <v>0.86</v>
      </c>
      <c r="H1118" s="9" t="n">
        <v>2</v>
      </c>
      <c r="I1118" s="10" t="n">
        <v>0</v>
      </c>
      <c r="J1118" s="12">
        <f>I1118</f>
        <v/>
      </c>
      <c r="K1118" t="inlineStr">
        <is>
          <t>Premium</t>
        </is>
      </c>
      <c r="L1118" t="inlineStr">
        <is>
          <t>Adjunct</t>
        </is>
      </c>
      <c r="M1118" t="inlineStr">
        <is>
          <t>Annelies de Groot</t>
        </is>
      </c>
    </row>
    <row r="1119">
      <c r="A1119" s="9" t="inlineStr">
        <is>
          <t>Lisa Bartle</t>
        </is>
      </c>
      <c r="B1119" s="9" t="inlineStr">
        <is>
          <t>7/13/25 - 8/10/25</t>
        </is>
      </c>
      <c r="C1119" s="12" t="n">
        <v>0.9</v>
      </c>
      <c r="D1119" s="12" t="n">
        <v>1.44</v>
      </c>
      <c r="E1119" s="12" t="n">
        <v>0.97</v>
      </c>
      <c r="F1119" s="12" t="n">
        <v>1</v>
      </c>
      <c r="G1119" s="12" t="n">
        <v>0.75</v>
      </c>
      <c r="H1119" s="9" t="n">
        <v>1</v>
      </c>
      <c r="I1119" s="10" t="n">
        <v>0</v>
      </c>
      <c r="J1119" s="12">
        <f>I1119</f>
        <v/>
      </c>
      <c r="K1119" t="inlineStr">
        <is>
          <t>Premium</t>
        </is>
      </c>
      <c r="L1119" t="inlineStr">
        <is>
          <t>Adjunct</t>
        </is>
      </c>
      <c r="M1119" t="inlineStr">
        <is>
          <t>Annelies de Groot</t>
        </is>
      </c>
    </row>
    <row r="1120">
      <c r="A1120" s="9" t="inlineStr">
        <is>
          <t>Lisa Bartle</t>
        </is>
      </c>
      <c r="B1120" s="9" t="inlineStr">
        <is>
          <t>8/10/25 - 9/6/25</t>
        </is>
      </c>
      <c r="C1120" s="12" t="n">
        <v>1.06</v>
      </c>
      <c r="D1120" s="12" t="n">
        <v>1.2</v>
      </c>
      <c r="E1120" s="12" t="n">
        <v>0.96</v>
      </c>
      <c r="F1120" s="12" t="n">
        <v>1</v>
      </c>
      <c r="G1120" s="12" t="n">
        <v>0.25</v>
      </c>
      <c r="H1120" s="9" t="n">
        <v>3</v>
      </c>
      <c r="I1120" s="10" t="inlineStr">
        <is>
          <t>0/1</t>
        </is>
      </c>
      <c r="J1120" s="12" t="n">
        <v>0</v>
      </c>
      <c r="K1120" t="inlineStr">
        <is>
          <t>Premium</t>
        </is>
      </c>
      <c r="L1120" t="inlineStr">
        <is>
          <t>Adjunct</t>
        </is>
      </c>
      <c r="M1120" t="inlineStr">
        <is>
          <t>Annelies de Groot</t>
        </is>
      </c>
    </row>
    <row r="1121">
      <c r="A1121" s="9" t="inlineStr">
        <is>
          <t>Lisa Bartle</t>
        </is>
      </c>
      <c r="B1121" s="9" t="inlineStr">
        <is>
          <t>9/7/25 - 10/4/25</t>
        </is>
      </c>
      <c r="C1121" s="12" t="n">
        <v>1.15</v>
      </c>
      <c r="D1121" s="12" t="n">
        <v>1.32</v>
      </c>
      <c r="E1121" s="12" t="n">
        <v>0.96</v>
      </c>
      <c r="F1121" s="12" t="n">
        <v>0.96</v>
      </c>
      <c r="G1121" s="12" t="n">
        <v>0.64</v>
      </c>
      <c r="H1121" s="9" t="n">
        <v>3</v>
      </c>
      <c r="I1121" s="10" t="inlineStr">
        <is>
          <t>0/1</t>
        </is>
      </c>
      <c r="J1121" s="12" t="n">
        <v>0</v>
      </c>
      <c r="K1121" t="inlineStr">
        <is>
          <t>Premium</t>
        </is>
      </c>
      <c r="L1121" t="inlineStr">
        <is>
          <t>Adjunct</t>
        </is>
      </c>
      <c r="M1121" t="inlineStr">
        <is>
          <t>Annelies de Groot</t>
        </is>
      </c>
    </row>
    <row r="1122">
      <c r="A1122" s="9" t="inlineStr">
        <is>
          <t>Lisa Berkman</t>
        </is>
      </c>
      <c r="B1122" s="9" t="inlineStr">
        <is>
          <t>10/5/25 - 11/1/25</t>
        </is>
      </c>
      <c r="C1122" s="12" t="n">
        <v>0.7</v>
      </c>
      <c r="D1122" s="12" t="n">
        <v>1.3073</v>
      </c>
      <c r="E1122" s="12" t="n">
        <v>1</v>
      </c>
      <c r="F1122" s="12" t="n">
        <v>1</v>
      </c>
      <c r="G1122" s="12" t="n">
        <v>1</v>
      </c>
      <c r="H1122" s="9" t="n">
        <v>2</v>
      </c>
      <c r="I1122" s="10" t="inlineStr">
        <is>
          <t>2/2</t>
        </is>
      </c>
      <c r="J1122" s="12" t="n">
        <v>1</v>
      </c>
      <c r="K1122" t="e">
        <v>#N/A</v>
      </c>
      <c r="L1122" t="e">
        <v>#N/A</v>
      </c>
      <c r="M1122" t="e">
        <v>#N/A</v>
      </c>
    </row>
    <row r="1123">
      <c r="A1123" s="9" t="inlineStr">
        <is>
          <t>Lisa Berkman</t>
        </is>
      </c>
      <c r="B1123" s="9" t="inlineStr">
        <is>
          <t>11/2/25 - 11/29/25</t>
        </is>
      </c>
      <c r="C1123" s="12" t="n">
        <v>0.53</v>
      </c>
      <c r="D1123" s="12" t="n">
        <v>1.07</v>
      </c>
      <c r="E1123" s="12" t="n">
        <v>1</v>
      </c>
      <c r="F1123" s="12" t="n">
        <v>1</v>
      </c>
      <c r="G1123" s="12" t="n">
        <v>0.8</v>
      </c>
      <c r="H1123" s="9" t="n">
        <v>1</v>
      </c>
      <c r="I1123" s="13" t="n">
        <v>45658</v>
      </c>
      <c r="J1123" s="12" t="n">
        <v>1</v>
      </c>
      <c r="K1123" t="e">
        <v>#N/A</v>
      </c>
      <c r="L1123" t="e">
        <v>#N/A</v>
      </c>
      <c r="M1123" t="e">
        <v>#N/A</v>
      </c>
    </row>
    <row r="1124">
      <c r="A1124" s="9" t="inlineStr">
        <is>
          <t>Lisa Berkman</t>
        </is>
      </c>
      <c r="B1124" s="9" t="inlineStr">
        <is>
          <t>11/30/25 - 12/27/25</t>
        </is>
      </c>
      <c r="C1124" s="12" t="n">
        <v>0.32</v>
      </c>
      <c r="D1124" s="12" t="n">
        <v>1.11</v>
      </c>
      <c r="E1124" s="12" t="n">
        <v>0.95</v>
      </c>
      <c r="F1124" s="12" t="n">
        <v>0.89</v>
      </c>
      <c r="G1124" s="12" t="n">
        <v>0.83</v>
      </c>
      <c r="H1124" s="9" t="n">
        <v>0</v>
      </c>
      <c r="I1124" s="10" t="n"/>
      <c r="J1124" s="12" t="n"/>
      <c r="K1124" t="e">
        <v>#N/A</v>
      </c>
      <c r="L1124" t="e">
        <v>#N/A</v>
      </c>
      <c r="M1124" t="e">
        <v>#N/A</v>
      </c>
    </row>
    <row r="1125">
      <c r="A1125" s="9" t="inlineStr">
        <is>
          <t>Lisa Berkman</t>
        </is>
      </c>
      <c r="B1125" s="9" t="inlineStr">
        <is>
          <t>5/18/25 - 6/14/25</t>
        </is>
      </c>
      <c r="C1125" s="12" t="n">
        <v>0.71</v>
      </c>
      <c r="D1125" s="12" t="n">
        <v>1.4</v>
      </c>
      <c r="E1125" s="12" t="n">
        <v>0.9399999999999999</v>
      </c>
      <c r="F1125" s="12" t="n">
        <v>1</v>
      </c>
      <c r="G1125" s="12" t="n">
        <v>0.88</v>
      </c>
      <c r="H1125" s="9" t="n">
        <v>1</v>
      </c>
      <c r="I1125" s="10" t="n">
        <v>1</v>
      </c>
      <c r="J1125" s="12">
        <f>I1125</f>
        <v/>
      </c>
      <c r="K1125" t="e">
        <v>#N/A</v>
      </c>
      <c r="L1125" t="e">
        <v>#N/A</v>
      </c>
      <c r="M1125" t="e">
        <v>#N/A</v>
      </c>
    </row>
    <row r="1126">
      <c r="A1126" s="9" t="inlineStr">
        <is>
          <t>Lisa Berkman</t>
        </is>
      </c>
      <c r="B1126" s="9" t="inlineStr">
        <is>
          <t>6/15/25 - 7/12/25</t>
        </is>
      </c>
      <c r="C1126" s="12" t="n">
        <v>0.59</v>
      </c>
      <c r="D1126" s="12" t="n">
        <v>1.28</v>
      </c>
      <c r="E1126" s="12" t="n">
        <v>0.98</v>
      </c>
      <c r="F1126" s="12" t="n">
        <v>1</v>
      </c>
      <c r="G1126" s="12" t="n">
        <v>1</v>
      </c>
      <c r="H1126" s="9" t="n">
        <v>3</v>
      </c>
      <c r="J1126" s="9" t="n"/>
      <c r="K1126" t="e">
        <v>#N/A</v>
      </c>
      <c r="L1126" t="e">
        <v>#N/A</v>
      </c>
      <c r="M1126" t="e">
        <v>#N/A</v>
      </c>
    </row>
    <row r="1127">
      <c r="A1127" s="9" t="inlineStr">
        <is>
          <t>Lisa Berkman</t>
        </is>
      </c>
      <c r="B1127" s="9" t="inlineStr">
        <is>
          <t>7/13/25 - 8/10/25</t>
        </is>
      </c>
      <c r="C1127" s="12" t="n">
        <v>0.5600000000000001</v>
      </c>
      <c r="D1127" s="12" t="n">
        <v>1.4</v>
      </c>
      <c r="E1127" s="12" t="n">
        <v>0.95</v>
      </c>
      <c r="F1127" s="12" t="n">
        <v>0.74</v>
      </c>
      <c r="G1127" s="12" t="n">
        <v>1</v>
      </c>
      <c r="H1127" s="9" t="n">
        <v>2</v>
      </c>
      <c r="I1127" s="10" t="n">
        <v>1</v>
      </c>
      <c r="J1127" s="12">
        <f>I1127</f>
        <v/>
      </c>
      <c r="K1127" t="e">
        <v>#N/A</v>
      </c>
      <c r="L1127" t="e">
        <v>#N/A</v>
      </c>
      <c r="M1127" t="e">
        <v>#N/A</v>
      </c>
    </row>
    <row r="1128">
      <c r="A1128" s="9" t="inlineStr">
        <is>
          <t>Lisa Berkman</t>
        </is>
      </c>
      <c r="B1128" s="9" t="inlineStr">
        <is>
          <t>8/10/25 - 9/6/25</t>
        </is>
      </c>
      <c r="C1128" s="12" t="n">
        <v>0.98</v>
      </c>
      <c r="D1128" s="12" t="n">
        <v>1.42</v>
      </c>
      <c r="E1128" s="12" t="n">
        <v>1</v>
      </c>
      <c r="F1128" s="12" t="n">
        <v>1</v>
      </c>
      <c r="G1128" s="12" t="n">
        <v>1</v>
      </c>
      <c r="H1128" s="9" t="n">
        <v>1</v>
      </c>
      <c r="I1128" s="10" t="inlineStr">
        <is>
          <t>1/1</t>
        </is>
      </c>
      <c r="J1128" s="12" t="n">
        <v>1</v>
      </c>
      <c r="K1128" t="e">
        <v>#N/A</v>
      </c>
      <c r="L1128" t="e">
        <v>#N/A</v>
      </c>
      <c r="M1128" t="e">
        <v>#N/A</v>
      </c>
    </row>
    <row r="1129">
      <c r="A1129" s="9" t="inlineStr">
        <is>
          <t>Lisa Berkman</t>
        </is>
      </c>
      <c r="B1129" s="9" t="inlineStr">
        <is>
          <t>9/7/25 - 10/4/25</t>
        </is>
      </c>
      <c r="C1129" s="12" t="n">
        <v>0.74</v>
      </c>
      <c r="D1129" s="12" t="n">
        <v>1.29</v>
      </c>
      <c r="E1129" s="12" t="n">
        <v>1</v>
      </c>
      <c r="F1129" s="12" t="n">
        <v>1</v>
      </c>
      <c r="G1129" s="12" t="n">
        <v>1</v>
      </c>
      <c r="H1129" s="9" t="n">
        <v>1</v>
      </c>
      <c r="I1129" s="10" t="inlineStr">
        <is>
          <t>1/1</t>
        </is>
      </c>
      <c r="J1129" s="12" t="n">
        <v>1</v>
      </c>
      <c r="K1129" t="e">
        <v>#N/A</v>
      </c>
      <c r="L1129" t="e">
        <v>#N/A</v>
      </c>
      <c r="M1129" t="e">
        <v>#N/A</v>
      </c>
    </row>
    <row r="1130">
      <c r="A1130" s="9" t="inlineStr">
        <is>
          <t>Liz Garcia</t>
        </is>
      </c>
      <c r="B1130" s="9" t="inlineStr">
        <is>
          <t>10/5/25 - 11/1/25</t>
        </is>
      </c>
      <c r="C1130" s="12" t="n">
        <v>0.825</v>
      </c>
      <c r="D1130" s="12" t="n">
        <v>1.2039</v>
      </c>
      <c r="E1130" s="12" t="n">
        <v>0.933333333333333</v>
      </c>
      <c r="F1130" s="12" t="n">
        <v>0.9830508474576271</v>
      </c>
      <c r="G1130" s="12" t="n">
        <v>0.764705882352941</v>
      </c>
      <c r="H1130" s="9" t="n">
        <v>5</v>
      </c>
      <c r="I1130" s="10" t="inlineStr">
        <is>
          <t>1/2</t>
        </is>
      </c>
      <c r="J1130" s="12" t="n">
        <v>0.5</v>
      </c>
      <c r="K1130" t="inlineStr">
        <is>
          <t>Distinguished</t>
        </is>
      </c>
      <c r="L1130" t="inlineStr">
        <is>
          <t>Professional</t>
        </is>
      </c>
      <c r="M1130" t="inlineStr">
        <is>
          <t>Geoff St. Marie</t>
        </is>
      </c>
    </row>
    <row r="1131">
      <c r="A1131" s="9" t="inlineStr">
        <is>
          <t>Liz Garcia</t>
        </is>
      </c>
      <c r="B1131" s="9" t="inlineStr">
        <is>
          <t>11/2/25 - 11/29/25</t>
        </is>
      </c>
      <c r="C1131" s="12" t="n">
        <v>0.96</v>
      </c>
      <c r="D1131" s="12" t="n">
        <v>1.13</v>
      </c>
      <c r="E1131" s="12" t="n">
        <v>0.98</v>
      </c>
      <c r="F1131" s="12" t="n">
        <v>0.99</v>
      </c>
      <c r="G1131" s="12" t="n">
        <v>0.25</v>
      </c>
      <c r="H1131" s="9" t="n">
        <v>7</v>
      </c>
      <c r="I1131" s="13" t="n">
        <v>45783</v>
      </c>
      <c r="J1131" s="14" t="n">
        <v>0.83</v>
      </c>
      <c r="K1131" t="inlineStr">
        <is>
          <t>Distinguished</t>
        </is>
      </c>
      <c r="L1131" t="inlineStr">
        <is>
          <t>Professional</t>
        </is>
      </c>
      <c r="M1131" t="inlineStr">
        <is>
          <t>Geoff St. Marie</t>
        </is>
      </c>
    </row>
    <row r="1132">
      <c r="A1132" s="9" t="inlineStr">
        <is>
          <t>Liz Garcia</t>
        </is>
      </c>
      <c r="B1132" s="9" t="inlineStr">
        <is>
          <t>11/30/25 - 12/27/25</t>
        </is>
      </c>
      <c r="C1132" s="12" t="n">
        <v>0.7</v>
      </c>
      <c r="D1132" s="12" t="n">
        <v>1.05</v>
      </c>
      <c r="E1132" s="12" t="n">
        <v>1</v>
      </c>
      <c r="F1132" s="12" t="n">
        <v>1</v>
      </c>
      <c r="G1132" s="12" t="n">
        <v>0.89</v>
      </c>
      <c r="H1132" s="9" t="n">
        <v>4</v>
      </c>
      <c r="I1132" s="10" t="n">
        <v>0.3333333333333333</v>
      </c>
      <c r="J1132" s="12" t="n">
        <v>0.33</v>
      </c>
      <c r="K1132" t="inlineStr">
        <is>
          <t>Distinguished</t>
        </is>
      </c>
      <c r="L1132" t="inlineStr">
        <is>
          <t>Professional</t>
        </is>
      </c>
      <c r="M1132" t="inlineStr">
        <is>
          <t>Geoff St. Marie</t>
        </is>
      </c>
    </row>
    <row r="1133">
      <c r="A1133" s="9" t="inlineStr">
        <is>
          <t>Liz Garcia</t>
        </is>
      </c>
      <c r="B1133" s="9" t="inlineStr">
        <is>
          <t>12/28/25 - 1/25/26</t>
        </is>
      </c>
      <c r="C1133" s="12" t="n">
        <v>0.6833</v>
      </c>
      <c r="D1133" s="12" t="n">
        <v>1.1711</v>
      </c>
      <c r="E1133" s="12" t="n">
        <v>1</v>
      </c>
      <c r="F1133" s="12" t="n">
        <v>0.684210526</v>
      </c>
      <c r="G1133" s="12" t="n">
        <v>0.928571429</v>
      </c>
      <c r="H1133" s="9" t="n">
        <v>9</v>
      </c>
      <c r="I1133" s="10" t="n">
        <v>0.8333333333333334</v>
      </c>
      <c r="J1133" s="12">
        <f>I1133</f>
        <v/>
      </c>
      <c r="K1133" t="inlineStr">
        <is>
          <t>Distinguished</t>
        </is>
      </c>
      <c r="L1133" t="inlineStr">
        <is>
          <t>Professional</t>
        </is>
      </c>
      <c r="M1133" t="inlineStr">
        <is>
          <t>Geoff St. Marie</t>
        </is>
      </c>
    </row>
    <row r="1134">
      <c r="A1134" s="9" t="inlineStr">
        <is>
          <t>Liz Garcia</t>
        </is>
      </c>
      <c r="B1134" s="9" t="inlineStr">
        <is>
          <t>5/18/25 - 6/14/25</t>
        </is>
      </c>
      <c r="C1134" s="12" t="n">
        <v>0.82</v>
      </c>
      <c r="D1134" s="12" t="n">
        <v>1.18</v>
      </c>
      <c r="E1134" s="12" t="n">
        <v>1</v>
      </c>
      <c r="F1134" s="12" t="n">
        <v>0.98</v>
      </c>
      <c r="G1134" s="12" t="n">
        <v>0.5</v>
      </c>
      <c r="H1134" s="9" t="n">
        <v>3</v>
      </c>
      <c r="I1134" s="10" t="n">
        <v>1</v>
      </c>
      <c r="J1134" s="12">
        <f>I1134</f>
        <v/>
      </c>
      <c r="K1134" t="inlineStr">
        <is>
          <t>Distinguished</t>
        </is>
      </c>
      <c r="L1134" t="inlineStr">
        <is>
          <t>Professional</t>
        </is>
      </c>
      <c r="M1134" t="inlineStr">
        <is>
          <t>Geoff St. Marie</t>
        </is>
      </c>
    </row>
    <row r="1135">
      <c r="A1135" s="9" t="inlineStr">
        <is>
          <t>Liz Garcia</t>
        </is>
      </c>
      <c r="B1135" s="9" t="inlineStr">
        <is>
          <t>6/15/25 - 7/12/25</t>
        </is>
      </c>
      <c r="C1135" s="12" t="n">
        <v>0.44</v>
      </c>
      <c r="D1135" s="12" t="n">
        <v>1</v>
      </c>
      <c r="E1135" s="12" t="n">
        <v>1</v>
      </c>
      <c r="F1135" s="12" t="n">
        <v>1</v>
      </c>
      <c r="G1135" s="12" t="n">
        <v>0.78</v>
      </c>
      <c r="H1135" s="9" t="n">
        <v>5</v>
      </c>
      <c r="I1135" s="10" t="n">
        <v>1</v>
      </c>
      <c r="J1135" s="12">
        <f>I1135</f>
        <v/>
      </c>
      <c r="K1135" t="inlineStr">
        <is>
          <t>Distinguished</t>
        </is>
      </c>
      <c r="L1135" t="inlineStr">
        <is>
          <t>Professional</t>
        </is>
      </c>
      <c r="M1135" t="inlineStr">
        <is>
          <t>Geoff St. Marie</t>
        </is>
      </c>
    </row>
    <row r="1136">
      <c r="A1136" s="9" t="inlineStr">
        <is>
          <t>Liz Garcia</t>
        </is>
      </c>
      <c r="B1136" s="9" t="inlineStr">
        <is>
          <t>7/13/25 - 8/10/25</t>
        </is>
      </c>
      <c r="C1136" s="12" t="n">
        <v>0.61</v>
      </c>
      <c r="D1136" s="12" t="n">
        <v>0.99</v>
      </c>
      <c r="E1136" s="12" t="n">
        <v>0.97</v>
      </c>
      <c r="F1136" s="12" t="n">
        <v>0.98</v>
      </c>
      <c r="G1136" s="12" t="n">
        <v>0.72</v>
      </c>
      <c r="H1136" s="9" t="n">
        <v>1</v>
      </c>
      <c r="I1136" s="10" t="n">
        <v>1</v>
      </c>
      <c r="J1136" s="12">
        <f>I1136</f>
        <v/>
      </c>
      <c r="K1136" t="inlineStr">
        <is>
          <t>Distinguished</t>
        </is>
      </c>
      <c r="L1136" t="inlineStr">
        <is>
          <t>Professional</t>
        </is>
      </c>
      <c r="M1136" t="inlineStr">
        <is>
          <t>Geoff St. Marie</t>
        </is>
      </c>
    </row>
    <row r="1137">
      <c r="A1137" s="9" t="inlineStr">
        <is>
          <t>Liz Garcia</t>
        </is>
      </c>
      <c r="B1137" s="9" t="inlineStr">
        <is>
          <t>8/10/25 - 9/6/25</t>
        </is>
      </c>
      <c r="C1137" s="12" t="n">
        <v>0.92</v>
      </c>
      <c r="D1137" s="12" t="n">
        <v>1.19</v>
      </c>
      <c r="E1137" s="12" t="n">
        <v>1</v>
      </c>
      <c r="F1137" s="12" t="n">
        <v>1</v>
      </c>
      <c r="G1137" s="12" t="n">
        <v>0.13</v>
      </c>
      <c r="H1137" s="9" t="n">
        <v>9</v>
      </c>
      <c r="I1137" s="10" t="inlineStr">
        <is>
          <t>4/5</t>
        </is>
      </c>
      <c r="J1137" s="12" t="n">
        <v>0.8</v>
      </c>
      <c r="K1137" t="inlineStr">
        <is>
          <t>Distinguished</t>
        </is>
      </c>
      <c r="L1137" t="inlineStr">
        <is>
          <t>Professional</t>
        </is>
      </c>
      <c r="M1137" t="inlineStr">
        <is>
          <t>Geoff St. Marie</t>
        </is>
      </c>
    </row>
    <row r="1138">
      <c r="A1138" s="9" t="inlineStr">
        <is>
          <t>Liz Garcia</t>
        </is>
      </c>
      <c r="B1138" s="9" t="inlineStr">
        <is>
          <t>9/7/25 - 10/4/25</t>
        </is>
      </c>
      <c r="C1138" s="12" t="n">
        <v>0.83</v>
      </c>
      <c r="D1138" s="12" t="n">
        <v>1.21</v>
      </c>
      <c r="E1138" s="12" t="n">
        <v>0.99</v>
      </c>
      <c r="F1138" s="12" t="n">
        <v>0.97</v>
      </c>
      <c r="G1138" s="12" t="n">
        <v>0.6899999999999999</v>
      </c>
      <c r="H1138" s="9" t="n">
        <v>1</v>
      </c>
      <c r="I1138" s="10" t="inlineStr">
        <is>
          <t>0/3</t>
        </is>
      </c>
      <c r="J1138" s="12" t="n">
        <v>0</v>
      </c>
      <c r="K1138" t="inlineStr">
        <is>
          <t>Distinguished</t>
        </is>
      </c>
      <c r="L1138" t="inlineStr">
        <is>
          <t>Professional</t>
        </is>
      </c>
      <c r="M1138" t="inlineStr">
        <is>
          <t>Geoff St. Marie</t>
        </is>
      </c>
    </row>
    <row r="1139">
      <c r="A1139" s="9" t="inlineStr">
        <is>
          <t>Liz Pirie</t>
        </is>
      </c>
      <c r="B1139" s="9" t="inlineStr">
        <is>
          <t>10/5/25 - 11/1/25</t>
        </is>
      </c>
      <c r="C1139" s="12" t="n">
        <v>0.8107</v>
      </c>
      <c r="D1139" s="12" t="n">
        <v>1.3503</v>
      </c>
      <c r="E1139" s="12" t="n">
        <v>1</v>
      </c>
      <c r="F1139" s="12" t="n">
        <v>0.754098360655737</v>
      </c>
      <c r="G1139" s="12" t="n">
        <v>1</v>
      </c>
      <c r="H1139" s="9" t="n">
        <v>4</v>
      </c>
      <c r="I1139" s="10" t="inlineStr">
        <is>
          <t>3/3</t>
        </is>
      </c>
      <c r="J1139" s="12" t="n">
        <v>1</v>
      </c>
      <c r="K1139" t="inlineStr">
        <is>
          <t>Distinguished</t>
        </is>
      </c>
      <c r="L1139" t="inlineStr">
        <is>
          <t>Professional</t>
        </is>
      </c>
      <c r="M1139" t="inlineStr">
        <is>
          <t>Kristin Haase-Alvey</t>
        </is>
      </c>
    </row>
    <row r="1140">
      <c r="A1140" s="9" t="inlineStr">
        <is>
          <t>Liz Pirie</t>
        </is>
      </c>
      <c r="B1140" s="9" t="inlineStr">
        <is>
          <t>11/2/25 - 11/29/25</t>
        </is>
      </c>
      <c r="C1140" s="12" t="n">
        <v>0.91</v>
      </c>
      <c r="D1140" s="12" t="n">
        <v>1.24</v>
      </c>
      <c r="E1140" s="12" t="n">
        <v>1</v>
      </c>
      <c r="F1140" s="12" t="n">
        <v>1</v>
      </c>
      <c r="G1140" s="12" t="n">
        <v>1</v>
      </c>
      <c r="H1140" s="9" t="n">
        <v>5</v>
      </c>
      <c r="I1140" s="13" t="n">
        <v>45719</v>
      </c>
      <c r="J1140" s="12" t="n">
        <v>1</v>
      </c>
      <c r="K1140" t="inlineStr">
        <is>
          <t>Distinguished</t>
        </is>
      </c>
      <c r="L1140" t="inlineStr">
        <is>
          <t>Professional</t>
        </is>
      </c>
      <c r="M1140" t="inlineStr">
        <is>
          <t>Kristin Haase-Alvey</t>
        </is>
      </c>
    </row>
    <row r="1141">
      <c r="A1141" s="9" t="inlineStr">
        <is>
          <t>Liz Pirie</t>
        </is>
      </c>
      <c r="B1141" s="9" t="inlineStr">
        <is>
          <t>11/30/25 - 12/27/25</t>
        </is>
      </c>
      <c r="C1141" s="12" t="n">
        <v>0.79</v>
      </c>
      <c r="D1141" s="12" t="n">
        <v>1.16</v>
      </c>
      <c r="E1141" s="12" t="n">
        <v>1</v>
      </c>
      <c r="F1141" s="12" t="n">
        <v>0.92</v>
      </c>
      <c r="G1141" s="12" t="n">
        <v>1</v>
      </c>
      <c r="H1141" s="9" t="n">
        <v>4</v>
      </c>
      <c r="I1141" s="10" t="inlineStr">
        <is>
          <t>0/1</t>
        </is>
      </c>
      <c r="J1141" s="12" t="n">
        <v>0</v>
      </c>
      <c r="K1141" t="inlineStr">
        <is>
          <t>Distinguished</t>
        </is>
      </c>
      <c r="L1141" t="inlineStr">
        <is>
          <t>Professional</t>
        </is>
      </c>
      <c r="M1141" t="inlineStr">
        <is>
          <t>Kristin Haase-Alvey</t>
        </is>
      </c>
    </row>
    <row r="1142">
      <c r="A1142" s="9" t="inlineStr">
        <is>
          <t>Liz Pirie</t>
        </is>
      </c>
      <c r="B1142" s="9" t="inlineStr">
        <is>
          <t>12/28/25 - 1/25/26</t>
        </is>
      </c>
      <c r="C1142" s="12" t="n">
        <v>0.6083</v>
      </c>
      <c r="D1142" s="12" t="n">
        <v>1.1003</v>
      </c>
      <c r="E1142" s="12" t="n">
        <v>1</v>
      </c>
      <c r="F1142" s="12" t="n">
        <v>0.916666667</v>
      </c>
      <c r="G1142" s="12" t="n">
        <v>0.916666667</v>
      </c>
      <c r="H1142" s="9" t="n">
        <v>4</v>
      </c>
      <c r="I1142" s="10" t="n">
        <v>0.8571428571428571</v>
      </c>
      <c r="J1142" s="12">
        <f>I1142</f>
        <v/>
      </c>
      <c r="K1142" t="inlineStr">
        <is>
          <t>Distinguished</t>
        </is>
      </c>
      <c r="L1142" t="inlineStr">
        <is>
          <t>Professional</t>
        </is>
      </c>
      <c r="M1142" t="inlineStr">
        <is>
          <t>Kristin Haase-Alvey</t>
        </is>
      </c>
    </row>
    <row r="1143">
      <c r="A1143" s="9" t="inlineStr">
        <is>
          <t>Liz Pirie</t>
        </is>
      </c>
      <c r="B1143" s="9" t="inlineStr">
        <is>
          <t>5/18/25 - 6/14/25</t>
        </is>
      </c>
      <c r="C1143" s="12" t="n">
        <v>0.92</v>
      </c>
      <c r="D1143" s="12" t="n">
        <v>1.37</v>
      </c>
      <c r="E1143" s="12" t="n">
        <v>1</v>
      </c>
      <c r="F1143" s="12" t="n">
        <v>0.89</v>
      </c>
      <c r="G1143" s="12" t="n">
        <v>1</v>
      </c>
      <c r="H1143" s="9" t="n">
        <v>4</v>
      </c>
      <c r="I1143" s="10" t="inlineStr">
        <is>
          <t xml:space="preserve"> 8/9</t>
        </is>
      </c>
      <c r="J1143" s="12" t="n">
        <v>0.89</v>
      </c>
      <c r="K1143" t="inlineStr">
        <is>
          <t>Distinguished</t>
        </is>
      </c>
      <c r="L1143" t="inlineStr">
        <is>
          <t>Professional</t>
        </is>
      </c>
      <c r="M1143" t="inlineStr">
        <is>
          <t>Kristin Haase-Alvey</t>
        </is>
      </c>
    </row>
    <row r="1144">
      <c r="A1144" s="9" t="inlineStr">
        <is>
          <t>Liz Pirie</t>
        </is>
      </c>
      <c r="B1144" s="9" t="inlineStr">
        <is>
          <t>6/15/25 - 7/12/25</t>
        </is>
      </c>
      <c r="C1144" s="12" t="n">
        <v>0.4</v>
      </c>
      <c r="D1144" s="12" t="n">
        <v>0.8100000000000001</v>
      </c>
      <c r="E1144" s="12" t="n">
        <v>1</v>
      </c>
      <c r="F1144" s="12" t="n">
        <v>0.85</v>
      </c>
      <c r="G1144" s="12" t="n">
        <v>0.88</v>
      </c>
      <c r="H1144" s="9" t="e">
        <v>#N/A</v>
      </c>
      <c r="I1144" s="10" t="n">
        <v>1</v>
      </c>
      <c r="J1144" s="12">
        <f>I1144</f>
        <v/>
      </c>
      <c r="K1144" t="inlineStr">
        <is>
          <t>Distinguished</t>
        </is>
      </c>
      <c r="L1144" t="inlineStr">
        <is>
          <t>Professional</t>
        </is>
      </c>
      <c r="M1144" t="inlineStr">
        <is>
          <t>Kristin Haase-Alvey</t>
        </is>
      </c>
    </row>
    <row r="1145">
      <c r="A1145" s="9" t="inlineStr">
        <is>
          <t>Liz Pirie</t>
        </is>
      </c>
      <c r="B1145" s="9" t="inlineStr">
        <is>
          <t>7/13/25 - 8/10/25</t>
        </is>
      </c>
      <c r="C1145" s="12" t="n">
        <v>0.76</v>
      </c>
      <c r="D1145" s="12" t="n">
        <v>1.1</v>
      </c>
      <c r="E1145" s="12" t="n">
        <v>1</v>
      </c>
      <c r="F1145" s="12" t="n">
        <v>0.98</v>
      </c>
      <c r="G1145" s="12" t="n">
        <v>0.88</v>
      </c>
      <c r="H1145" s="9" t="n">
        <v>2</v>
      </c>
      <c r="I1145" s="10" t="n">
        <v>1</v>
      </c>
      <c r="J1145" s="12">
        <f>I1145</f>
        <v/>
      </c>
      <c r="K1145" t="inlineStr">
        <is>
          <t>Distinguished</t>
        </is>
      </c>
      <c r="L1145" t="inlineStr">
        <is>
          <t>Professional</t>
        </is>
      </c>
      <c r="M1145" t="inlineStr">
        <is>
          <t>Kristin Haase-Alvey</t>
        </is>
      </c>
    </row>
    <row r="1146">
      <c r="A1146" s="9" t="inlineStr">
        <is>
          <t>Liz Pirie</t>
        </is>
      </c>
      <c r="B1146" s="9" t="inlineStr">
        <is>
          <t>8/10/25 - 9/6/25</t>
        </is>
      </c>
      <c r="C1146" s="12" t="n">
        <v>1.06</v>
      </c>
      <c r="D1146" s="12" t="n">
        <v>0.93</v>
      </c>
      <c r="E1146" s="12" t="n">
        <v>1</v>
      </c>
      <c r="F1146" s="12" t="n">
        <v>0.97</v>
      </c>
      <c r="G1146" s="12" t="n">
        <v>0.83</v>
      </c>
      <c r="H1146" s="9" t="n">
        <v>4</v>
      </c>
      <c r="I1146" s="10" t="inlineStr">
        <is>
          <t>2/2</t>
        </is>
      </c>
      <c r="J1146" s="12" t="n">
        <v>1</v>
      </c>
      <c r="K1146" t="inlineStr">
        <is>
          <t>Distinguished</t>
        </is>
      </c>
      <c r="L1146" t="inlineStr">
        <is>
          <t>Professional</t>
        </is>
      </c>
      <c r="M1146" t="inlineStr">
        <is>
          <t>Kristin Haase-Alvey</t>
        </is>
      </c>
    </row>
    <row r="1147">
      <c r="A1147" s="9" t="inlineStr">
        <is>
          <t>Liz Pirie</t>
        </is>
      </c>
      <c r="B1147" s="9" t="inlineStr">
        <is>
          <t>9/7/25 - 10/4/25</t>
        </is>
      </c>
      <c r="C1147" s="12" t="n">
        <v>1.1</v>
      </c>
      <c r="D1147" s="12" t="n">
        <v>0.93</v>
      </c>
      <c r="E1147" s="12" t="n">
        <v>1</v>
      </c>
      <c r="F1147" s="12" t="n">
        <v>0.96</v>
      </c>
      <c r="G1147" s="12" t="n">
        <v>1</v>
      </c>
      <c r="H1147" s="9" t="n">
        <v>3</v>
      </c>
      <c r="I1147" s="10" t="inlineStr">
        <is>
          <t>0/1</t>
        </is>
      </c>
      <c r="J1147" s="12" t="n">
        <v>0</v>
      </c>
      <c r="K1147" t="inlineStr">
        <is>
          <t>Distinguished</t>
        </is>
      </c>
      <c r="L1147" t="inlineStr">
        <is>
          <t>Professional</t>
        </is>
      </c>
      <c r="M1147" t="inlineStr">
        <is>
          <t>Kristin Haase-Alvey</t>
        </is>
      </c>
    </row>
    <row r="1148">
      <c r="A1148" s="9" t="inlineStr">
        <is>
          <t>Luc Freiburg</t>
        </is>
      </c>
      <c r="B1148" s="9" t="inlineStr">
        <is>
          <t>10/5/25 - 11/1/25</t>
        </is>
      </c>
      <c r="C1148" s="12" t="n">
        <v>0.8125</v>
      </c>
      <c r="D1148" s="12" t="n">
        <v>0.8905999999999999</v>
      </c>
      <c r="E1148" s="12" t="n">
        <v>0.785714285714285</v>
      </c>
      <c r="F1148" s="12" t="n">
        <v>0.368421052631578</v>
      </c>
      <c r="G1148" s="12" t="n">
        <v>0.333333333333333</v>
      </c>
      <c r="H1148" s="9" t="n">
        <v>1</v>
      </c>
      <c r="I1148" s="10" t="inlineStr">
        <is>
          <t>0/1</t>
        </is>
      </c>
      <c r="J1148" s="12" t="n">
        <v>0</v>
      </c>
      <c r="K1148" t="e">
        <v>#N/A</v>
      </c>
      <c r="L1148" t="e">
        <v>#N/A</v>
      </c>
      <c r="M1148" t="e">
        <v>#N/A</v>
      </c>
    </row>
    <row r="1149">
      <c r="A1149" s="9" t="inlineStr">
        <is>
          <t>Luc Freiburg</t>
        </is>
      </c>
      <c r="B1149" s="9" t="inlineStr">
        <is>
          <t>5/18/25 - 6/14/25</t>
        </is>
      </c>
      <c r="C1149" s="12" t="n">
        <v>0.54</v>
      </c>
      <c r="D1149" s="12" t="n">
        <v>1.41</v>
      </c>
      <c r="E1149" s="12" t="n">
        <v>1</v>
      </c>
      <c r="F1149" s="12" t="n">
        <v>1</v>
      </c>
      <c r="G1149" s="12" t="n">
        <v>0.5</v>
      </c>
      <c r="H1149" s="9" t="e">
        <v>#N/A</v>
      </c>
      <c r="J1149" s="9" t="n"/>
      <c r="K1149" t="e">
        <v>#N/A</v>
      </c>
      <c r="L1149" t="e">
        <v>#N/A</v>
      </c>
      <c r="M1149" t="e">
        <v>#N/A</v>
      </c>
    </row>
    <row r="1150">
      <c r="A1150" s="9" t="inlineStr">
        <is>
          <t>Luc Freiburg</t>
        </is>
      </c>
      <c r="B1150" s="9" t="inlineStr">
        <is>
          <t>6/15/25 - 7/12/25</t>
        </is>
      </c>
      <c r="C1150" s="12" t="n">
        <v>0.25</v>
      </c>
      <c r="D1150" s="12" t="n">
        <v>1.38</v>
      </c>
      <c r="E1150" s="12" t="n">
        <v>1</v>
      </c>
      <c r="F1150" s="12" t="n">
        <v>0.6</v>
      </c>
      <c r="G1150" s="12" t="n">
        <v>0.67</v>
      </c>
      <c r="H1150" s="9" t="e">
        <v>#N/A</v>
      </c>
      <c r="I1150" s="10" t="n">
        <v>1</v>
      </c>
      <c r="J1150" s="12">
        <f>I1150</f>
        <v/>
      </c>
      <c r="K1150" t="e">
        <v>#N/A</v>
      </c>
      <c r="L1150" t="e">
        <v>#N/A</v>
      </c>
      <c r="M1150" t="e">
        <v>#N/A</v>
      </c>
    </row>
    <row r="1151">
      <c r="A1151" s="9" t="inlineStr">
        <is>
          <t>Luc Freiburg</t>
        </is>
      </c>
      <c r="B1151" s="9" t="inlineStr">
        <is>
          <t>7/13/25 - 8/10/25</t>
        </is>
      </c>
      <c r="C1151" s="12" t="n">
        <v>0.64</v>
      </c>
      <c r="D1151" s="12" t="n">
        <v>1.75</v>
      </c>
      <c r="E1151" s="12" t="n">
        <v>0.92</v>
      </c>
      <c r="F1151" s="12" t="n">
        <v>0.91</v>
      </c>
      <c r="G1151" s="12" t="n">
        <v>1</v>
      </c>
      <c r="H1151" s="9" t="n">
        <v>1</v>
      </c>
      <c r="I1151" s="10" t="inlineStr">
        <is>
          <t xml:space="preserve"> 2/3</t>
        </is>
      </c>
      <c r="J1151" s="12" t="n">
        <v>0.67</v>
      </c>
      <c r="K1151" t="e">
        <v>#N/A</v>
      </c>
      <c r="L1151" t="e">
        <v>#N/A</v>
      </c>
      <c r="M1151" t="e">
        <v>#N/A</v>
      </c>
    </row>
    <row r="1152">
      <c r="A1152" s="9" t="inlineStr">
        <is>
          <t>Luc Freiburg</t>
        </is>
      </c>
      <c r="B1152" s="9" t="inlineStr">
        <is>
          <t>8/10/25 - 9/6/25</t>
        </is>
      </c>
      <c r="C1152" s="12" t="n">
        <v>0.46</v>
      </c>
      <c r="D1152" s="12" t="n">
        <v>1.3</v>
      </c>
      <c r="E1152" s="12" t="n">
        <v>0.86</v>
      </c>
      <c r="F1152" s="12" t="n">
        <v>0.6899999999999999</v>
      </c>
      <c r="G1152" s="12" t="n">
        <v>0.67</v>
      </c>
      <c r="H1152" s="9" t="n">
        <v>2</v>
      </c>
      <c r="I1152" s="10" t="inlineStr">
        <is>
          <t>1/1</t>
        </is>
      </c>
      <c r="J1152" s="12" t="n">
        <v>1</v>
      </c>
      <c r="K1152" t="e">
        <v>#N/A</v>
      </c>
      <c r="L1152" t="e">
        <v>#N/A</v>
      </c>
      <c r="M1152" t="e">
        <v>#N/A</v>
      </c>
    </row>
    <row r="1153">
      <c r="A1153" s="9" t="inlineStr">
        <is>
          <t>Luc Freiburg</t>
        </is>
      </c>
      <c r="B1153" s="9" t="inlineStr">
        <is>
          <t>9/7/25 - 10/4/25</t>
        </is>
      </c>
      <c r="C1153" s="12" t="n">
        <v>0.8100000000000001</v>
      </c>
      <c r="D1153" s="12" t="n">
        <v>1.04</v>
      </c>
      <c r="E1153" s="12" t="n">
        <v>0.89</v>
      </c>
      <c r="F1153" s="12" t="n">
        <v>0.89</v>
      </c>
      <c r="G1153" s="12" t="n">
        <v>0.4</v>
      </c>
      <c r="H1153" s="9" t="n">
        <v>0</v>
      </c>
      <c r="I1153" s="10" t="inlineStr">
        <is>
          <t>1/1</t>
        </is>
      </c>
      <c r="J1153" s="12" t="n">
        <v>1</v>
      </c>
      <c r="K1153" t="e">
        <v>#N/A</v>
      </c>
      <c r="L1153" t="e">
        <v>#N/A</v>
      </c>
      <c r="M1153" t="e">
        <v>#N/A</v>
      </c>
    </row>
    <row r="1154">
      <c r="A1154" s="9" t="inlineStr">
        <is>
          <t>Luke Sellmayer</t>
        </is>
      </c>
      <c r="B1154" s="9" t="inlineStr">
        <is>
          <t>10/5/25 - 11/1/25</t>
        </is>
      </c>
      <c r="C1154" s="12" t="n">
        <v>0.8792</v>
      </c>
      <c r="D1154" s="12" t="n">
        <v>1.0806</v>
      </c>
      <c r="E1154" s="12" t="n">
        <v>0.989473684210526</v>
      </c>
      <c r="F1154" s="12" t="n">
        <v>0.934426229508196</v>
      </c>
      <c r="G1154" s="12" t="n">
        <v>0</v>
      </c>
      <c r="H1154" s="9" t="n">
        <v>5</v>
      </c>
      <c r="I1154" s="10" t="inlineStr">
        <is>
          <t>11/17</t>
        </is>
      </c>
      <c r="J1154" s="12" t="n">
        <v>0.65</v>
      </c>
      <c r="K1154" t="e">
        <v>#N/A</v>
      </c>
      <c r="L1154" t="e">
        <v>#N/A</v>
      </c>
      <c r="M1154" t="e">
        <v>#N/A</v>
      </c>
    </row>
    <row r="1155">
      <c r="A1155" s="9" t="inlineStr">
        <is>
          <t>Luke Sellmayer</t>
        </is>
      </c>
      <c r="B1155" s="9" t="inlineStr">
        <is>
          <t>10/5/25 - 11/1/25</t>
        </is>
      </c>
      <c r="C1155" s="12" t="n">
        <v>0.8792</v>
      </c>
      <c r="D1155" s="12" t="n">
        <v>1.0806</v>
      </c>
      <c r="E1155" s="12" t="n">
        <v>0.989473684210526</v>
      </c>
      <c r="F1155" s="12" t="n">
        <v>0.934426229508196</v>
      </c>
      <c r="G1155" s="12" t="n">
        <v>0</v>
      </c>
      <c r="H1155" s="9" t="n">
        <v>5</v>
      </c>
      <c r="I1155" s="10" t="inlineStr">
        <is>
          <t>11/17</t>
        </is>
      </c>
      <c r="J1155" s="12">
        <f>_xlfn.TEXTBEFORE(I1155, "/")/_xlfn.TEXTAFTER(I1155,"/")</f>
        <v/>
      </c>
      <c r="K1155" t="e">
        <v>#N/A</v>
      </c>
      <c r="L1155" t="e">
        <v>#N/A</v>
      </c>
      <c r="M1155" t="e">
        <v>#N/A</v>
      </c>
    </row>
    <row r="1156">
      <c r="A1156" s="9" t="inlineStr">
        <is>
          <t>Luke Sellmayer</t>
        </is>
      </c>
      <c r="B1156" s="9" t="inlineStr">
        <is>
          <t>11/2/25 - 11/29/25</t>
        </is>
      </c>
      <c r="C1156" s="12" t="n">
        <v>1.12</v>
      </c>
      <c r="D1156" s="12" t="n">
        <v>1.09</v>
      </c>
      <c r="E1156" s="12" t="n">
        <v>1</v>
      </c>
      <c r="F1156" s="12" t="n">
        <v>0.83</v>
      </c>
      <c r="G1156" s="12" t="n">
        <v>0.27</v>
      </c>
      <c r="H1156" s="9" t="n">
        <v>14</v>
      </c>
      <c r="I1156" s="13" t="n">
        <v>45973</v>
      </c>
      <c r="J1156" s="14" t="n">
        <v>0.92</v>
      </c>
      <c r="K1156" t="e">
        <v>#N/A</v>
      </c>
      <c r="L1156" t="e">
        <v>#N/A</v>
      </c>
      <c r="M1156" t="e">
        <v>#N/A</v>
      </c>
    </row>
    <row r="1157">
      <c r="A1157" s="9" t="inlineStr">
        <is>
          <t>Luke Sellmayer</t>
        </is>
      </c>
      <c r="B1157" s="9" t="inlineStr">
        <is>
          <t>9/7/25 - 10/4/25</t>
        </is>
      </c>
      <c r="C1157" s="12" t="n">
        <v>0.12</v>
      </c>
      <c r="D1157" s="12" t="n">
        <v>0.8100000000000001</v>
      </c>
      <c r="E1157" s="12" t="n">
        <v>1</v>
      </c>
      <c r="F1157" s="12" t="n">
        <v>0</v>
      </c>
      <c r="G1157" s="12" t="n">
        <v>0</v>
      </c>
      <c r="H1157" s="9" t="n">
        <v>0</v>
      </c>
      <c r="I1157" s="10" t="inlineStr">
        <is>
          <t>0/1</t>
        </is>
      </c>
      <c r="J1157" s="12" t="n">
        <v>0</v>
      </c>
      <c r="K1157" t="e">
        <v>#N/A</v>
      </c>
      <c r="L1157" t="e">
        <v>#N/A</v>
      </c>
      <c r="M1157" t="e">
        <v>#N/A</v>
      </c>
    </row>
    <row r="1158">
      <c r="A1158" s="9" t="inlineStr">
        <is>
          <t>Machaela Verhage</t>
        </is>
      </c>
      <c r="B1158" s="9" t="inlineStr">
        <is>
          <t>10/5/25 - 11/1/25</t>
        </is>
      </c>
      <c r="C1158" s="12" t="n">
        <v>0.7792</v>
      </c>
      <c r="D1158" s="12" t="n">
        <v>1.09209999999999</v>
      </c>
      <c r="E1158" s="12" t="n">
        <v>1</v>
      </c>
      <c r="F1158" s="12" t="n">
        <v>0.903225806451612</v>
      </c>
      <c r="G1158" s="12" t="n">
        <v>0.4</v>
      </c>
      <c r="H1158" s="9" t="n">
        <v>3</v>
      </c>
      <c r="I1158" s="10" t="inlineStr">
        <is>
          <t>5/6</t>
        </is>
      </c>
      <c r="J1158" s="12" t="n">
        <v>0.83</v>
      </c>
      <c r="K1158" t="inlineStr">
        <is>
          <t>Distinguished</t>
        </is>
      </c>
      <c r="L1158" t="inlineStr">
        <is>
          <t>Professional</t>
        </is>
      </c>
      <c r="M1158" t="inlineStr">
        <is>
          <t>Annelies de Groot</t>
        </is>
      </c>
    </row>
    <row r="1159">
      <c r="A1159" s="9" t="inlineStr">
        <is>
          <t>Machaela Verhage</t>
        </is>
      </c>
      <c r="B1159" s="9" t="inlineStr">
        <is>
          <t>10/5/25 - 11/1/25</t>
        </is>
      </c>
      <c r="C1159" s="12" t="n">
        <v>0.7792</v>
      </c>
      <c r="D1159" s="12" t="n">
        <v>1.09209999999999</v>
      </c>
      <c r="E1159" s="12" t="n">
        <v>1</v>
      </c>
      <c r="F1159" s="12" t="n">
        <v>0.903225806451612</v>
      </c>
      <c r="G1159" s="12" t="n">
        <v>0.4</v>
      </c>
      <c r="H1159" s="9" t="n">
        <v>3</v>
      </c>
      <c r="I1159" s="10" t="inlineStr">
        <is>
          <t>5/6</t>
        </is>
      </c>
      <c r="J1159" s="12">
        <f>_xlfn.TEXTBEFORE(I1159, "/")/_xlfn.TEXTAFTER(I1159,"/")</f>
        <v/>
      </c>
      <c r="K1159" t="inlineStr">
        <is>
          <t>Distinguished</t>
        </is>
      </c>
      <c r="L1159" t="inlineStr">
        <is>
          <t>Professional</t>
        </is>
      </c>
      <c r="M1159" t="inlineStr">
        <is>
          <t>Annelies de Groot</t>
        </is>
      </c>
    </row>
    <row r="1160">
      <c r="A1160" s="9" t="inlineStr">
        <is>
          <t>Machaela Verhage</t>
        </is>
      </c>
      <c r="B1160" s="9" t="inlineStr">
        <is>
          <t>11/2/25 - 11/29/25</t>
        </is>
      </c>
      <c r="C1160" s="12" t="n">
        <v>0.63</v>
      </c>
      <c r="D1160" s="12" t="n">
        <v>1.12</v>
      </c>
      <c r="E1160" s="12" t="n">
        <v>0.99</v>
      </c>
      <c r="F1160" s="12" t="n">
        <v>1</v>
      </c>
      <c r="G1160" s="12" t="n">
        <v>0.38</v>
      </c>
      <c r="H1160" s="9" t="n">
        <v>1</v>
      </c>
      <c r="I1160" s="13" t="inlineStr">
        <is>
          <t>0/4</t>
        </is>
      </c>
      <c r="J1160" s="12" t="n">
        <v>0</v>
      </c>
      <c r="K1160" t="inlineStr">
        <is>
          <t>Distinguished</t>
        </is>
      </c>
      <c r="L1160" t="inlineStr">
        <is>
          <t>Professional</t>
        </is>
      </c>
      <c r="M1160" t="inlineStr">
        <is>
          <t>Annelies de Groot</t>
        </is>
      </c>
    </row>
    <row r="1161">
      <c r="A1161" s="9" t="inlineStr">
        <is>
          <t>Machaela Verhage</t>
        </is>
      </c>
      <c r="B1161" s="9" t="inlineStr">
        <is>
          <t>11/30/25 - 12/27/25</t>
        </is>
      </c>
      <c r="C1161" s="12" t="n">
        <v>0.61</v>
      </c>
      <c r="D1161" s="12" t="n">
        <v>1.15</v>
      </c>
      <c r="E1161" s="12" t="n">
        <v>0.99</v>
      </c>
      <c r="F1161" s="12" t="n">
        <v>1</v>
      </c>
      <c r="G1161" s="12" t="n">
        <v>0.6</v>
      </c>
      <c r="H1161" s="9" t="n">
        <v>5</v>
      </c>
      <c r="I1161" s="10" t="n">
        <v>0.3333333333333333</v>
      </c>
      <c r="J1161" s="12" t="n">
        <v>0.33</v>
      </c>
      <c r="K1161" t="inlineStr">
        <is>
          <t>Distinguished</t>
        </is>
      </c>
      <c r="L1161" t="inlineStr">
        <is>
          <t>Professional</t>
        </is>
      </c>
      <c r="M1161" t="inlineStr">
        <is>
          <t>Annelies de Groot</t>
        </is>
      </c>
    </row>
    <row r="1162">
      <c r="A1162" s="9" t="inlineStr">
        <is>
          <t>Machaela Verhage</t>
        </is>
      </c>
      <c r="B1162" s="9" t="inlineStr">
        <is>
          <t>12/28/25 - 1/25/26</t>
        </is>
      </c>
      <c r="C1162" s="12" t="n">
        <v>0.65</v>
      </c>
      <c r="D1162" s="12" t="n">
        <v>1.0296</v>
      </c>
      <c r="E1162" s="12" t="n">
        <v>1</v>
      </c>
      <c r="F1162" s="12" t="n">
        <v>0.944444444</v>
      </c>
      <c r="G1162" s="12" t="n">
        <v>0.352941176</v>
      </c>
      <c r="H1162" s="9" t="n">
        <v>0</v>
      </c>
      <c r="I1162" s="10" t="n">
        <v>1</v>
      </c>
      <c r="J1162" s="12">
        <f>I1162</f>
        <v/>
      </c>
      <c r="K1162" t="inlineStr">
        <is>
          <t>Distinguished</t>
        </is>
      </c>
      <c r="L1162" t="inlineStr">
        <is>
          <t>Professional</t>
        </is>
      </c>
      <c r="M1162" t="inlineStr">
        <is>
          <t>Annelies de Groot</t>
        </is>
      </c>
    </row>
    <row r="1163">
      <c r="A1163" s="9" t="inlineStr">
        <is>
          <t>Machaela Verhage</t>
        </is>
      </c>
      <c r="B1163" s="9" t="inlineStr">
        <is>
          <t>5/18/25 - 6/14/25</t>
        </is>
      </c>
      <c r="C1163" s="12" t="n">
        <v>0.85</v>
      </c>
      <c r="D1163" s="12" t="n">
        <v>1.03</v>
      </c>
      <c r="E1163" s="12" t="n">
        <v>1</v>
      </c>
      <c r="F1163" s="12" t="n">
        <v>0.97</v>
      </c>
      <c r="G1163" s="12" t="n">
        <v>0.64</v>
      </c>
      <c r="H1163" s="9" t="n">
        <v>5</v>
      </c>
      <c r="I1163" s="10" t="n">
        <v>1</v>
      </c>
      <c r="J1163" s="12">
        <f>I1163</f>
        <v/>
      </c>
      <c r="K1163" t="inlineStr">
        <is>
          <t>Distinguished</t>
        </is>
      </c>
      <c r="L1163" t="inlineStr">
        <is>
          <t>Professional</t>
        </is>
      </c>
      <c r="M1163" t="inlineStr">
        <is>
          <t>Annelies de Groot</t>
        </is>
      </c>
    </row>
    <row r="1164">
      <c r="A1164" s="9" t="inlineStr">
        <is>
          <t>Machaela Verhage</t>
        </is>
      </c>
      <c r="B1164" s="9" t="inlineStr">
        <is>
          <t>6/15/25 - 7/12/25</t>
        </is>
      </c>
      <c r="C1164" s="12" t="n">
        <v>0.5</v>
      </c>
      <c r="D1164" s="12" t="n">
        <v>1</v>
      </c>
      <c r="E1164" s="12" t="n">
        <v>1</v>
      </c>
      <c r="F1164" s="12" t="n">
        <v>1</v>
      </c>
      <c r="G1164" s="12" t="n">
        <v>0.67</v>
      </c>
      <c r="H1164" s="9" t="n">
        <v>1</v>
      </c>
      <c r="I1164" s="10" t="inlineStr">
        <is>
          <t xml:space="preserve"> 6/7</t>
        </is>
      </c>
      <c r="J1164" s="12" t="n">
        <v>0.86</v>
      </c>
      <c r="K1164" t="inlineStr">
        <is>
          <t>Distinguished</t>
        </is>
      </c>
      <c r="L1164" t="inlineStr">
        <is>
          <t>Professional</t>
        </is>
      </c>
      <c r="M1164" t="inlineStr">
        <is>
          <t>Annelies de Groot</t>
        </is>
      </c>
    </row>
    <row r="1165">
      <c r="A1165" s="9" t="inlineStr">
        <is>
          <t>Machaela Verhage</t>
        </is>
      </c>
      <c r="B1165" s="9" t="inlineStr">
        <is>
          <t>7/13/25 - 8/10/25</t>
        </is>
      </c>
      <c r="C1165" s="12" t="n">
        <v>0.74</v>
      </c>
      <c r="D1165" s="12" t="n">
        <v>1.01</v>
      </c>
      <c r="E1165" s="12" t="n">
        <v>0.98</v>
      </c>
      <c r="F1165" s="12" t="n">
        <v>1</v>
      </c>
      <c r="G1165" s="12" t="n">
        <v>0.42</v>
      </c>
      <c r="H1165" s="9" t="n">
        <v>2</v>
      </c>
      <c r="I1165" s="10" t="inlineStr">
        <is>
          <t xml:space="preserve"> 3/4</t>
        </is>
      </c>
      <c r="J1165" s="12" t="n">
        <v>0.75</v>
      </c>
      <c r="K1165" t="inlineStr">
        <is>
          <t>Distinguished</t>
        </is>
      </c>
      <c r="L1165" t="inlineStr">
        <is>
          <t>Professional</t>
        </is>
      </c>
      <c r="M1165" t="inlineStr">
        <is>
          <t>Annelies de Groot</t>
        </is>
      </c>
    </row>
    <row r="1166">
      <c r="A1166" s="9" t="inlineStr">
        <is>
          <t>Machaela Verhage</t>
        </is>
      </c>
      <c r="B1166" s="9" t="inlineStr">
        <is>
          <t>8/10/25 - 9/6/25</t>
        </is>
      </c>
      <c r="C1166" s="12" t="n">
        <v>0.73</v>
      </c>
      <c r="D1166" s="12" t="n">
        <v>1.01</v>
      </c>
      <c r="E1166" s="12" t="n">
        <v>0.99</v>
      </c>
      <c r="F1166" s="12" t="n">
        <v>1</v>
      </c>
      <c r="G1166" s="12" t="n">
        <v>0.62</v>
      </c>
      <c r="H1166" s="9" t="n">
        <v>2</v>
      </c>
      <c r="I1166" s="11" t="n"/>
      <c r="J1166" s="9" t="n"/>
      <c r="K1166" t="inlineStr">
        <is>
          <t>Distinguished</t>
        </is>
      </c>
      <c r="L1166" t="inlineStr">
        <is>
          <t>Professional</t>
        </is>
      </c>
      <c r="M1166" t="inlineStr">
        <is>
          <t>Annelies de Groot</t>
        </is>
      </c>
    </row>
    <row r="1167">
      <c r="A1167" s="9" t="inlineStr">
        <is>
          <t>Machaela Verhage</t>
        </is>
      </c>
      <c r="B1167" s="9" t="inlineStr">
        <is>
          <t>9/7/25 - 10/4/25</t>
        </is>
      </c>
      <c r="C1167" s="12" t="n">
        <v>0.63</v>
      </c>
      <c r="D1167" s="12" t="n">
        <v>1.09</v>
      </c>
      <c r="E1167" s="12" t="n">
        <v>1</v>
      </c>
      <c r="F1167" s="12" t="n">
        <v>0.98</v>
      </c>
      <c r="G1167" s="12" t="n">
        <v>0.5600000000000001</v>
      </c>
      <c r="H1167" s="9" t="n">
        <v>2</v>
      </c>
      <c r="I1167" s="10" t="inlineStr">
        <is>
          <t>2/2</t>
        </is>
      </c>
      <c r="J1167" s="12" t="n">
        <v>1</v>
      </c>
      <c r="K1167" t="inlineStr">
        <is>
          <t>Distinguished</t>
        </is>
      </c>
      <c r="L1167" t="inlineStr">
        <is>
          <t>Professional</t>
        </is>
      </c>
      <c r="M1167" t="inlineStr">
        <is>
          <t>Annelies de Groot</t>
        </is>
      </c>
    </row>
    <row r="1168">
      <c r="A1168" s="9" t="inlineStr">
        <is>
          <t>Madia Banda</t>
        </is>
      </c>
      <c r="B1168" s="9" t="inlineStr">
        <is>
          <t>10/5/25 - 11/1/25</t>
        </is>
      </c>
      <c r="C1168" s="12" t="n">
        <v>0</v>
      </c>
      <c r="D1168" s="12" t="n">
        <v>0</v>
      </c>
      <c r="E1168" s="12" t="n">
        <v>0</v>
      </c>
      <c r="F1168" s="12" t="n">
        <v>0</v>
      </c>
      <c r="G1168" s="12" t="n">
        <v>0</v>
      </c>
      <c r="H1168" s="9" t="n">
        <v>0</v>
      </c>
      <c r="I1168" s="10" t="n"/>
      <c r="J1168" s="12" t="n"/>
      <c r="K1168" t="inlineStr">
        <is>
          <t>Advanced</t>
        </is>
      </c>
      <c r="L1168" t="inlineStr">
        <is>
          <t>Professional</t>
        </is>
      </c>
      <c r="M1168" t="inlineStr">
        <is>
          <t>Geoff St. Marie</t>
        </is>
      </c>
    </row>
    <row r="1169">
      <c r="A1169" s="9" t="inlineStr">
        <is>
          <t>Madia Banda</t>
        </is>
      </c>
      <c r="B1169" s="9" t="inlineStr">
        <is>
          <t>10/5/25 - 11/1/25</t>
        </is>
      </c>
      <c r="C1169" s="12" t="n">
        <v>0</v>
      </c>
      <c r="D1169" s="12" t="n">
        <v>0</v>
      </c>
      <c r="E1169" s="12" t="n">
        <v>0</v>
      </c>
      <c r="F1169" s="12" t="n">
        <v>0</v>
      </c>
      <c r="G1169" s="12" t="n">
        <v>0</v>
      </c>
      <c r="H1169" s="9" t="n">
        <v>0</v>
      </c>
      <c r="J1169" s="9" t="n"/>
      <c r="K1169" t="inlineStr">
        <is>
          <t>Advanced</t>
        </is>
      </c>
      <c r="L1169" t="inlineStr">
        <is>
          <t>Professional</t>
        </is>
      </c>
      <c r="M1169" t="inlineStr">
        <is>
          <t>Geoff St. Marie</t>
        </is>
      </c>
    </row>
    <row r="1170">
      <c r="A1170" s="9" t="inlineStr">
        <is>
          <t>Madia Banda</t>
        </is>
      </c>
      <c r="B1170" s="9" t="inlineStr">
        <is>
          <t>11/2/25 - 11/29/25</t>
        </is>
      </c>
      <c r="C1170" s="12" t="n">
        <v>0.39</v>
      </c>
      <c r="D1170" s="12" t="n">
        <v>1.23</v>
      </c>
      <c r="E1170" s="12" t="n">
        <v>1</v>
      </c>
      <c r="F1170" s="12" t="n">
        <v>0.73</v>
      </c>
      <c r="G1170" s="12" t="n">
        <v>0</v>
      </c>
      <c r="H1170" s="9" t="n">
        <v>3</v>
      </c>
      <c r="I1170" s="13" t="n">
        <v>45879</v>
      </c>
      <c r="J1170" s="14" t="n">
        <v>0.8</v>
      </c>
      <c r="K1170" t="inlineStr">
        <is>
          <t>Advanced</t>
        </is>
      </c>
      <c r="L1170" t="inlineStr">
        <is>
          <t>Professional</t>
        </is>
      </c>
      <c r="M1170" t="inlineStr">
        <is>
          <t>Geoff St. Marie</t>
        </is>
      </c>
    </row>
    <row r="1171">
      <c r="A1171" s="9" t="inlineStr">
        <is>
          <t>Madia Banda</t>
        </is>
      </c>
      <c r="B1171" s="9" t="inlineStr">
        <is>
          <t>11/30/25 - 12/27/25</t>
        </is>
      </c>
      <c r="C1171" s="12" t="n">
        <v>0.79</v>
      </c>
      <c r="D1171" s="12" t="n">
        <v>0.98</v>
      </c>
      <c r="E1171" s="12" t="n">
        <v>0.9399999999999999</v>
      </c>
      <c r="F1171" s="12" t="n">
        <v>0.86</v>
      </c>
      <c r="G1171" s="12" t="n">
        <v>1</v>
      </c>
      <c r="H1171" s="9" t="n">
        <v>17</v>
      </c>
      <c r="I1171" s="10" t="n">
        <v>0.4666666666666667</v>
      </c>
      <c r="J1171" s="12" t="n">
        <v>0.5</v>
      </c>
      <c r="K1171" t="inlineStr">
        <is>
          <t>Advanced</t>
        </is>
      </c>
      <c r="L1171" t="inlineStr">
        <is>
          <t>Professional</t>
        </is>
      </c>
      <c r="M1171" t="inlineStr">
        <is>
          <t>Geoff St. Marie</t>
        </is>
      </c>
    </row>
    <row r="1172">
      <c r="A1172" s="9" t="inlineStr">
        <is>
          <t>Madia Banda</t>
        </is>
      </c>
      <c r="B1172" s="9" t="inlineStr">
        <is>
          <t>12/28/25 - 1/25/26</t>
        </is>
      </c>
      <c r="C1172" s="12" t="n">
        <v>1.0143</v>
      </c>
      <c r="D1172" s="12" t="n">
        <v>1.0727</v>
      </c>
      <c r="E1172" s="12" t="n">
        <v>0.993630573</v>
      </c>
      <c r="F1172" s="12" t="n">
        <v>1</v>
      </c>
      <c r="G1172" s="12" t="n">
        <v>1</v>
      </c>
      <c r="H1172" s="9" t="n">
        <v>21</v>
      </c>
      <c r="I1172" s="10" t="n">
        <v>0.8</v>
      </c>
      <c r="J1172" s="12">
        <f>I1172</f>
        <v/>
      </c>
      <c r="K1172" t="inlineStr">
        <is>
          <t>Advanced</t>
        </is>
      </c>
      <c r="L1172" t="inlineStr">
        <is>
          <t>Professional</t>
        </is>
      </c>
      <c r="M1172" t="inlineStr">
        <is>
          <t>Geoff St. Marie</t>
        </is>
      </c>
    </row>
    <row r="1173">
      <c r="A1173" s="9" t="inlineStr">
        <is>
          <t>Madison Sandquist</t>
        </is>
      </c>
      <c r="B1173" s="9" t="inlineStr">
        <is>
          <t>5/18/25 - 6/14/25</t>
        </is>
      </c>
      <c r="C1173" s="12" t="n">
        <v>0.27</v>
      </c>
      <c r="D1173" s="12" t="n">
        <v>1.64</v>
      </c>
      <c r="E1173" s="12" t="n">
        <v>1</v>
      </c>
      <c r="F1173" s="12" t="n">
        <v>0.88</v>
      </c>
      <c r="G1173" s="12" t="n">
        <v>0.5</v>
      </c>
      <c r="H1173" s="9" t="e">
        <v>#N/A</v>
      </c>
      <c r="J1173" s="9" t="n"/>
      <c r="K1173" t="e">
        <v>#N/A</v>
      </c>
      <c r="L1173" t="e">
        <v>#N/A</v>
      </c>
      <c r="M1173" t="e">
        <v>#N/A</v>
      </c>
    </row>
    <row r="1174">
      <c r="A1174" s="9" t="inlineStr">
        <is>
          <t>Madison Sandquist</t>
        </is>
      </c>
      <c r="B1174" s="9" t="inlineStr">
        <is>
          <t>6/15/25 - 7/12/25</t>
        </is>
      </c>
      <c r="C1174" s="12" t="n">
        <v>0.29</v>
      </c>
      <c r="D1174" s="12" t="n">
        <v>1.16</v>
      </c>
      <c r="E1174" s="12" t="n">
        <v>1</v>
      </c>
      <c r="F1174" s="12" t="n">
        <v>0.73</v>
      </c>
      <c r="G1174" s="12" t="n">
        <v>0.25</v>
      </c>
      <c r="H1174" s="9" t="e">
        <v>#N/A</v>
      </c>
      <c r="J1174" s="9" t="n"/>
      <c r="K1174" t="e">
        <v>#N/A</v>
      </c>
      <c r="L1174" t="e">
        <v>#N/A</v>
      </c>
      <c r="M1174" t="e">
        <v>#N/A</v>
      </c>
    </row>
    <row r="1175">
      <c r="A1175" s="9" t="inlineStr">
        <is>
          <t>Madison Sandquist</t>
        </is>
      </c>
      <c r="B1175" s="9" t="inlineStr">
        <is>
          <t>7/13/25 - 8/10/25</t>
        </is>
      </c>
      <c r="C1175" s="12" t="n">
        <v>0.38</v>
      </c>
      <c r="D1175" s="12" t="n">
        <v>1.09</v>
      </c>
      <c r="E1175" s="12" t="n">
        <v>1</v>
      </c>
      <c r="F1175" s="12" t="n">
        <v>0.77</v>
      </c>
      <c r="G1175" s="12" t="n">
        <v>0</v>
      </c>
      <c r="H1175" s="9" t="e">
        <v>#N/A</v>
      </c>
      <c r="I1175" s="10" t="n">
        <v>0</v>
      </c>
      <c r="J1175" s="12">
        <f>I1175</f>
        <v/>
      </c>
      <c r="K1175" t="e">
        <v>#N/A</v>
      </c>
      <c r="L1175" t="e">
        <v>#N/A</v>
      </c>
      <c r="M1175" t="e">
        <v>#N/A</v>
      </c>
    </row>
    <row r="1176">
      <c r="A1176" s="9" t="inlineStr">
        <is>
          <t>Maia Gerlinger</t>
        </is>
      </c>
      <c r="B1176" s="9" t="inlineStr">
        <is>
          <t>10/5/25 - 11/1/25</t>
        </is>
      </c>
      <c r="C1176" s="12" t="n">
        <v>1.1354</v>
      </c>
      <c r="D1176" s="12" t="n">
        <v>1.62109999999999</v>
      </c>
      <c r="E1176" s="12" t="n">
        <v>1</v>
      </c>
      <c r="F1176" s="12" t="n">
        <v>0.857142857142857</v>
      </c>
      <c r="G1176" s="12" t="n">
        <v>0.666666666666666</v>
      </c>
      <c r="H1176" s="9" t="n">
        <v>0</v>
      </c>
      <c r="I1176" s="10" t="inlineStr">
        <is>
          <t>0/1</t>
        </is>
      </c>
      <c r="J1176" s="12" t="n">
        <v>0</v>
      </c>
      <c r="K1176" t="inlineStr">
        <is>
          <t>Distinguished</t>
        </is>
      </c>
      <c r="L1176" t="inlineStr">
        <is>
          <t>Adjunct</t>
        </is>
      </c>
      <c r="M1176" t="inlineStr">
        <is>
          <t>Annelies de Groot</t>
        </is>
      </c>
    </row>
    <row r="1177">
      <c r="A1177" s="9" t="inlineStr">
        <is>
          <t>Maia Gerlinger</t>
        </is>
      </c>
      <c r="B1177" s="9" t="inlineStr">
        <is>
          <t>11/2/25 - 11/29/25</t>
        </is>
      </c>
      <c r="C1177" s="12" t="n">
        <v>1.16</v>
      </c>
      <c r="D1177" s="12" t="n">
        <v>1.38</v>
      </c>
      <c r="E1177" s="12" t="n">
        <v>1</v>
      </c>
      <c r="F1177" s="12" t="n">
        <v>0.97</v>
      </c>
      <c r="G1177" s="12" t="n">
        <v>0.91</v>
      </c>
      <c r="H1177" s="9" t="n">
        <v>3</v>
      </c>
      <c r="I1177" s="13" t="n"/>
      <c r="J1177" s="9" t="n"/>
      <c r="K1177" t="inlineStr">
        <is>
          <t>Distinguished</t>
        </is>
      </c>
      <c r="L1177" t="inlineStr">
        <is>
          <t>Adjunct</t>
        </is>
      </c>
      <c r="M1177" t="inlineStr">
        <is>
          <t>Annelies de Groot</t>
        </is>
      </c>
    </row>
    <row r="1178">
      <c r="A1178" s="9" t="inlineStr">
        <is>
          <t>Maia Gerlinger</t>
        </is>
      </c>
      <c r="B1178" s="9" t="inlineStr">
        <is>
          <t>11/30/25 - 12/27/25</t>
        </is>
      </c>
      <c r="C1178" s="12" t="n">
        <v>0.96</v>
      </c>
      <c r="D1178" s="12" t="n">
        <v>1.27</v>
      </c>
      <c r="E1178" s="12" t="n">
        <v>0.97</v>
      </c>
      <c r="F1178" s="12" t="n">
        <v>0.93</v>
      </c>
      <c r="G1178" s="12" t="n">
        <v>1</v>
      </c>
      <c r="H1178" s="9" t="n">
        <v>0</v>
      </c>
      <c r="I1178" s="10" t="n"/>
      <c r="J1178" s="12" t="n"/>
      <c r="K1178" t="inlineStr">
        <is>
          <t>Distinguished</t>
        </is>
      </c>
      <c r="L1178" t="inlineStr">
        <is>
          <t>Adjunct</t>
        </is>
      </c>
      <c r="M1178" t="inlineStr">
        <is>
          <t>Annelies de Groot</t>
        </is>
      </c>
    </row>
    <row r="1179">
      <c r="A1179" s="9" t="inlineStr">
        <is>
          <t>Maia Gerlinger</t>
        </is>
      </c>
      <c r="B1179" s="9" t="inlineStr">
        <is>
          <t>12/28/25 - 1/25/26</t>
        </is>
      </c>
      <c r="C1179" s="12" t="n">
        <v>1.0833</v>
      </c>
      <c r="D1179" s="12" t="n">
        <v>1.875</v>
      </c>
      <c r="E1179" s="12" t="n">
        <v>0.972972973</v>
      </c>
      <c r="F1179" s="12" t="n">
        <v>0.96969697</v>
      </c>
      <c r="G1179" s="12" t="n">
        <v>0.833333333</v>
      </c>
      <c r="H1179" s="9" t="n">
        <v>6</v>
      </c>
      <c r="I1179" s="10" t="inlineStr">
        <is>
          <t>0/1</t>
        </is>
      </c>
      <c r="J1179" s="12" t="n">
        <v>0</v>
      </c>
      <c r="K1179" t="inlineStr">
        <is>
          <t>Distinguished</t>
        </is>
      </c>
      <c r="L1179" t="inlineStr">
        <is>
          <t>Adjunct</t>
        </is>
      </c>
      <c r="M1179" t="inlineStr">
        <is>
          <t>Annelies de Groot</t>
        </is>
      </c>
    </row>
    <row r="1180">
      <c r="A1180" s="9" t="inlineStr">
        <is>
          <t>Maia Gerlinger</t>
        </is>
      </c>
      <c r="B1180" s="9" t="inlineStr">
        <is>
          <t>5/18/25 - 6/14/25</t>
        </is>
      </c>
      <c r="C1180" s="12" t="n">
        <v>0.83</v>
      </c>
      <c r="D1180" s="12" t="n">
        <v>1.63</v>
      </c>
      <c r="E1180" s="12" t="n">
        <v>1</v>
      </c>
      <c r="F1180" s="12" t="n">
        <v>0.91</v>
      </c>
      <c r="G1180" s="12" t="n">
        <v>1</v>
      </c>
      <c r="H1180" s="9" t="n">
        <v>1</v>
      </c>
      <c r="J1180" s="9" t="n"/>
      <c r="K1180" t="inlineStr">
        <is>
          <t>Distinguished</t>
        </is>
      </c>
      <c r="L1180" t="inlineStr">
        <is>
          <t>Adjunct</t>
        </is>
      </c>
      <c r="M1180" t="inlineStr">
        <is>
          <t>Annelies de Groot</t>
        </is>
      </c>
    </row>
    <row r="1181">
      <c r="A1181" s="9" t="inlineStr">
        <is>
          <t>Maia Gerlinger</t>
        </is>
      </c>
      <c r="B1181" s="9" t="inlineStr">
        <is>
          <t>6/15/25 - 7/12/25</t>
        </is>
      </c>
      <c r="C1181" s="12" t="n">
        <v>0.5600000000000001</v>
      </c>
      <c r="D1181" s="12" t="n">
        <v>1.44</v>
      </c>
      <c r="E1181" s="12" t="n">
        <v>1</v>
      </c>
      <c r="F1181" s="12" t="n">
        <v>1</v>
      </c>
      <c r="G1181" s="12" t="n">
        <v>0.92</v>
      </c>
      <c r="H1181" s="9" t="e">
        <v>#N/A</v>
      </c>
      <c r="I1181" s="10" t="n">
        <v>0</v>
      </c>
      <c r="J1181" s="12">
        <f>I1181</f>
        <v/>
      </c>
      <c r="K1181" t="inlineStr">
        <is>
          <t>Distinguished</t>
        </is>
      </c>
      <c r="L1181" t="inlineStr">
        <is>
          <t>Adjunct</t>
        </is>
      </c>
      <c r="M1181" t="inlineStr">
        <is>
          <t>Annelies de Groot</t>
        </is>
      </c>
    </row>
    <row r="1182">
      <c r="A1182" s="9" t="inlineStr">
        <is>
          <t>Maia Gerlinger</t>
        </is>
      </c>
      <c r="B1182" s="9" t="inlineStr">
        <is>
          <t>7/13/25 - 8/10/25</t>
        </is>
      </c>
      <c r="C1182" s="12" t="n">
        <v>1.21</v>
      </c>
      <c r="D1182" s="12" t="n">
        <v>1.26</v>
      </c>
      <c r="E1182" s="12" t="n">
        <v>0.98</v>
      </c>
      <c r="F1182" s="12" t="n">
        <v>0.93</v>
      </c>
      <c r="G1182" s="12" t="n">
        <v>0.64</v>
      </c>
      <c r="H1182" s="9" t="n">
        <v>3</v>
      </c>
      <c r="I1182" s="10" t="n">
        <v>0</v>
      </c>
      <c r="J1182" s="12">
        <f>I1182</f>
        <v/>
      </c>
      <c r="K1182" t="inlineStr">
        <is>
          <t>Distinguished</t>
        </is>
      </c>
      <c r="L1182" t="inlineStr">
        <is>
          <t>Adjunct</t>
        </is>
      </c>
      <c r="M1182" t="inlineStr">
        <is>
          <t>Annelies de Groot</t>
        </is>
      </c>
    </row>
    <row r="1183">
      <c r="A1183" s="9" t="inlineStr">
        <is>
          <t>Maia Gerlinger</t>
        </is>
      </c>
      <c r="B1183" s="9" t="inlineStr">
        <is>
          <t>8/10/25 - 9/6/25</t>
        </is>
      </c>
      <c r="C1183" s="12" t="n">
        <v>0.86</v>
      </c>
      <c r="D1183" s="12" t="n">
        <v>1.5</v>
      </c>
      <c r="E1183" s="12" t="n">
        <v>1</v>
      </c>
      <c r="F1183" s="12" t="n">
        <v>0.9</v>
      </c>
      <c r="G1183" s="12" t="n">
        <v>0.67</v>
      </c>
      <c r="H1183" s="9" t="n">
        <v>2</v>
      </c>
      <c r="I1183" s="10" t="inlineStr">
        <is>
          <t>0/1</t>
        </is>
      </c>
      <c r="J1183" s="12" t="n">
        <v>0</v>
      </c>
      <c r="K1183" t="inlineStr">
        <is>
          <t>Distinguished</t>
        </is>
      </c>
      <c r="L1183" t="inlineStr">
        <is>
          <t>Adjunct</t>
        </is>
      </c>
      <c r="M1183" t="inlineStr">
        <is>
          <t>Annelies de Groot</t>
        </is>
      </c>
    </row>
    <row r="1184">
      <c r="A1184" s="9" t="inlineStr">
        <is>
          <t>Maia Gerlinger</t>
        </is>
      </c>
      <c r="B1184" s="9" t="inlineStr">
        <is>
          <t>9/7/25 - 10/4/25</t>
        </is>
      </c>
      <c r="C1184" s="12" t="n">
        <v>1.15</v>
      </c>
      <c r="D1184" s="12" t="n">
        <v>1.44</v>
      </c>
      <c r="E1184" s="12" t="n">
        <v>1</v>
      </c>
      <c r="F1184" s="12" t="n">
        <v>0.85</v>
      </c>
      <c r="G1184" s="12" t="n">
        <v>0.67</v>
      </c>
      <c r="H1184" s="9" t="n">
        <v>3</v>
      </c>
      <c r="I1184" s="10" t="inlineStr">
        <is>
          <t>0/1</t>
        </is>
      </c>
      <c r="J1184" s="12" t="n">
        <v>0</v>
      </c>
      <c r="K1184" t="inlineStr">
        <is>
          <t>Distinguished</t>
        </is>
      </c>
      <c r="L1184" t="inlineStr">
        <is>
          <t>Adjunct</t>
        </is>
      </c>
      <c r="M1184" t="inlineStr">
        <is>
          <t>Annelies de Groot</t>
        </is>
      </c>
    </row>
    <row r="1185">
      <c r="A1185" s="9" t="inlineStr">
        <is>
          <t>Marcela Castanos</t>
        </is>
      </c>
      <c r="B1185" s="9" t="inlineStr">
        <is>
          <t>5/18/25 - 6/14/25</t>
        </is>
      </c>
      <c r="C1185" s="12" t="n">
        <v>0.8</v>
      </c>
      <c r="D1185" s="12" t="n">
        <v>1.43</v>
      </c>
      <c r="E1185" s="12" t="n">
        <v>0.96</v>
      </c>
      <c r="F1185" s="12" t="n">
        <v>0.9399999999999999</v>
      </c>
      <c r="G1185" s="12" t="n">
        <v>1</v>
      </c>
      <c r="H1185" s="9" t="n">
        <v>5</v>
      </c>
      <c r="J1185" s="9" t="n"/>
      <c r="K1185" t="e">
        <v>#N/A</v>
      </c>
      <c r="L1185" t="e">
        <v>#N/A</v>
      </c>
      <c r="M1185" t="e">
        <v>#N/A</v>
      </c>
    </row>
    <row r="1186">
      <c r="A1186" s="9" t="inlineStr">
        <is>
          <t>Marcela Castanos</t>
        </is>
      </c>
      <c r="B1186" s="9" t="inlineStr">
        <is>
          <t>6/15/25 - 7/12/25</t>
        </is>
      </c>
      <c r="C1186" s="12" t="n">
        <v>0.6899999999999999</v>
      </c>
      <c r="D1186" s="12" t="n">
        <v>1.37</v>
      </c>
      <c r="E1186" s="12" t="n">
        <v>1</v>
      </c>
      <c r="F1186" s="12" t="n">
        <v>0.83</v>
      </c>
      <c r="G1186" s="12" t="n">
        <v>0.67</v>
      </c>
      <c r="H1186" s="9" t="n">
        <v>2</v>
      </c>
      <c r="I1186" s="10" t="n">
        <v>0</v>
      </c>
      <c r="J1186" s="12">
        <f>I1186</f>
        <v/>
      </c>
      <c r="K1186" t="e">
        <v>#N/A</v>
      </c>
      <c r="L1186" t="e">
        <v>#N/A</v>
      </c>
      <c r="M1186" t="e">
        <v>#N/A</v>
      </c>
    </row>
    <row r="1187">
      <c r="A1187" s="9" t="inlineStr">
        <is>
          <t>Marcela Castanos</t>
        </is>
      </c>
      <c r="B1187" s="9" t="inlineStr">
        <is>
          <t>7/13/25 - 8/10/25</t>
        </is>
      </c>
      <c r="C1187" s="12" t="n">
        <v>0.51</v>
      </c>
      <c r="D1187" s="12" t="n">
        <v>1.09</v>
      </c>
      <c r="E1187" s="12" t="n">
        <v>0.97</v>
      </c>
      <c r="F1187" s="12" t="n">
        <v>0.78</v>
      </c>
      <c r="G1187" s="12" t="n">
        <v>0.82</v>
      </c>
      <c r="H1187" s="9" t="n">
        <v>8</v>
      </c>
      <c r="J1187" s="9" t="n"/>
      <c r="K1187" t="e">
        <v>#N/A</v>
      </c>
      <c r="L1187" t="e">
        <v>#N/A</v>
      </c>
      <c r="M1187" t="e">
        <v>#N/A</v>
      </c>
    </row>
    <row r="1188">
      <c r="A1188" s="9" t="inlineStr">
        <is>
          <t>Marcela Castanos</t>
        </is>
      </c>
      <c r="B1188" s="9" t="inlineStr">
        <is>
          <t>8/10/25 - 9/6/25</t>
        </is>
      </c>
      <c r="C1188" s="12" t="n">
        <v>0.8</v>
      </c>
      <c r="D1188" s="12" t="n">
        <v>1.3</v>
      </c>
      <c r="E1188" s="12" t="n">
        <v>0.95</v>
      </c>
      <c r="F1188" s="12" t="n">
        <v>0.8100000000000001</v>
      </c>
      <c r="G1188" s="12" t="n">
        <v>1</v>
      </c>
      <c r="H1188" s="9" t="n">
        <v>4</v>
      </c>
      <c r="I1188" s="11" t="n"/>
      <c r="J1188" s="9" t="n"/>
      <c r="K1188" t="e">
        <v>#N/A</v>
      </c>
      <c r="L1188" t="e">
        <v>#N/A</v>
      </c>
      <c r="M1188" t="e">
        <v>#N/A</v>
      </c>
    </row>
    <row r="1189">
      <c r="A1189" s="9" t="inlineStr">
        <is>
          <t>Margaret Webb</t>
        </is>
      </c>
      <c r="B1189" s="9" t="inlineStr">
        <is>
          <t>10/5/25 - 11/1/25</t>
        </is>
      </c>
      <c r="C1189" s="12" t="n">
        <v>1</v>
      </c>
      <c r="D1189" s="12" t="n">
        <v>0.8256</v>
      </c>
      <c r="E1189" s="12" t="n">
        <v>0.987951807228915</v>
      </c>
      <c r="F1189" s="12" t="n">
        <v>0.981818181818181</v>
      </c>
      <c r="G1189" s="12" t="n">
        <v>0.944444444444444</v>
      </c>
      <c r="H1189" s="9" t="n">
        <v>11</v>
      </c>
      <c r="I1189" s="10" t="inlineStr">
        <is>
          <t>10/10</t>
        </is>
      </c>
      <c r="J1189" s="12" t="n">
        <v>1</v>
      </c>
      <c r="K1189" t="inlineStr">
        <is>
          <t>Distinguished</t>
        </is>
      </c>
      <c r="L1189" t="inlineStr">
        <is>
          <t>Professional</t>
        </is>
      </c>
      <c r="M1189" t="inlineStr">
        <is>
          <t>Kristin Haase-Alvey</t>
        </is>
      </c>
    </row>
    <row r="1190">
      <c r="A1190" s="9" t="inlineStr">
        <is>
          <t>Margaret Webb</t>
        </is>
      </c>
      <c r="B1190" s="9" t="inlineStr">
        <is>
          <t>11/2/25 - 11/29/25</t>
        </is>
      </c>
      <c r="C1190" s="12" t="n">
        <v>0.99</v>
      </c>
      <c r="D1190" s="12" t="n">
        <v>0.84</v>
      </c>
      <c r="E1190" s="12" t="n">
        <v>1</v>
      </c>
      <c r="F1190" s="12" t="n">
        <v>0.99</v>
      </c>
      <c r="G1190" s="12" t="n">
        <v>1</v>
      </c>
      <c r="H1190" s="9" t="n">
        <v>15</v>
      </c>
      <c r="I1190" s="13" t="n">
        <v>45751</v>
      </c>
      <c r="J1190" s="12" t="n">
        <v>1</v>
      </c>
      <c r="K1190" t="inlineStr">
        <is>
          <t>Distinguished</t>
        </is>
      </c>
      <c r="L1190" t="inlineStr">
        <is>
          <t>Professional</t>
        </is>
      </c>
      <c r="M1190" t="inlineStr">
        <is>
          <t>Kristin Haase-Alvey</t>
        </is>
      </c>
    </row>
    <row r="1191">
      <c r="A1191" s="9" t="inlineStr">
        <is>
          <t>Margaret Webb</t>
        </is>
      </c>
      <c r="B1191" s="9" t="inlineStr">
        <is>
          <t>11/30/25 - 12/27/25</t>
        </is>
      </c>
      <c r="C1191" s="12" t="n">
        <v>0.93</v>
      </c>
      <c r="D1191" s="12" t="n">
        <v>0.9399999999999999</v>
      </c>
      <c r="E1191" s="12" t="n">
        <v>0.99</v>
      </c>
      <c r="F1191" s="12" t="n">
        <v>1</v>
      </c>
      <c r="G1191" s="12" t="n">
        <v>1</v>
      </c>
      <c r="H1191" s="9" t="n">
        <v>29</v>
      </c>
      <c r="I1191" s="10" t="n">
        <v>0.75</v>
      </c>
      <c r="J1191" s="12" t="n">
        <v>0.75</v>
      </c>
      <c r="K1191" t="inlineStr">
        <is>
          <t>Distinguished</t>
        </is>
      </c>
      <c r="L1191" t="inlineStr">
        <is>
          <t>Professional</t>
        </is>
      </c>
      <c r="M1191" t="inlineStr">
        <is>
          <t>Kristin Haase-Alvey</t>
        </is>
      </c>
    </row>
    <row r="1192">
      <c r="A1192" s="9" t="inlineStr">
        <is>
          <t>Margaret Webb</t>
        </is>
      </c>
      <c r="B1192" s="9" t="inlineStr">
        <is>
          <t>12/28/25 - 1/25/26</t>
        </is>
      </c>
      <c r="C1192" s="12" t="n">
        <v>1.2286</v>
      </c>
      <c r="D1192" s="12" t="n">
        <v>1.3779</v>
      </c>
      <c r="E1192" s="12" t="n">
        <v>0.994475138</v>
      </c>
      <c r="F1192" s="12" t="n">
        <v>0.9917355369999999</v>
      </c>
      <c r="G1192" s="12" t="n">
        <v>1</v>
      </c>
      <c r="H1192" s="9" t="n">
        <v>23</v>
      </c>
      <c r="I1192" s="10" t="n">
        <v>0.875</v>
      </c>
      <c r="J1192" s="12">
        <f>I1192</f>
        <v/>
      </c>
      <c r="K1192" t="inlineStr">
        <is>
          <t>Distinguished</t>
        </is>
      </c>
      <c r="L1192" t="inlineStr">
        <is>
          <t>Professional</t>
        </is>
      </c>
      <c r="M1192" t="inlineStr">
        <is>
          <t>Kristin Haase-Alvey</t>
        </is>
      </c>
    </row>
    <row r="1193">
      <c r="A1193" s="9" t="inlineStr">
        <is>
          <t>Margaret Webb</t>
        </is>
      </c>
      <c r="B1193" s="9" t="inlineStr">
        <is>
          <t>9/7/25 - 10/4/25</t>
        </is>
      </c>
      <c r="C1193" s="12" t="n">
        <v>0.98</v>
      </c>
      <c r="D1193" s="12" t="n">
        <v>0.87</v>
      </c>
      <c r="E1193" s="12" t="n">
        <v>1</v>
      </c>
      <c r="F1193" s="12" t="n">
        <v>0.98</v>
      </c>
      <c r="G1193" s="12" t="n">
        <v>0.71</v>
      </c>
      <c r="H1193" s="9" t="n">
        <v>12</v>
      </c>
      <c r="I1193" s="10" t="inlineStr">
        <is>
          <t>10/14</t>
        </is>
      </c>
      <c r="J1193" s="12" t="n">
        <v>0.71</v>
      </c>
      <c r="K1193" t="inlineStr">
        <is>
          <t>Distinguished</t>
        </is>
      </c>
      <c r="L1193" t="inlineStr">
        <is>
          <t>Professional</t>
        </is>
      </c>
      <c r="M1193" t="inlineStr">
        <is>
          <t>Kristin Haase-Alvey</t>
        </is>
      </c>
    </row>
    <row r="1194">
      <c r="A1194" s="9" t="inlineStr">
        <is>
          <t>Mark Duncan</t>
        </is>
      </c>
      <c r="B1194" s="9" t="inlineStr">
        <is>
          <t>10/5/25 - 11/1/25</t>
        </is>
      </c>
      <c r="C1194" s="12" t="n">
        <v>0.8958</v>
      </c>
      <c r="D1194" s="12" t="n">
        <v>1.1094</v>
      </c>
      <c r="E1194" s="12" t="n">
        <v>0.833333333333333</v>
      </c>
      <c r="F1194" s="12" t="n">
        <v>0.962962962962962</v>
      </c>
      <c r="G1194" s="12" t="n">
        <v>1</v>
      </c>
      <c r="H1194" s="9" t="n">
        <v>2</v>
      </c>
      <c r="I1194" s="10" t="inlineStr">
        <is>
          <t>0/1</t>
        </is>
      </c>
      <c r="J1194" s="12" t="n">
        <v>0</v>
      </c>
      <c r="K1194" t="e">
        <v>#N/A</v>
      </c>
      <c r="L1194" t="e">
        <v>#N/A</v>
      </c>
      <c r="M1194" t="e">
        <v>#N/A</v>
      </c>
    </row>
    <row r="1195">
      <c r="A1195" s="9" t="inlineStr">
        <is>
          <t>Mark Duncan</t>
        </is>
      </c>
      <c r="B1195" s="9" t="inlineStr">
        <is>
          <t>11/2/25 - 11/29/25</t>
        </is>
      </c>
      <c r="C1195" s="12" t="n">
        <v>0.57</v>
      </c>
      <c r="D1195" s="12" t="n">
        <v>1</v>
      </c>
      <c r="E1195" s="12" t="n">
        <v>0.97</v>
      </c>
      <c r="F1195" s="12" t="n">
        <v>1</v>
      </c>
      <c r="G1195" s="12" t="n">
        <v>1</v>
      </c>
      <c r="H1195" s="9" t="n">
        <v>2</v>
      </c>
      <c r="I1195" s="13" t="inlineStr">
        <is>
          <t>0/3</t>
        </is>
      </c>
      <c r="J1195" s="12" t="n">
        <v>0</v>
      </c>
      <c r="K1195" t="e">
        <v>#N/A</v>
      </c>
      <c r="L1195" t="e">
        <v>#N/A</v>
      </c>
      <c r="M1195" t="e">
        <v>#N/A</v>
      </c>
    </row>
    <row r="1196">
      <c r="A1196" s="9" t="inlineStr">
        <is>
          <t>Mark Duncan</t>
        </is>
      </c>
      <c r="B1196" s="9" t="inlineStr">
        <is>
          <t>11/30/25 - 12/27/25</t>
        </is>
      </c>
      <c r="C1196" s="12" t="n">
        <v>0.73</v>
      </c>
      <c r="D1196" s="12" t="n">
        <v>1.09</v>
      </c>
      <c r="E1196" s="12" t="n">
        <v>0.96</v>
      </c>
      <c r="F1196" s="12" t="n">
        <v>0.8100000000000001</v>
      </c>
      <c r="G1196" s="12" t="n">
        <v>1</v>
      </c>
      <c r="H1196" s="9" t="n">
        <v>5</v>
      </c>
      <c r="I1196" s="10" t="n">
        <v>0.1666666666666667</v>
      </c>
      <c r="J1196" s="12">
        <f>1/6</f>
        <v/>
      </c>
      <c r="K1196" t="e">
        <v>#N/A</v>
      </c>
      <c r="L1196" t="e">
        <v>#N/A</v>
      </c>
      <c r="M1196" t="e">
        <v>#N/A</v>
      </c>
    </row>
    <row r="1197">
      <c r="A1197" s="9" t="inlineStr">
        <is>
          <t>Mark Duncan</t>
        </is>
      </c>
      <c r="B1197" s="9" t="inlineStr">
        <is>
          <t>12/28/25 - 1/25/26</t>
        </is>
      </c>
      <c r="C1197" s="12" t="n">
        <v>0.8229</v>
      </c>
      <c r="D1197" s="12" t="n">
        <v>1.082</v>
      </c>
      <c r="E1197" s="12" t="n">
        <v>1</v>
      </c>
      <c r="F1197" s="12" t="n">
        <v>0.8666666669999999</v>
      </c>
      <c r="G1197" s="12" t="n">
        <v>1</v>
      </c>
      <c r="H1197" s="9" t="n">
        <v>6</v>
      </c>
      <c r="I1197" s="10" t="inlineStr">
        <is>
          <t>0/2</t>
        </is>
      </c>
      <c r="J1197" s="12" t="n">
        <v>0</v>
      </c>
      <c r="K1197" t="e">
        <v>#N/A</v>
      </c>
      <c r="L1197" t="e">
        <v>#N/A</v>
      </c>
      <c r="M1197" t="e">
        <v>#N/A</v>
      </c>
    </row>
    <row r="1198">
      <c r="A1198" s="9" t="inlineStr">
        <is>
          <t>Mark Duncan</t>
        </is>
      </c>
      <c r="B1198" s="9" t="inlineStr">
        <is>
          <t>5/18/25 - 6/14/25</t>
        </is>
      </c>
      <c r="C1198" s="12" t="n">
        <v>0.8</v>
      </c>
      <c r="D1198" s="12" t="n">
        <v>1.09</v>
      </c>
      <c r="E1198" s="12" t="n">
        <v>0.98</v>
      </c>
      <c r="F1198" s="12" t="n">
        <v>0.83</v>
      </c>
      <c r="G1198" s="12" t="n">
        <v>0.71</v>
      </c>
      <c r="H1198" s="9" t="n">
        <v>3</v>
      </c>
      <c r="I1198" s="10" t="n">
        <v>0</v>
      </c>
      <c r="J1198" s="12">
        <f>I1198</f>
        <v/>
      </c>
      <c r="K1198" t="e">
        <v>#N/A</v>
      </c>
      <c r="L1198" t="e">
        <v>#N/A</v>
      </c>
      <c r="M1198" t="e">
        <v>#N/A</v>
      </c>
    </row>
    <row r="1199">
      <c r="A1199" s="9" t="inlineStr">
        <is>
          <t>Mark Duncan</t>
        </is>
      </c>
      <c r="B1199" s="9" t="inlineStr">
        <is>
          <t>6/15/25 - 7/12/25</t>
        </is>
      </c>
      <c r="C1199" s="12" t="n">
        <v>0.63</v>
      </c>
      <c r="D1199" s="12" t="n">
        <v>1.07</v>
      </c>
      <c r="E1199" s="12" t="n">
        <v>0.99</v>
      </c>
      <c r="F1199" s="12" t="n">
        <v>1</v>
      </c>
      <c r="G1199" s="12" t="n">
        <v>0.9</v>
      </c>
      <c r="H1199" s="9" t="n">
        <v>2</v>
      </c>
      <c r="I1199" s="10" t="n">
        <v>0</v>
      </c>
      <c r="J1199" s="12">
        <f>I1199</f>
        <v/>
      </c>
      <c r="K1199" t="e">
        <v>#N/A</v>
      </c>
      <c r="L1199" t="e">
        <v>#N/A</v>
      </c>
      <c r="M1199" t="e">
        <v>#N/A</v>
      </c>
    </row>
    <row r="1200">
      <c r="A1200" s="9" t="inlineStr">
        <is>
          <t>Mark Duncan</t>
        </is>
      </c>
      <c r="B1200" s="9" t="inlineStr">
        <is>
          <t>7/13/25 - 8/10/25</t>
        </is>
      </c>
      <c r="C1200" s="12" t="n">
        <v>0.71</v>
      </c>
      <c r="D1200" s="12" t="n">
        <v>1.09</v>
      </c>
      <c r="E1200" s="12" t="n">
        <v>0.97</v>
      </c>
      <c r="F1200" s="12" t="n">
        <v>1</v>
      </c>
      <c r="G1200" s="12" t="n">
        <v>0.83</v>
      </c>
      <c r="H1200" s="9" t="n">
        <v>3</v>
      </c>
      <c r="I1200" s="10" t="n">
        <v>0</v>
      </c>
      <c r="J1200" s="12">
        <f>I1200</f>
        <v/>
      </c>
      <c r="K1200" t="e">
        <v>#N/A</v>
      </c>
      <c r="L1200" t="e">
        <v>#N/A</v>
      </c>
      <c r="M1200" t="e">
        <v>#N/A</v>
      </c>
    </row>
    <row r="1201">
      <c r="A1201" s="9" t="inlineStr">
        <is>
          <t>Mark Duncan</t>
        </is>
      </c>
      <c r="B1201" s="9" t="inlineStr">
        <is>
          <t>8/10/25 - 9/6/25</t>
        </is>
      </c>
      <c r="C1201" s="12" t="n">
        <v>1.16</v>
      </c>
      <c r="D1201" s="12" t="n">
        <v>1.26</v>
      </c>
      <c r="E1201" s="12" t="n">
        <v>0.84</v>
      </c>
      <c r="F1201" s="12" t="n">
        <v>0.57</v>
      </c>
      <c r="G1201" s="12" t="n">
        <v>0.73</v>
      </c>
      <c r="H1201" s="9" t="n">
        <v>4</v>
      </c>
      <c r="I1201" s="10" t="inlineStr">
        <is>
          <t>0/1</t>
        </is>
      </c>
      <c r="J1201" s="12" t="n">
        <v>0</v>
      </c>
      <c r="K1201" t="e">
        <v>#N/A</v>
      </c>
      <c r="L1201" t="e">
        <v>#N/A</v>
      </c>
      <c r="M1201" t="e">
        <v>#N/A</v>
      </c>
    </row>
    <row r="1202">
      <c r="A1202" s="9" t="inlineStr">
        <is>
          <t>Mark Duncan</t>
        </is>
      </c>
      <c r="B1202" s="9" t="inlineStr">
        <is>
          <t>9/7/25 - 10/4/25</t>
        </is>
      </c>
      <c r="C1202" s="12" t="n">
        <v>0.74</v>
      </c>
      <c r="D1202" s="12" t="n">
        <v>1.16</v>
      </c>
      <c r="E1202" s="12" t="n">
        <v>0.87</v>
      </c>
      <c r="F1202" s="12" t="n">
        <v>0.96</v>
      </c>
      <c r="G1202" s="12" t="n">
        <v>1</v>
      </c>
      <c r="H1202" s="9" t="n">
        <v>4</v>
      </c>
      <c r="I1202" s="10" t="inlineStr">
        <is>
          <t>1/1</t>
        </is>
      </c>
      <c r="J1202" s="12" t="n">
        <v>1</v>
      </c>
      <c r="K1202" t="e">
        <v>#N/A</v>
      </c>
      <c r="L1202" t="e">
        <v>#N/A</v>
      </c>
      <c r="M1202" t="e">
        <v>#N/A</v>
      </c>
    </row>
    <row r="1203">
      <c r="A1203" s="9" t="inlineStr">
        <is>
          <t>Mary Felix</t>
        </is>
      </c>
      <c r="B1203" s="9" t="inlineStr">
        <is>
          <t>10/5/25 - 11/1/25</t>
        </is>
      </c>
      <c r="C1203" s="12" t="n">
        <v>0.8833</v>
      </c>
      <c r="D1203" s="12" t="n">
        <v>1.2648</v>
      </c>
      <c r="E1203" s="12" t="n">
        <v>0.989690721649484</v>
      </c>
      <c r="F1203" s="12" t="n">
        <v>1</v>
      </c>
      <c r="G1203" s="12" t="n">
        <v>0.869565217391304</v>
      </c>
      <c r="H1203" s="9" t="n">
        <v>6</v>
      </c>
      <c r="I1203" s="10" t="inlineStr">
        <is>
          <t>1/2</t>
        </is>
      </c>
      <c r="J1203" s="12" t="n">
        <v>0.5</v>
      </c>
      <c r="K1203" t="inlineStr">
        <is>
          <t>Premium</t>
        </is>
      </c>
      <c r="L1203" t="inlineStr">
        <is>
          <t>Professional</t>
        </is>
      </c>
      <c r="M1203" t="inlineStr">
        <is>
          <t>Ian Plamondon</t>
        </is>
      </c>
    </row>
    <row r="1204">
      <c r="A1204" s="9" t="inlineStr">
        <is>
          <t>Mary Felix</t>
        </is>
      </c>
      <c r="B1204" s="9" t="inlineStr">
        <is>
          <t>11/2/25 - 11/29/25</t>
        </is>
      </c>
      <c r="C1204" s="12" t="n">
        <v>1.05</v>
      </c>
      <c r="D1204" s="12" t="n">
        <v>1.21</v>
      </c>
      <c r="E1204" s="12" t="n">
        <v>0.99</v>
      </c>
      <c r="F1204" s="12" t="n">
        <v>0.98</v>
      </c>
      <c r="G1204" s="12" t="n">
        <v>0.8100000000000001</v>
      </c>
      <c r="H1204" s="9" t="n">
        <v>16</v>
      </c>
      <c r="I1204" s="13" t="inlineStr">
        <is>
          <t>0/1</t>
        </is>
      </c>
      <c r="J1204" s="12" t="n">
        <v>0</v>
      </c>
      <c r="K1204" t="inlineStr">
        <is>
          <t>Premium</t>
        </is>
      </c>
      <c r="L1204" t="inlineStr">
        <is>
          <t>Professional</t>
        </is>
      </c>
      <c r="M1204" t="inlineStr">
        <is>
          <t>Ian Plamondon</t>
        </is>
      </c>
    </row>
    <row r="1205">
      <c r="A1205" s="9" t="inlineStr">
        <is>
          <t>Mary Felix</t>
        </is>
      </c>
      <c r="B1205" s="9" t="inlineStr">
        <is>
          <t>11/30/25 - 12/27/25</t>
        </is>
      </c>
      <c r="C1205" s="12" t="n">
        <v>0.78</v>
      </c>
      <c r="D1205" s="12" t="n">
        <v>1.02</v>
      </c>
      <c r="E1205" s="12" t="n">
        <v>0.99</v>
      </c>
      <c r="F1205" s="12" t="n">
        <v>0.6899999999999999</v>
      </c>
      <c r="G1205" s="12" t="n">
        <v>0.73</v>
      </c>
      <c r="H1205" s="9" t="n">
        <v>3</v>
      </c>
      <c r="I1205" s="10" t="n"/>
      <c r="J1205" s="12" t="n"/>
      <c r="K1205" t="inlineStr">
        <is>
          <t>Premium</t>
        </is>
      </c>
      <c r="L1205" t="inlineStr">
        <is>
          <t>Professional</t>
        </is>
      </c>
      <c r="M1205" t="inlineStr">
        <is>
          <t>Ian Plamondon</t>
        </is>
      </c>
    </row>
    <row r="1206">
      <c r="A1206" s="9" t="inlineStr">
        <is>
          <t>Mary Felix</t>
        </is>
      </c>
      <c r="B1206" s="9" t="inlineStr">
        <is>
          <t>12/28/25 - 1/25/26</t>
        </is>
      </c>
      <c r="C1206" s="12" t="n">
        <v>0.3667</v>
      </c>
      <c r="D1206" s="12" t="n">
        <v>0.9211</v>
      </c>
      <c r="E1206" s="12" t="n">
        <v>1</v>
      </c>
      <c r="F1206" s="12" t="n">
        <v>0.972972973</v>
      </c>
      <c r="G1206" s="12" t="n">
        <v>0.125</v>
      </c>
      <c r="H1206" s="9" t="n">
        <v>3</v>
      </c>
      <c r="I1206" s="10" t="inlineStr">
        <is>
          <t>0/0</t>
        </is>
      </c>
      <c r="J1206" s="12" t="n">
        <v>0</v>
      </c>
      <c r="K1206" t="inlineStr">
        <is>
          <t>Premium</t>
        </is>
      </c>
      <c r="L1206" t="inlineStr">
        <is>
          <t>Professional</t>
        </is>
      </c>
      <c r="M1206" t="inlineStr">
        <is>
          <t>Ian Plamondon</t>
        </is>
      </c>
    </row>
    <row r="1207">
      <c r="A1207" s="9" t="inlineStr">
        <is>
          <t>Mary Felix</t>
        </is>
      </c>
      <c r="B1207" s="9" t="inlineStr">
        <is>
          <t>5/18/25 - 6/14/25</t>
        </is>
      </c>
      <c r="C1207" s="12" t="n">
        <v>0.61</v>
      </c>
      <c r="D1207" s="12" t="n">
        <v>1.03</v>
      </c>
      <c r="E1207" s="12" t="n">
        <v>0.99</v>
      </c>
      <c r="F1207" s="12" t="n">
        <v>0.93</v>
      </c>
      <c r="G1207" s="12" t="n">
        <v>0.67</v>
      </c>
      <c r="H1207" s="9" t="e">
        <v>#N/A</v>
      </c>
      <c r="I1207" s="10" t="n">
        <v>0</v>
      </c>
      <c r="J1207" s="12">
        <f>I1207</f>
        <v/>
      </c>
      <c r="K1207" t="inlineStr">
        <is>
          <t>Premium</t>
        </is>
      </c>
      <c r="L1207" t="inlineStr">
        <is>
          <t>Professional</t>
        </is>
      </c>
      <c r="M1207" t="inlineStr">
        <is>
          <t>Ian Plamondon</t>
        </is>
      </c>
    </row>
    <row r="1208">
      <c r="A1208" s="9" t="inlineStr">
        <is>
          <t>Mary Felix</t>
        </is>
      </c>
      <c r="B1208" s="9" t="inlineStr">
        <is>
          <t>6/15/25 - 7/12/25</t>
        </is>
      </c>
      <c r="C1208" s="12" t="n">
        <v>0.29</v>
      </c>
      <c r="D1208" s="12" t="n">
        <v>0.7</v>
      </c>
      <c r="E1208" s="12" t="n">
        <v>1</v>
      </c>
      <c r="F1208" s="12" t="n">
        <v>0.95</v>
      </c>
      <c r="G1208" s="12" t="n">
        <v>0.5</v>
      </c>
      <c r="H1208" s="9" t="n">
        <v>4</v>
      </c>
      <c r="I1208" s="10" t="n">
        <v>0</v>
      </c>
      <c r="J1208" s="12">
        <f>I1208</f>
        <v/>
      </c>
      <c r="K1208" t="inlineStr">
        <is>
          <t>Premium</t>
        </is>
      </c>
      <c r="L1208" t="inlineStr">
        <is>
          <t>Professional</t>
        </is>
      </c>
      <c r="M1208" t="inlineStr">
        <is>
          <t>Ian Plamondon</t>
        </is>
      </c>
    </row>
    <row r="1209">
      <c r="A1209" s="9" t="inlineStr">
        <is>
          <t>Mary Felix</t>
        </is>
      </c>
      <c r="B1209" s="9" t="inlineStr">
        <is>
          <t>7/13/25 - 8/10/25</t>
        </is>
      </c>
      <c r="C1209" s="12" t="n">
        <v>0.68</v>
      </c>
      <c r="D1209" s="12" t="n">
        <v>1.2</v>
      </c>
      <c r="E1209" s="12" t="n">
        <v>0.99</v>
      </c>
      <c r="F1209" s="12" t="n">
        <v>1</v>
      </c>
      <c r="G1209" s="12" t="n">
        <v>0.88</v>
      </c>
      <c r="H1209" s="9" t="n">
        <v>2</v>
      </c>
      <c r="I1209" s="10" t="n">
        <v>0</v>
      </c>
      <c r="J1209" s="12">
        <f>I1209</f>
        <v/>
      </c>
      <c r="K1209" t="inlineStr">
        <is>
          <t>Premium</t>
        </is>
      </c>
      <c r="L1209" t="inlineStr">
        <is>
          <t>Professional</t>
        </is>
      </c>
      <c r="M1209" t="inlineStr">
        <is>
          <t>Ian Plamondon</t>
        </is>
      </c>
    </row>
    <row r="1210">
      <c r="A1210" s="9" t="inlineStr">
        <is>
          <t>Mary Felix</t>
        </is>
      </c>
      <c r="B1210" s="9" t="inlineStr">
        <is>
          <t>8/10/25 - 9/6/25</t>
        </is>
      </c>
      <c r="C1210" s="12" t="n">
        <v>0.73</v>
      </c>
      <c r="D1210" s="12" t="n">
        <v>1.23</v>
      </c>
      <c r="E1210" s="12" t="n">
        <v>1</v>
      </c>
      <c r="F1210" s="12" t="n">
        <v>0.96</v>
      </c>
      <c r="G1210" s="12" t="n">
        <v>0.88</v>
      </c>
      <c r="H1210" s="9" t="n">
        <v>1</v>
      </c>
      <c r="I1210" s="10" t="inlineStr">
        <is>
          <t>0/2</t>
        </is>
      </c>
      <c r="J1210" s="12" t="n">
        <v>0</v>
      </c>
      <c r="K1210" t="inlineStr">
        <is>
          <t>Premium</t>
        </is>
      </c>
      <c r="L1210" t="inlineStr">
        <is>
          <t>Professional</t>
        </is>
      </c>
      <c r="M1210" t="inlineStr">
        <is>
          <t>Ian Plamondon</t>
        </is>
      </c>
    </row>
    <row r="1211">
      <c r="A1211" s="9" t="inlineStr">
        <is>
          <t>Mary Felix</t>
        </is>
      </c>
      <c r="B1211" s="9" t="inlineStr">
        <is>
          <t>9/7/25 - 10/4/25</t>
        </is>
      </c>
      <c r="C1211" s="12" t="n">
        <v>0.95</v>
      </c>
      <c r="D1211" s="12" t="n">
        <v>1.28</v>
      </c>
      <c r="E1211" s="12" t="n">
        <v>1</v>
      </c>
      <c r="F1211" s="12" t="n">
        <v>0.97</v>
      </c>
      <c r="G1211" s="12" t="n">
        <v>0.33</v>
      </c>
      <c r="H1211" s="9" t="n">
        <v>1</v>
      </c>
      <c r="I1211" s="10" t="inlineStr">
        <is>
          <t>0/2</t>
        </is>
      </c>
      <c r="J1211" s="12" t="n">
        <v>0</v>
      </c>
      <c r="K1211" t="inlineStr">
        <is>
          <t>Premium</t>
        </is>
      </c>
      <c r="L1211" t="inlineStr">
        <is>
          <t>Professional</t>
        </is>
      </c>
      <c r="M1211" t="inlineStr">
        <is>
          <t>Ian Plamondon</t>
        </is>
      </c>
    </row>
    <row r="1212">
      <c r="A1212" s="9" t="inlineStr">
        <is>
          <t>Mary Logan</t>
        </is>
      </c>
      <c r="B1212" s="9" t="inlineStr">
        <is>
          <t>10/5/25 - 11/1/25</t>
        </is>
      </c>
      <c r="C1212" s="12" t="n">
        <v>0.8542</v>
      </c>
      <c r="D1212" s="12" t="n">
        <v>1.05759999999999</v>
      </c>
      <c r="E1212" s="12" t="n">
        <v>1</v>
      </c>
      <c r="F1212" s="12" t="n">
        <v>0.961538461538461</v>
      </c>
      <c r="G1212" s="12" t="n">
        <v>0.833333333333333</v>
      </c>
      <c r="H1212" s="9" t="n">
        <v>18</v>
      </c>
      <c r="I1212" s="10" t="inlineStr">
        <is>
          <t>3/4</t>
        </is>
      </c>
      <c r="J1212" s="12" t="n">
        <v>0.75</v>
      </c>
      <c r="K1212" t="inlineStr">
        <is>
          <t>Distinguished</t>
        </is>
      </c>
      <c r="L1212" t="inlineStr">
        <is>
          <t>Professional</t>
        </is>
      </c>
      <c r="M1212" t="inlineStr">
        <is>
          <t>Ela Cross</t>
        </is>
      </c>
    </row>
    <row r="1213">
      <c r="A1213" s="9" t="inlineStr">
        <is>
          <t>Mary Logan</t>
        </is>
      </c>
      <c r="B1213" s="9" t="inlineStr">
        <is>
          <t>11/2/25 - 11/29/25</t>
        </is>
      </c>
      <c r="C1213" s="12" t="n">
        <v>1.09</v>
      </c>
      <c r="D1213" s="12" t="n">
        <v>1.08</v>
      </c>
      <c r="E1213" s="12" t="n">
        <v>1</v>
      </c>
      <c r="F1213" s="12" t="n">
        <v>0.98</v>
      </c>
      <c r="G1213" s="12" t="n">
        <v>0.85</v>
      </c>
      <c r="H1213" s="9" t="n">
        <v>12</v>
      </c>
      <c r="I1213" s="13" t="n">
        <v>45816</v>
      </c>
      <c r="J1213" s="14" t="n">
        <v>0.75</v>
      </c>
      <c r="K1213" t="inlineStr">
        <is>
          <t>Distinguished</t>
        </is>
      </c>
      <c r="L1213" t="inlineStr">
        <is>
          <t>Professional</t>
        </is>
      </c>
      <c r="M1213" t="inlineStr">
        <is>
          <t>Ela Cross</t>
        </is>
      </c>
    </row>
    <row r="1214">
      <c r="A1214" s="9" t="inlineStr">
        <is>
          <t>Mary Logan</t>
        </is>
      </c>
      <c r="B1214" s="9" t="inlineStr">
        <is>
          <t>11/30/25 - 12/27/25</t>
        </is>
      </c>
      <c r="C1214" s="12" t="n">
        <v>0.95</v>
      </c>
      <c r="D1214" s="12" t="n">
        <v>1.01</v>
      </c>
      <c r="E1214" s="12" t="n">
        <v>1</v>
      </c>
      <c r="F1214" s="12" t="n">
        <v>0.98</v>
      </c>
      <c r="G1214" s="12" t="n">
        <v>0.8</v>
      </c>
      <c r="H1214" s="9" t="n">
        <v>16</v>
      </c>
      <c r="I1214" s="10" t="n"/>
      <c r="J1214" s="12" t="n"/>
      <c r="K1214" t="inlineStr">
        <is>
          <t>Distinguished</t>
        </is>
      </c>
      <c r="L1214" t="inlineStr">
        <is>
          <t>Professional</t>
        </is>
      </c>
      <c r="M1214" t="inlineStr">
        <is>
          <t>Ela Cross</t>
        </is>
      </c>
    </row>
    <row r="1215">
      <c r="A1215" s="9" t="inlineStr">
        <is>
          <t>Mary Logan</t>
        </is>
      </c>
      <c r="B1215" s="9" t="inlineStr">
        <is>
          <t>12/28/25 - 1/25/26</t>
        </is>
      </c>
      <c r="C1215" s="12" t="n">
        <v>0.8688</v>
      </c>
      <c r="D1215" s="12" t="n">
        <v>1.0707</v>
      </c>
      <c r="E1215" s="12" t="n">
        <v>1</v>
      </c>
      <c r="F1215" s="12" t="n">
        <v>0.974358974</v>
      </c>
      <c r="G1215" s="12" t="n">
        <v>0.869565217</v>
      </c>
      <c r="H1215" s="9" t="n">
        <v>27</v>
      </c>
      <c r="I1215" s="10" t="n">
        <v>1</v>
      </c>
      <c r="J1215" s="12">
        <f>I1215</f>
        <v/>
      </c>
      <c r="K1215" t="inlineStr">
        <is>
          <t>Distinguished</t>
        </is>
      </c>
      <c r="L1215" t="inlineStr">
        <is>
          <t>Professional</t>
        </is>
      </c>
      <c r="M1215" t="inlineStr">
        <is>
          <t>Ela Cross</t>
        </is>
      </c>
    </row>
    <row r="1216">
      <c r="A1216" s="9" t="inlineStr">
        <is>
          <t>Mary Logan</t>
        </is>
      </c>
      <c r="B1216" s="9" t="inlineStr">
        <is>
          <t>5/18/25 - 6/14/25</t>
        </is>
      </c>
      <c r="C1216" s="12" t="n">
        <v>0.88</v>
      </c>
      <c r="D1216" s="12" t="n">
        <v>1.13</v>
      </c>
      <c r="E1216" s="12" t="n">
        <v>1</v>
      </c>
      <c r="F1216" s="12" t="n">
        <v>1</v>
      </c>
      <c r="G1216" s="12" t="n">
        <v>0.79</v>
      </c>
      <c r="H1216" s="9" t="n">
        <v>16</v>
      </c>
      <c r="I1216" s="10" t="n">
        <v>0</v>
      </c>
      <c r="J1216" s="12">
        <f>I1216</f>
        <v/>
      </c>
      <c r="K1216" t="inlineStr">
        <is>
          <t>Distinguished</t>
        </is>
      </c>
      <c r="L1216" t="inlineStr">
        <is>
          <t>Professional</t>
        </is>
      </c>
      <c r="M1216" t="inlineStr">
        <is>
          <t>Ela Cross</t>
        </is>
      </c>
    </row>
    <row r="1217">
      <c r="A1217" s="9" t="inlineStr">
        <is>
          <t>Mary Logan</t>
        </is>
      </c>
      <c r="B1217" s="9" t="inlineStr">
        <is>
          <t>6/15/25 - 7/12/25</t>
        </is>
      </c>
      <c r="C1217" s="12" t="n">
        <v>0.74</v>
      </c>
      <c r="D1217" s="12" t="n">
        <v>0.8100000000000001</v>
      </c>
      <c r="E1217" s="12" t="n">
        <v>0.99</v>
      </c>
      <c r="F1217" s="12" t="n">
        <v>1</v>
      </c>
      <c r="G1217" s="12" t="n">
        <v>0.84</v>
      </c>
      <c r="H1217" s="9" t="n">
        <v>9</v>
      </c>
      <c r="I1217" s="10" t="n">
        <v>1</v>
      </c>
      <c r="J1217" s="12">
        <f>I1217</f>
        <v/>
      </c>
      <c r="K1217" t="inlineStr">
        <is>
          <t>Distinguished</t>
        </is>
      </c>
      <c r="L1217" t="inlineStr">
        <is>
          <t>Professional</t>
        </is>
      </c>
      <c r="M1217" t="inlineStr">
        <is>
          <t>Ela Cross</t>
        </is>
      </c>
    </row>
    <row r="1218">
      <c r="A1218" s="9" t="inlineStr">
        <is>
          <t>Mary Logan</t>
        </is>
      </c>
      <c r="B1218" s="9" t="inlineStr">
        <is>
          <t>7/13/25 - 8/10/25</t>
        </is>
      </c>
      <c r="C1218" s="12" t="n">
        <v>1.09</v>
      </c>
      <c r="D1218" s="12" t="n">
        <v>1.15</v>
      </c>
      <c r="E1218" s="12" t="n">
        <v>1</v>
      </c>
      <c r="F1218" s="12" t="n">
        <v>0.98</v>
      </c>
      <c r="G1218" s="12" t="n">
        <v>0.86</v>
      </c>
      <c r="H1218" s="9" t="n">
        <v>15</v>
      </c>
      <c r="I1218" s="10" t="inlineStr">
        <is>
          <t xml:space="preserve"> 4/5</t>
        </is>
      </c>
      <c r="J1218" s="12" t="n">
        <v>0.8</v>
      </c>
      <c r="K1218" t="inlineStr">
        <is>
          <t>Distinguished</t>
        </is>
      </c>
      <c r="L1218" t="inlineStr">
        <is>
          <t>Professional</t>
        </is>
      </c>
      <c r="M1218" t="inlineStr">
        <is>
          <t>Ela Cross</t>
        </is>
      </c>
    </row>
    <row r="1219">
      <c r="A1219" s="9" t="inlineStr">
        <is>
          <t>Mary Logan</t>
        </is>
      </c>
      <c r="B1219" s="9" t="inlineStr">
        <is>
          <t>8/10/25 - 9/6/25</t>
        </is>
      </c>
      <c r="C1219" s="12" t="n">
        <v>0.88</v>
      </c>
      <c r="D1219" s="12" t="n">
        <v>1.11</v>
      </c>
      <c r="E1219" s="12" t="n">
        <v>1</v>
      </c>
      <c r="F1219" s="12" t="n">
        <v>0.96</v>
      </c>
      <c r="G1219" s="12" t="n">
        <v>0.95</v>
      </c>
      <c r="H1219" s="9" t="n">
        <v>22</v>
      </c>
      <c r="I1219" s="10" t="inlineStr">
        <is>
          <t>2/2</t>
        </is>
      </c>
      <c r="J1219" s="12" t="n">
        <v>1</v>
      </c>
      <c r="K1219" t="inlineStr">
        <is>
          <t>Distinguished</t>
        </is>
      </c>
      <c r="L1219" t="inlineStr">
        <is>
          <t>Professional</t>
        </is>
      </c>
      <c r="M1219" t="inlineStr">
        <is>
          <t>Ela Cross</t>
        </is>
      </c>
    </row>
    <row r="1220">
      <c r="A1220" s="9" t="inlineStr">
        <is>
          <t>Mary Logan</t>
        </is>
      </c>
      <c r="B1220" s="9" t="inlineStr">
        <is>
          <t>9/7/25 - 10/4/25</t>
        </is>
      </c>
      <c r="C1220" s="12" t="n">
        <v>0.87</v>
      </c>
      <c r="D1220" s="12" t="n">
        <v>1.14</v>
      </c>
      <c r="E1220" s="12" t="n">
        <v>1</v>
      </c>
      <c r="F1220" s="12" t="n">
        <v>0.99</v>
      </c>
      <c r="G1220" s="12" t="n">
        <v>0.95</v>
      </c>
      <c r="H1220" s="9" t="n">
        <v>10</v>
      </c>
      <c r="I1220" s="10" t="inlineStr">
        <is>
          <t>1/1</t>
        </is>
      </c>
      <c r="J1220" s="12" t="n">
        <v>1</v>
      </c>
      <c r="K1220" t="inlineStr">
        <is>
          <t>Distinguished</t>
        </is>
      </c>
      <c r="L1220" t="inlineStr">
        <is>
          <t>Professional</t>
        </is>
      </c>
      <c r="M1220" t="inlineStr">
        <is>
          <t>Ela Cross</t>
        </is>
      </c>
    </row>
    <row r="1221">
      <c r="A1221" s="9" t="inlineStr">
        <is>
          <t>Matthew Urso</t>
        </is>
      </c>
      <c r="B1221" s="9" t="inlineStr">
        <is>
          <t>10/5/25 - 11/1/25</t>
        </is>
      </c>
      <c r="C1221" s="12" t="n">
        <v>0</v>
      </c>
      <c r="D1221" s="12" t="n">
        <v>0.0263</v>
      </c>
      <c r="E1221" s="12" t="n">
        <v>0</v>
      </c>
      <c r="F1221" s="12" t="n">
        <v>0</v>
      </c>
      <c r="G1221" s="12" t="n">
        <v>0.666666666666666</v>
      </c>
      <c r="H1221" s="9" t="n">
        <v>0</v>
      </c>
      <c r="I1221" s="10" t="n"/>
      <c r="J1221" s="12" t="n"/>
      <c r="K1221" t="inlineStr">
        <is>
          <t>Distinguished</t>
        </is>
      </c>
      <c r="L1221" t="inlineStr">
        <is>
          <t>Professional</t>
        </is>
      </c>
      <c r="M1221" t="inlineStr">
        <is>
          <t>Geoff St. Marie</t>
        </is>
      </c>
    </row>
    <row r="1222">
      <c r="A1222" s="9" t="inlineStr">
        <is>
          <t>Matthew Urso</t>
        </is>
      </c>
      <c r="B1222" s="9" t="inlineStr">
        <is>
          <t>10/5/25 - 11/1/25</t>
        </is>
      </c>
      <c r="C1222" s="12" t="n">
        <v>0</v>
      </c>
      <c r="D1222" s="12" t="n">
        <v>0.0263</v>
      </c>
      <c r="E1222" s="12" t="n">
        <v>0</v>
      </c>
      <c r="F1222" s="12" t="n">
        <v>0</v>
      </c>
      <c r="G1222" s="12" t="n">
        <v>0.666666666666666</v>
      </c>
      <c r="H1222" s="9" t="n">
        <v>0</v>
      </c>
      <c r="J1222" s="9" t="n"/>
      <c r="K1222" t="inlineStr">
        <is>
          <t>Distinguished</t>
        </is>
      </c>
      <c r="L1222" t="inlineStr">
        <is>
          <t>Professional</t>
        </is>
      </c>
      <c r="M1222" t="inlineStr">
        <is>
          <t>Geoff St. Marie</t>
        </is>
      </c>
    </row>
    <row r="1223">
      <c r="A1223" s="9" t="inlineStr">
        <is>
          <t>Matthew Urso</t>
        </is>
      </c>
      <c r="B1223" s="9" t="inlineStr">
        <is>
          <t>11/2/25 - 11/29/25</t>
        </is>
      </c>
      <c r="C1223" s="12" t="n">
        <v>0.23</v>
      </c>
      <c r="D1223" s="12" t="n">
        <v>0.7</v>
      </c>
      <c r="E1223" s="12" t="n">
        <v>1</v>
      </c>
      <c r="F1223" s="12" t="n">
        <v>0.9399999999999999</v>
      </c>
      <c r="G1223" s="12" t="n">
        <v>0.5</v>
      </c>
      <c r="H1223" s="9" t="n">
        <v>1</v>
      </c>
      <c r="I1223" s="13" t="n">
        <v>45691</v>
      </c>
      <c r="J1223" s="14" t="n">
        <v>0.67</v>
      </c>
      <c r="K1223" t="inlineStr">
        <is>
          <t>Distinguished</t>
        </is>
      </c>
      <c r="L1223" t="inlineStr">
        <is>
          <t>Professional</t>
        </is>
      </c>
      <c r="M1223" t="inlineStr">
        <is>
          <t>Geoff St. Marie</t>
        </is>
      </c>
    </row>
    <row r="1224">
      <c r="A1224" s="9" t="inlineStr">
        <is>
          <t>Matthew Urso</t>
        </is>
      </c>
      <c r="B1224" s="9" t="inlineStr">
        <is>
          <t>11/30/25 - 12/27/25</t>
        </is>
      </c>
      <c r="C1224" s="12" t="n">
        <v>0.52</v>
      </c>
      <c r="D1224" s="12" t="n">
        <v>0.93</v>
      </c>
      <c r="E1224" s="12" t="n">
        <v>1</v>
      </c>
      <c r="F1224" s="12" t="n">
        <v>1</v>
      </c>
      <c r="G1224" s="12" t="n">
        <v>0.75</v>
      </c>
      <c r="H1224" s="9" t="n">
        <v>2</v>
      </c>
      <c r="I1224" s="10" t="n">
        <v>0.1428571428571428</v>
      </c>
      <c r="J1224" s="12">
        <f>1/7</f>
        <v/>
      </c>
      <c r="K1224" t="inlineStr">
        <is>
          <t>Distinguished</t>
        </is>
      </c>
      <c r="L1224" t="inlineStr">
        <is>
          <t>Professional</t>
        </is>
      </c>
      <c r="M1224" t="inlineStr">
        <is>
          <t>Geoff St. Marie</t>
        </is>
      </c>
    </row>
    <row r="1225">
      <c r="A1225" s="9" t="inlineStr">
        <is>
          <t>Matthew Urso</t>
        </is>
      </c>
      <c r="B1225" s="9" t="inlineStr">
        <is>
          <t>12/28/25 - 1/25/26</t>
        </is>
      </c>
      <c r="C1225" s="12" t="n">
        <v>0.55</v>
      </c>
      <c r="D1225" s="12" t="n">
        <v>0.9177999999999999</v>
      </c>
      <c r="E1225" s="12" t="n">
        <v>1</v>
      </c>
      <c r="F1225" s="12" t="n">
        <v>1</v>
      </c>
      <c r="G1225" s="12" t="n">
        <v>0.769230769</v>
      </c>
      <c r="H1225" s="9" t="n">
        <v>1</v>
      </c>
      <c r="I1225" s="10" t="n">
        <v>0.3333333333333333</v>
      </c>
      <c r="J1225" s="12">
        <f>I1225</f>
        <v/>
      </c>
      <c r="K1225" t="inlineStr">
        <is>
          <t>Distinguished</t>
        </is>
      </c>
      <c r="L1225" t="inlineStr">
        <is>
          <t>Professional</t>
        </is>
      </c>
      <c r="M1225" t="inlineStr">
        <is>
          <t>Geoff St. Marie</t>
        </is>
      </c>
    </row>
    <row r="1226">
      <c r="A1226" s="9" t="inlineStr">
        <is>
          <t>Matthew Urso</t>
        </is>
      </c>
      <c r="B1226" s="9" t="inlineStr">
        <is>
          <t>5/18/25 - 6/14/25</t>
        </is>
      </c>
      <c r="C1226" s="12" t="n">
        <v>0.78</v>
      </c>
      <c r="D1226" s="12" t="n">
        <v>0.99</v>
      </c>
      <c r="E1226" s="12" t="n">
        <v>1</v>
      </c>
      <c r="F1226" s="12" t="n">
        <v>1</v>
      </c>
      <c r="G1226" s="12" t="n">
        <v>0.83</v>
      </c>
      <c r="H1226" s="9" t="n">
        <v>1</v>
      </c>
      <c r="I1226" s="10" t="inlineStr">
        <is>
          <t xml:space="preserve"> 3/4</t>
        </is>
      </c>
      <c r="J1226" s="12" t="n">
        <v>0.75</v>
      </c>
      <c r="K1226" t="inlineStr">
        <is>
          <t>Distinguished</t>
        </is>
      </c>
      <c r="L1226" t="inlineStr">
        <is>
          <t>Professional</t>
        </is>
      </c>
      <c r="M1226" t="inlineStr">
        <is>
          <t>Geoff St. Marie</t>
        </is>
      </c>
    </row>
    <row r="1227">
      <c r="A1227" s="9" t="inlineStr">
        <is>
          <t>Matthew Urso</t>
        </is>
      </c>
      <c r="B1227" s="9" t="inlineStr">
        <is>
          <t>6/15/25 - 7/12/25</t>
        </is>
      </c>
      <c r="C1227" s="12" t="n">
        <v>0.65</v>
      </c>
      <c r="D1227" s="12" t="n">
        <v>1</v>
      </c>
      <c r="E1227" s="12" t="n">
        <v>1</v>
      </c>
      <c r="F1227" s="12" t="n">
        <v>1</v>
      </c>
      <c r="G1227" s="12" t="n">
        <v>0.65</v>
      </c>
      <c r="H1227" s="9" t="n">
        <v>1</v>
      </c>
      <c r="I1227" s="10" t="n">
        <v>1</v>
      </c>
      <c r="J1227" s="12">
        <f>I1227</f>
        <v/>
      </c>
      <c r="K1227" t="inlineStr">
        <is>
          <t>Distinguished</t>
        </is>
      </c>
      <c r="L1227" t="inlineStr">
        <is>
          <t>Professional</t>
        </is>
      </c>
      <c r="M1227" t="inlineStr">
        <is>
          <t>Geoff St. Marie</t>
        </is>
      </c>
    </row>
    <row r="1228">
      <c r="A1228" s="9" t="inlineStr">
        <is>
          <t>Matthew Urso</t>
        </is>
      </c>
      <c r="B1228" s="9" t="inlineStr">
        <is>
          <t>7/13/25 - 8/10/25</t>
        </is>
      </c>
      <c r="C1228" s="12" t="n">
        <v>1</v>
      </c>
      <c r="D1228" s="12" t="n">
        <v>1.01</v>
      </c>
      <c r="E1228" s="12" t="n">
        <v>1</v>
      </c>
      <c r="F1228" s="12" t="n">
        <v>0.9399999999999999</v>
      </c>
      <c r="G1228" s="12" t="n">
        <v>0.47</v>
      </c>
      <c r="H1228" s="9" t="n">
        <v>1</v>
      </c>
      <c r="I1228" s="10" t="n">
        <v>1</v>
      </c>
      <c r="J1228" s="12">
        <f>I1228</f>
        <v/>
      </c>
      <c r="K1228" t="inlineStr">
        <is>
          <t>Distinguished</t>
        </is>
      </c>
      <c r="L1228" t="inlineStr">
        <is>
          <t>Professional</t>
        </is>
      </c>
      <c r="M1228" t="inlineStr">
        <is>
          <t>Geoff St. Marie</t>
        </is>
      </c>
    </row>
    <row r="1229">
      <c r="A1229" s="9" t="inlineStr">
        <is>
          <t>Matthew Urso</t>
        </is>
      </c>
      <c r="B1229" s="9" t="inlineStr">
        <is>
          <t>8/10/25 - 9/6/25</t>
        </is>
      </c>
      <c r="C1229" s="12" t="n">
        <v>0.84</v>
      </c>
      <c r="D1229" s="12" t="n">
        <v>0.96</v>
      </c>
      <c r="E1229" s="12" t="n">
        <v>1</v>
      </c>
      <c r="F1229" s="12" t="n">
        <v>1</v>
      </c>
      <c r="G1229" s="12" t="n">
        <v>0.84</v>
      </c>
      <c r="H1229" s="9" t="n">
        <v>2</v>
      </c>
      <c r="I1229" s="11" t="n"/>
      <c r="J1229" s="9" t="n"/>
      <c r="K1229" t="inlineStr">
        <is>
          <t>Distinguished</t>
        </is>
      </c>
      <c r="L1229" t="inlineStr">
        <is>
          <t>Professional</t>
        </is>
      </c>
      <c r="M1229" t="inlineStr">
        <is>
          <t>Geoff St. Marie</t>
        </is>
      </c>
    </row>
    <row r="1230">
      <c r="A1230" s="9" t="inlineStr">
        <is>
          <t>Matthew Urso</t>
        </is>
      </c>
      <c r="B1230" s="9" t="inlineStr">
        <is>
          <t>9/7/25 - 10/4/25</t>
        </is>
      </c>
      <c r="C1230" s="12" t="n">
        <v>0.54</v>
      </c>
      <c r="D1230" s="12" t="n">
        <v>1</v>
      </c>
      <c r="E1230" s="12" t="n">
        <v>1</v>
      </c>
      <c r="F1230" s="12" t="n">
        <v>1</v>
      </c>
      <c r="G1230" s="12" t="n">
        <v>0.67</v>
      </c>
      <c r="H1230" s="9" t="n">
        <v>0</v>
      </c>
      <c r="I1230" s="11" t="n"/>
      <c r="J1230" s="9" t="n"/>
      <c r="K1230" t="inlineStr">
        <is>
          <t>Distinguished</t>
        </is>
      </c>
      <c r="L1230" t="inlineStr">
        <is>
          <t>Professional</t>
        </is>
      </c>
      <c r="M1230" t="inlineStr">
        <is>
          <t>Geoff St. Marie</t>
        </is>
      </c>
    </row>
    <row r="1231">
      <c r="A1231" s="9" t="inlineStr">
        <is>
          <t>Matthew Wert</t>
        </is>
      </c>
      <c r="B1231" s="9" t="inlineStr">
        <is>
          <t>10/5/25 - 11/1/25</t>
        </is>
      </c>
      <c r="C1231" s="12" t="n">
        <v>0.7438</v>
      </c>
      <c r="D1231" s="12" t="n">
        <v>1.0026</v>
      </c>
      <c r="E1231" s="12" t="n">
        <v>0.921875</v>
      </c>
      <c r="F1231" s="12" t="n">
        <v>0.8125</v>
      </c>
      <c r="G1231" s="12" t="n">
        <v>0.846153846153846</v>
      </c>
      <c r="H1231" s="9" t="n">
        <v>10</v>
      </c>
      <c r="I1231" s="10" t="inlineStr">
        <is>
          <t>0/1</t>
        </is>
      </c>
      <c r="J1231" s="12" t="n">
        <v>0</v>
      </c>
      <c r="K1231" t="inlineStr">
        <is>
          <t>Distinguished</t>
        </is>
      </c>
      <c r="L1231" t="inlineStr">
        <is>
          <t>Adjunct</t>
        </is>
      </c>
      <c r="M1231" t="inlineStr">
        <is>
          <t>Geoff St. Marie</t>
        </is>
      </c>
    </row>
    <row r="1232">
      <c r="A1232" s="9" t="inlineStr">
        <is>
          <t>Matthew Wert</t>
        </is>
      </c>
      <c r="B1232" s="9" t="inlineStr">
        <is>
          <t>11/2/25 - 11/29/25</t>
        </is>
      </c>
      <c r="C1232" s="12" t="n">
        <v>0.8100000000000001</v>
      </c>
      <c r="D1232" s="12" t="n">
        <v>0.93</v>
      </c>
      <c r="E1232" s="12" t="n">
        <v>0.95</v>
      </c>
      <c r="F1232" s="12" t="n">
        <v>0.85</v>
      </c>
      <c r="G1232" s="12" t="n">
        <v>0.92</v>
      </c>
      <c r="H1232" s="9" t="n">
        <v>4</v>
      </c>
      <c r="I1232" s="13" t="n">
        <v>45661</v>
      </c>
      <c r="J1232" s="14" t="n">
        <v>0.25</v>
      </c>
      <c r="K1232" t="inlineStr">
        <is>
          <t>Distinguished</t>
        </is>
      </c>
      <c r="L1232" t="inlineStr">
        <is>
          <t>Adjunct</t>
        </is>
      </c>
      <c r="M1232" t="inlineStr">
        <is>
          <t>Geoff St. Marie</t>
        </is>
      </c>
    </row>
    <row r="1233">
      <c r="A1233" s="9" t="inlineStr">
        <is>
          <t>Matthew Wert</t>
        </is>
      </c>
      <c r="B1233" s="9" t="inlineStr">
        <is>
          <t>11/30/25 - 12/27/25</t>
        </is>
      </c>
      <c r="C1233" s="12" t="n">
        <v>0.68</v>
      </c>
      <c r="D1233" s="12" t="n">
        <v>0.71</v>
      </c>
      <c r="E1233" s="12" t="n">
        <v>0.98</v>
      </c>
      <c r="F1233" s="12" t="n">
        <v>0.9</v>
      </c>
      <c r="G1233" s="12" t="n">
        <v>0.83</v>
      </c>
      <c r="H1233" s="9" t="n">
        <v>8</v>
      </c>
      <c r="I1233" s="10" t="n">
        <v>0.5</v>
      </c>
      <c r="J1233" s="12" t="n">
        <v>0.5</v>
      </c>
      <c r="K1233" t="inlineStr">
        <is>
          <t>Distinguished</t>
        </is>
      </c>
      <c r="L1233" t="inlineStr">
        <is>
          <t>Adjunct</t>
        </is>
      </c>
      <c r="M1233" t="inlineStr">
        <is>
          <t>Geoff St. Marie</t>
        </is>
      </c>
    </row>
    <row r="1234">
      <c r="A1234" s="9" t="inlineStr">
        <is>
          <t>Matthew Wert</t>
        </is>
      </c>
      <c r="B1234" s="9" t="inlineStr">
        <is>
          <t>12/28/25 - 1/25/26</t>
        </is>
      </c>
      <c r="C1234" s="12" t="n">
        <v>0.8</v>
      </c>
      <c r="D1234" s="12" t="n">
        <v>0.8151</v>
      </c>
      <c r="E1234" s="12" t="n">
        <v>0.968253968</v>
      </c>
      <c r="F1234" s="12" t="n">
        <v>0.964912281</v>
      </c>
      <c r="G1234" s="12" t="n">
        <v>1</v>
      </c>
      <c r="H1234" s="9" t="n">
        <v>17</v>
      </c>
      <c r="I1234" s="10" t="inlineStr">
        <is>
          <t>0/2</t>
        </is>
      </c>
      <c r="J1234" s="12" t="n">
        <v>0</v>
      </c>
      <c r="K1234" t="inlineStr">
        <is>
          <t>Distinguished</t>
        </is>
      </c>
      <c r="L1234" t="inlineStr">
        <is>
          <t>Adjunct</t>
        </is>
      </c>
      <c r="M1234" t="inlineStr">
        <is>
          <t>Geoff St. Marie</t>
        </is>
      </c>
    </row>
    <row r="1235">
      <c r="A1235" s="9" t="inlineStr">
        <is>
          <t>Matthew Wert</t>
        </is>
      </c>
      <c r="B1235" s="9" t="inlineStr">
        <is>
          <t>5/18/25 - 6/14/25</t>
        </is>
      </c>
      <c r="C1235" s="12" t="n">
        <v>0.77</v>
      </c>
      <c r="D1235" s="12" t="n">
        <v>1.09</v>
      </c>
      <c r="E1235" s="12" t="n">
        <v>1</v>
      </c>
      <c r="F1235" s="12" t="n">
        <v>0.83</v>
      </c>
      <c r="G1235" s="12" t="n">
        <v>0.67</v>
      </c>
      <c r="H1235" s="9" t="n">
        <v>4</v>
      </c>
      <c r="J1235" s="9" t="n"/>
      <c r="K1235" t="inlineStr">
        <is>
          <t>Distinguished</t>
        </is>
      </c>
      <c r="L1235" t="inlineStr">
        <is>
          <t>Adjunct</t>
        </is>
      </c>
      <c r="M1235" t="inlineStr">
        <is>
          <t>Geoff St. Marie</t>
        </is>
      </c>
    </row>
    <row r="1236">
      <c r="A1236" s="9" t="inlineStr">
        <is>
          <t>Matthew Wert</t>
        </is>
      </c>
      <c r="B1236" s="9" t="inlineStr">
        <is>
          <t>6/15/25 - 7/12/25</t>
        </is>
      </c>
      <c r="C1236" s="12" t="n">
        <v>0.52</v>
      </c>
      <c r="D1236" s="12" t="n">
        <v>1.04</v>
      </c>
      <c r="E1236" s="12" t="n">
        <v>1</v>
      </c>
      <c r="F1236" s="12" t="n">
        <v>0.96</v>
      </c>
      <c r="G1236" s="12" t="n">
        <v>0.46</v>
      </c>
      <c r="H1236" s="9" t="n">
        <v>2</v>
      </c>
      <c r="I1236" s="10" t="inlineStr">
        <is>
          <t xml:space="preserve"> 2/5</t>
        </is>
      </c>
      <c r="J1236" s="12" t="n">
        <v>0.4</v>
      </c>
      <c r="K1236" t="inlineStr">
        <is>
          <t>Distinguished</t>
        </is>
      </c>
      <c r="L1236" t="inlineStr">
        <is>
          <t>Adjunct</t>
        </is>
      </c>
      <c r="M1236" t="inlineStr">
        <is>
          <t>Geoff St. Marie</t>
        </is>
      </c>
    </row>
    <row r="1237">
      <c r="A1237" s="9" t="inlineStr">
        <is>
          <t>Matthew Wert</t>
        </is>
      </c>
      <c r="B1237" s="9" t="inlineStr">
        <is>
          <t>7/13/25 - 8/10/25</t>
        </is>
      </c>
      <c r="C1237" s="12" t="n">
        <v>0.71</v>
      </c>
      <c r="D1237" s="12" t="n">
        <v>1.02</v>
      </c>
      <c r="E1237" s="12" t="n">
        <v>0.98</v>
      </c>
      <c r="F1237" s="12" t="n">
        <v>0.96</v>
      </c>
      <c r="G1237" s="12" t="n">
        <v>0.62</v>
      </c>
      <c r="H1237" s="9" t="n">
        <v>2</v>
      </c>
      <c r="J1237" s="9" t="n"/>
      <c r="K1237" t="inlineStr">
        <is>
          <t>Distinguished</t>
        </is>
      </c>
      <c r="L1237" t="inlineStr">
        <is>
          <t>Adjunct</t>
        </is>
      </c>
      <c r="M1237" t="inlineStr">
        <is>
          <t>Geoff St. Marie</t>
        </is>
      </c>
    </row>
    <row r="1238">
      <c r="A1238" s="9" t="inlineStr">
        <is>
          <t>Matthew Wert</t>
        </is>
      </c>
      <c r="B1238" s="9" t="inlineStr">
        <is>
          <t>8/10/25 - 9/6/25</t>
        </is>
      </c>
      <c r="C1238" s="12" t="n">
        <v>0.72</v>
      </c>
      <c r="D1238" s="12" t="n">
        <v>0.98</v>
      </c>
      <c r="E1238" s="12" t="n">
        <v>0.98</v>
      </c>
      <c r="F1238" s="12" t="n">
        <v>0.97</v>
      </c>
      <c r="G1238" s="12" t="n">
        <v>0.75</v>
      </c>
      <c r="H1238" s="9" t="n">
        <v>9</v>
      </c>
      <c r="I1238" s="10" t="inlineStr">
        <is>
          <t>3/4</t>
        </is>
      </c>
      <c r="J1238" s="12" t="n">
        <v>0.75</v>
      </c>
      <c r="K1238" t="inlineStr">
        <is>
          <t>Distinguished</t>
        </is>
      </c>
      <c r="L1238" t="inlineStr">
        <is>
          <t>Adjunct</t>
        </is>
      </c>
      <c r="M1238" t="inlineStr">
        <is>
          <t>Geoff St. Marie</t>
        </is>
      </c>
    </row>
    <row r="1239">
      <c r="A1239" s="9" t="inlineStr">
        <is>
          <t>Matthew Wert</t>
        </is>
      </c>
      <c r="B1239" s="9" t="inlineStr">
        <is>
          <t>9/7/25 - 10/4/25</t>
        </is>
      </c>
      <c r="C1239" s="12" t="n">
        <v>0.74</v>
      </c>
      <c r="D1239" s="12" t="n">
        <v>1.04</v>
      </c>
      <c r="E1239" s="12" t="n">
        <v>0.93</v>
      </c>
      <c r="F1239" s="12" t="n">
        <v>0.83</v>
      </c>
      <c r="G1239" s="12" t="n">
        <v>0.46</v>
      </c>
      <c r="H1239" s="9" t="n">
        <v>5</v>
      </c>
      <c r="I1239" s="10" t="inlineStr">
        <is>
          <t>1/2</t>
        </is>
      </c>
      <c r="J1239" s="12" t="n">
        <v>0.5</v>
      </c>
      <c r="K1239" t="inlineStr">
        <is>
          <t>Distinguished</t>
        </is>
      </c>
      <c r="L1239" t="inlineStr">
        <is>
          <t>Adjunct</t>
        </is>
      </c>
      <c r="M1239" t="inlineStr">
        <is>
          <t>Geoff St. Marie</t>
        </is>
      </c>
    </row>
    <row r="1240">
      <c r="A1240" s="9" t="inlineStr">
        <is>
          <t>Matty Burge</t>
        </is>
      </c>
      <c r="B1240" s="9" t="inlineStr">
        <is>
          <t>10/5/25 - 11/1/25</t>
        </is>
      </c>
      <c r="C1240" s="12" t="n">
        <v>0.125</v>
      </c>
      <c r="D1240" s="12" t="n">
        <v>0.707</v>
      </c>
      <c r="E1240" s="12" t="n">
        <v>1</v>
      </c>
      <c r="F1240" s="12" t="n">
        <v>1</v>
      </c>
      <c r="G1240" s="12" t="n">
        <v>0</v>
      </c>
      <c r="H1240" s="9" t="n">
        <v>3</v>
      </c>
      <c r="I1240" s="10" t="n"/>
      <c r="J1240" s="12" t="n"/>
      <c r="K1240" t="inlineStr">
        <is>
          <t>Distinguished</t>
        </is>
      </c>
      <c r="L1240" t="inlineStr">
        <is>
          <t>Adjunct</t>
        </is>
      </c>
      <c r="M1240" t="inlineStr">
        <is>
          <t>Annelies de Groot</t>
        </is>
      </c>
    </row>
    <row r="1241">
      <c r="A1241" s="9" t="inlineStr">
        <is>
          <t>Matty Burge</t>
        </is>
      </c>
      <c r="B1241" s="9" t="inlineStr">
        <is>
          <t>10/5/25 - 11/1/25</t>
        </is>
      </c>
      <c r="C1241" s="12" t="n">
        <v>0.125</v>
      </c>
      <c r="D1241" s="12" t="n">
        <v>0.707</v>
      </c>
      <c r="E1241" s="12" t="n">
        <v>1</v>
      </c>
      <c r="F1241" s="12" t="n">
        <v>1</v>
      </c>
      <c r="G1241" s="12" t="n">
        <v>0</v>
      </c>
      <c r="H1241" s="9" t="n">
        <v>3</v>
      </c>
      <c r="J1241" s="9" t="n"/>
      <c r="K1241" t="inlineStr">
        <is>
          <t>Distinguished</t>
        </is>
      </c>
      <c r="L1241" t="inlineStr">
        <is>
          <t>Adjunct</t>
        </is>
      </c>
      <c r="M1241" t="inlineStr">
        <is>
          <t>Annelies de Groot</t>
        </is>
      </c>
    </row>
    <row r="1242">
      <c r="A1242" s="9" t="inlineStr">
        <is>
          <t>Matty Burge</t>
        </is>
      </c>
      <c r="B1242" s="9" t="inlineStr">
        <is>
          <t>11/2/25 - 11/29/25</t>
        </is>
      </c>
      <c r="C1242" s="12" t="n">
        <v>0.13</v>
      </c>
      <c r="D1242" s="12" t="n">
        <v>0.53</v>
      </c>
      <c r="E1242" s="12" t="n">
        <v>1</v>
      </c>
      <c r="F1242" s="12" t="n">
        <v>1</v>
      </c>
      <c r="G1242" s="12" t="n">
        <v>1</v>
      </c>
      <c r="H1242" s="9" t="n">
        <v>0</v>
      </c>
      <c r="I1242" s="13" t="n"/>
      <c r="J1242" s="9" t="n"/>
      <c r="K1242" t="inlineStr">
        <is>
          <t>Distinguished</t>
        </is>
      </c>
      <c r="L1242" t="inlineStr">
        <is>
          <t>Adjunct</t>
        </is>
      </c>
      <c r="M1242" t="inlineStr">
        <is>
          <t>Annelies de Groot</t>
        </is>
      </c>
    </row>
    <row r="1243">
      <c r="A1243" s="9" t="inlineStr">
        <is>
          <t>Matty Burge</t>
        </is>
      </c>
      <c r="B1243" s="9" t="inlineStr">
        <is>
          <t>11/30/25 - 12/27/25</t>
        </is>
      </c>
      <c r="C1243" s="12" t="n">
        <v>0.09</v>
      </c>
      <c r="D1243" s="12" t="n">
        <v>0.8</v>
      </c>
      <c r="E1243" s="12" t="n">
        <v>1</v>
      </c>
      <c r="F1243" s="12" t="n">
        <v>1</v>
      </c>
      <c r="G1243" s="12" t="n">
        <v>1</v>
      </c>
      <c r="H1243" s="9" t="n">
        <v>0</v>
      </c>
      <c r="I1243" s="10" t="n"/>
      <c r="J1243" s="12" t="n"/>
      <c r="K1243" t="inlineStr">
        <is>
          <t>Distinguished</t>
        </is>
      </c>
      <c r="L1243" t="inlineStr">
        <is>
          <t>Adjunct</t>
        </is>
      </c>
      <c r="M1243" t="inlineStr">
        <is>
          <t>Annelies de Groot</t>
        </is>
      </c>
    </row>
    <row r="1244">
      <c r="A1244" s="9" t="inlineStr">
        <is>
          <t>Matty Burge</t>
        </is>
      </c>
      <c r="B1244" s="9" t="inlineStr">
        <is>
          <t>12/28/25 - 1/25/26</t>
        </is>
      </c>
      <c r="C1244" s="12" t="n">
        <v>0.1667</v>
      </c>
      <c r="D1244" s="12" t="n">
        <v>0.8477</v>
      </c>
      <c r="E1244" s="12" t="n">
        <v>1</v>
      </c>
      <c r="F1244" s="12" t="n">
        <v>1</v>
      </c>
      <c r="G1244" s="12" t="n">
        <v>1</v>
      </c>
      <c r="H1244" s="9" t="n">
        <v>0</v>
      </c>
      <c r="I1244" s="10" t="n">
        <v>1</v>
      </c>
      <c r="J1244" s="12">
        <f>I1244</f>
        <v/>
      </c>
      <c r="K1244" t="inlineStr">
        <is>
          <t>Distinguished</t>
        </is>
      </c>
      <c r="L1244" t="inlineStr">
        <is>
          <t>Adjunct</t>
        </is>
      </c>
      <c r="M1244" t="inlineStr">
        <is>
          <t>Annelies de Groot</t>
        </is>
      </c>
    </row>
    <row r="1245">
      <c r="A1245" s="9" t="inlineStr">
        <is>
          <t>Matty Burge</t>
        </is>
      </c>
      <c r="B1245" s="9" t="inlineStr">
        <is>
          <t>5/18/25 - 6/14/25</t>
        </is>
      </c>
      <c r="C1245" s="12" t="n">
        <v>0.08</v>
      </c>
      <c r="D1245" s="12" t="n">
        <v>0.78</v>
      </c>
      <c r="E1245" s="12" t="n">
        <v>1</v>
      </c>
      <c r="F1245" s="12" t="n">
        <v>1</v>
      </c>
      <c r="G1245" s="12" t="n">
        <v>1</v>
      </c>
      <c r="H1245" s="9" t="n">
        <v>1</v>
      </c>
      <c r="J1245" s="9" t="n"/>
      <c r="K1245" t="inlineStr">
        <is>
          <t>Distinguished</t>
        </is>
      </c>
      <c r="L1245" t="inlineStr">
        <is>
          <t>Adjunct</t>
        </is>
      </c>
      <c r="M1245" t="inlineStr">
        <is>
          <t>Annelies de Groot</t>
        </is>
      </c>
    </row>
    <row r="1246">
      <c r="A1246" s="9" t="inlineStr">
        <is>
          <t>Matty Burge</t>
        </is>
      </c>
      <c r="B1246" s="9" t="inlineStr">
        <is>
          <t>6/15/25 - 7/12/25</t>
        </is>
      </c>
      <c r="C1246" s="12" t="n">
        <v>0.17</v>
      </c>
      <c r="D1246" s="12" t="n">
        <v>0.57</v>
      </c>
      <c r="E1246" s="12" t="n">
        <v>1</v>
      </c>
      <c r="F1246" s="12" t="n">
        <v>1</v>
      </c>
      <c r="G1246" s="12" t="n">
        <v>0.5</v>
      </c>
      <c r="H1246" s="9" t="n">
        <v>2</v>
      </c>
      <c r="J1246" s="9" t="n"/>
      <c r="K1246" t="inlineStr">
        <is>
          <t>Distinguished</t>
        </is>
      </c>
      <c r="L1246" t="inlineStr">
        <is>
          <t>Adjunct</t>
        </is>
      </c>
      <c r="M1246" t="inlineStr">
        <is>
          <t>Annelies de Groot</t>
        </is>
      </c>
    </row>
    <row r="1247">
      <c r="A1247" s="9" t="inlineStr">
        <is>
          <t>Matty Burge</t>
        </is>
      </c>
      <c r="B1247" s="9" t="inlineStr">
        <is>
          <t>7/13/25 - 8/10/25</t>
        </is>
      </c>
      <c r="C1247" s="12" t="n">
        <v>0.23</v>
      </c>
      <c r="D1247" s="12" t="n">
        <v>0.9</v>
      </c>
      <c r="E1247" s="12" t="n">
        <v>1</v>
      </c>
      <c r="F1247" s="12" t="n">
        <v>1</v>
      </c>
      <c r="G1247" s="12" t="n">
        <v>0</v>
      </c>
      <c r="H1247" s="9" t="e">
        <v>#N/A</v>
      </c>
      <c r="J1247" s="9" t="n"/>
      <c r="K1247" t="inlineStr">
        <is>
          <t>Distinguished</t>
        </is>
      </c>
      <c r="L1247" t="inlineStr">
        <is>
          <t>Adjunct</t>
        </is>
      </c>
      <c r="M1247" t="inlineStr">
        <is>
          <t>Annelies de Groot</t>
        </is>
      </c>
    </row>
    <row r="1248">
      <c r="A1248" s="9" t="inlineStr">
        <is>
          <t>Matty Burge</t>
        </is>
      </c>
      <c r="B1248" s="9" t="inlineStr">
        <is>
          <t>8/10/25 - 9/6/25</t>
        </is>
      </c>
      <c r="C1248" s="12" t="n">
        <v>0.15</v>
      </c>
      <c r="D1248" s="12" t="n">
        <v>0.71</v>
      </c>
      <c r="E1248" s="12" t="n">
        <v>1</v>
      </c>
      <c r="F1248" s="12" t="n">
        <v>1</v>
      </c>
      <c r="G1248" s="12" t="n">
        <v>1</v>
      </c>
      <c r="H1248" s="9" t="n">
        <v>1</v>
      </c>
      <c r="I1248" s="11" t="n"/>
      <c r="J1248" s="9" t="n"/>
      <c r="K1248" t="inlineStr">
        <is>
          <t>Distinguished</t>
        </is>
      </c>
      <c r="L1248" t="inlineStr">
        <is>
          <t>Adjunct</t>
        </is>
      </c>
      <c r="M1248" t="inlineStr">
        <is>
          <t>Annelies de Groot</t>
        </is>
      </c>
    </row>
    <row r="1249">
      <c r="A1249" s="9" t="inlineStr">
        <is>
          <t>Matty Burge</t>
        </is>
      </c>
      <c r="B1249" s="9" t="inlineStr">
        <is>
          <t>9/7/25 - 10/4/25</t>
        </is>
      </c>
      <c r="C1249" s="12" t="n">
        <v>0.06</v>
      </c>
      <c r="D1249" s="12" t="n">
        <v>0.82</v>
      </c>
      <c r="E1249" s="12" t="n">
        <v>1</v>
      </c>
      <c r="F1249" s="12" t="n">
        <v>1</v>
      </c>
      <c r="G1249" s="12" t="n">
        <v>0</v>
      </c>
      <c r="H1249" s="9" t="n">
        <v>0</v>
      </c>
      <c r="I1249" s="10" t="inlineStr">
        <is>
          <t>1/1</t>
        </is>
      </c>
      <c r="J1249" s="12" t="n">
        <v>1</v>
      </c>
      <c r="K1249" t="inlineStr">
        <is>
          <t>Distinguished</t>
        </is>
      </c>
      <c r="L1249" t="inlineStr">
        <is>
          <t>Adjunct</t>
        </is>
      </c>
      <c r="M1249" t="inlineStr">
        <is>
          <t>Annelies de Groot</t>
        </is>
      </c>
    </row>
    <row r="1250">
      <c r="A1250" s="9" t="inlineStr">
        <is>
          <t>Mauricio (Maui) Monroy</t>
        </is>
      </c>
      <c r="B1250" s="9" t="inlineStr">
        <is>
          <t>11/30/25 - 12/27/25</t>
        </is>
      </c>
      <c r="C1250" s="12" t="n">
        <v>0</v>
      </c>
      <c r="D1250" s="12" t="n">
        <v>0</v>
      </c>
      <c r="E1250" s="12" t="n">
        <v>0</v>
      </c>
      <c r="F1250" s="12" t="n">
        <v>0</v>
      </c>
      <c r="G1250" s="12" t="n">
        <v>0</v>
      </c>
      <c r="H1250" s="9" t="n">
        <v>0</v>
      </c>
      <c r="I1250" s="10" t="n"/>
      <c r="J1250" s="12" t="n"/>
      <c r="K1250" t="e">
        <v>#N/A</v>
      </c>
      <c r="L1250" t="e">
        <v>#N/A</v>
      </c>
      <c r="M1250" t="e">
        <v>#N/A</v>
      </c>
    </row>
    <row r="1251">
      <c r="A1251" s="9" t="inlineStr">
        <is>
          <t>Maximilian Tsimerman</t>
        </is>
      </c>
      <c r="B1251" s="9" t="inlineStr">
        <is>
          <t>10/5/25 - 11/1/25</t>
        </is>
      </c>
      <c r="C1251" s="12" t="n">
        <v>1.0319</v>
      </c>
      <c r="D1251" s="12" t="n">
        <v>1.0773</v>
      </c>
      <c r="E1251" s="12" t="n">
        <v>0.964028776978417</v>
      </c>
      <c r="F1251" s="12" t="n">
        <v>0.774193548387096</v>
      </c>
      <c r="G1251" s="12" t="n">
        <v>0.241379310344827</v>
      </c>
      <c r="H1251" s="9" t="n">
        <v>12</v>
      </c>
      <c r="I1251" s="10" t="inlineStr">
        <is>
          <t>4/8</t>
        </is>
      </c>
      <c r="J1251" s="12" t="n">
        <v>0.5</v>
      </c>
      <c r="K1251" t="inlineStr">
        <is>
          <t>Distinguished</t>
        </is>
      </c>
      <c r="L1251" t="inlineStr">
        <is>
          <t>Professional</t>
        </is>
      </c>
      <c r="M1251" t="inlineStr">
        <is>
          <t>Geoff St. Marie</t>
        </is>
      </c>
    </row>
    <row r="1252">
      <c r="A1252" s="9" t="inlineStr">
        <is>
          <t>Maximilian Tsimerman</t>
        </is>
      </c>
      <c r="B1252" s="9" t="inlineStr">
        <is>
          <t>11/2/25 - 11/29/25</t>
        </is>
      </c>
      <c r="C1252" s="12" t="n">
        <v>0.96</v>
      </c>
      <c r="D1252" s="12" t="n">
        <v>1.09</v>
      </c>
      <c r="E1252" s="12" t="n">
        <v>0.99</v>
      </c>
      <c r="F1252" s="12" t="n">
        <v>0.99</v>
      </c>
      <c r="G1252" s="12" t="n">
        <v>0.15</v>
      </c>
      <c r="H1252" s="9" t="n">
        <v>15</v>
      </c>
      <c r="I1252" s="13" t="n">
        <v>45661</v>
      </c>
      <c r="J1252" s="14" t="n">
        <v>0.25</v>
      </c>
      <c r="K1252" t="inlineStr">
        <is>
          <t>Distinguished</t>
        </is>
      </c>
      <c r="L1252" t="inlineStr">
        <is>
          <t>Professional</t>
        </is>
      </c>
      <c r="M1252" t="inlineStr">
        <is>
          <t>Geoff St. Marie</t>
        </is>
      </c>
    </row>
    <row r="1253">
      <c r="A1253" s="9" t="inlineStr">
        <is>
          <t>Maximilian Tsimerman</t>
        </is>
      </c>
      <c r="B1253" s="9" t="inlineStr">
        <is>
          <t>11/30/25 - 12/27/25</t>
        </is>
      </c>
      <c r="C1253" s="12" t="n">
        <v>0.87</v>
      </c>
      <c r="D1253" s="12" t="n">
        <v>0.87</v>
      </c>
      <c r="E1253" s="12" t="n">
        <v>0.96</v>
      </c>
      <c r="F1253" s="12" t="n">
        <v>1</v>
      </c>
      <c r="G1253" s="12" t="n">
        <v>0.13</v>
      </c>
      <c r="H1253" s="9" t="n">
        <v>17</v>
      </c>
      <c r="I1253" s="10" t="n">
        <v>0.2857142857142857</v>
      </c>
      <c r="J1253" s="12">
        <f>2/7</f>
        <v/>
      </c>
      <c r="K1253" t="inlineStr">
        <is>
          <t>Distinguished</t>
        </is>
      </c>
      <c r="L1253" t="inlineStr">
        <is>
          <t>Professional</t>
        </is>
      </c>
      <c r="M1253" t="inlineStr">
        <is>
          <t>Geoff St. Marie</t>
        </is>
      </c>
    </row>
    <row r="1254">
      <c r="A1254" s="9" t="inlineStr">
        <is>
          <t>Maximilian Tsimerman</t>
        </is>
      </c>
      <c r="B1254" s="9" t="inlineStr">
        <is>
          <t>12/28/25 - 1/25/26</t>
        </is>
      </c>
      <c r="C1254" s="12" t="n">
        <v>0.9458</v>
      </c>
      <c r="D1254" s="12" t="n">
        <v>0.9852</v>
      </c>
      <c r="E1254" s="12" t="n">
        <v>0.984848485</v>
      </c>
      <c r="F1254" s="12" t="n">
        <v>0.976190476</v>
      </c>
      <c r="G1254" s="12" t="n">
        <v>0.5</v>
      </c>
      <c r="H1254" s="9" t="n">
        <v>20</v>
      </c>
      <c r="I1254" s="10" t="n">
        <v>0.6666666666666666</v>
      </c>
      <c r="J1254" s="12">
        <f>I1254</f>
        <v/>
      </c>
      <c r="K1254" t="inlineStr">
        <is>
          <t>Distinguished</t>
        </is>
      </c>
      <c r="L1254" t="inlineStr">
        <is>
          <t>Professional</t>
        </is>
      </c>
      <c r="M1254" t="inlineStr">
        <is>
          <t>Geoff St. Marie</t>
        </is>
      </c>
    </row>
    <row r="1255">
      <c r="A1255" s="9" t="inlineStr">
        <is>
          <t>Maximilian Tsimerman</t>
        </is>
      </c>
      <c r="B1255" s="9" t="inlineStr">
        <is>
          <t>5/18/25 - 6/14/25</t>
        </is>
      </c>
      <c r="C1255" s="12" t="n">
        <v>0.53</v>
      </c>
      <c r="D1255" s="12" t="n">
        <v>1.16</v>
      </c>
      <c r="E1255" s="12" t="n">
        <v>0.97</v>
      </c>
      <c r="F1255" s="12" t="n">
        <v>1</v>
      </c>
      <c r="G1255" s="12" t="n">
        <v>0.64</v>
      </c>
      <c r="H1255" s="9" t="n">
        <v>3</v>
      </c>
      <c r="I1255" s="10" t="inlineStr">
        <is>
          <t xml:space="preserve"> 2/3</t>
        </is>
      </c>
      <c r="J1255" s="12" t="n">
        <v>0.67</v>
      </c>
      <c r="K1255" t="inlineStr">
        <is>
          <t>Distinguished</t>
        </is>
      </c>
      <c r="L1255" t="inlineStr">
        <is>
          <t>Professional</t>
        </is>
      </c>
      <c r="M1255" t="inlineStr">
        <is>
          <t>Geoff St. Marie</t>
        </is>
      </c>
    </row>
    <row r="1256">
      <c r="A1256" s="9" t="inlineStr">
        <is>
          <t>Maximilian Tsimerman</t>
        </is>
      </c>
      <c r="B1256" s="9" t="inlineStr">
        <is>
          <t>6/15/25 - 7/12/25</t>
        </is>
      </c>
      <c r="C1256" s="12" t="n">
        <v>0.55</v>
      </c>
      <c r="D1256" s="12" t="n">
        <v>1.07</v>
      </c>
      <c r="E1256" s="12" t="n">
        <v>0.97</v>
      </c>
      <c r="F1256" s="12" t="n">
        <v>0.79</v>
      </c>
      <c r="G1256" s="12" t="n">
        <v>0.68</v>
      </c>
      <c r="H1256" s="9" t="n">
        <v>2</v>
      </c>
      <c r="I1256" s="10" t="n">
        <v>1</v>
      </c>
      <c r="J1256" s="12">
        <f>I1256</f>
        <v/>
      </c>
      <c r="K1256" t="inlineStr">
        <is>
          <t>Distinguished</t>
        </is>
      </c>
      <c r="L1256" t="inlineStr">
        <is>
          <t>Professional</t>
        </is>
      </c>
      <c r="M1256" t="inlineStr">
        <is>
          <t>Geoff St. Marie</t>
        </is>
      </c>
    </row>
    <row r="1257">
      <c r="A1257" s="9" t="inlineStr">
        <is>
          <t>Maximilian Tsimerman</t>
        </is>
      </c>
      <c r="B1257" s="9" t="inlineStr">
        <is>
          <t>7/13/25 - 8/10/25</t>
        </is>
      </c>
      <c r="C1257" s="12" t="n">
        <v>0.92</v>
      </c>
      <c r="D1257" s="12" t="n">
        <v>1.06</v>
      </c>
      <c r="E1257" s="12" t="n">
        <v>0.99</v>
      </c>
      <c r="F1257" s="12" t="n">
        <v>1</v>
      </c>
      <c r="G1257" s="12" t="n">
        <v>0.58</v>
      </c>
      <c r="H1257" s="9" t="n">
        <v>6</v>
      </c>
      <c r="I1257" s="10" t="inlineStr">
        <is>
          <t xml:space="preserve"> 2/9</t>
        </is>
      </c>
      <c r="J1257" s="12" t="n">
        <v>0.22</v>
      </c>
      <c r="K1257" t="inlineStr">
        <is>
          <t>Distinguished</t>
        </is>
      </c>
      <c r="L1257" t="inlineStr">
        <is>
          <t>Professional</t>
        </is>
      </c>
      <c r="M1257" t="inlineStr">
        <is>
          <t>Geoff St. Marie</t>
        </is>
      </c>
    </row>
    <row r="1258">
      <c r="A1258" s="9" t="inlineStr">
        <is>
          <t>Maximilian Tsimerman</t>
        </is>
      </c>
      <c r="B1258" s="9" t="inlineStr">
        <is>
          <t>8/10/25 - 9/6/25</t>
        </is>
      </c>
      <c r="C1258" s="12" t="n">
        <v>0.9</v>
      </c>
      <c r="D1258" s="12" t="n">
        <v>1.04</v>
      </c>
      <c r="E1258" s="12" t="n">
        <v>0.99</v>
      </c>
      <c r="F1258" s="12" t="n">
        <v>1</v>
      </c>
      <c r="G1258" s="12" t="n">
        <v>0</v>
      </c>
      <c r="H1258" s="9" t="n">
        <v>10</v>
      </c>
      <c r="I1258" s="10" t="inlineStr">
        <is>
          <t>5/8</t>
        </is>
      </c>
      <c r="J1258" s="12" t="n">
        <v>0.63</v>
      </c>
      <c r="K1258" t="inlineStr">
        <is>
          <t>Distinguished</t>
        </is>
      </c>
      <c r="L1258" t="inlineStr">
        <is>
          <t>Professional</t>
        </is>
      </c>
      <c r="M1258" t="inlineStr">
        <is>
          <t>Geoff St. Marie</t>
        </is>
      </c>
    </row>
    <row r="1259">
      <c r="A1259" s="9" t="inlineStr">
        <is>
          <t>Maximilian Tsimerman</t>
        </is>
      </c>
      <c r="B1259" s="9" t="inlineStr">
        <is>
          <t>9/7/25 - 10/4/25</t>
        </is>
      </c>
      <c r="C1259" s="12" t="n">
        <v>0.89</v>
      </c>
      <c r="D1259" s="12" t="n">
        <v>1.05</v>
      </c>
      <c r="E1259" s="12" t="n">
        <v>0.98</v>
      </c>
      <c r="F1259" s="12" t="n">
        <v>0.96</v>
      </c>
      <c r="G1259" s="12" t="n">
        <v>0.28</v>
      </c>
      <c r="H1259" s="9" t="n">
        <v>6</v>
      </c>
      <c r="I1259" s="10" t="inlineStr">
        <is>
          <t>1/3</t>
        </is>
      </c>
      <c r="J1259" s="12" t="n">
        <v>0.33</v>
      </c>
      <c r="K1259" t="inlineStr">
        <is>
          <t>Distinguished</t>
        </is>
      </c>
      <c r="L1259" t="inlineStr">
        <is>
          <t>Professional</t>
        </is>
      </c>
      <c r="M1259" t="inlineStr">
        <is>
          <t>Geoff St. Marie</t>
        </is>
      </c>
    </row>
    <row r="1260">
      <c r="A1260" s="9" t="inlineStr">
        <is>
          <t>McKenzie Coleman</t>
        </is>
      </c>
      <c r="B1260" s="9" t="inlineStr">
        <is>
          <t>5/18/25 - 6/14/25</t>
        </is>
      </c>
      <c r="C1260" s="12" t="n">
        <v>0.02</v>
      </c>
      <c r="D1260" s="12" t="n">
        <v>0.63</v>
      </c>
      <c r="E1260" s="12" t="n">
        <v>1</v>
      </c>
      <c r="F1260" s="12" t="n">
        <v>0.5</v>
      </c>
      <c r="G1260" s="12" t="n">
        <v>1</v>
      </c>
      <c r="H1260" s="9" t="e">
        <v>#N/A</v>
      </c>
      <c r="I1260" s="10" t="n">
        <v>0</v>
      </c>
      <c r="J1260" s="12">
        <f>I1260</f>
        <v/>
      </c>
      <c r="K1260" t="e">
        <v>#N/A</v>
      </c>
      <c r="L1260" t="e">
        <v>#N/A</v>
      </c>
      <c r="M1260" t="e">
        <v>#N/A</v>
      </c>
    </row>
    <row r="1261">
      <c r="A1261" s="9" t="inlineStr">
        <is>
          <t>McKenzie Coleman</t>
        </is>
      </c>
      <c r="B1261" s="9" t="inlineStr">
        <is>
          <t>6/15/25 - 7/12/25</t>
        </is>
      </c>
      <c r="C1261" s="12" t="n">
        <v>0.35</v>
      </c>
      <c r="D1261" s="12" t="n">
        <v>0.72</v>
      </c>
      <c r="E1261" s="12" t="n">
        <v>1</v>
      </c>
      <c r="F1261" s="12" t="n">
        <v>0.25</v>
      </c>
      <c r="G1261" s="12" t="n">
        <v>0.75</v>
      </c>
      <c r="H1261" s="9" t="n">
        <v>1</v>
      </c>
      <c r="I1261" s="10" t="n">
        <v>0</v>
      </c>
      <c r="J1261" s="12">
        <f>I1261</f>
        <v/>
      </c>
      <c r="K1261" t="e">
        <v>#N/A</v>
      </c>
      <c r="L1261" t="e">
        <v>#N/A</v>
      </c>
      <c r="M1261" t="e">
        <v>#N/A</v>
      </c>
    </row>
    <row r="1262">
      <c r="A1262" s="9" t="inlineStr">
        <is>
          <t>Megan Hoelting</t>
        </is>
      </c>
      <c r="B1262" s="9" t="inlineStr">
        <is>
          <t>10/5/25 - 11/1/25</t>
        </is>
      </c>
      <c r="C1262" s="12" t="n">
        <v>0.5625</v>
      </c>
      <c r="D1262" s="12" t="n">
        <v>1.1602</v>
      </c>
      <c r="E1262" s="12" t="n">
        <v>1</v>
      </c>
      <c r="F1262" s="12" t="n">
        <v>1</v>
      </c>
      <c r="G1262" s="12" t="n">
        <v>0.666666666666666</v>
      </c>
      <c r="H1262" s="9" t="n">
        <v>0</v>
      </c>
      <c r="I1262" s="10" t="n"/>
      <c r="J1262" s="12" t="n"/>
      <c r="K1262" t="inlineStr">
        <is>
          <t>Distinguished</t>
        </is>
      </c>
      <c r="L1262" t="inlineStr">
        <is>
          <t>Adjunct</t>
        </is>
      </c>
      <c r="M1262" t="inlineStr">
        <is>
          <t>Annelies de Groot</t>
        </is>
      </c>
    </row>
    <row r="1263">
      <c r="A1263" s="9" t="inlineStr">
        <is>
          <t>Megan Hoelting</t>
        </is>
      </c>
      <c r="B1263" s="9" t="inlineStr">
        <is>
          <t>10/5/25 - 11/1/25</t>
        </is>
      </c>
      <c r="C1263" s="12" t="n">
        <v>0.5625</v>
      </c>
      <c r="D1263" s="12" t="n">
        <v>1.1602</v>
      </c>
      <c r="E1263" s="12" t="n">
        <v>1</v>
      </c>
      <c r="F1263" s="12" t="n">
        <v>1</v>
      </c>
      <c r="G1263" s="12" t="n">
        <v>0.666666666666666</v>
      </c>
      <c r="H1263" s="9" t="n">
        <v>0</v>
      </c>
      <c r="J1263" s="9" t="n"/>
      <c r="K1263" t="inlineStr">
        <is>
          <t>Distinguished</t>
        </is>
      </c>
      <c r="L1263" t="inlineStr">
        <is>
          <t>Adjunct</t>
        </is>
      </c>
      <c r="M1263" t="inlineStr">
        <is>
          <t>Annelies de Groot</t>
        </is>
      </c>
    </row>
    <row r="1264">
      <c r="A1264" s="9" t="inlineStr">
        <is>
          <t>Megan Hoelting</t>
        </is>
      </c>
      <c r="B1264" s="9" t="inlineStr">
        <is>
          <t>11/2/25 - 11/29/25</t>
        </is>
      </c>
      <c r="C1264" s="12" t="n">
        <v>0.48</v>
      </c>
      <c r="D1264" s="12" t="n">
        <v>1.14</v>
      </c>
      <c r="E1264" s="12" t="n">
        <v>0.95</v>
      </c>
      <c r="F1264" s="12" t="n">
        <v>1</v>
      </c>
      <c r="G1264" s="12" t="n">
        <v>1</v>
      </c>
      <c r="H1264" s="9" t="n">
        <v>0</v>
      </c>
      <c r="I1264" s="13" t="n">
        <v>45659</v>
      </c>
      <c r="J1264" s="12" t="n">
        <v>0.5</v>
      </c>
      <c r="K1264" t="inlineStr">
        <is>
          <t>Distinguished</t>
        </is>
      </c>
      <c r="L1264" t="inlineStr">
        <is>
          <t>Adjunct</t>
        </is>
      </c>
      <c r="M1264" t="inlineStr">
        <is>
          <t>Annelies de Groot</t>
        </is>
      </c>
    </row>
    <row r="1265">
      <c r="A1265" s="9" t="inlineStr">
        <is>
          <t>Megan Hoelting</t>
        </is>
      </c>
      <c r="B1265" s="9" t="inlineStr">
        <is>
          <t>11/30/25 - 12/27/25</t>
        </is>
      </c>
      <c r="C1265" s="12" t="n">
        <v>0.32</v>
      </c>
      <c r="D1265" s="12" t="n">
        <v>1.15</v>
      </c>
      <c r="E1265" s="12" t="n">
        <v>1</v>
      </c>
      <c r="F1265" s="12" t="n">
        <v>1</v>
      </c>
      <c r="G1265" s="12" t="n">
        <v>1</v>
      </c>
      <c r="H1265" s="9" t="n">
        <v>0</v>
      </c>
      <c r="I1265" s="10" t="n"/>
      <c r="J1265" s="12" t="n"/>
      <c r="K1265" t="inlineStr">
        <is>
          <t>Distinguished</t>
        </is>
      </c>
      <c r="L1265" t="inlineStr">
        <is>
          <t>Adjunct</t>
        </is>
      </c>
      <c r="M1265" t="inlineStr">
        <is>
          <t>Annelies de Groot</t>
        </is>
      </c>
    </row>
    <row r="1266">
      <c r="A1266" s="9" t="inlineStr">
        <is>
          <t>Megan Hoelting</t>
        </is>
      </c>
      <c r="B1266" s="9" t="inlineStr">
        <is>
          <t>12/28/25 - 1/25/26</t>
        </is>
      </c>
      <c r="C1266" s="12" t="n">
        <v>0.5313</v>
      </c>
      <c r="D1266" s="12" t="n">
        <v>1.3633</v>
      </c>
      <c r="E1266" s="12" t="n">
        <v>1</v>
      </c>
      <c r="F1266" s="12" t="n">
        <v>1</v>
      </c>
      <c r="G1266" s="12" t="n">
        <v>1</v>
      </c>
      <c r="H1266" s="9" t="n">
        <v>0</v>
      </c>
      <c r="I1266" s="10" t="inlineStr">
        <is>
          <t>0/2</t>
        </is>
      </c>
      <c r="J1266" s="12" t="n">
        <v>0</v>
      </c>
      <c r="K1266" t="inlineStr">
        <is>
          <t>Distinguished</t>
        </is>
      </c>
      <c r="L1266" t="inlineStr">
        <is>
          <t>Adjunct</t>
        </is>
      </c>
      <c r="M1266" t="inlineStr">
        <is>
          <t>Annelies de Groot</t>
        </is>
      </c>
    </row>
    <row r="1267">
      <c r="A1267" s="9" t="inlineStr">
        <is>
          <t>Megan Hoelting</t>
        </is>
      </c>
      <c r="B1267" s="9" t="inlineStr">
        <is>
          <t>5/18/25 - 6/14/25</t>
        </is>
      </c>
      <c r="C1267" s="12" t="n">
        <v>0.5</v>
      </c>
      <c r="D1267" s="12" t="n">
        <v>1.47</v>
      </c>
      <c r="E1267" s="12" t="n">
        <v>1</v>
      </c>
      <c r="F1267" s="12" t="n">
        <v>1</v>
      </c>
      <c r="G1267" s="12" t="n">
        <v>0.67</v>
      </c>
      <c r="H1267" s="9" t="n">
        <v>4</v>
      </c>
      <c r="J1267" s="9" t="n"/>
      <c r="K1267" t="inlineStr">
        <is>
          <t>Distinguished</t>
        </is>
      </c>
      <c r="L1267" t="inlineStr">
        <is>
          <t>Adjunct</t>
        </is>
      </c>
      <c r="M1267" t="inlineStr">
        <is>
          <t>Annelies de Groot</t>
        </is>
      </c>
    </row>
    <row r="1268">
      <c r="A1268" s="9" t="inlineStr">
        <is>
          <t>Megan Hoelting</t>
        </is>
      </c>
      <c r="B1268" s="9" t="inlineStr">
        <is>
          <t>6/15/25 - 7/12/25</t>
        </is>
      </c>
      <c r="C1268" s="12" t="n">
        <v>0.23</v>
      </c>
      <c r="D1268" s="12" t="n">
        <v>1.47</v>
      </c>
      <c r="E1268" s="12" t="n">
        <v>1</v>
      </c>
      <c r="F1268" s="12" t="n">
        <v>1</v>
      </c>
      <c r="G1268" s="12" t="n">
        <v>0.6</v>
      </c>
      <c r="H1268" s="9" t="n">
        <v>1</v>
      </c>
      <c r="J1268" s="9" t="n"/>
      <c r="K1268" t="inlineStr">
        <is>
          <t>Distinguished</t>
        </is>
      </c>
      <c r="L1268" t="inlineStr">
        <is>
          <t>Adjunct</t>
        </is>
      </c>
      <c r="M1268" t="inlineStr">
        <is>
          <t>Annelies de Groot</t>
        </is>
      </c>
    </row>
    <row r="1269">
      <c r="A1269" s="9" t="inlineStr">
        <is>
          <t>Megan Hoelting</t>
        </is>
      </c>
      <c r="B1269" s="9" t="inlineStr">
        <is>
          <t>7/13/25 - 8/10/25</t>
        </is>
      </c>
      <c r="C1269" s="12" t="n">
        <v>0.35</v>
      </c>
      <c r="D1269" s="12" t="n">
        <v>1.25</v>
      </c>
      <c r="E1269" s="12" t="n">
        <v>0.9399999999999999</v>
      </c>
      <c r="F1269" s="12" t="n">
        <v>1</v>
      </c>
      <c r="G1269" s="12" t="n">
        <v>0.5</v>
      </c>
      <c r="H1269" s="9" t="e">
        <v>#N/A</v>
      </c>
      <c r="J1269" s="9" t="n"/>
      <c r="K1269" t="inlineStr">
        <is>
          <t>Distinguished</t>
        </is>
      </c>
      <c r="L1269" t="inlineStr">
        <is>
          <t>Adjunct</t>
        </is>
      </c>
      <c r="M1269" t="inlineStr">
        <is>
          <t>Annelies de Groot</t>
        </is>
      </c>
    </row>
    <row r="1270">
      <c r="A1270" s="9" t="inlineStr">
        <is>
          <t>Megan Hoelting</t>
        </is>
      </c>
      <c r="B1270" s="9" t="inlineStr">
        <is>
          <t>8/10/25 - 9/6/25</t>
        </is>
      </c>
      <c r="C1270" s="12" t="n">
        <v>0.5600000000000001</v>
      </c>
      <c r="D1270" s="12" t="n">
        <v>1.22</v>
      </c>
      <c r="E1270" s="12" t="n">
        <v>0.96</v>
      </c>
      <c r="F1270" s="12" t="n">
        <v>1</v>
      </c>
      <c r="G1270" s="12" t="n">
        <v>0</v>
      </c>
      <c r="H1270" s="9" t="n">
        <v>0</v>
      </c>
      <c r="I1270" s="11" t="n"/>
      <c r="J1270" s="9" t="n"/>
      <c r="K1270" t="inlineStr">
        <is>
          <t>Distinguished</t>
        </is>
      </c>
      <c r="L1270" t="inlineStr">
        <is>
          <t>Adjunct</t>
        </is>
      </c>
      <c r="M1270" t="inlineStr">
        <is>
          <t>Annelies de Groot</t>
        </is>
      </c>
    </row>
    <row r="1271">
      <c r="A1271" s="9" t="inlineStr">
        <is>
          <t>Megan Hoelting</t>
        </is>
      </c>
      <c r="B1271" s="9" t="inlineStr">
        <is>
          <t>9/7/25 - 10/4/25</t>
        </is>
      </c>
      <c r="C1271" s="12" t="n">
        <v>0.77</v>
      </c>
      <c r="D1271" s="12" t="n">
        <v>1.28</v>
      </c>
      <c r="E1271" s="12" t="n">
        <v>1</v>
      </c>
      <c r="F1271" s="12" t="n">
        <v>0.85</v>
      </c>
      <c r="G1271" s="12" t="n">
        <v>0.75</v>
      </c>
      <c r="H1271" s="9" t="n">
        <v>1</v>
      </c>
      <c r="I1271" s="10" t="inlineStr">
        <is>
          <t>0/1</t>
        </is>
      </c>
      <c r="J1271" s="12" t="n">
        <v>0</v>
      </c>
      <c r="K1271" t="inlineStr">
        <is>
          <t>Distinguished</t>
        </is>
      </c>
      <c r="L1271" t="inlineStr">
        <is>
          <t>Adjunct</t>
        </is>
      </c>
      <c r="M1271" t="inlineStr">
        <is>
          <t>Annelies de Groot</t>
        </is>
      </c>
    </row>
    <row r="1272">
      <c r="A1272" s="9" t="inlineStr">
        <is>
          <t>Megan Osgood</t>
        </is>
      </c>
      <c r="B1272" s="9" t="inlineStr">
        <is>
          <t>10/5/25 - 11/1/25</t>
        </is>
      </c>
      <c r="C1272" s="12" t="n">
        <v>0.6833</v>
      </c>
      <c r="D1272" s="12" t="n">
        <v>1.05759999999999</v>
      </c>
      <c r="E1272" s="12" t="n">
        <v>1</v>
      </c>
      <c r="F1272" s="12" t="n">
        <v>0.982142857142857</v>
      </c>
      <c r="G1272" s="12" t="n">
        <v>0.857142857142857</v>
      </c>
      <c r="H1272" s="9" t="n">
        <v>0</v>
      </c>
      <c r="I1272" s="10" t="inlineStr">
        <is>
          <t>1/1</t>
        </is>
      </c>
      <c r="J1272" s="12" t="n">
        <v>1</v>
      </c>
      <c r="K1272" t="inlineStr">
        <is>
          <t>Distinguished</t>
        </is>
      </c>
      <c r="L1272" t="inlineStr">
        <is>
          <t>Professional</t>
        </is>
      </c>
      <c r="M1272" t="inlineStr">
        <is>
          <t>Annelies de Groot</t>
        </is>
      </c>
    </row>
    <row r="1273">
      <c r="A1273" s="9" t="inlineStr">
        <is>
          <t>Megan Osgood</t>
        </is>
      </c>
      <c r="B1273" s="9" t="inlineStr">
        <is>
          <t>11/2/25 - 11/29/25</t>
        </is>
      </c>
      <c r="C1273" s="12" t="n">
        <v>0.63</v>
      </c>
      <c r="D1273" s="12" t="n">
        <v>1.04</v>
      </c>
      <c r="E1273" s="12" t="n">
        <v>1</v>
      </c>
      <c r="F1273" s="12" t="n">
        <v>1</v>
      </c>
      <c r="G1273" s="12" t="n">
        <v>0.93</v>
      </c>
      <c r="H1273" s="9" t="n">
        <v>1</v>
      </c>
      <c r="I1273" s="13" t="n">
        <v>45658</v>
      </c>
      <c r="J1273" s="12" t="n">
        <v>1</v>
      </c>
      <c r="K1273" t="inlineStr">
        <is>
          <t>Distinguished</t>
        </is>
      </c>
      <c r="L1273" t="inlineStr">
        <is>
          <t>Professional</t>
        </is>
      </c>
      <c r="M1273" t="inlineStr">
        <is>
          <t>Annelies de Groot</t>
        </is>
      </c>
    </row>
    <row r="1274">
      <c r="A1274" s="9" t="inlineStr">
        <is>
          <t>Megan Osgood</t>
        </is>
      </c>
      <c r="B1274" s="9" t="inlineStr">
        <is>
          <t>11/30/25 - 12/27/25</t>
        </is>
      </c>
      <c r="C1274" s="12" t="n">
        <v>0.48</v>
      </c>
      <c r="D1274" s="12" t="n">
        <v>0.9</v>
      </c>
      <c r="E1274" s="12" t="n">
        <v>1</v>
      </c>
      <c r="F1274" s="12" t="n">
        <v>0.86</v>
      </c>
      <c r="G1274" s="12" t="n">
        <v>1</v>
      </c>
      <c r="H1274" s="9" t="n">
        <v>8</v>
      </c>
      <c r="I1274" s="10" t="n">
        <v>1</v>
      </c>
      <c r="J1274" s="12" t="n">
        <v>1</v>
      </c>
      <c r="K1274" t="inlineStr">
        <is>
          <t>Distinguished</t>
        </is>
      </c>
      <c r="L1274" t="inlineStr">
        <is>
          <t>Professional</t>
        </is>
      </c>
      <c r="M1274" t="inlineStr">
        <is>
          <t>Annelies de Groot</t>
        </is>
      </c>
    </row>
    <row r="1275">
      <c r="A1275" s="9" t="inlineStr">
        <is>
          <t>Megan Osgood</t>
        </is>
      </c>
      <c r="B1275" s="9" t="inlineStr">
        <is>
          <t>12/28/25 - 1/25/26</t>
        </is>
      </c>
      <c r="C1275" s="12" t="n">
        <v>0.4708</v>
      </c>
      <c r="D1275" s="12" t="n">
        <v>0.9786</v>
      </c>
      <c r="E1275" s="12" t="n">
        <v>1</v>
      </c>
      <c r="F1275" s="12" t="n">
        <v>0.720930233</v>
      </c>
      <c r="G1275" s="12" t="n">
        <v>0.9375</v>
      </c>
      <c r="H1275" s="9" t="n">
        <v>4</v>
      </c>
      <c r="I1275" s="10" t="inlineStr">
        <is>
          <t>0/0</t>
        </is>
      </c>
      <c r="J1275" s="12" t="n">
        <v>0</v>
      </c>
      <c r="K1275" t="inlineStr">
        <is>
          <t>Distinguished</t>
        </is>
      </c>
      <c r="L1275" t="inlineStr">
        <is>
          <t>Professional</t>
        </is>
      </c>
      <c r="M1275" t="inlineStr">
        <is>
          <t>Annelies de Groot</t>
        </is>
      </c>
    </row>
    <row r="1276">
      <c r="A1276" s="9" t="inlineStr">
        <is>
          <t>Megan Osgood</t>
        </is>
      </c>
      <c r="B1276" s="9" t="inlineStr">
        <is>
          <t>5/18/25 - 6/14/25</t>
        </is>
      </c>
      <c r="C1276" s="12" t="n">
        <v>0.8100000000000001</v>
      </c>
      <c r="D1276" s="12" t="n">
        <v>1.04</v>
      </c>
      <c r="E1276" s="12" t="n">
        <v>1</v>
      </c>
      <c r="F1276" s="12" t="n">
        <v>0.95</v>
      </c>
      <c r="G1276" s="12" t="n">
        <v>0.86</v>
      </c>
      <c r="H1276" s="9" t="n">
        <v>4</v>
      </c>
      <c r="I1276" s="10" t="inlineStr">
        <is>
          <t xml:space="preserve"> 3/4</t>
        </is>
      </c>
      <c r="J1276" s="12" t="n">
        <v>0.75</v>
      </c>
      <c r="K1276" t="inlineStr">
        <is>
          <t>Distinguished</t>
        </is>
      </c>
      <c r="L1276" t="inlineStr">
        <is>
          <t>Professional</t>
        </is>
      </c>
      <c r="M1276" t="inlineStr">
        <is>
          <t>Annelies de Groot</t>
        </is>
      </c>
    </row>
    <row r="1277">
      <c r="A1277" s="9" t="inlineStr">
        <is>
          <t>Megan Osgood</t>
        </is>
      </c>
      <c r="B1277" s="9" t="inlineStr">
        <is>
          <t>6/15/25 - 7/12/25</t>
        </is>
      </c>
      <c r="C1277" s="12" t="n">
        <v>0.32</v>
      </c>
      <c r="D1277" s="12" t="n">
        <v>0.84</v>
      </c>
      <c r="E1277" s="12" t="n">
        <v>1</v>
      </c>
      <c r="F1277" s="12" t="n">
        <v>0.6899999999999999</v>
      </c>
      <c r="G1277" s="12" t="n">
        <v>0.64</v>
      </c>
      <c r="H1277" s="9" t="n">
        <v>4</v>
      </c>
      <c r="I1277" s="10" t="n">
        <v>1</v>
      </c>
      <c r="J1277" s="12">
        <f>I1277</f>
        <v/>
      </c>
      <c r="K1277" t="inlineStr">
        <is>
          <t>Distinguished</t>
        </is>
      </c>
      <c r="L1277" t="inlineStr">
        <is>
          <t>Professional</t>
        </is>
      </c>
      <c r="M1277" t="inlineStr">
        <is>
          <t>Annelies de Groot</t>
        </is>
      </c>
    </row>
    <row r="1278">
      <c r="A1278" s="9" t="inlineStr">
        <is>
          <t>Megan Osgood</t>
        </is>
      </c>
      <c r="B1278" s="9" t="inlineStr">
        <is>
          <t>7/13/25 - 8/10/25</t>
        </is>
      </c>
      <c r="C1278" s="12" t="n">
        <v>0.55</v>
      </c>
      <c r="D1278" s="12" t="n">
        <v>0.99</v>
      </c>
      <c r="E1278" s="12" t="n">
        <v>1</v>
      </c>
      <c r="F1278" s="12" t="n">
        <v>0.98</v>
      </c>
      <c r="G1278" s="12" t="n">
        <v>0.5</v>
      </c>
      <c r="H1278" s="9" t="n">
        <v>6</v>
      </c>
      <c r="J1278" s="9" t="n"/>
      <c r="K1278" t="inlineStr">
        <is>
          <t>Distinguished</t>
        </is>
      </c>
      <c r="L1278" t="inlineStr">
        <is>
          <t>Professional</t>
        </is>
      </c>
      <c r="M1278" t="inlineStr">
        <is>
          <t>Annelies de Groot</t>
        </is>
      </c>
    </row>
    <row r="1279">
      <c r="A1279" s="9" t="inlineStr">
        <is>
          <t>Megan Osgood</t>
        </is>
      </c>
      <c r="B1279" s="9" t="inlineStr">
        <is>
          <t>8/10/25 - 9/6/25</t>
        </is>
      </c>
      <c r="C1279" s="12" t="n">
        <v>0.46</v>
      </c>
      <c r="D1279" s="12" t="n">
        <v>1.09</v>
      </c>
      <c r="E1279" s="12" t="n">
        <v>1</v>
      </c>
      <c r="F1279" s="12" t="n">
        <v>1</v>
      </c>
      <c r="G1279" s="12" t="n">
        <v>0.82</v>
      </c>
      <c r="H1279" s="9" t="n">
        <v>1</v>
      </c>
      <c r="I1279" s="10" t="inlineStr">
        <is>
          <t>2/3</t>
        </is>
      </c>
      <c r="J1279" s="12" t="n">
        <v>0.66</v>
      </c>
      <c r="K1279" t="inlineStr">
        <is>
          <t>Distinguished</t>
        </is>
      </c>
      <c r="L1279" t="inlineStr">
        <is>
          <t>Professional</t>
        </is>
      </c>
      <c r="M1279" t="inlineStr">
        <is>
          <t>Annelies de Groot</t>
        </is>
      </c>
    </row>
    <row r="1280">
      <c r="A1280" s="9" t="inlineStr">
        <is>
          <t>Megan Osgood</t>
        </is>
      </c>
      <c r="B1280" s="9" t="inlineStr">
        <is>
          <t>9/7/25 - 10/4/25</t>
        </is>
      </c>
      <c r="C1280" s="12" t="n">
        <v>0.73</v>
      </c>
      <c r="D1280" s="12" t="n">
        <v>1.03</v>
      </c>
      <c r="E1280" s="12" t="n">
        <v>1</v>
      </c>
      <c r="F1280" s="12" t="n">
        <v>0.88</v>
      </c>
      <c r="G1280" s="12" t="n">
        <v>0.83</v>
      </c>
      <c r="H1280" s="9" t="n">
        <v>1</v>
      </c>
      <c r="I1280" s="10" t="inlineStr">
        <is>
          <t>7/7</t>
        </is>
      </c>
      <c r="J1280" s="12" t="n">
        <v>1</v>
      </c>
      <c r="K1280" t="inlineStr">
        <is>
          <t>Distinguished</t>
        </is>
      </c>
      <c r="L1280" t="inlineStr">
        <is>
          <t>Professional</t>
        </is>
      </c>
      <c r="M1280" t="inlineStr">
        <is>
          <t>Annelies de Groot</t>
        </is>
      </c>
    </row>
    <row r="1281">
      <c r="A1281" s="9" t="inlineStr">
        <is>
          <t>Melanie Leong</t>
        </is>
      </c>
      <c r="B1281" s="9" t="inlineStr">
        <is>
          <t>10/5/25 - 11/1/25</t>
        </is>
      </c>
      <c r="C1281" s="12" t="n">
        <v>0.8135</v>
      </c>
      <c r="D1281" s="12" t="n">
        <v>1.1349</v>
      </c>
      <c r="E1281" s="12" t="n">
        <v>1</v>
      </c>
      <c r="F1281" s="12" t="n">
        <v>1</v>
      </c>
      <c r="G1281" s="12" t="n">
        <v>1</v>
      </c>
      <c r="H1281" s="9" t="n">
        <v>1</v>
      </c>
      <c r="I1281" s="10" t="n"/>
      <c r="J1281" s="12" t="n"/>
      <c r="K1281" t="inlineStr">
        <is>
          <t>Premium</t>
        </is>
      </c>
      <c r="L1281" t="inlineStr">
        <is>
          <t>Adjunct</t>
        </is>
      </c>
      <c r="M1281" t="inlineStr">
        <is>
          <t>Kristin Haase-Alvey</t>
        </is>
      </c>
    </row>
    <row r="1282">
      <c r="A1282" s="9" t="inlineStr">
        <is>
          <t>Melanie Leong</t>
        </is>
      </c>
      <c r="B1282" s="9" t="inlineStr">
        <is>
          <t>10/5/25 - 11/1/25</t>
        </is>
      </c>
      <c r="C1282" s="12" t="n">
        <v>0.8135</v>
      </c>
      <c r="D1282" s="12" t="n">
        <v>1.1349</v>
      </c>
      <c r="E1282" s="12" t="n">
        <v>1</v>
      </c>
      <c r="F1282" s="12" t="n">
        <v>1</v>
      </c>
      <c r="G1282" s="12" t="n">
        <v>1</v>
      </c>
      <c r="H1282" s="9" t="n">
        <v>1</v>
      </c>
      <c r="J1282" s="9" t="n"/>
      <c r="K1282" t="inlineStr">
        <is>
          <t>Premium</t>
        </is>
      </c>
      <c r="L1282" t="inlineStr">
        <is>
          <t>Adjunct</t>
        </is>
      </c>
      <c r="M1282" t="inlineStr">
        <is>
          <t>Kristin Haase-Alvey</t>
        </is>
      </c>
    </row>
    <row r="1283">
      <c r="A1283" s="9" t="inlineStr">
        <is>
          <t>Melanie Leong</t>
        </is>
      </c>
      <c r="B1283" s="9" t="inlineStr">
        <is>
          <t>11/2/25 - 11/29/25</t>
        </is>
      </c>
      <c r="C1283" s="12" t="n">
        <v>0.55</v>
      </c>
      <c r="D1283" s="12" t="n">
        <v>0.95</v>
      </c>
      <c r="E1283" s="12" t="n">
        <v>1</v>
      </c>
      <c r="F1283" s="12" t="n">
        <v>1</v>
      </c>
      <c r="G1283" s="12" t="n">
        <v>1</v>
      </c>
      <c r="H1283" s="9" t="n">
        <v>6</v>
      </c>
      <c r="I1283" s="13" t="n"/>
      <c r="J1283" s="9" t="n"/>
      <c r="K1283" t="inlineStr">
        <is>
          <t>Premium</t>
        </is>
      </c>
      <c r="L1283" t="inlineStr">
        <is>
          <t>Adjunct</t>
        </is>
      </c>
      <c r="M1283" t="inlineStr">
        <is>
          <t>Kristin Haase-Alvey</t>
        </is>
      </c>
    </row>
    <row r="1284">
      <c r="A1284" s="9" t="inlineStr">
        <is>
          <t>Melanie Leong</t>
        </is>
      </c>
      <c r="B1284" s="9" t="inlineStr">
        <is>
          <t>11/30/25 - 12/27/25</t>
        </is>
      </c>
      <c r="C1284" s="12" t="n">
        <v>0.49</v>
      </c>
      <c r="D1284" s="12" t="n">
        <v>1.16</v>
      </c>
      <c r="E1284" s="12" t="n">
        <v>1</v>
      </c>
      <c r="F1284" s="12" t="n">
        <v>1</v>
      </c>
      <c r="G1284" s="12" t="n">
        <v>1</v>
      </c>
      <c r="H1284" s="9" t="n">
        <v>3</v>
      </c>
      <c r="I1284" s="10" t="n"/>
      <c r="J1284" s="12" t="n"/>
      <c r="K1284" t="inlineStr">
        <is>
          <t>Premium</t>
        </is>
      </c>
      <c r="L1284" t="inlineStr">
        <is>
          <t>Adjunct</t>
        </is>
      </c>
      <c r="M1284" t="inlineStr">
        <is>
          <t>Kristin Haase-Alvey</t>
        </is>
      </c>
    </row>
    <row r="1285">
      <c r="A1285" s="9" t="inlineStr">
        <is>
          <t>Melanie Leong</t>
        </is>
      </c>
      <c r="B1285" s="9" t="inlineStr">
        <is>
          <t>12/28/25 - 1/25/26</t>
        </is>
      </c>
      <c r="C1285" s="12" t="n">
        <v>0.4625</v>
      </c>
      <c r="D1285" s="12" t="n">
        <v>1.0247</v>
      </c>
      <c r="E1285" s="12" t="n">
        <v>1</v>
      </c>
      <c r="F1285" s="12" t="n">
        <v>1</v>
      </c>
      <c r="G1285" s="12" t="n">
        <v>1</v>
      </c>
      <c r="H1285" s="9" t="n">
        <v>1</v>
      </c>
      <c r="I1285" s="10" t="inlineStr">
        <is>
          <t>0/0</t>
        </is>
      </c>
      <c r="J1285" s="12" t="n">
        <v>0</v>
      </c>
      <c r="K1285" t="inlineStr">
        <is>
          <t>Premium</t>
        </is>
      </c>
      <c r="L1285" t="inlineStr">
        <is>
          <t>Adjunct</t>
        </is>
      </c>
      <c r="M1285" t="inlineStr">
        <is>
          <t>Kristin Haase-Alvey</t>
        </is>
      </c>
    </row>
    <row r="1286">
      <c r="A1286" s="9" t="inlineStr">
        <is>
          <t>Melanie Leong</t>
        </is>
      </c>
      <c r="B1286" s="9" t="inlineStr">
        <is>
          <t>5/18/25 - 6/14/25</t>
        </is>
      </c>
      <c r="C1286" s="12" t="n">
        <v>0.64</v>
      </c>
      <c r="D1286" s="12" t="n">
        <v>1.18</v>
      </c>
      <c r="E1286" s="12" t="n">
        <v>1</v>
      </c>
      <c r="F1286" s="12" t="n">
        <v>1</v>
      </c>
      <c r="G1286" s="12" t="n">
        <v>1</v>
      </c>
      <c r="H1286" s="9" t="n">
        <v>3</v>
      </c>
      <c r="I1286" s="10" t="n">
        <v>1</v>
      </c>
      <c r="J1286" s="12">
        <f>I1286</f>
        <v/>
      </c>
      <c r="K1286" t="inlineStr">
        <is>
          <t>Premium</t>
        </is>
      </c>
      <c r="L1286" t="inlineStr">
        <is>
          <t>Adjunct</t>
        </is>
      </c>
      <c r="M1286" t="inlineStr">
        <is>
          <t>Kristin Haase-Alvey</t>
        </is>
      </c>
    </row>
    <row r="1287">
      <c r="A1287" s="9" t="inlineStr">
        <is>
          <t>Melanie Leong</t>
        </is>
      </c>
      <c r="B1287" s="9" t="inlineStr">
        <is>
          <t>6/15/25 - 7/12/25</t>
        </is>
      </c>
      <c r="C1287" s="12" t="n">
        <v>0.45</v>
      </c>
      <c r="D1287" s="12" t="n">
        <v>0.98</v>
      </c>
      <c r="E1287" s="12" t="n">
        <v>1</v>
      </c>
      <c r="F1287" s="12" t="n">
        <v>0.96</v>
      </c>
      <c r="G1287" s="12" t="n">
        <v>0.92</v>
      </c>
      <c r="H1287" s="9" t="n">
        <v>2</v>
      </c>
      <c r="I1287" s="10" t="n">
        <v>1</v>
      </c>
      <c r="J1287" s="12">
        <f>I1287</f>
        <v/>
      </c>
      <c r="K1287" t="inlineStr">
        <is>
          <t>Premium</t>
        </is>
      </c>
      <c r="L1287" t="inlineStr">
        <is>
          <t>Adjunct</t>
        </is>
      </c>
      <c r="M1287" t="inlineStr">
        <is>
          <t>Kristin Haase-Alvey</t>
        </is>
      </c>
    </row>
    <row r="1288">
      <c r="A1288" s="9" t="inlineStr">
        <is>
          <t>Melanie Leong</t>
        </is>
      </c>
      <c r="B1288" s="9" t="inlineStr">
        <is>
          <t>7/13/25 - 8/10/25</t>
        </is>
      </c>
      <c r="C1288" s="12" t="n">
        <v>0.6</v>
      </c>
      <c r="D1288" s="12" t="n">
        <v>1.11</v>
      </c>
      <c r="E1288" s="12" t="n">
        <v>1</v>
      </c>
      <c r="F1288" s="12" t="n">
        <v>1</v>
      </c>
      <c r="G1288" s="12" t="n">
        <v>0.93</v>
      </c>
      <c r="H1288" s="9" t="n">
        <v>1</v>
      </c>
      <c r="I1288" s="10" t="n">
        <v>1</v>
      </c>
      <c r="J1288" s="12">
        <f>I1288</f>
        <v/>
      </c>
      <c r="K1288" t="inlineStr">
        <is>
          <t>Premium</t>
        </is>
      </c>
      <c r="L1288" t="inlineStr">
        <is>
          <t>Adjunct</t>
        </is>
      </c>
      <c r="M1288" t="inlineStr">
        <is>
          <t>Kristin Haase-Alvey</t>
        </is>
      </c>
    </row>
    <row r="1289">
      <c r="A1289" s="9" t="inlineStr">
        <is>
          <t>Melanie Leong</t>
        </is>
      </c>
      <c r="B1289" s="9" t="inlineStr">
        <is>
          <t>8/10/25 - 9/6/25</t>
        </is>
      </c>
      <c r="C1289" s="12" t="n">
        <v>0.99</v>
      </c>
      <c r="D1289" s="12" t="n">
        <v>1.02</v>
      </c>
      <c r="E1289" s="12" t="n">
        <v>1</v>
      </c>
      <c r="F1289" s="12" t="n">
        <v>1</v>
      </c>
      <c r="G1289" s="12" t="n">
        <v>0.87</v>
      </c>
      <c r="H1289" s="9" t="n">
        <v>1</v>
      </c>
      <c r="I1289" s="10" t="inlineStr">
        <is>
          <t>1/1</t>
        </is>
      </c>
      <c r="J1289" s="12" t="n">
        <v>1</v>
      </c>
      <c r="K1289" t="inlineStr">
        <is>
          <t>Premium</t>
        </is>
      </c>
      <c r="L1289" t="inlineStr">
        <is>
          <t>Adjunct</t>
        </is>
      </c>
      <c r="M1289" t="inlineStr">
        <is>
          <t>Kristin Haase-Alvey</t>
        </is>
      </c>
    </row>
    <row r="1290">
      <c r="A1290" s="9" t="inlineStr">
        <is>
          <t>Melanie Leong</t>
        </is>
      </c>
      <c r="B1290" s="9" t="inlineStr">
        <is>
          <t>9/7/25 - 10/4/25</t>
        </is>
      </c>
      <c r="C1290" s="12" t="n">
        <v>1.05</v>
      </c>
      <c r="D1290" s="12" t="n">
        <v>1.07</v>
      </c>
      <c r="E1290" s="12" t="n">
        <v>0.99</v>
      </c>
      <c r="F1290" s="12" t="n">
        <v>0.98</v>
      </c>
      <c r="G1290" s="12" t="n">
        <v>1</v>
      </c>
      <c r="H1290" s="9" t="n">
        <v>6</v>
      </c>
      <c r="I1290" s="11" t="n"/>
      <c r="J1290" s="9" t="n"/>
      <c r="K1290" t="inlineStr">
        <is>
          <t>Premium</t>
        </is>
      </c>
      <c r="L1290" t="inlineStr">
        <is>
          <t>Adjunct</t>
        </is>
      </c>
      <c r="M1290" t="inlineStr">
        <is>
          <t>Kristin Haase-Alvey</t>
        </is>
      </c>
    </row>
    <row r="1291">
      <c r="A1291" s="9" t="inlineStr">
        <is>
          <t>Melinda Mergendahl</t>
        </is>
      </c>
      <c r="B1291" s="9" t="inlineStr">
        <is>
          <t>10/5/25 - 11/1/25</t>
        </is>
      </c>
      <c r="C1291" s="12" t="n">
        <v>0.893799999999999</v>
      </c>
      <c r="D1291" s="12" t="n">
        <v>1.1589</v>
      </c>
      <c r="E1291" s="12" t="n">
        <v>1</v>
      </c>
      <c r="F1291" s="12" t="n">
        <v>0.90566037735849</v>
      </c>
      <c r="G1291" s="12" t="n">
        <v>0.85</v>
      </c>
      <c r="H1291" s="9" t="n">
        <v>3</v>
      </c>
      <c r="I1291" s="10" t="n"/>
      <c r="J1291" s="12" t="n"/>
      <c r="K1291" t="inlineStr">
        <is>
          <t>Distinguished</t>
        </is>
      </c>
      <c r="L1291" t="inlineStr">
        <is>
          <t>Adjunct</t>
        </is>
      </c>
      <c r="M1291" t="inlineStr">
        <is>
          <t>Geoff St. Marie</t>
        </is>
      </c>
    </row>
    <row r="1292">
      <c r="A1292" s="9" t="inlineStr">
        <is>
          <t>Melinda Mergendahl</t>
        </is>
      </c>
      <c r="B1292" s="9" t="inlineStr">
        <is>
          <t>10/5/25 - 11/1/25</t>
        </is>
      </c>
      <c r="C1292" s="12" t="n">
        <v>0.893799999999999</v>
      </c>
      <c r="D1292" s="12" t="n">
        <v>1.1589</v>
      </c>
      <c r="E1292" s="12" t="n">
        <v>1</v>
      </c>
      <c r="F1292" s="12" t="n">
        <v>0.90566037735849</v>
      </c>
      <c r="G1292" s="12" t="n">
        <v>0.85</v>
      </c>
      <c r="H1292" s="9" t="n">
        <v>3</v>
      </c>
      <c r="J1292" s="9" t="n"/>
      <c r="K1292" t="inlineStr">
        <is>
          <t>Distinguished</t>
        </is>
      </c>
      <c r="L1292" t="inlineStr">
        <is>
          <t>Adjunct</t>
        </is>
      </c>
      <c r="M1292" t="inlineStr">
        <is>
          <t>Geoff St. Marie</t>
        </is>
      </c>
    </row>
    <row r="1293">
      <c r="A1293" s="9" t="inlineStr">
        <is>
          <t>Melinda Mergendahl</t>
        </is>
      </c>
      <c r="B1293" s="9" t="inlineStr">
        <is>
          <t>11/2/25 - 11/29/25</t>
        </is>
      </c>
      <c r="C1293" s="12" t="n">
        <v>0.63</v>
      </c>
      <c r="D1293" s="12" t="n">
        <v>1.02</v>
      </c>
      <c r="E1293" s="12" t="n">
        <v>1</v>
      </c>
      <c r="F1293" s="12" t="n">
        <v>0.95</v>
      </c>
      <c r="G1293" s="12" t="n">
        <v>0.86</v>
      </c>
      <c r="H1293" s="9" t="n">
        <v>0</v>
      </c>
      <c r="I1293" s="13" t="n">
        <v>45659</v>
      </c>
      <c r="J1293" s="12" t="n">
        <v>0.5</v>
      </c>
      <c r="K1293" t="inlineStr">
        <is>
          <t>Distinguished</t>
        </is>
      </c>
      <c r="L1293" t="inlineStr">
        <is>
          <t>Adjunct</t>
        </is>
      </c>
      <c r="M1293" t="inlineStr">
        <is>
          <t>Geoff St. Marie</t>
        </is>
      </c>
    </row>
    <row r="1294">
      <c r="A1294" s="9" t="inlineStr">
        <is>
          <t>Melinda Mergendahl</t>
        </is>
      </c>
      <c r="B1294" s="9" t="inlineStr">
        <is>
          <t>11/30/25 - 12/27/25</t>
        </is>
      </c>
      <c r="C1294" s="12" t="n">
        <v>0.46</v>
      </c>
      <c r="D1294" s="12" t="n">
        <v>1.01</v>
      </c>
      <c r="E1294" s="12" t="n">
        <v>1</v>
      </c>
      <c r="F1294" s="12" t="n">
        <v>0.93</v>
      </c>
      <c r="G1294" s="12" t="n">
        <v>0.8100000000000001</v>
      </c>
      <c r="H1294" s="9" t="n">
        <v>0</v>
      </c>
      <c r="I1294" s="10" t="n"/>
      <c r="J1294" s="12" t="n"/>
      <c r="K1294" t="inlineStr">
        <is>
          <t>Distinguished</t>
        </is>
      </c>
      <c r="L1294" t="inlineStr">
        <is>
          <t>Adjunct</t>
        </is>
      </c>
      <c r="M1294" t="inlineStr">
        <is>
          <t>Geoff St. Marie</t>
        </is>
      </c>
    </row>
    <row r="1295">
      <c r="A1295" s="9" t="inlineStr">
        <is>
          <t>Melinda Mergendahl</t>
        </is>
      </c>
      <c r="B1295" s="9" t="inlineStr">
        <is>
          <t>12/28/25 - 1/25/26</t>
        </is>
      </c>
      <c r="C1295" s="12" t="n">
        <v>0.6125</v>
      </c>
      <c r="D1295" s="12" t="n">
        <v>1.0625</v>
      </c>
      <c r="E1295" s="12" t="n">
        <v>1</v>
      </c>
      <c r="F1295" s="12" t="n">
        <v>0.888888889</v>
      </c>
      <c r="G1295" s="12" t="n">
        <v>0.909090909</v>
      </c>
      <c r="H1295" s="9" t="n">
        <v>2</v>
      </c>
      <c r="I1295" s="10" t="inlineStr">
        <is>
          <t>0/2</t>
        </is>
      </c>
      <c r="J1295" s="12" t="n">
        <v>0</v>
      </c>
      <c r="K1295" t="inlineStr">
        <is>
          <t>Distinguished</t>
        </is>
      </c>
      <c r="L1295" t="inlineStr">
        <is>
          <t>Adjunct</t>
        </is>
      </c>
      <c r="M1295" t="inlineStr">
        <is>
          <t>Geoff St. Marie</t>
        </is>
      </c>
    </row>
    <row r="1296">
      <c r="A1296" s="9" t="inlineStr">
        <is>
          <t>Melinda Mergendahl</t>
        </is>
      </c>
      <c r="B1296" s="9" t="inlineStr">
        <is>
          <t>5/18/25 - 6/14/25</t>
        </is>
      </c>
      <c r="C1296" s="12" t="n">
        <v>0.71</v>
      </c>
      <c r="D1296" s="12" t="n">
        <v>0.87</v>
      </c>
      <c r="E1296" s="12" t="n">
        <v>0.99</v>
      </c>
      <c r="F1296" s="12" t="n">
        <v>0.89</v>
      </c>
      <c r="G1296" s="12" t="n">
        <v>0.84</v>
      </c>
      <c r="H1296" s="9" t="n">
        <v>1</v>
      </c>
      <c r="I1296" s="10" t="inlineStr">
        <is>
          <t xml:space="preserve"> 3/4</t>
        </is>
      </c>
      <c r="J1296" s="12" t="n">
        <v>0.75</v>
      </c>
      <c r="K1296" t="inlineStr">
        <is>
          <t>Distinguished</t>
        </is>
      </c>
      <c r="L1296" t="inlineStr">
        <is>
          <t>Adjunct</t>
        </is>
      </c>
      <c r="M1296" t="inlineStr">
        <is>
          <t>Geoff St. Marie</t>
        </is>
      </c>
    </row>
    <row r="1297">
      <c r="A1297" s="9" t="inlineStr">
        <is>
          <t>Melinda Mergendahl</t>
        </is>
      </c>
      <c r="B1297" s="9" t="inlineStr">
        <is>
          <t>6/15/25 - 7/12/25</t>
        </is>
      </c>
      <c r="C1297" s="12" t="n">
        <v>0.33</v>
      </c>
      <c r="D1297" s="12" t="n">
        <v>0.5</v>
      </c>
      <c r="E1297" s="12" t="n">
        <v>1</v>
      </c>
      <c r="F1297" s="12" t="n">
        <v>0.89</v>
      </c>
      <c r="G1297" s="12" t="n">
        <v>0.79</v>
      </c>
      <c r="H1297" s="9" t="n">
        <v>5</v>
      </c>
      <c r="I1297" s="10" t="n">
        <v>1</v>
      </c>
      <c r="J1297" s="12">
        <f>I1297</f>
        <v/>
      </c>
      <c r="K1297" t="inlineStr">
        <is>
          <t>Distinguished</t>
        </is>
      </c>
      <c r="L1297" t="inlineStr">
        <is>
          <t>Adjunct</t>
        </is>
      </c>
      <c r="M1297" t="inlineStr">
        <is>
          <t>Geoff St. Marie</t>
        </is>
      </c>
    </row>
    <row r="1298">
      <c r="A1298" s="9" t="inlineStr">
        <is>
          <t>Melinda Mergendahl</t>
        </is>
      </c>
      <c r="B1298" s="9" t="inlineStr">
        <is>
          <t>7/13/25 - 8/10/25</t>
        </is>
      </c>
      <c r="C1298" s="12" t="n">
        <v>0.65</v>
      </c>
      <c r="D1298" s="12" t="n">
        <v>0.96</v>
      </c>
      <c r="E1298" s="12" t="n">
        <v>1</v>
      </c>
      <c r="F1298" s="12" t="n">
        <v>0.89</v>
      </c>
      <c r="G1298" s="12" t="n">
        <v>0.75</v>
      </c>
      <c r="H1298" s="9" t="n">
        <v>2</v>
      </c>
      <c r="J1298" s="9" t="n"/>
      <c r="K1298" t="inlineStr">
        <is>
          <t>Distinguished</t>
        </is>
      </c>
      <c r="L1298" t="inlineStr">
        <is>
          <t>Adjunct</t>
        </is>
      </c>
      <c r="M1298" t="inlineStr">
        <is>
          <t>Geoff St. Marie</t>
        </is>
      </c>
    </row>
    <row r="1299">
      <c r="A1299" s="9" t="inlineStr">
        <is>
          <t>Melinda Mergendahl</t>
        </is>
      </c>
      <c r="B1299" s="9" t="inlineStr">
        <is>
          <t>8/10/25 - 9/6/25</t>
        </is>
      </c>
      <c r="C1299" s="12" t="n">
        <v>0.85</v>
      </c>
      <c r="D1299" s="12" t="n">
        <v>1.1</v>
      </c>
      <c r="E1299" s="12" t="n">
        <v>1</v>
      </c>
      <c r="F1299" s="12" t="n">
        <v>0.89</v>
      </c>
      <c r="G1299" s="12" t="n">
        <v>0.67</v>
      </c>
      <c r="H1299" s="9" t="n">
        <v>3</v>
      </c>
      <c r="I1299" s="11" t="n"/>
      <c r="J1299" s="9" t="n"/>
      <c r="K1299" t="inlineStr">
        <is>
          <t>Distinguished</t>
        </is>
      </c>
      <c r="L1299" t="inlineStr">
        <is>
          <t>Adjunct</t>
        </is>
      </c>
      <c r="M1299" t="inlineStr">
        <is>
          <t>Geoff St. Marie</t>
        </is>
      </c>
    </row>
    <row r="1300">
      <c r="A1300" s="9" t="inlineStr">
        <is>
          <t>Melinda Mergendahl</t>
        </is>
      </c>
      <c r="B1300" s="9" t="inlineStr">
        <is>
          <t>9/7/25 - 10/4/25</t>
        </is>
      </c>
      <c r="C1300" s="12" t="n">
        <v>0.8100000000000001</v>
      </c>
      <c r="D1300" s="12" t="n">
        <v>1.04</v>
      </c>
      <c r="E1300" s="12" t="n">
        <v>1</v>
      </c>
      <c r="F1300" s="12" t="n">
        <v>0.9</v>
      </c>
      <c r="G1300" s="12" t="n">
        <v>0.61</v>
      </c>
      <c r="H1300" s="9" t="n">
        <v>4</v>
      </c>
      <c r="I1300" s="11" t="n"/>
      <c r="J1300" s="9" t="n"/>
      <c r="K1300" t="inlineStr">
        <is>
          <t>Distinguished</t>
        </is>
      </c>
      <c r="L1300" t="inlineStr">
        <is>
          <t>Adjunct</t>
        </is>
      </c>
      <c r="M1300" t="inlineStr">
        <is>
          <t>Geoff St. Marie</t>
        </is>
      </c>
    </row>
    <row r="1301">
      <c r="A1301" s="9" t="inlineStr">
        <is>
          <t>Michael Haddad</t>
        </is>
      </c>
      <c r="B1301" s="9" t="inlineStr">
        <is>
          <t>10/5/25 - 11/1/25</t>
        </is>
      </c>
      <c r="C1301" s="12" t="n">
        <v>0.5563</v>
      </c>
      <c r="D1301" s="12" t="n">
        <v>1.15359999999999</v>
      </c>
      <c r="E1301" s="12" t="n">
        <v>0.97560975609756</v>
      </c>
      <c r="F1301" s="12" t="n">
        <v>0.96774193548387</v>
      </c>
      <c r="G1301" s="12" t="n">
        <v>0.9090909090909089</v>
      </c>
      <c r="H1301" s="9" t="n">
        <v>2</v>
      </c>
      <c r="I1301" s="10" t="n"/>
      <c r="J1301" s="12" t="n"/>
      <c r="K1301" t="e">
        <v>#N/A</v>
      </c>
      <c r="L1301" t="e">
        <v>#N/A</v>
      </c>
      <c r="M1301" t="e">
        <v>#N/A</v>
      </c>
    </row>
    <row r="1302">
      <c r="A1302" s="9" t="inlineStr">
        <is>
          <t>Michael Haddad</t>
        </is>
      </c>
      <c r="B1302" s="9" t="inlineStr">
        <is>
          <t>10/5/25 - 11/1/25</t>
        </is>
      </c>
      <c r="C1302" s="12" t="n">
        <v>0.5563</v>
      </c>
      <c r="D1302" s="12" t="n">
        <v>1.15359999999999</v>
      </c>
      <c r="E1302" s="12" t="n">
        <v>0.97560975609756</v>
      </c>
      <c r="F1302" s="12" t="n">
        <v>0.96774193548387</v>
      </c>
      <c r="G1302" s="12" t="n">
        <v>0.9090909090909089</v>
      </c>
      <c r="H1302" s="9" t="n">
        <v>2</v>
      </c>
      <c r="J1302" s="9" t="n"/>
      <c r="K1302" t="e">
        <v>#N/A</v>
      </c>
      <c r="L1302" t="e">
        <v>#N/A</v>
      </c>
      <c r="M1302" t="e">
        <v>#N/A</v>
      </c>
    </row>
    <row r="1303">
      <c r="A1303" s="9" t="inlineStr">
        <is>
          <t>Michael Haddad</t>
        </is>
      </c>
      <c r="B1303" s="9" t="inlineStr">
        <is>
          <t>11/2/25 - 11/29/25</t>
        </is>
      </c>
      <c r="C1303" s="12" t="n">
        <v>0.42</v>
      </c>
      <c r="D1303" s="12" t="n">
        <v>1.15</v>
      </c>
      <c r="E1303" s="12" t="n">
        <v>1</v>
      </c>
      <c r="F1303" s="12" t="n">
        <v>1</v>
      </c>
      <c r="G1303" s="12" t="n">
        <v>1</v>
      </c>
      <c r="H1303" s="9" t="n">
        <v>2</v>
      </c>
      <c r="I1303" s="13" t="n">
        <v>45659</v>
      </c>
      <c r="J1303" s="12" t="n">
        <v>0.5</v>
      </c>
      <c r="K1303" t="e">
        <v>#N/A</v>
      </c>
      <c r="L1303" t="e">
        <v>#N/A</v>
      </c>
      <c r="M1303" t="e">
        <v>#N/A</v>
      </c>
    </row>
    <row r="1304">
      <c r="A1304" s="9" t="inlineStr">
        <is>
          <t>Michael Haddad</t>
        </is>
      </c>
      <c r="B1304" s="9" t="inlineStr">
        <is>
          <t>11/30/25 - 12/27/25</t>
        </is>
      </c>
      <c r="C1304" s="12" t="n">
        <v>0.29</v>
      </c>
      <c r="D1304" s="12" t="n">
        <v>0.99</v>
      </c>
      <c r="E1304" s="12" t="n">
        <v>1</v>
      </c>
      <c r="F1304" s="12" t="n">
        <v>1</v>
      </c>
      <c r="G1304" s="12" t="n">
        <v>0.67</v>
      </c>
      <c r="H1304" s="9" t="n">
        <v>1</v>
      </c>
      <c r="I1304" s="10" t="n"/>
      <c r="J1304" s="12" t="n"/>
      <c r="K1304" t="e">
        <v>#N/A</v>
      </c>
      <c r="L1304" t="e">
        <v>#N/A</v>
      </c>
      <c r="M1304" t="e">
        <v>#N/A</v>
      </c>
    </row>
    <row r="1305">
      <c r="A1305" s="9" t="inlineStr">
        <is>
          <t>Michael Haddad</t>
        </is>
      </c>
      <c r="B1305" s="9" t="inlineStr">
        <is>
          <t>5/18/25 - 6/14/25</t>
        </is>
      </c>
      <c r="C1305" s="12" t="n">
        <v>0.46</v>
      </c>
      <c r="D1305" s="12" t="n">
        <v>1.09</v>
      </c>
      <c r="E1305" s="12" t="n">
        <v>1</v>
      </c>
      <c r="F1305" s="12" t="n">
        <v>1</v>
      </c>
      <c r="G1305" s="12" t="n">
        <v>0.8</v>
      </c>
      <c r="H1305" s="9" t="n">
        <v>0</v>
      </c>
      <c r="J1305" s="9" t="n"/>
      <c r="K1305" t="e">
        <v>#N/A</v>
      </c>
      <c r="L1305" t="e">
        <v>#N/A</v>
      </c>
      <c r="M1305" t="e">
        <v>#N/A</v>
      </c>
    </row>
    <row r="1306">
      <c r="A1306" s="9" t="inlineStr">
        <is>
          <t>Michael Haddad</t>
        </is>
      </c>
      <c r="B1306" s="9" t="inlineStr">
        <is>
          <t>6/15/25 - 7/12/25</t>
        </is>
      </c>
      <c r="C1306" s="12" t="n">
        <v>0.29</v>
      </c>
      <c r="D1306" s="12" t="n">
        <v>1.16</v>
      </c>
      <c r="E1306" s="12" t="n">
        <v>1</v>
      </c>
      <c r="F1306" s="12" t="n">
        <v>1</v>
      </c>
      <c r="G1306" s="12" t="n">
        <v>0.83</v>
      </c>
      <c r="H1306" s="9" t="n">
        <v>2</v>
      </c>
      <c r="I1306" s="10" t="n">
        <v>0</v>
      </c>
      <c r="J1306" s="12">
        <f>I1306</f>
        <v/>
      </c>
      <c r="K1306" t="e">
        <v>#N/A</v>
      </c>
      <c r="L1306" t="e">
        <v>#N/A</v>
      </c>
      <c r="M1306" t="e">
        <v>#N/A</v>
      </c>
    </row>
    <row r="1307">
      <c r="A1307" s="9" t="inlineStr">
        <is>
          <t>Michael Haddad</t>
        </is>
      </c>
      <c r="B1307" s="9" t="inlineStr">
        <is>
          <t>7/13/25 - 8/10/25</t>
        </is>
      </c>
      <c r="C1307" s="12" t="n">
        <v>0.58</v>
      </c>
      <c r="D1307" s="12" t="n">
        <v>1.08</v>
      </c>
      <c r="E1307" s="12" t="n">
        <v>1</v>
      </c>
      <c r="F1307" s="12" t="n">
        <v>1</v>
      </c>
      <c r="G1307" s="12" t="n">
        <v>0.73</v>
      </c>
      <c r="H1307" s="9" t="e">
        <v>#N/A</v>
      </c>
      <c r="I1307" s="10" t="n">
        <v>1</v>
      </c>
      <c r="J1307" s="12">
        <f>I1307</f>
        <v/>
      </c>
      <c r="K1307" t="e">
        <v>#N/A</v>
      </c>
      <c r="L1307" t="e">
        <v>#N/A</v>
      </c>
      <c r="M1307" t="e">
        <v>#N/A</v>
      </c>
    </row>
    <row r="1308">
      <c r="A1308" s="9" t="inlineStr">
        <is>
          <t>Michael Haddad</t>
        </is>
      </c>
      <c r="B1308" s="9" t="inlineStr">
        <is>
          <t>8/10/25 - 9/6/25</t>
        </is>
      </c>
      <c r="C1308" s="12" t="n">
        <v>0.84</v>
      </c>
      <c r="D1308" s="12" t="n">
        <v>1.13</v>
      </c>
      <c r="E1308" s="12" t="n">
        <v>1</v>
      </c>
      <c r="F1308" s="12" t="n">
        <v>1</v>
      </c>
      <c r="G1308" s="12" t="n">
        <v>0.77</v>
      </c>
      <c r="H1308" s="9" t="n">
        <v>0</v>
      </c>
      <c r="I1308" s="10" t="inlineStr">
        <is>
          <t>0/8</t>
        </is>
      </c>
      <c r="J1308" s="12" t="n">
        <v>0</v>
      </c>
      <c r="K1308" t="e">
        <v>#N/A</v>
      </c>
      <c r="L1308" t="e">
        <v>#N/A</v>
      </c>
      <c r="M1308" t="e">
        <v>#N/A</v>
      </c>
    </row>
    <row r="1309">
      <c r="A1309" s="9" t="inlineStr">
        <is>
          <t>Michael Haddad</t>
        </is>
      </c>
      <c r="B1309" s="9" t="inlineStr">
        <is>
          <t>9/7/25 - 10/4/25</t>
        </is>
      </c>
      <c r="C1309" s="12" t="n">
        <v>0.78</v>
      </c>
      <c r="D1309" s="12" t="n">
        <v>1.17</v>
      </c>
      <c r="E1309" s="12" t="n">
        <v>0.98</v>
      </c>
      <c r="F1309" s="12" t="n">
        <v>1</v>
      </c>
      <c r="G1309" s="12" t="n">
        <v>0.89</v>
      </c>
      <c r="H1309" s="9" t="n">
        <v>1</v>
      </c>
      <c r="I1309" s="10" t="inlineStr">
        <is>
          <t>0/1</t>
        </is>
      </c>
      <c r="J1309" s="12" t="n">
        <v>0</v>
      </c>
      <c r="K1309" t="e">
        <v>#N/A</v>
      </c>
      <c r="L1309" t="e">
        <v>#N/A</v>
      </c>
      <c r="M1309" t="e">
        <v>#N/A</v>
      </c>
    </row>
    <row r="1310">
      <c r="A1310" s="9" t="inlineStr">
        <is>
          <t>Michelle Testerman</t>
        </is>
      </c>
      <c r="B1310" s="9" t="inlineStr">
        <is>
          <t>10/5/25 - 11/1/25</t>
        </is>
      </c>
      <c r="C1310" s="12" t="n">
        <v>1.1615</v>
      </c>
      <c r="D1310" s="12" t="n">
        <v>1.0352</v>
      </c>
      <c r="E1310" s="12" t="n">
        <v>0.9655172413793101</v>
      </c>
      <c r="F1310" s="12" t="n">
        <v>1</v>
      </c>
      <c r="G1310" s="12" t="n">
        <v>1</v>
      </c>
      <c r="H1310" s="9" t="n">
        <v>14</v>
      </c>
      <c r="I1310" s="10" t="n"/>
      <c r="J1310" s="12" t="n"/>
      <c r="K1310" t="inlineStr">
        <is>
          <t>Distinguished</t>
        </is>
      </c>
      <c r="L1310" t="inlineStr">
        <is>
          <t>Adjunct</t>
        </is>
      </c>
      <c r="M1310" t="inlineStr">
        <is>
          <t>Ela Cross</t>
        </is>
      </c>
    </row>
    <row r="1311">
      <c r="A1311" s="9" t="inlineStr">
        <is>
          <t>Michelle Testerman</t>
        </is>
      </c>
      <c r="B1311" s="9" t="inlineStr">
        <is>
          <t>10/5/25 - 11/1/25</t>
        </is>
      </c>
      <c r="C1311" s="12" t="n">
        <v>1.1615</v>
      </c>
      <c r="D1311" s="12" t="n">
        <v>1.0352</v>
      </c>
      <c r="E1311" s="12" t="n">
        <v>0.9655172413793101</v>
      </c>
      <c r="F1311" s="12" t="n">
        <v>1</v>
      </c>
      <c r="G1311" s="12" t="n">
        <v>1</v>
      </c>
      <c r="H1311" s="9" t="n">
        <v>14</v>
      </c>
      <c r="J1311" s="9" t="n"/>
      <c r="K1311" t="inlineStr">
        <is>
          <t>Distinguished</t>
        </is>
      </c>
      <c r="L1311" t="inlineStr">
        <is>
          <t>Adjunct</t>
        </is>
      </c>
      <c r="M1311" t="inlineStr">
        <is>
          <t>Ela Cross</t>
        </is>
      </c>
    </row>
    <row r="1312">
      <c r="A1312" s="9" t="inlineStr">
        <is>
          <t>Michelle Testerman</t>
        </is>
      </c>
      <c r="B1312" s="9" t="inlineStr">
        <is>
          <t>11/2/25 - 11/29/25</t>
        </is>
      </c>
      <c r="C1312" s="12" t="n">
        <v>1.08</v>
      </c>
      <c r="D1312" s="12" t="n">
        <v>1</v>
      </c>
      <c r="E1312" s="12" t="n">
        <v>0.99</v>
      </c>
      <c r="F1312" s="12" t="n">
        <v>0.93</v>
      </c>
      <c r="G1312" s="12" t="n">
        <v>1</v>
      </c>
      <c r="H1312" s="9" t="n">
        <v>6</v>
      </c>
      <c r="I1312" s="13" t="inlineStr">
        <is>
          <t>0/1</t>
        </is>
      </c>
      <c r="J1312" s="12" t="n">
        <v>0</v>
      </c>
      <c r="K1312" t="inlineStr">
        <is>
          <t>Distinguished</t>
        </is>
      </c>
      <c r="L1312" t="inlineStr">
        <is>
          <t>Adjunct</t>
        </is>
      </c>
      <c r="M1312" t="inlineStr">
        <is>
          <t>Ela Cross</t>
        </is>
      </c>
    </row>
    <row r="1313">
      <c r="A1313" s="9" t="inlineStr">
        <is>
          <t>Michelle Testerman</t>
        </is>
      </c>
      <c r="B1313" s="9" t="inlineStr">
        <is>
          <t>11/30/25 - 12/27/25</t>
        </is>
      </c>
      <c r="C1313" s="12" t="n">
        <v>1.15</v>
      </c>
      <c r="D1313" s="12" t="n">
        <v>1.04</v>
      </c>
      <c r="E1313" s="12" t="n">
        <v>0.95</v>
      </c>
      <c r="F1313" s="12" t="n">
        <v>0.95</v>
      </c>
      <c r="G1313" s="12" t="n">
        <v>1</v>
      </c>
      <c r="H1313" s="9" t="n">
        <v>3</v>
      </c>
      <c r="I1313" s="10" t="inlineStr">
        <is>
          <t>0/2</t>
        </is>
      </c>
      <c r="J1313" s="12" t="n">
        <v>0</v>
      </c>
      <c r="K1313" t="inlineStr">
        <is>
          <t>Distinguished</t>
        </is>
      </c>
      <c r="L1313" t="inlineStr">
        <is>
          <t>Adjunct</t>
        </is>
      </c>
      <c r="M1313" t="inlineStr">
        <is>
          <t>Ela Cross</t>
        </is>
      </c>
    </row>
    <row r="1314">
      <c r="A1314" s="9" t="inlineStr">
        <is>
          <t>Michelle Testerman</t>
        </is>
      </c>
      <c r="B1314" s="9" t="inlineStr">
        <is>
          <t>12/28/25 - 1/25/26</t>
        </is>
      </c>
      <c r="C1314" s="12" t="n">
        <v>1.3229</v>
      </c>
      <c r="D1314" s="12" t="n">
        <v>1.1211</v>
      </c>
      <c r="E1314" s="12" t="n">
        <v>0.987341772</v>
      </c>
      <c r="F1314" s="12" t="n">
        <v>1</v>
      </c>
      <c r="G1314" s="12" t="n">
        <v>1</v>
      </c>
      <c r="H1314" s="9" t="n">
        <v>19</v>
      </c>
      <c r="I1314" s="10" t="n">
        <v>1</v>
      </c>
      <c r="J1314" s="12">
        <f>I1314</f>
        <v/>
      </c>
      <c r="K1314" t="inlineStr">
        <is>
          <t>Distinguished</t>
        </is>
      </c>
      <c r="L1314" t="inlineStr">
        <is>
          <t>Adjunct</t>
        </is>
      </c>
      <c r="M1314" t="inlineStr">
        <is>
          <t>Ela Cross</t>
        </is>
      </c>
    </row>
    <row r="1315">
      <c r="A1315" s="9" t="inlineStr">
        <is>
          <t>Michelle Testerman</t>
        </is>
      </c>
      <c r="B1315" s="9" t="inlineStr">
        <is>
          <t>5/18/25 - 6/14/25</t>
        </is>
      </c>
      <c r="C1315" s="12" t="n">
        <v>1.19</v>
      </c>
      <c r="D1315" s="12" t="n">
        <v>1.3</v>
      </c>
      <c r="E1315" s="12" t="n">
        <v>0.99</v>
      </c>
      <c r="F1315" s="12" t="n">
        <v>1</v>
      </c>
      <c r="G1315" s="12" t="n">
        <v>1</v>
      </c>
      <c r="H1315" s="9" t="n">
        <v>8</v>
      </c>
      <c r="I1315" s="10" t="n">
        <v>0</v>
      </c>
      <c r="J1315" s="12">
        <f>I1315</f>
        <v/>
      </c>
      <c r="K1315" t="inlineStr">
        <is>
          <t>Distinguished</t>
        </is>
      </c>
      <c r="L1315" t="inlineStr">
        <is>
          <t>Adjunct</t>
        </is>
      </c>
      <c r="M1315" t="inlineStr">
        <is>
          <t>Ela Cross</t>
        </is>
      </c>
    </row>
    <row r="1316">
      <c r="A1316" s="9" t="inlineStr">
        <is>
          <t>Michelle Testerman</t>
        </is>
      </c>
      <c r="B1316" s="9" t="inlineStr">
        <is>
          <t>6/15/25 - 7/12/25</t>
        </is>
      </c>
      <c r="C1316" s="12" t="n">
        <v>0.89</v>
      </c>
      <c r="D1316" s="12" t="n">
        <v>0.96</v>
      </c>
      <c r="E1316" s="12" t="n">
        <v>0.99</v>
      </c>
      <c r="F1316" s="12" t="n">
        <v>1</v>
      </c>
      <c r="G1316" s="12" t="n">
        <v>0.77</v>
      </c>
      <c r="H1316" s="9" t="n">
        <v>6</v>
      </c>
      <c r="I1316" s="10" t="n">
        <v>0</v>
      </c>
      <c r="J1316" s="12">
        <f>I1316</f>
        <v/>
      </c>
      <c r="K1316" t="inlineStr">
        <is>
          <t>Distinguished</t>
        </is>
      </c>
      <c r="L1316" t="inlineStr">
        <is>
          <t>Adjunct</t>
        </is>
      </c>
      <c r="M1316" t="inlineStr">
        <is>
          <t>Ela Cross</t>
        </is>
      </c>
    </row>
    <row r="1317">
      <c r="A1317" s="9" t="inlineStr">
        <is>
          <t>Michelle Testerman</t>
        </is>
      </c>
      <c r="B1317" s="9" t="inlineStr">
        <is>
          <t>7/13/25 - 8/10/25</t>
        </is>
      </c>
      <c r="C1317" s="12" t="n">
        <v>1.33</v>
      </c>
      <c r="D1317" s="12" t="n">
        <v>1.24</v>
      </c>
      <c r="E1317" s="12" t="n">
        <v>0.99</v>
      </c>
      <c r="F1317" s="12" t="n">
        <v>1</v>
      </c>
      <c r="G1317" s="12" t="n">
        <v>0.92</v>
      </c>
      <c r="H1317" s="9" t="n">
        <v>10</v>
      </c>
      <c r="I1317" s="10" t="n">
        <v>0</v>
      </c>
      <c r="J1317" s="12">
        <f>I1317</f>
        <v/>
      </c>
      <c r="K1317" t="inlineStr">
        <is>
          <t>Distinguished</t>
        </is>
      </c>
      <c r="L1317" t="inlineStr">
        <is>
          <t>Adjunct</t>
        </is>
      </c>
      <c r="M1317" t="inlineStr">
        <is>
          <t>Ela Cross</t>
        </is>
      </c>
    </row>
    <row r="1318">
      <c r="A1318" s="9" t="inlineStr">
        <is>
          <t>Michelle Testerman</t>
        </is>
      </c>
      <c r="B1318" s="9" t="inlineStr">
        <is>
          <t>8/10/25 - 9/6/25</t>
        </is>
      </c>
      <c r="C1318" s="12" t="n">
        <v>1.17</v>
      </c>
      <c r="D1318" s="12" t="n">
        <v>1.11</v>
      </c>
      <c r="E1318" s="12" t="n">
        <v>0.97</v>
      </c>
      <c r="F1318" s="12" t="n">
        <v>0.9399999999999999</v>
      </c>
      <c r="G1318" s="12" t="n">
        <v>1</v>
      </c>
      <c r="H1318" s="9" t="n">
        <v>13</v>
      </c>
      <c r="I1318" s="10" t="inlineStr">
        <is>
          <t>0/5</t>
        </is>
      </c>
      <c r="J1318" s="12" t="n">
        <v>0</v>
      </c>
      <c r="K1318" t="inlineStr">
        <is>
          <t>Distinguished</t>
        </is>
      </c>
      <c r="L1318" t="inlineStr">
        <is>
          <t>Adjunct</t>
        </is>
      </c>
      <c r="M1318" t="inlineStr">
        <is>
          <t>Ela Cross</t>
        </is>
      </c>
    </row>
    <row r="1319">
      <c r="A1319" s="9" t="inlineStr">
        <is>
          <t>Michelle Testerman</t>
        </is>
      </c>
      <c r="B1319" s="9" t="inlineStr">
        <is>
          <t>9/7/25 - 10/4/25</t>
        </is>
      </c>
      <c r="C1319" s="12" t="n">
        <v>1.17</v>
      </c>
      <c r="D1319" s="12" t="n">
        <v>1.07</v>
      </c>
      <c r="E1319" s="12" t="n">
        <v>0.98</v>
      </c>
      <c r="F1319" s="12" t="n">
        <v>0.9399999999999999</v>
      </c>
      <c r="G1319" s="12" t="n">
        <v>1</v>
      </c>
      <c r="H1319" s="9" t="n">
        <v>9</v>
      </c>
      <c r="I1319" s="10" t="inlineStr">
        <is>
          <t>1/1</t>
        </is>
      </c>
      <c r="J1319" s="12" t="n">
        <v>1</v>
      </c>
      <c r="K1319" t="inlineStr">
        <is>
          <t>Distinguished</t>
        </is>
      </c>
      <c r="L1319" t="inlineStr">
        <is>
          <t>Adjunct</t>
        </is>
      </c>
      <c r="M1319" t="inlineStr">
        <is>
          <t>Ela Cross</t>
        </is>
      </c>
    </row>
    <row r="1320">
      <c r="A1320" s="9" t="inlineStr">
        <is>
          <t>Mike Davis</t>
        </is>
      </c>
      <c r="B1320" s="9" t="inlineStr">
        <is>
          <t>10/5/25 - 11/1/25</t>
        </is>
      </c>
      <c r="C1320" s="12" t="n">
        <v>0.7792</v>
      </c>
      <c r="D1320" s="12" t="n">
        <v>1.3273</v>
      </c>
      <c r="E1320" s="12" t="n">
        <v>0.902439024390243</v>
      </c>
      <c r="F1320" s="12" t="n">
        <v>0.836734693877551</v>
      </c>
      <c r="G1320" s="12" t="n">
        <v>0.777777777777777</v>
      </c>
      <c r="H1320" s="9" t="n">
        <v>0</v>
      </c>
      <c r="I1320" s="10" t="inlineStr">
        <is>
          <t>2/3</t>
        </is>
      </c>
      <c r="J1320" s="12" t="n">
        <v>0.66</v>
      </c>
      <c r="K1320" t="e">
        <v>#N/A</v>
      </c>
      <c r="L1320" t="e">
        <v>#N/A</v>
      </c>
      <c r="M1320" t="e">
        <v>#N/A</v>
      </c>
    </row>
    <row r="1321">
      <c r="A1321" s="9" t="inlineStr">
        <is>
          <t>Mike Davis</t>
        </is>
      </c>
      <c r="B1321" s="9" t="inlineStr">
        <is>
          <t>10/5/25 - 11/1/25</t>
        </is>
      </c>
      <c r="C1321" s="12" t="n">
        <v>0.7792</v>
      </c>
      <c r="D1321" s="12" t="n">
        <v>1.3273</v>
      </c>
      <c r="E1321" s="12" t="n">
        <v>0.902439024390243</v>
      </c>
      <c r="F1321" s="12" t="n">
        <v>0.836734693877551</v>
      </c>
      <c r="G1321" s="12" t="n">
        <v>0.777777777777777</v>
      </c>
      <c r="H1321" s="9" t="n">
        <v>0</v>
      </c>
      <c r="I1321" s="10" t="inlineStr">
        <is>
          <t>2/3</t>
        </is>
      </c>
      <c r="J1321" s="12">
        <f>_xlfn.TEXTBEFORE(I1321, "/")/_xlfn.TEXTAFTER(I1321,"/")</f>
        <v/>
      </c>
      <c r="K1321" t="e">
        <v>#N/A</v>
      </c>
      <c r="L1321" t="e">
        <v>#N/A</v>
      </c>
      <c r="M1321" t="e">
        <v>#N/A</v>
      </c>
    </row>
    <row r="1322">
      <c r="A1322" s="9" t="inlineStr">
        <is>
          <t>Mike Davis</t>
        </is>
      </c>
      <c r="B1322" s="9" t="inlineStr">
        <is>
          <t>11/2/25 - 11/29/25</t>
        </is>
      </c>
      <c r="C1322" s="12" t="n">
        <v>0.5600000000000001</v>
      </c>
      <c r="D1322" s="12" t="n">
        <v>1.16</v>
      </c>
      <c r="E1322" s="12" t="n">
        <v>0.9399999999999999</v>
      </c>
      <c r="F1322" s="12" t="n">
        <v>0.73</v>
      </c>
      <c r="G1322" s="12" t="n">
        <v>0.92</v>
      </c>
      <c r="H1322" s="9" t="n">
        <v>0</v>
      </c>
      <c r="I1322" s="13" t="inlineStr">
        <is>
          <t>0/3</t>
        </is>
      </c>
      <c r="J1322" s="12" t="n">
        <v>0</v>
      </c>
      <c r="K1322" t="e">
        <v>#N/A</v>
      </c>
      <c r="L1322" t="e">
        <v>#N/A</v>
      </c>
      <c r="M1322" t="e">
        <v>#N/A</v>
      </c>
    </row>
    <row r="1323">
      <c r="A1323" s="9" t="inlineStr">
        <is>
          <t>Mike Davis</t>
        </is>
      </c>
      <c r="B1323" s="9" t="inlineStr">
        <is>
          <t>5/18/25 - 6/14/25</t>
        </is>
      </c>
      <c r="C1323" s="12" t="n">
        <v>0.96</v>
      </c>
      <c r="D1323" s="12" t="n">
        <v>1.37</v>
      </c>
      <c r="E1323" s="12" t="n">
        <v>0.89</v>
      </c>
      <c r="F1323" s="12" t="n">
        <v>0.78</v>
      </c>
      <c r="G1323" s="12" t="n">
        <v>0.9399999999999999</v>
      </c>
      <c r="H1323" s="9" t="n">
        <v>0</v>
      </c>
      <c r="I1323" s="10" t="n">
        <v>1</v>
      </c>
      <c r="J1323" s="12">
        <f>I1323</f>
        <v/>
      </c>
      <c r="K1323" t="e">
        <v>#N/A</v>
      </c>
      <c r="L1323" t="e">
        <v>#N/A</v>
      </c>
      <c r="M1323" t="e">
        <v>#N/A</v>
      </c>
    </row>
    <row r="1324">
      <c r="A1324" s="9" t="inlineStr">
        <is>
          <t>Mike Davis</t>
        </is>
      </c>
      <c r="B1324" s="9" t="inlineStr">
        <is>
          <t>6/15/25 - 7/12/25</t>
        </is>
      </c>
      <c r="C1324" s="12" t="n">
        <v>0.8</v>
      </c>
      <c r="D1324" s="12" t="n">
        <v>1.37</v>
      </c>
      <c r="E1324" s="12" t="n">
        <v>0.93</v>
      </c>
      <c r="F1324" s="12" t="n">
        <v>0.87</v>
      </c>
      <c r="G1324" s="12" t="n">
        <v>0.68</v>
      </c>
      <c r="H1324" s="9" t="n">
        <v>1</v>
      </c>
      <c r="I1324" s="10" t="inlineStr">
        <is>
          <t xml:space="preserve"> 4/7</t>
        </is>
      </c>
      <c r="J1324" s="12" t="n">
        <v>0.57</v>
      </c>
      <c r="K1324" t="e">
        <v>#N/A</v>
      </c>
      <c r="L1324" t="e">
        <v>#N/A</v>
      </c>
      <c r="M1324" t="e">
        <v>#N/A</v>
      </c>
    </row>
    <row r="1325">
      <c r="A1325" s="9" t="inlineStr">
        <is>
          <t>Mike Davis</t>
        </is>
      </c>
      <c r="B1325" s="9" t="inlineStr">
        <is>
          <t>7/13/25 - 8/10/25</t>
        </is>
      </c>
      <c r="C1325" s="12" t="n">
        <v>0.75</v>
      </c>
      <c r="D1325" s="12" t="n">
        <v>0.98</v>
      </c>
      <c r="E1325" s="12" t="n">
        <v>0.92</v>
      </c>
      <c r="F1325" s="12" t="n">
        <v>0.73</v>
      </c>
      <c r="G1325" s="12" t="n">
        <v>0.62</v>
      </c>
      <c r="H1325" s="9" t="n">
        <v>4</v>
      </c>
      <c r="I1325" s="10" t="n">
        <v>0</v>
      </c>
      <c r="J1325" s="12">
        <f>I1325</f>
        <v/>
      </c>
      <c r="K1325" t="e">
        <v>#N/A</v>
      </c>
      <c r="L1325" t="e">
        <v>#N/A</v>
      </c>
      <c r="M1325" t="e">
        <v>#N/A</v>
      </c>
    </row>
    <row r="1326">
      <c r="A1326" s="9" t="inlineStr">
        <is>
          <t>Mike Davis</t>
        </is>
      </c>
      <c r="B1326" s="9" t="inlineStr">
        <is>
          <t>8/10/25 - 9/6/25</t>
        </is>
      </c>
      <c r="C1326" s="12" t="n">
        <v>0.85</v>
      </c>
      <c r="D1326" s="12" t="n">
        <v>1.09</v>
      </c>
      <c r="E1326" s="12" t="n">
        <v>0.92</v>
      </c>
      <c r="F1326" s="12" t="n">
        <v>0.68</v>
      </c>
      <c r="G1326" s="12" t="n">
        <v>0.96</v>
      </c>
      <c r="H1326" s="9" t="n">
        <v>3</v>
      </c>
      <c r="I1326" s="10" t="inlineStr">
        <is>
          <t>0/1</t>
        </is>
      </c>
      <c r="J1326" s="12" t="n">
        <v>0</v>
      </c>
      <c r="K1326" t="e">
        <v>#N/A</v>
      </c>
      <c r="L1326" t="e">
        <v>#N/A</v>
      </c>
      <c r="M1326" t="e">
        <v>#N/A</v>
      </c>
    </row>
    <row r="1327">
      <c r="A1327" s="9" t="inlineStr">
        <is>
          <t>Mike Davis</t>
        </is>
      </c>
      <c r="B1327" s="9" t="inlineStr">
        <is>
          <t>9/7/25 - 10/4/25</t>
        </is>
      </c>
      <c r="C1327" s="12" t="n">
        <v>0.58</v>
      </c>
      <c r="D1327" s="12" t="n">
        <v>1.2</v>
      </c>
      <c r="E1327" s="12" t="n">
        <v>0.91</v>
      </c>
      <c r="F1327" s="12" t="n">
        <v>0.71</v>
      </c>
      <c r="G1327" s="12" t="n">
        <v>0.85</v>
      </c>
      <c r="H1327" s="9" t="n">
        <v>2</v>
      </c>
      <c r="I1327" s="10" t="inlineStr">
        <is>
          <t>0/5</t>
        </is>
      </c>
      <c r="J1327" s="12" t="n">
        <v>0</v>
      </c>
      <c r="K1327" t="e">
        <v>#N/A</v>
      </c>
      <c r="L1327" t="e">
        <v>#N/A</v>
      </c>
      <c r="M1327" t="e">
        <v>#N/A</v>
      </c>
    </row>
    <row r="1328">
      <c r="A1328" s="9" t="inlineStr">
        <is>
          <t>Mike Gilb</t>
        </is>
      </c>
      <c r="B1328" s="9" t="inlineStr">
        <is>
          <t>5/18/25 - 6/14/25</t>
        </is>
      </c>
      <c r="C1328" s="12" t="n">
        <v>0.6</v>
      </c>
      <c r="D1328" s="12" t="n">
        <v>0.9399999999999999</v>
      </c>
      <c r="E1328" s="12" t="n">
        <v>0.99</v>
      </c>
      <c r="F1328" s="12" t="n">
        <v>0.83</v>
      </c>
      <c r="G1328" s="12" t="n">
        <v>0.5600000000000001</v>
      </c>
      <c r="H1328" s="9" t="n">
        <v>1</v>
      </c>
      <c r="I1328" s="10" t="inlineStr">
        <is>
          <t xml:space="preserve"> 3/8</t>
        </is>
      </c>
      <c r="J1328" s="12" t="n">
        <v>0.38</v>
      </c>
      <c r="K1328" t="e">
        <v>#N/A</v>
      </c>
      <c r="L1328" t="e">
        <v>#N/A</v>
      </c>
      <c r="M1328" t="e">
        <v>#N/A</v>
      </c>
    </row>
    <row r="1329">
      <c r="A1329" s="9" t="inlineStr">
        <is>
          <t>Mike Gilb</t>
        </is>
      </c>
      <c r="B1329" s="9" t="inlineStr">
        <is>
          <t>6/15/25 - 7/12/25</t>
        </is>
      </c>
      <c r="C1329" s="12" t="n">
        <v>0.38</v>
      </c>
      <c r="D1329" s="12" t="n">
        <v>1.03</v>
      </c>
      <c r="E1329" s="12" t="n">
        <v>0.98</v>
      </c>
      <c r="F1329" s="12" t="n">
        <v>0.9399999999999999</v>
      </c>
      <c r="G1329" s="12" t="n">
        <v>0.8</v>
      </c>
      <c r="H1329" s="9" t="n">
        <v>1</v>
      </c>
      <c r="I1329" s="10" t="n">
        <v>0</v>
      </c>
      <c r="J1329" s="12">
        <f>I1329</f>
        <v/>
      </c>
      <c r="K1329" t="e">
        <v>#N/A</v>
      </c>
      <c r="L1329" t="e">
        <v>#N/A</v>
      </c>
      <c r="M1329" t="e">
        <v>#N/A</v>
      </c>
    </row>
    <row r="1330">
      <c r="A1330" s="9" t="inlineStr">
        <is>
          <t>Mike Gilb</t>
        </is>
      </c>
      <c r="B1330" s="9" t="inlineStr">
        <is>
          <t>7/13/25 - 8/10/25</t>
        </is>
      </c>
      <c r="C1330" s="12" t="n">
        <v>0.6</v>
      </c>
      <c r="D1330" s="12" t="n">
        <v>0.9399999999999999</v>
      </c>
      <c r="E1330" s="12" t="n">
        <v>0.97</v>
      </c>
      <c r="F1330" s="12" t="n">
        <v>0.83</v>
      </c>
      <c r="G1330" s="12" t="n">
        <v>0.73</v>
      </c>
      <c r="H1330" s="9" t="n">
        <v>3</v>
      </c>
      <c r="I1330" s="10" t="n">
        <v>0</v>
      </c>
      <c r="J1330" s="12">
        <f>I1330</f>
        <v/>
      </c>
      <c r="K1330" t="e">
        <v>#N/A</v>
      </c>
      <c r="L1330" t="e">
        <v>#N/A</v>
      </c>
      <c r="M1330" t="e">
        <v>#N/A</v>
      </c>
    </row>
    <row r="1331">
      <c r="A1331" s="9" t="inlineStr">
        <is>
          <t>Mike Gilb</t>
        </is>
      </c>
      <c r="B1331" s="9" t="inlineStr">
        <is>
          <t>8/10/25 - 9/6/25</t>
        </is>
      </c>
      <c r="C1331" s="12" t="n">
        <v>0.72</v>
      </c>
      <c r="D1331" s="12" t="n">
        <v>1.06</v>
      </c>
      <c r="E1331" s="12" t="n">
        <v>0.99</v>
      </c>
      <c r="F1331" s="12" t="n">
        <v>0.92</v>
      </c>
      <c r="G1331" s="12" t="n">
        <v>0.27</v>
      </c>
      <c r="H1331" s="9" t="n">
        <v>5</v>
      </c>
      <c r="I1331" s="10" t="inlineStr">
        <is>
          <t>0/7</t>
        </is>
      </c>
      <c r="J1331" s="12" t="n">
        <v>0</v>
      </c>
      <c r="K1331" t="e">
        <v>#N/A</v>
      </c>
      <c r="L1331" t="e">
        <v>#N/A</v>
      </c>
      <c r="M1331" t="e">
        <v>#N/A</v>
      </c>
    </row>
    <row r="1332">
      <c r="A1332" s="9" t="inlineStr">
        <is>
          <t>Miki Cornwell</t>
        </is>
      </c>
      <c r="B1332" s="9" t="inlineStr">
        <is>
          <t>10/5/25 - 11/1/25</t>
        </is>
      </c>
      <c r="C1332" s="12" t="n">
        <v>0.7188</v>
      </c>
      <c r="D1332" s="12" t="n">
        <v>1.1016</v>
      </c>
      <c r="E1332" s="12" t="n">
        <v>0.977272727272727</v>
      </c>
      <c r="F1332" s="12" t="n">
        <v>0.7826086956521729</v>
      </c>
      <c r="G1332" s="12" t="n">
        <v>1</v>
      </c>
      <c r="H1332" s="9" t="n">
        <v>1</v>
      </c>
      <c r="I1332" s="10" t="inlineStr">
        <is>
          <t>0/1</t>
        </is>
      </c>
      <c r="J1332" s="12" t="n">
        <v>0</v>
      </c>
      <c r="K1332" t="inlineStr">
        <is>
          <t>Distinguished</t>
        </is>
      </c>
      <c r="L1332" t="inlineStr">
        <is>
          <t>Adjunct</t>
        </is>
      </c>
      <c r="M1332" t="inlineStr">
        <is>
          <t>Ela Cross</t>
        </is>
      </c>
    </row>
    <row r="1333">
      <c r="A1333" s="9" t="inlineStr">
        <is>
          <t>Miki Cornwell</t>
        </is>
      </c>
      <c r="B1333" s="9" t="inlineStr">
        <is>
          <t>11/2/25 - 11/29/25</t>
        </is>
      </c>
      <c r="C1333" s="12" t="n">
        <v>0.65</v>
      </c>
      <c r="D1333" s="12" t="n">
        <v>1.34</v>
      </c>
      <c r="E1333" s="12" t="n">
        <v>0.97</v>
      </c>
      <c r="F1333" s="12" t="n">
        <v>0.86</v>
      </c>
      <c r="G1333" s="12" t="n">
        <v>1</v>
      </c>
      <c r="H1333" s="9" t="n">
        <v>0</v>
      </c>
      <c r="I1333" s="13" t="n">
        <v>45691</v>
      </c>
      <c r="J1333" s="14" t="n">
        <v>0.67</v>
      </c>
      <c r="K1333" t="inlineStr">
        <is>
          <t>Distinguished</t>
        </is>
      </c>
      <c r="L1333" t="inlineStr">
        <is>
          <t>Adjunct</t>
        </is>
      </c>
      <c r="M1333" t="inlineStr">
        <is>
          <t>Ela Cross</t>
        </is>
      </c>
    </row>
    <row r="1334">
      <c r="A1334" s="9" t="inlineStr">
        <is>
          <t>Miki Cornwell</t>
        </is>
      </c>
      <c r="B1334" s="9" t="inlineStr">
        <is>
          <t>11/30/25 - 12/27/25</t>
        </is>
      </c>
      <c r="C1334" s="12" t="n">
        <v>0.68</v>
      </c>
      <c r="D1334" s="12" t="n">
        <v>1.34</v>
      </c>
      <c r="E1334" s="12" t="n">
        <v>1</v>
      </c>
      <c r="F1334" s="12" t="n">
        <v>0.92</v>
      </c>
      <c r="G1334" s="12" t="n">
        <v>1</v>
      </c>
      <c r="H1334" s="9" t="n">
        <v>3</v>
      </c>
      <c r="I1334" s="10" t="n">
        <v>0.75</v>
      </c>
      <c r="J1334" s="12" t="n">
        <v>0.75</v>
      </c>
      <c r="K1334" t="inlineStr">
        <is>
          <t>Distinguished</t>
        </is>
      </c>
      <c r="L1334" t="inlineStr">
        <is>
          <t>Adjunct</t>
        </is>
      </c>
      <c r="M1334" t="inlineStr">
        <is>
          <t>Ela Cross</t>
        </is>
      </c>
    </row>
    <row r="1335">
      <c r="A1335" s="9" t="inlineStr">
        <is>
          <t>Miki Cornwell</t>
        </is>
      </c>
      <c r="B1335" s="9" t="inlineStr">
        <is>
          <t>12/28/25 - 1/25/26</t>
        </is>
      </c>
      <c r="C1335" s="12" t="n">
        <v>0.8125</v>
      </c>
      <c r="D1335" s="12" t="n">
        <v>1.3203</v>
      </c>
      <c r="E1335" s="12" t="n">
        <v>0.954545455</v>
      </c>
      <c r="F1335" s="12" t="n">
        <v>0.96969697</v>
      </c>
      <c r="G1335" s="12" t="n">
        <v>0.875</v>
      </c>
      <c r="H1335" s="9" t="n">
        <v>7</v>
      </c>
      <c r="I1335" s="10" t="n">
        <v>1</v>
      </c>
      <c r="J1335" s="12">
        <f>I1335</f>
        <v/>
      </c>
      <c r="K1335" t="inlineStr">
        <is>
          <t>Distinguished</t>
        </is>
      </c>
      <c r="L1335" t="inlineStr">
        <is>
          <t>Adjunct</t>
        </is>
      </c>
      <c r="M1335" t="inlineStr">
        <is>
          <t>Ela Cross</t>
        </is>
      </c>
    </row>
    <row r="1336">
      <c r="A1336" s="9" t="inlineStr">
        <is>
          <t>Miki Cornwell</t>
        </is>
      </c>
      <c r="B1336" s="9" t="inlineStr">
        <is>
          <t>5/18/25 - 6/14/25</t>
        </is>
      </c>
      <c r="C1336" s="12" t="n">
        <v>0.59</v>
      </c>
      <c r="D1336" s="12" t="n">
        <v>0.73</v>
      </c>
      <c r="E1336" s="12" t="n">
        <v>0.93</v>
      </c>
      <c r="F1336" s="12" t="n">
        <v>0.84</v>
      </c>
      <c r="G1336" s="12" t="n">
        <v>1</v>
      </c>
      <c r="H1336" s="9" t="n">
        <v>1</v>
      </c>
      <c r="J1336" s="9" t="n"/>
      <c r="K1336" t="inlineStr">
        <is>
          <t>Distinguished</t>
        </is>
      </c>
      <c r="L1336" t="inlineStr">
        <is>
          <t>Adjunct</t>
        </is>
      </c>
      <c r="M1336" t="inlineStr">
        <is>
          <t>Ela Cross</t>
        </is>
      </c>
    </row>
    <row r="1337">
      <c r="A1337" s="9" t="inlineStr">
        <is>
          <t>Miki Cornwell</t>
        </is>
      </c>
      <c r="B1337" s="9" t="inlineStr">
        <is>
          <t>6/15/25 - 7/12/25</t>
        </is>
      </c>
      <c r="C1337" s="12" t="n">
        <v>0.28</v>
      </c>
      <c r="D1337" s="12" t="n">
        <v>0.29</v>
      </c>
      <c r="E1337" s="12" t="n">
        <v>0.88</v>
      </c>
      <c r="F1337" s="12" t="n">
        <v>0.83</v>
      </c>
      <c r="G1337" s="12" t="n">
        <v>1</v>
      </c>
      <c r="H1337" s="9" t="n">
        <v>4</v>
      </c>
      <c r="J1337" s="9" t="n"/>
      <c r="K1337" t="inlineStr">
        <is>
          <t>Distinguished</t>
        </is>
      </c>
      <c r="L1337" t="inlineStr">
        <is>
          <t>Adjunct</t>
        </is>
      </c>
      <c r="M1337" t="inlineStr">
        <is>
          <t>Ela Cross</t>
        </is>
      </c>
    </row>
    <row r="1338">
      <c r="A1338" s="9" t="inlineStr">
        <is>
          <t>Miki Cornwell</t>
        </is>
      </c>
      <c r="B1338" s="9" t="inlineStr">
        <is>
          <t>7/13/25 - 8/10/25</t>
        </is>
      </c>
      <c r="C1338" s="12" t="n">
        <v>0.36</v>
      </c>
      <c r="D1338" s="12" t="n">
        <v>0.52</v>
      </c>
      <c r="E1338" s="12" t="n">
        <v>0.95</v>
      </c>
      <c r="F1338" s="12" t="n">
        <v>0.92</v>
      </c>
      <c r="G1338" s="12" t="n">
        <v>0.86</v>
      </c>
      <c r="H1338" s="9" t="n">
        <v>1</v>
      </c>
      <c r="J1338" s="9" t="n"/>
      <c r="K1338" t="inlineStr">
        <is>
          <t>Distinguished</t>
        </is>
      </c>
      <c r="L1338" t="inlineStr">
        <is>
          <t>Adjunct</t>
        </is>
      </c>
      <c r="M1338" t="inlineStr">
        <is>
          <t>Ela Cross</t>
        </is>
      </c>
    </row>
    <row r="1339">
      <c r="A1339" s="9" t="inlineStr">
        <is>
          <t>Miki Cornwell</t>
        </is>
      </c>
      <c r="B1339" s="9" t="inlineStr">
        <is>
          <t>8/10/25 - 9/6/25</t>
        </is>
      </c>
      <c r="C1339" s="12" t="n">
        <v>0.59</v>
      </c>
      <c r="D1339" s="12" t="n">
        <v>0.8100000000000001</v>
      </c>
      <c r="E1339" s="12" t="n">
        <v>0.97</v>
      </c>
      <c r="F1339" s="12" t="n">
        <v>0.95</v>
      </c>
      <c r="G1339" s="12" t="n">
        <v>1</v>
      </c>
      <c r="H1339" s="9" t="n">
        <v>0</v>
      </c>
      <c r="I1339" s="10" t="inlineStr">
        <is>
          <t>0/5</t>
        </is>
      </c>
      <c r="J1339" s="12" t="n">
        <v>0</v>
      </c>
      <c r="K1339" t="inlineStr">
        <is>
          <t>Distinguished</t>
        </is>
      </c>
      <c r="L1339" t="inlineStr">
        <is>
          <t>Adjunct</t>
        </is>
      </c>
      <c r="M1339" t="inlineStr">
        <is>
          <t>Ela Cross</t>
        </is>
      </c>
    </row>
    <row r="1340">
      <c r="A1340" s="9" t="inlineStr">
        <is>
          <t>Miki Cornwell</t>
        </is>
      </c>
      <c r="B1340" s="9" t="inlineStr">
        <is>
          <t>9/7/25 - 10/4/25</t>
        </is>
      </c>
      <c r="C1340" s="12" t="n">
        <v>0.66</v>
      </c>
      <c r="D1340" s="12" t="n">
        <v>1.04</v>
      </c>
      <c r="E1340" s="12" t="n">
        <v>0.97</v>
      </c>
      <c r="F1340" s="12" t="n">
        <v>0.96</v>
      </c>
      <c r="G1340" s="12" t="n">
        <v>0.75</v>
      </c>
      <c r="H1340" s="9" t="n">
        <v>1</v>
      </c>
      <c r="I1340" s="10" t="inlineStr">
        <is>
          <t>0/3</t>
        </is>
      </c>
      <c r="J1340" s="12" t="n">
        <v>0</v>
      </c>
      <c r="K1340" t="inlineStr">
        <is>
          <t>Distinguished</t>
        </is>
      </c>
      <c r="L1340" t="inlineStr">
        <is>
          <t>Adjunct</t>
        </is>
      </c>
      <c r="M1340" t="inlineStr">
        <is>
          <t>Ela Cross</t>
        </is>
      </c>
    </row>
    <row r="1341">
      <c r="A1341" s="9" t="inlineStr">
        <is>
          <t>Mitchell Mabanag</t>
        </is>
      </c>
      <c r="B1341" s="9" t="inlineStr">
        <is>
          <t>10/5/25 - 11/1/25</t>
        </is>
      </c>
      <c r="C1341" s="12" t="n">
        <v>0.8708</v>
      </c>
      <c r="D1341" s="12" t="n">
        <v>1.0345</v>
      </c>
      <c r="E1341" s="12" t="n">
        <v>0.986111111111111</v>
      </c>
      <c r="F1341" s="12" t="n">
        <v>0.964285714285714</v>
      </c>
      <c r="G1341" s="12" t="n">
        <v>0</v>
      </c>
      <c r="H1341" s="9" t="n">
        <v>13</v>
      </c>
      <c r="I1341" s="10" t="inlineStr">
        <is>
          <t>10/14</t>
        </is>
      </c>
      <c r="J1341" s="12" t="n">
        <v>0.71</v>
      </c>
      <c r="K1341" t="e">
        <v>#N/A</v>
      </c>
      <c r="L1341" t="e">
        <v>#N/A</v>
      </c>
      <c r="M1341" t="e">
        <v>#N/A</v>
      </c>
    </row>
    <row r="1342">
      <c r="A1342" s="9" t="inlineStr">
        <is>
          <t>Mitchell Mabanag</t>
        </is>
      </c>
      <c r="B1342" s="9" t="inlineStr">
        <is>
          <t>10/5/25 - 11/1/25</t>
        </is>
      </c>
      <c r="C1342" s="12" t="n">
        <v>0.8708</v>
      </c>
      <c r="D1342" s="12" t="n">
        <v>1.0345</v>
      </c>
      <c r="E1342" s="12" t="n">
        <v>0.986111111111111</v>
      </c>
      <c r="F1342" s="12" t="n">
        <v>0.964285714285714</v>
      </c>
      <c r="G1342" s="12" t="n">
        <v>0</v>
      </c>
      <c r="H1342" s="9" t="n">
        <v>13</v>
      </c>
      <c r="I1342" s="10" t="inlineStr">
        <is>
          <t>10/14</t>
        </is>
      </c>
      <c r="J1342" s="12">
        <f>_xlfn.TEXTBEFORE(I1342, "/")/_xlfn.TEXTAFTER(I1342,"/")</f>
        <v/>
      </c>
      <c r="K1342" t="e">
        <v>#N/A</v>
      </c>
      <c r="L1342" t="e">
        <v>#N/A</v>
      </c>
      <c r="M1342" t="e">
        <v>#N/A</v>
      </c>
    </row>
    <row r="1343">
      <c r="A1343" s="9" t="inlineStr">
        <is>
          <t>Mitchell Mabanag</t>
        </is>
      </c>
      <c r="B1343" s="9" t="inlineStr">
        <is>
          <t>11/2/25 - 11/29/25</t>
        </is>
      </c>
      <c r="C1343" s="12" t="n">
        <v>0.89</v>
      </c>
      <c r="D1343" s="12" t="n">
        <v>1.05</v>
      </c>
      <c r="E1343" s="12" t="n">
        <v>0.99</v>
      </c>
      <c r="F1343" s="12" t="n">
        <v>0.98</v>
      </c>
      <c r="G1343" s="12" t="n">
        <v>0.36</v>
      </c>
      <c r="H1343" s="9" t="n">
        <v>12</v>
      </c>
      <c r="I1343" s="13" t="n">
        <v>45783</v>
      </c>
      <c r="J1343" s="14" t="n">
        <v>0.83</v>
      </c>
      <c r="K1343" t="e">
        <v>#N/A</v>
      </c>
      <c r="L1343" t="e">
        <v>#N/A</v>
      </c>
      <c r="M1343" t="e">
        <v>#N/A</v>
      </c>
    </row>
    <row r="1344">
      <c r="A1344" s="9" t="inlineStr">
        <is>
          <t>Mitchell Mabanag</t>
        </is>
      </c>
      <c r="B1344" s="9" t="inlineStr">
        <is>
          <t>11/30/25 - 12/27/25</t>
        </is>
      </c>
      <c r="C1344" s="12" t="n">
        <v>0.62</v>
      </c>
      <c r="D1344" s="12" t="n">
        <v>0.88</v>
      </c>
      <c r="E1344" s="12" t="n">
        <v>0.97</v>
      </c>
      <c r="F1344" s="12" t="n">
        <v>0.68</v>
      </c>
      <c r="G1344" s="12" t="n">
        <v>0.63</v>
      </c>
      <c r="H1344" s="9" t="n">
        <v>14</v>
      </c>
      <c r="I1344" s="10" t="n">
        <v>0.5</v>
      </c>
      <c r="J1344" s="12" t="n">
        <v>0.5</v>
      </c>
      <c r="K1344" t="e">
        <v>#N/A</v>
      </c>
      <c r="L1344" t="e">
        <v>#N/A</v>
      </c>
      <c r="M1344" t="e">
        <v>#N/A</v>
      </c>
    </row>
    <row r="1345">
      <c r="A1345" s="9" t="inlineStr">
        <is>
          <t>Mitchell Mabanag</t>
        </is>
      </c>
      <c r="B1345" s="9" t="inlineStr">
        <is>
          <t>12/28/25 - 1/25/26</t>
        </is>
      </c>
      <c r="C1345" s="12" t="n">
        <v>0.9167</v>
      </c>
      <c r="D1345" s="12" t="n">
        <v>1.0263</v>
      </c>
      <c r="E1345" s="12" t="n">
        <v>0.948905109</v>
      </c>
      <c r="F1345" s="12" t="n">
        <v>0.835616438</v>
      </c>
      <c r="G1345" s="12" t="n">
        <v>0.368421053</v>
      </c>
      <c r="H1345" s="9" t="n">
        <v>13</v>
      </c>
      <c r="I1345" s="10" t="n">
        <v>1</v>
      </c>
      <c r="J1345" s="12">
        <f>I1345</f>
        <v/>
      </c>
      <c r="K1345" t="e">
        <v>#N/A</v>
      </c>
      <c r="L1345" t="e">
        <v>#N/A</v>
      </c>
      <c r="M1345" t="e">
        <v>#N/A</v>
      </c>
    </row>
    <row r="1346">
      <c r="A1346" s="9" t="inlineStr">
        <is>
          <t>Mitchell Mabanag</t>
        </is>
      </c>
      <c r="B1346" s="9" t="inlineStr">
        <is>
          <t>9/7/25 - 10/4/25</t>
        </is>
      </c>
      <c r="C1346" s="12" t="n">
        <v>0.29</v>
      </c>
      <c r="D1346" s="12" t="n">
        <v>0.64</v>
      </c>
      <c r="E1346" s="12" t="n">
        <v>0.97</v>
      </c>
      <c r="F1346" s="12" t="n">
        <v>0.96</v>
      </c>
      <c r="G1346" s="12" t="n">
        <v>0</v>
      </c>
      <c r="H1346" s="9" t="n">
        <v>2</v>
      </c>
      <c r="I1346" s="10" t="inlineStr">
        <is>
          <t>7/10</t>
        </is>
      </c>
      <c r="J1346" s="12" t="n">
        <v>0.7</v>
      </c>
      <c r="K1346" t="e">
        <v>#N/A</v>
      </c>
      <c r="L1346" t="e">
        <v>#N/A</v>
      </c>
      <c r="M1346" t="e">
        <v>#N/A</v>
      </c>
    </row>
    <row r="1347">
      <c r="A1347" s="9" t="inlineStr">
        <is>
          <t>Molly Rhodes</t>
        </is>
      </c>
      <c r="B1347" s="9" t="inlineStr">
        <is>
          <t>5/18/25 - 6/14/25</t>
        </is>
      </c>
      <c r="C1347" s="12" t="n">
        <v>0.51</v>
      </c>
      <c r="D1347" s="12" t="n">
        <v>0.93</v>
      </c>
      <c r="E1347" s="12" t="n">
        <v>1</v>
      </c>
      <c r="F1347" s="12" t="n">
        <v>1</v>
      </c>
      <c r="G1347" s="12" t="n">
        <v>0.67</v>
      </c>
      <c r="H1347" s="9" t="n">
        <v>5</v>
      </c>
      <c r="J1347" s="9" t="n"/>
      <c r="K1347" t="e">
        <v>#N/A</v>
      </c>
      <c r="L1347" t="e">
        <v>#N/A</v>
      </c>
      <c r="M1347" t="e">
        <v>#N/A</v>
      </c>
    </row>
    <row r="1348">
      <c r="A1348" s="9" t="inlineStr">
        <is>
          <t>Molly Rhodes</t>
        </is>
      </c>
      <c r="B1348" s="9" t="inlineStr">
        <is>
          <t>6/15/25 - 7/12/25</t>
        </is>
      </c>
      <c r="C1348" s="12" t="n">
        <v>0.51</v>
      </c>
      <c r="D1348" s="12" t="n">
        <v>1.34</v>
      </c>
      <c r="E1348" s="12" t="n">
        <v>0.97</v>
      </c>
      <c r="F1348" s="12" t="n">
        <v>0.6</v>
      </c>
      <c r="G1348" s="12" t="n">
        <v>0.86</v>
      </c>
      <c r="H1348" s="9" t="n">
        <v>3</v>
      </c>
      <c r="J1348" s="9" t="n"/>
      <c r="K1348" t="e">
        <v>#N/A</v>
      </c>
      <c r="L1348" t="e">
        <v>#N/A</v>
      </c>
      <c r="M1348" t="e">
        <v>#N/A</v>
      </c>
    </row>
    <row r="1349">
      <c r="A1349" s="9" t="inlineStr">
        <is>
          <t>Molly Rhodes</t>
        </is>
      </c>
      <c r="B1349" s="9" t="inlineStr">
        <is>
          <t>7/13/25 - 8/10/25</t>
        </is>
      </c>
      <c r="C1349" s="12" t="n">
        <v>0.89</v>
      </c>
      <c r="D1349" s="12" t="n">
        <v>1.64</v>
      </c>
      <c r="E1349" s="12" t="n">
        <v>1</v>
      </c>
      <c r="F1349" s="12" t="n">
        <v>0.92</v>
      </c>
      <c r="G1349" s="12" t="n">
        <v>0.79</v>
      </c>
      <c r="H1349" s="9" t="e">
        <v>#N/A</v>
      </c>
      <c r="I1349" s="10" t="n">
        <v>1</v>
      </c>
      <c r="J1349" s="12">
        <f>I1349</f>
        <v/>
      </c>
      <c r="K1349" t="e">
        <v>#N/A</v>
      </c>
      <c r="L1349" t="e">
        <v>#N/A</v>
      </c>
      <c r="M1349" t="e">
        <v>#N/A</v>
      </c>
    </row>
    <row r="1350">
      <c r="A1350" s="9" t="inlineStr">
        <is>
          <t>Molly Rhodes</t>
        </is>
      </c>
      <c r="B1350" s="9" t="inlineStr">
        <is>
          <t>8/10/25 - 9/6/25</t>
        </is>
      </c>
      <c r="C1350" s="12" t="n">
        <v>1.41</v>
      </c>
      <c r="D1350" s="12" t="n">
        <v>1.97</v>
      </c>
      <c r="E1350" s="12" t="n">
        <v>0.98</v>
      </c>
      <c r="F1350" s="12" t="n">
        <v>0.97</v>
      </c>
      <c r="G1350" s="12" t="n">
        <v>0.89</v>
      </c>
      <c r="H1350" s="9" t="n">
        <v>2</v>
      </c>
      <c r="I1350" s="10" t="inlineStr">
        <is>
          <t>3/4</t>
        </is>
      </c>
      <c r="J1350" s="12" t="n">
        <v>0.75</v>
      </c>
      <c r="K1350" t="e">
        <v>#N/A</v>
      </c>
      <c r="L1350" t="e">
        <v>#N/A</v>
      </c>
      <c r="M1350" t="e">
        <v>#N/A</v>
      </c>
    </row>
    <row r="1351">
      <c r="A1351" s="9" t="inlineStr">
        <is>
          <t>Molly Rhodes</t>
        </is>
      </c>
      <c r="B1351" s="9" t="inlineStr">
        <is>
          <t>9/7/25 - 10/4/25</t>
        </is>
      </c>
      <c r="C1351" s="12" t="n">
        <v>0.73</v>
      </c>
      <c r="D1351" s="12" t="n">
        <v>0.91</v>
      </c>
      <c r="E1351" s="12" t="n">
        <v>1</v>
      </c>
      <c r="F1351" s="12" t="n">
        <v>1</v>
      </c>
      <c r="G1351" s="12" t="n">
        <v>0.88</v>
      </c>
      <c r="H1351" s="9" t="n">
        <v>4</v>
      </c>
      <c r="I1351" s="10" t="inlineStr">
        <is>
          <t>1/1</t>
        </is>
      </c>
      <c r="J1351" s="12" t="n">
        <v>1</v>
      </c>
      <c r="K1351" t="e">
        <v>#N/A</v>
      </c>
      <c r="L1351" t="e">
        <v>#N/A</v>
      </c>
      <c r="M1351" t="e">
        <v>#N/A</v>
      </c>
    </row>
    <row r="1352">
      <c r="A1352" s="9" t="inlineStr">
        <is>
          <t>Morgan Wiley</t>
        </is>
      </c>
      <c r="B1352" s="9" t="inlineStr">
        <is>
          <t>10/5/25 - 11/1/25</t>
        </is>
      </c>
      <c r="C1352" s="12" t="n">
        <v>0.8042</v>
      </c>
      <c r="D1352" s="12" t="n">
        <v>0.9605</v>
      </c>
      <c r="E1352" s="12" t="n">
        <v>0.9673913043478261</v>
      </c>
      <c r="F1352" s="12" t="n">
        <v>0.835820895522388</v>
      </c>
      <c r="G1352" s="12" t="n">
        <v>0.428571428571428</v>
      </c>
      <c r="H1352" s="9" t="n">
        <v>6</v>
      </c>
      <c r="I1352" s="10" t="inlineStr">
        <is>
          <t>3/6</t>
        </is>
      </c>
      <c r="J1352" s="12" t="n">
        <v>0.5</v>
      </c>
      <c r="K1352" t="e">
        <v>#N/A</v>
      </c>
      <c r="L1352" t="e">
        <v>#N/A</v>
      </c>
      <c r="M1352" t="e">
        <v>#N/A</v>
      </c>
    </row>
    <row r="1353">
      <c r="A1353" s="9" t="inlineStr">
        <is>
          <t>Morgan Wiley</t>
        </is>
      </c>
      <c r="B1353" s="9" t="inlineStr">
        <is>
          <t>5/18/25 - 6/14/25</t>
        </is>
      </c>
      <c r="C1353" s="12" t="n">
        <v>0.65</v>
      </c>
      <c r="D1353" s="12" t="n">
        <v>1.1</v>
      </c>
      <c r="E1353" s="12" t="n">
        <v>0.9</v>
      </c>
      <c r="F1353" s="12" t="n">
        <v>1</v>
      </c>
      <c r="G1353" s="12" t="n">
        <v>1</v>
      </c>
      <c r="H1353" s="9" t="n">
        <v>1</v>
      </c>
      <c r="I1353" s="10" t="n">
        <v>0</v>
      </c>
      <c r="J1353" s="12">
        <f>I1353</f>
        <v/>
      </c>
      <c r="K1353" t="e">
        <v>#N/A</v>
      </c>
      <c r="L1353" t="e">
        <v>#N/A</v>
      </c>
      <c r="M1353" t="e">
        <v>#N/A</v>
      </c>
    </row>
    <row r="1354">
      <c r="A1354" s="9" t="inlineStr">
        <is>
          <t>Morgan Wiley</t>
        </is>
      </c>
      <c r="B1354" s="9" t="inlineStr">
        <is>
          <t>6/15/25 - 7/12/25</t>
        </is>
      </c>
      <c r="C1354" s="12" t="n">
        <v>0.28</v>
      </c>
      <c r="D1354" s="12" t="n">
        <v>1.12</v>
      </c>
      <c r="E1354" s="12" t="n">
        <v>1</v>
      </c>
      <c r="F1354" s="12" t="n">
        <v>0.59</v>
      </c>
      <c r="G1354" s="12" t="n">
        <v>0.67</v>
      </c>
      <c r="H1354" s="9" t="n">
        <v>3</v>
      </c>
      <c r="I1354" s="10" t="n">
        <v>0</v>
      </c>
      <c r="J1354" s="12">
        <f>I1354</f>
        <v/>
      </c>
      <c r="K1354" t="e">
        <v>#N/A</v>
      </c>
      <c r="L1354" t="e">
        <v>#N/A</v>
      </c>
      <c r="M1354" t="e">
        <v>#N/A</v>
      </c>
    </row>
    <row r="1355">
      <c r="A1355" s="9" t="inlineStr">
        <is>
          <t>Morgan Wiley</t>
        </is>
      </c>
      <c r="B1355" s="9" t="inlineStr">
        <is>
          <t>7/13/25 - 8/10/25</t>
        </is>
      </c>
      <c r="C1355" s="12" t="n">
        <v>0.76</v>
      </c>
      <c r="D1355" s="12" t="n">
        <v>1.12</v>
      </c>
      <c r="E1355" s="12" t="n">
        <v>1</v>
      </c>
      <c r="F1355" s="12" t="n">
        <v>0.87</v>
      </c>
      <c r="G1355" s="12" t="n">
        <v>0.35</v>
      </c>
      <c r="H1355" s="9" t="n">
        <v>3</v>
      </c>
      <c r="I1355" s="10" t="n">
        <v>0</v>
      </c>
      <c r="J1355" s="12">
        <f>I1355</f>
        <v/>
      </c>
      <c r="K1355" t="e">
        <v>#N/A</v>
      </c>
      <c r="L1355" t="e">
        <v>#N/A</v>
      </c>
      <c r="M1355" t="e">
        <v>#N/A</v>
      </c>
    </row>
    <row r="1356">
      <c r="A1356" s="9" t="inlineStr">
        <is>
          <t>Morgan Wiley</t>
        </is>
      </c>
      <c r="B1356" s="9" t="inlineStr">
        <is>
          <t>8/10/25 - 9/6/25</t>
        </is>
      </c>
      <c r="C1356" s="12" t="n">
        <v>0.78</v>
      </c>
      <c r="D1356" s="12" t="n">
        <v>1.02</v>
      </c>
      <c r="E1356" s="12" t="n">
        <v>0.99</v>
      </c>
      <c r="F1356" s="12" t="n">
        <v>0.57</v>
      </c>
      <c r="G1356" s="12" t="n">
        <v>0.1</v>
      </c>
      <c r="H1356" s="9" t="n">
        <v>3</v>
      </c>
      <c r="I1356" s="10" t="inlineStr">
        <is>
          <t>0/3</t>
        </is>
      </c>
      <c r="J1356" s="12" t="n">
        <v>0</v>
      </c>
      <c r="K1356" t="e">
        <v>#N/A</v>
      </c>
      <c r="L1356" t="e">
        <v>#N/A</v>
      </c>
      <c r="M1356" t="e">
        <v>#N/A</v>
      </c>
    </row>
    <row r="1357">
      <c r="A1357" s="9" t="inlineStr">
        <is>
          <t>Morgan Wiley</t>
        </is>
      </c>
      <c r="B1357" s="9" t="inlineStr">
        <is>
          <t>9/7/25 - 10/4/25</t>
        </is>
      </c>
      <c r="C1357" s="12" t="n">
        <v>0.87</v>
      </c>
      <c r="D1357" s="12" t="n">
        <v>0.99</v>
      </c>
      <c r="E1357" s="12" t="n">
        <v>0.96</v>
      </c>
      <c r="F1357" s="12" t="n">
        <v>0.53</v>
      </c>
      <c r="G1357" s="12" t="n">
        <v>0.15</v>
      </c>
      <c r="H1357" s="9" t="n">
        <v>6</v>
      </c>
      <c r="I1357" s="10" t="inlineStr">
        <is>
          <t>0/10</t>
        </is>
      </c>
      <c r="J1357" s="12" t="n">
        <v>0</v>
      </c>
      <c r="K1357" t="e">
        <v>#N/A</v>
      </c>
      <c r="L1357" t="e">
        <v>#N/A</v>
      </c>
      <c r="M1357" t="e">
        <v>#N/A</v>
      </c>
    </row>
    <row r="1358">
      <c r="A1358" s="9" t="inlineStr">
        <is>
          <t>Myles Oldroyd</t>
        </is>
      </c>
      <c r="B1358" s="9" t="inlineStr">
        <is>
          <t>10/5/25 - 11/1/25</t>
        </is>
      </c>
      <c r="C1358" s="12" t="n">
        <v>0.7917</v>
      </c>
      <c r="D1358" s="12" t="n">
        <v>1.4638</v>
      </c>
      <c r="E1358" s="12" t="n">
        <v>0.988505747126436</v>
      </c>
      <c r="F1358" s="12" t="n">
        <v>1</v>
      </c>
      <c r="G1358" s="12" t="n">
        <v>0.846153846153846</v>
      </c>
      <c r="H1358" s="9" t="n">
        <v>2</v>
      </c>
      <c r="I1358" s="10" t="inlineStr">
        <is>
          <t>1/1</t>
        </is>
      </c>
      <c r="J1358" s="12" t="n">
        <v>1</v>
      </c>
      <c r="K1358" t="inlineStr">
        <is>
          <t>Premium</t>
        </is>
      </c>
      <c r="L1358" t="inlineStr">
        <is>
          <t>Professional</t>
        </is>
      </c>
      <c r="M1358" t="inlineStr">
        <is>
          <t>Ian Plamondon</t>
        </is>
      </c>
    </row>
    <row r="1359">
      <c r="A1359" s="9" t="inlineStr">
        <is>
          <t>Myles Oldroyd</t>
        </is>
      </c>
      <c r="B1359" s="9" t="inlineStr">
        <is>
          <t>11/2/25 - 11/29/25</t>
        </is>
      </c>
      <c r="C1359" s="12" t="n">
        <v>0.67</v>
      </c>
      <c r="D1359" s="12" t="n">
        <v>1.49</v>
      </c>
      <c r="E1359" s="12" t="n">
        <v>1</v>
      </c>
      <c r="F1359" s="12" t="n">
        <v>0.96</v>
      </c>
      <c r="G1359" s="12" t="n">
        <v>0.95</v>
      </c>
      <c r="H1359" s="9" t="n">
        <v>3</v>
      </c>
      <c r="I1359" s="13" t="n">
        <v>45660</v>
      </c>
      <c r="J1359" s="14">
        <f>1/3</f>
        <v/>
      </c>
      <c r="K1359" t="inlineStr">
        <is>
          <t>Premium</t>
        </is>
      </c>
      <c r="L1359" t="inlineStr">
        <is>
          <t>Professional</t>
        </is>
      </c>
      <c r="M1359" t="inlineStr">
        <is>
          <t>Ian Plamondon</t>
        </is>
      </c>
    </row>
    <row r="1360">
      <c r="A1360" s="9" t="inlineStr">
        <is>
          <t>Myles Oldroyd</t>
        </is>
      </c>
      <c r="B1360" s="9" t="inlineStr">
        <is>
          <t>11/30/25 - 12/27/25</t>
        </is>
      </c>
      <c r="C1360" s="12" t="n">
        <v>0.63</v>
      </c>
      <c r="D1360" s="12" t="n">
        <v>1.41</v>
      </c>
      <c r="E1360" s="12" t="n">
        <v>1</v>
      </c>
      <c r="F1360" s="12" t="n">
        <v>0.96</v>
      </c>
      <c r="G1360" s="12" t="n">
        <v>0.86</v>
      </c>
      <c r="H1360" s="9" t="n">
        <v>2</v>
      </c>
      <c r="I1360" s="10" t="inlineStr">
        <is>
          <t>0/3</t>
        </is>
      </c>
      <c r="J1360" s="12" t="n">
        <v>0</v>
      </c>
      <c r="K1360" t="inlineStr">
        <is>
          <t>Premium</t>
        </is>
      </c>
      <c r="L1360" t="inlineStr">
        <is>
          <t>Professional</t>
        </is>
      </c>
      <c r="M1360" t="inlineStr">
        <is>
          <t>Ian Plamondon</t>
        </is>
      </c>
    </row>
    <row r="1361">
      <c r="A1361" s="9" t="inlineStr">
        <is>
          <t>Myles Oldroyd</t>
        </is>
      </c>
      <c r="B1361" s="9" t="inlineStr">
        <is>
          <t>12/28/25 - 1/25/26</t>
        </is>
      </c>
      <c r="C1361" s="12" t="n">
        <v>0.6792</v>
      </c>
      <c r="D1361" s="12" t="n">
        <v>1.5263</v>
      </c>
      <c r="E1361" s="12" t="n">
        <v>1</v>
      </c>
      <c r="F1361" s="12" t="n">
        <v>0.980769231</v>
      </c>
      <c r="G1361" s="12" t="n">
        <v>0.8125</v>
      </c>
      <c r="H1361" s="9" t="n">
        <v>1</v>
      </c>
      <c r="I1361" s="10" t="n">
        <v>0.8</v>
      </c>
      <c r="J1361" s="12">
        <f>I1361</f>
        <v/>
      </c>
      <c r="K1361" t="inlineStr">
        <is>
          <t>Premium</t>
        </is>
      </c>
      <c r="L1361" t="inlineStr">
        <is>
          <t>Professional</t>
        </is>
      </c>
      <c r="M1361" t="inlineStr">
        <is>
          <t>Ian Plamondon</t>
        </is>
      </c>
    </row>
    <row r="1362">
      <c r="A1362" s="9" t="inlineStr">
        <is>
          <t>Myles Oldroyd</t>
        </is>
      </c>
      <c r="B1362" s="9" t="inlineStr">
        <is>
          <t>5/18/25 - 6/14/25</t>
        </is>
      </c>
      <c r="C1362" s="12" t="n">
        <v>1.03</v>
      </c>
      <c r="D1362" s="12" t="n">
        <v>1.42</v>
      </c>
      <c r="E1362" s="12" t="n">
        <v>1</v>
      </c>
      <c r="F1362" s="12" t="n">
        <v>0.99</v>
      </c>
      <c r="G1362" s="12" t="n">
        <v>0.8</v>
      </c>
      <c r="H1362" s="9" t="n">
        <v>0</v>
      </c>
      <c r="I1362" s="10" t="inlineStr">
        <is>
          <t xml:space="preserve"> 1/4</t>
        </is>
      </c>
      <c r="J1362" s="12" t="n">
        <v>0.25</v>
      </c>
      <c r="K1362" t="inlineStr">
        <is>
          <t>Premium</t>
        </is>
      </c>
      <c r="L1362" t="inlineStr">
        <is>
          <t>Professional</t>
        </is>
      </c>
      <c r="M1362" t="inlineStr">
        <is>
          <t>Ian Plamondon</t>
        </is>
      </c>
    </row>
    <row r="1363">
      <c r="A1363" s="9" t="inlineStr">
        <is>
          <t>Myles Oldroyd</t>
        </is>
      </c>
      <c r="B1363" s="9" t="inlineStr">
        <is>
          <t>6/15/25 - 7/12/25</t>
        </is>
      </c>
      <c r="C1363" s="12" t="n">
        <v>0.87</v>
      </c>
      <c r="D1363" s="12" t="n">
        <v>1.35</v>
      </c>
      <c r="E1363" s="12" t="n">
        <v>0.99</v>
      </c>
      <c r="F1363" s="12" t="n">
        <v>0.79</v>
      </c>
      <c r="G1363" s="12" t="n">
        <v>0.5</v>
      </c>
      <c r="H1363" s="9" t="n">
        <v>3</v>
      </c>
      <c r="I1363" s="10" t="inlineStr">
        <is>
          <t xml:space="preserve"> 2/3</t>
        </is>
      </c>
      <c r="J1363" s="12" t="n">
        <v>0.67</v>
      </c>
      <c r="K1363" t="inlineStr">
        <is>
          <t>Premium</t>
        </is>
      </c>
      <c r="L1363" t="inlineStr">
        <is>
          <t>Professional</t>
        </is>
      </c>
      <c r="M1363" t="inlineStr">
        <is>
          <t>Ian Plamondon</t>
        </is>
      </c>
    </row>
    <row r="1364">
      <c r="A1364" s="9" t="inlineStr">
        <is>
          <t>Myles Oldroyd</t>
        </is>
      </c>
      <c r="B1364" s="9" t="inlineStr">
        <is>
          <t>7/13/25 - 8/10/25</t>
        </is>
      </c>
      <c r="C1364" s="12" t="n">
        <v>0.96</v>
      </c>
      <c r="D1364" s="12" t="n">
        <v>1.33</v>
      </c>
      <c r="E1364" s="12" t="n">
        <v>1</v>
      </c>
      <c r="F1364" s="12" t="n">
        <v>1</v>
      </c>
      <c r="G1364" s="12" t="n">
        <v>0.63</v>
      </c>
      <c r="H1364" s="9" t="n">
        <v>3</v>
      </c>
      <c r="I1364" s="10" t="n">
        <v>1</v>
      </c>
      <c r="J1364" s="12">
        <f>I1364</f>
        <v/>
      </c>
      <c r="K1364" t="inlineStr">
        <is>
          <t>Premium</t>
        </is>
      </c>
      <c r="L1364" t="inlineStr">
        <is>
          <t>Professional</t>
        </is>
      </c>
      <c r="M1364" t="inlineStr">
        <is>
          <t>Ian Plamondon</t>
        </is>
      </c>
    </row>
    <row r="1365">
      <c r="A1365" s="9" t="inlineStr">
        <is>
          <t>Myles Oldroyd</t>
        </is>
      </c>
      <c r="B1365" s="9" t="inlineStr">
        <is>
          <t>8/10/25 - 9/6/25</t>
        </is>
      </c>
      <c r="C1365" s="12" t="n">
        <v>1.11</v>
      </c>
      <c r="D1365" s="12" t="n">
        <v>1.39</v>
      </c>
      <c r="E1365" s="12" t="n">
        <v>0.98</v>
      </c>
      <c r="F1365" s="12" t="n">
        <v>0.83</v>
      </c>
      <c r="G1365" s="12" t="n">
        <v>0.88</v>
      </c>
      <c r="H1365" s="9" t="n">
        <v>2</v>
      </c>
      <c r="I1365" s="10" t="inlineStr">
        <is>
          <t>1/3</t>
        </is>
      </c>
      <c r="J1365" s="12" t="n">
        <v>0.33</v>
      </c>
      <c r="K1365" t="inlineStr">
        <is>
          <t>Premium</t>
        </is>
      </c>
      <c r="L1365" t="inlineStr">
        <is>
          <t>Professional</t>
        </is>
      </c>
      <c r="M1365" t="inlineStr">
        <is>
          <t>Ian Plamondon</t>
        </is>
      </c>
    </row>
    <row r="1366">
      <c r="A1366" s="9" t="inlineStr">
        <is>
          <t>Myles Oldroyd</t>
        </is>
      </c>
      <c r="B1366" s="9" t="inlineStr">
        <is>
          <t>9/7/25 - 10/4/25</t>
        </is>
      </c>
      <c r="C1366" s="12" t="n">
        <v>0.84</v>
      </c>
      <c r="D1366" s="12" t="n">
        <v>1.46</v>
      </c>
      <c r="E1366" s="12" t="n">
        <v>1</v>
      </c>
      <c r="F1366" s="12" t="n">
        <v>0.99</v>
      </c>
      <c r="G1366" s="12" t="n">
        <v>0.85</v>
      </c>
      <c r="H1366" s="9" t="n">
        <v>1</v>
      </c>
      <c r="I1366" s="10" t="inlineStr">
        <is>
          <t>4/5</t>
        </is>
      </c>
      <c r="J1366" s="12" t="n">
        <v>0.8</v>
      </c>
      <c r="K1366" t="inlineStr">
        <is>
          <t>Premium</t>
        </is>
      </c>
      <c r="L1366" t="inlineStr">
        <is>
          <t>Professional</t>
        </is>
      </c>
      <c r="M1366" t="inlineStr">
        <is>
          <t>Ian Plamondon</t>
        </is>
      </c>
    </row>
    <row r="1367">
      <c r="A1367" s="9" t="inlineStr">
        <is>
          <t>Naima Chaudhry</t>
        </is>
      </c>
      <c r="B1367" s="9" t="inlineStr">
        <is>
          <t>12/28/25 - 1/25/26</t>
        </is>
      </c>
      <c r="C1367" s="12" t="n">
        <v>0</v>
      </c>
      <c r="D1367" s="12" t="n">
        <v>0</v>
      </c>
      <c r="E1367" s="12" t="n">
        <v>0</v>
      </c>
      <c r="F1367" s="12" t="n">
        <v>0</v>
      </c>
      <c r="G1367" s="12" t="n">
        <v>0</v>
      </c>
      <c r="H1367" s="9" t="n">
        <v>0</v>
      </c>
      <c r="I1367" s="10" t="inlineStr">
        <is>
          <t>0/0</t>
        </is>
      </c>
      <c r="J1367" s="12" t="n">
        <v>0</v>
      </c>
      <c r="K1367" t="inlineStr">
        <is>
          <t>Advanced</t>
        </is>
      </c>
      <c r="L1367" t="inlineStr">
        <is>
          <t>Adjunct</t>
        </is>
      </c>
      <c r="M1367" t="inlineStr">
        <is>
          <t>Kristin Haase-Alvey</t>
        </is>
      </c>
    </row>
    <row r="1368">
      <c r="A1368" s="9" t="inlineStr">
        <is>
          <t>Nando Reyes</t>
        </is>
      </c>
      <c r="B1368" s="9" t="inlineStr">
        <is>
          <t>10/5/25 - 11/1/25</t>
        </is>
      </c>
      <c r="C1368" s="12" t="n">
        <v>0.4929</v>
      </c>
      <c r="D1368" s="12" t="n">
        <v>1.3314</v>
      </c>
      <c r="E1368" s="12" t="n">
        <v>1</v>
      </c>
      <c r="F1368" s="12" t="n">
        <v>0.958333333333333</v>
      </c>
      <c r="G1368" s="12" t="n">
        <v>0.875</v>
      </c>
      <c r="H1368" s="9" t="n">
        <v>3</v>
      </c>
      <c r="I1368" s="10" t="inlineStr">
        <is>
          <t>0/1</t>
        </is>
      </c>
      <c r="J1368" s="12" t="n">
        <v>0</v>
      </c>
      <c r="K1368" t="inlineStr">
        <is>
          <t>Distinguished</t>
        </is>
      </c>
      <c r="L1368" t="inlineStr">
        <is>
          <t>Professional</t>
        </is>
      </c>
      <c r="M1368" t="inlineStr">
        <is>
          <t>Geoff St. Marie</t>
        </is>
      </c>
    </row>
    <row r="1369">
      <c r="A1369" s="9" t="inlineStr">
        <is>
          <t>Nando Reyes</t>
        </is>
      </c>
      <c r="B1369" s="9" t="inlineStr">
        <is>
          <t>11/2/25 - 11/29/25</t>
        </is>
      </c>
      <c r="C1369" s="12" t="n">
        <v>0.72</v>
      </c>
      <c r="D1369" s="12" t="n">
        <v>1.29</v>
      </c>
      <c r="E1369" s="12" t="n">
        <v>0.99</v>
      </c>
      <c r="F1369" s="12" t="n">
        <v>0.96</v>
      </c>
      <c r="G1369" s="12" t="n">
        <v>0.76</v>
      </c>
      <c r="H1369" s="9" t="n">
        <v>0</v>
      </c>
      <c r="I1369" s="13" t="inlineStr">
        <is>
          <t>0/3</t>
        </is>
      </c>
      <c r="J1369" s="12" t="n">
        <v>0</v>
      </c>
      <c r="K1369" t="inlineStr">
        <is>
          <t>Distinguished</t>
        </is>
      </c>
      <c r="L1369" t="inlineStr">
        <is>
          <t>Professional</t>
        </is>
      </c>
      <c r="M1369" t="inlineStr">
        <is>
          <t>Geoff St. Marie</t>
        </is>
      </c>
    </row>
    <row r="1370">
      <c r="A1370" s="9" t="inlineStr">
        <is>
          <t>Nando Reyes</t>
        </is>
      </c>
      <c r="B1370" s="9" t="inlineStr">
        <is>
          <t>11/30/25 - 12/27/25</t>
        </is>
      </c>
      <c r="C1370" s="12" t="n">
        <v>0.3</v>
      </c>
      <c r="D1370" s="12" t="n">
        <v>1.06</v>
      </c>
      <c r="E1370" s="12" t="n">
        <v>0.95</v>
      </c>
      <c r="F1370" s="12" t="n">
        <v>1</v>
      </c>
      <c r="G1370" s="12" t="n">
        <v>0.9399999999999999</v>
      </c>
      <c r="H1370" s="9" t="n">
        <v>0</v>
      </c>
      <c r="I1370" s="10" t="inlineStr">
        <is>
          <t>0/1</t>
        </is>
      </c>
      <c r="J1370" s="12" t="n">
        <v>0</v>
      </c>
      <c r="K1370" t="inlineStr">
        <is>
          <t>Distinguished</t>
        </is>
      </c>
      <c r="L1370" t="inlineStr">
        <is>
          <t>Professional</t>
        </is>
      </c>
      <c r="M1370" t="inlineStr">
        <is>
          <t>Geoff St. Marie</t>
        </is>
      </c>
    </row>
    <row r="1371">
      <c r="A1371" s="9" t="inlineStr">
        <is>
          <t>Nando Reyes</t>
        </is>
      </c>
      <c r="B1371" s="9" t="inlineStr">
        <is>
          <t>12/28/25 - 1/25/26</t>
        </is>
      </c>
      <c r="C1371" s="12" t="n">
        <v>0.2036</v>
      </c>
      <c r="D1371" s="12" t="n">
        <v>1.0276</v>
      </c>
      <c r="E1371" s="12" t="n">
        <v>1</v>
      </c>
      <c r="F1371" s="12" t="n">
        <v>0.944444444</v>
      </c>
      <c r="G1371" s="12" t="n">
        <v>0.8</v>
      </c>
      <c r="H1371" s="9" t="n">
        <v>0</v>
      </c>
      <c r="I1371" s="10" t="inlineStr">
        <is>
          <t>0/2</t>
        </is>
      </c>
      <c r="J1371" s="12" t="n">
        <v>0</v>
      </c>
      <c r="K1371" t="inlineStr">
        <is>
          <t>Distinguished</t>
        </is>
      </c>
      <c r="L1371" t="inlineStr">
        <is>
          <t>Professional</t>
        </is>
      </c>
      <c r="M1371" t="inlineStr">
        <is>
          <t>Geoff St. Marie</t>
        </is>
      </c>
    </row>
    <row r="1372">
      <c r="A1372" s="9" t="inlineStr">
        <is>
          <t>Nando Reyes</t>
        </is>
      </c>
      <c r="B1372" s="9" t="inlineStr">
        <is>
          <t>5/18/25 - 6/14/25</t>
        </is>
      </c>
      <c r="C1372" s="12" t="n">
        <v>0.74</v>
      </c>
      <c r="D1372" s="12" t="n">
        <v>1.1</v>
      </c>
      <c r="E1372" s="12" t="n">
        <v>1</v>
      </c>
      <c r="F1372" s="12" t="n">
        <v>0.99</v>
      </c>
      <c r="G1372" s="12" t="n">
        <v>0.7</v>
      </c>
      <c r="H1372" s="9" t="n">
        <v>6</v>
      </c>
      <c r="I1372" s="10" t="n">
        <v>0</v>
      </c>
      <c r="J1372" s="12">
        <f>I1372</f>
        <v/>
      </c>
      <c r="K1372" t="inlineStr">
        <is>
          <t>Distinguished</t>
        </is>
      </c>
      <c r="L1372" t="inlineStr">
        <is>
          <t>Professional</t>
        </is>
      </c>
      <c r="M1372" t="inlineStr">
        <is>
          <t>Geoff St. Marie</t>
        </is>
      </c>
    </row>
    <row r="1373">
      <c r="A1373" s="9" t="inlineStr">
        <is>
          <t>Nando Reyes</t>
        </is>
      </c>
      <c r="B1373" s="9" t="inlineStr">
        <is>
          <t>6/15/25 - 7/12/25</t>
        </is>
      </c>
      <c r="C1373" s="12" t="n">
        <v>0.68</v>
      </c>
      <c r="D1373" s="12" t="n">
        <v>1.16</v>
      </c>
      <c r="E1373" s="12" t="n">
        <v>0.99</v>
      </c>
      <c r="F1373" s="12" t="n">
        <v>0.96</v>
      </c>
      <c r="G1373" s="12" t="n">
        <v>0.9</v>
      </c>
      <c r="H1373" s="9" t="n">
        <v>4</v>
      </c>
      <c r="I1373" s="10" t="n">
        <v>0</v>
      </c>
      <c r="J1373" s="12">
        <f>I1373</f>
        <v/>
      </c>
      <c r="K1373" t="inlineStr">
        <is>
          <t>Distinguished</t>
        </is>
      </c>
      <c r="L1373" t="inlineStr">
        <is>
          <t>Professional</t>
        </is>
      </c>
      <c r="M1373" t="inlineStr">
        <is>
          <t>Geoff St. Marie</t>
        </is>
      </c>
    </row>
    <row r="1374">
      <c r="A1374" s="9" t="inlineStr">
        <is>
          <t>Nando Reyes</t>
        </is>
      </c>
      <c r="B1374" s="9" t="inlineStr">
        <is>
          <t>7/13/25 - 8/10/25</t>
        </is>
      </c>
      <c r="C1374" s="12" t="n">
        <v>0.67</v>
      </c>
      <c r="D1374" s="12" t="n">
        <v>1.13</v>
      </c>
      <c r="E1374" s="12" t="n">
        <v>0.99</v>
      </c>
      <c r="F1374" s="12" t="n">
        <v>0.78</v>
      </c>
      <c r="G1374" s="12" t="n">
        <v>0.71</v>
      </c>
      <c r="H1374" s="9" t="n">
        <v>5</v>
      </c>
      <c r="I1374" s="10" t="n">
        <v>0</v>
      </c>
      <c r="J1374" s="12">
        <f>I1374</f>
        <v/>
      </c>
      <c r="K1374" t="inlineStr">
        <is>
          <t>Distinguished</t>
        </is>
      </c>
      <c r="L1374" t="inlineStr">
        <is>
          <t>Professional</t>
        </is>
      </c>
      <c r="M1374" t="inlineStr">
        <is>
          <t>Geoff St. Marie</t>
        </is>
      </c>
    </row>
    <row r="1375">
      <c r="A1375" s="9" t="inlineStr">
        <is>
          <t>Nando Reyes</t>
        </is>
      </c>
      <c r="B1375" s="9" t="inlineStr">
        <is>
          <t>8/10/25 - 9/6/25</t>
        </is>
      </c>
      <c r="C1375" s="12" t="n">
        <v>0.5600000000000001</v>
      </c>
      <c r="D1375" s="12" t="n">
        <v>1.24</v>
      </c>
      <c r="E1375" s="12" t="n">
        <v>1</v>
      </c>
      <c r="F1375" s="12" t="n">
        <v>0.93</v>
      </c>
      <c r="G1375" s="12" t="n">
        <v>0.5</v>
      </c>
      <c r="H1375" s="9" t="n">
        <v>0</v>
      </c>
      <c r="I1375" s="10" t="inlineStr">
        <is>
          <t>0/4</t>
        </is>
      </c>
      <c r="J1375" s="12" t="n">
        <v>0</v>
      </c>
      <c r="K1375" t="inlineStr">
        <is>
          <t>Distinguished</t>
        </is>
      </c>
      <c r="L1375" t="inlineStr">
        <is>
          <t>Professional</t>
        </is>
      </c>
      <c r="M1375" t="inlineStr">
        <is>
          <t>Geoff St. Marie</t>
        </is>
      </c>
    </row>
    <row r="1376">
      <c r="A1376" s="9" t="inlineStr">
        <is>
          <t>Nando Reyes</t>
        </is>
      </c>
      <c r="B1376" s="9" t="inlineStr">
        <is>
          <t>9/7/25 - 10/4/25</t>
        </is>
      </c>
      <c r="C1376" s="12" t="n">
        <v>0.55</v>
      </c>
      <c r="D1376" s="12" t="n">
        <v>1.3</v>
      </c>
      <c r="E1376" s="12" t="n">
        <v>1</v>
      </c>
      <c r="F1376" s="12" t="n">
        <v>0.98</v>
      </c>
      <c r="G1376" s="12" t="n">
        <v>0.67</v>
      </c>
      <c r="H1376" s="9" t="n">
        <v>1</v>
      </c>
      <c r="I1376" s="10" t="inlineStr">
        <is>
          <t>0/8</t>
        </is>
      </c>
      <c r="J1376" s="12" t="n">
        <v>0</v>
      </c>
      <c r="K1376" t="inlineStr">
        <is>
          <t>Distinguished</t>
        </is>
      </c>
      <c r="L1376" t="inlineStr">
        <is>
          <t>Professional</t>
        </is>
      </c>
      <c r="M1376" t="inlineStr">
        <is>
          <t>Geoff St. Marie</t>
        </is>
      </c>
    </row>
    <row r="1377">
      <c r="A1377" s="9" t="inlineStr">
        <is>
          <t>Natalie Angstadt</t>
        </is>
      </c>
      <c r="B1377" s="9" t="inlineStr">
        <is>
          <t>11/30/25 - 12/27/25</t>
        </is>
      </c>
      <c r="C1377" s="12" t="n">
        <v>0</v>
      </c>
      <c r="D1377" s="12" t="n">
        <v>0.66</v>
      </c>
      <c r="E1377" s="12" t="n">
        <v>0</v>
      </c>
      <c r="F1377" s="12" t="n">
        <v>0</v>
      </c>
      <c r="G1377" s="12" t="n">
        <v>0</v>
      </c>
      <c r="H1377" s="9" t="n">
        <v>0</v>
      </c>
      <c r="I1377" s="10" t="n"/>
      <c r="J1377" s="12" t="n"/>
      <c r="K1377" t="e">
        <v>#N/A</v>
      </c>
      <c r="L1377" t="e">
        <v>#N/A</v>
      </c>
      <c r="M1377" t="e">
        <v>#N/A</v>
      </c>
    </row>
    <row r="1378">
      <c r="A1378" s="9" t="inlineStr">
        <is>
          <t>Natalie Angstadt</t>
        </is>
      </c>
      <c r="B1378" s="9" t="inlineStr">
        <is>
          <t>12/28/25 - 1/25/26</t>
        </is>
      </c>
      <c r="C1378" s="12" t="n">
        <v>0.8438</v>
      </c>
      <c r="D1378" s="12" t="n">
        <v>1.1563</v>
      </c>
      <c r="E1378" s="12" t="n">
        <v>1</v>
      </c>
      <c r="F1378" s="12" t="n">
        <v>0.2</v>
      </c>
      <c r="G1378" s="12" t="n">
        <v>0</v>
      </c>
      <c r="H1378" s="9" t="n">
        <v>2</v>
      </c>
      <c r="I1378" s="10" t="n">
        <v>0.1428571428571428</v>
      </c>
      <c r="J1378" s="12">
        <f>I1378</f>
        <v/>
      </c>
      <c r="K1378" t="e">
        <v>#N/A</v>
      </c>
      <c r="L1378" t="e">
        <v>#N/A</v>
      </c>
      <c r="M1378" t="e">
        <v>#N/A</v>
      </c>
    </row>
    <row r="1379">
      <c r="A1379" s="9" t="inlineStr">
        <is>
          <t>Nathanuel Dixon</t>
        </is>
      </c>
      <c r="B1379" s="9" t="inlineStr">
        <is>
          <t>9/7/25 - 10/4/25</t>
        </is>
      </c>
      <c r="C1379" s="12" t="n">
        <v>0</v>
      </c>
      <c r="D1379" s="12" t="n">
        <v>0.12</v>
      </c>
      <c r="E1379" s="12" t="n">
        <v>0</v>
      </c>
      <c r="F1379" s="12" t="n">
        <v>0</v>
      </c>
      <c r="G1379" s="12" t="n">
        <v>0</v>
      </c>
      <c r="H1379" s="9" t="n">
        <v>0</v>
      </c>
      <c r="I1379" s="11" t="n"/>
      <c r="J1379" s="9" t="n"/>
      <c r="K1379" t="e">
        <v>#N/A</v>
      </c>
      <c r="L1379" t="e">
        <v>#N/A</v>
      </c>
      <c r="M1379" t="e">
        <v>#N/A</v>
      </c>
    </row>
    <row r="1380">
      <c r="A1380" s="9" t="inlineStr">
        <is>
          <t>Nayely Rolon-Gomez</t>
        </is>
      </c>
      <c r="B1380" s="9" t="inlineStr">
        <is>
          <t>10/5/25 - 11/1/25</t>
        </is>
      </c>
      <c r="C1380" s="12" t="n">
        <v>1</v>
      </c>
      <c r="D1380" s="12" t="n">
        <v>1.1135</v>
      </c>
      <c r="E1380" s="12" t="n">
        <v>1</v>
      </c>
      <c r="F1380" s="12" t="n">
        <v>0.956989247311827</v>
      </c>
      <c r="G1380" s="12" t="n">
        <v>0.695652173913043</v>
      </c>
      <c r="H1380" s="9" t="n">
        <v>19</v>
      </c>
      <c r="I1380" s="10" t="inlineStr">
        <is>
          <t>4/5</t>
        </is>
      </c>
      <c r="J1380" s="12" t="n">
        <v>0.8</v>
      </c>
      <c r="K1380" t="inlineStr">
        <is>
          <t>Distinguished</t>
        </is>
      </c>
      <c r="L1380" t="inlineStr">
        <is>
          <t>Professional</t>
        </is>
      </c>
      <c r="M1380" t="inlineStr">
        <is>
          <t>Ela Cross</t>
        </is>
      </c>
    </row>
    <row r="1381">
      <c r="A1381" s="9" t="inlineStr">
        <is>
          <t>Nayely Rolon-Gomez</t>
        </is>
      </c>
      <c r="B1381" s="9" t="inlineStr">
        <is>
          <t>11/2/25 - 11/29/25</t>
        </is>
      </c>
      <c r="C1381" s="12" t="n">
        <v>1.14</v>
      </c>
      <c r="D1381" s="12" t="n">
        <v>0.97</v>
      </c>
      <c r="E1381" s="12" t="n">
        <v>1</v>
      </c>
      <c r="F1381" s="12" t="n">
        <v>0.93</v>
      </c>
      <c r="G1381" s="12" t="n">
        <v>0.91</v>
      </c>
      <c r="H1381" s="9" t="n">
        <v>16</v>
      </c>
      <c r="I1381" s="13" t="n">
        <v>45692</v>
      </c>
      <c r="J1381" s="14" t="n">
        <v>0.5</v>
      </c>
      <c r="K1381" t="inlineStr">
        <is>
          <t>Distinguished</t>
        </is>
      </c>
      <c r="L1381" t="inlineStr">
        <is>
          <t>Professional</t>
        </is>
      </c>
      <c r="M1381" t="inlineStr">
        <is>
          <t>Ela Cross</t>
        </is>
      </c>
    </row>
    <row r="1382">
      <c r="A1382" s="9" t="inlineStr">
        <is>
          <t>Nayely Rolon-Gomez</t>
        </is>
      </c>
      <c r="B1382" s="9" t="inlineStr">
        <is>
          <t>11/30/25 - 12/27/25</t>
        </is>
      </c>
      <c r="C1382" s="12" t="n">
        <v>0.79</v>
      </c>
      <c r="D1382" s="12" t="n">
        <v>0.89</v>
      </c>
      <c r="E1382" s="12" t="n">
        <v>0.98</v>
      </c>
      <c r="F1382" s="12" t="n">
        <v>0.6899999999999999</v>
      </c>
      <c r="G1382" s="12" t="n">
        <v>0.96</v>
      </c>
      <c r="H1382" s="9" t="n">
        <v>10</v>
      </c>
      <c r="I1382" s="10" t="n"/>
      <c r="J1382" s="12" t="n"/>
      <c r="K1382" t="inlineStr">
        <is>
          <t>Distinguished</t>
        </is>
      </c>
      <c r="L1382" t="inlineStr">
        <is>
          <t>Professional</t>
        </is>
      </c>
      <c r="M1382" t="inlineStr">
        <is>
          <t>Ela Cross</t>
        </is>
      </c>
    </row>
    <row r="1383">
      <c r="A1383" s="9" t="inlineStr">
        <is>
          <t>Nayely Rolon-Gomez</t>
        </is>
      </c>
      <c r="B1383" s="9" t="inlineStr">
        <is>
          <t>12/28/25 - 1/25/26</t>
        </is>
      </c>
      <c r="C1383" s="12" t="n">
        <v>0.8708</v>
      </c>
      <c r="D1383" s="12" t="n">
        <v>1.0592</v>
      </c>
      <c r="E1383" s="12" t="n">
        <v>1</v>
      </c>
      <c r="F1383" s="12" t="n">
        <v>0.944444444</v>
      </c>
      <c r="G1383" s="12" t="n">
        <v>0.925925926</v>
      </c>
      <c r="H1383" s="9" t="n">
        <v>18</v>
      </c>
      <c r="I1383" s="10" t="n">
        <v>1</v>
      </c>
      <c r="J1383" s="12">
        <f>I1383</f>
        <v/>
      </c>
      <c r="K1383" t="inlineStr">
        <is>
          <t>Distinguished</t>
        </is>
      </c>
      <c r="L1383" t="inlineStr">
        <is>
          <t>Professional</t>
        </is>
      </c>
      <c r="M1383" t="inlineStr">
        <is>
          <t>Ela Cross</t>
        </is>
      </c>
    </row>
    <row r="1384">
      <c r="A1384" s="9" t="inlineStr">
        <is>
          <t>Nayely Rolon-Gomez</t>
        </is>
      </c>
      <c r="B1384" s="9" t="inlineStr">
        <is>
          <t>5/18/25 - 6/14/25</t>
        </is>
      </c>
      <c r="C1384" s="12" t="n">
        <v>0</v>
      </c>
      <c r="D1384" s="12" t="n">
        <v>0.17</v>
      </c>
      <c r="E1384" s="12" t="n">
        <v>0</v>
      </c>
      <c r="F1384" s="12" t="n">
        <v>0</v>
      </c>
      <c r="G1384" s="12" t="e">
        <v>#N/A</v>
      </c>
      <c r="H1384" s="9" t="e">
        <v>#N/A</v>
      </c>
      <c r="J1384" s="9" t="n"/>
      <c r="K1384" t="inlineStr">
        <is>
          <t>Distinguished</t>
        </is>
      </c>
      <c r="L1384" t="inlineStr">
        <is>
          <t>Professional</t>
        </is>
      </c>
      <c r="M1384" t="inlineStr">
        <is>
          <t>Ela Cross</t>
        </is>
      </c>
    </row>
    <row r="1385">
      <c r="A1385" s="9" t="inlineStr">
        <is>
          <t>Nayely Rolon-Gomez</t>
        </is>
      </c>
      <c r="B1385" s="9" t="inlineStr">
        <is>
          <t>6/15/25 - 7/12/25</t>
        </is>
      </c>
      <c r="C1385" s="12" t="n">
        <v>0.17</v>
      </c>
      <c r="D1385" s="12" t="n">
        <v>0.93</v>
      </c>
      <c r="E1385" s="12" t="n">
        <v>1</v>
      </c>
      <c r="F1385" s="12" t="n">
        <v>1</v>
      </c>
      <c r="G1385" s="12" t="n">
        <v>1</v>
      </c>
      <c r="H1385" s="9" t="e">
        <v>#N/A</v>
      </c>
      <c r="I1385" s="10" t="inlineStr">
        <is>
          <t xml:space="preserve"> 3/4</t>
        </is>
      </c>
      <c r="J1385" s="12" t="n">
        <v>0.75</v>
      </c>
      <c r="K1385" t="inlineStr">
        <is>
          <t>Distinguished</t>
        </is>
      </c>
      <c r="L1385" t="inlineStr">
        <is>
          <t>Professional</t>
        </is>
      </c>
      <c r="M1385" t="inlineStr">
        <is>
          <t>Ela Cross</t>
        </is>
      </c>
    </row>
    <row r="1386">
      <c r="A1386" s="9" t="inlineStr">
        <is>
          <t>Nayely Rolon-Gomez</t>
        </is>
      </c>
      <c r="B1386" s="9" t="inlineStr">
        <is>
          <t>7/13/25 - 8/10/25</t>
        </is>
      </c>
      <c r="C1386" s="12" t="n">
        <v>0.84</v>
      </c>
      <c r="D1386" s="12" t="n">
        <v>1.17</v>
      </c>
      <c r="E1386" s="12" t="n">
        <v>1</v>
      </c>
      <c r="F1386" s="12" t="n">
        <v>0.89</v>
      </c>
      <c r="G1386" s="12" t="n">
        <v>0.73</v>
      </c>
      <c r="H1386" s="9" t="n">
        <v>3</v>
      </c>
      <c r="I1386" s="10" t="n">
        <v>1</v>
      </c>
      <c r="J1386" s="12">
        <f>I1386</f>
        <v/>
      </c>
      <c r="K1386" t="inlineStr">
        <is>
          <t>Distinguished</t>
        </is>
      </c>
      <c r="L1386" t="inlineStr">
        <is>
          <t>Professional</t>
        </is>
      </c>
      <c r="M1386" t="inlineStr">
        <is>
          <t>Ela Cross</t>
        </is>
      </c>
    </row>
    <row r="1387">
      <c r="A1387" s="9" t="inlineStr">
        <is>
          <t>Nayely Rolon-Gomez</t>
        </is>
      </c>
      <c r="B1387" s="9" t="inlineStr">
        <is>
          <t>8/10/25 - 9/6/25</t>
        </is>
      </c>
      <c r="C1387" s="12" t="n">
        <v>0.95</v>
      </c>
      <c r="D1387" s="12" t="n">
        <v>1.19</v>
      </c>
      <c r="E1387" s="12" t="n">
        <v>1</v>
      </c>
      <c r="F1387" s="12" t="n">
        <v>0.84</v>
      </c>
      <c r="G1387" s="12" t="n">
        <v>0.85</v>
      </c>
      <c r="H1387" s="9" t="n">
        <v>6</v>
      </c>
      <c r="I1387" s="10" t="inlineStr">
        <is>
          <t>2/2</t>
        </is>
      </c>
      <c r="J1387" s="12" t="n">
        <v>1</v>
      </c>
      <c r="K1387" t="inlineStr">
        <is>
          <t>Distinguished</t>
        </is>
      </c>
      <c r="L1387" t="inlineStr">
        <is>
          <t>Professional</t>
        </is>
      </c>
      <c r="M1387" t="inlineStr">
        <is>
          <t>Ela Cross</t>
        </is>
      </c>
    </row>
    <row r="1388">
      <c r="A1388" s="9" t="inlineStr">
        <is>
          <t>Nayely Rolon-Gomez</t>
        </is>
      </c>
      <c r="B1388" s="9" t="inlineStr">
        <is>
          <t>9/7/25 - 10/4/25</t>
        </is>
      </c>
      <c r="C1388" s="12" t="n">
        <v>1.01</v>
      </c>
      <c r="D1388" s="12" t="n">
        <v>1.11</v>
      </c>
      <c r="E1388" s="12" t="n">
        <v>0.99</v>
      </c>
      <c r="F1388" s="12" t="n">
        <v>0.88</v>
      </c>
      <c r="G1388" s="12" t="n">
        <v>0.8100000000000001</v>
      </c>
      <c r="H1388" s="9" t="n">
        <v>8</v>
      </c>
      <c r="I1388" s="10" t="inlineStr">
        <is>
          <t>4/6</t>
        </is>
      </c>
      <c r="J1388" s="12" t="n">
        <v>0.67</v>
      </c>
      <c r="K1388" t="inlineStr">
        <is>
          <t>Distinguished</t>
        </is>
      </c>
      <c r="L1388" t="inlineStr">
        <is>
          <t>Professional</t>
        </is>
      </c>
      <c r="M1388" t="inlineStr">
        <is>
          <t>Ela Cross</t>
        </is>
      </c>
    </row>
    <row r="1389">
      <c r="A1389" s="9" t="inlineStr">
        <is>
          <t>Nestor Hernandez</t>
        </is>
      </c>
      <c r="B1389" s="9" t="inlineStr">
        <is>
          <t>12/28/25 - 1/25/26</t>
        </is>
      </c>
      <c r="C1389" s="12" t="n">
        <v>0</v>
      </c>
      <c r="D1389" s="12" t="n">
        <v>0</v>
      </c>
      <c r="E1389" s="12" t="n">
        <v>0</v>
      </c>
      <c r="F1389" s="12" t="n">
        <v>0</v>
      </c>
      <c r="G1389" s="12" t="n">
        <v>0</v>
      </c>
      <c r="H1389" s="9" t="n">
        <v>0</v>
      </c>
      <c r="I1389" s="10" t="inlineStr">
        <is>
          <t>0/0</t>
        </is>
      </c>
      <c r="J1389" s="12" t="n">
        <v>0</v>
      </c>
      <c r="K1389" t="e">
        <v>#N/A</v>
      </c>
      <c r="L1389" t="e">
        <v>#N/A</v>
      </c>
      <c r="M1389" t="e">
        <v>#N/A</v>
      </c>
    </row>
    <row r="1390">
      <c r="A1390" s="9" t="inlineStr">
        <is>
          <t>Nicholas Ulfik</t>
        </is>
      </c>
      <c r="B1390" s="9" t="inlineStr">
        <is>
          <t>10/5/25 - 11/1/25</t>
        </is>
      </c>
      <c r="C1390" s="12" t="n">
        <v>0.7958</v>
      </c>
      <c r="D1390" s="12" t="n">
        <v>1.04609999999999</v>
      </c>
      <c r="E1390" s="12" t="n">
        <v>1</v>
      </c>
      <c r="F1390" s="12" t="n">
        <v>1</v>
      </c>
      <c r="G1390" s="12" t="n">
        <v>0.916666666666666</v>
      </c>
      <c r="H1390" s="9" t="n">
        <v>3</v>
      </c>
      <c r="I1390" s="10" t="inlineStr">
        <is>
          <t>2/2</t>
        </is>
      </c>
      <c r="J1390" s="12" t="n">
        <v>1</v>
      </c>
      <c r="K1390" t="inlineStr">
        <is>
          <t>Distinguished</t>
        </is>
      </c>
      <c r="L1390" t="inlineStr">
        <is>
          <t>Professional</t>
        </is>
      </c>
      <c r="M1390" t="inlineStr">
        <is>
          <t>Kristin Haase-Alvey</t>
        </is>
      </c>
    </row>
    <row r="1391">
      <c r="A1391" s="9" t="inlineStr">
        <is>
          <t>Nicholas Ulfik</t>
        </is>
      </c>
      <c r="B1391" s="9" t="inlineStr">
        <is>
          <t>11/2/25 - 11/29/25</t>
        </is>
      </c>
      <c r="C1391" s="12" t="n">
        <v>0.8100000000000001</v>
      </c>
      <c r="D1391" s="12" t="n">
        <v>1.15</v>
      </c>
      <c r="E1391" s="12" t="n">
        <v>0.99</v>
      </c>
      <c r="F1391" s="12" t="n">
        <v>0.98</v>
      </c>
      <c r="G1391" s="12" t="n">
        <v>0.9</v>
      </c>
      <c r="H1391" s="9" t="n">
        <v>2</v>
      </c>
      <c r="I1391" s="13" t="n"/>
      <c r="J1391" s="9" t="n"/>
      <c r="K1391" t="inlineStr">
        <is>
          <t>Distinguished</t>
        </is>
      </c>
      <c r="L1391" t="inlineStr">
        <is>
          <t>Professional</t>
        </is>
      </c>
      <c r="M1391" t="inlineStr">
        <is>
          <t>Kristin Haase-Alvey</t>
        </is>
      </c>
    </row>
    <row r="1392">
      <c r="A1392" s="9" t="inlineStr">
        <is>
          <t>Nicholas Ulfik</t>
        </is>
      </c>
      <c r="B1392" s="9" t="inlineStr">
        <is>
          <t>11/30/25 - 12/27/25</t>
        </is>
      </c>
      <c r="C1392" s="12" t="n">
        <v>0.53</v>
      </c>
      <c r="D1392" s="12" t="n">
        <v>0.87</v>
      </c>
      <c r="E1392" s="12" t="n">
        <v>1</v>
      </c>
      <c r="F1392" s="12" t="n">
        <v>0.97</v>
      </c>
      <c r="G1392" s="12" t="n">
        <v>0.95</v>
      </c>
      <c r="H1392" s="9" t="n">
        <v>5</v>
      </c>
      <c r="I1392" s="10" t="n"/>
      <c r="J1392" s="12" t="n"/>
      <c r="K1392" t="inlineStr">
        <is>
          <t>Distinguished</t>
        </is>
      </c>
      <c r="L1392" t="inlineStr">
        <is>
          <t>Professional</t>
        </is>
      </c>
      <c r="M1392" t="inlineStr">
        <is>
          <t>Kristin Haase-Alvey</t>
        </is>
      </c>
    </row>
    <row r="1393">
      <c r="A1393" s="9" t="inlineStr">
        <is>
          <t>Nicholas Ulfik</t>
        </is>
      </c>
      <c r="B1393" s="9" t="inlineStr">
        <is>
          <t>12/28/25 - 1/25/26</t>
        </is>
      </c>
      <c r="C1393" s="12" t="n">
        <v>0.5792</v>
      </c>
      <c r="D1393" s="12" t="n">
        <v>0.9211</v>
      </c>
      <c r="E1393" s="12" t="n">
        <v>1</v>
      </c>
      <c r="F1393" s="12" t="n">
        <v>1</v>
      </c>
      <c r="G1393" s="12" t="n">
        <v>0.8666666669999999</v>
      </c>
      <c r="H1393" s="9" t="n">
        <v>1</v>
      </c>
      <c r="I1393" s="10" t="n">
        <v>0.5</v>
      </c>
      <c r="J1393" s="12">
        <f>I1393</f>
        <v/>
      </c>
      <c r="K1393" t="inlineStr">
        <is>
          <t>Distinguished</t>
        </is>
      </c>
      <c r="L1393" t="inlineStr">
        <is>
          <t>Professional</t>
        </is>
      </c>
      <c r="M1393" t="inlineStr">
        <is>
          <t>Kristin Haase-Alvey</t>
        </is>
      </c>
    </row>
    <row r="1394">
      <c r="A1394" s="9" t="inlineStr">
        <is>
          <t>Nicholas Ulfik</t>
        </is>
      </c>
      <c r="B1394" s="9" t="inlineStr">
        <is>
          <t>5/18/25 - 6/14/25</t>
        </is>
      </c>
      <c r="C1394" s="12" t="n">
        <v>0.98</v>
      </c>
      <c r="D1394" s="12" t="n">
        <v>1.2</v>
      </c>
      <c r="E1394" s="12" t="n">
        <v>1</v>
      </c>
      <c r="F1394" s="12" t="n">
        <v>0.95</v>
      </c>
      <c r="G1394" s="12" t="n">
        <v>0.9</v>
      </c>
      <c r="H1394" s="9" t="n">
        <v>2</v>
      </c>
      <c r="I1394" s="10" t="n">
        <v>1</v>
      </c>
      <c r="J1394" s="12">
        <f>I1394</f>
        <v/>
      </c>
      <c r="K1394" t="inlineStr">
        <is>
          <t>Distinguished</t>
        </is>
      </c>
      <c r="L1394" t="inlineStr">
        <is>
          <t>Professional</t>
        </is>
      </c>
      <c r="M1394" t="inlineStr">
        <is>
          <t>Kristin Haase-Alvey</t>
        </is>
      </c>
    </row>
    <row r="1395">
      <c r="A1395" s="9" t="inlineStr">
        <is>
          <t>Nicholas Ulfik</t>
        </is>
      </c>
      <c r="B1395" s="9" t="inlineStr">
        <is>
          <t>6/15/25 - 7/12/25</t>
        </is>
      </c>
      <c r="C1395" s="12" t="n">
        <v>0.7</v>
      </c>
      <c r="D1395" s="12" t="n">
        <v>1.03</v>
      </c>
      <c r="E1395" s="12" t="n">
        <v>0.98</v>
      </c>
      <c r="F1395" s="12" t="n">
        <v>0.77</v>
      </c>
      <c r="G1395" s="12" t="n">
        <v>0.67</v>
      </c>
      <c r="H1395" s="9" t="e">
        <v>#N/A</v>
      </c>
      <c r="I1395" s="10" t="inlineStr">
        <is>
          <t xml:space="preserve"> 3/4</t>
        </is>
      </c>
      <c r="J1395" s="12" t="n">
        <v>0.75</v>
      </c>
      <c r="K1395" t="inlineStr">
        <is>
          <t>Distinguished</t>
        </is>
      </c>
      <c r="L1395" t="inlineStr">
        <is>
          <t>Professional</t>
        </is>
      </c>
      <c r="M1395" t="inlineStr">
        <is>
          <t>Kristin Haase-Alvey</t>
        </is>
      </c>
    </row>
    <row r="1396">
      <c r="A1396" s="9" t="inlineStr">
        <is>
          <t>Nicholas Ulfik</t>
        </is>
      </c>
      <c r="B1396" s="9" t="inlineStr">
        <is>
          <t>7/13/25 - 8/10/25</t>
        </is>
      </c>
      <c r="C1396" s="12" t="n">
        <v>0.83</v>
      </c>
      <c r="D1396" s="12" t="n">
        <v>1.11</v>
      </c>
      <c r="E1396" s="12" t="n">
        <v>1</v>
      </c>
      <c r="F1396" s="12" t="n">
        <v>1</v>
      </c>
      <c r="G1396" s="12" t="n">
        <v>0.53</v>
      </c>
      <c r="H1396" s="9" t="n">
        <v>9</v>
      </c>
      <c r="I1396" s="10" t="n">
        <v>1</v>
      </c>
      <c r="J1396" s="12">
        <f>I1396</f>
        <v/>
      </c>
      <c r="K1396" t="inlineStr">
        <is>
          <t>Distinguished</t>
        </is>
      </c>
      <c r="L1396" t="inlineStr">
        <is>
          <t>Professional</t>
        </is>
      </c>
      <c r="M1396" t="inlineStr">
        <is>
          <t>Kristin Haase-Alvey</t>
        </is>
      </c>
    </row>
    <row r="1397">
      <c r="A1397" s="9" t="inlineStr">
        <is>
          <t>Nicholas Ulfik</t>
        </is>
      </c>
      <c r="B1397" s="9" t="inlineStr">
        <is>
          <t>8/10/25 - 9/6/25</t>
        </is>
      </c>
      <c r="C1397" s="12" t="n">
        <v>0.89</v>
      </c>
      <c r="D1397" s="12" t="n">
        <v>1.1</v>
      </c>
      <c r="E1397" s="12" t="n">
        <v>0.99</v>
      </c>
      <c r="F1397" s="12" t="n">
        <v>0.91</v>
      </c>
      <c r="G1397" s="12" t="n">
        <v>0.76</v>
      </c>
      <c r="H1397" s="9" t="n">
        <v>7</v>
      </c>
      <c r="I1397" s="10" t="inlineStr">
        <is>
          <t>1/2</t>
        </is>
      </c>
      <c r="J1397" s="12" t="n">
        <v>0.5</v>
      </c>
      <c r="K1397" t="inlineStr">
        <is>
          <t>Distinguished</t>
        </is>
      </c>
      <c r="L1397" t="inlineStr">
        <is>
          <t>Professional</t>
        </is>
      </c>
      <c r="M1397" t="inlineStr">
        <is>
          <t>Kristin Haase-Alvey</t>
        </is>
      </c>
    </row>
    <row r="1398">
      <c r="A1398" s="9" t="inlineStr">
        <is>
          <t>Nicholas Ulfik</t>
        </is>
      </c>
      <c r="B1398" s="9" t="inlineStr">
        <is>
          <t>9/7/25 - 10/4/25</t>
        </is>
      </c>
      <c r="C1398" s="12" t="n">
        <v>0.78</v>
      </c>
      <c r="D1398" s="12" t="n">
        <v>1.13</v>
      </c>
      <c r="E1398" s="12" t="n">
        <v>0.98</v>
      </c>
      <c r="F1398" s="12" t="n">
        <v>0.97</v>
      </c>
      <c r="G1398" s="12" t="n">
        <v>0.95</v>
      </c>
      <c r="H1398" s="9" t="n">
        <v>3</v>
      </c>
      <c r="I1398" s="10" t="inlineStr">
        <is>
          <t>1/1</t>
        </is>
      </c>
      <c r="J1398" s="12" t="n">
        <v>1</v>
      </c>
      <c r="K1398" t="inlineStr">
        <is>
          <t>Distinguished</t>
        </is>
      </c>
      <c r="L1398" t="inlineStr">
        <is>
          <t>Professional</t>
        </is>
      </c>
      <c r="M1398" t="inlineStr">
        <is>
          <t>Kristin Haase-Alvey</t>
        </is>
      </c>
    </row>
    <row r="1399">
      <c r="A1399" s="9" t="inlineStr">
        <is>
          <t>Nick Kocik</t>
        </is>
      </c>
      <c r="B1399" s="9" t="inlineStr">
        <is>
          <t>10/5/25 - 11/1/25</t>
        </is>
      </c>
      <c r="C1399" s="12" t="n">
        <v>0</v>
      </c>
      <c r="D1399" s="12" t="n">
        <v>0.447399999999999</v>
      </c>
      <c r="E1399" s="12" t="n">
        <v>0</v>
      </c>
      <c r="F1399" s="12" t="n">
        <v>0</v>
      </c>
      <c r="G1399" s="12" t="n">
        <v>0</v>
      </c>
      <c r="H1399" s="9" t="n">
        <v>0</v>
      </c>
      <c r="I1399" s="10" t="n"/>
      <c r="J1399" s="12" t="n"/>
      <c r="K1399" t="inlineStr">
        <is>
          <t>Distinguished</t>
        </is>
      </c>
      <c r="L1399" t="inlineStr">
        <is>
          <t>Professional</t>
        </is>
      </c>
      <c r="M1399" t="inlineStr">
        <is>
          <t>Ela Cross</t>
        </is>
      </c>
    </row>
    <row r="1400">
      <c r="A1400" s="9" t="inlineStr">
        <is>
          <t>Nick Kocik</t>
        </is>
      </c>
      <c r="B1400" s="9" t="inlineStr">
        <is>
          <t>10/5/25 - 11/1/25</t>
        </is>
      </c>
      <c r="C1400" s="12" t="n">
        <v>0</v>
      </c>
      <c r="D1400" s="12" t="n">
        <v>0.447399999999999</v>
      </c>
      <c r="E1400" s="12" t="n">
        <v>0</v>
      </c>
      <c r="F1400" s="12" t="n">
        <v>0</v>
      </c>
      <c r="G1400" s="12" t="n">
        <v>0</v>
      </c>
      <c r="H1400" s="9" t="n">
        <v>0</v>
      </c>
      <c r="J1400" s="9" t="n"/>
      <c r="K1400" t="inlineStr">
        <is>
          <t>Distinguished</t>
        </is>
      </c>
      <c r="L1400" t="inlineStr">
        <is>
          <t>Professional</t>
        </is>
      </c>
      <c r="M1400" t="inlineStr">
        <is>
          <t>Ela Cross</t>
        </is>
      </c>
    </row>
    <row r="1401">
      <c r="A1401" s="9" t="inlineStr">
        <is>
          <t>Nick Kocik</t>
        </is>
      </c>
      <c r="B1401" s="9" t="inlineStr">
        <is>
          <t>11/2/25 - 11/29/25</t>
        </is>
      </c>
      <c r="C1401" s="12" t="n">
        <v>0.4</v>
      </c>
      <c r="D1401" s="12" t="n">
        <v>0.83</v>
      </c>
      <c r="E1401" s="12" t="n">
        <v>0.98</v>
      </c>
      <c r="F1401" s="12" t="n">
        <v>0.96</v>
      </c>
      <c r="G1401" s="12" t="n">
        <v>0</v>
      </c>
      <c r="H1401" s="9" t="n">
        <v>0</v>
      </c>
      <c r="I1401" s="13" t="n">
        <v>45974</v>
      </c>
      <c r="J1401" s="14" t="n">
        <v>0.85</v>
      </c>
      <c r="K1401" t="inlineStr">
        <is>
          <t>Distinguished</t>
        </is>
      </c>
      <c r="L1401" t="inlineStr">
        <is>
          <t>Professional</t>
        </is>
      </c>
      <c r="M1401" t="inlineStr">
        <is>
          <t>Ela Cross</t>
        </is>
      </c>
    </row>
    <row r="1402">
      <c r="A1402" s="9" t="inlineStr">
        <is>
          <t>Nick Kocik</t>
        </is>
      </c>
      <c r="B1402" s="9" t="inlineStr">
        <is>
          <t>11/30/25 - 12/27/25</t>
        </is>
      </c>
      <c r="C1402" s="12" t="n">
        <v>0.85</v>
      </c>
      <c r="D1402" s="12" t="n">
        <v>1.05</v>
      </c>
      <c r="E1402" s="12" t="n">
        <v>0.97</v>
      </c>
      <c r="F1402" s="12" t="n">
        <v>0.85</v>
      </c>
      <c r="G1402" s="12" t="n">
        <v>0.64</v>
      </c>
      <c r="H1402" s="9" t="n">
        <v>5</v>
      </c>
      <c r="I1402" s="10" t="n">
        <v>0.5</v>
      </c>
      <c r="J1402" s="12" t="n">
        <v>0.5</v>
      </c>
      <c r="K1402" t="inlineStr">
        <is>
          <t>Distinguished</t>
        </is>
      </c>
      <c r="L1402" t="inlineStr">
        <is>
          <t>Professional</t>
        </is>
      </c>
      <c r="M1402" t="inlineStr">
        <is>
          <t>Ela Cross</t>
        </is>
      </c>
    </row>
    <row r="1403">
      <c r="A1403" s="9" t="inlineStr">
        <is>
          <t>Nick Kocik</t>
        </is>
      </c>
      <c r="B1403" s="9" t="inlineStr">
        <is>
          <t>12/28/25 - 1/25/26</t>
        </is>
      </c>
      <c r="C1403" s="12" t="n">
        <v>0.8208</v>
      </c>
      <c r="D1403" s="12" t="n">
        <v>1.0543</v>
      </c>
      <c r="E1403" s="12" t="n">
        <v>1</v>
      </c>
      <c r="F1403" s="12" t="n">
        <v>1</v>
      </c>
      <c r="G1403" s="12" t="n">
        <v>0.357142857</v>
      </c>
      <c r="H1403" s="9" t="n">
        <v>0</v>
      </c>
      <c r="I1403" s="10" t="n">
        <v>1</v>
      </c>
      <c r="J1403" s="12">
        <f>I1403</f>
        <v/>
      </c>
      <c r="K1403" t="inlineStr">
        <is>
          <t>Distinguished</t>
        </is>
      </c>
      <c r="L1403" t="inlineStr">
        <is>
          <t>Professional</t>
        </is>
      </c>
      <c r="M1403" t="inlineStr">
        <is>
          <t>Ela Cross</t>
        </is>
      </c>
    </row>
    <row r="1404">
      <c r="A1404" s="9" t="inlineStr">
        <is>
          <t>Nick Lucido</t>
        </is>
      </c>
      <c r="B1404" s="9" t="inlineStr">
        <is>
          <t>10/5/25 - 11/1/25</t>
        </is>
      </c>
      <c r="C1404" s="12" t="n">
        <v>1.2</v>
      </c>
      <c r="D1404" s="12" t="n">
        <v>1.39829999999999</v>
      </c>
      <c r="E1404" s="12" t="n">
        <v>1</v>
      </c>
      <c r="F1404" s="12" t="n">
        <v>0.991935483870967</v>
      </c>
      <c r="G1404" s="12" t="n">
        <v>0.866666666666666</v>
      </c>
      <c r="H1404" s="9" t="n">
        <v>14</v>
      </c>
      <c r="I1404" s="10" t="inlineStr">
        <is>
          <t>6/12</t>
        </is>
      </c>
      <c r="J1404" s="12" t="n">
        <v>0.5</v>
      </c>
      <c r="K1404" t="inlineStr">
        <is>
          <t>Distinguished</t>
        </is>
      </c>
      <c r="L1404" t="inlineStr">
        <is>
          <t>Professional</t>
        </is>
      </c>
      <c r="M1404" t="inlineStr">
        <is>
          <t>Kristin Haase-Alvey</t>
        </is>
      </c>
    </row>
    <row r="1405">
      <c r="A1405" s="9" t="inlineStr">
        <is>
          <t>Nick Lucido</t>
        </is>
      </c>
      <c r="B1405" s="9" t="inlineStr">
        <is>
          <t>11/2/25 - 11/29/25</t>
        </is>
      </c>
      <c r="C1405" s="12" t="n">
        <v>1.16</v>
      </c>
      <c r="D1405" s="12" t="n">
        <v>1.33</v>
      </c>
      <c r="E1405" s="12" t="n">
        <v>1</v>
      </c>
      <c r="F1405" s="12" t="n">
        <v>0.97</v>
      </c>
      <c r="G1405" s="12" t="n">
        <v>0.82</v>
      </c>
      <c r="H1405" s="9" t="n">
        <v>16</v>
      </c>
      <c r="I1405" s="13" t="n">
        <v>45883</v>
      </c>
      <c r="J1405" s="14" t="n">
        <v>0.57</v>
      </c>
      <c r="K1405" t="inlineStr">
        <is>
          <t>Distinguished</t>
        </is>
      </c>
      <c r="L1405" t="inlineStr">
        <is>
          <t>Professional</t>
        </is>
      </c>
      <c r="M1405" t="inlineStr">
        <is>
          <t>Kristin Haase-Alvey</t>
        </is>
      </c>
    </row>
    <row r="1406">
      <c r="A1406" s="9" t="inlineStr">
        <is>
          <t>Nick Lucido</t>
        </is>
      </c>
      <c r="B1406" s="9" t="inlineStr">
        <is>
          <t>11/30/25 - 12/27/25</t>
        </is>
      </c>
      <c r="C1406" s="12" t="n">
        <v>1.13</v>
      </c>
      <c r="D1406" s="12" t="n">
        <v>1.24</v>
      </c>
      <c r="E1406" s="12" t="n">
        <v>1</v>
      </c>
      <c r="F1406" s="12" t="n">
        <v>1</v>
      </c>
      <c r="G1406" s="12" t="n">
        <v>0.79</v>
      </c>
      <c r="H1406" s="9" t="n">
        <v>20</v>
      </c>
      <c r="I1406" s="10" t="n">
        <v>0.2</v>
      </c>
      <c r="J1406" s="12">
        <f>1/5</f>
        <v/>
      </c>
      <c r="K1406" t="inlineStr">
        <is>
          <t>Distinguished</t>
        </is>
      </c>
      <c r="L1406" t="inlineStr">
        <is>
          <t>Professional</t>
        </is>
      </c>
      <c r="M1406" t="inlineStr">
        <is>
          <t>Kristin Haase-Alvey</t>
        </is>
      </c>
    </row>
    <row r="1407">
      <c r="A1407" s="9" t="inlineStr">
        <is>
          <t>Nick Lucido</t>
        </is>
      </c>
      <c r="B1407" s="9" t="inlineStr">
        <is>
          <t>12/28/25 - 1/25/26</t>
        </is>
      </c>
      <c r="C1407" s="12" t="n">
        <v>1.0536</v>
      </c>
      <c r="D1407" s="12" t="n">
        <v>1.2515</v>
      </c>
      <c r="E1407" s="12" t="n">
        <v>1</v>
      </c>
      <c r="F1407" s="12" t="n">
        <v>0.980769231</v>
      </c>
      <c r="G1407" s="12" t="n">
        <v>0.896551724</v>
      </c>
      <c r="H1407" s="9" t="n">
        <v>18</v>
      </c>
      <c r="I1407" s="10" t="n">
        <v>0.375</v>
      </c>
      <c r="J1407" s="12">
        <f>I1407</f>
        <v/>
      </c>
      <c r="K1407" t="inlineStr">
        <is>
          <t>Distinguished</t>
        </is>
      </c>
      <c r="L1407" t="inlineStr">
        <is>
          <t>Professional</t>
        </is>
      </c>
      <c r="M1407" t="inlineStr">
        <is>
          <t>Kristin Haase-Alvey</t>
        </is>
      </c>
    </row>
    <row r="1408">
      <c r="A1408" s="9" t="inlineStr">
        <is>
          <t>Nick Lucido</t>
        </is>
      </c>
      <c r="B1408" s="9" t="inlineStr">
        <is>
          <t>5/18/25 - 6/14/25</t>
        </is>
      </c>
      <c r="C1408" s="12" t="n">
        <v>0.9</v>
      </c>
      <c r="D1408" s="12" t="n">
        <v>1.33</v>
      </c>
      <c r="E1408" s="12" t="n">
        <v>1</v>
      </c>
      <c r="F1408" s="12" t="n">
        <v>0.97</v>
      </c>
      <c r="G1408" s="12" t="n">
        <v>0.77</v>
      </c>
      <c r="H1408" s="9" t="n">
        <v>5</v>
      </c>
      <c r="I1408" s="10" t="inlineStr">
        <is>
          <t xml:space="preserve"> 1/5</t>
        </is>
      </c>
      <c r="J1408" s="12" t="n">
        <v>0.2</v>
      </c>
      <c r="K1408" t="inlineStr">
        <is>
          <t>Distinguished</t>
        </is>
      </c>
      <c r="L1408" t="inlineStr">
        <is>
          <t>Professional</t>
        </is>
      </c>
      <c r="M1408" t="inlineStr">
        <is>
          <t>Kristin Haase-Alvey</t>
        </is>
      </c>
    </row>
    <row r="1409">
      <c r="A1409" s="9" t="inlineStr">
        <is>
          <t>Nick Lucido</t>
        </is>
      </c>
      <c r="B1409" s="9" t="inlineStr">
        <is>
          <t>6/15/25 - 7/12/25</t>
        </is>
      </c>
      <c r="C1409" s="12" t="n">
        <v>0.92</v>
      </c>
      <c r="D1409" s="12" t="n">
        <v>1.51</v>
      </c>
      <c r="E1409" s="12" t="n">
        <v>0.99</v>
      </c>
      <c r="F1409" s="12" t="n">
        <v>0.9399999999999999</v>
      </c>
      <c r="G1409" s="12" t="n">
        <v>0.84</v>
      </c>
      <c r="H1409" s="9" t="n">
        <v>2</v>
      </c>
      <c r="I1409" s="10" t="inlineStr">
        <is>
          <t xml:space="preserve"> 3/7</t>
        </is>
      </c>
      <c r="J1409" s="12" t="n">
        <v>0.43</v>
      </c>
      <c r="K1409" t="inlineStr">
        <is>
          <t>Distinguished</t>
        </is>
      </c>
      <c r="L1409" t="inlineStr">
        <is>
          <t>Professional</t>
        </is>
      </c>
      <c r="M1409" t="inlineStr">
        <is>
          <t>Kristin Haase-Alvey</t>
        </is>
      </c>
    </row>
    <row r="1410">
      <c r="A1410" s="9" t="inlineStr">
        <is>
          <t>Nick Lucido</t>
        </is>
      </c>
      <c r="B1410" s="9" t="inlineStr">
        <is>
          <t>7/13/25 - 8/10/25</t>
        </is>
      </c>
      <c r="C1410" s="12" t="n">
        <v>0.98</v>
      </c>
      <c r="D1410" s="12" t="n">
        <v>1.5</v>
      </c>
      <c r="E1410" s="12" t="n">
        <v>1</v>
      </c>
      <c r="F1410" s="12" t="n">
        <v>1</v>
      </c>
      <c r="G1410" s="12" t="n">
        <v>0.75</v>
      </c>
      <c r="H1410" s="9" t="n">
        <v>5</v>
      </c>
      <c r="I1410" s="10" t="inlineStr">
        <is>
          <t xml:space="preserve"> 1/5</t>
        </is>
      </c>
      <c r="J1410" s="12" t="n">
        <v>0.2</v>
      </c>
      <c r="K1410" t="inlineStr">
        <is>
          <t>Distinguished</t>
        </is>
      </c>
      <c r="L1410" t="inlineStr">
        <is>
          <t>Professional</t>
        </is>
      </c>
      <c r="M1410" t="inlineStr">
        <is>
          <t>Kristin Haase-Alvey</t>
        </is>
      </c>
    </row>
    <row r="1411">
      <c r="A1411" s="9" t="inlineStr">
        <is>
          <t>Nick Lucido</t>
        </is>
      </c>
      <c r="B1411" s="9" t="inlineStr">
        <is>
          <t>8/10/25 - 9/6/25</t>
        </is>
      </c>
      <c r="C1411" s="12" t="n">
        <v>1.11</v>
      </c>
      <c r="D1411" s="12" t="n">
        <v>1.42</v>
      </c>
      <c r="E1411" s="12" t="n">
        <v>1</v>
      </c>
      <c r="F1411" s="12" t="n">
        <v>1</v>
      </c>
      <c r="G1411" s="12" t="n">
        <v>0.57</v>
      </c>
      <c r="H1411" s="9" t="n">
        <v>10</v>
      </c>
      <c r="I1411" s="10" t="inlineStr">
        <is>
          <t>0/10</t>
        </is>
      </c>
      <c r="J1411" s="12" t="n">
        <v>0</v>
      </c>
      <c r="K1411" t="inlineStr">
        <is>
          <t>Distinguished</t>
        </is>
      </c>
      <c r="L1411" t="inlineStr">
        <is>
          <t>Professional</t>
        </is>
      </c>
      <c r="M1411" t="inlineStr">
        <is>
          <t>Kristin Haase-Alvey</t>
        </is>
      </c>
    </row>
    <row r="1412">
      <c r="A1412" s="9" t="inlineStr">
        <is>
          <t>Nick Lucido</t>
        </is>
      </c>
      <c r="B1412" s="9" t="inlineStr">
        <is>
          <t>9/7/25 - 10/4/25</t>
        </is>
      </c>
      <c r="C1412" s="12" t="n">
        <v>0.9</v>
      </c>
      <c r="D1412" s="12" t="n">
        <v>1.35</v>
      </c>
      <c r="E1412" s="12" t="n">
        <v>0.99</v>
      </c>
      <c r="F1412" s="12" t="n">
        <v>0.99</v>
      </c>
      <c r="G1412" s="12" t="n">
        <v>0.72</v>
      </c>
      <c r="H1412" s="9" t="n">
        <v>9</v>
      </c>
      <c r="I1412" s="10" t="inlineStr">
        <is>
          <t>2/16</t>
        </is>
      </c>
      <c r="J1412" s="12" t="n">
        <v>0.13</v>
      </c>
      <c r="K1412" t="inlineStr">
        <is>
          <t>Distinguished</t>
        </is>
      </c>
      <c r="L1412" t="inlineStr">
        <is>
          <t>Professional</t>
        </is>
      </c>
      <c r="M1412" t="inlineStr">
        <is>
          <t>Kristin Haase-Alvey</t>
        </is>
      </c>
    </row>
    <row r="1413">
      <c r="A1413" s="9" t="inlineStr">
        <is>
          <t>Nicole Bishop</t>
        </is>
      </c>
      <c r="B1413" s="9" t="inlineStr">
        <is>
          <t>10/5/25 - 11/1/25</t>
        </is>
      </c>
      <c r="C1413" s="12" t="n">
        <v>1.1417</v>
      </c>
      <c r="D1413" s="12" t="n">
        <v>1.148</v>
      </c>
      <c r="E1413" s="12" t="n">
        <v>0.945121951219512</v>
      </c>
      <c r="F1413" s="12" t="n">
        <v>0.982300884955752</v>
      </c>
      <c r="G1413" s="12" t="n">
        <v>0.53125</v>
      </c>
      <c r="H1413" s="9" t="n">
        <v>10</v>
      </c>
      <c r="I1413" s="10" t="inlineStr">
        <is>
          <t>0/4</t>
        </is>
      </c>
      <c r="J1413" s="12" t="n">
        <v>0</v>
      </c>
      <c r="K1413" t="inlineStr">
        <is>
          <t>Distinguished</t>
        </is>
      </c>
      <c r="L1413" t="inlineStr">
        <is>
          <t>Professional</t>
        </is>
      </c>
      <c r="M1413" t="inlineStr">
        <is>
          <t>Ela Cross</t>
        </is>
      </c>
    </row>
    <row r="1414">
      <c r="A1414" s="9" t="inlineStr">
        <is>
          <t>Nicole Bishop</t>
        </is>
      </c>
      <c r="B1414" s="9" t="inlineStr">
        <is>
          <t>11/2/25 - 11/29/25</t>
        </is>
      </c>
      <c r="C1414" s="12" t="n">
        <v>1.02</v>
      </c>
      <c r="D1414" s="12" t="n">
        <v>1.1</v>
      </c>
      <c r="E1414" s="12" t="n">
        <v>0.9399999999999999</v>
      </c>
      <c r="F1414" s="12" t="n">
        <v>0.98</v>
      </c>
      <c r="G1414" s="12" t="n">
        <v>0.46</v>
      </c>
      <c r="H1414" s="9" t="n">
        <v>12</v>
      </c>
      <c r="I1414" s="13" t="n">
        <v>45662</v>
      </c>
      <c r="J1414" s="14" t="n">
        <v>0.2</v>
      </c>
      <c r="K1414" t="inlineStr">
        <is>
          <t>Distinguished</t>
        </is>
      </c>
      <c r="L1414" t="inlineStr">
        <is>
          <t>Professional</t>
        </is>
      </c>
      <c r="M1414" t="inlineStr">
        <is>
          <t>Ela Cross</t>
        </is>
      </c>
    </row>
    <row r="1415">
      <c r="A1415" s="9" t="inlineStr">
        <is>
          <t>Nicole Bishop</t>
        </is>
      </c>
      <c r="B1415" s="9" t="inlineStr">
        <is>
          <t>11/30/25 - 12/27/25</t>
        </is>
      </c>
      <c r="C1415" s="12" t="n">
        <v>0.87</v>
      </c>
      <c r="D1415" s="12" t="n">
        <v>1.13</v>
      </c>
      <c r="E1415" s="12" t="n">
        <v>0.95</v>
      </c>
      <c r="F1415" s="12" t="n">
        <v>1</v>
      </c>
      <c r="G1415" s="12" t="n">
        <v>0.38</v>
      </c>
      <c r="H1415" s="9" t="n">
        <v>23</v>
      </c>
      <c r="I1415" s="10" t="inlineStr">
        <is>
          <t>0/3</t>
        </is>
      </c>
      <c r="J1415" s="12" t="n">
        <v>0</v>
      </c>
      <c r="K1415" t="inlineStr">
        <is>
          <t>Distinguished</t>
        </is>
      </c>
      <c r="L1415" t="inlineStr">
        <is>
          <t>Professional</t>
        </is>
      </c>
      <c r="M1415" t="inlineStr">
        <is>
          <t>Ela Cross</t>
        </is>
      </c>
    </row>
    <row r="1416">
      <c r="A1416" s="9" t="inlineStr">
        <is>
          <t>Nicole Bishop</t>
        </is>
      </c>
      <c r="B1416" s="9" t="inlineStr">
        <is>
          <t>12/28/25 - 1/25/26</t>
        </is>
      </c>
      <c r="C1416" s="12" t="n">
        <v>1.0883</v>
      </c>
      <c r="D1416" s="12" t="n">
        <v>1.1398</v>
      </c>
      <c r="E1416" s="12" t="n">
        <v>0.937931034</v>
      </c>
      <c r="F1416" s="12" t="n">
        <v>0.907894737</v>
      </c>
      <c r="G1416" s="12" t="n">
        <v>0.68</v>
      </c>
      <c r="H1416" s="9" t="n">
        <v>19</v>
      </c>
      <c r="I1416" s="10" t="inlineStr">
        <is>
          <t>0/0</t>
        </is>
      </c>
      <c r="J1416" s="12" t="n">
        <v>0</v>
      </c>
      <c r="K1416" t="inlineStr">
        <is>
          <t>Distinguished</t>
        </is>
      </c>
      <c r="L1416" t="inlineStr">
        <is>
          <t>Professional</t>
        </is>
      </c>
      <c r="M1416" t="inlineStr">
        <is>
          <t>Ela Cross</t>
        </is>
      </c>
    </row>
    <row r="1417">
      <c r="A1417" s="9" t="inlineStr">
        <is>
          <t>Nicole Bishop</t>
        </is>
      </c>
      <c r="B1417" s="9" t="inlineStr">
        <is>
          <t>5/18/25 - 6/14/25</t>
        </is>
      </c>
      <c r="C1417" s="12" t="n">
        <v>1.02</v>
      </c>
      <c r="D1417" s="12" t="n">
        <v>1.25</v>
      </c>
      <c r="E1417" s="12" t="n">
        <v>1</v>
      </c>
      <c r="F1417" s="12" t="n">
        <v>0.93</v>
      </c>
      <c r="G1417" s="12" t="n">
        <v>0.75</v>
      </c>
      <c r="H1417" s="9" t="n">
        <v>3</v>
      </c>
      <c r="I1417" s="10" t="inlineStr">
        <is>
          <t xml:space="preserve"> 2/7</t>
        </is>
      </c>
      <c r="J1417" s="12" t="n">
        <v>0.29</v>
      </c>
      <c r="K1417" t="inlineStr">
        <is>
          <t>Distinguished</t>
        </is>
      </c>
      <c r="L1417" t="inlineStr">
        <is>
          <t>Professional</t>
        </is>
      </c>
      <c r="M1417" t="inlineStr">
        <is>
          <t>Ela Cross</t>
        </is>
      </c>
    </row>
    <row r="1418">
      <c r="A1418" s="9" t="inlineStr">
        <is>
          <t>Nicole Bishop</t>
        </is>
      </c>
      <c r="B1418" s="9" t="inlineStr">
        <is>
          <t>6/15/25 - 7/12/25</t>
        </is>
      </c>
      <c r="C1418" s="12" t="n">
        <v>1.07</v>
      </c>
      <c r="D1418" s="12" t="n">
        <v>1.25</v>
      </c>
      <c r="E1418" s="12" t="n">
        <v>0.98</v>
      </c>
      <c r="F1418" s="12" t="n">
        <v>0.99</v>
      </c>
      <c r="G1418" s="12" t="n">
        <v>0.43</v>
      </c>
      <c r="H1418" s="9" t="n">
        <v>8</v>
      </c>
      <c r="I1418" s="10" t="n">
        <v>0</v>
      </c>
      <c r="J1418" s="12">
        <f>I1418</f>
        <v/>
      </c>
      <c r="K1418" t="inlineStr">
        <is>
          <t>Distinguished</t>
        </is>
      </c>
      <c r="L1418" t="inlineStr">
        <is>
          <t>Professional</t>
        </is>
      </c>
      <c r="M1418" t="inlineStr">
        <is>
          <t>Ela Cross</t>
        </is>
      </c>
    </row>
    <row r="1419">
      <c r="A1419" s="9" t="inlineStr">
        <is>
          <t>Nicole Bishop</t>
        </is>
      </c>
      <c r="B1419" s="9" t="inlineStr">
        <is>
          <t>7/13/25 - 8/10/25</t>
        </is>
      </c>
      <c r="C1419" s="12" t="n">
        <v>1.1</v>
      </c>
      <c r="D1419" s="12" t="n">
        <v>1.27</v>
      </c>
      <c r="E1419" s="12" t="n">
        <v>0.99</v>
      </c>
      <c r="F1419" s="12" t="n">
        <v>0.99</v>
      </c>
      <c r="G1419" s="12" t="n">
        <v>0.32</v>
      </c>
      <c r="H1419" s="9" t="n">
        <v>11</v>
      </c>
      <c r="I1419" s="10" t="n">
        <v>0</v>
      </c>
      <c r="J1419" s="12">
        <f>I1419</f>
        <v/>
      </c>
      <c r="K1419" t="inlineStr">
        <is>
          <t>Distinguished</t>
        </is>
      </c>
      <c r="L1419" t="inlineStr">
        <is>
          <t>Professional</t>
        </is>
      </c>
      <c r="M1419" t="inlineStr">
        <is>
          <t>Ela Cross</t>
        </is>
      </c>
    </row>
    <row r="1420">
      <c r="A1420" s="9" t="inlineStr">
        <is>
          <t>Nicole Bishop</t>
        </is>
      </c>
      <c r="B1420" s="9" t="inlineStr">
        <is>
          <t>8/10/25 - 9/6/25</t>
        </is>
      </c>
      <c r="C1420" s="12" t="n">
        <v>0.96</v>
      </c>
      <c r="D1420" s="12" t="n">
        <v>1.11</v>
      </c>
      <c r="E1420" s="12" t="n">
        <v>0.96</v>
      </c>
      <c r="F1420" s="12" t="n">
        <v>0.95</v>
      </c>
      <c r="G1420" s="12" t="n">
        <v>0.45</v>
      </c>
      <c r="H1420" s="9" t="n">
        <v>8</v>
      </c>
      <c r="I1420" s="10" t="inlineStr">
        <is>
          <t>0/1</t>
        </is>
      </c>
      <c r="J1420" s="12" t="n">
        <v>0</v>
      </c>
      <c r="K1420" t="inlineStr">
        <is>
          <t>Distinguished</t>
        </is>
      </c>
      <c r="L1420" t="inlineStr">
        <is>
          <t>Professional</t>
        </is>
      </c>
      <c r="M1420" t="inlineStr">
        <is>
          <t>Ela Cross</t>
        </is>
      </c>
    </row>
    <row r="1421">
      <c r="A1421" s="9" t="inlineStr">
        <is>
          <t>Nicole Bishop</t>
        </is>
      </c>
      <c r="B1421" s="9" t="inlineStr">
        <is>
          <t>9/7/25 - 10/4/25</t>
        </is>
      </c>
      <c r="C1421" s="12" t="n">
        <v>1.03</v>
      </c>
      <c r="D1421" s="12" t="n">
        <v>1.09</v>
      </c>
      <c r="E1421" s="12" t="n">
        <v>0.99</v>
      </c>
      <c r="F1421" s="12" t="n">
        <v>1</v>
      </c>
      <c r="G1421" s="12" t="n">
        <v>0.43</v>
      </c>
      <c r="H1421" s="9" t="n">
        <v>14</v>
      </c>
      <c r="I1421" s="10" t="inlineStr">
        <is>
          <t>0/1</t>
        </is>
      </c>
      <c r="J1421" s="12" t="n">
        <v>0</v>
      </c>
      <c r="K1421" t="inlineStr">
        <is>
          <t>Distinguished</t>
        </is>
      </c>
      <c r="L1421" t="inlineStr">
        <is>
          <t>Professional</t>
        </is>
      </c>
      <c r="M1421" t="inlineStr">
        <is>
          <t>Ela Cross</t>
        </is>
      </c>
    </row>
    <row r="1422">
      <c r="A1422" s="9" t="inlineStr">
        <is>
          <t>Nicole Kim</t>
        </is>
      </c>
      <c r="B1422" s="9" t="inlineStr">
        <is>
          <t>5/18/25 - 6/14/25</t>
        </is>
      </c>
      <c r="C1422" s="12" t="n">
        <v>1.06</v>
      </c>
      <c r="D1422" s="12" t="n">
        <v>1.16</v>
      </c>
      <c r="E1422" s="12" t="n">
        <v>1</v>
      </c>
      <c r="F1422" s="12" t="n">
        <v>0.96</v>
      </c>
      <c r="G1422" s="12" t="n">
        <v>1</v>
      </c>
      <c r="H1422" s="9" t="n">
        <v>2</v>
      </c>
      <c r="J1422" s="9" t="n"/>
      <c r="K1422" t="e">
        <v>#N/A</v>
      </c>
      <c r="L1422" t="e">
        <v>#N/A</v>
      </c>
      <c r="M1422" t="e">
        <v>#N/A</v>
      </c>
    </row>
    <row r="1423">
      <c r="A1423" s="9" t="inlineStr">
        <is>
          <t>Nicole Kim</t>
        </is>
      </c>
      <c r="B1423" s="9" t="inlineStr">
        <is>
          <t>6/15/25 - 7/12/25</t>
        </is>
      </c>
      <c r="C1423" s="12" t="n">
        <v>0.47</v>
      </c>
      <c r="D1423" s="12" t="n">
        <v>1.04</v>
      </c>
      <c r="E1423" s="12" t="n">
        <v>1</v>
      </c>
      <c r="F1423" s="12" t="n">
        <v>0.87</v>
      </c>
      <c r="G1423" s="12" t="n">
        <v>0.88</v>
      </c>
      <c r="H1423" s="9" t="n">
        <v>5</v>
      </c>
      <c r="I1423" s="10" t="inlineStr">
        <is>
          <t xml:space="preserve"> 1/2</t>
        </is>
      </c>
      <c r="J1423" s="12" t="n">
        <v>0.5</v>
      </c>
      <c r="K1423" t="e">
        <v>#N/A</v>
      </c>
      <c r="L1423" t="e">
        <v>#N/A</v>
      </c>
      <c r="M1423" t="e">
        <v>#N/A</v>
      </c>
    </row>
    <row r="1424">
      <c r="A1424" s="9" t="inlineStr">
        <is>
          <t>Nicole Kim</t>
        </is>
      </c>
      <c r="B1424" s="9" t="inlineStr">
        <is>
          <t>7/13/25 - 8/10/25</t>
        </is>
      </c>
      <c r="C1424" s="12" t="n">
        <v>0.97</v>
      </c>
      <c r="D1424" s="12" t="n">
        <v>1.09</v>
      </c>
      <c r="E1424" s="12" t="n">
        <v>0.98</v>
      </c>
      <c r="F1424" s="12" t="n">
        <v>0.95</v>
      </c>
      <c r="G1424" s="12" t="n">
        <v>1</v>
      </c>
      <c r="H1424" s="9" t="n">
        <v>1</v>
      </c>
      <c r="J1424" s="9" t="n"/>
      <c r="K1424" t="e">
        <v>#N/A</v>
      </c>
      <c r="L1424" t="e">
        <v>#N/A</v>
      </c>
      <c r="M1424" t="e">
        <v>#N/A</v>
      </c>
    </row>
    <row r="1425">
      <c r="A1425" s="9" t="inlineStr">
        <is>
          <t>Nicole Kim</t>
        </is>
      </c>
      <c r="B1425" s="9" t="inlineStr">
        <is>
          <t>8/10/25 - 9/6/25</t>
        </is>
      </c>
      <c r="C1425" s="12" t="n">
        <v>0.72</v>
      </c>
      <c r="D1425" s="12" t="n">
        <v>1.07</v>
      </c>
      <c r="E1425" s="12" t="n">
        <v>1</v>
      </c>
      <c r="F1425" s="12" t="n">
        <v>0.93</v>
      </c>
      <c r="G1425" s="12" t="n">
        <v>1</v>
      </c>
      <c r="H1425" s="9" t="n">
        <v>5</v>
      </c>
      <c r="I1425" s="10" t="inlineStr">
        <is>
          <t>3/3</t>
        </is>
      </c>
      <c r="J1425" s="12" t="n">
        <v>1</v>
      </c>
      <c r="K1425" t="e">
        <v>#N/A</v>
      </c>
      <c r="L1425" t="e">
        <v>#N/A</v>
      </c>
      <c r="M1425" t="e">
        <v>#N/A</v>
      </c>
    </row>
    <row r="1426">
      <c r="A1426" s="9" t="inlineStr">
        <is>
          <t>Nik Kososik</t>
        </is>
      </c>
      <c r="B1426" s="9" t="inlineStr">
        <is>
          <t>10/5/25 - 11/1/25</t>
        </is>
      </c>
      <c r="C1426" s="12" t="n">
        <v>1.1438</v>
      </c>
      <c r="D1426" s="12" t="n">
        <v>1.0208</v>
      </c>
      <c r="E1426" s="12" t="n">
        <v>0.954022988505747</v>
      </c>
      <c r="F1426" s="12" t="n">
        <v>1</v>
      </c>
      <c r="G1426" s="12" t="n">
        <v>0.705882352941176</v>
      </c>
      <c r="H1426" s="9" t="n">
        <v>6</v>
      </c>
      <c r="I1426" s="10" t="inlineStr">
        <is>
          <t>1/5</t>
        </is>
      </c>
      <c r="J1426" s="12" t="n">
        <v>0.2</v>
      </c>
      <c r="K1426" t="inlineStr">
        <is>
          <t>Distinguished</t>
        </is>
      </c>
      <c r="L1426" t="inlineStr">
        <is>
          <t>Adjunct</t>
        </is>
      </c>
      <c r="M1426" t="inlineStr">
        <is>
          <t>Geoff St. Marie</t>
        </is>
      </c>
    </row>
    <row r="1427">
      <c r="A1427" s="9" t="inlineStr">
        <is>
          <t>Nik Kososik</t>
        </is>
      </c>
      <c r="B1427" s="9" t="inlineStr">
        <is>
          <t>11/2/25 - 11/29/25</t>
        </is>
      </c>
      <c r="C1427" s="12" t="n">
        <v>1.11</v>
      </c>
      <c r="D1427" s="12" t="n">
        <v>1.02</v>
      </c>
      <c r="E1427" s="12" t="n">
        <v>0.92</v>
      </c>
      <c r="F1427" s="12" t="n">
        <v>0.98</v>
      </c>
      <c r="G1427" s="12" t="n">
        <v>0.71</v>
      </c>
      <c r="H1427" s="9" t="n">
        <v>9</v>
      </c>
      <c r="I1427" s="13" t="n">
        <v>45662</v>
      </c>
      <c r="J1427" s="14" t="n">
        <v>0.2</v>
      </c>
      <c r="K1427" t="inlineStr">
        <is>
          <t>Distinguished</t>
        </is>
      </c>
      <c r="L1427" t="inlineStr">
        <is>
          <t>Adjunct</t>
        </is>
      </c>
      <c r="M1427" t="inlineStr">
        <is>
          <t>Geoff St. Marie</t>
        </is>
      </c>
    </row>
    <row r="1428">
      <c r="A1428" s="9" t="inlineStr">
        <is>
          <t>Nik Kososik</t>
        </is>
      </c>
      <c r="B1428" s="9" t="inlineStr">
        <is>
          <t>11/30/25 - 12/27/25</t>
        </is>
      </c>
      <c r="C1428" s="12" t="n">
        <v>0.86</v>
      </c>
      <c r="D1428" s="12" t="n">
        <v>1.15</v>
      </c>
      <c r="E1428" s="12" t="n">
        <v>0.96</v>
      </c>
      <c r="F1428" s="12" t="n">
        <v>1</v>
      </c>
      <c r="G1428" s="12" t="n">
        <v>0.93</v>
      </c>
      <c r="H1428" s="9" t="n">
        <v>9</v>
      </c>
      <c r="I1428" s="10" t="n">
        <v>1</v>
      </c>
      <c r="J1428" s="12" t="n">
        <v>1</v>
      </c>
      <c r="K1428" t="inlineStr">
        <is>
          <t>Distinguished</t>
        </is>
      </c>
      <c r="L1428" t="inlineStr">
        <is>
          <t>Adjunct</t>
        </is>
      </c>
      <c r="M1428" t="inlineStr">
        <is>
          <t>Geoff St. Marie</t>
        </is>
      </c>
    </row>
    <row r="1429">
      <c r="A1429" s="9" t="inlineStr">
        <is>
          <t>Nik Kososik</t>
        </is>
      </c>
      <c r="B1429" s="9" t="inlineStr">
        <is>
          <t>12/28/25 - 1/25/26</t>
        </is>
      </c>
      <c r="C1429" s="12" t="n">
        <v>0.7125</v>
      </c>
      <c r="D1429" s="12" t="n">
        <v>0.9444</v>
      </c>
      <c r="E1429" s="12" t="n">
        <v>0.963636364</v>
      </c>
      <c r="F1429" s="12" t="n">
        <v>0.953488372</v>
      </c>
      <c r="G1429" s="12" t="n">
        <v>0.933333333</v>
      </c>
      <c r="H1429" s="9" t="n">
        <v>4</v>
      </c>
      <c r="I1429" s="10" t="n">
        <v>0.5</v>
      </c>
      <c r="J1429" s="12">
        <f>I1429</f>
        <v/>
      </c>
      <c r="K1429" t="inlineStr">
        <is>
          <t>Distinguished</t>
        </is>
      </c>
      <c r="L1429" t="inlineStr">
        <is>
          <t>Adjunct</t>
        </is>
      </c>
      <c r="M1429" t="inlineStr">
        <is>
          <t>Geoff St. Marie</t>
        </is>
      </c>
    </row>
    <row r="1430">
      <c r="A1430" s="9" t="inlineStr">
        <is>
          <t>Nik Kososik</t>
        </is>
      </c>
      <c r="B1430" s="9" t="inlineStr">
        <is>
          <t>5/18/25 - 6/14/25</t>
        </is>
      </c>
      <c r="C1430" s="12" t="n">
        <v>0.8100000000000001</v>
      </c>
      <c r="D1430" s="12" t="n">
        <v>1.06</v>
      </c>
      <c r="E1430" s="12" t="n">
        <v>0.96</v>
      </c>
      <c r="F1430" s="12" t="n">
        <v>0.89</v>
      </c>
      <c r="G1430" s="12" t="n">
        <v>0.83</v>
      </c>
      <c r="H1430" s="9" t="e">
        <v>#N/A</v>
      </c>
      <c r="J1430" s="9" t="n"/>
      <c r="K1430" t="inlineStr">
        <is>
          <t>Distinguished</t>
        </is>
      </c>
      <c r="L1430" t="inlineStr">
        <is>
          <t>Adjunct</t>
        </is>
      </c>
      <c r="M1430" t="inlineStr">
        <is>
          <t>Geoff St. Marie</t>
        </is>
      </c>
    </row>
    <row r="1431">
      <c r="A1431" s="9" t="inlineStr">
        <is>
          <t>Nik Kososik</t>
        </is>
      </c>
      <c r="B1431" s="9" t="inlineStr">
        <is>
          <t>6/15/25 - 7/12/25</t>
        </is>
      </c>
      <c r="C1431" s="12" t="n">
        <v>0.49</v>
      </c>
      <c r="D1431" s="12" t="n">
        <v>1.22</v>
      </c>
      <c r="E1431" s="12" t="n">
        <v>0.9399999999999999</v>
      </c>
      <c r="F1431" s="12" t="n">
        <v>0.53</v>
      </c>
      <c r="G1431" s="12" t="n">
        <v>0.57</v>
      </c>
      <c r="H1431" s="9" t="n">
        <v>1</v>
      </c>
      <c r="I1431" s="10" t="inlineStr">
        <is>
          <t xml:space="preserve"> 5/6</t>
        </is>
      </c>
      <c r="J1431" s="12" t="n">
        <v>0.83</v>
      </c>
      <c r="K1431" t="inlineStr">
        <is>
          <t>Distinguished</t>
        </is>
      </c>
      <c r="L1431" t="inlineStr">
        <is>
          <t>Adjunct</t>
        </is>
      </c>
      <c r="M1431" t="inlineStr">
        <is>
          <t>Geoff St. Marie</t>
        </is>
      </c>
    </row>
    <row r="1432">
      <c r="A1432" s="9" t="inlineStr">
        <is>
          <t>Nik Kososik</t>
        </is>
      </c>
      <c r="B1432" s="9" t="inlineStr">
        <is>
          <t>7/13/25 - 8/10/25</t>
        </is>
      </c>
      <c r="C1432" s="12" t="n">
        <v>0.71</v>
      </c>
      <c r="D1432" s="12" t="n">
        <v>1.19</v>
      </c>
      <c r="E1432" s="12" t="n">
        <v>0.88</v>
      </c>
      <c r="F1432" s="12" t="n">
        <v>1</v>
      </c>
      <c r="G1432" s="12" t="n">
        <v>0.6899999999999999</v>
      </c>
      <c r="H1432" s="9" t="e">
        <v>#N/A</v>
      </c>
      <c r="I1432" s="10" t="n">
        <v>1</v>
      </c>
      <c r="J1432" s="12">
        <f>I1432</f>
        <v/>
      </c>
      <c r="K1432" t="inlineStr">
        <is>
          <t>Distinguished</t>
        </is>
      </c>
      <c r="L1432" t="inlineStr">
        <is>
          <t>Adjunct</t>
        </is>
      </c>
      <c r="M1432" t="inlineStr">
        <is>
          <t>Geoff St. Marie</t>
        </is>
      </c>
    </row>
    <row r="1433">
      <c r="A1433" s="9" t="inlineStr">
        <is>
          <t>Nik Kososik</t>
        </is>
      </c>
      <c r="B1433" s="9" t="inlineStr">
        <is>
          <t>8/10/25 - 9/6/25</t>
        </is>
      </c>
      <c r="C1433" s="12" t="n">
        <v>0.84</v>
      </c>
      <c r="D1433" s="12" t="n">
        <v>1.1</v>
      </c>
      <c r="E1433" s="12" t="n">
        <v>0.99</v>
      </c>
      <c r="F1433" s="12" t="n">
        <v>1</v>
      </c>
      <c r="G1433" s="12" t="n">
        <v>0.55</v>
      </c>
      <c r="H1433" s="9" t="n">
        <v>2</v>
      </c>
      <c r="I1433" s="10" t="inlineStr">
        <is>
          <t>1/2</t>
        </is>
      </c>
      <c r="J1433" s="12" t="n">
        <v>0.5</v>
      </c>
      <c r="K1433" t="inlineStr">
        <is>
          <t>Distinguished</t>
        </is>
      </c>
      <c r="L1433" t="inlineStr">
        <is>
          <t>Adjunct</t>
        </is>
      </c>
      <c r="M1433" t="inlineStr">
        <is>
          <t>Geoff St. Marie</t>
        </is>
      </c>
    </row>
    <row r="1434">
      <c r="A1434" s="9" t="inlineStr">
        <is>
          <t>Nik Kososik</t>
        </is>
      </c>
      <c r="B1434" s="9" t="inlineStr">
        <is>
          <t>9/7/25 - 10/4/25</t>
        </is>
      </c>
      <c r="C1434" s="12" t="n">
        <v>0.93</v>
      </c>
      <c r="D1434" s="12" t="n">
        <v>1.08</v>
      </c>
      <c r="E1434" s="12" t="n">
        <v>0.93</v>
      </c>
      <c r="F1434" s="12" t="n">
        <v>1</v>
      </c>
      <c r="G1434" s="12" t="n">
        <v>0.92</v>
      </c>
      <c r="H1434" s="9" t="n">
        <v>5</v>
      </c>
      <c r="I1434" s="10" t="inlineStr">
        <is>
          <t>2/2</t>
        </is>
      </c>
      <c r="J1434" s="12" t="n">
        <v>1</v>
      </c>
      <c r="K1434" t="inlineStr">
        <is>
          <t>Distinguished</t>
        </is>
      </c>
      <c r="L1434" t="inlineStr">
        <is>
          <t>Adjunct</t>
        </is>
      </c>
      <c r="M1434" t="inlineStr">
        <is>
          <t>Geoff St. Marie</t>
        </is>
      </c>
    </row>
    <row r="1435">
      <c r="A1435" s="9" t="inlineStr">
        <is>
          <t>Nisan Hubbard</t>
        </is>
      </c>
      <c r="B1435" s="9" t="inlineStr">
        <is>
          <t>10/5/25 - 11/1/25</t>
        </is>
      </c>
      <c r="C1435" s="12" t="n">
        <v>0.6313</v>
      </c>
      <c r="D1435" s="12" t="n">
        <v>0.7030999999999999</v>
      </c>
      <c r="E1435" s="12" t="n">
        <v>1</v>
      </c>
      <c r="F1435" s="12" t="n">
        <v>0.972972972972972</v>
      </c>
      <c r="G1435" s="12" t="n">
        <v>0.727272727272727</v>
      </c>
      <c r="H1435" s="9" t="n">
        <v>5</v>
      </c>
      <c r="I1435" s="10" t="inlineStr">
        <is>
          <t>4/4</t>
        </is>
      </c>
      <c r="J1435" s="12" t="n">
        <v>1</v>
      </c>
      <c r="K1435" t="inlineStr">
        <is>
          <t>Distinguished</t>
        </is>
      </c>
      <c r="L1435" t="inlineStr">
        <is>
          <t>Adjunct</t>
        </is>
      </c>
      <c r="M1435" t="inlineStr">
        <is>
          <t>Annelies de Groot</t>
        </is>
      </c>
    </row>
    <row r="1436">
      <c r="A1436" s="9" t="inlineStr">
        <is>
          <t>Nisan Hubbard</t>
        </is>
      </c>
      <c r="B1436" s="9" t="inlineStr">
        <is>
          <t>11/2/25 - 11/29/25</t>
        </is>
      </c>
      <c r="C1436" s="12" t="n">
        <v>0.8100000000000001</v>
      </c>
      <c r="D1436" s="12" t="n">
        <v>0.6899999999999999</v>
      </c>
      <c r="E1436" s="12" t="n">
        <v>1</v>
      </c>
      <c r="F1436" s="12" t="n">
        <v>0.96</v>
      </c>
      <c r="G1436" s="12" t="n">
        <v>0.5600000000000001</v>
      </c>
      <c r="H1436" s="9" t="n">
        <v>5</v>
      </c>
      <c r="I1436" s="13" t="n">
        <v>45691</v>
      </c>
      <c r="J1436" s="14" t="n">
        <v>0.67</v>
      </c>
      <c r="K1436" t="inlineStr">
        <is>
          <t>Distinguished</t>
        </is>
      </c>
      <c r="L1436" t="inlineStr">
        <is>
          <t>Adjunct</t>
        </is>
      </c>
      <c r="M1436" t="inlineStr">
        <is>
          <t>Annelies de Groot</t>
        </is>
      </c>
    </row>
    <row r="1437">
      <c r="A1437" s="9" t="inlineStr">
        <is>
          <t>Nisan Hubbard</t>
        </is>
      </c>
      <c r="B1437" s="9" t="inlineStr">
        <is>
          <t>11/30/25 - 12/27/25</t>
        </is>
      </c>
      <c r="C1437" s="12" t="n">
        <v>0.68</v>
      </c>
      <c r="D1437" s="12" t="n">
        <v>0.63</v>
      </c>
      <c r="E1437" s="12" t="n">
        <v>1</v>
      </c>
      <c r="F1437" s="12" t="n">
        <v>0.95</v>
      </c>
      <c r="G1437" s="12" t="n">
        <v>0.77</v>
      </c>
      <c r="H1437" s="9" t="n">
        <v>3</v>
      </c>
      <c r="I1437" s="10" t="n"/>
      <c r="J1437" s="12" t="n"/>
      <c r="K1437" t="inlineStr">
        <is>
          <t>Distinguished</t>
        </is>
      </c>
      <c r="L1437" t="inlineStr">
        <is>
          <t>Adjunct</t>
        </is>
      </c>
      <c r="M1437" t="inlineStr">
        <is>
          <t>Annelies de Groot</t>
        </is>
      </c>
    </row>
    <row r="1438">
      <c r="A1438" s="9" t="inlineStr">
        <is>
          <t>Nisan Hubbard</t>
        </is>
      </c>
      <c r="B1438" s="9" t="inlineStr">
        <is>
          <t>12/28/25 - 1/25/26</t>
        </is>
      </c>
      <c r="C1438" s="12" t="n">
        <v>0.5813</v>
      </c>
      <c r="D1438" s="12" t="n">
        <v>0.612</v>
      </c>
      <c r="E1438" s="12" t="n">
        <v>1</v>
      </c>
      <c r="F1438" s="12" t="n">
        <v>0.657142857</v>
      </c>
      <c r="G1438" s="12" t="n">
        <v>0.888888889</v>
      </c>
      <c r="H1438" s="9" t="n">
        <v>11</v>
      </c>
      <c r="I1438" s="10" t="n">
        <v>0.75</v>
      </c>
      <c r="J1438" s="12">
        <f>I1438</f>
        <v/>
      </c>
      <c r="K1438" t="inlineStr">
        <is>
          <t>Distinguished</t>
        </is>
      </c>
      <c r="L1438" t="inlineStr">
        <is>
          <t>Adjunct</t>
        </is>
      </c>
      <c r="M1438" t="inlineStr">
        <is>
          <t>Annelies de Groot</t>
        </is>
      </c>
    </row>
    <row r="1439">
      <c r="A1439" s="9" t="inlineStr">
        <is>
          <t>Nisan Hubbard</t>
        </is>
      </c>
      <c r="B1439" s="9" t="inlineStr">
        <is>
          <t>5/18/25 - 6/14/25</t>
        </is>
      </c>
      <c r="C1439" s="12" t="n">
        <v>0.41</v>
      </c>
      <c r="D1439" s="12" t="n">
        <v>1.03</v>
      </c>
      <c r="E1439" s="12" t="n">
        <v>1</v>
      </c>
      <c r="F1439" s="12" t="n">
        <v>0.89</v>
      </c>
      <c r="G1439" s="12" t="n">
        <v>0.75</v>
      </c>
      <c r="H1439" s="9" t="n">
        <v>1</v>
      </c>
      <c r="I1439" s="10" t="inlineStr">
        <is>
          <t xml:space="preserve"> 1/3</t>
        </is>
      </c>
      <c r="J1439" s="12">
        <f>1/3</f>
        <v/>
      </c>
      <c r="K1439" t="inlineStr">
        <is>
          <t>Distinguished</t>
        </is>
      </c>
      <c r="L1439" t="inlineStr">
        <is>
          <t>Adjunct</t>
        </is>
      </c>
      <c r="M1439" t="inlineStr">
        <is>
          <t>Annelies de Groot</t>
        </is>
      </c>
    </row>
    <row r="1440">
      <c r="A1440" s="9" t="inlineStr">
        <is>
          <t>Nisan Hubbard</t>
        </is>
      </c>
      <c r="B1440" s="9" t="inlineStr">
        <is>
          <t>6/15/25 - 7/12/25</t>
        </is>
      </c>
      <c r="C1440" s="12" t="n">
        <v>0.31</v>
      </c>
      <c r="D1440" s="12" t="n">
        <v>1.09</v>
      </c>
      <c r="E1440" s="12" t="n">
        <v>0.95</v>
      </c>
      <c r="F1440" s="12" t="n">
        <v>1</v>
      </c>
      <c r="G1440" s="12" t="n">
        <v>0.5600000000000001</v>
      </c>
      <c r="H1440" s="9" t="n">
        <v>1</v>
      </c>
      <c r="J1440" s="9" t="n"/>
      <c r="K1440" t="inlineStr">
        <is>
          <t>Distinguished</t>
        </is>
      </c>
      <c r="L1440" t="inlineStr">
        <is>
          <t>Adjunct</t>
        </is>
      </c>
      <c r="M1440" t="inlineStr">
        <is>
          <t>Annelies de Groot</t>
        </is>
      </c>
    </row>
    <row r="1441">
      <c r="A1441" s="9" t="inlineStr">
        <is>
          <t>Nisan Hubbard</t>
        </is>
      </c>
      <c r="B1441" s="9" t="inlineStr">
        <is>
          <t>7/13/25 - 8/10/25</t>
        </is>
      </c>
      <c r="C1441" s="12" t="n">
        <v>0.54</v>
      </c>
      <c r="D1441" s="12" t="n">
        <v>1.06</v>
      </c>
      <c r="E1441" s="12" t="n">
        <v>0.98</v>
      </c>
      <c r="F1441" s="12" t="n">
        <v>0.65</v>
      </c>
      <c r="G1441" s="12" t="n">
        <v>0.67</v>
      </c>
      <c r="H1441" s="9" t="e">
        <v>#N/A</v>
      </c>
      <c r="I1441" s="10" t="n">
        <v>1</v>
      </c>
      <c r="J1441" s="12">
        <f>I1441</f>
        <v/>
      </c>
      <c r="K1441" t="inlineStr">
        <is>
          <t>Distinguished</t>
        </is>
      </c>
      <c r="L1441" t="inlineStr">
        <is>
          <t>Adjunct</t>
        </is>
      </c>
      <c r="M1441" t="inlineStr">
        <is>
          <t>Annelies de Groot</t>
        </is>
      </c>
    </row>
    <row r="1442">
      <c r="A1442" s="9" t="inlineStr">
        <is>
          <t>Nisan Hubbard</t>
        </is>
      </c>
      <c r="B1442" s="9" t="inlineStr">
        <is>
          <t>8/10/25 - 9/6/25</t>
        </is>
      </c>
      <c r="C1442" s="12" t="n">
        <v>0.46</v>
      </c>
      <c r="D1442" s="12" t="n">
        <v>0.95</v>
      </c>
      <c r="E1442" s="12" t="n">
        <v>1</v>
      </c>
      <c r="F1442" s="12" t="n">
        <v>0.89</v>
      </c>
      <c r="G1442" s="12" t="n">
        <v>0.14</v>
      </c>
      <c r="H1442" s="9" t="n">
        <v>2</v>
      </c>
      <c r="I1442" s="10" t="inlineStr">
        <is>
          <t>2/4</t>
        </is>
      </c>
      <c r="J1442" s="12" t="n">
        <v>0.5</v>
      </c>
      <c r="K1442" t="inlineStr">
        <is>
          <t>Distinguished</t>
        </is>
      </c>
      <c r="L1442" t="inlineStr">
        <is>
          <t>Adjunct</t>
        </is>
      </c>
      <c r="M1442" t="inlineStr">
        <is>
          <t>Annelies de Groot</t>
        </is>
      </c>
    </row>
    <row r="1443">
      <c r="A1443" s="9" t="inlineStr">
        <is>
          <t>Nisan Hubbard</t>
        </is>
      </c>
      <c r="B1443" s="9" t="inlineStr">
        <is>
          <t>9/7/25 - 10/4/25</t>
        </is>
      </c>
      <c r="C1443" s="12" t="n">
        <v>0.59</v>
      </c>
      <c r="D1443" s="12" t="n">
        <v>0.89</v>
      </c>
      <c r="E1443" s="12" t="n">
        <v>1</v>
      </c>
      <c r="F1443" s="12" t="n">
        <v>1</v>
      </c>
      <c r="G1443" s="12" t="n">
        <v>1</v>
      </c>
      <c r="H1443" s="9" t="n">
        <v>4</v>
      </c>
      <c r="I1443" s="10" t="inlineStr">
        <is>
          <t>1/2</t>
        </is>
      </c>
      <c r="J1443" s="12" t="n">
        <v>0.5</v>
      </c>
      <c r="K1443" t="inlineStr">
        <is>
          <t>Distinguished</t>
        </is>
      </c>
      <c r="L1443" t="inlineStr">
        <is>
          <t>Adjunct</t>
        </is>
      </c>
      <c r="M1443" t="inlineStr">
        <is>
          <t>Annelies de Groot</t>
        </is>
      </c>
    </row>
    <row r="1444">
      <c r="A1444" s="9" t="inlineStr">
        <is>
          <t>Noah Robinson</t>
        </is>
      </c>
      <c r="B1444" s="9" t="inlineStr">
        <is>
          <t>12/28/25 - 1/25/26</t>
        </is>
      </c>
      <c r="C1444" s="12" t="n">
        <v>0.2639</v>
      </c>
      <c r="D1444" s="12" t="n">
        <v>1</v>
      </c>
      <c r="E1444" s="12" t="n">
        <v>1</v>
      </c>
      <c r="F1444" s="12" t="n">
        <v>1</v>
      </c>
      <c r="G1444" s="12" t="n">
        <v>0</v>
      </c>
      <c r="H1444" s="9" t="n">
        <v>0</v>
      </c>
      <c r="I1444" s="10" t="inlineStr">
        <is>
          <t>0/8</t>
        </is>
      </c>
      <c r="J1444" s="12" t="n">
        <v>0</v>
      </c>
      <c r="K1444" t="e">
        <v>#N/A</v>
      </c>
      <c r="L1444" t="e">
        <v>#N/A</v>
      </c>
      <c r="M1444" t="e">
        <v>#N/A</v>
      </c>
    </row>
    <row r="1445">
      <c r="A1445" s="9" t="inlineStr">
        <is>
          <t>Ore Williams</t>
        </is>
      </c>
      <c r="B1445" s="9" t="inlineStr">
        <is>
          <t>12/28/25 - 1/25/26</t>
        </is>
      </c>
      <c r="C1445" s="12" t="n">
        <v>0</v>
      </c>
      <c r="D1445" s="12" t="n">
        <v>0.776</v>
      </c>
      <c r="E1445" s="12" t="n">
        <v>0</v>
      </c>
      <c r="F1445" s="12" t="n">
        <v>0</v>
      </c>
      <c r="G1445" s="12" t="n">
        <v>0</v>
      </c>
      <c r="H1445" s="9" t="n">
        <v>0</v>
      </c>
      <c r="I1445" s="10" t="inlineStr">
        <is>
          <t>0/0</t>
        </is>
      </c>
      <c r="J1445" s="12" t="n">
        <v>0</v>
      </c>
      <c r="K1445" t="inlineStr">
        <is>
          <t>Advanced</t>
        </is>
      </c>
      <c r="L1445" t="inlineStr">
        <is>
          <t>Adjunct</t>
        </is>
      </c>
      <c r="M1445" t="inlineStr">
        <is>
          <t>Ela Cross</t>
        </is>
      </c>
    </row>
    <row r="1446">
      <c r="A1446" s="9" t="inlineStr">
        <is>
          <t>Patricia Flores</t>
        </is>
      </c>
      <c r="B1446" s="9" t="inlineStr">
        <is>
          <t>10/5/25 - 11/1/25</t>
        </is>
      </c>
      <c r="C1446" s="12" t="n">
        <v>1.1344</v>
      </c>
      <c r="D1446" s="12" t="n">
        <v>1.3047</v>
      </c>
      <c r="E1446" s="12" t="n">
        <v>0.988888888888888</v>
      </c>
      <c r="F1446" s="12" t="n">
        <v>0.654545454545454</v>
      </c>
      <c r="G1446" s="12" t="n">
        <v>0.888888888888888</v>
      </c>
      <c r="H1446" s="9" t="n">
        <v>2</v>
      </c>
      <c r="I1446" s="10" t="n"/>
      <c r="J1446" s="12" t="n"/>
      <c r="K1446" t="inlineStr">
        <is>
          <t>Distinguished</t>
        </is>
      </c>
      <c r="L1446" t="inlineStr">
        <is>
          <t>Adjunct</t>
        </is>
      </c>
      <c r="M1446" t="inlineStr">
        <is>
          <t>Ela Cross</t>
        </is>
      </c>
    </row>
    <row r="1447">
      <c r="A1447" s="9" t="inlineStr">
        <is>
          <t>Patricia Flores</t>
        </is>
      </c>
      <c r="B1447" s="9" t="inlineStr">
        <is>
          <t>10/5/25 - 11/1/25</t>
        </is>
      </c>
      <c r="C1447" s="12" t="n">
        <v>1.1344</v>
      </c>
      <c r="D1447" s="12" t="n">
        <v>1.3047</v>
      </c>
      <c r="E1447" s="12" t="n">
        <v>0.988888888888888</v>
      </c>
      <c r="F1447" s="12" t="n">
        <v>0.654545454545454</v>
      </c>
      <c r="G1447" s="12" t="n">
        <v>0.888888888888888</v>
      </c>
      <c r="H1447" s="9" t="n">
        <v>2</v>
      </c>
      <c r="J1447" s="9" t="n"/>
      <c r="K1447" t="inlineStr">
        <is>
          <t>Distinguished</t>
        </is>
      </c>
      <c r="L1447" t="inlineStr">
        <is>
          <t>Adjunct</t>
        </is>
      </c>
      <c r="M1447" t="inlineStr">
        <is>
          <t>Ela Cross</t>
        </is>
      </c>
    </row>
    <row r="1448">
      <c r="A1448" s="9" t="inlineStr">
        <is>
          <t>Patricia Flores</t>
        </is>
      </c>
      <c r="B1448" s="9" t="inlineStr">
        <is>
          <t>11/2/25 - 11/29/25</t>
        </is>
      </c>
      <c r="C1448" s="12" t="n">
        <v>0.87</v>
      </c>
      <c r="D1448" s="12" t="n">
        <v>1.02</v>
      </c>
      <c r="E1448" s="12" t="n">
        <v>0.85</v>
      </c>
      <c r="F1448" s="12" t="n">
        <v>0.98</v>
      </c>
      <c r="G1448" s="12" t="n">
        <v>1</v>
      </c>
      <c r="H1448" s="9" t="n">
        <v>0</v>
      </c>
      <c r="I1448" s="13" t="n"/>
      <c r="J1448" s="9" t="n"/>
      <c r="K1448" t="inlineStr">
        <is>
          <t>Distinguished</t>
        </is>
      </c>
      <c r="L1448" t="inlineStr">
        <is>
          <t>Adjunct</t>
        </is>
      </c>
      <c r="M1448" t="inlineStr">
        <is>
          <t>Ela Cross</t>
        </is>
      </c>
    </row>
    <row r="1449">
      <c r="A1449" s="9" t="inlineStr">
        <is>
          <t>Patricia Flores</t>
        </is>
      </c>
      <c r="B1449" s="9" t="inlineStr">
        <is>
          <t>11/30/25 - 12/27/25</t>
        </is>
      </c>
      <c r="C1449" s="12" t="n">
        <v>0.6</v>
      </c>
      <c r="D1449" s="12" t="n">
        <v>1.24</v>
      </c>
      <c r="E1449" s="12" t="n">
        <v>0.88</v>
      </c>
      <c r="F1449" s="12" t="n">
        <v>0.5</v>
      </c>
      <c r="G1449" s="12" t="n">
        <v>0.88</v>
      </c>
      <c r="H1449" s="9" t="n">
        <v>1</v>
      </c>
      <c r="I1449" s="10" t="n"/>
      <c r="J1449" s="12" t="n"/>
      <c r="K1449" t="inlineStr">
        <is>
          <t>Distinguished</t>
        </is>
      </c>
      <c r="L1449" t="inlineStr">
        <is>
          <t>Adjunct</t>
        </is>
      </c>
      <c r="M1449" t="inlineStr">
        <is>
          <t>Ela Cross</t>
        </is>
      </c>
    </row>
    <row r="1450">
      <c r="A1450" s="9" t="inlineStr">
        <is>
          <t>Patricia Flores</t>
        </is>
      </c>
      <c r="B1450" s="9" t="inlineStr">
        <is>
          <t>12/28/25 - 1/25/26</t>
        </is>
      </c>
      <c r="C1450" s="12" t="n">
        <v>0.5844</v>
      </c>
      <c r="D1450" s="12" t="n">
        <v>1.1797</v>
      </c>
      <c r="E1450" s="12" t="n">
        <v>0.9375</v>
      </c>
      <c r="F1450" s="12" t="n">
        <v>0.903225806</v>
      </c>
      <c r="G1450" s="12" t="n">
        <v>1</v>
      </c>
      <c r="H1450" s="9" t="n">
        <v>0</v>
      </c>
      <c r="I1450" s="10" t="inlineStr">
        <is>
          <t>0/1</t>
        </is>
      </c>
      <c r="J1450" s="12" t="n">
        <v>0</v>
      </c>
      <c r="K1450" t="inlineStr">
        <is>
          <t>Distinguished</t>
        </is>
      </c>
      <c r="L1450" t="inlineStr">
        <is>
          <t>Adjunct</t>
        </is>
      </c>
      <c r="M1450" t="inlineStr">
        <is>
          <t>Ela Cross</t>
        </is>
      </c>
    </row>
    <row r="1451">
      <c r="A1451" s="9" t="inlineStr">
        <is>
          <t>Patricia Flores</t>
        </is>
      </c>
      <c r="B1451" s="9" t="inlineStr">
        <is>
          <t>5/18/25 - 6/14/25</t>
        </is>
      </c>
      <c r="C1451" s="12" t="n">
        <v>0.5600000000000001</v>
      </c>
      <c r="D1451" s="12" t="n">
        <v>1.22</v>
      </c>
      <c r="E1451" s="12" t="n">
        <v>0.95</v>
      </c>
      <c r="F1451" s="12" t="n">
        <v>0.96</v>
      </c>
      <c r="G1451" s="12" t="n">
        <v>1</v>
      </c>
      <c r="H1451" s="9" t="n">
        <v>3</v>
      </c>
      <c r="I1451" s="10" t="n">
        <v>1</v>
      </c>
      <c r="J1451" s="12">
        <f>I1451</f>
        <v/>
      </c>
      <c r="K1451" t="inlineStr">
        <is>
          <t>Distinguished</t>
        </is>
      </c>
      <c r="L1451" t="inlineStr">
        <is>
          <t>Adjunct</t>
        </is>
      </c>
      <c r="M1451" t="inlineStr">
        <is>
          <t>Ela Cross</t>
        </is>
      </c>
    </row>
    <row r="1452">
      <c r="A1452" s="9" t="inlineStr">
        <is>
          <t>Patricia Flores</t>
        </is>
      </c>
      <c r="B1452" s="9" t="inlineStr">
        <is>
          <t>6/15/25 - 7/12/25</t>
        </is>
      </c>
      <c r="C1452" s="12" t="n">
        <v>0.25</v>
      </c>
      <c r="D1452" s="12" t="n">
        <v>1.27</v>
      </c>
      <c r="E1452" s="12" t="n">
        <v>1</v>
      </c>
      <c r="F1452" s="12" t="n">
        <v>0.8100000000000001</v>
      </c>
      <c r="G1452" s="12" t="n">
        <v>0.83</v>
      </c>
      <c r="H1452" s="9" t="e">
        <v>#N/A</v>
      </c>
      <c r="J1452" s="9" t="n"/>
      <c r="K1452" t="inlineStr">
        <is>
          <t>Distinguished</t>
        </is>
      </c>
      <c r="L1452" t="inlineStr">
        <is>
          <t>Adjunct</t>
        </is>
      </c>
      <c r="M1452" t="inlineStr">
        <is>
          <t>Ela Cross</t>
        </is>
      </c>
    </row>
    <row r="1453">
      <c r="A1453" s="9" t="inlineStr">
        <is>
          <t>Patricia Flores</t>
        </is>
      </c>
      <c r="B1453" s="9" t="inlineStr">
        <is>
          <t>7/13/25 - 8/10/25</t>
        </is>
      </c>
      <c r="C1453" s="12" t="n">
        <v>0.31</v>
      </c>
      <c r="D1453" s="12" t="n">
        <v>1.28</v>
      </c>
      <c r="E1453" s="12" t="n">
        <v>0.86</v>
      </c>
      <c r="F1453" s="12" t="n">
        <v>0.78</v>
      </c>
      <c r="G1453" s="12" t="n">
        <v>0.63</v>
      </c>
      <c r="H1453" s="9" t="e">
        <v>#N/A</v>
      </c>
      <c r="J1453" s="9" t="n"/>
      <c r="K1453" t="inlineStr">
        <is>
          <t>Distinguished</t>
        </is>
      </c>
      <c r="L1453" t="inlineStr">
        <is>
          <t>Adjunct</t>
        </is>
      </c>
      <c r="M1453" t="inlineStr">
        <is>
          <t>Ela Cross</t>
        </is>
      </c>
    </row>
    <row r="1454">
      <c r="A1454" s="9" t="inlineStr">
        <is>
          <t>Patricia Flores</t>
        </is>
      </c>
      <c r="B1454" s="9" t="inlineStr">
        <is>
          <t>8/10/25 - 9/6/25</t>
        </is>
      </c>
      <c r="C1454" s="12" t="n">
        <v>0.43</v>
      </c>
      <c r="D1454" s="12" t="n">
        <v>1.14</v>
      </c>
      <c r="E1454" s="12" t="n">
        <v>0.91</v>
      </c>
      <c r="F1454" s="12" t="n">
        <v>1</v>
      </c>
      <c r="G1454" s="12" t="n">
        <v>1</v>
      </c>
      <c r="H1454" s="9" t="n">
        <v>1</v>
      </c>
      <c r="I1454" s="10" t="inlineStr">
        <is>
          <t>3/3</t>
        </is>
      </c>
      <c r="J1454" s="12" t="n">
        <v>1</v>
      </c>
      <c r="K1454" t="inlineStr">
        <is>
          <t>Distinguished</t>
        </is>
      </c>
      <c r="L1454" t="inlineStr">
        <is>
          <t>Adjunct</t>
        </is>
      </c>
      <c r="M1454" t="inlineStr">
        <is>
          <t>Ela Cross</t>
        </is>
      </c>
    </row>
    <row r="1455">
      <c r="A1455" s="9" t="inlineStr">
        <is>
          <t>Patricia Flores</t>
        </is>
      </c>
      <c r="B1455" s="9" t="inlineStr">
        <is>
          <t>9/7/25 - 10/4/25</t>
        </is>
      </c>
      <c r="C1455" s="12" t="n">
        <v>1.07</v>
      </c>
      <c r="D1455" s="12" t="n">
        <v>1.49</v>
      </c>
      <c r="E1455" s="12" t="n">
        <v>0.99</v>
      </c>
      <c r="F1455" s="12" t="n">
        <v>1</v>
      </c>
      <c r="G1455" s="12" t="n">
        <v>0.89</v>
      </c>
      <c r="H1455" s="9" t="n">
        <v>0</v>
      </c>
      <c r="I1455" s="11" t="n"/>
      <c r="J1455" s="9" t="n"/>
      <c r="K1455" t="inlineStr">
        <is>
          <t>Distinguished</t>
        </is>
      </c>
      <c r="L1455" t="inlineStr">
        <is>
          <t>Adjunct</t>
        </is>
      </c>
      <c r="M1455" t="inlineStr">
        <is>
          <t>Ela Cross</t>
        </is>
      </c>
    </row>
    <row r="1456">
      <c r="A1456" s="9" t="inlineStr">
        <is>
          <t>Patrick Bell</t>
        </is>
      </c>
      <c r="B1456" s="9" t="inlineStr">
        <is>
          <t>10/5/25 - 11/1/25</t>
        </is>
      </c>
      <c r="C1456" s="12" t="n">
        <v>0.2042</v>
      </c>
      <c r="D1456" s="12" t="n">
        <v>0.5987</v>
      </c>
      <c r="E1456" s="12" t="n">
        <v>1</v>
      </c>
      <c r="F1456" s="12" t="n">
        <v>1</v>
      </c>
      <c r="G1456" s="12" t="n">
        <v>0.75</v>
      </c>
      <c r="H1456" s="9" t="n">
        <v>0</v>
      </c>
      <c r="I1456" s="10" t="n"/>
      <c r="J1456" s="12" t="n"/>
      <c r="K1456" t="e">
        <v>#N/A</v>
      </c>
      <c r="L1456" t="e">
        <v>#N/A</v>
      </c>
      <c r="M1456" t="e">
        <v>#N/A</v>
      </c>
    </row>
    <row r="1457">
      <c r="A1457" s="9" t="inlineStr">
        <is>
          <t>Patrick Bell</t>
        </is>
      </c>
      <c r="B1457" s="9" t="inlineStr">
        <is>
          <t>10/5/25 - 11/1/25</t>
        </is>
      </c>
      <c r="C1457" s="12" t="n">
        <v>0.2042</v>
      </c>
      <c r="D1457" s="12" t="n">
        <v>0.5987</v>
      </c>
      <c r="E1457" s="12" t="n">
        <v>1</v>
      </c>
      <c r="F1457" s="12" t="n">
        <v>1</v>
      </c>
      <c r="G1457" s="12" t="n">
        <v>0.75</v>
      </c>
      <c r="H1457" s="9" t="n">
        <v>0</v>
      </c>
      <c r="J1457" s="9" t="n"/>
      <c r="K1457" t="e">
        <v>#N/A</v>
      </c>
      <c r="L1457" t="e">
        <v>#N/A</v>
      </c>
      <c r="M1457" t="e">
        <v>#N/A</v>
      </c>
    </row>
    <row r="1458">
      <c r="A1458" s="9" t="inlineStr">
        <is>
          <t>Patrick Bell</t>
        </is>
      </c>
      <c r="B1458" s="9" t="inlineStr">
        <is>
          <t>11/2/25 - 11/29/25</t>
        </is>
      </c>
      <c r="C1458" s="12" t="n">
        <v>0.48</v>
      </c>
      <c r="D1458" s="12" t="n">
        <v>1.02</v>
      </c>
      <c r="E1458" s="12" t="n">
        <v>1</v>
      </c>
      <c r="F1458" s="12" t="n">
        <v>1</v>
      </c>
      <c r="G1458" s="12" t="n">
        <v>0.73</v>
      </c>
      <c r="H1458" s="9" t="n">
        <v>1</v>
      </c>
      <c r="I1458" s="13" t="n">
        <v>45751</v>
      </c>
      <c r="J1458" s="12" t="n">
        <v>1</v>
      </c>
      <c r="K1458" t="e">
        <v>#N/A</v>
      </c>
      <c r="L1458" t="e">
        <v>#N/A</v>
      </c>
      <c r="M1458" t="e">
        <v>#N/A</v>
      </c>
    </row>
    <row r="1459">
      <c r="A1459" s="9" t="inlineStr">
        <is>
          <t>Patrick Bell</t>
        </is>
      </c>
      <c r="B1459" s="9" t="inlineStr">
        <is>
          <t>11/30/25 - 12/27/25</t>
        </is>
      </c>
      <c r="C1459" s="12" t="n">
        <v>0.6</v>
      </c>
      <c r="D1459" s="12" t="n">
        <v>1.56</v>
      </c>
      <c r="E1459" s="12" t="n">
        <v>0.98</v>
      </c>
      <c r="F1459" s="12" t="n">
        <v>0.93</v>
      </c>
      <c r="G1459" s="12" t="n">
        <v>0.38</v>
      </c>
      <c r="H1459" s="9" t="n">
        <v>0</v>
      </c>
      <c r="I1459" s="10" t="n">
        <v>0.75</v>
      </c>
      <c r="J1459" s="12" t="n">
        <v>0.75</v>
      </c>
      <c r="K1459" t="e">
        <v>#N/A</v>
      </c>
      <c r="L1459" t="e">
        <v>#N/A</v>
      </c>
      <c r="M1459" t="e">
        <v>#N/A</v>
      </c>
    </row>
    <row r="1460">
      <c r="A1460" s="9" t="inlineStr">
        <is>
          <t>Patrick Bell</t>
        </is>
      </c>
      <c r="B1460" s="9" t="inlineStr">
        <is>
          <t>5/18/25 - 6/14/25</t>
        </is>
      </c>
      <c r="C1460" s="12" t="n">
        <v>0.79</v>
      </c>
      <c r="D1460" s="12" t="n">
        <v>1.3</v>
      </c>
      <c r="E1460" s="12" t="n">
        <v>0.98</v>
      </c>
      <c r="F1460" s="12" t="n">
        <v>0.95</v>
      </c>
      <c r="G1460" s="12" t="n">
        <v>1</v>
      </c>
      <c r="H1460" s="9" t="e">
        <v>#N/A</v>
      </c>
      <c r="I1460" s="10" t="inlineStr">
        <is>
          <t xml:space="preserve"> 4/5</t>
        </is>
      </c>
      <c r="J1460" s="12" t="n">
        <v>0.8</v>
      </c>
      <c r="K1460" t="e">
        <v>#N/A</v>
      </c>
      <c r="L1460" t="e">
        <v>#N/A</v>
      </c>
      <c r="M1460" t="e">
        <v>#N/A</v>
      </c>
    </row>
    <row r="1461">
      <c r="A1461" s="9" t="inlineStr">
        <is>
          <t>Patrick Bell</t>
        </is>
      </c>
      <c r="B1461" s="9" t="inlineStr">
        <is>
          <t>6/15/25 - 7/12/25</t>
        </is>
      </c>
      <c r="C1461" s="12" t="n">
        <v>0.39</v>
      </c>
      <c r="D1461" s="12" t="n">
        <v>1.09</v>
      </c>
      <c r="E1461" s="12" t="n">
        <v>0.99</v>
      </c>
      <c r="F1461" s="12" t="n">
        <v>0.87</v>
      </c>
      <c r="G1461" s="12" t="n">
        <v>0.8100000000000001</v>
      </c>
      <c r="H1461" s="9" t="n">
        <v>2</v>
      </c>
      <c r="I1461" s="10" t="n">
        <v>1</v>
      </c>
      <c r="J1461" s="12">
        <f>I1461</f>
        <v/>
      </c>
      <c r="K1461" t="e">
        <v>#N/A</v>
      </c>
      <c r="L1461" t="e">
        <v>#N/A</v>
      </c>
      <c r="M1461" t="e">
        <v>#N/A</v>
      </c>
    </row>
    <row r="1462">
      <c r="A1462" s="9" t="inlineStr">
        <is>
          <t>Patrick Bell</t>
        </is>
      </c>
      <c r="B1462" s="9" t="inlineStr">
        <is>
          <t>7/13/25 - 8/10/25</t>
        </is>
      </c>
      <c r="C1462" s="12" t="n">
        <v>0.67</v>
      </c>
      <c r="D1462" s="12" t="n">
        <v>1.11</v>
      </c>
      <c r="E1462" s="12" t="n">
        <v>1</v>
      </c>
      <c r="F1462" s="12" t="n">
        <v>1</v>
      </c>
      <c r="G1462" s="12" t="n">
        <v>0.87</v>
      </c>
      <c r="H1462" s="9" t="e">
        <v>#N/A</v>
      </c>
      <c r="I1462" s="10" t="n">
        <v>1</v>
      </c>
      <c r="J1462" s="12">
        <f>I1462</f>
        <v/>
      </c>
      <c r="K1462" t="e">
        <v>#N/A</v>
      </c>
      <c r="L1462" t="e">
        <v>#N/A</v>
      </c>
      <c r="M1462" t="e">
        <v>#N/A</v>
      </c>
    </row>
    <row r="1463">
      <c r="A1463" s="9" t="inlineStr">
        <is>
          <t>Patrick Bell</t>
        </is>
      </c>
      <c r="B1463" s="9" t="inlineStr">
        <is>
          <t>8/10/25 - 9/6/25</t>
        </is>
      </c>
      <c r="C1463" s="12" t="n">
        <v>1.07</v>
      </c>
      <c r="D1463" s="12" t="n">
        <v>1.35</v>
      </c>
      <c r="E1463" s="12" t="n">
        <v>1</v>
      </c>
      <c r="F1463" s="12" t="n">
        <v>0.97</v>
      </c>
      <c r="G1463" s="12" t="n">
        <v>0.7</v>
      </c>
      <c r="H1463" s="9" t="n">
        <v>2</v>
      </c>
      <c r="I1463" s="10" t="inlineStr">
        <is>
          <t>8/8</t>
        </is>
      </c>
      <c r="J1463" s="12" t="n">
        <v>1</v>
      </c>
      <c r="K1463" t="e">
        <v>#N/A</v>
      </c>
      <c r="L1463" t="e">
        <v>#N/A</v>
      </c>
      <c r="M1463" t="e">
        <v>#N/A</v>
      </c>
    </row>
    <row r="1464">
      <c r="A1464" s="9" t="inlineStr">
        <is>
          <t>Patrick Bell</t>
        </is>
      </c>
      <c r="B1464" s="9" t="inlineStr">
        <is>
          <t>9/7/25 - 10/4/25</t>
        </is>
      </c>
      <c r="C1464" s="12" t="n">
        <v>0.89</v>
      </c>
      <c r="D1464" s="12" t="n">
        <v>1.28</v>
      </c>
      <c r="E1464" s="12" t="n">
        <v>1</v>
      </c>
      <c r="F1464" s="12" t="n">
        <v>0.95</v>
      </c>
      <c r="G1464" s="12" t="n">
        <v>0.78</v>
      </c>
      <c r="H1464" s="9" t="n">
        <v>1</v>
      </c>
      <c r="I1464" s="10" t="inlineStr">
        <is>
          <t>1/1</t>
        </is>
      </c>
      <c r="J1464" s="12" t="n">
        <v>1</v>
      </c>
      <c r="K1464" t="e">
        <v>#N/A</v>
      </c>
      <c r="L1464" t="e">
        <v>#N/A</v>
      </c>
      <c r="M1464" t="e">
        <v>#N/A</v>
      </c>
    </row>
    <row r="1465">
      <c r="A1465" s="9" t="inlineStr">
        <is>
          <t>Pearl Chen</t>
        </is>
      </c>
      <c r="B1465" s="9" t="inlineStr">
        <is>
          <t>5/18/25 - 6/14/25</t>
        </is>
      </c>
      <c r="C1465" s="12" t="n">
        <v>0.74</v>
      </c>
      <c r="D1465" s="12" t="n">
        <v>1.01</v>
      </c>
      <c r="E1465" s="12" t="n">
        <v>0.97</v>
      </c>
      <c r="F1465" s="12" t="n">
        <v>0.96</v>
      </c>
      <c r="G1465" s="12" t="n">
        <v>0.2</v>
      </c>
      <c r="H1465" s="9" t="n">
        <v>3</v>
      </c>
      <c r="J1465" s="9" t="n"/>
      <c r="K1465" t="e">
        <v>#N/A</v>
      </c>
      <c r="L1465" t="e">
        <v>#N/A</v>
      </c>
      <c r="M1465" t="e">
        <v>#N/A</v>
      </c>
    </row>
    <row r="1466">
      <c r="A1466" s="9" t="inlineStr">
        <is>
          <t>Pearl Chen</t>
        </is>
      </c>
      <c r="B1466" s="9" t="inlineStr">
        <is>
          <t>6/15/25 - 7/12/25</t>
        </is>
      </c>
      <c r="C1466" s="12" t="n">
        <v>0.22</v>
      </c>
      <c r="D1466" s="12" t="n">
        <v>1.11</v>
      </c>
      <c r="E1466" s="12" t="n">
        <v>1</v>
      </c>
      <c r="F1466" s="12" t="n">
        <v>0.75</v>
      </c>
      <c r="G1466" s="12" t="n">
        <v>0.67</v>
      </c>
      <c r="H1466" s="9" t="n">
        <v>1</v>
      </c>
      <c r="J1466" s="9" t="n"/>
      <c r="K1466" t="e">
        <v>#N/A</v>
      </c>
      <c r="L1466" t="e">
        <v>#N/A</v>
      </c>
      <c r="M1466" t="e">
        <v>#N/A</v>
      </c>
    </row>
    <row r="1467">
      <c r="A1467" s="9" t="inlineStr">
        <is>
          <t>Pearl Chen</t>
        </is>
      </c>
      <c r="B1467" s="9" t="inlineStr">
        <is>
          <t>7/13/25 - 8/10/25</t>
        </is>
      </c>
      <c r="C1467" s="12" t="n">
        <v>0.38</v>
      </c>
      <c r="D1467" s="12" t="n">
        <v>1.12</v>
      </c>
      <c r="E1467" s="12" t="n">
        <v>0.9</v>
      </c>
      <c r="F1467" s="12" t="n">
        <v>1</v>
      </c>
      <c r="G1467" s="12" t="n">
        <v>0.57</v>
      </c>
      <c r="H1467" s="9" t="n">
        <v>4</v>
      </c>
      <c r="I1467" s="10" t="n">
        <v>1</v>
      </c>
      <c r="J1467" s="12">
        <f>I1467</f>
        <v/>
      </c>
      <c r="K1467" t="e">
        <v>#N/A</v>
      </c>
      <c r="L1467" t="e">
        <v>#N/A</v>
      </c>
      <c r="M1467" t="e">
        <v>#N/A</v>
      </c>
    </row>
    <row r="1468">
      <c r="A1468" s="9" t="inlineStr">
        <is>
          <t>Penny Russell</t>
        </is>
      </c>
      <c r="B1468" s="9" t="inlineStr">
        <is>
          <t>10/5/25 - 11/1/25</t>
        </is>
      </c>
      <c r="C1468" s="12" t="n">
        <v>0</v>
      </c>
      <c r="D1468" s="12" t="n">
        <v>0.3421</v>
      </c>
      <c r="E1468" s="12" t="n">
        <v>0</v>
      </c>
      <c r="F1468" s="12" t="n">
        <v>0</v>
      </c>
      <c r="G1468" s="12" t="n">
        <v>0</v>
      </c>
      <c r="H1468" s="9" t="n">
        <v>0</v>
      </c>
      <c r="I1468" s="10" t="n"/>
      <c r="J1468" s="12" t="n"/>
      <c r="K1468" t="inlineStr">
        <is>
          <t>Distinguished</t>
        </is>
      </c>
      <c r="L1468" t="inlineStr">
        <is>
          <t>Professional</t>
        </is>
      </c>
      <c r="M1468" t="inlineStr">
        <is>
          <t>Ian Plamondon</t>
        </is>
      </c>
    </row>
    <row r="1469">
      <c r="A1469" s="9" t="inlineStr">
        <is>
          <t>Penny Russell</t>
        </is>
      </c>
      <c r="B1469" s="9" t="inlineStr">
        <is>
          <t>10/5/25 - 11/1/25</t>
        </is>
      </c>
      <c r="C1469" s="12" t="n">
        <v>0</v>
      </c>
      <c r="D1469" s="12" t="n">
        <v>0.3421</v>
      </c>
      <c r="E1469" s="12" t="n">
        <v>0</v>
      </c>
      <c r="F1469" s="12" t="n">
        <v>0</v>
      </c>
      <c r="G1469" s="12" t="n">
        <v>0</v>
      </c>
      <c r="H1469" s="9" t="n">
        <v>0</v>
      </c>
      <c r="J1469" s="9" t="n"/>
      <c r="K1469" t="inlineStr">
        <is>
          <t>Distinguished</t>
        </is>
      </c>
      <c r="L1469" t="inlineStr">
        <is>
          <t>Professional</t>
        </is>
      </c>
      <c r="M1469" t="inlineStr">
        <is>
          <t>Ian Plamondon</t>
        </is>
      </c>
    </row>
    <row r="1470">
      <c r="A1470" s="9" t="inlineStr">
        <is>
          <t>Penny Russell</t>
        </is>
      </c>
      <c r="B1470" s="9" t="inlineStr">
        <is>
          <t>11/2/25 - 11/29/25</t>
        </is>
      </c>
      <c r="C1470" s="12" t="n">
        <v>0.77</v>
      </c>
      <c r="D1470" s="12" t="n">
        <v>1.16</v>
      </c>
      <c r="E1470" s="12" t="n">
        <v>1</v>
      </c>
      <c r="F1470" s="12" t="n">
        <v>0.77</v>
      </c>
      <c r="G1470" s="12" t="n">
        <v>0</v>
      </c>
      <c r="H1470" s="9" t="n">
        <v>0</v>
      </c>
      <c r="I1470" s="13" t="n">
        <v>45705</v>
      </c>
      <c r="J1470" s="14" t="n">
        <v>0.12</v>
      </c>
      <c r="K1470" t="inlineStr">
        <is>
          <t>Distinguished</t>
        </is>
      </c>
      <c r="L1470" t="inlineStr">
        <is>
          <t>Professional</t>
        </is>
      </c>
      <c r="M1470" t="inlineStr">
        <is>
          <t>Ian Plamondon</t>
        </is>
      </c>
    </row>
    <row r="1471">
      <c r="A1471" s="9" t="inlineStr">
        <is>
          <t>Penny Russell</t>
        </is>
      </c>
      <c r="B1471" s="9" t="inlineStr">
        <is>
          <t>11/30/25 - 12/27/25</t>
        </is>
      </c>
      <c r="C1471" s="12" t="n">
        <v>0.8</v>
      </c>
      <c r="D1471" s="12" t="n">
        <v>1.12</v>
      </c>
      <c r="E1471" s="12" t="n">
        <v>0.99</v>
      </c>
      <c r="F1471" s="12" t="n">
        <v>0.95</v>
      </c>
      <c r="G1471" s="12" t="n">
        <v>0</v>
      </c>
      <c r="H1471" s="9" t="n">
        <v>2</v>
      </c>
      <c r="I1471" s="10" t="inlineStr">
        <is>
          <t>0/5</t>
        </is>
      </c>
      <c r="J1471" s="12" t="n">
        <v>0</v>
      </c>
      <c r="K1471" t="inlineStr">
        <is>
          <t>Distinguished</t>
        </is>
      </c>
      <c r="L1471" t="inlineStr">
        <is>
          <t>Professional</t>
        </is>
      </c>
      <c r="M1471" t="inlineStr">
        <is>
          <t>Ian Plamondon</t>
        </is>
      </c>
    </row>
    <row r="1472">
      <c r="A1472" s="9" t="inlineStr">
        <is>
          <t>Penny Russell</t>
        </is>
      </c>
      <c r="B1472" s="9" t="inlineStr">
        <is>
          <t>12/28/25 - 1/25/26</t>
        </is>
      </c>
      <c r="C1472" s="12" t="n">
        <v>0.7542</v>
      </c>
      <c r="D1472" s="12" t="n">
        <v>1.125</v>
      </c>
      <c r="E1472" s="12" t="n">
        <v>0.975</v>
      </c>
      <c r="F1472" s="12" t="n">
        <v>0.7846153850000001</v>
      </c>
      <c r="G1472" s="12" t="n">
        <v>0.461538462</v>
      </c>
      <c r="H1472" s="9" t="n">
        <v>2</v>
      </c>
      <c r="I1472" s="10" t="n">
        <v>0.1428571428571428</v>
      </c>
      <c r="J1472" s="12">
        <f>I1472</f>
        <v/>
      </c>
      <c r="K1472" t="inlineStr">
        <is>
          <t>Distinguished</t>
        </is>
      </c>
      <c r="L1472" t="inlineStr">
        <is>
          <t>Professional</t>
        </is>
      </c>
      <c r="M1472" t="inlineStr">
        <is>
          <t>Ian Plamondon</t>
        </is>
      </c>
    </row>
    <row r="1473">
      <c r="A1473" s="9" t="inlineStr">
        <is>
          <t>Philip Thomas</t>
        </is>
      </c>
      <c r="B1473" s="9" t="inlineStr">
        <is>
          <t>10/5/25 - 11/1/25</t>
        </is>
      </c>
      <c r="C1473" s="12" t="n">
        <v>0.7125</v>
      </c>
      <c r="D1473" s="12" t="n">
        <v>1.3997</v>
      </c>
      <c r="E1473" s="12" t="n">
        <v>0.723684210526315</v>
      </c>
      <c r="F1473" s="12" t="n">
        <v>0.9090909090909089</v>
      </c>
      <c r="G1473" s="12" t="n">
        <v>0</v>
      </c>
      <c r="H1473" s="9" t="n">
        <v>1</v>
      </c>
      <c r="I1473" s="10" t="inlineStr">
        <is>
          <t>1/8</t>
        </is>
      </c>
      <c r="J1473" s="12" t="n">
        <v>0.13</v>
      </c>
      <c r="K1473" t="inlineStr">
        <is>
          <t>Premium</t>
        </is>
      </c>
      <c r="L1473" t="inlineStr">
        <is>
          <t>Professional</t>
        </is>
      </c>
      <c r="M1473" t="inlineStr">
        <is>
          <t>Annelies de Groot</t>
        </is>
      </c>
    </row>
    <row r="1474">
      <c r="A1474" s="9" t="inlineStr">
        <is>
          <t>Philip Thomas</t>
        </is>
      </c>
      <c r="B1474" s="9" t="inlineStr">
        <is>
          <t>10/5/25 - 11/1/25</t>
        </is>
      </c>
      <c r="C1474" s="12" t="n">
        <v>0.7125</v>
      </c>
      <c r="D1474" s="12" t="n">
        <v>1.3997</v>
      </c>
      <c r="E1474" s="12" t="n">
        <v>0.723684210526315</v>
      </c>
      <c r="F1474" s="12" t="n">
        <v>0.9090909090909089</v>
      </c>
      <c r="G1474" s="12" t="n">
        <v>0</v>
      </c>
      <c r="H1474" s="9" t="n">
        <v>1</v>
      </c>
      <c r="I1474" s="10" t="inlineStr">
        <is>
          <t>1/8</t>
        </is>
      </c>
      <c r="J1474" s="12">
        <f>_xlfn.TEXTBEFORE(I1474, "/")/_xlfn.TEXTAFTER(I1474,"/")</f>
        <v/>
      </c>
      <c r="K1474" t="inlineStr">
        <is>
          <t>Premium</t>
        </is>
      </c>
      <c r="L1474" t="inlineStr">
        <is>
          <t>Professional</t>
        </is>
      </c>
      <c r="M1474" t="inlineStr">
        <is>
          <t>Annelies de Groot</t>
        </is>
      </c>
    </row>
    <row r="1475">
      <c r="A1475" s="9" t="inlineStr">
        <is>
          <t>Philip Thomas</t>
        </is>
      </c>
      <c r="B1475" s="9" t="inlineStr">
        <is>
          <t>11/2/25 - 11/29/25</t>
        </is>
      </c>
      <c r="C1475" s="12" t="n">
        <v>0.8</v>
      </c>
      <c r="D1475" s="12" t="n">
        <v>1.34</v>
      </c>
      <c r="E1475" s="12" t="n">
        <v>0.5</v>
      </c>
      <c r="F1475" s="12" t="n">
        <v>0.98</v>
      </c>
      <c r="G1475" s="12" t="n">
        <v>0.4</v>
      </c>
      <c r="H1475" s="9" t="n">
        <v>2</v>
      </c>
      <c r="I1475" s="13" t="inlineStr">
        <is>
          <t>0/3</t>
        </is>
      </c>
      <c r="J1475" s="12" t="n">
        <v>0</v>
      </c>
      <c r="K1475" t="inlineStr">
        <is>
          <t>Premium</t>
        </is>
      </c>
      <c r="L1475" t="inlineStr">
        <is>
          <t>Professional</t>
        </is>
      </c>
      <c r="M1475" t="inlineStr">
        <is>
          <t>Annelies de Groot</t>
        </is>
      </c>
    </row>
    <row r="1476">
      <c r="A1476" s="9" t="inlineStr">
        <is>
          <t>Philip Thomas</t>
        </is>
      </c>
      <c r="B1476" s="9" t="inlineStr">
        <is>
          <t>11/30/25 - 12/27/25</t>
        </is>
      </c>
      <c r="C1476" s="12" t="n">
        <v>0.5600000000000001</v>
      </c>
      <c r="D1476" s="12" t="n">
        <v>1.22</v>
      </c>
      <c r="E1476" s="12" t="n">
        <v>0.66</v>
      </c>
      <c r="F1476" s="12" t="n">
        <v>0.67</v>
      </c>
      <c r="G1476" s="12" t="n">
        <v>0.7</v>
      </c>
      <c r="H1476" s="9" t="n">
        <v>4</v>
      </c>
      <c r="I1476" s="10" t="inlineStr">
        <is>
          <t>0/5</t>
        </is>
      </c>
      <c r="J1476" s="12" t="n">
        <v>0</v>
      </c>
      <c r="K1476" t="inlineStr">
        <is>
          <t>Premium</t>
        </is>
      </c>
      <c r="L1476" t="inlineStr">
        <is>
          <t>Professional</t>
        </is>
      </c>
      <c r="M1476" t="inlineStr">
        <is>
          <t>Annelies de Groot</t>
        </is>
      </c>
    </row>
    <row r="1477">
      <c r="A1477" s="9" t="inlineStr">
        <is>
          <t>Philip Thomas</t>
        </is>
      </c>
      <c r="B1477" s="9" t="inlineStr">
        <is>
          <t>12/28/25 - 1/25/26</t>
        </is>
      </c>
      <c r="C1477" s="12" t="n">
        <v>0.9438</v>
      </c>
      <c r="D1477" s="12" t="n">
        <v>1.4243</v>
      </c>
      <c r="E1477" s="12" t="n">
        <v>0.62745098</v>
      </c>
      <c r="F1477" s="12" t="n">
        <v>0.460526316</v>
      </c>
      <c r="G1477" s="12" t="n">
        <v>0.19047619</v>
      </c>
      <c r="H1477" s="9" t="n">
        <v>3</v>
      </c>
      <c r="I1477" s="10" t="n">
        <v>0.1428571428571428</v>
      </c>
      <c r="J1477" s="12">
        <f>I1477</f>
        <v/>
      </c>
      <c r="K1477" t="inlineStr">
        <is>
          <t>Premium</t>
        </is>
      </c>
      <c r="L1477" t="inlineStr">
        <is>
          <t>Professional</t>
        </is>
      </c>
      <c r="M1477" t="inlineStr">
        <is>
          <t>Annelies de Groot</t>
        </is>
      </c>
    </row>
    <row r="1478">
      <c r="A1478" s="9" t="inlineStr">
        <is>
          <t>Philip Thomas</t>
        </is>
      </c>
      <c r="B1478" s="9" t="inlineStr">
        <is>
          <t>5/18/25 - 6/14/25</t>
        </is>
      </c>
      <c r="C1478" s="12" t="n">
        <v>1.19</v>
      </c>
      <c r="D1478" s="12" t="n">
        <v>1.13</v>
      </c>
      <c r="E1478" s="12" t="n">
        <v>0.52</v>
      </c>
      <c r="F1478" s="12" t="n">
        <v>0.6899999999999999</v>
      </c>
      <c r="G1478" s="12" t="n">
        <v>0.6</v>
      </c>
      <c r="H1478" s="9" t="n">
        <v>7</v>
      </c>
      <c r="I1478" s="10" t="inlineStr">
        <is>
          <t xml:space="preserve"> 1/5</t>
        </is>
      </c>
      <c r="J1478" s="12" t="n">
        <v>0.2</v>
      </c>
      <c r="K1478" t="inlineStr">
        <is>
          <t>Premium</t>
        </is>
      </c>
      <c r="L1478" t="inlineStr">
        <is>
          <t>Professional</t>
        </is>
      </c>
      <c r="M1478" t="inlineStr">
        <is>
          <t>Annelies de Groot</t>
        </is>
      </c>
    </row>
    <row r="1479">
      <c r="A1479" s="9" t="inlineStr">
        <is>
          <t>Philip Thomas</t>
        </is>
      </c>
      <c r="B1479" s="9" t="inlineStr">
        <is>
          <t>6/15/25 - 7/12/25</t>
        </is>
      </c>
      <c r="C1479" s="12" t="n">
        <v>0.9399999999999999</v>
      </c>
      <c r="D1479" s="12" t="n">
        <v>1.14</v>
      </c>
      <c r="E1479" s="12" t="n">
        <v>0.44</v>
      </c>
      <c r="F1479" s="12" t="n">
        <v>0.82</v>
      </c>
      <c r="G1479" s="12" t="n">
        <v>0.36</v>
      </c>
      <c r="H1479" s="9" t="n">
        <v>5</v>
      </c>
      <c r="I1479" s="10" t="n">
        <v>0</v>
      </c>
      <c r="J1479" s="12">
        <f>I1479</f>
        <v/>
      </c>
      <c r="K1479" t="inlineStr">
        <is>
          <t>Premium</t>
        </is>
      </c>
      <c r="L1479" t="inlineStr">
        <is>
          <t>Professional</t>
        </is>
      </c>
      <c r="M1479" t="inlineStr">
        <is>
          <t>Annelies de Groot</t>
        </is>
      </c>
    </row>
    <row r="1480">
      <c r="A1480" s="9" t="inlineStr">
        <is>
          <t>Philip Thomas</t>
        </is>
      </c>
      <c r="B1480" s="9" t="inlineStr">
        <is>
          <t>7/13/25 - 8/10/25</t>
        </is>
      </c>
      <c r="C1480" s="12" t="n">
        <v>1.23</v>
      </c>
      <c r="D1480" s="12" t="n">
        <v>1.22</v>
      </c>
      <c r="E1480" s="12" t="n">
        <v>0.49</v>
      </c>
      <c r="F1480" s="12" t="n">
        <v>0.91</v>
      </c>
      <c r="G1480" s="12" t="n">
        <v>0.18</v>
      </c>
      <c r="H1480" s="9" t="n">
        <v>4</v>
      </c>
      <c r="J1480" s="9" t="n"/>
      <c r="K1480" t="inlineStr">
        <is>
          <t>Premium</t>
        </is>
      </c>
      <c r="L1480" t="inlineStr">
        <is>
          <t>Professional</t>
        </is>
      </c>
      <c r="M1480" t="inlineStr">
        <is>
          <t>Annelies de Groot</t>
        </is>
      </c>
    </row>
    <row r="1481">
      <c r="A1481" s="9" t="inlineStr">
        <is>
          <t>Philip Thomas</t>
        </is>
      </c>
      <c r="B1481" s="9" t="inlineStr">
        <is>
          <t>8/10/25 - 9/6/25</t>
        </is>
      </c>
      <c r="C1481" s="12" t="n">
        <v>1.03</v>
      </c>
      <c r="D1481" s="12" t="n">
        <v>1.21</v>
      </c>
      <c r="E1481" s="12" t="n">
        <v>0.36</v>
      </c>
      <c r="F1481" s="12" t="n">
        <v>0.82</v>
      </c>
      <c r="G1481" s="12" t="n">
        <v>0.17</v>
      </c>
      <c r="H1481" s="9" t="n">
        <v>4</v>
      </c>
      <c r="I1481" s="11" t="n"/>
      <c r="J1481" s="9" t="n"/>
      <c r="K1481" t="inlineStr">
        <is>
          <t>Premium</t>
        </is>
      </c>
      <c r="L1481" t="inlineStr">
        <is>
          <t>Professional</t>
        </is>
      </c>
      <c r="M1481" t="inlineStr">
        <is>
          <t>Annelies de Groot</t>
        </is>
      </c>
    </row>
    <row r="1482">
      <c r="A1482" s="9" t="inlineStr">
        <is>
          <t>Philip Thomas</t>
        </is>
      </c>
      <c r="B1482" s="9" t="inlineStr">
        <is>
          <t>9/7/25 - 10/4/25</t>
        </is>
      </c>
      <c r="C1482" s="12" t="n">
        <v>0.67</v>
      </c>
      <c r="D1482" s="12" t="n">
        <v>1.41</v>
      </c>
      <c r="E1482" s="12" t="n">
        <v>0.51</v>
      </c>
      <c r="F1482" s="12" t="n">
        <v>0.75</v>
      </c>
      <c r="G1482" s="12" t="n">
        <v>0</v>
      </c>
      <c r="H1482" s="9" t="n">
        <v>4</v>
      </c>
      <c r="I1482" s="11" t="n"/>
      <c r="J1482" s="9" t="n"/>
      <c r="K1482" t="inlineStr">
        <is>
          <t>Premium</t>
        </is>
      </c>
      <c r="L1482" t="inlineStr">
        <is>
          <t>Professional</t>
        </is>
      </c>
      <c r="M1482" t="inlineStr">
        <is>
          <t>Annelies de Groot</t>
        </is>
      </c>
    </row>
    <row r="1483">
      <c r="A1483" s="9" t="inlineStr">
        <is>
          <t>Preston Peoples</t>
        </is>
      </c>
      <c r="B1483" s="9" t="inlineStr">
        <is>
          <t>10/5/25 - 11/1/25</t>
        </is>
      </c>
      <c r="C1483" s="12" t="n">
        <v>0.95</v>
      </c>
      <c r="D1483" s="12" t="n">
        <v>0.9408</v>
      </c>
      <c r="E1483" s="12" t="n">
        <v>0.8878504672897189</v>
      </c>
      <c r="F1483" s="12" t="n">
        <v>0.7671232876712319</v>
      </c>
      <c r="G1483" s="12" t="n">
        <v>0.444444444444444</v>
      </c>
      <c r="H1483" s="9" t="n">
        <v>7</v>
      </c>
      <c r="I1483" s="10" t="inlineStr">
        <is>
          <t>1/8</t>
        </is>
      </c>
      <c r="J1483" s="12" t="n">
        <v>0.13</v>
      </c>
      <c r="K1483" t="inlineStr">
        <is>
          <t>Distinguished</t>
        </is>
      </c>
      <c r="L1483" t="inlineStr">
        <is>
          <t>Professional</t>
        </is>
      </c>
      <c r="M1483" t="inlineStr">
        <is>
          <t>Annelies de Groot</t>
        </is>
      </c>
    </row>
    <row r="1484">
      <c r="A1484" s="9" t="inlineStr">
        <is>
          <t>Preston Peoples</t>
        </is>
      </c>
      <c r="B1484" s="9" t="inlineStr">
        <is>
          <t>10/5/25 - 11/1/25</t>
        </is>
      </c>
      <c r="C1484" s="12" t="n">
        <v>0.95</v>
      </c>
      <c r="D1484" s="12" t="n">
        <v>0.9408</v>
      </c>
      <c r="E1484" s="12" t="n">
        <v>0.8878504672897189</v>
      </c>
      <c r="F1484" s="12" t="n">
        <v>0.7671232876712319</v>
      </c>
      <c r="G1484" s="12" t="n">
        <v>0.444444444444444</v>
      </c>
      <c r="H1484" s="9" t="n">
        <v>7</v>
      </c>
      <c r="I1484" s="10" t="inlineStr">
        <is>
          <t>1/8</t>
        </is>
      </c>
      <c r="J1484" s="12">
        <f>_xlfn.TEXTBEFORE(I1484, "/")/_xlfn.TEXTAFTER(I1484,"/")</f>
        <v/>
      </c>
      <c r="K1484" t="inlineStr">
        <is>
          <t>Distinguished</t>
        </is>
      </c>
      <c r="L1484" t="inlineStr">
        <is>
          <t>Professional</t>
        </is>
      </c>
      <c r="M1484" t="inlineStr">
        <is>
          <t>Annelies de Groot</t>
        </is>
      </c>
    </row>
    <row r="1485">
      <c r="A1485" s="9" t="inlineStr">
        <is>
          <t>Preston Peoples</t>
        </is>
      </c>
      <c r="B1485" s="9" t="inlineStr">
        <is>
          <t>11/2/25 - 11/29/25</t>
        </is>
      </c>
      <c r="C1485" s="12" t="n">
        <v>1.03</v>
      </c>
      <c r="D1485" s="12" t="n">
        <v>1</v>
      </c>
      <c r="E1485" s="12" t="n">
        <v>0.9399999999999999</v>
      </c>
      <c r="F1485" s="12" t="n">
        <v>0.83</v>
      </c>
      <c r="G1485" s="12" t="n">
        <v>0.9</v>
      </c>
      <c r="H1485" s="9" t="n">
        <v>5</v>
      </c>
      <c r="I1485" s="13" t="inlineStr">
        <is>
          <t>0/6</t>
        </is>
      </c>
      <c r="J1485" s="12" t="n">
        <v>0</v>
      </c>
      <c r="K1485" t="inlineStr">
        <is>
          <t>Distinguished</t>
        </is>
      </c>
      <c r="L1485" t="inlineStr">
        <is>
          <t>Professional</t>
        </is>
      </c>
      <c r="M1485" t="inlineStr">
        <is>
          <t>Annelies de Groot</t>
        </is>
      </c>
    </row>
    <row r="1486">
      <c r="A1486" s="9" t="inlineStr">
        <is>
          <t>Preston Peoples</t>
        </is>
      </c>
      <c r="B1486" s="9" t="inlineStr">
        <is>
          <t>11/30/25 - 12/27/25</t>
        </is>
      </c>
      <c r="C1486" s="12" t="n">
        <v>0.98</v>
      </c>
      <c r="D1486" s="12" t="n">
        <v>0.91</v>
      </c>
      <c r="E1486" s="12" t="n">
        <v>0.93</v>
      </c>
      <c r="F1486" s="12" t="n">
        <v>0.72</v>
      </c>
      <c r="G1486" s="12" t="n">
        <v>0.7</v>
      </c>
      <c r="H1486" s="9" t="n">
        <v>10</v>
      </c>
      <c r="I1486" s="10" t="n">
        <v>0.125</v>
      </c>
      <c r="J1486" s="12">
        <f>1/8</f>
        <v/>
      </c>
      <c r="K1486" t="inlineStr">
        <is>
          <t>Distinguished</t>
        </is>
      </c>
      <c r="L1486" t="inlineStr">
        <is>
          <t>Professional</t>
        </is>
      </c>
      <c r="M1486" t="inlineStr">
        <is>
          <t>Annelies de Groot</t>
        </is>
      </c>
    </row>
    <row r="1487">
      <c r="A1487" s="9" t="inlineStr">
        <is>
          <t>Preston Peoples</t>
        </is>
      </c>
      <c r="B1487" s="9" t="inlineStr">
        <is>
          <t>12/28/25 - 1/25/26</t>
        </is>
      </c>
      <c r="C1487" s="12" t="n">
        <v>0.7833</v>
      </c>
      <c r="D1487" s="12" t="n">
        <v>0.7484</v>
      </c>
      <c r="E1487" s="12" t="n">
        <v>0.966292135</v>
      </c>
      <c r="F1487" s="12" t="n">
        <v>0.548387097</v>
      </c>
      <c r="G1487" s="12" t="n">
        <v>0.5</v>
      </c>
      <c r="H1487" s="9" t="n">
        <v>18</v>
      </c>
      <c r="I1487" s="10" t="inlineStr">
        <is>
          <t>0/4</t>
        </is>
      </c>
      <c r="J1487" s="12" t="n">
        <v>0</v>
      </c>
      <c r="K1487" t="inlineStr">
        <is>
          <t>Distinguished</t>
        </is>
      </c>
      <c r="L1487" t="inlineStr">
        <is>
          <t>Professional</t>
        </is>
      </c>
      <c r="M1487" t="inlineStr">
        <is>
          <t>Annelies de Groot</t>
        </is>
      </c>
    </row>
    <row r="1488">
      <c r="A1488" s="9" t="inlineStr">
        <is>
          <t>Preston Peoples</t>
        </is>
      </c>
      <c r="B1488" s="9" t="inlineStr">
        <is>
          <t>5/18/25 - 6/14/25</t>
        </is>
      </c>
      <c r="C1488" s="12" t="n">
        <v>0.8100000000000001</v>
      </c>
      <c r="D1488" s="12" t="n">
        <v>0.97</v>
      </c>
      <c r="E1488" s="12" t="n">
        <v>0.86</v>
      </c>
      <c r="F1488" s="12" t="n">
        <v>0.96</v>
      </c>
      <c r="G1488" s="12" t="n">
        <v>1</v>
      </c>
      <c r="H1488" s="9" t="n">
        <v>2</v>
      </c>
      <c r="I1488" s="10" t="inlineStr">
        <is>
          <t xml:space="preserve"> 1/3</t>
        </is>
      </c>
      <c r="J1488" s="12">
        <f>1/3</f>
        <v/>
      </c>
      <c r="K1488" t="inlineStr">
        <is>
          <t>Distinguished</t>
        </is>
      </c>
      <c r="L1488" t="inlineStr">
        <is>
          <t>Professional</t>
        </is>
      </c>
      <c r="M1488" t="inlineStr">
        <is>
          <t>Annelies de Groot</t>
        </is>
      </c>
    </row>
    <row r="1489">
      <c r="A1489" s="9" t="inlineStr">
        <is>
          <t>Preston Peoples</t>
        </is>
      </c>
      <c r="B1489" s="9" t="inlineStr">
        <is>
          <t>6/15/25 - 7/12/25</t>
        </is>
      </c>
      <c r="C1489" s="12" t="n">
        <v>0.8</v>
      </c>
      <c r="D1489" s="12" t="n">
        <v>1.04</v>
      </c>
      <c r="E1489" s="12" t="n">
        <v>0.97</v>
      </c>
      <c r="F1489" s="12" t="n">
        <v>0.9399999999999999</v>
      </c>
      <c r="G1489" s="12" t="n">
        <v>0.62</v>
      </c>
      <c r="H1489" s="9" t="n">
        <v>1</v>
      </c>
      <c r="I1489" s="10" t="inlineStr">
        <is>
          <t xml:space="preserve"> 4/7</t>
        </is>
      </c>
      <c r="J1489" s="12" t="n">
        <v>0.57</v>
      </c>
      <c r="K1489" t="inlineStr">
        <is>
          <t>Distinguished</t>
        </is>
      </c>
      <c r="L1489" t="inlineStr">
        <is>
          <t>Professional</t>
        </is>
      </c>
      <c r="M1489" t="inlineStr">
        <is>
          <t>Annelies de Groot</t>
        </is>
      </c>
    </row>
    <row r="1490">
      <c r="A1490" s="9" t="inlineStr">
        <is>
          <t>Preston Peoples</t>
        </is>
      </c>
      <c r="B1490" s="9" t="inlineStr">
        <is>
          <t>7/13/25 - 8/10/25</t>
        </is>
      </c>
      <c r="C1490" s="12" t="n">
        <v>1.23</v>
      </c>
      <c r="D1490" s="12" t="n">
        <v>1.14</v>
      </c>
      <c r="E1490" s="12" t="n">
        <v>0.91</v>
      </c>
      <c r="F1490" s="12" t="n">
        <v>0.82</v>
      </c>
      <c r="G1490" s="12" t="n">
        <v>0.29</v>
      </c>
      <c r="H1490" s="9" t="n">
        <v>7</v>
      </c>
      <c r="I1490" s="10" t="inlineStr">
        <is>
          <t xml:space="preserve"> 1/2</t>
        </is>
      </c>
      <c r="J1490" s="12" t="n">
        <v>0.5</v>
      </c>
      <c r="K1490" t="inlineStr">
        <is>
          <t>Distinguished</t>
        </is>
      </c>
      <c r="L1490" t="inlineStr">
        <is>
          <t>Professional</t>
        </is>
      </c>
      <c r="M1490" t="inlineStr">
        <is>
          <t>Annelies de Groot</t>
        </is>
      </c>
    </row>
    <row r="1491">
      <c r="A1491" s="9" t="inlineStr">
        <is>
          <t>Preston Peoples</t>
        </is>
      </c>
      <c r="B1491" s="9" t="inlineStr">
        <is>
          <t>8/10/25 - 9/6/25</t>
        </is>
      </c>
      <c r="C1491" s="12" t="n">
        <v>1.28</v>
      </c>
      <c r="D1491" s="12" t="n">
        <v>1.07</v>
      </c>
      <c r="E1491" s="12" t="n">
        <v>0.91</v>
      </c>
      <c r="F1491" s="12" t="n">
        <v>0.8</v>
      </c>
      <c r="G1491" s="12" t="n">
        <v>0.07000000000000001</v>
      </c>
      <c r="H1491" s="9" t="n">
        <v>6</v>
      </c>
      <c r="I1491" s="10" t="inlineStr">
        <is>
          <t>2/4</t>
        </is>
      </c>
      <c r="J1491" s="12" t="n">
        <v>0.5</v>
      </c>
      <c r="K1491" t="inlineStr">
        <is>
          <t>Distinguished</t>
        </is>
      </c>
      <c r="L1491" t="inlineStr">
        <is>
          <t>Professional</t>
        </is>
      </c>
      <c r="M1491" t="inlineStr">
        <is>
          <t>Annelies de Groot</t>
        </is>
      </c>
    </row>
    <row r="1492">
      <c r="A1492" s="9" t="inlineStr">
        <is>
          <t>Preston Peoples</t>
        </is>
      </c>
      <c r="B1492" s="9" t="inlineStr">
        <is>
          <t>9/7/25 - 10/4/25</t>
        </is>
      </c>
      <c r="C1492" s="12" t="n">
        <v>1.11</v>
      </c>
      <c r="D1492" s="12" t="n">
        <v>1.09</v>
      </c>
      <c r="E1492" s="12" t="n">
        <v>0.89</v>
      </c>
      <c r="F1492" s="12" t="n">
        <v>0.75</v>
      </c>
      <c r="G1492" s="12" t="n">
        <v>0.16</v>
      </c>
      <c r="H1492" s="9" t="n">
        <v>5</v>
      </c>
      <c r="I1492" s="10" t="inlineStr">
        <is>
          <t>2/5</t>
        </is>
      </c>
      <c r="J1492" s="12" t="n">
        <v>0.4</v>
      </c>
      <c r="K1492" t="inlineStr">
        <is>
          <t>Distinguished</t>
        </is>
      </c>
      <c r="L1492" t="inlineStr">
        <is>
          <t>Professional</t>
        </is>
      </c>
      <c r="M1492" t="inlineStr">
        <is>
          <t>Annelies de Groot</t>
        </is>
      </c>
    </row>
    <row r="1493">
      <c r="A1493" s="9" t="inlineStr">
        <is>
          <t>Q. Monét Travis</t>
        </is>
      </c>
      <c r="B1493" s="9" t="inlineStr">
        <is>
          <t>10/5/25 - 11/1/25</t>
        </is>
      </c>
      <c r="C1493" s="12" t="n">
        <v>1.16879999999999</v>
      </c>
      <c r="D1493" s="12" t="n">
        <v>1.17709999999999</v>
      </c>
      <c r="E1493" s="12" t="n">
        <v>0.981132075471698</v>
      </c>
      <c r="F1493" s="12" t="n">
        <v>0.978260869565217</v>
      </c>
      <c r="G1493" s="12" t="n">
        <v>0.96</v>
      </c>
      <c r="H1493" s="9" t="n">
        <v>12</v>
      </c>
      <c r="I1493" s="10" t="inlineStr">
        <is>
          <t>1/1</t>
        </is>
      </c>
      <c r="J1493" s="12" t="n">
        <v>1</v>
      </c>
      <c r="K1493" t="inlineStr">
        <is>
          <t>Distinguished</t>
        </is>
      </c>
      <c r="L1493" t="inlineStr">
        <is>
          <t>Adjunct</t>
        </is>
      </c>
      <c r="M1493" t="inlineStr">
        <is>
          <t>Ela Cross</t>
        </is>
      </c>
    </row>
    <row r="1494">
      <c r="A1494" s="9" t="inlineStr">
        <is>
          <t>Q. Monét Travis</t>
        </is>
      </c>
      <c r="B1494" s="9" t="inlineStr">
        <is>
          <t>11/2/25 - 11/29/25</t>
        </is>
      </c>
      <c r="C1494" s="12" t="n">
        <v>1.09</v>
      </c>
      <c r="D1494" s="12" t="n">
        <v>1.1</v>
      </c>
      <c r="E1494" s="12" t="n">
        <v>0.96</v>
      </c>
      <c r="F1494" s="12" t="n">
        <v>0.95</v>
      </c>
      <c r="G1494" s="12" t="n">
        <v>0.96</v>
      </c>
      <c r="H1494" s="9" t="n">
        <v>14</v>
      </c>
      <c r="I1494" s="13" t="n"/>
      <c r="J1494" s="9" t="n"/>
      <c r="K1494" t="inlineStr">
        <is>
          <t>Distinguished</t>
        </is>
      </c>
      <c r="L1494" t="inlineStr">
        <is>
          <t>Adjunct</t>
        </is>
      </c>
      <c r="M1494" t="inlineStr">
        <is>
          <t>Ela Cross</t>
        </is>
      </c>
    </row>
    <row r="1495">
      <c r="A1495" s="9" t="inlineStr">
        <is>
          <t>Q. Monét Travis</t>
        </is>
      </c>
      <c r="B1495" s="9" t="inlineStr">
        <is>
          <t>11/30/25 - 12/27/25</t>
        </is>
      </c>
      <c r="C1495" s="12" t="n">
        <v>0.79</v>
      </c>
      <c r="D1495" s="12" t="n">
        <v>0.92</v>
      </c>
      <c r="E1495" s="12" t="n">
        <v>0.97</v>
      </c>
      <c r="F1495" s="12" t="n">
        <v>0.97</v>
      </c>
      <c r="G1495" s="12" t="n">
        <v>0.96</v>
      </c>
      <c r="H1495" s="9" t="n">
        <v>8</v>
      </c>
      <c r="I1495" s="10" t="n"/>
      <c r="J1495" s="12" t="n"/>
      <c r="K1495" t="inlineStr">
        <is>
          <t>Distinguished</t>
        </is>
      </c>
      <c r="L1495" t="inlineStr">
        <is>
          <t>Adjunct</t>
        </is>
      </c>
      <c r="M1495" t="inlineStr">
        <is>
          <t>Ela Cross</t>
        </is>
      </c>
    </row>
    <row r="1496">
      <c r="A1496" s="9" t="inlineStr">
        <is>
          <t>Q. Monét Travis</t>
        </is>
      </c>
      <c r="B1496" s="9" t="inlineStr">
        <is>
          <t>12/28/25 - 1/25/26</t>
        </is>
      </c>
      <c r="C1496" s="12" t="n">
        <v>0.6313</v>
      </c>
      <c r="D1496" s="12" t="n">
        <v>0.8056</v>
      </c>
      <c r="E1496" s="12" t="n">
        <v>0.9625</v>
      </c>
      <c r="F1496" s="12" t="n">
        <v>0.958333333</v>
      </c>
      <c r="G1496" s="12" t="n">
        <v>1</v>
      </c>
      <c r="H1496" s="9" t="n">
        <v>8</v>
      </c>
      <c r="I1496" s="10" t="inlineStr">
        <is>
          <t>0/0</t>
        </is>
      </c>
      <c r="J1496" s="12" t="n">
        <v>0</v>
      </c>
      <c r="K1496" t="inlineStr">
        <is>
          <t>Distinguished</t>
        </is>
      </c>
      <c r="L1496" t="inlineStr">
        <is>
          <t>Adjunct</t>
        </is>
      </c>
      <c r="M1496" t="inlineStr">
        <is>
          <t>Ela Cross</t>
        </is>
      </c>
    </row>
    <row r="1497">
      <c r="A1497" s="9" t="inlineStr">
        <is>
          <t>Q. Monét Travis</t>
        </is>
      </c>
      <c r="B1497" s="9" t="inlineStr">
        <is>
          <t>5/18/25 - 6/14/25</t>
        </is>
      </c>
      <c r="C1497" s="12" t="n">
        <v>0.8100000000000001</v>
      </c>
      <c r="D1497" s="12" t="n">
        <v>1.05</v>
      </c>
      <c r="E1497" s="12" t="n">
        <v>0.98</v>
      </c>
      <c r="F1497" s="12" t="n">
        <v>0.97</v>
      </c>
      <c r="G1497" s="12" t="n">
        <v>0.9399999999999999</v>
      </c>
      <c r="H1497" s="9" t="n">
        <v>9</v>
      </c>
      <c r="J1497" s="9" t="n"/>
      <c r="K1497" t="inlineStr">
        <is>
          <t>Distinguished</t>
        </is>
      </c>
      <c r="L1497" t="inlineStr">
        <is>
          <t>Adjunct</t>
        </is>
      </c>
      <c r="M1497" t="inlineStr">
        <is>
          <t>Ela Cross</t>
        </is>
      </c>
    </row>
    <row r="1498">
      <c r="A1498" s="9" t="inlineStr">
        <is>
          <t>Q. Monét Travis</t>
        </is>
      </c>
      <c r="B1498" s="9" t="inlineStr">
        <is>
          <t>6/15/25 - 7/12/25</t>
        </is>
      </c>
      <c r="C1498" s="12" t="n">
        <v>0.53</v>
      </c>
      <c r="D1498" s="12" t="n">
        <v>0.73</v>
      </c>
      <c r="E1498" s="12" t="n">
        <v>1</v>
      </c>
      <c r="F1498" s="12" t="n">
        <v>0.97</v>
      </c>
      <c r="G1498" s="12" t="n">
        <v>0.79</v>
      </c>
      <c r="H1498" s="9" t="n">
        <v>6</v>
      </c>
      <c r="J1498" s="9" t="n"/>
      <c r="K1498" t="inlineStr">
        <is>
          <t>Distinguished</t>
        </is>
      </c>
      <c r="L1498" t="inlineStr">
        <is>
          <t>Adjunct</t>
        </is>
      </c>
      <c r="M1498" t="inlineStr">
        <is>
          <t>Ela Cross</t>
        </is>
      </c>
    </row>
    <row r="1499">
      <c r="A1499" s="9" t="inlineStr">
        <is>
          <t>Q. Monét Travis</t>
        </is>
      </c>
      <c r="B1499" s="9" t="inlineStr">
        <is>
          <t>7/13/25 - 8/10/25</t>
        </is>
      </c>
      <c r="C1499" s="12" t="n">
        <v>0.83</v>
      </c>
      <c r="D1499" s="12" t="n">
        <v>1.25</v>
      </c>
      <c r="E1499" s="12" t="n">
        <v>0.97</v>
      </c>
      <c r="F1499" s="12" t="n">
        <v>0.9399999999999999</v>
      </c>
      <c r="G1499" s="12" t="n">
        <v>0.75</v>
      </c>
      <c r="H1499" s="9" t="n">
        <v>12</v>
      </c>
      <c r="I1499" s="10" t="n">
        <v>1</v>
      </c>
      <c r="J1499" s="12">
        <f>I1499</f>
        <v/>
      </c>
      <c r="K1499" t="inlineStr">
        <is>
          <t>Distinguished</t>
        </is>
      </c>
      <c r="L1499" t="inlineStr">
        <is>
          <t>Adjunct</t>
        </is>
      </c>
      <c r="M1499" t="inlineStr">
        <is>
          <t>Ela Cross</t>
        </is>
      </c>
    </row>
    <row r="1500">
      <c r="A1500" s="9" t="inlineStr">
        <is>
          <t>Q. Monét Travis</t>
        </is>
      </c>
      <c r="B1500" s="9" t="inlineStr">
        <is>
          <t>8/10/25 - 9/6/25</t>
        </is>
      </c>
      <c r="C1500" s="12" t="n">
        <v>1.01</v>
      </c>
      <c r="D1500" s="12" t="n">
        <v>1.36</v>
      </c>
      <c r="E1500" s="12" t="n">
        <v>0.98</v>
      </c>
      <c r="F1500" s="12" t="n">
        <v>0.99</v>
      </c>
      <c r="G1500" s="12" t="n">
        <v>0.95</v>
      </c>
      <c r="H1500" s="9" t="n">
        <v>11</v>
      </c>
      <c r="I1500" s="10" t="inlineStr">
        <is>
          <t>0/4</t>
        </is>
      </c>
      <c r="J1500" s="12" t="n">
        <v>0</v>
      </c>
      <c r="K1500" t="inlineStr">
        <is>
          <t>Distinguished</t>
        </is>
      </c>
      <c r="L1500" t="inlineStr">
        <is>
          <t>Adjunct</t>
        </is>
      </c>
      <c r="M1500" t="inlineStr">
        <is>
          <t>Ela Cross</t>
        </is>
      </c>
    </row>
    <row r="1501">
      <c r="A1501" s="9" t="inlineStr">
        <is>
          <t>Q. Monét Travis</t>
        </is>
      </c>
      <c r="B1501" s="9" t="inlineStr">
        <is>
          <t>9/7/25 - 10/4/25</t>
        </is>
      </c>
      <c r="C1501" s="12" t="n">
        <v>1.01</v>
      </c>
      <c r="D1501" s="12" t="n">
        <v>1.38</v>
      </c>
      <c r="E1501" s="12" t="n">
        <v>0.98</v>
      </c>
      <c r="F1501" s="12" t="n">
        <v>0.98</v>
      </c>
      <c r="G1501" s="12" t="n">
        <v>1</v>
      </c>
      <c r="H1501" s="9" t="n">
        <v>12</v>
      </c>
      <c r="I1501" s="10" t="inlineStr">
        <is>
          <t>0/1</t>
        </is>
      </c>
      <c r="J1501" s="12" t="n">
        <v>0</v>
      </c>
      <c r="K1501" t="inlineStr">
        <is>
          <t>Distinguished</t>
        </is>
      </c>
      <c r="L1501" t="inlineStr">
        <is>
          <t>Adjunct</t>
        </is>
      </c>
      <c r="M1501" t="inlineStr">
        <is>
          <t>Ela Cross</t>
        </is>
      </c>
    </row>
    <row r="1502">
      <c r="A1502" s="9" t="inlineStr">
        <is>
          <t>Rachel Daku</t>
        </is>
      </c>
      <c r="B1502" s="9" t="inlineStr">
        <is>
          <t>10/5/25 - 11/1/25</t>
        </is>
      </c>
      <c r="C1502" s="12" t="n">
        <v>0.9530999999999999</v>
      </c>
      <c r="D1502" s="12" t="n">
        <v>1.4922</v>
      </c>
      <c r="E1502" s="12" t="n">
        <v>0.979591836734693</v>
      </c>
      <c r="F1502" s="12" t="n">
        <v>0.928571428571428</v>
      </c>
      <c r="G1502" s="12" t="n">
        <v>0.571428571428571</v>
      </c>
      <c r="H1502" s="9" t="n">
        <v>0</v>
      </c>
      <c r="I1502" s="10" t="inlineStr">
        <is>
          <t>1/1</t>
        </is>
      </c>
      <c r="J1502" s="12" t="n">
        <v>1</v>
      </c>
      <c r="K1502" t="e">
        <v>#N/A</v>
      </c>
      <c r="L1502" t="e">
        <v>#N/A</v>
      </c>
      <c r="M1502" t="e">
        <v>#N/A</v>
      </c>
    </row>
    <row r="1503">
      <c r="A1503" s="9" t="inlineStr">
        <is>
          <t>Rachel Daku</t>
        </is>
      </c>
      <c r="B1503" s="9" t="inlineStr">
        <is>
          <t>11/2/25 - 11/29/25</t>
        </is>
      </c>
      <c r="C1503" s="12" t="n">
        <v>0.39</v>
      </c>
      <c r="D1503" s="12" t="n">
        <v>1.75</v>
      </c>
      <c r="E1503" s="12" t="n">
        <v>1</v>
      </c>
      <c r="F1503" s="12" t="n">
        <v>1</v>
      </c>
      <c r="G1503" s="12" t="n">
        <v>0.25</v>
      </c>
      <c r="H1503" s="9" t="n">
        <v>2</v>
      </c>
      <c r="I1503" s="13" t="n">
        <v>45658</v>
      </c>
      <c r="J1503" s="12" t="n">
        <v>1</v>
      </c>
      <c r="K1503" t="e">
        <v>#N/A</v>
      </c>
      <c r="L1503" t="e">
        <v>#N/A</v>
      </c>
      <c r="M1503" t="e">
        <v>#N/A</v>
      </c>
    </row>
    <row r="1504">
      <c r="A1504" s="9" t="inlineStr">
        <is>
          <t>Rachel Daku</t>
        </is>
      </c>
      <c r="B1504" s="9" t="inlineStr">
        <is>
          <t>11/30/25 - 12/27/25</t>
        </is>
      </c>
      <c r="C1504" s="12" t="n">
        <v>0.52</v>
      </c>
      <c r="D1504" s="12" t="n">
        <v>1.89</v>
      </c>
      <c r="E1504" s="12" t="n">
        <v>1</v>
      </c>
      <c r="F1504" s="12" t="n">
        <v>1</v>
      </c>
      <c r="G1504" s="12" t="n">
        <v>0.5</v>
      </c>
      <c r="H1504" s="9" t="n">
        <v>0</v>
      </c>
      <c r="I1504" s="10" t="inlineStr">
        <is>
          <t>0/1</t>
        </is>
      </c>
      <c r="J1504" s="12" t="n">
        <v>0</v>
      </c>
      <c r="K1504" t="e">
        <v>#N/A</v>
      </c>
      <c r="L1504" t="e">
        <v>#N/A</v>
      </c>
      <c r="M1504" t="e">
        <v>#N/A</v>
      </c>
    </row>
    <row r="1505">
      <c r="A1505" s="9" t="inlineStr">
        <is>
          <t>Rachel Daku</t>
        </is>
      </c>
      <c r="B1505" s="9" t="inlineStr">
        <is>
          <t>12/28/25 - 1/25/26</t>
        </is>
      </c>
      <c r="C1505" s="12" t="n">
        <v>0.4167</v>
      </c>
      <c r="D1505" s="12" t="n">
        <v>1.8594</v>
      </c>
      <c r="E1505" s="12" t="n">
        <v>1</v>
      </c>
      <c r="F1505" s="12" t="n">
        <v>1</v>
      </c>
      <c r="G1505" s="12" t="n">
        <v>1</v>
      </c>
      <c r="H1505" s="9" t="n">
        <v>0</v>
      </c>
      <c r="I1505" s="10" t="n">
        <v>0.5</v>
      </c>
      <c r="J1505" s="12">
        <f>I1505</f>
        <v/>
      </c>
      <c r="K1505" t="e">
        <v>#N/A</v>
      </c>
      <c r="L1505" t="e">
        <v>#N/A</v>
      </c>
      <c r="M1505" t="e">
        <v>#N/A</v>
      </c>
    </row>
    <row r="1506">
      <c r="A1506" s="9" t="inlineStr">
        <is>
          <t>Rachel Daku</t>
        </is>
      </c>
      <c r="B1506" s="9" t="inlineStr">
        <is>
          <t>5/18/25 - 6/14/25</t>
        </is>
      </c>
      <c r="C1506" s="12" t="n">
        <v>1.54</v>
      </c>
      <c r="D1506" s="12" t="n">
        <v>1.58</v>
      </c>
      <c r="E1506" s="12" t="n">
        <v>0.99</v>
      </c>
      <c r="F1506" s="12" t="n">
        <v>0.72</v>
      </c>
      <c r="G1506" s="12" t="n">
        <v>0.64</v>
      </c>
      <c r="H1506" s="9" t="n">
        <v>6</v>
      </c>
      <c r="J1506" s="9" t="n"/>
      <c r="K1506" t="e">
        <v>#N/A</v>
      </c>
      <c r="L1506" t="e">
        <v>#N/A</v>
      </c>
      <c r="M1506" t="e">
        <v>#N/A</v>
      </c>
    </row>
    <row r="1507">
      <c r="A1507" s="9" t="inlineStr">
        <is>
          <t>Rachel Daku</t>
        </is>
      </c>
      <c r="B1507" s="9" t="inlineStr">
        <is>
          <t>6/15/25 - 7/12/25</t>
        </is>
      </c>
      <c r="C1507" s="12" t="n">
        <v>0.73</v>
      </c>
      <c r="D1507" s="12" t="n">
        <v>1.65</v>
      </c>
      <c r="E1507" s="12" t="n">
        <v>0.98</v>
      </c>
      <c r="F1507" s="12" t="n">
        <v>0.96</v>
      </c>
      <c r="G1507" s="12" t="n">
        <v>0.67</v>
      </c>
      <c r="H1507" s="9" t="n">
        <v>2</v>
      </c>
      <c r="J1507" s="9" t="n"/>
      <c r="K1507" t="e">
        <v>#N/A</v>
      </c>
      <c r="L1507" t="e">
        <v>#N/A</v>
      </c>
      <c r="M1507" t="e">
        <v>#N/A</v>
      </c>
    </row>
    <row r="1508">
      <c r="A1508" s="9" t="inlineStr">
        <is>
          <t>Rachel Daku</t>
        </is>
      </c>
      <c r="B1508" s="9" t="inlineStr">
        <is>
          <t>7/13/25 - 8/10/25</t>
        </is>
      </c>
      <c r="C1508" s="12" t="n">
        <v>0.88</v>
      </c>
      <c r="D1508" s="12" t="n">
        <v>1.8</v>
      </c>
      <c r="E1508" s="12" t="n">
        <v>1</v>
      </c>
      <c r="F1508" s="12" t="n">
        <v>1</v>
      </c>
      <c r="G1508" s="12" t="n">
        <v>-0.25</v>
      </c>
      <c r="H1508" s="9" t="e">
        <v>#N/A</v>
      </c>
      <c r="I1508" s="10" t="inlineStr">
        <is>
          <t xml:space="preserve"> 2/3</t>
        </is>
      </c>
      <c r="J1508" s="12" t="n">
        <v>0.67</v>
      </c>
      <c r="K1508" t="e">
        <v>#N/A</v>
      </c>
      <c r="L1508" t="e">
        <v>#N/A</v>
      </c>
      <c r="M1508" t="e">
        <v>#N/A</v>
      </c>
    </row>
    <row r="1509">
      <c r="A1509" s="9" t="inlineStr">
        <is>
          <t>Rachel Daku</t>
        </is>
      </c>
      <c r="B1509" s="9" t="inlineStr">
        <is>
          <t>8/10/25 - 9/6/25</t>
        </is>
      </c>
      <c r="C1509" s="12" t="n">
        <v>0.8100000000000001</v>
      </c>
      <c r="D1509" s="12" t="n">
        <v>1.14</v>
      </c>
      <c r="E1509" s="12" t="n">
        <v>1</v>
      </c>
      <c r="F1509" s="12" t="n">
        <v>0.91</v>
      </c>
      <c r="G1509" s="12" t="n">
        <v>0.29</v>
      </c>
      <c r="H1509" s="9" t="n">
        <v>1</v>
      </c>
      <c r="I1509" s="11" t="n"/>
      <c r="J1509" s="9" t="n"/>
      <c r="K1509" t="e">
        <v>#N/A</v>
      </c>
      <c r="L1509" t="e">
        <v>#N/A</v>
      </c>
      <c r="M1509" t="e">
        <v>#N/A</v>
      </c>
    </row>
    <row r="1510">
      <c r="A1510" s="9" t="inlineStr">
        <is>
          <t>Rachel Daku</t>
        </is>
      </c>
      <c r="B1510" s="9" t="inlineStr">
        <is>
          <t>9/7/25 - 10/4/25</t>
        </is>
      </c>
      <c r="C1510" s="12" t="n">
        <v>0.9399999999999999</v>
      </c>
      <c r="D1510" s="12" t="n">
        <v>2.22</v>
      </c>
      <c r="E1510" s="12" t="n">
        <v>1</v>
      </c>
      <c r="F1510" s="12" t="n">
        <v>1</v>
      </c>
      <c r="G1510" s="12" t="n">
        <v>0.75</v>
      </c>
      <c r="H1510" s="9" t="n">
        <v>1</v>
      </c>
      <c r="I1510" s="10" t="inlineStr">
        <is>
          <t>1/1</t>
        </is>
      </c>
      <c r="J1510" s="12" t="n">
        <v>1</v>
      </c>
      <c r="K1510" t="e">
        <v>#N/A</v>
      </c>
      <c r="L1510" t="e">
        <v>#N/A</v>
      </c>
      <c r="M1510" t="e">
        <v>#N/A</v>
      </c>
    </row>
    <row r="1511">
      <c r="A1511" s="9" t="inlineStr">
        <is>
          <t>Rafi Overton</t>
        </is>
      </c>
      <c r="B1511" s="9" t="inlineStr">
        <is>
          <t>12/28/25 - 1/25/26</t>
        </is>
      </c>
      <c r="C1511" s="12" t="n">
        <v>0</v>
      </c>
      <c r="D1511" s="12" t="n">
        <v>0.5756</v>
      </c>
      <c r="E1511" s="12" t="n">
        <v>0</v>
      </c>
      <c r="F1511" s="12" t="n">
        <v>0</v>
      </c>
      <c r="G1511" s="12" t="n">
        <v>0</v>
      </c>
      <c r="H1511" s="9" t="n">
        <v>0</v>
      </c>
      <c r="I1511" s="10" t="inlineStr">
        <is>
          <t>0/0</t>
        </is>
      </c>
      <c r="J1511" s="12" t="n">
        <v>0</v>
      </c>
      <c r="K1511" t="inlineStr">
        <is>
          <t>Distinguished</t>
        </is>
      </c>
      <c r="L1511" t="inlineStr">
        <is>
          <t>Professional</t>
        </is>
      </c>
      <c r="M1511" t="inlineStr">
        <is>
          <t>Geoff St. Marie</t>
        </is>
      </c>
    </row>
    <row r="1512">
      <c r="A1512" s="9" t="inlineStr">
        <is>
          <t>Rain Real</t>
        </is>
      </c>
      <c r="B1512" s="9" t="inlineStr">
        <is>
          <t>12/28/25 - 1/25/26</t>
        </is>
      </c>
      <c r="C1512" s="12" t="n">
        <v>0</v>
      </c>
      <c r="D1512" s="12" t="n">
        <v>0.8633999999999999</v>
      </c>
      <c r="E1512" s="12" t="n">
        <v>0</v>
      </c>
      <c r="F1512" s="12" t="n">
        <v>0</v>
      </c>
      <c r="G1512" s="12" t="n">
        <v>0</v>
      </c>
      <c r="H1512" s="9" t="n">
        <v>0</v>
      </c>
      <c r="I1512" s="10" t="inlineStr">
        <is>
          <t>0/0</t>
        </is>
      </c>
      <c r="J1512" s="12" t="n">
        <v>0</v>
      </c>
      <c r="K1512" t="inlineStr">
        <is>
          <t>Distinguished</t>
        </is>
      </c>
      <c r="L1512" t="inlineStr">
        <is>
          <t>Professional</t>
        </is>
      </c>
      <c r="M1512" t="inlineStr">
        <is>
          <t>Annelies de Groot</t>
        </is>
      </c>
    </row>
    <row r="1513">
      <c r="A1513" s="9" t="inlineStr">
        <is>
          <t>Ralph Strope</t>
        </is>
      </c>
      <c r="B1513" s="9" t="inlineStr">
        <is>
          <t>10/5/25 - 11/1/25</t>
        </is>
      </c>
      <c r="C1513" s="12" t="n">
        <v>0.6875</v>
      </c>
      <c r="D1513" s="12" t="n">
        <v>1.0208</v>
      </c>
      <c r="E1513" s="12" t="n">
        <v>1</v>
      </c>
      <c r="F1513" s="12" t="n">
        <v>0.976744186046511</v>
      </c>
      <c r="G1513" s="12" t="n">
        <v>0.692307692307692</v>
      </c>
      <c r="H1513" s="9" t="n">
        <v>5</v>
      </c>
      <c r="I1513" s="10" t="n"/>
      <c r="J1513" s="12" t="n"/>
      <c r="K1513" t="inlineStr">
        <is>
          <t>Distinguished</t>
        </is>
      </c>
      <c r="L1513" t="inlineStr">
        <is>
          <t>Adjunct</t>
        </is>
      </c>
      <c r="M1513" t="inlineStr">
        <is>
          <t>Ela Cross</t>
        </is>
      </c>
    </row>
    <row r="1514">
      <c r="A1514" s="9" t="inlineStr">
        <is>
          <t>Ralph Strope</t>
        </is>
      </c>
      <c r="B1514" s="9" t="inlineStr">
        <is>
          <t>10/5/25 - 11/1/25</t>
        </is>
      </c>
      <c r="C1514" s="12" t="n">
        <v>0.6875</v>
      </c>
      <c r="D1514" s="12" t="n">
        <v>1.0208</v>
      </c>
      <c r="E1514" s="12" t="n">
        <v>1</v>
      </c>
      <c r="F1514" s="12" t="n">
        <v>0.976744186046511</v>
      </c>
      <c r="G1514" s="12" t="n">
        <v>0.692307692307692</v>
      </c>
      <c r="H1514" s="9" t="n">
        <v>5</v>
      </c>
      <c r="J1514" s="9" t="n"/>
      <c r="K1514" t="inlineStr">
        <is>
          <t>Distinguished</t>
        </is>
      </c>
      <c r="L1514" t="inlineStr">
        <is>
          <t>Adjunct</t>
        </is>
      </c>
      <c r="M1514" t="inlineStr">
        <is>
          <t>Ela Cross</t>
        </is>
      </c>
    </row>
    <row r="1515">
      <c r="A1515" s="9" t="inlineStr">
        <is>
          <t>Ralph Strope</t>
        </is>
      </c>
      <c r="B1515" s="9" t="inlineStr">
        <is>
          <t>11/2/25 - 11/29/25</t>
        </is>
      </c>
      <c r="C1515" s="12" t="n">
        <v>0.8</v>
      </c>
      <c r="D1515" s="12" t="n">
        <v>1.01</v>
      </c>
      <c r="E1515" s="12" t="n">
        <v>0.99</v>
      </c>
      <c r="F1515" s="12" t="n">
        <v>0.98</v>
      </c>
      <c r="G1515" s="12" t="n">
        <v>0.88</v>
      </c>
      <c r="H1515" s="9" t="n">
        <v>5</v>
      </c>
      <c r="I1515" s="13" t="n">
        <v>45666</v>
      </c>
      <c r="J1515" s="14" t="n">
        <v>0.11</v>
      </c>
      <c r="K1515" t="inlineStr">
        <is>
          <t>Distinguished</t>
        </is>
      </c>
      <c r="L1515" t="inlineStr">
        <is>
          <t>Adjunct</t>
        </is>
      </c>
      <c r="M1515" t="inlineStr">
        <is>
          <t>Ela Cross</t>
        </is>
      </c>
    </row>
    <row r="1516">
      <c r="A1516" s="9" t="inlineStr">
        <is>
          <t>Ralph Strope</t>
        </is>
      </c>
      <c r="B1516" s="9" t="inlineStr">
        <is>
          <t>11/30/25 - 12/27/25</t>
        </is>
      </c>
      <c r="C1516" s="12" t="n">
        <v>0.53</v>
      </c>
      <c r="D1516" s="12" t="n">
        <v>0.9</v>
      </c>
      <c r="E1516" s="12" t="n">
        <v>1</v>
      </c>
      <c r="F1516" s="12" t="n">
        <v>0.9399999999999999</v>
      </c>
      <c r="G1516" s="12" t="n">
        <v>0.8</v>
      </c>
      <c r="H1516" s="9" t="n">
        <v>2</v>
      </c>
      <c r="I1516" s="10" t="inlineStr">
        <is>
          <t>0/6</t>
        </is>
      </c>
      <c r="J1516" s="12" t="n">
        <v>0</v>
      </c>
      <c r="K1516" t="inlineStr">
        <is>
          <t>Distinguished</t>
        </is>
      </c>
      <c r="L1516" t="inlineStr">
        <is>
          <t>Adjunct</t>
        </is>
      </c>
      <c r="M1516" t="inlineStr">
        <is>
          <t>Ela Cross</t>
        </is>
      </c>
    </row>
    <row r="1517">
      <c r="A1517" s="9" t="inlineStr">
        <is>
          <t>Ralph Strope</t>
        </is>
      </c>
      <c r="B1517" s="9" t="inlineStr">
        <is>
          <t>12/28/25 - 1/25/26</t>
        </is>
      </c>
      <c r="C1517" s="12" t="n">
        <v>0.6625</v>
      </c>
      <c r="D1517" s="12" t="n">
        <v>1</v>
      </c>
      <c r="E1517" s="12" t="n">
        <v>1</v>
      </c>
      <c r="F1517" s="12" t="n">
        <v>1</v>
      </c>
      <c r="G1517" s="12" t="n">
        <v>1</v>
      </c>
      <c r="H1517" s="9" t="n">
        <v>3</v>
      </c>
      <c r="I1517" s="10" t="inlineStr">
        <is>
          <t>0/4</t>
        </is>
      </c>
      <c r="J1517" s="12" t="n">
        <v>0</v>
      </c>
      <c r="K1517" t="inlineStr">
        <is>
          <t>Distinguished</t>
        </is>
      </c>
      <c r="L1517" t="inlineStr">
        <is>
          <t>Adjunct</t>
        </is>
      </c>
      <c r="M1517" t="inlineStr">
        <is>
          <t>Ela Cross</t>
        </is>
      </c>
    </row>
    <row r="1518">
      <c r="A1518" s="9" t="inlineStr">
        <is>
          <t>Ralph Strope</t>
        </is>
      </c>
      <c r="B1518" s="9" t="inlineStr">
        <is>
          <t>5/18/25 - 6/14/25</t>
        </is>
      </c>
      <c r="C1518" s="12" t="n">
        <v>0.67</v>
      </c>
      <c r="D1518" s="12" t="n">
        <v>1.05</v>
      </c>
      <c r="E1518" s="12" t="n">
        <v>0.97</v>
      </c>
      <c r="F1518" s="12" t="n">
        <v>0.92</v>
      </c>
      <c r="G1518" s="12" t="n">
        <v>1</v>
      </c>
      <c r="H1518" s="9" t="e">
        <v>#N/A</v>
      </c>
      <c r="J1518" s="9" t="n"/>
      <c r="K1518" t="inlineStr">
        <is>
          <t>Distinguished</t>
        </is>
      </c>
      <c r="L1518" t="inlineStr">
        <is>
          <t>Adjunct</t>
        </is>
      </c>
      <c r="M1518" t="inlineStr">
        <is>
          <t>Ela Cross</t>
        </is>
      </c>
    </row>
    <row r="1519">
      <c r="A1519" s="9" t="inlineStr">
        <is>
          <t>Ralph Strope</t>
        </is>
      </c>
      <c r="B1519" s="9" t="inlineStr">
        <is>
          <t>6/15/25 - 7/12/25</t>
        </is>
      </c>
      <c r="C1519" s="12" t="n">
        <v>0.19</v>
      </c>
      <c r="D1519" s="12" t="n">
        <v>0.77</v>
      </c>
      <c r="E1519" s="12" t="n">
        <v>0.92</v>
      </c>
      <c r="F1519" s="12" t="n">
        <v>0.22</v>
      </c>
      <c r="G1519" s="12" t="n">
        <v>0</v>
      </c>
      <c r="H1519" s="9" t="e">
        <v>#N/A</v>
      </c>
      <c r="J1519" s="9" t="n"/>
      <c r="K1519" t="inlineStr">
        <is>
          <t>Distinguished</t>
        </is>
      </c>
      <c r="L1519" t="inlineStr">
        <is>
          <t>Adjunct</t>
        </is>
      </c>
      <c r="M1519" t="inlineStr">
        <is>
          <t>Ela Cross</t>
        </is>
      </c>
    </row>
    <row r="1520">
      <c r="A1520" s="9" t="inlineStr">
        <is>
          <t>Ralph Strope</t>
        </is>
      </c>
      <c r="B1520" s="9" t="inlineStr">
        <is>
          <t>7/13/25 - 8/10/25</t>
        </is>
      </c>
      <c r="C1520" s="12" t="n">
        <v>0.34</v>
      </c>
      <c r="D1520" s="12" t="n">
        <v>0.96</v>
      </c>
      <c r="E1520" s="12" t="n">
        <v>0.87</v>
      </c>
      <c r="F1520" s="12" t="n">
        <v>1</v>
      </c>
      <c r="G1520" s="12" t="n">
        <v>0.86</v>
      </c>
      <c r="H1520" s="9" t="n">
        <v>2</v>
      </c>
      <c r="I1520" s="10" t="n">
        <v>0</v>
      </c>
      <c r="J1520" s="12">
        <f>I1520</f>
        <v/>
      </c>
      <c r="K1520" t="inlineStr">
        <is>
          <t>Distinguished</t>
        </is>
      </c>
      <c r="L1520" t="inlineStr">
        <is>
          <t>Adjunct</t>
        </is>
      </c>
      <c r="M1520" t="inlineStr">
        <is>
          <t>Ela Cross</t>
        </is>
      </c>
    </row>
    <row r="1521">
      <c r="A1521" s="9" t="inlineStr">
        <is>
          <t>Ralph Strope</t>
        </is>
      </c>
      <c r="B1521" s="9" t="inlineStr">
        <is>
          <t>8/10/25 - 9/6/25</t>
        </is>
      </c>
      <c r="C1521" s="12" t="n">
        <v>0.55</v>
      </c>
      <c r="D1521" s="12" t="n">
        <v>1.01</v>
      </c>
      <c r="E1521" s="12" t="n">
        <v>1</v>
      </c>
      <c r="F1521" s="12" t="n">
        <v>1</v>
      </c>
      <c r="G1521" s="12" t="n">
        <v>0.83</v>
      </c>
      <c r="H1521" s="9" t="n">
        <v>2</v>
      </c>
      <c r="I1521" s="10" t="inlineStr">
        <is>
          <t>0/3</t>
        </is>
      </c>
      <c r="J1521" s="12" t="n">
        <v>0</v>
      </c>
      <c r="K1521" t="inlineStr">
        <is>
          <t>Distinguished</t>
        </is>
      </c>
      <c r="L1521" t="inlineStr">
        <is>
          <t>Adjunct</t>
        </is>
      </c>
      <c r="M1521" t="inlineStr">
        <is>
          <t>Ela Cross</t>
        </is>
      </c>
    </row>
    <row r="1522">
      <c r="A1522" s="9" t="inlineStr">
        <is>
          <t>Ralph Strope</t>
        </is>
      </c>
      <c r="B1522" s="9" t="inlineStr">
        <is>
          <t>9/7/25 - 10/4/25</t>
        </is>
      </c>
      <c r="C1522" s="12" t="n">
        <v>0.5600000000000001</v>
      </c>
      <c r="D1522" s="12" t="n">
        <v>1.01</v>
      </c>
      <c r="E1522" s="12" t="n">
        <v>1</v>
      </c>
      <c r="F1522" s="12" t="n">
        <v>1</v>
      </c>
      <c r="G1522" s="12" t="n">
        <v>1</v>
      </c>
      <c r="H1522" s="9" t="n">
        <v>4</v>
      </c>
      <c r="I1522" s="10" t="inlineStr">
        <is>
          <t>2/4</t>
        </is>
      </c>
      <c r="J1522" s="12" t="n">
        <v>0.5</v>
      </c>
      <c r="K1522" t="inlineStr">
        <is>
          <t>Distinguished</t>
        </is>
      </c>
      <c r="L1522" t="inlineStr">
        <is>
          <t>Adjunct</t>
        </is>
      </c>
      <c r="M1522" t="inlineStr">
        <is>
          <t>Ela Cross</t>
        </is>
      </c>
    </row>
    <row r="1523">
      <c r="A1523" s="9" t="inlineStr">
        <is>
          <t>Raymond Elliot</t>
        </is>
      </c>
      <c r="B1523" s="9" t="inlineStr">
        <is>
          <t>10/5/25 - 11/1/25</t>
        </is>
      </c>
      <c r="C1523" s="12" t="n">
        <v>0.9625</v>
      </c>
      <c r="D1523" s="12" t="n">
        <v>1.013</v>
      </c>
      <c r="E1523" s="12" t="n">
        <v>0.9893617021276589</v>
      </c>
      <c r="F1523" s="12" t="n">
        <v>1</v>
      </c>
      <c r="G1523" s="12" t="n">
        <v>0.8</v>
      </c>
      <c r="H1523" s="9" t="n">
        <v>9</v>
      </c>
      <c r="I1523" s="10" t="inlineStr">
        <is>
          <t>3/4</t>
        </is>
      </c>
      <c r="J1523" s="12" t="n">
        <v>0.75</v>
      </c>
      <c r="K1523" t="inlineStr">
        <is>
          <t>Distinguished</t>
        </is>
      </c>
      <c r="L1523" t="inlineStr">
        <is>
          <t>Adjunct</t>
        </is>
      </c>
      <c r="M1523" t="inlineStr">
        <is>
          <t>Kristin Haase-Alvey</t>
        </is>
      </c>
    </row>
    <row r="1524">
      <c r="A1524" s="9" t="inlineStr">
        <is>
          <t>Raymond Elliot</t>
        </is>
      </c>
      <c r="B1524" s="9" t="inlineStr">
        <is>
          <t>11/2/25 - 11/29/25</t>
        </is>
      </c>
      <c r="C1524" s="12" t="n">
        <v>0.83</v>
      </c>
      <c r="D1524" s="12" t="n">
        <v>0.86</v>
      </c>
      <c r="E1524" s="12" t="n">
        <v>1</v>
      </c>
      <c r="F1524" s="12" t="n">
        <v>1</v>
      </c>
      <c r="G1524" s="12" t="n">
        <v>0.93</v>
      </c>
      <c r="H1524" s="9" t="n">
        <v>8</v>
      </c>
      <c r="I1524" s="13" t="n">
        <v>45691</v>
      </c>
      <c r="J1524" s="14" t="n">
        <v>0.67</v>
      </c>
      <c r="K1524" t="inlineStr">
        <is>
          <t>Distinguished</t>
        </is>
      </c>
      <c r="L1524" t="inlineStr">
        <is>
          <t>Adjunct</t>
        </is>
      </c>
      <c r="M1524" t="inlineStr">
        <is>
          <t>Kristin Haase-Alvey</t>
        </is>
      </c>
    </row>
    <row r="1525">
      <c r="A1525" s="9" t="inlineStr">
        <is>
          <t>Raymond Elliot</t>
        </is>
      </c>
      <c r="B1525" s="9" t="inlineStr">
        <is>
          <t>11/30/25 - 12/27/25</t>
        </is>
      </c>
      <c r="C1525" s="12" t="n">
        <v>0.79</v>
      </c>
      <c r="D1525" s="12" t="n">
        <v>0.99</v>
      </c>
      <c r="E1525" s="12" t="n">
        <v>1</v>
      </c>
      <c r="F1525" s="12" t="n">
        <v>1</v>
      </c>
      <c r="G1525" s="12" t="n">
        <v>0.6899999999999999</v>
      </c>
      <c r="H1525" s="9" t="n">
        <v>9</v>
      </c>
      <c r="I1525" s="10" t="n">
        <v>0.5</v>
      </c>
      <c r="J1525" s="12" t="n">
        <v>0.5</v>
      </c>
      <c r="K1525" t="inlineStr">
        <is>
          <t>Distinguished</t>
        </is>
      </c>
      <c r="L1525" t="inlineStr">
        <is>
          <t>Adjunct</t>
        </is>
      </c>
      <c r="M1525" t="inlineStr">
        <is>
          <t>Kristin Haase-Alvey</t>
        </is>
      </c>
    </row>
    <row r="1526">
      <c r="A1526" s="9" t="inlineStr">
        <is>
          <t>Raymond Elliot</t>
        </is>
      </c>
      <c r="B1526" s="9" t="inlineStr">
        <is>
          <t>12/28/25 - 1/25/26</t>
        </is>
      </c>
      <c r="C1526" s="12" t="n">
        <v>0.8063</v>
      </c>
      <c r="D1526" s="12" t="n">
        <v>1.0208</v>
      </c>
      <c r="E1526" s="12" t="n">
        <v>1</v>
      </c>
      <c r="F1526" s="12" t="n">
        <v>1</v>
      </c>
      <c r="G1526" s="12" t="n">
        <v>0.615384615</v>
      </c>
      <c r="H1526" s="9" t="n">
        <v>14</v>
      </c>
      <c r="I1526" s="10" t="n">
        <v>0.6</v>
      </c>
      <c r="J1526" s="12">
        <f>I1526</f>
        <v/>
      </c>
      <c r="K1526" t="inlineStr">
        <is>
          <t>Distinguished</t>
        </is>
      </c>
      <c r="L1526" t="inlineStr">
        <is>
          <t>Adjunct</t>
        </is>
      </c>
      <c r="M1526" t="inlineStr">
        <is>
          <t>Kristin Haase-Alvey</t>
        </is>
      </c>
    </row>
    <row r="1527">
      <c r="A1527" s="9" t="inlineStr">
        <is>
          <t>Raymond Elliot</t>
        </is>
      </c>
      <c r="B1527" s="9" t="inlineStr">
        <is>
          <t>5/18/25 - 6/14/25</t>
        </is>
      </c>
      <c r="C1527" s="12" t="n">
        <v>0.71</v>
      </c>
      <c r="D1527" s="12" t="n">
        <v>1</v>
      </c>
      <c r="E1527" s="12" t="n">
        <v>1</v>
      </c>
      <c r="F1527" s="12" t="n">
        <v>1</v>
      </c>
      <c r="G1527" s="12" t="n">
        <v>0.67</v>
      </c>
      <c r="H1527" s="9" t="n">
        <v>6</v>
      </c>
      <c r="I1527" s="10" t="n">
        <v>1</v>
      </c>
      <c r="J1527" s="12">
        <f>I1527</f>
        <v/>
      </c>
      <c r="K1527" t="inlineStr">
        <is>
          <t>Distinguished</t>
        </is>
      </c>
      <c r="L1527" t="inlineStr">
        <is>
          <t>Adjunct</t>
        </is>
      </c>
      <c r="M1527" t="inlineStr">
        <is>
          <t>Kristin Haase-Alvey</t>
        </is>
      </c>
    </row>
    <row r="1528">
      <c r="A1528" s="9" t="inlineStr">
        <is>
          <t>Raymond Elliot</t>
        </is>
      </c>
      <c r="B1528" s="9" t="inlineStr">
        <is>
          <t>6/15/25 - 7/12/25</t>
        </is>
      </c>
      <c r="C1528" s="12" t="n">
        <v>0.43</v>
      </c>
      <c r="D1528" s="12" t="n">
        <v>1.02</v>
      </c>
      <c r="E1528" s="12" t="n">
        <v>1</v>
      </c>
      <c r="F1528" s="12" t="n">
        <v>1</v>
      </c>
      <c r="G1528" s="12" t="n">
        <v>0.78</v>
      </c>
      <c r="H1528" s="9" t="n">
        <v>5</v>
      </c>
      <c r="I1528" s="10" t="n">
        <v>1</v>
      </c>
      <c r="J1528" s="12">
        <f>I1528</f>
        <v/>
      </c>
      <c r="K1528" t="inlineStr">
        <is>
          <t>Distinguished</t>
        </is>
      </c>
      <c r="L1528" t="inlineStr">
        <is>
          <t>Adjunct</t>
        </is>
      </c>
      <c r="M1528" t="inlineStr">
        <is>
          <t>Kristin Haase-Alvey</t>
        </is>
      </c>
    </row>
    <row r="1529">
      <c r="A1529" s="9" t="inlineStr">
        <is>
          <t>Raymond Elliot</t>
        </is>
      </c>
      <c r="B1529" s="9" t="inlineStr">
        <is>
          <t>7/13/25 - 8/10/25</t>
        </is>
      </c>
      <c r="C1529" s="12" t="n">
        <v>0.41</v>
      </c>
      <c r="D1529" s="12" t="n">
        <v>1.01</v>
      </c>
      <c r="E1529" s="12" t="n">
        <v>1</v>
      </c>
      <c r="F1529" s="12" t="n">
        <v>1</v>
      </c>
      <c r="G1529" s="12" t="n">
        <v>0.5</v>
      </c>
      <c r="H1529" s="9" t="n">
        <v>2</v>
      </c>
      <c r="J1529" s="9" t="n"/>
      <c r="K1529" t="inlineStr">
        <is>
          <t>Distinguished</t>
        </is>
      </c>
      <c r="L1529" t="inlineStr">
        <is>
          <t>Adjunct</t>
        </is>
      </c>
      <c r="M1529" t="inlineStr">
        <is>
          <t>Kristin Haase-Alvey</t>
        </is>
      </c>
    </row>
    <row r="1530">
      <c r="A1530" s="9" t="inlineStr">
        <is>
          <t>Raymond Elliot</t>
        </is>
      </c>
      <c r="B1530" s="9" t="inlineStr">
        <is>
          <t>8/10/25 - 9/6/25</t>
        </is>
      </c>
      <c r="C1530" s="12" t="n">
        <v>0.48</v>
      </c>
      <c r="D1530" s="12" t="n">
        <v>1.01</v>
      </c>
      <c r="E1530" s="12" t="n">
        <v>1</v>
      </c>
      <c r="F1530" s="12" t="n">
        <v>1</v>
      </c>
      <c r="G1530" s="12" t="n">
        <v>0.5600000000000001</v>
      </c>
      <c r="H1530" s="9" t="n">
        <v>11</v>
      </c>
      <c r="I1530" s="11" t="n"/>
      <c r="J1530" s="9" t="n"/>
      <c r="K1530" t="inlineStr">
        <is>
          <t>Distinguished</t>
        </is>
      </c>
      <c r="L1530" t="inlineStr">
        <is>
          <t>Adjunct</t>
        </is>
      </c>
      <c r="M1530" t="inlineStr">
        <is>
          <t>Kristin Haase-Alvey</t>
        </is>
      </c>
    </row>
    <row r="1531">
      <c r="A1531" s="9" t="inlineStr">
        <is>
          <t>Raymond Elliot</t>
        </is>
      </c>
      <c r="B1531" s="9" t="inlineStr">
        <is>
          <t>9/7/25 - 10/4/25</t>
        </is>
      </c>
      <c r="C1531" s="12" t="n">
        <v>0.74</v>
      </c>
      <c r="D1531" s="12" t="n">
        <v>1</v>
      </c>
      <c r="E1531" s="12" t="n">
        <v>1</v>
      </c>
      <c r="F1531" s="12" t="n">
        <v>1</v>
      </c>
      <c r="G1531" s="12" t="n">
        <v>0.58</v>
      </c>
      <c r="H1531" s="9" t="n">
        <v>7</v>
      </c>
      <c r="I1531" s="10" t="inlineStr">
        <is>
          <t>2/2</t>
        </is>
      </c>
      <c r="J1531" s="12" t="n">
        <v>1</v>
      </c>
      <c r="K1531" t="inlineStr">
        <is>
          <t>Distinguished</t>
        </is>
      </c>
      <c r="L1531" t="inlineStr">
        <is>
          <t>Adjunct</t>
        </is>
      </c>
      <c r="M1531" t="inlineStr">
        <is>
          <t>Kristin Haase-Alvey</t>
        </is>
      </c>
    </row>
    <row r="1532">
      <c r="A1532" s="9" t="inlineStr">
        <is>
          <t>Raymond Serrano</t>
        </is>
      </c>
      <c r="B1532" s="9" t="inlineStr">
        <is>
          <t>10/5/25 - 11/1/25</t>
        </is>
      </c>
      <c r="C1532" s="12" t="n">
        <v>0.7208</v>
      </c>
      <c r="D1532" s="12" t="n">
        <v>0.9571999999999991</v>
      </c>
      <c r="E1532" s="12" t="n">
        <v>0.885057471264367</v>
      </c>
      <c r="F1532" s="12" t="n">
        <v>0.96875</v>
      </c>
      <c r="G1532" s="12" t="n">
        <v>0.583333333333333</v>
      </c>
      <c r="H1532" s="9" t="n">
        <v>7</v>
      </c>
      <c r="I1532" s="10" t="inlineStr">
        <is>
          <t>3/5</t>
        </is>
      </c>
      <c r="J1532" s="12" t="n">
        <v>0.6</v>
      </c>
      <c r="K1532" t="inlineStr">
        <is>
          <t>Distinguished</t>
        </is>
      </c>
      <c r="L1532" t="inlineStr">
        <is>
          <t>Professional</t>
        </is>
      </c>
      <c r="M1532" t="inlineStr">
        <is>
          <t>Kristin Haase-Alvey</t>
        </is>
      </c>
    </row>
    <row r="1533">
      <c r="A1533" s="9" t="inlineStr">
        <is>
          <t>Raymond Serrano</t>
        </is>
      </c>
      <c r="B1533" s="9" t="inlineStr">
        <is>
          <t>11/2/25 - 11/29/25</t>
        </is>
      </c>
      <c r="C1533" s="12" t="n">
        <v>0.92</v>
      </c>
      <c r="D1533" s="12" t="n">
        <v>0.93</v>
      </c>
      <c r="E1533" s="12" t="n">
        <v>0.89</v>
      </c>
      <c r="F1533" s="12" t="n">
        <v>0.99</v>
      </c>
      <c r="G1533" s="12" t="n">
        <v>0.5</v>
      </c>
      <c r="H1533" s="9" t="n">
        <v>15</v>
      </c>
      <c r="I1533" s="13" t="n">
        <v>45722</v>
      </c>
      <c r="J1533" s="14" t="n">
        <v>0.5</v>
      </c>
      <c r="K1533" t="inlineStr">
        <is>
          <t>Distinguished</t>
        </is>
      </c>
      <c r="L1533" t="inlineStr">
        <is>
          <t>Professional</t>
        </is>
      </c>
      <c r="M1533" t="inlineStr">
        <is>
          <t>Kristin Haase-Alvey</t>
        </is>
      </c>
    </row>
    <row r="1534">
      <c r="A1534" s="9" t="inlineStr">
        <is>
          <t>Raymond Serrano</t>
        </is>
      </c>
      <c r="B1534" s="9" t="inlineStr">
        <is>
          <t>11/30/25 - 12/27/25</t>
        </is>
      </c>
      <c r="C1534" s="12" t="n">
        <v>0.8100000000000001</v>
      </c>
      <c r="D1534" s="12" t="n">
        <v>0.92</v>
      </c>
      <c r="E1534" s="12" t="n">
        <v>0.93</v>
      </c>
      <c r="F1534" s="12" t="n">
        <v>0.98</v>
      </c>
      <c r="G1534" s="12" t="n">
        <v>1</v>
      </c>
      <c r="H1534" s="9" t="n">
        <v>13</v>
      </c>
      <c r="I1534" s="10" t="n">
        <v>0.6</v>
      </c>
      <c r="J1534" s="12">
        <f>3/5</f>
        <v/>
      </c>
      <c r="K1534" t="inlineStr">
        <is>
          <t>Distinguished</t>
        </is>
      </c>
      <c r="L1534" t="inlineStr">
        <is>
          <t>Professional</t>
        </is>
      </c>
      <c r="M1534" t="inlineStr">
        <is>
          <t>Kristin Haase-Alvey</t>
        </is>
      </c>
    </row>
    <row r="1535">
      <c r="A1535" s="9" t="inlineStr">
        <is>
          <t>Raymond Serrano</t>
        </is>
      </c>
      <c r="B1535" s="9" t="inlineStr">
        <is>
          <t>12/28/25 - 1/25/26</t>
        </is>
      </c>
      <c r="C1535" s="12" t="n">
        <v>0.7333</v>
      </c>
      <c r="D1535" s="12" t="n">
        <v>0.8339</v>
      </c>
      <c r="E1535" s="12" t="n">
        <v>0.9629629629999999</v>
      </c>
      <c r="F1535" s="12" t="n">
        <v>0.982758621</v>
      </c>
      <c r="G1535" s="12" t="n">
        <v>0.833333333</v>
      </c>
      <c r="H1535" s="9" t="n">
        <v>11</v>
      </c>
      <c r="I1535" s="10" t="n">
        <v>1</v>
      </c>
      <c r="J1535" s="12">
        <f>I1535</f>
        <v/>
      </c>
      <c r="K1535" t="inlineStr">
        <is>
          <t>Distinguished</t>
        </is>
      </c>
      <c r="L1535" t="inlineStr">
        <is>
          <t>Professional</t>
        </is>
      </c>
      <c r="M1535" t="inlineStr">
        <is>
          <t>Kristin Haase-Alvey</t>
        </is>
      </c>
    </row>
    <row r="1536">
      <c r="A1536" s="9" t="inlineStr">
        <is>
          <t>Raymond Serrano</t>
        </is>
      </c>
      <c r="B1536" s="9" t="inlineStr">
        <is>
          <t>5/18/25 - 6/14/25</t>
        </is>
      </c>
      <c r="C1536" s="12" t="n">
        <v>0.04</v>
      </c>
      <c r="D1536" s="12" t="n">
        <v>1.21</v>
      </c>
      <c r="E1536" s="12" t="n">
        <v>1</v>
      </c>
      <c r="F1536" s="12" t="n">
        <v>0.75</v>
      </c>
      <c r="G1536" s="12" t="n">
        <v>1</v>
      </c>
      <c r="H1536" s="9" t="e">
        <v>#N/A</v>
      </c>
      <c r="I1536" s="10" t="n">
        <v>0</v>
      </c>
      <c r="J1536" s="12">
        <f>I1536</f>
        <v/>
      </c>
      <c r="K1536" t="inlineStr">
        <is>
          <t>Distinguished</t>
        </is>
      </c>
      <c r="L1536" t="inlineStr">
        <is>
          <t>Professional</t>
        </is>
      </c>
      <c r="M1536" t="inlineStr">
        <is>
          <t>Kristin Haase-Alvey</t>
        </is>
      </c>
    </row>
    <row r="1537">
      <c r="A1537" s="9" t="inlineStr">
        <is>
          <t>Raymond Serrano</t>
        </is>
      </c>
      <c r="B1537" s="9" t="inlineStr">
        <is>
          <t>6/15/25 - 7/12/25</t>
        </is>
      </c>
      <c r="C1537" s="12" t="n">
        <v>0.51</v>
      </c>
      <c r="D1537" s="12" t="n">
        <v>1.2</v>
      </c>
      <c r="E1537" s="12" t="n">
        <v>0.95</v>
      </c>
      <c r="F1537" s="12" t="n">
        <v>1</v>
      </c>
      <c r="G1537" s="12" t="n">
        <v>0.57</v>
      </c>
      <c r="H1537" s="9" t="n">
        <v>2</v>
      </c>
      <c r="I1537" s="10" t="inlineStr">
        <is>
          <t xml:space="preserve"> 8/9</t>
        </is>
      </c>
      <c r="J1537" s="12" t="n">
        <v>0.89</v>
      </c>
      <c r="K1537" t="inlineStr">
        <is>
          <t>Distinguished</t>
        </is>
      </c>
      <c r="L1537" t="inlineStr">
        <is>
          <t>Professional</t>
        </is>
      </c>
      <c r="M1537" t="inlineStr">
        <is>
          <t>Kristin Haase-Alvey</t>
        </is>
      </c>
    </row>
    <row r="1538">
      <c r="A1538" s="9" t="inlineStr">
        <is>
          <t>Raymond Serrano</t>
        </is>
      </c>
      <c r="B1538" s="9" t="inlineStr">
        <is>
          <t>7/13/25 - 8/10/25</t>
        </is>
      </c>
      <c r="C1538" s="12" t="n">
        <v>0.98</v>
      </c>
      <c r="D1538" s="12" t="n">
        <v>1.17</v>
      </c>
      <c r="E1538" s="12" t="n">
        <v>0.83</v>
      </c>
      <c r="F1538" s="12" t="n">
        <v>1</v>
      </c>
      <c r="G1538" s="12" t="n">
        <v>1</v>
      </c>
      <c r="H1538" s="9" t="n">
        <v>3</v>
      </c>
      <c r="I1538" s="10" t="n">
        <v>1</v>
      </c>
      <c r="J1538" s="12">
        <f>I1538</f>
        <v/>
      </c>
      <c r="K1538" t="inlineStr">
        <is>
          <t>Distinguished</t>
        </is>
      </c>
      <c r="L1538" t="inlineStr">
        <is>
          <t>Professional</t>
        </is>
      </c>
      <c r="M1538" t="inlineStr">
        <is>
          <t>Kristin Haase-Alvey</t>
        </is>
      </c>
    </row>
    <row r="1539">
      <c r="A1539" s="9" t="inlineStr">
        <is>
          <t>Raymond Serrano</t>
        </is>
      </c>
      <c r="B1539" s="9" t="inlineStr">
        <is>
          <t>8/10/25 - 9/6/25</t>
        </is>
      </c>
      <c r="C1539" s="12" t="n">
        <v>0.79</v>
      </c>
      <c r="D1539" s="12" t="n">
        <v>1.08</v>
      </c>
      <c r="E1539" s="12" t="n">
        <v>0.9399999999999999</v>
      </c>
      <c r="F1539" s="12" t="n">
        <v>0.98</v>
      </c>
      <c r="G1539" s="12" t="n">
        <v>1</v>
      </c>
      <c r="H1539" s="9" t="n">
        <v>4</v>
      </c>
      <c r="I1539" s="10" t="inlineStr">
        <is>
          <t>3/3</t>
        </is>
      </c>
      <c r="J1539" s="12" t="n">
        <v>1</v>
      </c>
      <c r="K1539" t="inlineStr">
        <is>
          <t>Distinguished</t>
        </is>
      </c>
      <c r="L1539" t="inlineStr">
        <is>
          <t>Professional</t>
        </is>
      </c>
      <c r="M1539" t="inlineStr">
        <is>
          <t>Kristin Haase-Alvey</t>
        </is>
      </c>
    </row>
    <row r="1540">
      <c r="A1540" s="9" t="inlineStr">
        <is>
          <t>Raymond Serrano</t>
        </is>
      </c>
      <c r="B1540" s="9" t="inlineStr">
        <is>
          <t>9/7/25 - 10/4/25</t>
        </is>
      </c>
      <c r="C1540" s="12" t="n">
        <v>0.65</v>
      </c>
      <c r="D1540" s="12" t="n">
        <v>1.08</v>
      </c>
      <c r="E1540" s="12" t="n">
        <v>0.95</v>
      </c>
      <c r="F1540" s="12" t="n">
        <v>0.98</v>
      </c>
      <c r="G1540" s="12" t="n">
        <v>1</v>
      </c>
      <c r="H1540" s="9" t="n">
        <v>5</v>
      </c>
      <c r="I1540" s="10" t="inlineStr">
        <is>
          <t>4/5</t>
        </is>
      </c>
      <c r="J1540" s="12" t="n">
        <v>0.8</v>
      </c>
      <c r="K1540" t="inlineStr">
        <is>
          <t>Distinguished</t>
        </is>
      </c>
      <c r="L1540" t="inlineStr">
        <is>
          <t>Professional</t>
        </is>
      </c>
      <c r="M1540" t="inlineStr">
        <is>
          <t>Kristin Haase-Alvey</t>
        </is>
      </c>
    </row>
    <row r="1541">
      <c r="A1541" s="9" t="inlineStr">
        <is>
          <t>Rebekah Cole</t>
        </is>
      </c>
      <c r="B1541" s="9" t="inlineStr">
        <is>
          <t>5/18/25 - 6/14/25</t>
        </is>
      </c>
      <c r="C1541" s="12" t="n">
        <v>0.4</v>
      </c>
      <c r="D1541" s="12" t="n">
        <v>1.11</v>
      </c>
      <c r="E1541" s="12" t="n">
        <v>0.98</v>
      </c>
      <c r="F1541" s="12" t="n">
        <v>0.86</v>
      </c>
      <c r="G1541" s="12" t="n">
        <v>1</v>
      </c>
      <c r="H1541" s="9" t="e">
        <v>#N/A</v>
      </c>
      <c r="I1541" s="10" t="inlineStr">
        <is>
          <t xml:space="preserve"> 1/2</t>
        </is>
      </c>
      <c r="J1541" s="12" t="n">
        <v>0.5</v>
      </c>
      <c r="K1541" t="e">
        <v>#N/A</v>
      </c>
      <c r="L1541" t="e">
        <v>#N/A</v>
      </c>
      <c r="M1541" t="e">
        <v>#N/A</v>
      </c>
    </row>
    <row r="1542">
      <c r="A1542" s="9" t="inlineStr">
        <is>
          <t>Rebekah Cole</t>
        </is>
      </c>
      <c r="B1542" s="9" t="inlineStr">
        <is>
          <t>6/15/25 - 7/12/25</t>
        </is>
      </c>
      <c r="C1542" s="12" t="n">
        <v>0.24</v>
      </c>
      <c r="D1542" s="12" t="n">
        <v>1.05</v>
      </c>
      <c r="E1542" s="12" t="n">
        <v>1</v>
      </c>
      <c r="F1542" s="12" t="n">
        <v>1</v>
      </c>
      <c r="G1542" s="12" t="n">
        <v>1</v>
      </c>
      <c r="H1542" s="9" t="n">
        <v>1</v>
      </c>
      <c r="I1542" s="10" t="n">
        <v>1</v>
      </c>
      <c r="J1542" s="12">
        <f>I1542</f>
        <v/>
      </c>
      <c r="K1542" t="e">
        <v>#N/A</v>
      </c>
      <c r="L1542" t="e">
        <v>#N/A</v>
      </c>
      <c r="M1542" t="e">
        <v>#N/A</v>
      </c>
    </row>
    <row r="1543">
      <c r="A1543" s="9" t="inlineStr">
        <is>
          <t>Rebekah Cole</t>
        </is>
      </c>
      <c r="B1543" s="9" t="inlineStr">
        <is>
          <t>7/13/25 - 8/10/25</t>
        </is>
      </c>
      <c r="C1543" s="12" t="n">
        <v>0.44</v>
      </c>
      <c r="D1543" s="12" t="n">
        <v>1.19</v>
      </c>
      <c r="E1543" s="12" t="n">
        <v>0.98</v>
      </c>
      <c r="F1543" s="12" t="n">
        <v>0.73</v>
      </c>
      <c r="G1543" s="12" t="n">
        <v>0.61</v>
      </c>
      <c r="H1543" s="9" t="e">
        <v>#N/A</v>
      </c>
      <c r="I1543" s="10" t="n">
        <v>0</v>
      </c>
      <c r="J1543" s="12">
        <f>I1543</f>
        <v/>
      </c>
      <c r="K1543" t="e">
        <v>#N/A</v>
      </c>
      <c r="L1543" t="e">
        <v>#N/A</v>
      </c>
      <c r="M1543" t="e">
        <v>#N/A</v>
      </c>
    </row>
    <row r="1544">
      <c r="A1544" s="9" t="inlineStr">
        <is>
          <t>Rebekah Nachian</t>
        </is>
      </c>
      <c r="B1544" s="9" t="inlineStr">
        <is>
          <t>11/30/25 - 12/27/25</t>
        </is>
      </c>
      <c r="C1544" s="12" t="n">
        <v>0</v>
      </c>
      <c r="D1544" s="12" t="n">
        <v>0</v>
      </c>
      <c r="E1544" s="12" t="n">
        <v>0</v>
      </c>
      <c r="F1544" s="12" t="n">
        <v>0</v>
      </c>
      <c r="G1544" s="12" t="n">
        <v>0</v>
      </c>
      <c r="H1544" s="9" t="n">
        <v>0</v>
      </c>
      <c r="I1544" s="10" t="n"/>
      <c r="J1544" s="12" t="n"/>
      <c r="K1544" t="inlineStr">
        <is>
          <t>Distinguished</t>
        </is>
      </c>
      <c r="L1544" t="inlineStr">
        <is>
          <t>Professional</t>
        </is>
      </c>
      <c r="M1544" t="inlineStr">
        <is>
          <t>Annelies de Groot</t>
        </is>
      </c>
    </row>
    <row r="1545">
      <c r="A1545" s="9" t="inlineStr">
        <is>
          <t>Rebekah Nachian</t>
        </is>
      </c>
      <c r="B1545" s="9" t="inlineStr">
        <is>
          <t>12/28/25 - 1/25/26</t>
        </is>
      </c>
      <c r="C1545" s="12" t="n">
        <v>0.1333</v>
      </c>
      <c r="D1545" s="12" t="n">
        <v>0.7911</v>
      </c>
      <c r="E1545" s="12" t="n">
        <v>1</v>
      </c>
      <c r="F1545" s="12" t="n">
        <v>1</v>
      </c>
      <c r="G1545" s="12" t="n">
        <v>0</v>
      </c>
      <c r="H1545" s="9" t="n">
        <v>0</v>
      </c>
      <c r="I1545" s="10" t="n">
        <v>0.1111111111111111</v>
      </c>
      <c r="J1545" s="12">
        <f>I1545</f>
        <v/>
      </c>
      <c r="K1545" t="inlineStr">
        <is>
          <t>Distinguished</t>
        </is>
      </c>
      <c r="L1545" t="inlineStr">
        <is>
          <t>Professional</t>
        </is>
      </c>
      <c r="M1545" t="inlineStr">
        <is>
          <t>Annelies de Groot</t>
        </is>
      </c>
    </row>
    <row r="1546">
      <c r="A1546" s="9" t="inlineStr">
        <is>
          <t>Rehan Zaib</t>
        </is>
      </c>
      <c r="B1546" s="9" t="inlineStr">
        <is>
          <t>10/5/25 - 11/1/25</t>
        </is>
      </c>
      <c r="C1546" s="12" t="n">
        <v>1.0875</v>
      </c>
      <c r="D1546" s="12" t="n">
        <v>1.05759999999999</v>
      </c>
      <c r="E1546" s="12" t="n">
        <v>0.961783439490445</v>
      </c>
      <c r="F1546" s="12" t="n">
        <v>0.914634146341463</v>
      </c>
      <c r="G1546" s="12" t="n">
        <v>0.916666666666666</v>
      </c>
      <c r="H1546" s="9" t="n">
        <v>10</v>
      </c>
      <c r="I1546" s="10" t="inlineStr">
        <is>
          <t>0/1</t>
        </is>
      </c>
      <c r="J1546" s="12" t="n">
        <v>0</v>
      </c>
      <c r="K1546" t="inlineStr">
        <is>
          <t>Distinguished</t>
        </is>
      </c>
      <c r="L1546" t="inlineStr">
        <is>
          <t>Professional</t>
        </is>
      </c>
      <c r="M1546" t="inlineStr">
        <is>
          <t>Ela Cross</t>
        </is>
      </c>
    </row>
    <row r="1547">
      <c r="A1547" s="9" t="inlineStr">
        <is>
          <t>Rehan Zaib</t>
        </is>
      </c>
      <c r="B1547" s="9" t="inlineStr">
        <is>
          <t>11/2/25 - 11/29/25</t>
        </is>
      </c>
      <c r="C1547" s="12" t="n">
        <v>0.74</v>
      </c>
      <c r="D1547" s="12" t="n">
        <v>1.13</v>
      </c>
      <c r="E1547" s="12" t="n">
        <v>0.96</v>
      </c>
      <c r="F1547" s="12" t="n">
        <v>0.92</v>
      </c>
      <c r="G1547" s="12" t="n">
        <v>1</v>
      </c>
      <c r="H1547" s="9" t="n">
        <v>11</v>
      </c>
      <c r="I1547" s="13" t="n">
        <v>45690</v>
      </c>
      <c r="J1547" s="12" t="n">
        <v>1</v>
      </c>
      <c r="K1547" t="inlineStr">
        <is>
          <t>Distinguished</t>
        </is>
      </c>
      <c r="L1547" t="inlineStr">
        <is>
          <t>Professional</t>
        </is>
      </c>
      <c r="M1547" t="inlineStr">
        <is>
          <t>Ela Cross</t>
        </is>
      </c>
    </row>
    <row r="1548">
      <c r="A1548" s="9" t="inlineStr">
        <is>
          <t>Rehan Zaib</t>
        </is>
      </c>
      <c r="B1548" s="9" t="inlineStr">
        <is>
          <t>11/30/25 - 12/27/25</t>
        </is>
      </c>
      <c r="C1548" s="12" t="n">
        <v>0.66</v>
      </c>
      <c r="D1548" s="12" t="n">
        <v>1.01</v>
      </c>
      <c r="E1548" s="12" t="n">
        <v>0.97</v>
      </c>
      <c r="F1548" s="12" t="n">
        <v>0.91</v>
      </c>
      <c r="G1548" s="12" t="n">
        <v>0.9</v>
      </c>
      <c r="H1548" s="9" t="n">
        <v>7</v>
      </c>
      <c r="I1548" s="10" t="n">
        <v>0.75</v>
      </c>
      <c r="J1548" s="12" t="n">
        <v>0.75</v>
      </c>
      <c r="K1548" t="inlineStr">
        <is>
          <t>Distinguished</t>
        </is>
      </c>
      <c r="L1548" t="inlineStr">
        <is>
          <t>Professional</t>
        </is>
      </c>
      <c r="M1548" t="inlineStr">
        <is>
          <t>Ela Cross</t>
        </is>
      </c>
    </row>
    <row r="1549">
      <c r="A1549" s="9" t="inlineStr">
        <is>
          <t>Rehan Zaib</t>
        </is>
      </c>
      <c r="B1549" s="9" t="inlineStr">
        <is>
          <t>12/28/25 - 1/25/26</t>
        </is>
      </c>
      <c r="C1549" s="12" t="n">
        <v>0.9771</v>
      </c>
      <c r="D1549" s="12" t="n">
        <v>1.1003</v>
      </c>
      <c r="E1549" s="12" t="n">
        <v>0.969465649</v>
      </c>
      <c r="F1549" s="12" t="n">
        <v>0.945054945</v>
      </c>
      <c r="G1549" s="12" t="n">
        <v>0.8</v>
      </c>
      <c r="H1549" s="9" t="n">
        <v>11</v>
      </c>
      <c r="I1549" s="10" t="n">
        <v>0.8333333333333334</v>
      </c>
      <c r="J1549" s="12">
        <f>I1549</f>
        <v/>
      </c>
      <c r="K1549" t="inlineStr">
        <is>
          <t>Distinguished</t>
        </is>
      </c>
      <c r="L1549" t="inlineStr">
        <is>
          <t>Professional</t>
        </is>
      </c>
      <c r="M1549" t="inlineStr">
        <is>
          <t>Ela Cross</t>
        </is>
      </c>
    </row>
    <row r="1550">
      <c r="A1550" s="9" t="inlineStr">
        <is>
          <t>Rehan Zaib</t>
        </is>
      </c>
      <c r="B1550" s="9" t="inlineStr">
        <is>
          <t>5/18/25 - 6/14/25</t>
        </is>
      </c>
      <c r="C1550" s="12" t="n">
        <v>0.8</v>
      </c>
      <c r="D1550" s="12" t="n">
        <v>1.1</v>
      </c>
      <c r="E1550" s="12" t="n">
        <v>0.96</v>
      </c>
      <c r="F1550" s="12" t="n">
        <v>0.98</v>
      </c>
      <c r="G1550" s="12" t="n">
        <v>0.36</v>
      </c>
      <c r="H1550" s="9" t="n">
        <v>7</v>
      </c>
      <c r="I1550" s="10" t="inlineStr">
        <is>
          <t xml:space="preserve"> 5/6</t>
        </is>
      </c>
      <c r="J1550" s="12" t="n">
        <v>0.83</v>
      </c>
      <c r="K1550" t="inlineStr">
        <is>
          <t>Distinguished</t>
        </is>
      </c>
      <c r="L1550" t="inlineStr">
        <is>
          <t>Professional</t>
        </is>
      </c>
      <c r="M1550" t="inlineStr">
        <is>
          <t>Ela Cross</t>
        </is>
      </c>
    </row>
    <row r="1551">
      <c r="A1551" s="9" t="inlineStr">
        <is>
          <t>Rehan Zaib</t>
        </is>
      </c>
      <c r="B1551" s="9" t="inlineStr">
        <is>
          <t>6/15/25 - 7/12/25</t>
        </is>
      </c>
      <c r="C1551" s="12" t="n">
        <v>0.73</v>
      </c>
      <c r="D1551" s="12" t="n">
        <v>1.15</v>
      </c>
      <c r="E1551" s="12" t="n">
        <v>0.91</v>
      </c>
      <c r="F1551" s="12" t="n">
        <v>1</v>
      </c>
      <c r="G1551" s="12" t="n">
        <v>0.77</v>
      </c>
      <c r="H1551" s="9" t="n">
        <v>10</v>
      </c>
      <c r="I1551" s="10" t="inlineStr">
        <is>
          <t xml:space="preserve"> 2/3</t>
        </is>
      </c>
      <c r="J1551" s="12" t="n">
        <v>0.67</v>
      </c>
      <c r="K1551" t="inlineStr">
        <is>
          <t>Distinguished</t>
        </is>
      </c>
      <c r="L1551" t="inlineStr">
        <is>
          <t>Professional</t>
        </is>
      </c>
      <c r="M1551" t="inlineStr">
        <is>
          <t>Ela Cross</t>
        </is>
      </c>
    </row>
    <row r="1552">
      <c r="A1552" s="9" t="inlineStr">
        <is>
          <t>Rehan Zaib</t>
        </is>
      </c>
      <c r="B1552" s="9" t="inlineStr">
        <is>
          <t>7/13/25 - 8/10/25</t>
        </is>
      </c>
      <c r="C1552" s="12" t="n">
        <v>1.05</v>
      </c>
      <c r="D1552" s="12" t="n">
        <v>1.15</v>
      </c>
      <c r="E1552" s="12" t="n">
        <v>0.98</v>
      </c>
      <c r="F1552" s="12" t="n">
        <v>0.71</v>
      </c>
      <c r="G1552" s="12" t="n">
        <v>0.44</v>
      </c>
      <c r="H1552" s="9" t="n">
        <v>10</v>
      </c>
      <c r="I1552" s="10" t="n">
        <v>0</v>
      </c>
      <c r="J1552" s="12">
        <f>I1552</f>
        <v/>
      </c>
      <c r="K1552" t="inlineStr">
        <is>
          <t>Distinguished</t>
        </is>
      </c>
      <c r="L1552" t="inlineStr">
        <is>
          <t>Professional</t>
        </is>
      </c>
      <c r="M1552" t="inlineStr">
        <is>
          <t>Ela Cross</t>
        </is>
      </c>
    </row>
    <row r="1553">
      <c r="A1553" s="9" t="inlineStr">
        <is>
          <t>Rehan Zaib</t>
        </is>
      </c>
      <c r="B1553" s="9" t="inlineStr">
        <is>
          <t>8/10/25 - 9/6/25</t>
        </is>
      </c>
      <c r="C1553" s="12" t="n">
        <v>0.9</v>
      </c>
      <c r="D1553" s="12" t="n">
        <v>1.13</v>
      </c>
      <c r="E1553" s="12" t="n">
        <v>0.95</v>
      </c>
      <c r="F1553" s="12" t="n">
        <v>0.89</v>
      </c>
      <c r="G1553" s="12" t="n">
        <v>0.23</v>
      </c>
      <c r="H1553" s="9" t="n">
        <v>9</v>
      </c>
      <c r="I1553" s="10" t="inlineStr">
        <is>
          <t>1/4</t>
        </is>
      </c>
      <c r="J1553" s="12" t="n">
        <v>0.25</v>
      </c>
      <c r="K1553" t="inlineStr">
        <is>
          <t>Distinguished</t>
        </is>
      </c>
      <c r="L1553" t="inlineStr">
        <is>
          <t>Professional</t>
        </is>
      </c>
      <c r="M1553" t="inlineStr">
        <is>
          <t>Ela Cross</t>
        </is>
      </c>
    </row>
    <row r="1554">
      <c r="A1554" s="9" t="inlineStr">
        <is>
          <t>Rehan Zaib</t>
        </is>
      </c>
      <c r="B1554" s="9" t="inlineStr">
        <is>
          <t>9/7/25 - 10/4/25</t>
        </is>
      </c>
      <c r="C1554" s="12" t="n">
        <v>1.04</v>
      </c>
      <c r="D1554" s="12" t="n">
        <v>1.21</v>
      </c>
      <c r="E1554" s="12" t="n">
        <v>0.96</v>
      </c>
      <c r="F1554" s="12" t="n">
        <v>0.9399999999999999</v>
      </c>
      <c r="G1554" s="12" t="n">
        <v>0.85</v>
      </c>
      <c r="H1554" s="9" t="n">
        <v>19</v>
      </c>
      <c r="I1554" s="10" t="inlineStr">
        <is>
          <t>2/3</t>
        </is>
      </c>
      <c r="J1554" s="12" t="n">
        <v>0.66</v>
      </c>
      <c r="K1554" t="inlineStr">
        <is>
          <t>Distinguished</t>
        </is>
      </c>
      <c r="L1554" t="inlineStr">
        <is>
          <t>Professional</t>
        </is>
      </c>
      <c r="M1554" t="inlineStr">
        <is>
          <t>Ela Cross</t>
        </is>
      </c>
    </row>
    <row r="1555">
      <c r="A1555" s="9" t="inlineStr">
        <is>
          <t>Richard Kralik</t>
        </is>
      </c>
      <c r="B1555" s="9" t="inlineStr">
        <is>
          <t>10/5/25 - 11/1/25</t>
        </is>
      </c>
      <c r="C1555" s="12" t="n">
        <v>0.878599999999999</v>
      </c>
      <c r="D1555" s="12" t="n">
        <v>1.0276</v>
      </c>
      <c r="E1555" s="12" t="n">
        <v>1</v>
      </c>
      <c r="F1555" s="12" t="n">
        <v>0.98876404494382</v>
      </c>
      <c r="G1555" s="12" t="n">
        <v>0.105263157894736</v>
      </c>
      <c r="H1555" s="9" t="n">
        <v>10</v>
      </c>
      <c r="I1555" s="10" t="inlineStr">
        <is>
          <t>0/6</t>
        </is>
      </c>
      <c r="J1555" s="12" t="n">
        <v>0</v>
      </c>
      <c r="K1555" t="inlineStr">
        <is>
          <t>Distinguished</t>
        </is>
      </c>
      <c r="L1555" t="inlineStr">
        <is>
          <t>Professional</t>
        </is>
      </c>
      <c r="M1555" t="inlineStr">
        <is>
          <t>Geoff St. Marie</t>
        </is>
      </c>
    </row>
    <row r="1556">
      <c r="A1556" s="9" t="inlineStr">
        <is>
          <t>Richard Kralik</t>
        </is>
      </c>
      <c r="B1556" s="9" t="inlineStr">
        <is>
          <t>11/2/25 - 11/29/25</t>
        </is>
      </c>
      <c r="C1556" s="12" t="n">
        <v>0.9</v>
      </c>
      <c r="D1556" s="12" t="n">
        <v>0.93</v>
      </c>
      <c r="E1556" s="12" t="n">
        <v>0.99</v>
      </c>
      <c r="F1556" s="12" t="n">
        <v>0.98</v>
      </c>
      <c r="G1556" s="12" t="n">
        <v>0.67</v>
      </c>
      <c r="H1556" s="9" t="n">
        <v>13</v>
      </c>
      <c r="I1556" s="13" t="n">
        <v>45664</v>
      </c>
      <c r="J1556" s="14" t="n">
        <v>0.14</v>
      </c>
      <c r="K1556" t="inlineStr">
        <is>
          <t>Distinguished</t>
        </is>
      </c>
      <c r="L1556" t="inlineStr">
        <is>
          <t>Professional</t>
        </is>
      </c>
      <c r="M1556" t="inlineStr">
        <is>
          <t>Geoff St. Marie</t>
        </is>
      </c>
    </row>
    <row r="1557">
      <c r="A1557" s="9" t="inlineStr">
        <is>
          <t>Richard Kralik</t>
        </is>
      </c>
      <c r="B1557" s="9" t="inlineStr">
        <is>
          <t>11/30/25 - 12/27/25</t>
        </is>
      </c>
      <c r="C1557" s="12" t="n">
        <v>0.7</v>
      </c>
      <c r="D1557" s="12" t="n">
        <v>0.87</v>
      </c>
      <c r="E1557" s="12" t="n">
        <v>0.99</v>
      </c>
      <c r="F1557" s="12" t="n">
        <v>0.95</v>
      </c>
      <c r="G1557" s="12" t="n">
        <v>0.63</v>
      </c>
      <c r="H1557" s="9" t="n">
        <v>7</v>
      </c>
      <c r="I1557" s="10" t="n">
        <v>0.5</v>
      </c>
      <c r="J1557" s="12" t="n">
        <v>0.5</v>
      </c>
      <c r="K1557" t="inlineStr">
        <is>
          <t>Distinguished</t>
        </is>
      </c>
      <c r="L1557" t="inlineStr">
        <is>
          <t>Professional</t>
        </is>
      </c>
      <c r="M1557" t="inlineStr">
        <is>
          <t>Geoff St. Marie</t>
        </is>
      </c>
    </row>
    <row r="1558">
      <c r="A1558" s="9" t="inlineStr">
        <is>
          <t>Richard Kralik</t>
        </is>
      </c>
      <c r="B1558" s="9" t="inlineStr">
        <is>
          <t>12/28/25 - 1/25/26</t>
        </is>
      </c>
      <c r="C1558" s="12" t="n">
        <v>0.725</v>
      </c>
      <c r="D1558" s="12" t="n">
        <v>0.8547</v>
      </c>
      <c r="E1558" s="12" t="n">
        <v>1</v>
      </c>
      <c r="F1558" s="12" t="n">
        <v>0.969230769</v>
      </c>
      <c r="G1558" s="12" t="n">
        <v>0.769230769</v>
      </c>
      <c r="H1558" s="9" t="n">
        <v>10</v>
      </c>
      <c r="I1558" s="10" t="inlineStr">
        <is>
          <t>0/8</t>
        </is>
      </c>
      <c r="J1558" s="12" t="n">
        <v>0</v>
      </c>
      <c r="K1558" t="inlineStr">
        <is>
          <t>Distinguished</t>
        </is>
      </c>
      <c r="L1558" t="inlineStr">
        <is>
          <t>Professional</t>
        </is>
      </c>
      <c r="M1558" t="inlineStr">
        <is>
          <t>Geoff St. Marie</t>
        </is>
      </c>
    </row>
    <row r="1559">
      <c r="A1559" s="9" t="inlineStr">
        <is>
          <t>Richard Kralik</t>
        </is>
      </c>
      <c r="B1559" s="9" t="inlineStr">
        <is>
          <t>5/18/25 - 6/14/25</t>
        </is>
      </c>
      <c r="C1559" s="12" t="n">
        <v>0.46</v>
      </c>
      <c r="D1559" s="12" t="n">
        <v>1.04</v>
      </c>
      <c r="E1559" s="12" t="n">
        <v>0.99</v>
      </c>
      <c r="F1559" s="12" t="n">
        <v>1</v>
      </c>
      <c r="G1559" s="12" t="n">
        <v>0.67</v>
      </c>
      <c r="H1559" s="9" t="e">
        <v>#N/A</v>
      </c>
      <c r="I1559" s="10" t="n">
        <v>0</v>
      </c>
      <c r="J1559" s="12">
        <f>I1559</f>
        <v/>
      </c>
      <c r="K1559" t="inlineStr">
        <is>
          <t>Distinguished</t>
        </is>
      </c>
      <c r="L1559" t="inlineStr">
        <is>
          <t>Professional</t>
        </is>
      </c>
      <c r="M1559" t="inlineStr">
        <is>
          <t>Geoff St. Marie</t>
        </is>
      </c>
    </row>
    <row r="1560">
      <c r="A1560" s="9" t="inlineStr">
        <is>
          <t>Richard Kralik</t>
        </is>
      </c>
      <c r="B1560" s="9" t="inlineStr">
        <is>
          <t>6/15/25 - 7/12/25</t>
        </is>
      </c>
      <c r="C1560" s="12" t="n">
        <v>0.31</v>
      </c>
      <c r="D1560" s="12" t="n">
        <v>1.11</v>
      </c>
      <c r="E1560" s="12" t="n">
        <v>1</v>
      </c>
      <c r="F1560" s="12" t="n">
        <v>0.96</v>
      </c>
      <c r="G1560" s="12" t="n">
        <v>0.3</v>
      </c>
      <c r="H1560" s="9" t="n">
        <v>2</v>
      </c>
      <c r="I1560" s="10" t="n">
        <v>0</v>
      </c>
      <c r="J1560" s="12">
        <f>I1560</f>
        <v/>
      </c>
      <c r="K1560" t="inlineStr">
        <is>
          <t>Distinguished</t>
        </is>
      </c>
      <c r="L1560" t="inlineStr">
        <is>
          <t>Professional</t>
        </is>
      </c>
      <c r="M1560" t="inlineStr">
        <is>
          <t>Geoff St. Marie</t>
        </is>
      </c>
    </row>
    <row r="1561">
      <c r="A1561" s="9" t="inlineStr">
        <is>
          <t>Richard Kralik</t>
        </is>
      </c>
      <c r="B1561" s="9" t="inlineStr">
        <is>
          <t>7/13/25 - 8/10/25</t>
        </is>
      </c>
      <c r="C1561" s="12" t="n">
        <v>0.61</v>
      </c>
      <c r="D1561" s="12" t="n">
        <v>1.01</v>
      </c>
      <c r="E1561" s="12" t="n">
        <v>0.99</v>
      </c>
      <c r="F1561" s="12" t="n">
        <v>0.71</v>
      </c>
      <c r="G1561" s="12" t="n">
        <v>0.2</v>
      </c>
      <c r="H1561" s="9" t="n">
        <v>2</v>
      </c>
      <c r="I1561" s="10" t="inlineStr">
        <is>
          <t xml:space="preserve"> 2/3</t>
        </is>
      </c>
      <c r="J1561" s="12" t="n">
        <v>0.67</v>
      </c>
      <c r="K1561" t="inlineStr">
        <is>
          <t>Distinguished</t>
        </is>
      </c>
      <c r="L1561" t="inlineStr">
        <is>
          <t>Professional</t>
        </is>
      </c>
      <c r="M1561" t="inlineStr">
        <is>
          <t>Geoff St. Marie</t>
        </is>
      </c>
    </row>
    <row r="1562">
      <c r="A1562" s="9" t="inlineStr">
        <is>
          <t>Richard Kralik</t>
        </is>
      </c>
      <c r="B1562" s="9" t="inlineStr">
        <is>
          <t>8/10/25 - 9/6/25</t>
        </is>
      </c>
      <c r="C1562" s="12" t="n">
        <v>0.76</v>
      </c>
      <c r="D1562" s="12" t="n">
        <v>1.01</v>
      </c>
      <c r="E1562" s="12" t="n">
        <v>0.99</v>
      </c>
      <c r="F1562" s="12" t="n">
        <v>0.9399999999999999</v>
      </c>
      <c r="G1562" s="12" t="n">
        <v>0.15</v>
      </c>
      <c r="H1562" s="9" t="n">
        <v>5</v>
      </c>
      <c r="I1562" s="10" t="inlineStr">
        <is>
          <t>2/7</t>
        </is>
      </c>
      <c r="J1562" s="12" t="n">
        <v>0.29</v>
      </c>
      <c r="K1562" t="inlineStr">
        <is>
          <t>Distinguished</t>
        </is>
      </c>
      <c r="L1562" t="inlineStr">
        <is>
          <t>Professional</t>
        </is>
      </c>
      <c r="M1562" t="inlineStr">
        <is>
          <t>Geoff St. Marie</t>
        </is>
      </c>
    </row>
    <row r="1563">
      <c r="A1563" s="9" t="inlineStr">
        <is>
          <t>Richard Kralik</t>
        </is>
      </c>
      <c r="B1563" s="9" t="inlineStr">
        <is>
          <t>9/7/25 - 10/4/25</t>
        </is>
      </c>
      <c r="C1563" s="12" t="n">
        <v>0.76</v>
      </c>
      <c r="D1563" s="12" t="n">
        <v>1.02</v>
      </c>
      <c r="E1563" s="12" t="n">
        <v>1</v>
      </c>
      <c r="F1563" s="12" t="n">
        <v>0.9399999999999999</v>
      </c>
      <c r="G1563" s="12" t="n">
        <v>0.13</v>
      </c>
      <c r="H1563" s="9" t="n">
        <v>8</v>
      </c>
      <c r="I1563" s="10" t="inlineStr">
        <is>
          <t>0/8</t>
        </is>
      </c>
      <c r="J1563" s="12" t="n">
        <v>0</v>
      </c>
      <c r="K1563" t="inlineStr">
        <is>
          <t>Distinguished</t>
        </is>
      </c>
      <c r="L1563" t="inlineStr">
        <is>
          <t>Professional</t>
        </is>
      </c>
      <c r="M1563" t="inlineStr">
        <is>
          <t>Geoff St. Marie</t>
        </is>
      </c>
    </row>
    <row r="1564">
      <c r="A1564" s="9" t="inlineStr">
        <is>
          <t>Ries Scerbin</t>
        </is>
      </c>
      <c r="B1564" s="9" t="inlineStr">
        <is>
          <t>10/5/25 - 11/1/25</t>
        </is>
      </c>
      <c r="C1564" s="12" t="n">
        <v>0.8021</v>
      </c>
      <c r="D1564" s="12" t="n">
        <v>1.1992</v>
      </c>
      <c r="E1564" s="12" t="n">
        <v>0.931818181818181</v>
      </c>
      <c r="F1564" s="12" t="n">
        <v>0.973684210526315</v>
      </c>
      <c r="G1564" s="12" t="n">
        <v>0.333333333333333</v>
      </c>
      <c r="H1564" s="9" t="n">
        <v>8</v>
      </c>
      <c r="I1564" s="10" t="inlineStr">
        <is>
          <t>2/7</t>
        </is>
      </c>
      <c r="J1564" s="12" t="n">
        <v>0.29</v>
      </c>
      <c r="K1564" t="inlineStr">
        <is>
          <t>Distinguished</t>
        </is>
      </c>
      <c r="L1564" t="inlineStr">
        <is>
          <t>Adjunct</t>
        </is>
      </c>
      <c r="M1564" t="inlineStr">
        <is>
          <t>Annelies de Groot</t>
        </is>
      </c>
    </row>
    <row r="1565">
      <c r="A1565" s="9" t="inlineStr">
        <is>
          <t>Ries Scerbin</t>
        </is>
      </c>
      <c r="B1565" s="9" t="inlineStr">
        <is>
          <t>10/5/25 - 11/1/25</t>
        </is>
      </c>
      <c r="C1565" s="12" t="n">
        <v>0.8021</v>
      </c>
      <c r="D1565" s="12" t="n">
        <v>1.1992</v>
      </c>
      <c r="E1565" s="12" t="n">
        <v>0.931818181818181</v>
      </c>
      <c r="F1565" s="12" t="n">
        <v>0.973684210526315</v>
      </c>
      <c r="G1565" s="12" t="n">
        <v>0.333333333333333</v>
      </c>
      <c r="H1565" s="9" t="n">
        <v>8</v>
      </c>
      <c r="I1565" s="10" t="inlineStr">
        <is>
          <t>2/7</t>
        </is>
      </c>
      <c r="J1565" s="12">
        <f>_xlfn.TEXTBEFORE(I1565, "/")/_xlfn.TEXTAFTER(I1565,"/")</f>
        <v/>
      </c>
      <c r="K1565" t="inlineStr">
        <is>
          <t>Distinguished</t>
        </is>
      </c>
      <c r="L1565" t="inlineStr">
        <is>
          <t>Adjunct</t>
        </is>
      </c>
      <c r="M1565" t="inlineStr">
        <is>
          <t>Annelies de Groot</t>
        </is>
      </c>
    </row>
    <row r="1566">
      <c r="A1566" s="9" t="inlineStr">
        <is>
          <t>Ries Scerbin</t>
        </is>
      </c>
      <c r="B1566" s="9" t="inlineStr">
        <is>
          <t>11/2/25 - 11/29/25</t>
        </is>
      </c>
      <c r="C1566" s="12" t="n">
        <v>1.07</v>
      </c>
      <c r="D1566" s="12" t="n">
        <v>1.23</v>
      </c>
      <c r="E1566" s="12" t="n">
        <v>0.9399999999999999</v>
      </c>
      <c r="F1566" s="12" t="n">
        <v>1</v>
      </c>
      <c r="G1566" s="12" t="n">
        <v>0.29</v>
      </c>
      <c r="H1566" s="9" t="n">
        <v>3</v>
      </c>
      <c r="I1566" s="13" t="inlineStr">
        <is>
          <t>0/3</t>
        </is>
      </c>
      <c r="J1566" s="12" t="n">
        <v>0</v>
      </c>
      <c r="K1566" t="inlineStr">
        <is>
          <t>Distinguished</t>
        </is>
      </c>
      <c r="L1566" t="inlineStr">
        <is>
          <t>Adjunct</t>
        </is>
      </c>
      <c r="M1566" t="inlineStr">
        <is>
          <t>Annelies de Groot</t>
        </is>
      </c>
    </row>
    <row r="1567">
      <c r="A1567" s="9" t="inlineStr">
        <is>
          <t>Ries Scerbin</t>
        </is>
      </c>
      <c r="B1567" s="9" t="inlineStr">
        <is>
          <t>11/30/25 - 12/27/25</t>
        </is>
      </c>
      <c r="C1567" s="12" t="n">
        <v>1.04</v>
      </c>
      <c r="D1567" s="12" t="n">
        <v>1.25</v>
      </c>
      <c r="E1567" s="12" t="n">
        <v>1</v>
      </c>
      <c r="F1567" s="12" t="n">
        <v>1</v>
      </c>
      <c r="G1567" s="12" t="n">
        <v>0.2</v>
      </c>
      <c r="H1567" s="9" t="n">
        <v>6</v>
      </c>
      <c r="I1567" s="10" t="inlineStr">
        <is>
          <t>0/4</t>
        </is>
      </c>
      <c r="J1567" s="12" t="n">
        <v>0</v>
      </c>
      <c r="K1567" t="inlineStr">
        <is>
          <t>Distinguished</t>
        </is>
      </c>
      <c r="L1567" t="inlineStr">
        <is>
          <t>Adjunct</t>
        </is>
      </c>
      <c r="M1567" t="inlineStr">
        <is>
          <t>Annelies de Groot</t>
        </is>
      </c>
    </row>
    <row r="1568">
      <c r="A1568" s="9" t="inlineStr">
        <is>
          <t>Ries Scerbin</t>
        </is>
      </c>
      <c r="B1568" s="9" t="inlineStr">
        <is>
          <t>12/28/25 - 1/25/26</t>
        </is>
      </c>
      <c r="C1568" s="12" t="n">
        <v>1.2083</v>
      </c>
      <c r="D1568" s="12" t="n">
        <v>1.3164</v>
      </c>
      <c r="E1568" s="12" t="n">
        <v>0.95</v>
      </c>
      <c r="F1568" s="12" t="n">
        <v>1</v>
      </c>
      <c r="G1568" s="12" t="n">
        <v>0.461538462</v>
      </c>
      <c r="H1568" s="9" t="n">
        <v>6</v>
      </c>
      <c r="I1568" s="10" t="inlineStr">
        <is>
          <t>0/4</t>
        </is>
      </c>
      <c r="J1568" s="12" t="n">
        <v>0</v>
      </c>
      <c r="K1568" t="inlineStr">
        <is>
          <t>Distinguished</t>
        </is>
      </c>
      <c r="L1568" t="inlineStr">
        <is>
          <t>Adjunct</t>
        </is>
      </c>
      <c r="M1568" t="inlineStr">
        <is>
          <t>Annelies de Groot</t>
        </is>
      </c>
    </row>
    <row r="1569">
      <c r="A1569" s="9" t="inlineStr">
        <is>
          <t>Ries Scerbin</t>
        </is>
      </c>
      <c r="B1569" s="9" t="inlineStr">
        <is>
          <t>5/18/25 - 6/14/25</t>
        </is>
      </c>
      <c r="C1569" s="12" t="n">
        <v>0.28</v>
      </c>
      <c r="D1569" s="12" t="n">
        <v>1.13</v>
      </c>
      <c r="E1569" s="12" t="n">
        <v>1</v>
      </c>
      <c r="F1569" s="12" t="n">
        <v>1</v>
      </c>
      <c r="G1569" s="12" t="n">
        <v>0.67</v>
      </c>
      <c r="H1569" s="9" t="n">
        <v>1</v>
      </c>
      <c r="I1569" s="10" t="n">
        <v>0</v>
      </c>
      <c r="J1569" s="12">
        <f>I1569</f>
        <v/>
      </c>
      <c r="K1569" t="inlineStr">
        <is>
          <t>Distinguished</t>
        </is>
      </c>
      <c r="L1569" t="inlineStr">
        <is>
          <t>Adjunct</t>
        </is>
      </c>
      <c r="M1569" t="inlineStr">
        <is>
          <t>Annelies de Groot</t>
        </is>
      </c>
    </row>
    <row r="1570">
      <c r="A1570" s="9" t="inlineStr">
        <is>
          <t>Ries Scerbin</t>
        </is>
      </c>
      <c r="B1570" s="9" t="inlineStr">
        <is>
          <t>6/15/25 - 7/12/25</t>
        </is>
      </c>
      <c r="C1570" s="12" t="n">
        <v>0.17</v>
      </c>
      <c r="D1570" s="12" t="n">
        <v>1.17</v>
      </c>
      <c r="E1570" s="12" t="n">
        <v>1</v>
      </c>
      <c r="F1570" s="12" t="n">
        <v>1</v>
      </c>
      <c r="G1570" s="12" t="n">
        <v>1</v>
      </c>
      <c r="H1570" s="9" t="e">
        <v>#N/A</v>
      </c>
      <c r="I1570" s="10" t="n">
        <v>0</v>
      </c>
      <c r="J1570" s="12">
        <f>I1570</f>
        <v/>
      </c>
      <c r="K1570" t="inlineStr">
        <is>
          <t>Distinguished</t>
        </is>
      </c>
      <c r="L1570" t="inlineStr">
        <is>
          <t>Adjunct</t>
        </is>
      </c>
      <c r="M1570" t="inlineStr">
        <is>
          <t>Annelies de Groot</t>
        </is>
      </c>
    </row>
    <row r="1571">
      <c r="A1571" s="9" t="inlineStr">
        <is>
          <t>Ries Scerbin</t>
        </is>
      </c>
      <c r="B1571" s="9" t="inlineStr">
        <is>
          <t>7/13/25 - 8/10/25</t>
        </is>
      </c>
      <c r="C1571" s="12" t="n">
        <v>0.23</v>
      </c>
      <c r="D1571" s="12" t="n">
        <v>0.93</v>
      </c>
      <c r="E1571" s="12" t="n">
        <v>0.91</v>
      </c>
      <c r="F1571" s="12" t="n">
        <v>1</v>
      </c>
      <c r="G1571" s="12" t="n">
        <v>0</v>
      </c>
      <c r="H1571" s="9" t="n">
        <v>1</v>
      </c>
      <c r="J1571" s="9" t="n"/>
      <c r="K1571" t="inlineStr">
        <is>
          <t>Distinguished</t>
        </is>
      </c>
      <c r="L1571" t="inlineStr">
        <is>
          <t>Adjunct</t>
        </is>
      </c>
      <c r="M1571" t="inlineStr">
        <is>
          <t>Annelies de Groot</t>
        </is>
      </c>
    </row>
    <row r="1572">
      <c r="A1572" s="9" t="inlineStr">
        <is>
          <t>Ries Scerbin</t>
        </is>
      </c>
      <c r="B1572" s="9" t="inlineStr">
        <is>
          <t>8/10/25 - 9/6/25</t>
        </is>
      </c>
      <c r="C1572" s="12" t="n">
        <v>0.42</v>
      </c>
      <c r="D1572" s="12" t="n">
        <v>1.16</v>
      </c>
      <c r="E1572" s="12" t="n">
        <v>0.95</v>
      </c>
      <c r="F1572" s="12" t="n">
        <v>1</v>
      </c>
      <c r="G1572" s="12" t="n">
        <v>0.5</v>
      </c>
      <c r="H1572" s="9" t="n">
        <v>1</v>
      </c>
      <c r="I1572" s="11" t="n"/>
      <c r="J1572" s="9" t="n"/>
      <c r="K1572" t="inlineStr">
        <is>
          <t>Distinguished</t>
        </is>
      </c>
      <c r="L1572" t="inlineStr">
        <is>
          <t>Adjunct</t>
        </is>
      </c>
      <c r="M1572" t="inlineStr">
        <is>
          <t>Annelies de Groot</t>
        </is>
      </c>
    </row>
    <row r="1573">
      <c r="A1573" s="9" t="inlineStr">
        <is>
          <t>Ries Scerbin</t>
        </is>
      </c>
      <c r="B1573" s="9" t="inlineStr">
        <is>
          <t>9/7/25 - 10/4/25</t>
        </is>
      </c>
      <c r="C1573" s="12" t="n">
        <v>0.22</v>
      </c>
      <c r="D1573" s="12" t="n">
        <v>0.97</v>
      </c>
      <c r="E1573" s="12" t="n">
        <v>0.93</v>
      </c>
      <c r="F1573" s="12" t="n">
        <v>1</v>
      </c>
      <c r="G1573" s="12" t="n">
        <v>0.5</v>
      </c>
      <c r="H1573" s="9" t="n">
        <v>1</v>
      </c>
      <c r="I1573" s="10" t="inlineStr">
        <is>
          <t>1/1</t>
        </is>
      </c>
      <c r="J1573" s="12" t="n">
        <v>1</v>
      </c>
      <c r="K1573" t="inlineStr">
        <is>
          <t>Distinguished</t>
        </is>
      </c>
      <c r="L1573" t="inlineStr">
        <is>
          <t>Adjunct</t>
        </is>
      </c>
      <c r="M1573" t="inlineStr">
        <is>
          <t>Annelies de Groot</t>
        </is>
      </c>
    </row>
    <row r="1574">
      <c r="A1574" s="9" t="inlineStr">
        <is>
          <t>River Nunez</t>
        </is>
      </c>
      <c r="B1574" s="9" t="inlineStr">
        <is>
          <t>10/5/25 - 11/1/25</t>
        </is>
      </c>
      <c r="C1574" s="12" t="n">
        <v>0.8417</v>
      </c>
      <c r="D1574" s="12" t="n">
        <v>1.1151</v>
      </c>
      <c r="E1574" s="12" t="n">
        <v>0.910112359550561</v>
      </c>
      <c r="F1574" s="12" t="n">
        <v>0.9833333333333329</v>
      </c>
      <c r="G1574" s="12" t="n">
        <v>0.75</v>
      </c>
      <c r="H1574" s="9" t="n">
        <v>2</v>
      </c>
      <c r="I1574" s="10" t="inlineStr">
        <is>
          <t>15/15</t>
        </is>
      </c>
      <c r="J1574" s="12" t="n">
        <v>1</v>
      </c>
      <c r="K1574" t="inlineStr">
        <is>
          <t>Distinguished</t>
        </is>
      </c>
      <c r="L1574" t="inlineStr">
        <is>
          <t>Professional</t>
        </is>
      </c>
      <c r="M1574" t="inlineStr">
        <is>
          <t>Annelies de Groot</t>
        </is>
      </c>
    </row>
    <row r="1575">
      <c r="A1575" s="9" t="inlineStr">
        <is>
          <t>River Nunez</t>
        </is>
      </c>
      <c r="B1575" s="9" t="inlineStr">
        <is>
          <t>11/2/25 - 11/29/25</t>
        </is>
      </c>
      <c r="C1575" s="12" t="n">
        <v>0.88</v>
      </c>
      <c r="D1575" s="12" t="n">
        <v>1.1</v>
      </c>
      <c r="E1575" s="12" t="n">
        <v>0.96</v>
      </c>
      <c r="F1575" s="12" t="n">
        <v>0.92</v>
      </c>
      <c r="G1575" s="12" t="n">
        <v>0.41</v>
      </c>
      <c r="H1575" s="9" t="n">
        <v>9</v>
      </c>
      <c r="I1575" s="13" t="n">
        <v>45877</v>
      </c>
      <c r="J1575" s="12" t="n">
        <v>1</v>
      </c>
      <c r="K1575" t="inlineStr">
        <is>
          <t>Distinguished</t>
        </is>
      </c>
      <c r="L1575" t="inlineStr">
        <is>
          <t>Professional</t>
        </is>
      </c>
      <c r="M1575" t="inlineStr">
        <is>
          <t>Annelies de Groot</t>
        </is>
      </c>
    </row>
    <row r="1576">
      <c r="A1576" s="9" t="inlineStr">
        <is>
          <t>River Nunez</t>
        </is>
      </c>
      <c r="B1576" s="9" t="inlineStr">
        <is>
          <t>11/30/25 - 12/27/25</t>
        </is>
      </c>
      <c r="C1576" s="12" t="n">
        <v>0.83</v>
      </c>
      <c r="D1576" s="12" t="n">
        <v>1.06</v>
      </c>
      <c r="E1576" s="12" t="n">
        <v>0.84</v>
      </c>
      <c r="F1576" s="12" t="n">
        <v>0.92</v>
      </c>
      <c r="G1576" s="12" t="n">
        <v>0.91</v>
      </c>
      <c r="H1576" s="9" t="n">
        <v>8</v>
      </c>
      <c r="I1576" s="10" t="n">
        <v>0.3</v>
      </c>
      <c r="J1576" s="12">
        <f>2/7</f>
        <v/>
      </c>
      <c r="K1576" t="inlineStr">
        <is>
          <t>Distinguished</t>
        </is>
      </c>
      <c r="L1576" t="inlineStr">
        <is>
          <t>Professional</t>
        </is>
      </c>
      <c r="M1576" t="inlineStr">
        <is>
          <t>Annelies de Groot</t>
        </is>
      </c>
    </row>
    <row r="1577">
      <c r="A1577" s="9" t="inlineStr">
        <is>
          <t>River Nunez</t>
        </is>
      </c>
      <c r="B1577" s="9" t="inlineStr">
        <is>
          <t>12/28/25 - 1/25/26</t>
        </is>
      </c>
      <c r="C1577" s="12" t="n">
        <v>0.7542</v>
      </c>
      <c r="D1577" s="12" t="n">
        <v>0.926</v>
      </c>
      <c r="E1577" s="12" t="n">
        <v>0.806818182</v>
      </c>
      <c r="F1577" s="12" t="n">
        <v>1</v>
      </c>
      <c r="G1577" s="12" t="n">
        <v>0.846153846</v>
      </c>
      <c r="H1577" s="9" t="n">
        <v>10</v>
      </c>
      <c r="I1577" s="10" t="n">
        <v>0.7777777777777778</v>
      </c>
      <c r="J1577" s="12">
        <f>I1577</f>
        <v/>
      </c>
      <c r="K1577" t="inlineStr">
        <is>
          <t>Distinguished</t>
        </is>
      </c>
      <c r="L1577" t="inlineStr">
        <is>
          <t>Professional</t>
        </is>
      </c>
      <c r="M1577" t="inlineStr">
        <is>
          <t>Annelies de Groot</t>
        </is>
      </c>
    </row>
    <row r="1578">
      <c r="A1578" s="9" t="inlineStr">
        <is>
          <t>River Nunez</t>
        </is>
      </c>
      <c r="B1578" s="9" t="inlineStr">
        <is>
          <t>5/18/25 - 6/14/25</t>
        </is>
      </c>
      <c r="C1578" s="12" t="n">
        <v>0.07000000000000001</v>
      </c>
      <c r="D1578" s="12" t="n">
        <v>1</v>
      </c>
      <c r="E1578" s="12" t="n">
        <v>1</v>
      </c>
      <c r="F1578" s="12" t="n">
        <v>1</v>
      </c>
      <c r="G1578" s="12" t="n">
        <v>0.8</v>
      </c>
      <c r="H1578" s="9" t="e">
        <v>#N/A</v>
      </c>
      <c r="J1578" s="9" t="n"/>
      <c r="K1578" t="inlineStr">
        <is>
          <t>Distinguished</t>
        </is>
      </c>
      <c r="L1578" t="inlineStr">
        <is>
          <t>Professional</t>
        </is>
      </c>
      <c r="M1578" t="inlineStr">
        <is>
          <t>Annelies de Groot</t>
        </is>
      </c>
    </row>
    <row r="1579">
      <c r="A1579" s="9" t="inlineStr">
        <is>
          <t>River Nunez</t>
        </is>
      </c>
      <c r="B1579" s="9" t="inlineStr">
        <is>
          <t>6/15/25 - 7/12/25</t>
        </is>
      </c>
      <c r="C1579" s="12" t="n">
        <v>0.23</v>
      </c>
      <c r="D1579" s="12" t="n">
        <v>1.01</v>
      </c>
      <c r="E1579" s="12" t="n">
        <v>0.98</v>
      </c>
      <c r="F1579" s="12" t="n">
        <v>1</v>
      </c>
      <c r="G1579" s="12" t="n">
        <v>1</v>
      </c>
      <c r="H1579" s="9" t="e">
        <v>#N/A</v>
      </c>
      <c r="I1579" s="10" t="inlineStr">
        <is>
          <t xml:space="preserve"> 6/7</t>
        </is>
      </c>
      <c r="J1579" s="12" t="n">
        <v>0.86</v>
      </c>
      <c r="K1579" t="inlineStr">
        <is>
          <t>Distinguished</t>
        </is>
      </c>
      <c r="L1579" t="inlineStr">
        <is>
          <t>Professional</t>
        </is>
      </c>
      <c r="M1579" t="inlineStr">
        <is>
          <t>Annelies de Groot</t>
        </is>
      </c>
    </row>
    <row r="1580">
      <c r="A1580" s="9" t="inlineStr">
        <is>
          <t>River Nunez</t>
        </is>
      </c>
      <c r="B1580" s="9" t="inlineStr">
        <is>
          <t>7/13/25 - 8/10/25</t>
        </is>
      </c>
      <c r="C1580" s="12" t="n">
        <v>0.58</v>
      </c>
      <c r="D1580" s="12" t="n">
        <v>1.02</v>
      </c>
      <c r="E1580" s="12" t="n">
        <v>0.97</v>
      </c>
      <c r="F1580" s="12" t="n">
        <v>0.77</v>
      </c>
      <c r="G1580" s="12" t="n">
        <v>0.74</v>
      </c>
      <c r="H1580" s="9" t="e">
        <v>#N/A</v>
      </c>
      <c r="I1580" s="10" t="inlineStr">
        <is>
          <t xml:space="preserve"> 3/5</t>
        </is>
      </c>
      <c r="J1580" s="12" t="n">
        <v>0.6</v>
      </c>
      <c r="K1580" t="inlineStr">
        <is>
          <t>Distinguished</t>
        </is>
      </c>
      <c r="L1580" t="inlineStr">
        <is>
          <t>Professional</t>
        </is>
      </c>
      <c r="M1580" t="inlineStr">
        <is>
          <t>Annelies de Groot</t>
        </is>
      </c>
    </row>
    <row r="1581">
      <c r="A1581" s="9" t="inlineStr">
        <is>
          <t>River Nunez</t>
        </is>
      </c>
      <c r="B1581" s="9" t="inlineStr">
        <is>
          <t>8/10/25 - 9/6/25</t>
        </is>
      </c>
      <c r="C1581" s="12" t="n">
        <v>0.79</v>
      </c>
      <c r="D1581" s="12" t="n">
        <v>1.12</v>
      </c>
      <c r="E1581" s="12" t="n">
        <v>0.99</v>
      </c>
      <c r="F1581" s="12" t="n">
        <v>0.98</v>
      </c>
      <c r="G1581" s="12" t="n">
        <v>0.8</v>
      </c>
      <c r="H1581" s="9" t="n">
        <v>5</v>
      </c>
      <c r="I1581" s="10" t="inlineStr">
        <is>
          <t>6/8</t>
        </is>
      </c>
      <c r="J1581" s="12" t="n">
        <v>0.75</v>
      </c>
      <c r="K1581" t="inlineStr">
        <is>
          <t>Distinguished</t>
        </is>
      </c>
      <c r="L1581" t="inlineStr">
        <is>
          <t>Professional</t>
        </is>
      </c>
      <c r="M1581" t="inlineStr">
        <is>
          <t>Annelies de Groot</t>
        </is>
      </c>
    </row>
    <row r="1582">
      <c r="A1582" s="9" t="inlineStr">
        <is>
          <t>River Nunez</t>
        </is>
      </c>
      <c r="B1582" s="9" t="inlineStr">
        <is>
          <t>9/7/25 - 10/4/25</t>
        </is>
      </c>
      <c r="C1582" s="12" t="n">
        <v>0.8</v>
      </c>
      <c r="D1582" s="12" t="n">
        <v>1.08</v>
      </c>
      <c r="E1582" s="12" t="n">
        <v>0.95</v>
      </c>
      <c r="F1582" s="12" t="n">
        <v>0.96</v>
      </c>
      <c r="G1582" s="12" t="n">
        <v>0.6899999999999999</v>
      </c>
      <c r="H1582" s="9" t="n">
        <v>6</v>
      </c>
      <c r="I1582" s="10" t="inlineStr">
        <is>
          <t>2/5</t>
        </is>
      </c>
      <c r="J1582" s="12" t="n">
        <v>0.4</v>
      </c>
      <c r="K1582" t="inlineStr">
        <is>
          <t>Distinguished</t>
        </is>
      </c>
      <c r="L1582" t="inlineStr">
        <is>
          <t>Professional</t>
        </is>
      </c>
      <c r="M1582" t="inlineStr">
        <is>
          <t>Annelies de Groot</t>
        </is>
      </c>
    </row>
    <row r="1583">
      <c r="A1583" s="9" t="inlineStr">
        <is>
          <t>Robert Nantze</t>
        </is>
      </c>
      <c r="B1583" s="9" t="inlineStr">
        <is>
          <t>10/5/25 - 11/1/25</t>
        </is>
      </c>
      <c r="C1583" s="12" t="n">
        <v>0.8958</v>
      </c>
      <c r="D1583" s="12" t="n">
        <v>1.1069</v>
      </c>
      <c r="E1583" s="12" t="n">
        <v>0.946808510638297</v>
      </c>
      <c r="F1583" s="12" t="n">
        <v>1</v>
      </c>
      <c r="G1583" s="12" t="n">
        <v>0.9411764705882349</v>
      </c>
      <c r="H1583" s="9" t="n">
        <v>4</v>
      </c>
      <c r="I1583" s="10" t="inlineStr">
        <is>
          <t>2/6</t>
        </is>
      </c>
      <c r="J1583" s="12" t="n">
        <v>0.33</v>
      </c>
      <c r="K1583" t="inlineStr">
        <is>
          <t>Distinguished</t>
        </is>
      </c>
      <c r="L1583" t="inlineStr">
        <is>
          <t>Professional</t>
        </is>
      </c>
      <c r="M1583" t="inlineStr">
        <is>
          <t>Ela Cross</t>
        </is>
      </c>
    </row>
    <row r="1584">
      <c r="A1584" s="9" t="inlineStr">
        <is>
          <t>Robert Nantze</t>
        </is>
      </c>
      <c r="B1584" s="9" t="inlineStr">
        <is>
          <t>10/5/25 - 11/1/25</t>
        </is>
      </c>
      <c r="C1584" s="12" t="n">
        <v>0.8958</v>
      </c>
      <c r="D1584" s="12" t="n">
        <v>1.1069</v>
      </c>
      <c r="E1584" s="12" t="n">
        <v>0.946808510638297</v>
      </c>
      <c r="F1584" s="12" t="n">
        <v>1</v>
      </c>
      <c r="G1584" s="12" t="n">
        <v>0.9411764705882349</v>
      </c>
      <c r="H1584" s="9" t="n">
        <v>4</v>
      </c>
      <c r="I1584" s="10" t="inlineStr">
        <is>
          <t>2/6</t>
        </is>
      </c>
      <c r="J1584" s="12">
        <f>_xlfn.TEXTBEFORE(I1584, "/")/_xlfn.TEXTAFTER(I1584,"/")</f>
        <v/>
      </c>
      <c r="K1584" t="inlineStr">
        <is>
          <t>Distinguished</t>
        </is>
      </c>
      <c r="L1584" t="inlineStr">
        <is>
          <t>Professional</t>
        </is>
      </c>
      <c r="M1584" t="inlineStr">
        <is>
          <t>Ela Cross</t>
        </is>
      </c>
    </row>
    <row r="1585">
      <c r="A1585" s="9" t="inlineStr">
        <is>
          <t>Robert Nantze</t>
        </is>
      </c>
      <c r="B1585" s="9" t="inlineStr">
        <is>
          <t>11/2/25 - 11/29/25</t>
        </is>
      </c>
      <c r="C1585" s="12" t="n">
        <v>0.99</v>
      </c>
      <c r="D1585" s="12" t="n">
        <v>1.12</v>
      </c>
      <c r="E1585" s="12" t="n">
        <v>0.98</v>
      </c>
      <c r="F1585" s="12" t="n">
        <v>1</v>
      </c>
      <c r="G1585" s="12" t="n">
        <v>0.73</v>
      </c>
      <c r="H1585" s="9" t="n">
        <v>6</v>
      </c>
      <c r="I1585" s="13" t="n">
        <v>45699</v>
      </c>
      <c r="J1585" s="14" t="n">
        <v>0.18</v>
      </c>
      <c r="K1585" t="inlineStr">
        <is>
          <t>Distinguished</t>
        </is>
      </c>
      <c r="L1585" t="inlineStr">
        <is>
          <t>Professional</t>
        </is>
      </c>
      <c r="M1585" t="inlineStr">
        <is>
          <t>Ela Cross</t>
        </is>
      </c>
    </row>
    <row r="1586">
      <c r="A1586" s="9" t="inlineStr">
        <is>
          <t>Robert Nantze</t>
        </is>
      </c>
      <c r="B1586" s="9" t="inlineStr">
        <is>
          <t>11/30/25 - 12/27/25</t>
        </is>
      </c>
      <c r="C1586" s="12" t="n">
        <v>0.82</v>
      </c>
      <c r="D1586" s="12" t="n">
        <v>1.12</v>
      </c>
      <c r="E1586" s="12" t="n">
        <v>0.97</v>
      </c>
      <c r="F1586" s="12" t="n">
        <v>1</v>
      </c>
      <c r="G1586" s="12" t="n">
        <v>0.9</v>
      </c>
      <c r="H1586" s="9" t="n">
        <v>3</v>
      </c>
      <c r="I1586" s="10" t="n">
        <v>0.25</v>
      </c>
      <c r="J1586" s="12" t="n">
        <v>0.25</v>
      </c>
      <c r="K1586" t="inlineStr">
        <is>
          <t>Distinguished</t>
        </is>
      </c>
      <c r="L1586" t="inlineStr">
        <is>
          <t>Professional</t>
        </is>
      </c>
      <c r="M1586" t="inlineStr">
        <is>
          <t>Ela Cross</t>
        </is>
      </c>
    </row>
    <row r="1587">
      <c r="A1587" s="9" t="inlineStr">
        <is>
          <t>Robert Nantze</t>
        </is>
      </c>
      <c r="B1587" s="9" t="inlineStr">
        <is>
          <t>12/28/25 - 1/25/26</t>
        </is>
      </c>
      <c r="C1587" s="12" t="n">
        <v>0.7958</v>
      </c>
      <c r="D1587" s="12" t="n">
        <v>1.0263</v>
      </c>
      <c r="E1587" s="12" t="n">
        <v>0.978021978</v>
      </c>
      <c r="F1587" s="12" t="n">
        <v>0.968253968</v>
      </c>
      <c r="G1587" s="12" t="n">
        <v>0.8666666669999999</v>
      </c>
      <c r="H1587" s="9" t="n">
        <v>9</v>
      </c>
      <c r="I1587" s="10" t="n">
        <v>0.25</v>
      </c>
      <c r="J1587" s="12">
        <f>I1587</f>
        <v/>
      </c>
      <c r="K1587" t="inlineStr">
        <is>
          <t>Distinguished</t>
        </is>
      </c>
      <c r="L1587" t="inlineStr">
        <is>
          <t>Professional</t>
        </is>
      </c>
      <c r="M1587" t="inlineStr">
        <is>
          <t>Ela Cross</t>
        </is>
      </c>
    </row>
    <row r="1588">
      <c r="A1588" s="9" t="inlineStr">
        <is>
          <t>Robert Nantze</t>
        </is>
      </c>
      <c r="B1588" s="9" t="inlineStr">
        <is>
          <t>6/15/25 - 7/12/25</t>
        </is>
      </c>
      <c r="C1588" s="12" t="n">
        <v>0.2</v>
      </c>
      <c r="D1588" s="12" t="n">
        <v>1.02</v>
      </c>
      <c r="E1588" s="12" t="n">
        <v>0.92</v>
      </c>
      <c r="F1588" s="12" t="n">
        <v>0.71</v>
      </c>
      <c r="G1588" s="12" t="n">
        <v>0.91</v>
      </c>
      <c r="H1588" s="9" t="e">
        <v>#N/A</v>
      </c>
      <c r="I1588" s="10" t="inlineStr">
        <is>
          <t xml:space="preserve"> 4/5</t>
        </is>
      </c>
      <c r="J1588" s="12" t="n">
        <v>0.8</v>
      </c>
      <c r="K1588" t="inlineStr">
        <is>
          <t>Distinguished</t>
        </is>
      </c>
      <c r="L1588" t="inlineStr">
        <is>
          <t>Professional</t>
        </is>
      </c>
      <c r="M1588" t="inlineStr">
        <is>
          <t>Ela Cross</t>
        </is>
      </c>
    </row>
    <row r="1589">
      <c r="A1589" s="9" t="inlineStr">
        <is>
          <t>Robert Nantze</t>
        </is>
      </c>
      <c r="B1589" s="9" t="inlineStr">
        <is>
          <t>7/13/25 - 8/10/25</t>
        </is>
      </c>
      <c r="C1589" s="12" t="n">
        <v>0.78</v>
      </c>
      <c r="D1589" s="12" t="n">
        <v>1.13</v>
      </c>
      <c r="E1589" s="12" t="n">
        <v>0.97</v>
      </c>
      <c r="F1589" s="12" t="n">
        <v>0.6899999999999999</v>
      </c>
      <c r="G1589" s="12" t="n">
        <v>0.71</v>
      </c>
      <c r="H1589" s="9" t="n">
        <v>1</v>
      </c>
      <c r="I1589" s="10" t="inlineStr">
        <is>
          <t xml:space="preserve"> 1/3</t>
        </is>
      </c>
      <c r="J1589" s="12">
        <f>1/3</f>
        <v/>
      </c>
      <c r="K1589" t="inlineStr">
        <is>
          <t>Distinguished</t>
        </is>
      </c>
      <c r="L1589" t="inlineStr">
        <is>
          <t>Professional</t>
        </is>
      </c>
      <c r="M1589" t="inlineStr">
        <is>
          <t>Ela Cross</t>
        </is>
      </c>
    </row>
    <row r="1590">
      <c r="A1590" s="9" t="inlineStr">
        <is>
          <t>Robert Nantze</t>
        </is>
      </c>
      <c r="B1590" s="9" t="inlineStr">
        <is>
          <t>8/10/25 - 9/6/25</t>
        </is>
      </c>
      <c r="C1590" s="12" t="n">
        <v>0.79</v>
      </c>
      <c r="D1590" s="12" t="n">
        <v>1.24</v>
      </c>
      <c r="E1590" s="12" t="n">
        <v>0.97</v>
      </c>
      <c r="F1590" s="12" t="n">
        <v>0.98</v>
      </c>
      <c r="G1590" s="12" t="n">
        <v>0.73</v>
      </c>
      <c r="H1590" s="9" t="n">
        <v>3</v>
      </c>
      <c r="I1590" s="10" t="inlineStr">
        <is>
          <t>5/8</t>
        </is>
      </c>
      <c r="J1590" s="12" t="n">
        <v>0.63</v>
      </c>
      <c r="K1590" t="inlineStr">
        <is>
          <t>Distinguished</t>
        </is>
      </c>
      <c r="L1590" t="inlineStr">
        <is>
          <t>Professional</t>
        </is>
      </c>
      <c r="M1590" t="inlineStr">
        <is>
          <t>Ela Cross</t>
        </is>
      </c>
    </row>
    <row r="1591">
      <c r="A1591" s="9" t="inlineStr">
        <is>
          <t>Robert Nantze</t>
        </is>
      </c>
      <c r="B1591" s="9" t="inlineStr">
        <is>
          <t>9/7/25 - 10/4/25</t>
        </is>
      </c>
      <c r="C1591" s="12" t="n">
        <v>0.8</v>
      </c>
      <c r="D1591" s="12" t="n">
        <v>1.16</v>
      </c>
      <c r="E1591" s="12" t="n">
        <v>0.97</v>
      </c>
      <c r="F1591" s="12" t="n">
        <v>0.98</v>
      </c>
      <c r="G1591" s="12" t="n">
        <v>0.62</v>
      </c>
      <c r="H1591" s="9" t="n">
        <v>7</v>
      </c>
      <c r="I1591" s="10" t="inlineStr">
        <is>
          <t>2/5</t>
        </is>
      </c>
      <c r="J1591" s="12" t="n">
        <v>0.4</v>
      </c>
      <c r="K1591" t="inlineStr">
        <is>
          <t>Distinguished</t>
        </is>
      </c>
      <c r="L1591" t="inlineStr">
        <is>
          <t>Professional</t>
        </is>
      </c>
      <c r="M1591" t="inlineStr">
        <is>
          <t>Ela Cross</t>
        </is>
      </c>
    </row>
    <row r="1592">
      <c r="A1592" s="9" t="inlineStr">
        <is>
          <t>Robert Sawyer</t>
        </is>
      </c>
      <c r="B1592" s="9" t="inlineStr">
        <is>
          <t>5/18/25 - 6/14/25</t>
        </is>
      </c>
      <c r="C1592" s="12" t="n">
        <v>0.84</v>
      </c>
      <c r="D1592" s="12" t="n">
        <v>1.41</v>
      </c>
      <c r="E1592" s="12" t="n">
        <v>0.98</v>
      </c>
      <c r="F1592" s="12" t="n">
        <v>0.78</v>
      </c>
      <c r="G1592" s="12" t="n">
        <v>0.22</v>
      </c>
      <c r="H1592" s="9" t="n">
        <v>9</v>
      </c>
      <c r="I1592" s="10" t="n">
        <v>0</v>
      </c>
      <c r="J1592" s="12">
        <f>I1592</f>
        <v/>
      </c>
      <c r="K1592" t="e">
        <v>#N/A</v>
      </c>
      <c r="L1592" t="e">
        <v>#N/A</v>
      </c>
      <c r="M1592" t="e">
        <v>#N/A</v>
      </c>
    </row>
    <row r="1593">
      <c r="A1593" s="9" t="inlineStr">
        <is>
          <t>Robert Sawyer</t>
        </is>
      </c>
      <c r="B1593" s="9" t="inlineStr">
        <is>
          <t>6/15/25 - 7/12/25</t>
        </is>
      </c>
      <c r="C1593" s="12" t="n">
        <v>0.65</v>
      </c>
      <c r="D1593" s="12" t="n">
        <v>1.69</v>
      </c>
      <c r="E1593" s="12" t="n">
        <v>1</v>
      </c>
      <c r="F1593" s="12" t="n">
        <v>1</v>
      </c>
      <c r="G1593" s="12" t="n">
        <v>0.92</v>
      </c>
      <c r="H1593" s="9" t="n">
        <v>3</v>
      </c>
      <c r="I1593" s="10" t="n">
        <v>1</v>
      </c>
      <c r="J1593" s="12">
        <f>I1593</f>
        <v/>
      </c>
      <c r="K1593" t="e">
        <v>#N/A</v>
      </c>
      <c r="L1593" t="e">
        <v>#N/A</v>
      </c>
      <c r="M1593" t="e">
        <v>#N/A</v>
      </c>
    </row>
    <row r="1594">
      <c r="A1594" s="9" t="inlineStr">
        <is>
          <t>Robert Sawyer</t>
        </is>
      </c>
      <c r="B1594" s="9" t="inlineStr">
        <is>
          <t>7/13/25 - 8/10/25</t>
        </is>
      </c>
      <c r="C1594" s="12" t="n">
        <v>0.4</v>
      </c>
      <c r="D1594" s="12" t="n">
        <v>1.22</v>
      </c>
      <c r="E1594" s="12" t="n">
        <v>1</v>
      </c>
      <c r="F1594" s="12" t="n">
        <v>1</v>
      </c>
      <c r="G1594" s="12" t="n">
        <v>0</v>
      </c>
      <c r="H1594" s="9" t="n">
        <v>2</v>
      </c>
      <c r="I1594" s="10" t="n">
        <v>0</v>
      </c>
      <c r="J1594" s="12">
        <f>I1594</f>
        <v/>
      </c>
      <c r="K1594" t="e">
        <v>#N/A</v>
      </c>
      <c r="L1594" t="e">
        <v>#N/A</v>
      </c>
      <c r="M1594" t="e">
        <v>#N/A</v>
      </c>
    </row>
    <row r="1595">
      <c r="A1595" s="9" t="inlineStr">
        <is>
          <t>Rooa Abdelmagid</t>
        </is>
      </c>
      <c r="B1595" s="9" t="inlineStr">
        <is>
          <t>12/28/25 - 1/25/26</t>
        </is>
      </c>
      <c r="C1595" s="12" t="n">
        <v>0</v>
      </c>
      <c r="D1595" s="12" t="n">
        <v>0.1184</v>
      </c>
      <c r="E1595" s="12" t="n">
        <v>0</v>
      </c>
      <c r="F1595" s="12" t="n">
        <v>0</v>
      </c>
      <c r="G1595" s="12" t="n">
        <v>0</v>
      </c>
      <c r="H1595" s="9" t="n">
        <v>0</v>
      </c>
      <c r="I1595" s="10" t="inlineStr">
        <is>
          <t>0/0</t>
        </is>
      </c>
      <c r="J1595" s="12" t="n">
        <v>0</v>
      </c>
      <c r="K1595" t="e">
        <v>#N/A</v>
      </c>
      <c r="L1595" t="e">
        <v>#N/A</v>
      </c>
      <c r="M1595" t="e">
        <v>#N/A</v>
      </c>
    </row>
    <row r="1596">
      <c r="A1596" s="9" t="inlineStr">
        <is>
          <t>Ruth Cisneros</t>
        </is>
      </c>
      <c r="B1596" s="9" t="inlineStr">
        <is>
          <t>5/18/25 - 6/14/25</t>
        </is>
      </c>
      <c r="C1596" s="12" t="n">
        <v>1.11</v>
      </c>
      <c r="D1596" s="12" t="n">
        <v>1.24</v>
      </c>
      <c r="E1596" s="12" t="n">
        <v>0.99</v>
      </c>
      <c r="F1596" s="12" t="n">
        <v>0.75</v>
      </c>
      <c r="G1596" s="12" t="n">
        <v>0.6899999999999999</v>
      </c>
      <c r="H1596" s="9" t="n">
        <v>7</v>
      </c>
      <c r="I1596" s="10" t="n">
        <v>1</v>
      </c>
      <c r="J1596" s="12">
        <f>I1596</f>
        <v/>
      </c>
      <c r="K1596" t="e">
        <v>#N/A</v>
      </c>
      <c r="L1596" t="e">
        <v>#N/A</v>
      </c>
      <c r="M1596" t="e">
        <v>#N/A</v>
      </c>
    </row>
    <row r="1597">
      <c r="A1597" s="9" t="inlineStr">
        <is>
          <t>Ryan Cauwenberghs</t>
        </is>
      </c>
      <c r="B1597" s="9" t="inlineStr">
        <is>
          <t>10/5/25 - 11/1/25</t>
        </is>
      </c>
      <c r="C1597" s="12" t="n">
        <v>0.875</v>
      </c>
      <c r="D1597" s="12" t="n">
        <v>1.0407</v>
      </c>
      <c r="E1597" s="12" t="n">
        <v>1</v>
      </c>
      <c r="F1597" s="12" t="n">
        <v>0.897727272727272</v>
      </c>
      <c r="G1597" s="12" t="n">
        <v>0.666666666666666</v>
      </c>
      <c r="H1597" s="9" t="n">
        <v>9</v>
      </c>
      <c r="I1597" s="10" t="inlineStr">
        <is>
          <t>0/5</t>
        </is>
      </c>
      <c r="J1597" s="12" t="n">
        <v>0</v>
      </c>
      <c r="K1597" t="e">
        <v>#N/A</v>
      </c>
      <c r="L1597" t="e">
        <v>#N/A</v>
      </c>
      <c r="M1597" t="e">
        <v>#N/A</v>
      </c>
    </row>
    <row r="1598">
      <c r="A1598" s="9" t="inlineStr">
        <is>
          <t>Ryan Cauwenberghs</t>
        </is>
      </c>
      <c r="B1598" s="9" t="inlineStr">
        <is>
          <t>11/2/25 - 11/29/25</t>
        </is>
      </c>
      <c r="C1598" s="12" t="n">
        <v>1.01</v>
      </c>
      <c r="D1598" s="12" t="n">
        <v>0.99</v>
      </c>
      <c r="E1598" s="12" t="n">
        <v>0.99</v>
      </c>
      <c r="F1598" s="12" t="n">
        <v>0.97</v>
      </c>
      <c r="G1598" s="12" t="n">
        <v>0.33</v>
      </c>
      <c r="H1598" s="9" t="n">
        <v>9</v>
      </c>
      <c r="I1598" s="13" t="inlineStr">
        <is>
          <t>0/11</t>
        </is>
      </c>
      <c r="J1598" s="12" t="n">
        <v>0</v>
      </c>
      <c r="K1598" t="e">
        <v>#N/A</v>
      </c>
      <c r="L1598" t="e">
        <v>#N/A</v>
      </c>
      <c r="M1598" t="e">
        <v>#N/A</v>
      </c>
    </row>
    <row r="1599">
      <c r="A1599" s="9" t="inlineStr">
        <is>
          <t>Ryan Cauwenberghs</t>
        </is>
      </c>
      <c r="B1599" s="9" t="inlineStr">
        <is>
          <t>11/30/25 - 12/27/25</t>
        </is>
      </c>
      <c r="C1599" s="12" t="n">
        <v>0.64</v>
      </c>
      <c r="D1599" s="12" t="n">
        <v>0.66</v>
      </c>
      <c r="E1599" s="12" t="n">
        <v>1</v>
      </c>
      <c r="F1599" s="12" t="n">
        <v>0.88</v>
      </c>
      <c r="G1599" s="12" t="n">
        <v>0.5</v>
      </c>
      <c r="H1599" s="9" t="n">
        <v>17</v>
      </c>
      <c r="I1599" s="10" t="inlineStr">
        <is>
          <t>0/4</t>
        </is>
      </c>
      <c r="J1599" s="12" t="n">
        <v>0</v>
      </c>
      <c r="K1599" t="e">
        <v>#N/A</v>
      </c>
      <c r="L1599" t="e">
        <v>#N/A</v>
      </c>
      <c r="M1599" t="e">
        <v>#N/A</v>
      </c>
    </row>
    <row r="1600">
      <c r="A1600" s="9" t="inlineStr">
        <is>
          <t>Ryan Cauwenberghs</t>
        </is>
      </c>
      <c r="B1600" s="9" t="inlineStr">
        <is>
          <t>8/10/25 - 9/6/25</t>
        </is>
      </c>
      <c r="C1600" s="12" t="n">
        <v>0.95</v>
      </c>
      <c r="D1600" s="12" t="n">
        <v>1.42</v>
      </c>
      <c r="E1600" s="12" t="n">
        <v>0.99</v>
      </c>
      <c r="F1600" s="12" t="n">
        <v>0.77</v>
      </c>
      <c r="G1600" s="12" t="n">
        <v>0.4</v>
      </c>
      <c r="H1600" s="9" t="n">
        <v>3</v>
      </c>
      <c r="I1600" s="10" t="inlineStr">
        <is>
          <t>1/5</t>
        </is>
      </c>
      <c r="J1600" s="12" t="n">
        <v>0.2</v>
      </c>
      <c r="K1600" t="e">
        <v>#N/A</v>
      </c>
      <c r="L1600" t="e">
        <v>#N/A</v>
      </c>
      <c r="M1600" t="e">
        <v>#N/A</v>
      </c>
    </row>
    <row r="1601">
      <c r="A1601" s="9" t="inlineStr">
        <is>
          <t>Ryan Cauwenberghs</t>
        </is>
      </c>
      <c r="B1601" s="9" t="inlineStr">
        <is>
          <t>9/7/25 - 10/4/25</t>
        </is>
      </c>
      <c r="C1601" s="12" t="n">
        <v>1.16</v>
      </c>
      <c r="D1601" s="12" t="n">
        <v>1.28</v>
      </c>
      <c r="E1601" s="12" t="n">
        <v>1</v>
      </c>
      <c r="F1601" s="12" t="n">
        <v>0.97</v>
      </c>
      <c r="G1601" s="12" t="n">
        <v>0.5600000000000001</v>
      </c>
      <c r="H1601" s="9" t="n">
        <v>8</v>
      </c>
      <c r="I1601" s="10" t="inlineStr">
        <is>
          <t>1/4</t>
        </is>
      </c>
      <c r="J1601" s="12" t="n">
        <v>0.25</v>
      </c>
      <c r="K1601" t="e">
        <v>#N/A</v>
      </c>
      <c r="L1601" t="e">
        <v>#N/A</v>
      </c>
      <c r="M1601" t="e">
        <v>#N/A</v>
      </c>
    </row>
    <row r="1602">
      <c r="A1602" s="9" t="inlineStr">
        <is>
          <t>Saahithi Punnam</t>
        </is>
      </c>
      <c r="B1602" s="9" t="inlineStr">
        <is>
          <t>12/28/25 - 1/25/26</t>
        </is>
      </c>
      <c r="C1602" s="12" t="n">
        <v>0</v>
      </c>
      <c r="D1602" s="12" t="n">
        <v>1.2188</v>
      </c>
      <c r="E1602" s="12" t="n">
        <v>0</v>
      </c>
      <c r="F1602" s="12" t="n">
        <v>0</v>
      </c>
      <c r="G1602" s="12" t="n">
        <v>0</v>
      </c>
      <c r="H1602" s="9" t="n">
        <v>0</v>
      </c>
      <c r="I1602" s="10" t="inlineStr">
        <is>
          <t>0/0</t>
        </is>
      </c>
      <c r="J1602" s="12" t="n">
        <v>0</v>
      </c>
      <c r="K1602" t="e">
        <v>#N/A</v>
      </c>
      <c r="L1602" t="e">
        <v>#N/A</v>
      </c>
      <c r="M1602" t="e">
        <v>#N/A</v>
      </c>
    </row>
    <row r="1603">
      <c r="A1603" s="9" t="inlineStr">
        <is>
          <t>Samantha Hudson</t>
        </is>
      </c>
      <c r="B1603" s="9" t="inlineStr">
        <is>
          <t>10/5/25 - 11/1/25</t>
        </is>
      </c>
      <c r="C1603" s="12" t="n">
        <v>0.6214999999999991</v>
      </c>
      <c r="D1603" s="12" t="n">
        <v>0.8867</v>
      </c>
      <c r="E1603" s="12" t="n">
        <v>0.8</v>
      </c>
      <c r="F1603" s="12" t="n">
        <v>0.45</v>
      </c>
      <c r="G1603" s="12" t="n">
        <v>0.5</v>
      </c>
      <c r="H1603" s="9" t="n">
        <v>1</v>
      </c>
      <c r="I1603" s="10" t="inlineStr">
        <is>
          <t>1/1</t>
        </is>
      </c>
      <c r="J1603" s="12" t="n">
        <v>1</v>
      </c>
      <c r="K1603" t="e">
        <v>#N/A</v>
      </c>
      <c r="L1603" t="e">
        <v>#N/A</v>
      </c>
      <c r="M1603" t="e">
        <v>#N/A</v>
      </c>
    </row>
    <row r="1604">
      <c r="A1604" s="9" t="inlineStr">
        <is>
          <t>Samantha Hudson</t>
        </is>
      </c>
      <c r="B1604" s="9" t="inlineStr">
        <is>
          <t>11/2/25 - 11/29/25</t>
        </is>
      </c>
      <c r="C1604" s="12" t="n">
        <v>0.67</v>
      </c>
      <c r="D1604" s="12" t="n">
        <v>1.05</v>
      </c>
      <c r="E1604" s="12" t="n">
        <v>0.8100000000000001</v>
      </c>
      <c r="F1604" s="12" t="n">
        <v>0.87</v>
      </c>
      <c r="G1604" s="12" t="n">
        <v>0.86</v>
      </c>
      <c r="H1604" s="9" t="n">
        <v>1</v>
      </c>
      <c r="I1604" s="13" t="n"/>
      <c r="J1604" s="9" t="n"/>
      <c r="K1604" t="e">
        <v>#N/A</v>
      </c>
      <c r="L1604" t="e">
        <v>#N/A</v>
      </c>
      <c r="M1604" t="e">
        <v>#N/A</v>
      </c>
    </row>
    <row r="1605">
      <c r="A1605" s="9" t="inlineStr">
        <is>
          <t>Samantha Hudson</t>
        </is>
      </c>
      <c r="B1605" s="9" t="inlineStr">
        <is>
          <t>11/30/25 - 12/27/25</t>
        </is>
      </c>
      <c r="C1605" s="12" t="n">
        <v>0.36</v>
      </c>
      <c r="D1605" s="12" t="n">
        <v>1.02</v>
      </c>
      <c r="E1605" s="12" t="n">
        <v>0.71</v>
      </c>
      <c r="F1605" s="12" t="n">
        <v>1</v>
      </c>
      <c r="G1605" s="12" t="n">
        <v>1</v>
      </c>
      <c r="H1605" s="9" t="n">
        <v>0</v>
      </c>
      <c r="I1605" s="10" t="n"/>
      <c r="J1605" s="12" t="n"/>
      <c r="K1605" t="e">
        <v>#N/A</v>
      </c>
      <c r="L1605" t="e">
        <v>#N/A</v>
      </c>
      <c r="M1605" t="e">
        <v>#N/A</v>
      </c>
    </row>
    <row r="1606">
      <c r="A1606" s="9" t="inlineStr">
        <is>
          <t>Samantha Hudson</t>
        </is>
      </c>
      <c r="B1606" s="9" t="inlineStr">
        <is>
          <t>12/28/25 - 1/25/26</t>
        </is>
      </c>
      <c r="C1606" s="12" t="n">
        <v>0.4375</v>
      </c>
      <c r="D1606" s="12" t="n">
        <v>1</v>
      </c>
      <c r="E1606" s="12" t="n">
        <v>0.857142857</v>
      </c>
      <c r="F1606" s="12" t="n">
        <v>0.555555556</v>
      </c>
      <c r="G1606" s="12" t="n">
        <v>0.857142857</v>
      </c>
      <c r="H1606" s="9" t="n">
        <v>1</v>
      </c>
      <c r="I1606" s="10" t="inlineStr">
        <is>
          <t>0/1</t>
        </is>
      </c>
      <c r="J1606" s="12" t="n">
        <v>0</v>
      </c>
      <c r="K1606" t="e">
        <v>#N/A</v>
      </c>
      <c r="L1606" t="e">
        <v>#N/A</v>
      </c>
      <c r="M1606" t="e">
        <v>#N/A</v>
      </c>
    </row>
    <row r="1607">
      <c r="A1607" s="9" t="inlineStr">
        <is>
          <t>Samantha Hudson</t>
        </is>
      </c>
      <c r="B1607" s="9" t="inlineStr">
        <is>
          <t>5/18/25 - 6/14/25</t>
        </is>
      </c>
      <c r="C1607" s="12" t="n">
        <v>0.72</v>
      </c>
      <c r="D1607" s="12" t="n">
        <v>1.16</v>
      </c>
      <c r="E1607" s="12" t="n">
        <v>0.92</v>
      </c>
      <c r="F1607" s="12" t="n">
        <v>0.6899999999999999</v>
      </c>
      <c r="G1607" s="12" t="n">
        <v>0.4</v>
      </c>
      <c r="H1607" s="9" t="e">
        <v>#N/A</v>
      </c>
      <c r="I1607" s="10" t="n">
        <v>1</v>
      </c>
      <c r="J1607" s="12">
        <f>I1607</f>
        <v/>
      </c>
      <c r="K1607" t="e">
        <v>#N/A</v>
      </c>
      <c r="L1607" t="e">
        <v>#N/A</v>
      </c>
      <c r="M1607" t="e">
        <v>#N/A</v>
      </c>
    </row>
    <row r="1608">
      <c r="A1608" s="9" t="inlineStr">
        <is>
          <t>Samantha Hudson</t>
        </is>
      </c>
      <c r="B1608" s="9" t="inlineStr">
        <is>
          <t>6/15/25 - 7/12/25</t>
        </is>
      </c>
      <c r="C1608" s="12" t="n">
        <v>0.44</v>
      </c>
      <c r="D1608" s="12" t="n">
        <v>1.07</v>
      </c>
      <c r="E1608" s="12" t="n">
        <v>1</v>
      </c>
      <c r="F1608" s="12" t="n">
        <v>0.73</v>
      </c>
      <c r="G1608" s="12" t="n">
        <v>0.75</v>
      </c>
      <c r="H1608" s="9" t="e">
        <v>#N/A</v>
      </c>
      <c r="I1608" s="10" t="inlineStr">
        <is>
          <t xml:space="preserve"> 1/2</t>
        </is>
      </c>
      <c r="J1608" s="12" t="n">
        <v>0.5</v>
      </c>
      <c r="K1608" t="e">
        <v>#N/A</v>
      </c>
      <c r="L1608" t="e">
        <v>#N/A</v>
      </c>
      <c r="M1608" t="e">
        <v>#N/A</v>
      </c>
    </row>
    <row r="1609">
      <c r="A1609" s="9" t="inlineStr">
        <is>
          <t>Samantha Hudson</t>
        </is>
      </c>
      <c r="B1609" s="9" t="inlineStr">
        <is>
          <t>7/13/25 - 8/10/25</t>
        </is>
      </c>
      <c r="C1609" s="12" t="n">
        <v>0.73</v>
      </c>
      <c r="D1609" s="12" t="n">
        <v>1.14</v>
      </c>
      <c r="E1609" s="12" t="n">
        <v>0.86</v>
      </c>
      <c r="F1609" s="12" t="n">
        <v>0.88</v>
      </c>
      <c r="G1609" s="12" t="n">
        <v>0.67</v>
      </c>
      <c r="H1609" s="9" t="e">
        <v>#N/A</v>
      </c>
      <c r="I1609" s="10" t="n">
        <v>1</v>
      </c>
      <c r="J1609" s="12">
        <f>I1609</f>
        <v/>
      </c>
      <c r="K1609" t="e">
        <v>#N/A</v>
      </c>
      <c r="L1609" t="e">
        <v>#N/A</v>
      </c>
      <c r="M1609" t="e">
        <v>#N/A</v>
      </c>
    </row>
    <row r="1610">
      <c r="A1610" s="9" t="inlineStr">
        <is>
          <t>Samantha Hudson</t>
        </is>
      </c>
      <c r="B1610" s="9" t="inlineStr">
        <is>
          <t>8/10/25 - 9/6/25</t>
        </is>
      </c>
      <c r="C1610" s="12" t="n">
        <v>0.49</v>
      </c>
      <c r="D1610" s="12" t="n">
        <v>1.02</v>
      </c>
      <c r="E1610" s="12" t="n">
        <v>0.83</v>
      </c>
      <c r="F1610" s="12" t="n">
        <v>0.91</v>
      </c>
      <c r="G1610" s="12" t="n">
        <v>0.88</v>
      </c>
      <c r="H1610" s="9" t="n">
        <v>0</v>
      </c>
      <c r="I1610" s="10" t="inlineStr">
        <is>
          <t>0/1</t>
        </is>
      </c>
      <c r="J1610" s="12" t="n">
        <v>0</v>
      </c>
      <c r="K1610" t="e">
        <v>#N/A</v>
      </c>
      <c r="L1610" t="e">
        <v>#N/A</v>
      </c>
      <c r="M1610" t="e">
        <v>#N/A</v>
      </c>
    </row>
    <row r="1611">
      <c r="A1611" s="9" t="inlineStr">
        <is>
          <t>Samantha Hudson</t>
        </is>
      </c>
      <c r="B1611" s="9" t="inlineStr">
        <is>
          <t>9/7/25 - 10/4/25</t>
        </is>
      </c>
      <c r="C1611" s="12" t="n">
        <v>0.33</v>
      </c>
      <c r="D1611" s="12" t="n">
        <v>0.73</v>
      </c>
      <c r="E1611" s="12" t="n">
        <v>0.75</v>
      </c>
      <c r="F1611" s="12" t="n">
        <v>0.54</v>
      </c>
      <c r="G1611" s="12" t="n">
        <v>0.5</v>
      </c>
      <c r="H1611" s="9" t="n">
        <v>2</v>
      </c>
      <c r="I1611" s="10" t="inlineStr">
        <is>
          <t>0/2</t>
        </is>
      </c>
      <c r="J1611" s="12" t="n">
        <v>0</v>
      </c>
      <c r="K1611" t="e">
        <v>#N/A</v>
      </c>
      <c r="L1611" t="e">
        <v>#N/A</v>
      </c>
      <c r="M1611" t="e">
        <v>#N/A</v>
      </c>
    </row>
    <row r="1612">
      <c r="A1612" s="9" t="inlineStr">
        <is>
          <t>Samantha Wetz</t>
        </is>
      </c>
      <c r="B1612" s="9" t="inlineStr">
        <is>
          <t>10/5/25 - 11/1/25</t>
        </is>
      </c>
      <c r="C1612" s="12" t="n">
        <v>1.1025</v>
      </c>
      <c r="D1612" s="12" t="n">
        <v>1.4523</v>
      </c>
      <c r="E1612" s="12" t="n">
        <v>0.992248062015503</v>
      </c>
      <c r="F1612" s="12" t="n">
        <v>0.988372093023255</v>
      </c>
      <c r="G1612" s="12" t="n">
        <v>0.96875</v>
      </c>
      <c r="H1612" s="9" t="n">
        <v>4</v>
      </c>
      <c r="I1612" s="10" t="inlineStr">
        <is>
          <t>1/2</t>
        </is>
      </c>
      <c r="J1612" s="12" t="n">
        <v>0.5</v>
      </c>
      <c r="K1612" t="inlineStr">
        <is>
          <t>Premium</t>
        </is>
      </c>
      <c r="L1612" t="inlineStr">
        <is>
          <t>Professional</t>
        </is>
      </c>
      <c r="M1612" t="inlineStr">
        <is>
          <t>Ian Plamondon</t>
        </is>
      </c>
    </row>
    <row r="1613">
      <c r="A1613" s="9" t="inlineStr">
        <is>
          <t>Samantha Wetz</t>
        </is>
      </c>
      <c r="B1613" s="9" t="inlineStr">
        <is>
          <t>11/2/25 - 11/29/25</t>
        </is>
      </c>
      <c r="C1613" s="12" t="n">
        <v>0.8100000000000001</v>
      </c>
      <c r="D1613" s="12" t="n">
        <v>1.21</v>
      </c>
      <c r="E1613" s="12" t="n">
        <v>1</v>
      </c>
      <c r="F1613" s="12" t="n">
        <v>1</v>
      </c>
      <c r="G1613" s="12" t="n">
        <v>0.91</v>
      </c>
      <c r="H1613" s="9" t="n">
        <v>1</v>
      </c>
      <c r="I1613" s="13" t="n">
        <v>45690</v>
      </c>
      <c r="J1613" s="12" t="n">
        <v>1</v>
      </c>
      <c r="K1613" t="inlineStr">
        <is>
          <t>Premium</t>
        </is>
      </c>
      <c r="L1613" t="inlineStr">
        <is>
          <t>Professional</t>
        </is>
      </c>
      <c r="M1613" t="inlineStr">
        <is>
          <t>Ian Plamondon</t>
        </is>
      </c>
    </row>
    <row r="1614">
      <c r="A1614" s="9" t="inlineStr">
        <is>
          <t>Samantha Wetz</t>
        </is>
      </c>
      <c r="B1614" s="9" t="inlineStr">
        <is>
          <t>11/30/25 - 12/27/25</t>
        </is>
      </c>
      <c r="C1614" s="12" t="n">
        <v>0.76</v>
      </c>
      <c r="D1614" s="12" t="n">
        <v>1.34</v>
      </c>
      <c r="E1614" s="12" t="n">
        <v>1</v>
      </c>
      <c r="F1614" s="12" t="n">
        <v>0.98</v>
      </c>
      <c r="G1614" s="12" t="n">
        <v>0.96</v>
      </c>
      <c r="H1614" s="9" t="n">
        <v>2</v>
      </c>
      <c r="I1614" s="10" t="n"/>
      <c r="J1614" s="12" t="n"/>
      <c r="K1614" t="inlineStr">
        <is>
          <t>Premium</t>
        </is>
      </c>
      <c r="L1614" t="inlineStr">
        <is>
          <t>Professional</t>
        </is>
      </c>
      <c r="M1614" t="inlineStr">
        <is>
          <t>Ian Plamondon</t>
        </is>
      </c>
    </row>
    <row r="1615">
      <c r="A1615" s="9" t="inlineStr">
        <is>
          <t>Samantha Wetz</t>
        </is>
      </c>
      <c r="B1615" s="9" t="inlineStr">
        <is>
          <t>12/28/25 - 1/25/26</t>
        </is>
      </c>
      <c r="C1615" s="12" t="n">
        <v>0.625</v>
      </c>
      <c r="D1615" s="12" t="n">
        <v>1.278</v>
      </c>
      <c r="E1615" s="12" t="n">
        <v>1</v>
      </c>
      <c r="F1615" s="12" t="n">
        <v>1</v>
      </c>
      <c r="G1615" s="12" t="n">
        <v>1</v>
      </c>
      <c r="H1615" s="9" t="n">
        <v>3</v>
      </c>
      <c r="I1615" s="10" t="n">
        <v>1</v>
      </c>
      <c r="J1615" s="12">
        <f>I1615</f>
        <v/>
      </c>
      <c r="K1615" t="inlineStr">
        <is>
          <t>Premium</t>
        </is>
      </c>
      <c r="L1615" t="inlineStr">
        <is>
          <t>Professional</t>
        </is>
      </c>
      <c r="M1615" t="inlineStr">
        <is>
          <t>Ian Plamondon</t>
        </is>
      </c>
    </row>
    <row r="1616">
      <c r="A1616" s="9" t="inlineStr">
        <is>
          <t>Samantha Wetz</t>
        </is>
      </c>
      <c r="B1616" s="9" t="inlineStr">
        <is>
          <t>5/18/25 - 6/14/25</t>
        </is>
      </c>
      <c r="C1616" s="12" t="n">
        <v>0.91</v>
      </c>
      <c r="D1616" s="12" t="n">
        <v>1.43</v>
      </c>
      <c r="E1616" s="12" t="n">
        <v>1</v>
      </c>
      <c r="F1616" s="12" t="n">
        <v>0.98</v>
      </c>
      <c r="G1616" s="12" t="n">
        <v>0.91</v>
      </c>
      <c r="H1616" s="9" t="n">
        <v>2</v>
      </c>
      <c r="I1616" s="10" t="inlineStr">
        <is>
          <t xml:space="preserve"> 1/2</t>
        </is>
      </c>
      <c r="J1616" s="12" t="n">
        <v>0.5</v>
      </c>
      <c r="K1616" t="inlineStr">
        <is>
          <t>Premium</t>
        </is>
      </c>
      <c r="L1616" t="inlineStr">
        <is>
          <t>Professional</t>
        </is>
      </c>
      <c r="M1616" t="inlineStr">
        <is>
          <t>Ian Plamondon</t>
        </is>
      </c>
    </row>
    <row r="1617">
      <c r="A1617" s="9" t="inlineStr">
        <is>
          <t>Samantha Wetz</t>
        </is>
      </c>
      <c r="B1617" s="9" t="inlineStr">
        <is>
          <t>6/15/25 - 7/12/25</t>
        </is>
      </c>
      <c r="C1617" s="12" t="n">
        <v>0.6899999999999999</v>
      </c>
      <c r="D1617" s="12" t="n">
        <v>1.19</v>
      </c>
      <c r="E1617" s="12" t="n">
        <v>0.99</v>
      </c>
      <c r="F1617" s="12" t="n">
        <v>0.75</v>
      </c>
      <c r="G1617" s="12" t="n">
        <v>0.59</v>
      </c>
      <c r="H1617" s="9" t="n">
        <v>1</v>
      </c>
      <c r="I1617" s="10" t="n">
        <v>1</v>
      </c>
      <c r="J1617" s="12">
        <f>I1617</f>
        <v/>
      </c>
      <c r="K1617" t="inlineStr">
        <is>
          <t>Premium</t>
        </is>
      </c>
      <c r="L1617" t="inlineStr">
        <is>
          <t>Professional</t>
        </is>
      </c>
      <c r="M1617" t="inlineStr">
        <is>
          <t>Ian Plamondon</t>
        </is>
      </c>
    </row>
    <row r="1618">
      <c r="A1618" s="9" t="inlineStr">
        <is>
          <t>Samantha Wetz</t>
        </is>
      </c>
      <c r="B1618" s="9" t="inlineStr">
        <is>
          <t>7/13/25 - 8/10/25</t>
        </is>
      </c>
      <c r="C1618" s="12" t="n">
        <v>1.02</v>
      </c>
      <c r="D1618" s="12" t="n">
        <v>1.11</v>
      </c>
      <c r="E1618" s="12" t="n">
        <v>1</v>
      </c>
      <c r="F1618" s="12" t="n">
        <v>0.99</v>
      </c>
      <c r="G1618" s="12" t="n">
        <v>0.65</v>
      </c>
      <c r="H1618" s="9" t="n">
        <v>5</v>
      </c>
      <c r="I1618" s="10" t="n">
        <v>1</v>
      </c>
      <c r="J1618" s="12">
        <f>I1618</f>
        <v/>
      </c>
      <c r="K1618" t="inlineStr">
        <is>
          <t>Premium</t>
        </is>
      </c>
      <c r="L1618" t="inlineStr">
        <is>
          <t>Professional</t>
        </is>
      </c>
      <c r="M1618" t="inlineStr">
        <is>
          <t>Ian Plamondon</t>
        </is>
      </c>
    </row>
    <row r="1619">
      <c r="A1619" s="9" t="inlineStr">
        <is>
          <t>Samantha Wetz</t>
        </is>
      </c>
      <c r="B1619" s="9" t="inlineStr">
        <is>
          <t>8/10/25 - 9/6/25</t>
        </is>
      </c>
      <c r="C1619" s="12" t="n">
        <v>1</v>
      </c>
      <c r="D1619" s="12" t="n">
        <v>1.25</v>
      </c>
      <c r="E1619" s="12" t="n">
        <v>1</v>
      </c>
      <c r="F1619" s="12" t="n">
        <v>1</v>
      </c>
      <c r="G1619" s="12" t="n">
        <v>0.8100000000000001</v>
      </c>
      <c r="H1619" s="9" t="n">
        <v>0</v>
      </c>
      <c r="I1619" s="11" t="n"/>
      <c r="J1619" s="9" t="n"/>
      <c r="K1619" t="inlineStr">
        <is>
          <t>Premium</t>
        </is>
      </c>
      <c r="L1619" t="inlineStr">
        <is>
          <t>Professional</t>
        </is>
      </c>
      <c r="M1619" t="inlineStr">
        <is>
          <t>Ian Plamondon</t>
        </is>
      </c>
    </row>
    <row r="1620">
      <c r="A1620" s="9" t="inlineStr">
        <is>
          <t>Samantha Wetz</t>
        </is>
      </c>
      <c r="B1620" s="9" t="inlineStr">
        <is>
          <t>9/7/25 - 10/4/25</t>
        </is>
      </c>
      <c r="C1620" s="12" t="n">
        <v>1.08</v>
      </c>
      <c r="D1620" s="12" t="n">
        <v>1.5</v>
      </c>
      <c r="E1620" s="12" t="n">
        <v>1</v>
      </c>
      <c r="F1620" s="12" t="n">
        <v>0.99</v>
      </c>
      <c r="G1620" s="12" t="n">
        <v>1</v>
      </c>
      <c r="H1620" s="9" t="n">
        <v>4</v>
      </c>
      <c r="I1620" s="10" t="inlineStr">
        <is>
          <t>1/2</t>
        </is>
      </c>
      <c r="J1620" s="12" t="n">
        <v>0.5</v>
      </c>
      <c r="K1620" t="inlineStr">
        <is>
          <t>Premium</t>
        </is>
      </c>
      <c r="L1620" t="inlineStr">
        <is>
          <t>Professional</t>
        </is>
      </c>
      <c r="M1620" t="inlineStr">
        <is>
          <t>Ian Plamondon</t>
        </is>
      </c>
    </row>
    <row r="1621">
      <c r="A1621" s="9" t="inlineStr">
        <is>
          <t>Sana Saqibo</t>
        </is>
      </c>
      <c r="B1621" s="9" t="inlineStr">
        <is>
          <t>5/18/25 - 6/14/25</t>
        </is>
      </c>
      <c r="C1621" s="12" t="n">
        <v>0.75</v>
      </c>
      <c r="D1621" s="12" t="n">
        <v>1.02</v>
      </c>
      <c r="E1621" s="12" t="n">
        <v>0.98</v>
      </c>
      <c r="F1621" s="12" t="n">
        <v>0.86</v>
      </c>
      <c r="G1621" s="12" t="n">
        <v>0.83</v>
      </c>
      <c r="H1621" s="9" t="n">
        <v>3</v>
      </c>
      <c r="I1621" s="10" t="n">
        <v>0</v>
      </c>
      <c r="J1621" s="12">
        <f>I1621</f>
        <v/>
      </c>
      <c r="K1621" t="e">
        <v>#N/A</v>
      </c>
      <c r="L1621" t="e">
        <v>#N/A</v>
      </c>
      <c r="M1621" t="e">
        <v>#N/A</v>
      </c>
    </row>
    <row r="1622">
      <c r="A1622" s="9" t="inlineStr">
        <is>
          <t>Sana Saqibo</t>
        </is>
      </c>
      <c r="B1622" s="9" t="inlineStr">
        <is>
          <t>6/15/25 - 7/12/25</t>
        </is>
      </c>
      <c r="C1622" s="12" t="n">
        <v>0.6899999999999999</v>
      </c>
      <c r="D1622" s="12" t="n">
        <v>1.05</v>
      </c>
      <c r="E1622" s="12" t="n">
        <v>1</v>
      </c>
      <c r="F1622" s="12" t="n">
        <v>0.91</v>
      </c>
      <c r="G1622" s="12" t="n">
        <v>0.5600000000000001</v>
      </c>
      <c r="H1622" s="9" t="n">
        <v>4</v>
      </c>
      <c r="I1622" s="10" t="n">
        <v>0</v>
      </c>
      <c r="J1622" s="12">
        <f>I1622</f>
        <v/>
      </c>
      <c r="K1622" t="e">
        <v>#N/A</v>
      </c>
      <c r="L1622" t="e">
        <v>#N/A</v>
      </c>
      <c r="M1622" t="e">
        <v>#N/A</v>
      </c>
    </row>
    <row r="1623">
      <c r="A1623" s="9" t="inlineStr">
        <is>
          <t>Sana Saqibo</t>
        </is>
      </c>
      <c r="B1623" s="9" t="inlineStr">
        <is>
          <t>7/13/25 - 8/10/25</t>
        </is>
      </c>
      <c r="C1623" s="12" t="n">
        <v>0.82</v>
      </c>
      <c r="D1623" s="12" t="n">
        <v>1.01</v>
      </c>
      <c r="E1623" s="12" t="n">
        <v>1</v>
      </c>
      <c r="F1623" s="12" t="n">
        <v>0.93</v>
      </c>
      <c r="G1623" s="12" t="n">
        <v>0.36</v>
      </c>
      <c r="H1623" s="9" t="n">
        <v>3</v>
      </c>
      <c r="I1623" s="10" t="n">
        <v>0</v>
      </c>
      <c r="J1623" s="12">
        <f>I1623</f>
        <v/>
      </c>
      <c r="K1623" t="e">
        <v>#N/A</v>
      </c>
      <c r="L1623" t="e">
        <v>#N/A</v>
      </c>
      <c r="M1623" t="e">
        <v>#N/A</v>
      </c>
    </row>
    <row r="1624">
      <c r="A1624" s="9" t="inlineStr">
        <is>
          <t>Sana Saqibo</t>
        </is>
      </c>
      <c r="B1624" s="9" t="inlineStr">
        <is>
          <t>8/10/25 - 9/6/25</t>
        </is>
      </c>
      <c r="C1624" s="12" t="n">
        <v>0.73</v>
      </c>
      <c r="D1624" s="12" t="n">
        <v>1</v>
      </c>
      <c r="E1624" s="12" t="n">
        <v>1</v>
      </c>
      <c r="F1624" s="12" t="n">
        <v>0.88</v>
      </c>
      <c r="G1624" s="12" t="n">
        <v>0.17</v>
      </c>
      <c r="H1624" s="9" t="n">
        <v>7</v>
      </c>
      <c r="I1624" s="10" t="inlineStr">
        <is>
          <t>0/1</t>
        </is>
      </c>
      <c r="J1624" s="12" t="n">
        <v>0</v>
      </c>
      <c r="K1624" t="e">
        <v>#N/A</v>
      </c>
      <c r="L1624" t="e">
        <v>#N/A</v>
      </c>
      <c r="M1624" t="e">
        <v>#N/A</v>
      </c>
    </row>
    <row r="1625">
      <c r="A1625" s="9" t="inlineStr">
        <is>
          <t>Sana Saqibo</t>
        </is>
      </c>
      <c r="B1625" s="9" t="inlineStr">
        <is>
          <t>9/7/25 - 10/4/25</t>
        </is>
      </c>
      <c r="C1625" s="12" t="n">
        <v>0.44</v>
      </c>
      <c r="D1625" s="12" t="n">
        <v>0.98</v>
      </c>
      <c r="E1625" s="12" t="n">
        <v>1</v>
      </c>
      <c r="F1625" s="12" t="n">
        <v>0.66</v>
      </c>
      <c r="G1625" s="12" t="n">
        <v>0.7</v>
      </c>
      <c r="H1625" s="9" t="n">
        <v>3</v>
      </c>
      <c r="I1625" s="10" t="inlineStr">
        <is>
          <t>0/1</t>
        </is>
      </c>
      <c r="J1625" s="12" t="n">
        <v>0</v>
      </c>
      <c r="K1625" t="e">
        <v>#N/A</v>
      </c>
      <c r="L1625" t="e">
        <v>#N/A</v>
      </c>
      <c r="M1625" t="e">
        <v>#N/A</v>
      </c>
    </row>
    <row r="1626">
      <c r="A1626" s="9" t="inlineStr">
        <is>
          <t>Sandra Solis</t>
        </is>
      </c>
      <c r="B1626" s="9" t="inlineStr">
        <is>
          <t>5/18/25 - 6/14/25</t>
        </is>
      </c>
      <c r="C1626" s="12" t="n">
        <v>0.73</v>
      </c>
      <c r="D1626" s="12" t="n">
        <v>1.12</v>
      </c>
      <c r="E1626" s="12" t="n">
        <v>0.91</v>
      </c>
      <c r="F1626" s="12" t="n">
        <v>0.98</v>
      </c>
      <c r="G1626" s="12" t="n">
        <v>0.64</v>
      </c>
      <c r="H1626" s="9" t="n">
        <v>3</v>
      </c>
      <c r="J1626" s="9" t="n"/>
      <c r="K1626" t="e">
        <v>#N/A</v>
      </c>
      <c r="L1626" t="e">
        <v>#N/A</v>
      </c>
      <c r="M1626" t="e">
        <v>#N/A</v>
      </c>
    </row>
    <row r="1627">
      <c r="A1627" s="9" t="inlineStr">
        <is>
          <t>Sandra Solis</t>
        </is>
      </c>
      <c r="B1627" s="9" t="inlineStr">
        <is>
          <t>6/15/25 - 7/12/25</t>
        </is>
      </c>
      <c r="C1627" s="12" t="n">
        <v>0.49</v>
      </c>
      <c r="D1627" s="12" t="n">
        <v>0.99</v>
      </c>
      <c r="E1627" s="12" t="n">
        <v>1</v>
      </c>
      <c r="F1627" s="12" t="n">
        <v>0.88</v>
      </c>
      <c r="G1627" s="12" t="n">
        <v>0.4</v>
      </c>
      <c r="H1627" s="9" t="n">
        <v>6</v>
      </c>
      <c r="I1627" s="10" t="n">
        <v>1</v>
      </c>
      <c r="J1627" s="12">
        <f>I1627</f>
        <v/>
      </c>
      <c r="K1627" t="e">
        <v>#N/A</v>
      </c>
      <c r="L1627" t="e">
        <v>#N/A</v>
      </c>
      <c r="M1627" t="e">
        <v>#N/A</v>
      </c>
    </row>
    <row r="1628">
      <c r="A1628" s="9" t="inlineStr">
        <is>
          <t>Sandra Solis</t>
        </is>
      </c>
      <c r="B1628" s="9" t="inlineStr">
        <is>
          <t>7/13/25 - 8/10/25</t>
        </is>
      </c>
      <c r="C1628" s="12" t="n">
        <v>0.49</v>
      </c>
      <c r="D1628" s="12" t="n">
        <v>0.6899999999999999</v>
      </c>
      <c r="E1628" s="12" t="n">
        <v>1</v>
      </c>
      <c r="F1628" s="12" t="n">
        <v>0.9399999999999999</v>
      </c>
      <c r="G1628" s="12" t="n">
        <v>0.5</v>
      </c>
      <c r="H1628" s="9" t="n">
        <v>2</v>
      </c>
      <c r="J1628" s="9" t="n"/>
      <c r="K1628" t="e">
        <v>#N/A</v>
      </c>
      <c r="L1628" t="e">
        <v>#N/A</v>
      </c>
      <c r="M1628" t="e">
        <v>#N/A</v>
      </c>
    </row>
    <row r="1629">
      <c r="A1629" s="9" t="inlineStr">
        <is>
          <t>Sarah Goodstein</t>
        </is>
      </c>
      <c r="B1629" s="9" t="inlineStr">
        <is>
          <t>10/5/25 - 11/1/25</t>
        </is>
      </c>
      <c r="C1629" s="12" t="n">
        <v>1.0036</v>
      </c>
      <c r="D1629" s="12" t="n">
        <v>0.9578</v>
      </c>
      <c r="E1629" s="12" t="n">
        <v>0.97986577181208</v>
      </c>
      <c r="F1629" s="12" t="n">
        <v>0.971428571428571</v>
      </c>
      <c r="G1629" s="12" t="n">
        <v>0.8125</v>
      </c>
      <c r="H1629" s="9" t="n">
        <v>20</v>
      </c>
      <c r="I1629" s="10" t="inlineStr">
        <is>
          <t>5/7</t>
        </is>
      </c>
      <c r="J1629" s="12" t="n">
        <v>0.71</v>
      </c>
      <c r="K1629" t="inlineStr">
        <is>
          <t>Distinguished</t>
        </is>
      </c>
      <c r="L1629" t="inlineStr">
        <is>
          <t>Professional</t>
        </is>
      </c>
      <c r="M1629" t="inlineStr">
        <is>
          <t>Kristin Haase-Alvey</t>
        </is>
      </c>
    </row>
    <row r="1630">
      <c r="A1630" s="9" t="inlineStr">
        <is>
          <t>Sarah Goodstein</t>
        </is>
      </c>
      <c r="B1630" s="9" t="inlineStr">
        <is>
          <t>10/5/25 - 11/1/25</t>
        </is>
      </c>
      <c r="C1630" s="12" t="n">
        <v>1.0036</v>
      </c>
      <c r="D1630" s="12" t="n">
        <v>0.9578</v>
      </c>
      <c r="E1630" s="12" t="n">
        <v>0.97986577181208</v>
      </c>
      <c r="F1630" s="12" t="n">
        <v>0.971428571428571</v>
      </c>
      <c r="G1630" s="12" t="n">
        <v>0.8125</v>
      </c>
      <c r="H1630" s="9" t="n">
        <v>20</v>
      </c>
      <c r="I1630" s="10" t="inlineStr">
        <is>
          <t>5/7</t>
        </is>
      </c>
      <c r="J1630" s="12">
        <f>_xlfn.TEXTBEFORE(I1630, "/")/_xlfn.TEXTAFTER(I1630,"/")</f>
        <v/>
      </c>
      <c r="K1630" t="inlineStr">
        <is>
          <t>Distinguished</t>
        </is>
      </c>
      <c r="L1630" t="inlineStr">
        <is>
          <t>Professional</t>
        </is>
      </c>
      <c r="M1630" t="inlineStr">
        <is>
          <t>Kristin Haase-Alvey</t>
        </is>
      </c>
    </row>
    <row r="1631">
      <c r="A1631" s="9" t="inlineStr">
        <is>
          <t>Sarah Goodstein</t>
        </is>
      </c>
      <c r="B1631" s="9" t="inlineStr">
        <is>
          <t>11/2/25 - 11/29/25</t>
        </is>
      </c>
      <c r="C1631" s="12" t="n">
        <v>0.93</v>
      </c>
      <c r="D1631" s="12" t="n">
        <v>0.87</v>
      </c>
      <c r="E1631" s="12" t="n">
        <v>0.96</v>
      </c>
      <c r="F1631" s="12" t="n">
        <v>0.97</v>
      </c>
      <c r="G1631" s="12" t="n">
        <v>0.83</v>
      </c>
      <c r="H1631" s="9" t="n">
        <v>11</v>
      </c>
      <c r="I1631" s="13" t="n">
        <v>45659</v>
      </c>
      <c r="J1631" s="12" t="n">
        <v>0.5</v>
      </c>
      <c r="K1631" t="inlineStr">
        <is>
          <t>Distinguished</t>
        </is>
      </c>
      <c r="L1631" t="inlineStr">
        <is>
          <t>Professional</t>
        </is>
      </c>
      <c r="M1631" t="inlineStr">
        <is>
          <t>Kristin Haase-Alvey</t>
        </is>
      </c>
    </row>
    <row r="1632">
      <c r="A1632" s="9" t="inlineStr">
        <is>
          <t>Sarah Goodstein</t>
        </is>
      </c>
      <c r="B1632" s="9" t="inlineStr">
        <is>
          <t>11/30/25 - 12/27/25</t>
        </is>
      </c>
      <c r="C1632" s="12" t="n">
        <v>0.93</v>
      </c>
      <c r="D1632" s="12" t="n">
        <v>0.87</v>
      </c>
      <c r="E1632" s="12" t="n">
        <v>0.95</v>
      </c>
      <c r="F1632" s="12" t="n">
        <v>0.91</v>
      </c>
      <c r="G1632" s="12" t="n">
        <v>0.84</v>
      </c>
      <c r="H1632" s="9" t="n">
        <v>20</v>
      </c>
      <c r="I1632" s="10" t="n">
        <v>1</v>
      </c>
      <c r="J1632" s="12" t="n">
        <v>1</v>
      </c>
      <c r="K1632" t="inlineStr">
        <is>
          <t>Distinguished</t>
        </is>
      </c>
      <c r="L1632" t="inlineStr">
        <is>
          <t>Professional</t>
        </is>
      </c>
      <c r="M1632" t="inlineStr">
        <is>
          <t>Kristin Haase-Alvey</t>
        </is>
      </c>
    </row>
    <row r="1633">
      <c r="A1633" s="9" t="inlineStr">
        <is>
          <t>Sarah Goodstein</t>
        </is>
      </c>
      <c r="B1633" s="9" t="inlineStr">
        <is>
          <t>12/28/25 - 1/25/26</t>
        </is>
      </c>
      <c r="C1633" s="12" t="n">
        <v>0.7917</v>
      </c>
      <c r="D1633" s="12" t="n">
        <v>0.9846</v>
      </c>
      <c r="E1633" s="12" t="n">
        <v>0.91</v>
      </c>
      <c r="F1633" s="12" t="n">
        <v>0.820895522</v>
      </c>
      <c r="G1633" s="12" t="n">
        <v>0.708333333</v>
      </c>
      <c r="H1633" s="9" t="n">
        <v>20</v>
      </c>
      <c r="I1633" s="10" t="n">
        <v>0.3333333333333333</v>
      </c>
      <c r="J1633" s="12">
        <f>I1633</f>
        <v/>
      </c>
      <c r="K1633" t="inlineStr">
        <is>
          <t>Distinguished</t>
        </is>
      </c>
      <c r="L1633" t="inlineStr">
        <is>
          <t>Professional</t>
        </is>
      </c>
      <c r="M1633" t="inlineStr">
        <is>
          <t>Kristin Haase-Alvey</t>
        </is>
      </c>
    </row>
    <row r="1634">
      <c r="A1634" s="9" t="inlineStr">
        <is>
          <t>Sarah Goodstein</t>
        </is>
      </c>
      <c r="B1634" s="9" t="inlineStr">
        <is>
          <t>9/7/25 - 10/4/25</t>
        </is>
      </c>
      <c r="C1634" s="12" t="n">
        <v>0.84</v>
      </c>
      <c r="D1634" s="12" t="n">
        <v>0.98</v>
      </c>
      <c r="E1634" s="12" t="n">
        <v>0.98</v>
      </c>
      <c r="F1634" s="12" t="n">
        <v>1</v>
      </c>
      <c r="G1634" s="12" t="n">
        <v>0.86</v>
      </c>
      <c r="H1634" s="9" t="n">
        <v>10</v>
      </c>
      <c r="I1634" s="10" t="inlineStr">
        <is>
          <t>5/12</t>
        </is>
      </c>
      <c r="J1634" s="12" t="n">
        <v>0.42</v>
      </c>
      <c r="K1634" t="inlineStr">
        <is>
          <t>Distinguished</t>
        </is>
      </c>
      <c r="L1634" t="inlineStr">
        <is>
          <t>Professional</t>
        </is>
      </c>
      <c r="M1634" t="inlineStr">
        <is>
          <t>Kristin Haase-Alvey</t>
        </is>
      </c>
    </row>
    <row r="1635">
      <c r="A1635" s="9" t="inlineStr">
        <is>
          <t>Sarah Johnston</t>
        </is>
      </c>
      <c r="B1635" s="9" t="inlineStr">
        <is>
          <t>5/18/25 - 6/14/25</t>
        </is>
      </c>
      <c r="C1635" s="12" t="n">
        <v>0.44</v>
      </c>
      <c r="D1635" s="12" t="n">
        <v>0.8</v>
      </c>
      <c r="E1635" s="12" t="n">
        <v>1</v>
      </c>
      <c r="F1635" s="12" t="n">
        <v>0.87</v>
      </c>
      <c r="G1635" s="12" t="n">
        <v>1</v>
      </c>
      <c r="H1635" s="9" t="n">
        <v>1</v>
      </c>
      <c r="I1635" s="10" t="n">
        <v>0</v>
      </c>
      <c r="J1635" s="12">
        <f>I1635</f>
        <v/>
      </c>
      <c r="K1635" t="e">
        <v>#N/A</v>
      </c>
      <c r="L1635" t="e">
        <v>#N/A</v>
      </c>
      <c r="M1635" t="e">
        <v>#N/A</v>
      </c>
    </row>
    <row r="1636">
      <c r="A1636" s="9" t="inlineStr">
        <is>
          <t>Sarah Johnston</t>
        </is>
      </c>
      <c r="B1636" s="9" t="inlineStr">
        <is>
          <t>6/15/25 - 7/12/25</t>
        </is>
      </c>
      <c r="C1636" s="12" t="n">
        <v>0.27</v>
      </c>
      <c r="D1636" s="12" t="n">
        <v>0.82</v>
      </c>
      <c r="E1636" s="12" t="n">
        <v>1</v>
      </c>
      <c r="F1636" s="12" t="n">
        <v>0.25</v>
      </c>
      <c r="G1636" s="12" t="n">
        <v>1</v>
      </c>
      <c r="H1636" s="9" t="e">
        <v>#N/A</v>
      </c>
      <c r="J1636" s="9" t="n"/>
      <c r="K1636" t="e">
        <v>#N/A</v>
      </c>
      <c r="L1636" t="e">
        <v>#N/A</v>
      </c>
      <c r="M1636" t="e">
        <v>#N/A</v>
      </c>
    </row>
    <row r="1637">
      <c r="A1637" s="9" t="inlineStr">
        <is>
          <t>Sarah Vollero</t>
        </is>
      </c>
      <c r="B1637" s="9" t="inlineStr">
        <is>
          <t>10/5/25 - 11/1/25</t>
        </is>
      </c>
      <c r="C1637" s="12" t="n">
        <v>0.8396</v>
      </c>
      <c r="D1637" s="12" t="n">
        <v>0.9095</v>
      </c>
      <c r="E1637" s="12" t="n">
        <v>1</v>
      </c>
      <c r="F1637" s="12" t="n">
        <v>1</v>
      </c>
      <c r="G1637" s="12" t="n">
        <v>0.666666666666666</v>
      </c>
      <c r="H1637" s="9" t="n">
        <v>4</v>
      </c>
      <c r="I1637" s="10" t="inlineStr">
        <is>
          <t>5/6</t>
        </is>
      </c>
      <c r="J1637" s="12" t="n">
        <v>0.83</v>
      </c>
      <c r="K1637" t="e">
        <v>#N/A</v>
      </c>
      <c r="L1637" t="e">
        <v>#N/A</v>
      </c>
      <c r="M1637" t="e">
        <v>#N/A</v>
      </c>
    </row>
    <row r="1638">
      <c r="A1638" s="9" t="inlineStr">
        <is>
          <t>Sarah Vollero</t>
        </is>
      </c>
      <c r="B1638" s="9" t="inlineStr">
        <is>
          <t>10/5/25 - 11/1/25</t>
        </is>
      </c>
      <c r="C1638" s="12" t="n">
        <v>0.8396</v>
      </c>
      <c r="D1638" s="12" t="n">
        <v>0.9095</v>
      </c>
      <c r="E1638" s="12" t="n">
        <v>1</v>
      </c>
      <c r="F1638" s="12" t="n">
        <v>1</v>
      </c>
      <c r="G1638" s="12" t="n">
        <v>0.666666666666666</v>
      </c>
      <c r="H1638" s="9" t="n">
        <v>4</v>
      </c>
      <c r="I1638" s="10" t="inlineStr">
        <is>
          <t>5/6</t>
        </is>
      </c>
      <c r="J1638" s="12">
        <f>_xlfn.TEXTBEFORE(I1638, "/")/_xlfn.TEXTAFTER(I1638,"/")</f>
        <v/>
      </c>
      <c r="K1638" t="e">
        <v>#N/A</v>
      </c>
      <c r="L1638" t="e">
        <v>#N/A</v>
      </c>
      <c r="M1638" t="e">
        <v>#N/A</v>
      </c>
    </row>
    <row r="1639">
      <c r="A1639" s="9" t="inlineStr">
        <is>
          <t>Sarah Vollero</t>
        </is>
      </c>
      <c r="B1639" s="9" t="inlineStr">
        <is>
          <t>11/2/25 - 11/29/25</t>
        </is>
      </c>
      <c r="C1639" s="12" t="n">
        <v>0.68</v>
      </c>
      <c r="D1639" s="12" t="n">
        <v>0.78</v>
      </c>
      <c r="E1639" s="12" t="n">
        <v>0.99</v>
      </c>
      <c r="F1639" s="12" t="n">
        <v>1</v>
      </c>
      <c r="G1639" s="12" t="n">
        <v>0.65</v>
      </c>
      <c r="H1639" s="9" t="n">
        <v>5</v>
      </c>
      <c r="I1639" s="13" t="n">
        <v>45719</v>
      </c>
      <c r="J1639" s="12" t="n">
        <v>1</v>
      </c>
      <c r="K1639" t="e">
        <v>#N/A</v>
      </c>
      <c r="L1639" t="e">
        <v>#N/A</v>
      </c>
      <c r="M1639" t="e">
        <v>#N/A</v>
      </c>
    </row>
    <row r="1640">
      <c r="A1640" s="9" t="inlineStr">
        <is>
          <t>Sarah Vollero</t>
        </is>
      </c>
      <c r="B1640" s="9" t="inlineStr">
        <is>
          <t>11/30/25 - 12/27/25</t>
        </is>
      </c>
      <c r="C1640" s="12" t="n">
        <v>0.59</v>
      </c>
      <c r="D1640" s="12" t="n">
        <v>0.86</v>
      </c>
      <c r="E1640" s="12" t="n">
        <v>0.97</v>
      </c>
      <c r="F1640" s="12" t="n">
        <v>1</v>
      </c>
      <c r="G1640" s="12" t="n">
        <v>0.65</v>
      </c>
      <c r="H1640" s="9" t="n">
        <v>11</v>
      </c>
      <c r="I1640" s="10" t="n"/>
      <c r="J1640" s="12" t="n"/>
      <c r="K1640" t="e">
        <v>#N/A</v>
      </c>
      <c r="L1640" t="e">
        <v>#N/A</v>
      </c>
      <c r="M1640" t="e">
        <v>#N/A</v>
      </c>
    </row>
    <row r="1641">
      <c r="A1641" s="9" t="inlineStr">
        <is>
          <t>Sarah Vollero</t>
        </is>
      </c>
      <c r="B1641" s="9" t="inlineStr">
        <is>
          <t>12/28/25 - 1/25/26</t>
        </is>
      </c>
      <c r="C1641" s="12" t="n">
        <v>0.7625</v>
      </c>
      <c r="D1641" s="12" t="n">
        <v>0.8783</v>
      </c>
      <c r="E1641" s="12" t="n">
        <v>1</v>
      </c>
      <c r="F1641" s="12" t="n">
        <v>1</v>
      </c>
      <c r="G1641" s="12" t="n">
        <v>0.7</v>
      </c>
      <c r="H1641" s="9" t="n">
        <v>5</v>
      </c>
      <c r="I1641" s="10" t="n">
        <v>0.8571428571428571</v>
      </c>
      <c r="J1641" s="12">
        <f>I1641</f>
        <v/>
      </c>
      <c r="K1641" t="e">
        <v>#N/A</v>
      </c>
      <c r="L1641" t="e">
        <v>#N/A</v>
      </c>
      <c r="M1641" t="e">
        <v>#N/A</v>
      </c>
    </row>
    <row r="1642">
      <c r="A1642" s="9" t="inlineStr">
        <is>
          <t>Sarah Vollero</t>
        </is>
      </c>
      <c r="B1642" s="9" t="inlineStr">
        <is>
          <t>5/18/25 - 6/14/25</t>
        </is>
      </c>
      <c r="C1642" s="12" t="n">
        <v>0.73</v>
      </c>
      <c r="D1642" s="12" t="n">
        <v>0.93</v>
      </c>
      <c r="E1642" s="12" t="n">
        <v>1</v>
      </c>
      <c r="F1642" s="12" t="n">
        <v>1</v>
      </c>
      <c r="G1642" s="12" t="n">
        <v>0.55</v>
      </c>
      <c r="H1642" s="9" t="n">
        <v>2</v>
      </c>
      <c r="I1642" s="10" t="inlineStr">
        <is>
          <t xml:space="preserve"> 2/3</t>
        </is>
      </c>
      <c r="J1642" s="12" t="n">
        <v>0.67</v>
      </c>
      <c r="K1642" t="e">
        <v>#N/A</v>
      </c>
      <c r="L1642" t="e">
        <v>#N/A</v>
      </c>
      <c r="M1642" t="e">
        <v>#N/A</v>
      </c>
    </row>
    <row r="1643">
      <c r="A1643" s="9" t="inlineStr">
        <is>
          <t>Sarah Vollero</t>
        </is>
      </c>
      <c r="B1643" s="9" t="inlineStr">
        <is>
          <t>6/15/25 - 7/12/25</t>
        </is>
      </c>
      <c r="C1643" s="12" t="n">
        <v>0.65</v>
      </c>
      <c r="D1643" s="12" t="n">
        <v>1.01</v>
      </c>
      <c r="E1643" s="12" t="n">
        <v>0.99</v>
      </c>
      <c r="F1643" s="12" t="n">
        <v>1</v>
      </c>
      <c r="G1643" s="12" t="n">
        <v>0.59</v>
      </c>
      <c r="H1643" s="9" t="n">
        <v>2</v>
      </c>
      <c r="I1643" s="10" t="n">
        <v>1</v>
      </c>
      <c r="J1643" s="12">
        <f>I1643</f>
        <v/>
      </c>
      <c r="K1643" t="e">
        <v>#N/A</v>
      </c>
      <c r="L1643" t="e">
        <v>#N/A</v>
      </c>
      <c r="M1643" t="e">
        <v>#N/A</v>
      </c>
    </row>
    <row r="1644">
      <c r="A1644" s="9" t="inlineStr">
        <is>
          <t>Sarah Vollero</t>
        </is>
      </c>
      <c r="B1644" s="9" t="inlineStr">
        <is>
          <t>7/13/25 - 8/10/25</t>
        </is>
      </c>
      <c r="C1644" s="12" t="n">
        <v>0.75</v>
      </c>
      <c r="D1644" s="12" t="n">
        <v>0.99</v>
      </c>
      <c r="E1644" s="12" t="n">
        <v>1</v>
      </c>
      <c r="F1644" s="12" t="n">
        <v>1</v>
      </c>
      <c r="G1644" s="12" t="n">
        <v>0.47</v>
      </c>
      <c r="H1644" s="9" t="n">
        <v>5</v>
      </c>
      <c r="I1644" s="10" t="n">
        <v>1</v>
      </c>
      <c r="J1644" s="12">
        <f>I1644</f>
        <v/>
      </c>
      <c r="K1644" t="e">
        <v>#N/A</v>
      </c>
      <c r="L1644" t="e">
        <v>#N/A</v>
      </c>
      <c r="M1644" t="e">
        <v>#N/A</v>
      </c>
    </row>
    <row r="1645">
      <c r="A1645" s="9" t="inlineStr">
        <is>
          <t>Sarah Vollero</t>
        </is>
      </c>
      <c r="B1645" s="9" t="inlineStr">
        <is>
          <t>8/10/25 - 9/6/25</t>
        </is>
      </c>
      <c r="C1645" s="12" t="n">
        <v>0.68</v>
      </c>
      <c r="D1645" s="12" t="n">
        <v>0.9</v>
      </c>
      <c r="E1645" s="12" t="n">
        <v>1</v>
      </c>
      <c r="F1645" s="12" t="n">
        <v>1</v>
      </c>
      <c r="G1645" s="12" t="n">
        <v>0.5</v>
      </c>
      <c r="H1645" s="9" t="n">
        <v>5</v>
      </c>
      <c r="I1645" s="10" t="inlineStr">
        <is>
          <t>2/2</t>
        </is>
      </c>
      <c r="J1645" s="12" t="n">
        <v>1</v>
      </c>
      <c r="K1645" t="e">
        <v>#N/A</v>
      </c>
      <c r="L1645" t="e">
        <v>#N/A</v>
      </c>
      <c r="M1645" t="e">
        <v>#N/A</v>
      </c>
    </row>
    <row r="1646">
      <c r="A1646" s="9" t="inlineStr">
        <is>
          <t>Sarah Vollero</t>
        </is>
      </c>
      <c r="B1646" s="9" t="inlineStr">
        <is>
          <t>9/7/25 - 10/4/25</t>
        </is>
      </c>
      <c r="C1646" s="12" t="n">
        <v>0.73</v>
      </c>
      <c r="D1646" s="12" t="n">
        <v>0.96</v>
      </c>
      <c r="E1646" s="12" t="n">
        <v>1</v>
      </c>
      <c r="F1646" s="12" t="n">
        <v>1</v>
      </c>
      <c r="G1646" s="12" t="n">
        <v>0.77</v>
      </c>
      <c r="H1646" s="9" t="n">
        <v>9</v>
      </c>
      <c r="I1646" s="10" t="inlineStr">
        <is>
          <t>6/6</t>
        </is>
      </c>
      <c r="J1646" s="12" t="n">
        <v>1</v>
      </c>
      <c r="K1646" t="e">
        <v>#N/A</v>
      </c>
      <c r="L1646" t="e">
        <v>#N/A</v>
      </c>
      <c r="M1646" t="e">
        <v>#N/A</v>
      </c>
    </row>
    <row r="1647">
      <c r="A1647" s="9" t="inlineStr">
        <is>
          <t>Schon Gonzalez</t>
        </is>
      </c>
      <c r="B1647" s="9" t="inlineStr">
        <is>
          <t>10/5/25 - 11/1/25</t>
        </is>
      </c>
      <c r="C1647" s="12" t="n">
        <v>1.03129999999999</v>
      </c>
      <c r="D1647" s="12" t="n">
        <v>1.1172</v>
      </c>
      <c r="E1647" s="12" t="n">
        <v>0.981818181818181</v>
      </c>
      <c r="F1647" s="12" t="n">
        <v>0.975</v>
      </c>
      <c r="G1647" s="12" t="n">
        <v>0.9</v>
      </c>
      <c r="H1647" s="9" t="n">
        <v>4</v>
      </c>
      <c r="I1647" s="10" t="inlineStr">
        <is>
          <t>6/7</t>
        </is>
      </c>
      <c r="J1647" s="12" t="n">
        <v>0.86</v>
      </c>
      <c r="K1647" t="e">
        <v>#N/A</v>
      </c>
      <c r="L1647" t="e">
        <v>#N/A</v>
      </c>
      <c r="M1647" t="e">
        <v>#N/A</v>
      </c>
    </row>
    <row r="1648">
      <c r="A1648" s="9" t="inlineStr">
        <is>
          <t>Schon Gonzalez</t>
        </is>
      </c>
      <c r="B1648" s="9" t="inlineStr">
        <is>
          <t>10/5/25 - 11/1/25</t>
        </is>
      </c>
      <c r="C1648" s="12" t="n">
        <v>1.03129999999999</v>
      </c>
      <c r="D1648" s="12" t="n">
        <v>1.1172</v>
      </c>
      <c r="E1648" s="12" t="n">
        <v>0.981818181818181</v>
      </c>
      <c r="F1648" s="12" t="n">
        <v>0.975</v>
      </c>
      <c r="G1648" s="12" t="n">
        <v>0.9</v>
      </c>
      <c r="H1648" s="9" t="n">
        <v>4</v>
      </c>
      <c r="I1648" s="10" t="inlineStr">
        <is>
          <t>6/7</t>
        </is>
      </c>
      <c r="J1648" s="12">
        <f>_xlfn.TEXTBEFORE(I1648, "/")/_xlfn.TEXTAFTER(I1648,"/")</f>
        <v/>
      </c>
      <c r="K1648" t="e">
        <v>#N/A</v>
      </c>
      <c r="L1648" t="e">
        <v>#N/A</v>
      </c>
      <c r="M1648" t="e">
        <v>#N/A</v>
      </c>
    </row>
    <row r="1649">
      <c r="A1649" s="9" t="inlineStr">
        <is>
          <t>Schon Gonzalez</t>
        </is>
      </c>
      <c r="B1649" s="9" t="inlineStr">
        <is>
          <t>11/2/25 - 11/29/25</t>
        </is>
      </c>
      <c r="C1649" s="12" t="n">
        <v>0.99</v>
      </c>
      <c r="D1649" s="12" t="n">
        <v>1.04</v>
      </c>
      <c r="E1649" s="12" t="n">
        <v>0.98</v>
      </c>
      <c r="F1649" s="12" t="n">
        <v>1</v>
      </c>
      <c r="G1649" s="12" t="n">
        <v>0.67</v>
      </c>
      <c r="H1649" s="9" t="n">
        <v>2</v>
      </c>
      <c r="I1649" s="13" t="n">
        <v>45661</v>
      </c>
      <c r="J1649" s="14" t="n">
        <v>0.25</v>
      </c>
      <c r="K1649" t="e">
        <v>#N/A</v>
      </c>
      <c r="L1649" t="e">
        <v>#N/A</v>
      </c>
      <c r="M1649" t="e">
        <v>#N/A</v>
      </c>
    </row>
    <row r="1650">
      <c r="A1650" s="9" t="inlineStr">
        <is>
          <t>Schon Gonzalez</t>
        </is>
      </c>
      <c r="B1650" s="9" t="inlineStr">
        <is>
          <t>11/30/25 - 12/27/25</t>
        </is>
      </c>
      <c r="C1650" s="12" t="n">
        <v>0.84</v>
      </c>
      <c r="D1650" s="12" t="n">
        <v>1.08</v>
      </c>
      <c r="E1650" s="12" t="n">
        <v>0.93</v>
      </c>
      <c r="F1650" s="12" t="n">
        <v>0.9399999999999999</v>
      </c>
      <c r="G1650" s="12" t="n">
        <v>0.8</v>
      </c>
      <c r="H1650" s="9" t="n">
        <v>1</v>
      </c>
      <c r="I1650" s="10" t="n">
        <v>0.5714285714285714</v>
      </c>
      <c r="J1650" s="12">
        <f>4/7</f>
        <v/>
      </c>
      <c r="K1650" t="e">
        <v>#N/A</v>
      </c>
      <c r="L1650" t="e">
        <v>#N/A</v>
      </c>
      <c r="M1650" t="e">
        <v>#N/A</v>
      </c>
    </row>
    <row r="1651">
      <c r="A1651" s="9" t="inlineStr">
        <is>
          <t>Schon Gonzalez</t>
        </is>
      </c>
      <c r="B1651" s="9" t="inlineStr">
        <is>
          <t>12/28/25 - 1/25/26</t>
        </is>
      </c>
      <c r="C1651" s="12" t="n">
        <v>0.7292</v>
      </c>
      <c r="D1651" s="12" t="n">
        <v>0.8828</v>
      </c>
      <c r="E1651" s="12" t="n">
        <v>1</v>
      </c>
      <c r="F1651" s="12" t="n">
        <v>1</v>
      </c>
      <c r="G1651" s="12" t="n">
        <v>0.8</v>
      </c>
      <c r="H1651" s="9" t="n">
        <v>5</v>
      </c>
      <c r="I1651" s="10" t="n">
        <v>1</v>
      </c>
      <c r="J1651" s="12">
        <f>I1651</f>
        <v/>
      </c>
      <c r="K1651" t="e">
        <v>#N/A</v>
      </c>
      <c r="L1651" t="e">
        <v>#N/A</v>
      </c>
      <c r="M1651" t="e">
        <v>#N/A</v>
      </c>
    </row>
    <row r="1652">
      <c r="A1652" s="9" t="inlineStr">
        <is>
          <t>Schon Gonzalez</t>
        </is>
      </c>
      <c r="B1652" s="9" t="inlineStr">
        <is>
          <t>5/18/25 - 6/14/25</t>
        </is>
      </c>
      <c r="C1652" s="12" t="n">
        <v>0.64</v>
      </c>
      <c r="D1652" s="12" t="n">
        <v>1.02</v>
      </c>
      <c r="E1652" s="12" t="n">
        <v>1</v>
      </c>
      <c r="F1652" s="12" t="n">
        <v>1</v>
      </c>
      <c r="G1652" s="12" t="n">
        <v>1</v>
      </c>
      <c r="H1652" s="9" t="n">
        <v>4</v>
      </c>
      <c r="J1652" s="9" t="n"/>
      <c r="K1652" t="e">
        <v>#N/A</v>
      </c>
      <c r="L1652" t="e">
        <v>#N/A</v>
      </c>
      <c r="M1652" t="e">
        <v>#N/A</v>
      </c>
    </row>
    <row r="1653">
      <c r="A1653" s="9" t="inlineStr">
        <is>
          <t>Schon Gonzalez</t>
        </is>
      </c>
      <c r="B1653" s="9" t="inlineStr">
        <is>
          <t>6/15/25 - 7/12/25</t>
        </is>
      </c>
      <c r="C1653" s="12" t="n">
        <v>0.08</v>
      </c>
      <c r="D1653" s="12" t="n">
        <v>0.97</v>
      </c>
      <c r="E1653" s="12" t="n">
        <v>1</v>
      </c>
      <c r="F1653" s="12" t="n">
        <v>1</v>
      </c>
      <c r="G1653" s="12" t="n">
        <v>1</v>
      </c>
      <c r="H1653" s="9" t="n">
        <v>1</v>
      </c>
      <c r="J1653" s="9" t="n"/>
      <c r="K1653" t="e">
        <v>#N/A</v>
      </c>
      <c r="L1653" t="e">
        <v>#N/A</v>
      </c>
      <c r="M1653" t="e">
        <v>#N/A</v>
      </c>
    </row>
    <row r="1654">
      <c r="A1654" s="9" t="inlineStr">
        <is>
          <t>Schon Gonzalez</t>
        </is>
      </c>
      <c r="B1654" s="9" t="inlineStr">
        <is>
          <t>7/13/25 - 8/10/25</t>
        </is>
      </c>
      <c r="C1654" s="12" t="n">
        <v>0.33</v>
      </c>
      <c r="D1654" s="12" t="n">
        <v>0.96</v>
      </c>
      <c r="E1654" s="12" t="n">
        <v>0.9399999999999999</v>
      </c>
      <c r="F1654" s="12" t="n">
        <v>1</v>
      </c>
      <c r="G1654" s="12" t="n">
        <v>1</v>
      </c>
      <c r="H1654" s="9" t="n">
        <v>1</v>
      </c>
      <c r="I1654" s="10" t="n">
        <v>1</v>
      </c>
      <c r="J1654" s="12">
        <f>I1654</f>
        <v/>
      </c>
      <c r="K1654" t="e">
        <v>#N/A</v>
      </c>
      <c r="L1654" t="e">
        <v>#N/A</v>
      </c>
      <c r="M1654" t="e">
        <v>#N/A</v>
      </c>
    </row>
    <row r="1655">
      <c r="A1655" s="9" t="inlineStr">
        <is>
          <t>Schon Gonzalez</t>
        </is>
      </c>
      <c r="B1655" s="9" t="inlineStr">
        <is>
          <t>8/10/25 - 9/6/25</t>
        </is>
      </c>
      <c r="C1655" s="12" t="n">
        <v>0.65</v>
      </c>
      <c r="D1655" s="12" t="n">
        <v>1</v>
      </c>
      <c r="E1655" s="12" t="n">
        <v>0.97</v>
      </c>
      <c r="F1655" s="12" t="n">
        <v>0.9399999999999999</v>
      </c>
      <c r="G1655" s="12" t="n">
        <v>1</v>
      </c>
      <c r="H1655" s="9" t="n">
        <v>3</v>
      </c>
      <c r="I1655" s="10" t="inlineStr">
        <is>
          <t>0/3</t>
        </is>
      </c>
      <c r="J1655" s="12" t="n">
        <v>0</v>
      </c>
      <c r="K1655" t="e">
        <v>#N/A</v>
      </c>
      <c r="L1655" t="e">
        <v>#N/A</v>
      </c>
      <c r="M1655" t="e">
        <v>#N/A</v>
      </c>
    </row>
    <row r="1656">
      <c r="A1656" s="9" t="inlineStr">
        <is>
          <t>Schon Gonzalez</t>
        </is>
      </c>
      <c r="B1656" s="9" t="inlineStr">
        <is>
          <t>9/7/25 - 10/4/25</t>
        </is>
      </c>
      <c r="C1656" s="12" t="n">
        <v>0.73</v>
      </c>
      <c r="D1656" s="12" t="n">
        <v>1.07</v>
      </c>
      <c r="E1656" s="12" t="n">
        <v>0.93</v>
      </c>
      <c r="F1656" s="12" t="n">
        <v>1</v>
      </c>
      <c r="G1656" s="12" t="n">
        <v>0.8</v>
      </c>
      <c r="H1656" s="9" t="n">
        <v>0</v>
      </c>
      <c r="I1656" s="10" t="inlineStr">
        <is>
          <t>7/8</t>
        </is>
      </c>
      <c r="J1656" s="12" t="n">
        <v>0.88</v>
      </c>
      <c r="K1656" t="e">
        <v>#N/A</v>
      </c>
      <c r="L1656" t="e">
        <v>#N/A</v>
      </c>
      <c r="M1656" t="e">
        <v>#N/A</v>
      </c>
    </row>
    <row r="1657">
      <c r="A1657" s="9" t="inlineStr">
        <is>
          <t>Scott Boyd</t>
        </is>
      </c>
      <c r="B1657" s="9" t="inlineStr">
        <is>
          <t>10/5/25 - 11/1/25</t>
        </is>
      </c>
      <c r="C1657" s="12" t="n">
        <v>0.843799999999999</v>
      </c>
      <c r="D1657" s="12" t="n">
        <v>1.2734</v>
      </c>
      <c r="E1657" s="12" t="n">
        <v>1</v>
      </c>
      <c r="F1657" s="12" t="n">
        <v>0.961538461538461</v>
      </c>
      <c r="G1657" s="12" t="n">
        <v>0.888888888888888</v>
      </c>
      <c r="H1657" s="9" t="n">
        <v>5</v>
      </c>
      <c r="I1657" s="10" t="n"/>
      <c r="J1657" s="12" t="n"/>
      <c r="K1657" t="inlineStr">
        <is>
          <t>Premium</t>
        </is>
      </c>
      <c r="L1657" t="inlineStr">
        <is>
          <t>Adjunct</t>
        </is>
      </c>
      <c r="M1657" t="inlineStr">
        <is>
          <t>Geoff St. Marie</t>
        </is>
      </c>
    </row>
    <row r="1658">
      <c r="A1658" s="9" t="inlineStr">
        <is>
          <t>Scott Boyd</t>
        </is>
      </c>
      <c r="B1658" s="9" t="inlineStr">
        <is>
          <t>10/5/25 - 11/1/25</t>
        </is>
      </c>
      <c r="C1658" s="12" t="n">
        <v>0.843799999999999</v>
      </c>
      <c r="D1658" s="12" t="n">
        <v>1.2734</v>
      </c>
      <c r="E1658" s="12" t="n">
        <v>1</v>
      </c>
      <c r="F1658" s="12" t="n">
        <v>0.961538461538461</v>
      </c>
      <c r="G1658" s="12" t="n">
        <v>0.888888888888888</v>
      </c>
      <c r="H1658" s="9" t="n">
        <v>5</v>
      </c>
      <c r="J1658" s="9" t="n"/>
      <c r="K1658" t="inlineStr">
        <is>
          <t>Premium</t>
        </is>
      </c>
      <c r="L1658" t="inlineStr">
        <is>
          <t>Adjunct</t>
        </is>
      </c>
      <c r="M1658" t="inlineStr">
        <is>
          <t>Geoff St. Marie</t>
        </is>
      </c>
    </row>
    <row r="1659">
      <c r="A1659" s="9" t="inlineStr">
        <is>
          <t>Scott Boyd</t>
        </is>
      </c>
      <c r="B1659" s="9" t="inlineStr">
        <is>
          <t>11/2/25 - 11/29/25</t>
        </is>
      </c>
      <c r="C1659" s="12" t="n">
        <v>0.65</v>
      </c>
      <c r="D1659" s="12" t="n">
        <v>1.3</v>
      </c>
      <c r="E1659" s="12" t="n">
        <v>0.97</v>
      </c>
      <c r="F1659" s="12" t="n">
        <v>0.73</v>
      </c>
      <c r="G1659" s="12" t="n">
        <v>1</v>
      </c>
      <c r="H1659" s="9" t="n">
        <v>3</v>
      </c>
      <c r="I1659" s="13" t="n">
        <v>45658</v>
      </c>
      <c r="J1659" s="12" t="n">
        <v>1</v>
      </c>
      <c r="K1659" t="inlineStr">
        <is>
          <t>Premium</t>
        </is>
      </c>
      <c r="L1659" t="inlineStr">
        <is>
          <t>Adjunct</t>
        </is>
      </c>
      <c r="M1659" t="inlineStr">
        <is>
          <t>Geoff St. Marie</t>
        </is>
      </c>
    </row>
    <row r="1660">
      <c r="A1660" s="9" t="inlineStr">
        <is>
          <t>Scott Boyd</t>
        </is>
      </c>
      <c r="B1660" s="9" t="inlineStr">
        <is>
          <t>11/30/25 - 12/27/25</t>
        </is>
      </c>
      <c r="C1660" s="12" t="n">
        <v>0.52</v>
      </c>
      <c r="D1660" s="12" t="n">
        <v>1.29</v>
      </c>
      <c r="E1660" s="12" t="n">
        <v>1</v>
      </c>
      <c r="F1660" s="12" t="n">
        <v>0.8100000000000001</v>
      </c>
      <c r="G1660" s="12" t="n">
        <v>0.88</v>
      </c>
      <c r="H1660" s="9" t="n">
        <v>1</v>
      </c>
      <c r="I1660" s="10" t="n"/>
      <c r="J1660" s="12" t="n"/>
      <c r="K1660" t="inlineStr">
        <is>
          <t>Premium</t>
        </is>
      </c>
      <c r="L1660" t="inlineStr">
        <is>
          <t>Adjunct</t>
        </is>
      </c>
      <c r="M1660" t="inlineStr">
        <is>
          <t>Geoff St. Marie</t>
        </is>
      </c>
    </row>
    <row r="1661">
      <c r="A1661" s="9" t="inlineStr">
        <is>
          <t>Scott Boyd</t>
        </is>
      </c>
      <c r="B1661" s="9" t="inlineStr">
        <is>
          <t>12/28/25 - 1/25/26</t>
        </is>
      </c>
      <c r="C1661" s="12" t="n">
        <v>0.375</v>
      </c>
      <c r="D1661" s="12" t="n">
        <v>1.2656</v>
      </c>
      <c r="E1661" s="12" t="n">
        <v>1</v>
      </c>
      <c r="F1661" s="12" t="n">
        <v>1</v>
      </c>
      <c r="G1661" s="12" t="n">
        <v>1</v>
      </c>
      <c r="H1661" s="9" t="n">
        <v>2</v>
      </c>
      <c r="I1661" s="10" t="n">
        <v>1</v>
      </c>
      <c r="J1661" s="12">
        <f>I1661</f>
        <v/>
      </c>
      <c r="K1661" t="inlineStr">
        <is>
          <t>Premium</t>
        </is>
      </c>
      <c r="L1661" t="inlineStr">
        <is>
          <t>Adjunct</t>
        </is>
      </c>
      <c r="M1661" t="inlineStr">
        <is>
          <t>Geoff St. Marie</t>
        </is>
      </c>
    </row>
    <row r="1662">
      <c r="A1662" s="9" t="inlineStr">
        <is>
          <t>Scott Boyd</t>
        </is>
      </c>
      <c r="B1662" s="9" t="inlineStr">
        <is>
          <t>5/18/25 - 6/14/25</t>
        </is>
      </c>
      <c r="C1662" s="12" t="n">
        <v>0.76</v>
      </c>
      <c r="D1662" s="12" t="n">
        <v>1.29</v>
      </c>
      <c r="E1662" s="12" t="n">
        <v>1</v>
      </c>
      <c r="F1662" s="12" t="n">
        <v>0.91</v>
      </c>
      <c r="G1662" s="12" t="n">
        <v>0.75</v>
      </c>
      <c r="H1662" s="9" t="e">
        <v>#N/A</v>
      </c>
      <c r="I1662" s="10" t="n">
        <v>0</v>
      </c>
      <c r="J1662" s="12">
        <f>I1662</f>
        <v/>
      </c>
      <c r="K1662" t="inlineStr">
        <is>
          <t>Premium</t>
        </is>
      </c>
      <c r="L1662" t="inlineStr">
        <is>
          <t>Adjunct</t>
        </is>
      </c>
      <c r="M1662" t="inlineStr">
        <is>
          <t>Geoff St. Marie</t>
        </is>
      </c>
    </row>
    <row r="1663">
      <c r="A1663" s="9" t="inlineStr">
        <is>
          <t>Scott Boyd</t>
        </is>
      </c>
      <c r="B1663" s="9" t="inlineStr">
        <is>
          <t>6/15/25 - 7/12/25</t>
        </is>
      </c>
      <c r="C1663" s="12" t="n">
        <v>0.46</v>
      </c>
      <c r="D1663" s="12" t="n">
        <v>1.3</v>
      </c>
      <c r="E1663" s="12" t="n">
        <v>1</v>
      </c>
      <c r="F1663" s="12" t="n">
        <v>1</v>
      </c>
      <c r="G1663" s="12" t="n">
        <v>0.67</v>
      </c>
      <c r="H1663" s="9" t="e">
        <v>#N/A</v>
      </c>
      <c r="J1663" s="9" t="n"/>
      <c r="K1663" t="inlineStr">
        <is>
          <t>Premium</t>
        </is>
      </c>
      <c r="L1663" t="inlineStr">
        <is>
          <t>Adjunct</t>
        </is>
      </c>
      <c r="M1663" t="inlineStr">
        <is>
          <t>Geoff St. Marie</t>
        </is>
      </c>
    </row>
    <row r="1664">
      <c r="A1664" s="9" t="inlineStr">
        <is>
          <t>Scott Boyd</t>
        </is>
      </c>
      <c r="B1664" s="9" t="inlineStr">
        <is>
          <t>7/13/25 - 8/10/25</t>
        </is>
      </c>
      <c r="C1664" s="12" t="n">
        <v>0.52</v>
      </c>
      <c r="D1664" s="12" t="n">
        <v>1.29</v>
      </c>
      <c r="E1664" s="12" t="n">
        <v>0.96</v>
      </c>
      <c r="F1664" s="12" t="n">
        <v>0.71</v>
      </c>
      <c r="G1664" s="12" t="n">
        <v>0.88</v>
      </c>
      <c r="H1664" s="9" t="n">
        <v>3</v>
      </c>
      <c r="J1664" s="9" t="n"/>
      <c r="K1664" t="inlineStr">
        <is>
          <t>Premium</t>
        </is>
      </c>
      <c r="L1664" t="inlineStr">
        <is>
          <t>Adjunct</t>
        </is>
      </c>
      <c r="M1664" t="inlineStr">
        <is>
          <t>Geoff St. Marie</t>
        </is>
      </c>
    </row>
    <row r="1665">
      <c r="A1665" s="9" t="inlineStr">
        <is>
          <t>Scott Boyd</t>
        </is>
      </c>
      <c r="B1665" s="9" t="inlineStr">
        <is>
          <t>8/10/25 - 9/6/25</t>
        </is>
      </c>
      <c r="C1665" s="12" t="n">
        <v>0.55</v>
      </c>
      <c r="D1665" s="12" t="n">
        <v>1.27</v>
      </c>
      <c r="E1665" s="12" t="n">
        <v>1</v>
      </c>
      <c r="F1665" s="12" t="n">
        <v>0.9399999999999999</v>
      </c>
      <c r="G1665" s="12" t="n">
        <v>0.57</v>
      </c>
      <c r="H1665" s="9" t="n">
        <v>0</v>
      </c>
      <c r="I1665" s="10" t="inlineStr">
        <is>
          <t>0/1</t>
        </is>
      </c>
      <c r="J1665" s="12" t="n">
        <v>0</v>
      </c>
      <c r="K1665" t="inlineStr">
        <is>
          <t>Premium</t>
        </is>
      </c>
      <c r="L1665" t="inlineStr">
        <is>
          <t>Adjunct</t>
        </is>
      </c>
      <c r="M1665" t="inlineStr">
        <is>
          <t>Geoff St. Marie</t>
        </is>
      </c>
    </row>
    <row r="1666">
      <c r="A1666" s="9" t="inlineStr">
        <is>
          <t>Scott Boyd</t>
        </is>
      </c>
      <c r="B1666" s="9" t="inlineStr">
        <is>
          <t>9/7/25 - 10/4/25</t>
        </is>
      </c>
      <c r="C1666" s="12" t="n">
        <v>0.71</v>
      </c>
      <c r="D1666" s="12" t="n">
        <v>1.26</v>
      </c>
      <c r="E1666" s="12" t="n">
        <v>0.97</v>
      </c>
      <c r="F1666" s="12" t="n">
        <v>1</v>
      </c>
      <c r="G1666" s="12" t="n">
        <v>0.5</v>
      </c>
      <c r="H1666" s="9" t="n">
        <v>2</v>
      </c>
      <c r="I1666" s="10" t="inlineStr">
        <is>
          <t>0/1</t>
        </is>
      </c>
      <c r="J1666" s="12" t="n">
        <v>0</v>
      </c>
      <c r="K1666" t="inlineStr">
        <is>
          <t>Premium</t>
        </is>
      </c>
      <c r="L1666" t="inlineStr">
        <is>
          <t>Adjunct</t>
        </is>
      </c>
      <c r="M1666" t="inlineStr">
        <is>
          <t>Geoff St. Marie</t>
        </is>
      </c>
    </row>
    <row r="1667">
      <c r="A1667" s="9" t="inlineStr">
        <is>
          <t>Scott Greathouse</t>
        </is>
      </c>
      <c r="B1667" s="9" t="inlineStr">
        <is>
          <t>12/28/25 - 1/25/26</t>
        </is>
      </c>
      <c r="C1667" s="12" t="n">
        <v>0</v>
      </c>
      <c r="D1667" s="12" t="n">
        <v>0</v>
      </c>
      <c r="E1667" s="12" t="n">
        <v>0</v>
      </c>
      <c r="F1667" s="12" t="n">
        <v>0</v>
      </c>
      <c r="G1667" s="12" t="n">
        <v>0</v>
      </c>
      <c r="H1667" s="9" t="n">
        <v>0</v>
      </c>
      <c r="I1667" s="10" t="inlineStr">
        <is>
          <t>0/0</t>
        </is>
      </c>
      <c r="J1667" s="12" t="n">
        <v>0</v>
      </c>
      <c r="K1667" t="e">
        <v>#N/A</v>
      </c>
      <c r="L1667" t="e">
        <v>#N/A</v>
      </c>
      <c r="M1667" t="e">
        <v>#N/A</v>
      </c>
    </row>
    <row r="1668">
      <c r="A1668" s="9" t="inlineStr">
        <is>
          <t>Scott Holdcraft</t>
        </is>
      </c>
      <c r="B1668" s="9" t="inlineStr">
        <is>
          <t>10/5/25 - 11/1/25</t>
        </is>
      </c>
      <c r="C1668" s="12" t="n">
        <v>0.8625</v>
      </c>
      <c r="D1668" s="12" t="n">
        <v>0.978599999999999</v>
      </c>
      <c r="E1668" s="12" t="n">
        <v>0.9327731092436971</v>
      </c>
      <c r="F1668" s="12" t="n">
        <v>0.948717948717948</v>
      </c>
      <c r="G1668" s="12" t="n">
        <v>0.9375</v>
      </c>
      <c r="H1668" s="9" t="n">
        <v>6</v>
      </c>
      <c r="I1668" s="10" t="inlineStr">
        <is>
          <t>6/10</t>
        </is>
      </c>
      <c r="J1668" s="12" t="n">
        <v>0.6</v>
      </c>
      <c r="K1668" t="inlineStr">
        <is>
          <t>Distinguished</t>
        </is>
      </c>
      <c r="L1668" t="inlineStr">
        <is>
          <t>Professional</t>
        </is>
      </c>
      <c r="M1668" t="inlineStr">
        <is>
          <t>Ela Cross</t>
        </is>
      </c>
    </row>
    <row r="1669">
      <c r="A1669" s="9" t="inlineStr">
        <is>
          <t>Scott Holdcraft</t>
        </is>
      </c>
      <c r="B1669" s="9" t="inlineStr">
        <is>
          <t>11/2/25 - 11/29/25</t>
        </is>
      </c>
      <c r="C1669" s="12" t="n">
        <v>0.88</v>
      </c>
      <c r="D1669" s="12" t="n">
        <v>0.98</v>
      </c>
      <c r="E1669" s="12" t="n">
        <v>0.95</v>
      </c>
      <c r="F1669" s="12" t="n">
        <v>0.98</v>
      </c>
      <c r="G1669" s="12" t="n">
        <v>0.5</v>
      </c>
      <c r="H1669" s="9" t="n">
        <v>17</v>
      </c>
      <c r="I1669" s="13" t="n">
        <v>45697</v>
      </c>
      <c r="J1669" s="14" t="n">
        <v>0.22</v>
      </c>
      <c r="K1669" t="inlineStr">
        <is>
          <t>Distinguished</t>
        </is>
      </c>
      <c r="L1669" t="inlineStr">
        <is>
          <t>Professional</t>
        </is>
      </c>
      <c r="M1669" t="inlineStr">
        <is>
          <t>Ela Cross</t>
        </is>
      </c>
    </row>
    <row r="1670">
      <c r="A1670" s="9" t="inlineStr">
        <is>
          <t>Scott Holdcraft</t>
        </is>
      </c>
      <c r="B1670" s="9" t="inlineStr">
        <is>
          <t>11/30/25 - 12/27/25</t>
        </is>
      </c>
      <c r="C1670" s="12" t="n">
        <v>0.83</v>
      </c>
      <c r="D1670" s="12" t="n">
        <v>1.04</v>
      </c>
      <c r="E1670" s="12" t="n">
        <v>0.7</v>
      </c>
      <c r="F1670" s="12" t="n">
        <v>0.97</v>
      </c>
      <c r="G1670" s="12" t="n">
        <v>0.41</v>
      </c>
      <c r="H1670" s="9" t="n">
        <v>15</v>
      </c>
      <c r="I1670" s="10" t="n">
        <v>0.8</v>
      </c>
      <c r="J1670" s="12" t="n">
        <v>0.8</v>
      </c>
      <c r="K1670" t="inlineStr">
        <is>
          <t>Distinguished</t>
        </is>
      </c>
      <c r="L1670" t="inlineStr">
        <is>
          <t>Professional</t>
        </is>
      </c>
      <c r="M1670" t="inlineStr">
        <is>
          <t>Ela Cross</t>
        </is>
      </c>
    </row>
    <row r="1671">
      <c r="A1671" s="9" t="inlineStr">
        <is>
          <t>Scott Holdcraft</t>
        </is>
      </c>
      <c r="B1671" s="9" t="inlineStr">
        <is>
          <t>12/28/25 - 1/25/26</t>
        </is>
      </c>
      <c r="C1671" s="12" t="n">
        <v>0.8417</v>
      </c>
      <c r="D1671" s="12" t="n">
        <v>0.9885</v>
      </c>
      <c r="E1671" s="12" t="n">
        <v>0.8046875</v>
      </c>
      <c r="F1671" s="12" t="n">
        <v>0.873417722</v>
      </c>
      <c r="G1671" s="12" t="n">
        <v>0.388888889</v>
      </c>
      <c r="H1671" s="9" t="n">
        <v>4</v>
      </c>
      <c r="I1671" s="10" t="n">
        <v>0.6</v>
      </c>
      <c r="J1671" s="12">
        <f>I1671</f>
        <v/>
      </c>
      <c r="K1671" t="inlineStr">
        <is>
          <t>Distinguished</t>
        </is>
      </c>
      <c r="L1671" t="inlineStr">
        <is>
          <t>Professional</t>
        </is>
      </c>
      <c r="M1671" t="inlineStr">
        <is>
          <t>Ela Cross</t>
        </is>
      </c>
    </row>
    <row r="1672">
      <c r="A1672" s="9" t="inlineStr">
        <is>
          <t>Scott Holdcraft</t>
        </is>
      </c>
      <c r="B1672" s="9" t="inlineStr">
        <is>
          <t>5/18/25 - 6/14/25</t>
        </is>
      </c>
      <c r="C1672" s="12" t="n">
        <v>0.88</v>
      </c>
      <c r="D1672" s="12" t="n">
        <v>1.08</v>
      </c>
      <c r="E1672" s="12" t="n">
        <v>0.96</v>
      </c>
      <c r="F1672" s="12" t="n">
        <v>0.96</v>
      </c>
      <c r="G1672" s="12" t="n">
        <v>0.82</v>
      </c>
      <c r="H1672" s="9" t="n">
        <v>4</v>
      </c>
      <c r="I1672" s="10" t="n">
        <v>1</v>
      </c>
      <c r="J1672" s="12">
        <f>I1672</f>
        <v/>
      </c>
      <c r="K1672" t="inlineStr">
        <is>
          <t>Distinguished</t>
        </is>
      </c>
      <c r="L1672" t="inlineStr">
        <is>
          <t>Professional</t>
        </is>
      </c>
      <c r="M1672" t="inlineStr">
        <is>
          <t>Ela Cross</t>
        </is>
      </c>
    </row>
    <row r="1673">
      <c r="A1673" s="9" t="inlineStr">
        <is>
          <t>Scott Holdcraft</t>
        </is>
      </c>
      <c r="B1673" s="9" t="inlineStr">
        <is>
          <t>6/15/25 - 7/12/25</t>
        </is>
      </c>
      <c r="C1673" s="12" t="n">
        <v>0.65</v>
      </c>
      <c r="D1673" s="12" t="n">
        <v>0.96</v>
      </c>
      <c r="E1673" s="12" t="n">
        <v>0.96</v>
      </c>
      <c r="F1673" s="12" t="n">
        <v>0.96</v>
      </c>
      <c r="G1673" s="12" t="n">
        <v>1</v>
      </c>
      <c r="H1673" s="9" t="n">
        <v>4</v>
      </c>
      <c r="I1673" s="10" t="inlineStr">
        <is>
          <t xml:space="preserve"> 1/2</t>
        </is>
      </c>
      <c r="J1673" s="12" t="n">
        <v>0.5</v>
      </c>
      <c r="K1673" t="inlineStr">
        <is>
          <t>Distinguished</t>
        </is>
      </c>
      <c r="L1673" t="inlineStr">
        <is>
          <t>Professional</t>
        </is>
      </c>
      <c r="M1673" t="inlineStr">
        <is>
          <t>Ela Cross</t>
        </is>
      </c>
    </row>
    <row r="1674">
      <c r="A1674" s="9" t="inlineStr">
        <is>
          <t>Scott Holdcraft</t>
        </is>
      </c>
      <c r="B1674" s="9" t="inlineStr">
        <is>
          <t>7/13/25 - 8/10/25</t>
        </is>
      </c>
      <c r="C1674" s="12" t="n">
        <v>0.9</v>
      </c>
      <c r="D1674" s="12" t="n">
        <v>1.03</v>
      </c>
      <c r="E1674" s="12" t="n">
        <v>0.89</v>
      </c>
      <c r="F1674" s="12" t="n">
        <v>0.97</v>
      </c>
      <c r="G1674" s="12" t="n">
        <v>0.77</v>
      </c>
      <c r="H1674" s="9" t="n">
        <v>3</v>
      </c>
      <c r="I1674" s="10" t="inlineStr">
        <is>
          <t xml:space="preserve"> 3/4</t>
        </is>
      </c>
      <c r="J1674" s="12" t="n">
        <v>0.75</v>
      </c>
      <c r="K1674" t="inlineStr">
        <is>
          <t>Distinguished</t>
        </is>
      </c>
      <c r="L1674" t="inlineStr">
        <is>
          <t>Professional</t>
        </is>
      </c>
      <c r="M1674" t="inlineStr">
        <is>
          <t>Ela Cross</t>
        </is>
      </c>
    </row>
    <row r="1675">
      <c r="A1675" s="9" t="inlineStr">
        <is>
          <t>Scott Holdcraft</t>
        </is>
      </c>
      <c r="B1675" s="9" t="inlineStr">
        <is>
          <t>8/10/25 - 9/6/25</t>
        </is>
      </c>
      <c r="C1675" s="12" t="n">
        <v>0.87</v>
      </c>
      <c r="D1675" s="12" t="n">
        <v>1.07</v>
      </c>
      <c r="E1675" s="12" t="n">
        <v>0.95</v>
      </c>
      <c r="F1675" s="12" t="n">
        <v>0.97</v>
      </c>
      <c r="G1675" s="12" t="n">
        <v>0.88</v>
      </c>
      <c r="H1675" s="9" t="n">
        <v>5</v>
      </c>
      <c r="I1675" s="10" t="inlineStr">
        <is>
          <t>6/8</t>
        </is>
      </c>
      <c r="J1675" s="12" t="n">
        <v>0.75</v>
      </c>
      <c r="K1675" t="inlineStr">
        <is>
          <t>Distinguished</t>
        </is>
      </c>
      <c r="L1675" t="inlineStr">
        <is>
          <t>Professional</t>
        </is>
      </c>
      <c r="M1675" t="inlineStr">
        <is>
          <t>Ela Cross</t>
        </is>
      </c>
    </row>
    <row r="1676">
      <c r="A1676" s="9" t="inlineStr">
        <is>
          <t>Scott Holdcraft</t>
        </is>
      </c>
      <c r="B1676" s="9" t="inlineStr">
        <is>
          <t>9/7/25 - 10/4/25</t>
        </is>
      </c>
      <c r="C1676" s="12" t="n">
        <v>0.75</v>
      </c>
      <c r="D1676" s="12" t="n">
        <v>1.09</v>
      </c>
      <c r="E1676" s="12" t="n">
        <v>0.87</v>
      </c>
      <c r="F1676" s="12" t="n">
        <v>0.97</v>
      </c>
      <c r="G1676" s="12" t="n">
        <v>1</v>
      </c>
      <c r="H1676" s="9" t="n">
        <v>4</v>
      </c>
      <c r="I1676" s="10" t="inlineStr">
        <is>
          <t>4/4</t>
        </is>
      </c>
      <c r="J1676" s="12" t="n">
        <v>1</v>
      </c>
      <c r="K1676" t="inlineStr">
        <is>
          <t>Distinguished</t>
        </is>
      </c>
      <c r="L1676" t="inlineStr">
        <is>
          <t>Professional</t>
        </is>
      </c>
      <c r="M1676" t="inlineStr">
        <is>
          <t>Ela Cross</t>
        </is>
      </c>
    </row>
    <row r="1677">
      <c r="A1677" s="9" t="inlineStr">
        <is>
          <t>Sean Ulfik</t>
        </is>
      </c>
      <c r="B1677" s="9" t="inlineStr">
        <is>
          <t>10/5/25 - 11/1/25</t>
        </is>
      </c>
      <c r="C1677" s="12" t="n">
        <v>1.0414</v>
      </c>
      <c r="D1677" s="12" t="n">
        <v>1.1513</v>
      </c>
      <c r="E1677" s="12" t="n">
        <v>1</v>
      </c>
      <c r="F1677" s="12" t="n">
        <v>0.985714285714285</v>
      </c>
      <c r="G1677" s="12" t="n">
        <v>0.928571428571428</v>
      </c>
      <c r="H1677" s="9" t="n">
        <v>3</v>
      </c>
      <c r="I1677" s="10" t="inlineStr">
        <is>
          <t>2/2</t>
        </is>
      </c>
      <c r="J1677" s="12" t="n">
        <v>1</v>
      </c>
      <c r="K1677" t="e">
        <v>#N/A</v>
      </c>
      <c r="L1677" t="e">
        <v>#N/A</v>
      </c>
      <c r="M1677" t="e">
        <v>#N/A</v>
      </c>
    </row>
    <row r="1678">
      <c r="A1678" s="9" t="inlineStr">
        <is>
          <t>Sean Ulfik</t>
        </is>
      </c>
      <c r="B1678" s="9" t="inlineStr">
        <is>
          <t>11/2/25 - 11/29/25</t>
        </is>
      </c>
      <c r="C1678" s="12" t="n">
        <v>0.99</v>
      </c>
      <c r="D1678" s="12" t="n">
        <v>1.07</v>
      </c>
      <c r="E1678" s="12" t="n">
        <v>1</v>
      </c>
      <c r="F1678" s="12" t="n">
        <v>0.96</v>
      </c>
      <c r="G1678" s="12" t="n">
        <v>0.9</v>
      </c>
      <c r="H1678" s="9" t="n">
        <v>3</v>
      </c>
      <c r="I1678" s="13" t="n">
        <v>45659</v>
      </c>
      <c r="J1678" s="12" t="n">
        <v>0.5</v>
      </c>
      <c r="K1678" t="e">
        <v>#N/A</v>
      </c>
      <c r="L1678" t="e">
        <v>#N/A</v>
      </c>
      <c r="M1678" t="e">
        <v>#N/A</v>
      </c>
    </row>
    <row r="1679">
      <c r="A1679" s="9" t="inlineStr">
        <is>
          <t>Sean Ulfik</t>
        </is>
      </c>
      <c r="B1679" s="9" t="inlineStr">
        <is>
          <t>11/30/25 - 12/27/25</t>
        </is>
      </c>
      <c r="C1679" s="12" t="n">
        <v>0.65</v>
      </c>
      <c r="D1679" s="12" t="n">
        <v>1.09</v>
      </c>
      <c r="E1679" s="12" t="n">
        <v>1</v>
      </c>
      <c r="F1679" s="12" t="n">
        <v>0.93</v>
      </c>
      <c r="G1679" s="12" t="n">
        <v>0.75</v>
      </c>
      <c r="H1679" s="9" t="n">
        <v>2</v>
      </c>
      <c r="I1679" s="10" t="n">
        <v>0.5</v>
      </c>
      <c r="J1679" s="12" t="n">
        <v>0.5</v>
      </c>
      <c r="K1679" t="e">
        <v>#N/A</v>
      </c>
      <c r="L1679" t="e">
        <v>#N/A</v>
      </c>
      <c r="M1679" t="e">
        <v>#N/A</v>
      </c>
    </row>
    <row r="1680">
      <c r="A1680" s="9" t="inlineStr">
        <is>
          <t>Sean Ulfik</t>
        </is>
      </c>
      <c r="B1680" s="9" t="inlineStr">
        <is>
          <t>12/28/25 - 1/25/26</t>
        </is>
      </c>
      <c r="C1680" s="12" t="n">
        <v>0.879</v>
      </c>
      <c r="D1680" s="12" t="n">
        <v>1.1601</v>
      </c>
      <c r="E1680" s="12" t="n">
        <v>0.972972973</v>
      </c>
      <c r="F1680" s="12" t="n">
        <v>0.9782608699999999</v>
      </c>
      <c r="G1680" s="12" t="n">
        <v>0.523809524</v>
      </c>
      <c r="H1680" s="9" t="n">
        <v>1</v>
      </c>
      <c r="I1680" s="10" t="n">
        <v>1</v>
      </c>
      <c r="J1680" s="12">
        <f>I1680</f>
        <v/>
      </c>
      <c r="K1680" t="e">
        <v>#N/A</v>
      </c>
      <c r="L1680" t="e">
        <v>#N/A</v>
      </c>
      <c r="M1680" t="e">
        <v>#N/A</v>
      </c>
    </row>
    <row r="1681">
      <c r="A1681" s="9" t="inlineStr">
        <is>
          <t>Sean Ulfik</t>
        </is>
      </c>
      <c r="B1681" s="9" t="inlineStr">
        <is>
          <t>5/18/25 - 6/14/25</t>
        </is>
      </c>
      <c r="C1681" s="12" t="n">
        <v>0.98</v>
      </c>
      <c r="D1681" s="12" t="n">
        <v>1.06</v>
      </c>
      <c r="E1681" s="12" t="n">
        <v>1</v>
      </c>
      <c r="F1681" s="12" t="n">
        <v>1</v>
      </c>
      <c r="G1681" s="12" t="n">
        <v>0.96</v>
      </c>
      <c r="H1681" s="9" t="n">
        <v>3</v>
      </c>
      <c r="I1681" s="10" t="inlineStr">
        <is>
          <t xml:space="preserve"> 3/4</t>
        </is>
      </c>
      <c r="J1681" s="12" t="n">
        <v>0.75</v>
      </c>
      <c r="K1681" t="e">
        <v>#N/A</v>
      </c>
      <c r="L1681" t="e">
        <v>#N/A</v>
      </c>
      <c r="M1681" t="e">
        <v>#N/A</v>
      </c>
    </row>
    <row r="1682">
      <c r="A1682" s="9" t="inlineStr">
        <is>
          <t>Sean Ulfik</t>
        </is>
      </c>
      <c r="B1682" s="9" t="inlineStr">
        <is>
          <t>6/15/25 - 7/12/25</t>
        </is>
      </c>
      <c r="C1682" s="12" t="n">
        <v>1.1</v>
      </c>
      <c r="D1682" s="12" t="n">
        <v>1.28</v>
      </c>
      <c r="E1682" s="12" t="n">
        <v>0.99</v>
      </c>
      <c r="F1682" s="12" t="n">
        <v>0.98</v>
      </c>
      <c r="G1682" s="12" t="n">
        <v>0.74</v>
      </c>
      <c r="H1682" s="9" t="n">
        <v>2</v>
      </c>
      <c r="I1682" s="10" t="inlineStr">
        <is>
          <t xml:space="preserve"> 1/2</t>
        </is>
      </c>
      <c r="J1682" s="12" t="n">
        <v>0.5</v>
      </c>
      <c r="K1682" t="e">
        <v>#N/A</v>
      </c>
      <c r="L1682" t="e">
        <v>#N/A</v>
      </c>
      <c r="M1682" t="e">
        <v>#N/A</v>
      </c>
    </row>
    <row r="1683">
      <c r="A1683" s="9" t="inlineStr">
        <is>
          <t>Sean Ulfik</t>
        </is>
      </c>
      <c r="B1683" s="9" t="inlineStr">
        <is>
          <t>7/13/25 - 8/10/25</t>
        </is>
      </c>
      <c r="C1683" s="12" t="n">
        <v>1.37</v>
      </c>
      <c r="D1683" s="12" t="n">
        <v>1.36</v>
      </c>
      <c r="E1683" s="12" t="n">
        <v>1</v>
      </c>
      <c r="F1683" s="12" t="n">
        <v>1</v>
      </c>
      <c r="G1683" s="12" t="n">
        <v>0.82</v>
      </c>
      <c r="H1683" s="9" t="n">
        <v>7</v>
      </c>
      <c r="I1683" s="10" t="inlineStr">
        <is>
          <t xml:space="preserve"> 2/3</t>
        </is>
      </c>
      <c r="J1683" s="12" t="n">
        <v>0.67</v>
      </c>
      <c r="K1683" t="e">
        <v>#N/A</v>
      </c>
      <c r="L1683" t="e">
        <v>#N/A</v>
      </c>
      <c r="M1683" t="e">
        <v>#N/A</v>
      </c>
    </row>
    <row r="1684">
      <c r="A1684" s="9" t="inlineStr">
        <is>
          <t>Sean Ulfik</t>
        </is>
      </c>
      <c r="B1684" s="9" t="inlineStr">
        <is>
          <t>8/10/25 - 9/6/25</t>
        </is>
      </c>
      <c r="C1684" s="12" t="n">
        <v>1.34</v>
      </c>
      <c r="D1684" s="12" t="n">
        <v>1.32</v>
      </c>
      <c r="E1684" s="12" t="n">
        <v>1</v>
      </c>
      <c r="F1684" s="12" t="n">
        <v>0.99</v>
      </c>
      <c r="G1684" s="12" t="n">
        <v>0.85</v>
      </c>
      <c r="H1684" s="9" t="n">
        <v>8</v>
      </c>
      <c r="I1684" s="10" t="inlineStr">
        <is>
          <t>4/8</t>
        </is>
      </c>
      <c r="J1684" s="12" t="n">
        <v>0.5</v>
      </c>
      <c r="K1684" t="e">
        <v>#N/A</v>
      </c>
      <c r="L1684" t="e">
        <v>#N/A</v>
      </c>
      <c r="M1684" t="e">
        <v>#N/A</v>
      </c>
    </row>
    <row r="1685">
      <c r="A1685" s="9" t="inlineStr">
        <is>
          <t>Sean Ulfik</t>
        </is>
      </c>
      <c r="B1685" s="9" t="inlineStr">
        <is>
          <t>9/7/25 - 10/4/25</t>
        </is>
      </c>
      <c r="C1685" s="12" t="n">
        <v>1.1</v>
      </c>
      <c r="D1685" s="12" t="n">
        <v>0.95</v>
      </c>
      <c r="E1685" s="12" t="n">
        <v>0.99</v>
      </c>
      <c r="F1685" s="12" t="n">
        <v>0.96</v>
      </c>
      <c r="G1685" s="12" t="n">
        <v>0.55</v>
      </c>
      <c r="H1685" s="9" t="n">
        <v>1</v>
      </c>
      <c r="I1685" s="10" t="inlineStr">
        <is>
          <t>1/2</t>
        </is>
      </c>
      <c r="J1685" s="12" t="n">
        <v>0.5</v>
      </c>
      <c r="K1685" t="e">
        <v>#N/A</v>
      </c>
      <c r="L1685" t="e">
        <v>#N/A</v>
      </c>
      <c r="M1685" t="e">
        <v>#N/A</v>
      </c>
    </row>
    <row r="1686">
      <c r="A1686" s="9" t="inlineStr">
        <is>
          <t>Shannon Huang</t>
        </is>
      </c>
      <c r="B1686" s="9" t="inlineStr">
        <is>
          <t>10/5/25 - 11/1/25</t>
        </is>
      </c>
      <c r="C1686" s="12" t="n">
        <v>1.0354</v>
      </c>
      <c r="D1686" s="12" t="n">
        <v>1.0691</v>
      </c>
      <c r="E1686" s="12" t="n">
        <v>1</v>
      </c>
      <c r="F1686" s="12" t="n">
        <v>0.91578947368421</v>
      </c>
      <c r="G1686" s="12" t="n">
        <v>0.444444444444444</v>
      </c>
      <c r="H1686" s="9" t="n">
        <v>10</v>
      </c>
      <c r="I1686" s="10" t="inlineStr">
        <is>
          <t>1/6</t>
        </is>
      </c>
      <c r="J1686" s="12" t="n">
        <v>0.17</v>
      </c>
      <c r="K1686" t="inlineStr">
        <is>
          <t>Distinguished</t>
        </is>
      </c>
      <c r="L1686" t="inlineStr">
        <is>
          <t>Professional</t>
        </is>
      </c>
      <c r="M1686" t="inlineStr">
        <is>
          <t>Ela Cross</t>
        </is>
      </c>
    </row>
    <row r="1687">
      <c r="A1687" s="9" t="inlineStr">
        <is>
          <t>Shannon Huang</t>
        </is>
      </c>
      <c r="B1687" s="9" t="inlineStr">
        <is>
          <t>10/5/25 - 11/1/25</t>
        </is>
      </c>
      <c r="C1687" s="12" t="n">
        <v>1.0354</v>
      </c>
      <c r="D1687" s="12" t="n">
        <v>1.0691</v>
      </c>
      <c r="E1687" s="12" t="n">
        <v>1</v>
      </c>
      <c r="F1687" s="12" t="n">
        <v>0.91578947368421</v>
      </c>
      <c r="G1687" s="12" t="n">
        <v>0.444444444444444</v>
      </c>
      <c r="H1687" s="9" t="n">
        <v>10</v>
      </c>
      <c r="I1687" s="10" t="inlineStr">
        <is>
          <t>1/6</t>
        </is>
      </c>
      <c r="J1687" s="12">
        <f>_xlfn.TEXTBEFORE(I1687, "/")/_xlfn.TEXTAFTER(I1687,"/")</f>
        <v/>
      </c>
      <c r="K1687" t="inlineStr">
        <is>
          <t>Distinguished</t>
        </is>
      </c>
      <c r="L1687" t="inlineStr">
        <is>
          <t>Professional</t>
        </is>
      </c>
      <c r="M1687" t="inlineStr">
        <is>
          <t>Ela Cross</t>
        </is>
      </c>
    </row>
    <row r="1688">
      <c r="A1688" s="9" t="inlineStr">
        <is>
          <t>Shannon Huang</t>
        </is>
      </c>
      <c r="B1688" s="9" t="inlineStr">
        <is>
          <t>11/2/25 - 11/29/25</t>
        </is>
      </c>
      <c r="C1688" s="12" t="n">
        <v>0.86</v>
      </c>
      <c r="D1688" s="12" t="n">
        <v>0.83</v>
      </c>
      <c r="E1688" s="12" t="n">
        <v>0.96</v>
      </c>
      <c r="F1688" s="12" t="n">
        <v>0.48</v>
      </c>
      <c r="G1688" s="12" t="n">
        <v>0.22</v>
      </c>
      <c r="H1688" s="9" t="n">
        <v>12</v>
      </c>
      <c r="I1688" s="13" t="inlineStr">
        <is>
          <t>0/1</t>
        </is>
      </c>
      <c r="J1688" s="12" t="n">
        <v>0</v>
      </c>
      <c r="K1688" t="inlineStr">
        <is>
          <t>Distinguished</t>
        </is>
      </c>
      <c r="L1688" t="inlineStr">
        <is>
          <t>Professional</t>
        </is>
      </c>
      <c r="M1688" t="inlineStr">
        <is>
          <t>Ela Cross</t>
        </is>
      </c>
    </row>
    <row r="1689">
      <c r="A1689" s="9" t="inlineStr">
        <is>
          <t>Shannon Huang</t>
        </is>
      </c>
      <c r="B1689" s="9" t="inlineStr">
        <is>
          <t>11/30/25 - 12/27/25</t>
        </is>
      </c>
      <c r="C1689" s="12" t="n">
        <v>1.02</v>
      </c>
      <c r="D1689" s="12" t="n">
        <v>1.12</v>
      </c>
      <c r="E1689" s="12" t="n">
        <v>0.99</v>
      </c>
      <c r="F1689" s="12" t="n">
        <v>0.78</v>
      </c>
      <c r="G1689" s="12" t="n">
        <v>0.38</v>
      </c>
      <c r="H1689" s="9" t="n">
        <v>12</v>
      </c>
      <c r="I1689" s="10" t="n">
        <v>0.2</v>
      </c>
      <c r="J1689" s="12">
        <f>1/5</f>
        <v/>
      </c>
      <c r="K1689" t="inlineStr">
        <is>
          <t>Distinguished</t>
        </is>
      </c>
      <c r="L1689" t="inlineStr">
        <is>
          <t>Professional</t>
        </is>
      </c>
      <c r="M1689" t="inlineStr">
        <is>
          <t>Ela Cross</t>
        </is>
      </c>
    </row>
    <row r="1690">
      <c r="A1690" s="9" t="inlineStr">
        <is>
          <t>Shannon Huang</t>
        </is>
      </c>
      <c r="B1690" s="9" t="inlineStr">
        <is>
          <t>12/28/25 - 1/25/26</t>
        </is>
      </c>
      <c r="C1690" s="12" t="n">
        <v>1.1285</v>
      </c>
      <c r="D1690" s="12" t="n">
        <v>1.102</v>
      </c>
      <c r="E1690" s="12" t="n">
        <v>1</v>
      </c>
      <c r="F1690" s="12" t="n">
        <v>0.990196078</v>
      </c>
      <c r="G1690" s="12" t="n">
        <v>0.391304348</v>
      </c>
      <c r="H1690" s="9" t="n">
        <v>15</v>
      </c>
      <c r="I1690" s="10" t="n">
        <v>0.25</v>
      </c>
      <c r="J1690" s="12">
        <f>I1690</f>
        <v/>
      </c>
      <c r="K1690" t="inlineStr">
        <is>
          <t>Distinguished</t>
        </is>
      </c>
      <c r="L1690" t="inlineStr">
        <is>
          <t>Professional</t>
        </is>
      </c>
      <c r="M1690" t="inlineStr">
        <is>
          <t>Ela Cross</t>
        </is>
      </c>
    </row>
    <row r="1691">
      <c r="A1691" s="9" t="inlineStr">
        <is>
          <t>Shannon Huang</t>
        </is>
      </c>
      <c r="B1691" s="9" t="inlineStr">
        <is>
          <t>5/18/25 - 6/14/25</t>
        </is>
      </c>
      <c r="C1691" s="12" t="n">
        <v>0.9</v>
      </c>
      <c r="D1691" s="12" t="n">
        <v>1.15</v>
      </c>
      <c r="E1691" s="12" t="n">
        <v>0.97</v>
      </c>
      <c r="F1691" s="12" t="n">
        <v>0.98</v>
      </c>
      <c r="G1691" s="12" t="n">
        <v>0.82</v>
      </c>
      <c r="H1691" s="9" t="n">
        <v>4</v>
      </c>
      <c r="I1691" s="10" t="inlineStr">
        <is>
          <t xml:space="preserve"> 5/7</t>
        </is>
      </c>
      <c r="J1691" s="12" t="n">
        <v>0.71</v>
      </c>
      <c r="K1691" t="inlineStr">
        <is>
          <t>Distinguished</t>
        </is>
      </c>
      <c r="L1691" t="inlineStr">
        <is>
          <t>Professional</t>
        </is>
      </c>
      <c r="M1691" t="inlineStr">
        <is>
          <t>Ela Cross</t>
        </is>
      </c>
    </row>
    <row r="1692">
      <c r="A1692" s="9" t="inlineStr">
        <is>
          <t>Shannon Huang</t>
        </is>
      </c>
      <c r="B1692" s="9" t="inlineStr">
        <is>
          <t>6/15/25 - 7/12/25</t>
        </is>
      </c>
      <c r="C1692" s="12" t="n">
        <v>0.59</v>
      </c>
      <c r="D1692" s="12" t="n">
        <v>1.06</v>
      </c>
      <c r="E1692" s="12" t="n">
        <v>1</v>
      </c>
      <c r="F1692" s="12" t="n">
        <v>0.76</v>
      </c>
      <c r="G1692" s="12" t="n">
        <v>0.52</v>
      </c>
      <c r="H1692" s="9" t="n">
        <v>1</v>
      </c>
      <c r="I1692" s="10" t="n">
        <v>0</v>
      </c>
      <c r="J1692" s="12">
        <f>I1692</f>
        <v/>
      </c>
      <c r="K1692" t="inlineStr">
        <is>
          <t>Distinguished</t>
        </is>
      </c>
      <c r="L1692" t="inlineStr">
        <is>
          <t>Professional</t>
        </is>
      </c>
      <c r="M1692" t="inlineStr">
        <is>
          <t>Ela Cross</t>
        </is>
      </c>
    </row>
    <row r="1693">
      <c r="A1693" s="9" t="inlineStr">
        <is>
          <t>Shannon Huang</t>
        </is>
      </c>
      <c r="B1693" s="9" t="inlineStr">
        <is>
          <t>7/13/25 - 8/10/25</t>
        </is>
      </c>
      <c r="C1693" s="12" t="n">
        <v>0.98</v>
      </c>
      <c r="D1693" s="12" t="n">
        <v>1.11</v>
      </c>
      <c r="E1693" s="12" t="n">
        <v>1</v>
      </c>
      <c r="F1693" s="12" t="n">
        <v>0.88</v>
      </c>
      <c r="G1693" s="12" t="n">
        <v>0.38</v>
      </c>
      <c r="H1693" s="9" t="n">
        <v>4</v>
      </c>
      <c r="I1693" s="10" t="inlineStr">
        <is>
          <t xml:space="preserve"> 4/9</t>
        </is>
      </c>
      <c r="J1693" s="12" t="n">
        <v>0.44</v>
      </c>
      <c r="K1693" t="inlineStr">
        <is>
          <t>Distinguished</t>
        </is>
      </c>
      <c r="L1693" t="inlineStr">
        <is>
          <t>Professional</t>
        </is>
      </c>
      <c r="M1693" t="inlineStr">
        <is>
          <t>Ela Cross</t>
        </is>
      </c>
    </row>
    <row r="1694">
      <c r="A1694" s="9" t="inlineStr">
        <is>
          <t>Shannon Huang</t>
        </is>
      </c>
      <c r="B1694" s="9" t="inlineStr">
        <is>
          <t>8/10/25 - 9/6/25</t>
        </is>
      </c>
      <c r="C1694" s="12" t="n">
        <v>1.02</v>
      </c>
      <c r="D1694" s="12" t="n">
        <v>1.13</v>
      </c>
      <c r="E1694" s="12" t="n">
        <v>1</v>
      </c>
      <c r="F1694" s="12" t="n">
        <v>0.9399999999999999</v>
      </c>
      <c r="G1694" s="12" t="n">
        <v>0.27</v>
      </c>
      <c r="H1694" s="9" t="n">
        <v>8</v>
      </c>
      <c r="I1694" s="10" t="inlineStr">
        <is>
          <t>1/5</t>
        </is>
      </c>
      <c r="J1694" s="12" t="n">
        <v>0.2</v>
      </c>
      <c r="K1694" t="inlineStr">
        <is>
          <t>Distinguished</t>
        </is>
      </c>
      <c r="L1694" t="inlineStr">
        <is>
          <t>Professional</t>
        </is>
      </c>
      <c r="M1694" t="inlineStr">
        <is>
          <t>Ela Cross</t>
        </is>
      </c>
    </row>
    <row r="1695">
      <c r="A1695" s="9" t="inlineStr">
        <is>
          <t>Shannon Huang</t>
        </is>
      </c>
      <c r="B1695" s="9" t="inlineStr">
        <is>
          <t>9/7/25 - 10/4/25</t>
        </is>
      </c>
      <c r="C1695" s="12" t="n">
        <v>1.04</v>
      </c>
      <c r="D1695" s="12" t="n">
        <v>1.08</v>
      </c>
      <c r="E1695" s="12" t="n">
        <v>0.98</v>
      </c>
      <c r="F1695" s="12" t="n">
        <v>0.36</v>
      </c>
      <c r="G1695" s="12" t="n">
        <v>0.39</v>
      </c>
      <c r="H1695" s="9" t="n">
        <v>7</v>
      </c>
      <c r="I1695" s="10" t="inlineStr">
        <is>
          <t>0/3</t>
        </is>
      </c>
      <c r="J1695" s="12" t="n">
        <v>0</v>
      </c>
      <c r="K1695" t="inlineStr">
        <is>
          <t>Distinguished</t>
        </is>
      </c>
      <c r="L1695" t="inlineStr">
        <is>
          <t>Professional</t>
        </is>
      </c>
      <c r="M1695" t="inlineStr">
        <is>
          <t>Ela Cross</t>
        </is>
      </c>
    </row>
    <row r="1696">
      <c r="A1696" s="9" t="inlineStr">
        <is>
          <t>Sharon Vincuilla</t>
        </is>
      </c>
      <c r="B1696" s="9" t="inlineStr">
        <is>
          <t>10/5/25 - 11/1/25</t>
        </is>
      </c>
      <c r="C1696" s="12" t="n">
        <v>1.2708</v>
      </c>
      <c r="D1696" s="12" t="n">
        <v>1.3125</v>
      </c>
      <c r="E1696" s="12" t="n">
        <v>0.966666666666666</v>
      </c>
      <c r="F1696" s="12" t="n">
        <v>1</v>
      </c>
      <c r="G1696" s="12" t="n">
        <v>1</v>
      </c>
      <c r="H1696" s="9" t="n">
        <v>7</v>
      </c>
      <c r="I1696" s="10" t="inlineStr">
        <is>
          <t>0/1</t>
        </is>
      </c>
      <c r="J1696" s="12" t="n">
        <v>0</v>
      </c>
      <c r="K1696" t="inlineStr">
        <is>
          <t>Distinguished</t>
        </is>
      </c>
      <c r="L1696" t="inlineStr">
        <is>
          <t>Adjunct</t>
        </is>
      </c>
      <c r="M1696" t="inlineStr">
        <is>
          <t>Annelies de Groot</t>
        </is>
      </c>
    </row>
    <row r="1697">
      <c r="A1697" s="9" t="inlineStr">
        <is>
          <t>Sharon Vincuilla</t>
        </is>
      </c>
      <c r="B1697" s="9" t="inlineStr">
        <is>
          <t>11/2/25 - 11/29/25</t>
        </is>
      </c>
      <c r="C1697" s="12" t="n">
        <v>1.33</v>
      </c>
      <c r="D1697" s="12" t="n">
        <v>1.38</v>
      </c>
      <c r="E1697" s="12" t="n">
        <v>0.98</v>
      </c>
      <c r="F1697" s="12" t="n">
        <v>1</v>
      </c>
      <c r="G1697" s="12" t="n">
        <v>1</v>
      </c>
      <c r="H1697" s="9" t="n">
        <v>5</v>
      </c>
      <c r="I1697" s="13" t="n"/>
      <c r="J1697" s="9" t="n"/>
      <c r="K1697" t="inlineStr">
        <is>
          <t>Distinguished</t>
        </is>
      </c>
      <c r="L1697" t="inlineStr">
        <is>
          <t>Adjunct</t>
        </is>
      </c>
      <c r="M1697" t="inlineStr">
        <is>
          <t>Annelies de Groot</t>
        </is>
      </c>
    </row>
    <row r="1698">
      <c r="A1698" s="9" t="inlineStr">
        <is>
          <t>Sharon Vincuilla</t>
        </is>
      </c>
      <c r="B1698" s="9" t="inlineStr">
        <is>
          <t>11/30/25 - 12/27/25</t>
        </is>
      </c>
      <c r="C1698" s="12" t="n">
        <v>0.9</v>
      </c>
      <c r="D1698" s="12" t="n">
        <v>1.08</v>
      </c>
      <c r="E1698" s="12" t="n">
        <v>1</v>
      </c>
      <c r="F1698" s="12" t="n">
        <v>1</v>
      </c>
      <c r="G1698" s="12" t="n">
        <v>1</v>
      </c>
      <c r="H1698" s="9" t="n">
        <v>8</v>
      </c>
      <c r="I1698" s="10" t="n"/>
      <c r="J1698" s="12" t="n"/>
      <c r="K1698" t="inlineStr">
        <is>
          <t>Distinguished</t>
        </is>
      </c>
      <c r="L1698" t="inlineStr">
        <is>
          <t>Adjunct</t>
        </is>
      </c>
      <c r="M1698" t="inlineStr">
        <is>
          <t>Annelies de Groot</t>
        </is>
      </c>
    </row>
    <row r="1699">
      <c r="A1699" s="9" t="inlineStr">
        <is>
          <t>Sharon Vincuilla</t>
        </is>
      </c>
      <c r="B1699" s="9" t="inlineStr">
        <is>
          <t>12/28/25 - 1/25/26</t>
        </is>
      </c>
      <c r="C1699" s="12" t="n">
        <v>0.9375</v>
      </c>
      <c r="D1699" s="12" t="n">
        <v>1.1563</v>
      </c>
      <c r="E1699" s="12" t="n">
        <v>1</v>
      </c>
      <c r="F1699" s="12" t="n">
        <v>1</v>
      </c>
      <c r="G1699" s="12" t="n">
        <v>1</v>
      </c>
      <c r="H1699" s="9" t="n">
        <v>4</v>
      </c>
      <c r="I1699" s="10" t="inlineStr">
        <is>
          <t>0/0</t>
        </is>
      </c>
      <c r="J1699" s="12" t="n">
        <v>0</v>
      </c>
      <c r="K1699" t="inlineStr">
        <is>
          <t>Distinguished</t>
        </is>
      </c>
      <c r="L1699" t="inlineStr">
        <is>
          <t>Adjunct</t>
        </is>
      </c>
      <c r="M1699" t="inlineStr">
        <is>
          <t>Annelies de Groot</t>
        </is>
      </c>
    </row>
    <row r="1700">
      <c r="A1700" s="9" t="inlineStr">
        <is>
          <t>Sharon Vincuilla</t>
        </is>
      </c>
      <c r="B1700" s="9" t="inlineStr">
        <is>
          <t>5/18/25 - 6/14/25</t>
        </is>
      </c>
      <c r="C1700" s="12" t="n">
        <v>1.02</v>
      </c>
      <c r="D1700" s="12" t="n">
        <v>1.36</v>
      </c>
      <c r="E1700" s="12" t="n">
        <v>1</v>
      </c>
      <c r="F1700" s="12" t="n">
        <v>1</v>
      </c>
      <c r="G1700" s="12" t="n">
        <v>1</v>
      </c>
      <c r="H1700" s="9" t="n">
        <v>9</v>
      </c>
      <c r="I1700" s="10" t="n">
        <v>0</v>
      </c>
      <c r="J1700" s="12">
        <f>I1700</f>
        <v/>
      </c>
      <c r="K1700" t="inlineStr">
        <is>
          <t>Distinguished</t>
        </is>
      </c>
      <c r="L1700" t="inlineStr">
        <is>
          <t>Adjunct</t>
        </is>
      </c>
      <c r="M1700" t="inlineStr">
        <is>
          <t>Annelies de Groot</t>
        </is>
      </c>
    </row>
    <row r="1701">
      <c r="A1701" s="9" t="inlineStr">
        <is>
          <t>Sharon Vincuilla</t>
        </is>
      </c>
      <c r="B1701" s="9" t="inlineStr">
        <is>
          <t>6/15/25 - 7/12/25</t>
        </is>
      </c>
      <c r="C1701" s="12" t="n">
        <v>1.08</v>
      </c>
      <c r="D1701" s="12" t="n">
        <v>1.4</v>
      </c>
      <c r="E1701" s="12" t="n">
        <v>0.97</v>
      </c>
      <c r="F1701" s="12" t="n">
        <v>1</v>
      </c>
      <c r="G1701" s="12" t="n">
        <v>1</v>
      </c>
      <c r="H1701" s="9" t="n">
        <v>5</v>
      </c>
      <c r="I1701" s="10" t="n">
        <v>1</v>
      </c>
      <c r="J1701" s="12">
        <f>I1701</f>
        <v/>
      </c>
      <c r="K1701" t="inlineStr">
        <is>
          <t>Distinguished</t>
        </is>
      </c>
      <c r="L1701" t="inlineStr">
        <is>
          <t>Adjunct</t>
        </is>
      </c>
      <c r="M1701" t="inlineStr">
        <is>
          <t>Annelies de Groot</t>
        </is>
      </c>
    </row>
    <row r="1702">
      <c r="A1702" s="9" t="inlineStr">
        <is>
          <t>Sharon Vincuilla</t>
        </is>
      </c>
      <c r="B1702" s="9" t="inlineStr">
        <is>
          <t>7/13/25 - 8/10/25</t>
        </is>
      </c>
      <c r="C1702" s="12" t="n">
        <v>0.86</v>
      </c>
      <c r="D1702" s="12" t="n">
        <v>1.16</v>
      </c>
      <c r="E1702" s="12" t="n">
        <v>1</v>
      </c>
      <c r="F1702" s="12" t="n">
        <v>1</v>
      </c>
      <c r="G1702" s="12" t="n">
        <v>0.83</v>
      </c>
      <c r="H1702" s="9" t="n">
        <v>9</v>
      </c>
      <c r="J1702" s="9" t="n"/>
      <c r="K1702" t="inlineStr">
        <is>
          <t>Distinguished</t>
        </is>
      </c>
      <c r="L1702" t="inlineStr">
        <is>
          <t>Adjunct</t>
        </is>
      </c>
      <c r="M1702" t="inlineStr">
        <is>
          <t>Annelies de Groot</t>
        </is>
      </c>
    </row>
    <row r="1703">
      <c r="A1703" s="9" t="inlineStr">
        <is>
          <t>Sharon Vincuilla</t>
        </is>
      </c>
      <c r="B1703" s="9" t="inlineStr">
        <is>
          <t>8/10/25 - 9/6/25</t>
        </is>
      </c>
      <c r="C1703" s="12" t="n">
        <v>1.29</v>
      </c>
      <c r="D1703" s="12" t="n">
        <v>1.47</v>
      </c>
      <c r="E1703" s="12" t="n">
        <v>1</v>
      </c>
      <c r="F1703" s="12" t="n">
        <v>1</v>
      </c>
      <c r="G1703" s="12" t="n">
        <v>0.92</v>
      </c>
      <c r="H1703" s="9" t="n">
        <v>8</v>
      </c>
      <c r="I1703" s="11" t="n"/>
      <c r="J1703" s="9" t="n"/>
      <c r="K1703" t="inlineStr">
        <is>
          <t>Distinguished</t>
        </is>
      </c>
      <c r="L1703" t="inlineStr">
        <is>
          <t>Adjunct</t>
        </is>
      </c>
      <c r="M1703" t="inlineStr">
        <is>
          <t>Annelies de Groot</t>
        </is>
      </c>
    </row>
    <row r="1704">
      <c r="A1704" s="9" t="inlineStr">
        <is>
          <t>Sharon Vincuilla</t>
        </is>
      </c>
      <c r="B1704" s="9" t="inlineStr">
        <is>
          <t>9/7/25 - 10/4/25</t>
        </is>
      </c>
      <c r="C1704" s="12" t="n">
        <v>1.38</v>
      </c>
      <c r="D1704" s="12" t="n">
        <v>1.52</v>
      </c>
      <c r="E1704" s="12" t="n">
        <v>0.97</v>
      </c>
      <c r="F1704" s="12" t="n">
        <v>1</v>
      </c>
      <c r="G1704" s="12" t="n">
        <v>1</v>
      </c>
      <c r="H1704" s="9" t="n">
        <v>5</v>
      </c>
      <c r="I1704" s="11" t="n"/>
      <c r="J1704" s="9" t="n"/>
      <c r="K1704" t="inlineStr">
        <is>
          <t>Distinguished</t>
        </is>
      </c>
      <c r="L1704" t="inlineStr">
        <is>
          <t>Adjunct</t>
        </is>
      </c>
      <c r="M1704" t="inlineStr">
        <is>
          <t>Annelies de Groot</t>
        </is>
      </c>
    </row>
    <row r="1705">
      <c r="A1705" s="9" t="inlineStr">
        <is>
          <t>Shaun Leonard</t>
        </is>
      </c>
      <c r="B1705" s="9" t="inlineStr">
        <is>
          <t>10/5/25 - 11/1/25</t>
        </is>
      </c>
      <c r="C1705" s="12" t="n">
        <v>0.8021</v>
      </c>
      <c r="D1705" s="12" t="n">
        <v>1.0664</v>
      </c>
      <c r="E1705" s="12" t="n">
        <v>0.977272727272727</v>
      </c>
      <c r="F1705" s="12" t="n">
        <v>0.9428571428571419</v>
      </c>
      <c r="G1705" s="12" t="n">
        <v>0.75</v>
      </c>
      <c r="H1705" s="9" t="n">
        <v>2</v>
      </c>
      <c r="I1705" s="10" t="inlineStr">
        <is>
          <t>1/1</t>
        </is>
      </c>
      <c r="J1705" s="12" t="n">
        <v>1</v>
      </c>
      <c r="K1705" t="inlineStr">
        <is>
          <t>Distinguished</t>
        </is>
      </c>
      <c r="L1705" t="inlineStr">
        <is>
          <t>Adjunct</t>
        </is>
      </c>
      <c r="M1705" t="inlineStr">
        <is>
          <t>Kristin Haase-Alvey</t>
        </is>
      </c>
    </row>
    <row r="1706">
      <c r="A1706" s="9" t="inlineStr">
        <is>
          <t>Shaun Leonard</t>
        </is>
      </c>
      <c r="B1706" s="9" t="inlineStr">
        <is>
          <t>11/2/25 - 11/29/25</t>
        </is>
      </c>
      <c r="C1706" s="12" t="n">
        <v>0.86</v>
      </c>
      <c r="D1706" s="12" t="n">
        <v>0.96</v>
      </c>
      <c r="E1706" s="12" t="n">
        <v>0.93</v>
      </c>
      <c r="F1706" s="12" t="n">
        <v>0.83</v>
      </c>
      <c r="G1706" s="12" t="n">
        <v>1</v>
      </c>
      <c r="H1706" s="9" t="n">
        <v>11</v>
      </c>
      <c r="I1706" s="13" t="n">
        <v>45720</v>
      </c>
      <c r="J1706" s="14" t="n">
        <v>0.75</v>
      </c>
      <c r="K1706" t="inlineStr">
        <is>
          <t>Distinguished</t>
        </is>
      </c>
      <c r="L1706" t="inlineStr">
        <is>
          <t>Adjunct</t>
        </is>
      </c>
      <c r="M1706" t="inlineStr">
        <is>
          <t>Kristin Haase-Alvey</t>
        </is>
      </c>
    </row>
    <row r="1707">
      <c r="A1707" s="9" t="inlineStr">
        <is>
          <t>Shaun Leonard</t>
        </is>
      </c>
      <c r="B1707" s="9" t="inlineStr">
        <is>
          <t>11/30/25 - 12/27/25</t>
        </is>
      </c>
      <c r="C1707" s="12" t="n">
        <v>1.07</v>
      </c>
      <c r="D1707" s="12" t="n">
        <v>1.1</v>
      </c>
      <c r="E1707" s="12" t="n">
        <v>0.91</v>
      </c>
      <c r="F1707" s="12" t="n">
        <v>0.76</v>
      </c>
      <c r="G1707" s="12" t="n">
        <v>1</v>
      </c>
      <c r="H1707" s="9" t="n">
        <v>8</v>
      </c>
      <c r="I1707" s="10" t="n">
        <v>0.5</v>
      </c>
      <c r="J1707" s="12" t="n">
        <v>0.5</v>
      </c>
      <c r="K1707" t="inlineStr">
        <is>
          <t>Distinguished</t>
        </is>
      </c>
      <c r="L1707" t="inlineStr">
        <is>
          <t>Adjunct</t>
        </is>
      </c>
      <c r="M1707" t="inlineStr">
        <is>
          <t>Kristin Haase-Alvey</t>
        </is>
      </c>
    </row>
    <row r="1708">
      <c r="A1708" s="9" t="inlineStr">
        <is>
          <t>Shaun Leonard</t>
        </is>
      </c>
      <c r="B1708" s="9" t="inlineStr">
        <is>
          <t>12/28/25 - 1/25/26</t>
        </is>
      </c>
      <c r="C1708" s="12" t="n">
        <v>1.2292</v>
      </c>
      <c r="D1708" s="12" t="n">
        <v>1.2266</v>
      </c>
      <c r="E1708" s="12" t="n">
        <v>0.9433962259999999</v>
      </c>
      <c r="F1708" s="12" t="n">
        <v>0.88372093</v>
      </c>
      <c r="G1708" s="12" t="n">
        <v>0.916666667</v>
      </c>
      <c r="H1708" s="9" t="n">
        <v>9</v>
      </c>
      <c r="I1708" s="10" t="n">
        <v>0.6666666666666666</v>
      </c>
      <c r="J1708" s="12">
        <f>I1708</f>
        <v/>
      </c>
      <c r="K1708" t="inlineStr">
        <is>
          <t>Distinguished</t>
        </is>
      </c>
      <c r="L1708" t="inlineStr">
        <is>
          <t>Adjunct</t>
        </is>
      </c>
      <c r="M1708" t="inlineStr">
        <is>
          <t>Kristin Haase-Alvey</t>
        </is>
      </c>
    </row>
    <row r="1709">
      <c r="A1709" s="9" t="inlineStr">
        <is>
          <t>Shaun Leonard</t>
        </is>
      </c>
      <c r="B1709" s="9" t="inlineStr">
        <is>
          <t>5/18/25 - 6/14/25</t>
        </is>
      </c>
      <c r="C1709" s="12" t="n">
        <v>0.3</v>
      </c>
      <c r="D1709" s="12" t="n">
        <v>0.95</v>
      </c>
      <c r="E1709" s="12" t="n">
        <v>0.85</v>
      </c>
      <c r="F1709" s="12" t="n">
        <v>0.67</v>
      </c>
      <c r="G1709" s="12" t="n">
        <v>1</v>
      </c>
      <c r="H1709" s="9" t="n">
        <v>4</v>
      </c>
      <c r="J1709" s="9" t="n"/>
      <c r="K1709" t="inlineStr">
        <is>
          <t>Distinguished</t>
        </is>
      </c>
      <c r="L1709" t="inlineStr">
        <is>
          <t>Adjunct</t>
        </is>
      </c>
      <c r="M1709" t="inlineStr">
        <is>
          <t>Kristin Haase-Alvey</t>
        </is>
      </c>
    </row>
    <row r="1710">
      <c r="A1710" s="9" t="inlineStr">
        <is>
          <t>Shaun Leonard</t>
        </is>
      </c>
      <c r="B1710" s="9" t="inlineStr">
        <is>
          <t>6/15/25 - 7/12/25</t>
        </is>
      </c>
      <c r="C1710" s="12" t="n">
        <v>0.31</v>
      </c>
      <c r="D1710" s="12" t="n">
        <v>1.04</v>
      </c>
      <c r="E1710" s="12" t="n">
        <v>0.95</v>
      </c>
      <c r="F1710" s="12" t="n">
        <v>0.6899999999999999</v>
      </c>
      <c r="G1710" s="12" t="n">
        <v>1</v>
      </c>
      <c r="H1710" s="9" t="n">
        <v>3</v>
      </c>
      <c r="J1710" s="9" t="n"/>
      <c r="K1710" t="inlineStr">
        <is>
          <t>Distinguished</t>
        </is>
      </c>
      <c r="L1710" t="inlineStr">
        <is>
          <t>Adjunct</t>
        </is>
      </c>
      <c r="M1710" t="inlineStr">
        <is>
          <t>Kristin Haase-Alvey</t>
        </is>
      </c>
    </row>
    <row r="1711">
      <c r="A1711" s="9" t="inlineStr">
        <is>
          <t>Shaun Leonard</t>
        </is>
      </c>
      <c r="B1711" s="9" t="inlineStr">
        <is>
          <t>7/13/25 - 8/10/25</t>
        </is>
      </c>
      <c r="C1711" s="12" t="n">
        <v>0.29</v>
      </c>
      <c r="D1711" s="12" t="n">
        <v>0.71</v>
      </c>
      <c r="E1711" s="12" t="n">
        <v>0.6899999999999999</v>
      </c>
      <c r="F1711" s="12" t="n">
        <v>1</v>
      </c>
      <c r="G1711" s="12" t="n">
        <v>1</v>
      </c>
      <c r="H1711" s="9" t="n">
        <v>1</v>
      </c>
      <c r="I1711" s="10" t="n">
        <v>1</v>
      </c>
      <c r="J1711" s="12">
        <f>I1711</f>
        <v/>
      </c>
      <c r="K1711" t="inlineStr">
        <is>
          <t>Distinguished</t>
        </is>
      </c>
      <c r="L1711" t="inlineStr">
        <is>
          <t>Adjunct</t>
        </is>
      </c>
      <c r="M1711" t="inlineStr">
        <is>
          <t>Kristin Haase-Alvey</t>
        </is>
      </c>
    </row>
    <row r="1712">
      <c r="A1712" s="9" t="inlineStr">
        <is>
          <t>Shaun Leonard</t>
        </is>
      </c>
      <c r="B1712" s="9" t="inlineStr">
        <is>
          <t>8/10/25 - 9/6/25</t>
        </is>
      </c>
      <c r="C1712" s="12" t="n">
        <v>0.33</v>
      </c>
      <c r="D1712" s="12" t="n">
        <v>0.78</v>
      </c>
      <c r="E1712" s="12" t="n">
        <v>0.79</v>
      </c>
      <c r="F1712" s="12" t="n">
        <v>0.82</v>
      </c>
      <c r="G1712" s="12" t="n">
        <v>1</v>
      </c>
      <c r="H1712" s="9" t="n">
        <v>3</v>
      </c>
      <c r="I1712" s="10" t="inlineStr">
        <is>
          <t>1/1</t>
        </is>
      </c>
      <c r="J1712" s="12" t="n">
        <v>1</v>
      </c>
      <c r="K1712" t="inlineStr">
        <is>
          <t>Distinguished</t>
        </is>
      </c>
      <c r="L1712" t="inlineStr">
        <is>
          <t>Adjunct</t>
        </is>
      </c>
      <c r="M1712" t="inlineStr">
        <is>
          <t>Kristin Haase-Alvey</t>
        </is>
      </c>
    </row>
    <row r="1713">
      <c r="A1713" s="9" t="inlineStr">
        <is>
          <t>Shaun Leonard</t>
        </is>
      </c>
      <c r="B1713" s="9" t="inlineStr">
        <is>
          <t>9/7/25 - 10/4/25</t>
        </is>
      </c>
      <c r="C1713" s="12" t="n">
        <v>0.5</v>
      </c>
      <c r="D1713" s="12" t="n">
        <v>1.07</v>
      </c>
      <c r="E1713" s="12" t="n">
        <v>0.96</v>
      </c>
      <c r="F1713" s="12" t="n">
        <v>0.76</v>
      </c>
      <c r="G1713" s="12" t="n">
        <v>1</v>
      </c>
      <c r="H1713" s="9" t="n">
        <v>3</v>
      </c>
      <c r="I1713" s="10" t="inlineStr">
        <is>
          <t>0/1</t>
        </is>
      </c>
      <c r="J1713" s="12" t="n">
        <v>0</v>
      </c>
      <c r="K1713" t="inlineStr">
        <is>
          <t>Distinguished</t>
        </is>
      </c>
      <c r="L1713" t="inlineStr">
        <is>
          <t>Adjunct</t>
        </is>
      </c>
      <c r="M1713" t="inlineStr">
        <is>
          <t>Kristin Haase-Alvey</t>
        </is>
      </c>
    </row>
    <row r="1714">
      <c r="A1714" s="9" t="inlineStr">
        <is>
          <t>Shaun O'Neil</t>
        </is>
      </c>
      <c r="B1714" s="9" t="inlineStr">
        <is>
          <t>10/5/25 - 11/1/25</t>
        </is>
      </c>
      <c r="C1714" s="12" t="n">
        <v>0.6083</v>
      </c>
      <c r="D1714" s="12" t="n">
        <v>1.0263</v>
      </c>
      <c r="E1714" s="12" t="n">
        <v>0.971830985915492</v>
      </c>
      <c r="F1714" s="12" t="n">
        <v>0.979591836734693</v>
      </c>
      <c r="G1714" s="12" t="n">
        <v>0.444444444444444</v>
      </c>
      <c r="H1714" s="9" t="n">
        <v>3</v>
      </c>
      <c r="I1714" s="10" t="inlineStr">
        <is>
          <t>0/3</t>
        </is>
      </c>
      <c r="J1714" s="12" t="n">
        <v>0</v>
      </c>
      <c r="K1714" t="e">
        <v>#N/A</v>
      </c>
      <c r="L1714" t="e">
        <v>#N/A</v>
      </c>
      <c r="M1714" t="e">
        <v>#N/A</v>
      </c>
    </row>
    <row r="1715">
      <c r="A1715" s="9" t="inlineStr">
        <is>
          <t>Shaun O'Neil</t>
        </is>
      </c>
      <c r="B1715" s="9" t="inlineStr">
        <is>
          <t>11/2/25 - 11/29/25</t>
        </is>
      </c>
      <c r="C1715" s="12" t="n">
        <v>0.42</v>
      </c>
      <c r="D1715" s="12" t="n">
        <v>0.7</v>
      </c>
      <c r="E1715" s="12" t="n">
        <v>0.96</v>
      </c>
      <c r="F1715" s="12" t="n">
        <v>0.97</v>
      </c>
      <c r="G1715" s="12" t="n">
        <v>0.92</v>
      </c>
      <c r="H1715" s="9" t="n">
        <v>1</v>
      </c>
      <c r="I1715" s="13" t="inlineStr">
        <is>
          <t>0/1</t>
        </is>
      </c>
      <c r="J1715" s="12" t="n">
        <v>0</v>
      </c>
      <c r="K1715" t="e">
        <v>#N/A</v>
      </c>
      <c r="L1715" t="e">
        <v>#N/A</v>
      </c>
      <c r="M1715" t="e">
        <v>#N/A</v>
      </c>
    </row>
    <row r="1716">
      <c r="A1716" s="9" t="inlineStr">
        <is>
          <t>Shaun O'Neil</t>
        </is>
      </c>
      <c r="B1716" s="9" t="inlineStr">
        <is>
          <t>11/30/25 - 12/27/25</t>
        </is>
      </c>
      <c r="C1716" s="12" t="n">
        <v>0.32</v>
      </c>
      <c r="D1716" s="12" t="n">
        <v>0.83</v>
      </c>
      <c r="E1716" s="12" t="n">
        <v>0.97</v>
      </c>
      <c r="F1716" s="12" t="n">
        <v>0.58</v>
      </c>
      <c r="G1716" s="12" t="n">
        <v>0.71</v>
      </c>
      <c r="H1716" s="9" t="n">
        <v>0</v>
      </c>
      <c r="I1716" s="10" t="inlineStr">
        <is>
          <t>0/1</t>
        </is>
      </c>
      <c r="J1716" s="12" t="n">
        <v>0</v>
      </c>
      <c r="K1716" t="e">
        <v>#N/A</v>
      </c>
      <c r="L1716" t="e">
        <v>#N/A</v>
      </c>
      <c r="M1716" t="e">
        <v>#N/A</v>
      </c>
    </row>
    <row r="1717">
      <c r="A1717" s="9" t="inlineStr">
        <is>
          <t>Shaun O'Neil</t>
        </is>
      </c>
      <c r="B1717" s="9" t="inlineStr">
        <is>
          <t>12/28/25 - 1/25/26</t>
        </is>
      </c>
      <c r="C1717" s="12" t="n">
        <v>0.3625</v>
      </c>
      <c r="D1717" s="12" t="n">
        <v>0.926</v>
      </c>
      <c r="E1717" s="12" t="n">
        <v>0.9523809519999999</v>
      </c>
      <c r="F1717" s="12" t="n">
        <v>0.965517241</v>
      </c>
      <c r="G1717" s="12" t="n">
        <v>0.375</v>
      </c>
      <c r="H1717" s="9" t="n">
        <v>0</v>
      </c>
      <c r="I1717" s="10" t="inlineStr">
        <is>
          <t>0/5</t>
        </is>
      </c>
      <c r="J1717" s="12" t="n">
        <v>0</v>
      </c>
      <c r="K1717" t="e">
        <v>#N/A</v>
      </c>
      <c r="L1717" t="e">
        <v>#N/A</v>
      </c>
      <c r="M1717" t="e">
        <v>#N/A</v>
      </c>
    </row>
    <row r="1718">
      <c r="A1718" s="9" t="inlineStr">
        <is>
          <t>Shaun O'Neil</t>
        </is>
      </c>
      <c r="B1718" s="9" t="inlineStr">
        <is>
          <t>5/18/25 - 6/14/25</t>
        </is>
      </c>
      <c r="C1718" s="12" t="n">
        <v>0.61</v>
      </c>
      <c r="D1718" s="12" t="n">
        <v>0.98</v>
      </c>
      <c r="E1718" s="12" t="n">
        <v>0.93</v>
      </c>
      <c r="F1718" s="12" t="n">
        <v>0.91</v>
      </c>
      <c r="G1718" s="12" t="n">
        <v>0.7</v>
      </c>
      <c r="H1718" s="9" t="n">
        <v>3</v>
      </c>
      <c r="I1718" s="10" t="n">
        <v>0</v>
      </c>
      <c r="J1718" s="12">
        <f>I1718</f>
        <v/>
      </c>
      <c r="K1718" t="e">
        <v>#N/A</v>
      </c>
      <c r="L1718" t="e">
        <v>#N/A</v>
      </c>
      <c r="M1718" t="e">
        <v>#N/A</v>
      </c>
    </row>
    <row r="1719">
      <c r="A1719" s="9" t="inlineStr">
        <is>
          <t>Shaun O'Neil</t>
        </is>
      </c>
      <c r="B1719" s="9" t="inlineStr">
        <is>
          <t>6/15/25 - 7/12/25</t>
        </is>
      </c>
      <c r="C1719" s="12" t="n">
        <v>0.53</v>
      </c>
      <c r="D1719" s="12" t="n">
        <v>1</v>
      </c>
      <c r="E1719" s="12" t="n">
        <v>0.91</v>
      </c>
      <c r="F1719" s="12" t="n">
        <v>0.97</v>
      </c>
      <c r="G1719" s="12" t="n">
        <v>0.57</v>
      </c>
      <c r="H1719" s="9" t="n">
        <v>3</v>
      </c>
      <c r="I1719" s="10" t="n">
        <v>0</v>
      </c>
      <c r="J1719" s="12">
        <f>I1719</f>
        <v/>
      </c>
      <c r="K1719" t="e">
        <v>#N/A</v>
      </c>
      <c r="L1719" t="e">
        <v>#N/A</v>
      </c>
      <c r="M1719" t="e">
        <v>#N/A</v>
      </c>
    </row>
    <row r="1720">
      <c r="A1720" s="9" t="inlineStr">
        <is>
          <t>Shaun O'Neil</t>
        </is>
      </c>
      <c r="B1720" s="9" t="inlineStr">
        <is>
          <t>7/13/25 - 8/10/25</t>
        </is>
      </c>
      <c r="C1720" s="12" t="n">
        <v>0.67</v>
      </c>
      <c r="D1720" s="12" t="n">
        <v>1</v>
      </c>
      <c r="E1720" s="12" t="n">
        <v>0.91</v>
      </c>
      <c r="F1720" s="12" t="n">
        <v>0.95</v>
      </c>
      <c r="G1720" s="12" t="n">
        <v>0.86</v>
      </c>
      <c r="H1720" s="9" t="n">
        <v>1</v>
      </c>
      <c r="I1720" s="10" t="n">
        <v>0</v>
      </c>
      <c r="J1720" s="12">
        <f>I1720</f>
        <v/>
      </c>
      <c r="K1720" t="e">
        <v>#N/A</v>
      </c>
      <c r="L1720" t="e">
        <v>#N/A</v>
      </c>
      <c r="M1720" t="e">
        <v>#N/A</v>
      </c>
    </row>
    <row r="1721">
      <c r="A1721" s="9" t="inlineStr">
        <is>
          <t>Shaun O'Neil</t>
        </is>
      </c>
      <c r="B1721" s="9" t="inlineStr">
        <is>
          <t>8/10/25 - 9/6/25</t>
        </is>
      </c>
      <c r="C1721" s="12" t="n">
        <v>0.73</v>
      </c>
      <c r="D1721" s="12" t="n">
        <v>1</v>
      </c>
      <c r="E1721" s="12" t="n">
        <v>0.87</v>
      </c>
      <c r="F1721" s="12" t="n">
        <v>0.95</v>
      </c>
      <c r="G1721" s="12" t="n">
        <v>0.88</v>
      </c>
      <c r="H1721" s="9" t="n">
        <v>3</v>
      </c>
      <c r="I1721" s="10" t="inlineStr">
        <is>
          <t>0/1</t>
        </is>
      </c>
      <c r="J1721" s="12" t="n">
        <v>0</v>
      </c>
      <c r="K1721" t="e">
        <v>#N/A</v>
      </c>
      <c r="L1721" t="e">
        <v>#N/A</v>
      </c>
      <c r="M1721" t="e">
        <v>#N/A</v>
      </c>
    </row>
    <row r="1722">
      <c r="A1722" s="9" t="inlineStr">
        <is>
          <t>Shaun O'Neil</t>
        </is>
      </c>
      <c r="B1722" s="9" t="inlineStr">
        <is>
          <t>9/7/25 - 10/4/25</t>
        </is>
      </c>
      <c r="C1722" s="12" t="n">
        <v>0.64</v>
      </c>
      <c r="D1722" s="12" t="n">
        <v>1.01</v>
      </c>
      <c r="E1722" s="12" t="n">
        <v>0.9399999999999999</v>
      </c>
      <c r="F1722" s="12" t="n">
        <v>0.98</v>
      </c>
      <c r="G1722" s="12" t="n">
        <v>1</v>
      </c>
      <c r="H1722" s="9" t="n">
        <v>2</v>
      </c>
      <c r="I1722" s="10" t="inlineStr">
        <is>
          <t>0/2</t>
        </is>
      </c>
      <c r="J1722" s="12" t="n">
        <v>0</v>
      </c>
      <c r="K1722" t="e">
        <v>#N/A</v>
      </c>
      <c r="L1722" t="e">
        <v>#N/A</v>
      </c>
      <c r="M1722" t="e">
        <v>#N/A</v>
      </c>
    </row>
    <row r="1723">
      <c r="A1723" s="9" t="inlineStr">
        <is>
          <t>Shawn Kane</t>
        </is>
      </c>
      <c r="B1723" s="9" t="inlineStr">
        <is>
          <t>10/5/25 - 11/1/25</t>
        </is>
      </c>
      <c r="C1723" s="12" t="n">
        <v>1.1031</v>
      </c>
      <c r="D1723" s="12" t="n">
        <v>1.27859999999999</v>
      </c>
      <c r="E1723" s="12" t="n">
        <v>1</v>
      </c>
      <c r="F1723" s="12" t="n">
        <v>0.947368421052631</v>
      </c>
      <c r="G1723" s="12" t="n">
        <v>0.875</v>
      </c>
      <c r="H1723" s="9" t="n">
        <v>2</v>
      </c>
      <c r="I1723" s="10" t="n"/>
      <c r="J1723" s="12" t="n"/>
      <c r="K1723" t="inlineStr">
        <is>
          <t>Premium</t>
        </is>
      </c>
      <c r="L1723" t="inlineStr">
        <is>
          <t>Adjunct</t>
        </is>
      </c>
      <c r="M1723" t="inlineStr">
        <is>
          <t>Ela Cross</t>
        </is>
      </c>
    </row>
    <row r="1724">
      <c r="A1724" s="9" t="inlineStr">
        <is>
          <t>Shawn Kane</t>
        </is>
      </c>
      <c r="B1724" s="9" t="inlineStr">
        <is>
          <t>10/5/25 - 11/1/25</t>
        </is>
      </c>
      <c r="C1724" s="12" t="n">
        <v>1.1031</v>
      </c>
      <c r="D1724" s="12" t="n">
        <v>1.27859999999999</v>
      </c>
      <c r="E1724" s="12" t="n">
        <v>1</v>
      </c>
      <c r="F1724" s="12" t="n">
        <v>0.947368421052631</v>
      </c>
      <c r="G1724" s="12" t="n">
        <v>0.875</v>
      </c>
      <c r="H1724" s="9" t="n">
        <v>2</v>
      </c>
      <c r="J1724" s="9" t="n"/>
      <c r="K1724" t="inlineStr">
        <is>
          <t>Premium</t>
        </is>
      </c>
      <c r="L1724" t="inlineStr">
        <is>
          <t>Adjunct</t>
        </is>
      </c>
      <c r="M1724" t="inlineStr">
        <is>
          <t>Ela Cross</t>
        </is>
      </c>
    </row>
    <row r="1725">
      <c r="A1725" s="9" t="inlineStr">
        <is>
          <t>Shawn Kane</t>
        </is>
      </c>
      <c r="B1725" s="9" t="inlineStr">
        <is>
          <t>11/2/25 - 11/29/25</t>
        </is>
      </c>
      <c r="C1725" s="12" t="n">
        <v>0.79</v>
      </c>
      <c r="D1725" s="12" t="n">
        <v>1.2</v>
      </c>
      <c r="E1725" s="12" t="n">
        <v>1</v>
      </c>
      <c r="F1725" s="12" t="n">
        <v>0.88</v>
      </c>
      <c r="G1725" s="12" t="n">
        <v>0.7</v>
      </c>
      <c r="H1725" s="9" t="n">
        <v>3</v>
      </c>
      <c r="I1725" s="13" t="inlineStr">
        <is>
          <t>0/2</t>
        </is>
      </c>
      <c r="J1725" s="12" t="n">
        <v>0</v>
      </c>
      <c r="K1725" t="inlineStr">
        <is>
          <t>Premium</t>
        </is>
      </c>
      <c r="L1725" t="inlineStr">
        <is>
          <t>Adjunct</t>
        </is>
      </c>
      <c r="M1725" t="inlineStr">
        <is>
          <t>Ela Cross</t>
        </is>
      </c>
    </row>
    <row r="1726">
      <c r="A1726" s="9" t="inlineStr">
        <is>
          <t>Shawn Kane</t>
        </is>
      </c>
      <c r="B1726" s="9" t="inlineStr">
        <is>
          <t>11/30/25 - 12/27/25</t>
        </is>
      </c>
      <c r="C1726" s="12" t="n">
        <v>0.64</v>
      </c>
      <c r="D1726" s="12" t="n">
        <v>1.32</v>
      </c>
      <c r="E1726" s="12" t="n">
        <v>1</v>
      </c>
      <c r="F1726" s="12" t="n">
        <v>1</v>
      </c>
      <c r="G1726" s="12" t="n">
        <v>0.82</v>
      </c>
      <c r="H1726" s="9" t="n">
        <v>1</v>
      </c>
      <c r="I1726" s="10" t="n"/>
      <c r="J1726" s="12" t="n"/>
      <c r="K1726" t="inlineStr">
        <is>
          <t>Premium</t>
        </is>
      </c>
      <c r="L1726" t="inlineStr">
        <is>
          <t>Adjunct</t>
        </is>
      </c>
      <c r="M1726" t="inlineStr">
        <is>
          <t>Ela Cross</t>
        </is>
      </c>
    </row>
    <row r="1727">
      <c r="A1727" s="9" t="inlineStr">
        <is>
          <t>Shawn Kane</t>
        </is>
      </c>
      <c r="B1727" s="9" t="inlineStr">
        <is>
          <t>12/28/25 - 1/25/26</t>
        </is>
      </c>
      <c r="C1727" s="12" t="n">
        <v>0.7</v>
      </c>
      <c r="D1727" s="12" t="n">
        <v>1.1979</v>
      </c>
      <c r="E1727" s="12" t="n">
        <v>1</v>
      </c>
      <c r="F1727" s="12" t="n">
        <v>0.958333333</v>
      </c>
      <c r="G1727" s="12" t="n">
        <v>0.75</v>
      </c>
      <c r="H1727" s="9" t="n">
        <v>3</v>
      </c>
      <c r="I1727" s="10" t="n">
        <v>1</v>
      </c>
      <c r="J1727" s="12">
        <f>I1727</f>
        <v/>
      </c>
      <c r="K1727" t="inlineStr">
        <is>
          <t>Premium</t>
        </is>
      </c>
      <c r="L1727" t="inlineStr">
        <is>
          <t>Adjunct</t>
        </is>
      </c>
      <c r="M1727" t="inlineStr">
        <is>
          <t>Ela Cross</t>
        </is>
      </c>
    </row>
    <row r="1728">
      <c r="A1728" s="9" t="inlineStr">
        <is>
          <t>Shawn Kane</t>
        </is>
      </c>
      <c r="B1728" s="9" t="inlineStr">
        <is>
          <t>5/18/25 - 6/14/25</t>
        </is>
      </c>
      <c r="C1728" s="12" t="n">
        <v>1.05</v>
      </c>
      <c r="D1728" s="12" t="n">
        <v>1.53</v>
      </c>
      <c r="E1728" s="12" t="n">
        <v>1</v>
      </c>
      <c r="F1728" s="12" t="n">
        <v>0.9399999999999999</v>
      </c>
      <c r="G1728" s="12" t="n">
        <v>1</v>
      </c>
      <c r="H1728" s="9" t="n">
        <v>2</v>
      </c>
      <c r="I1728" s="10" t="n">
        <v>1</v>
      </c>
      <c r="J1728" s="12">
        <f>I1728</f>
        <v/>
      </c>
      <c r="K1728" t="inlineStr">
        <is>
          <t>Premium</t>
        </is>
      </c>
      <c r="L1728" t="inlineStr">
        <is>
          <t>Adjunct</t>
        </is>
      </c>
      <c r="M1728" t="inlineStr">
        <is>
          <t>Ela Cross</t>
        </is>
      </c>
    </row>
    <row r="1729">
      <c r="A1729" s="9" t="inlineStr">
        <is>
          <t>Shawn Kane</t>
        </is>
      </c>
      <c r="B1729" s="9" t="inlineStr">
        <is>
          <t>6/15/25 - 7/12/25</t>
        </is>
      </c>
      <c r="C1729" s="12" t="n">
        <v>0.54</v>
      </c>
      <c r="D1729" s="12" t="n">
        <v>1.49</v>
      </c>
      <c r="E1729" s="12" t="n">
        <v>1</v>
      </c>
      <c r="F1729" s="12" t="n">
        <v>0.96</v>
      </c>
      <c r="G1729" s="12" t="n">
        <v>0.92</v>
      </c>
      <c r="H1729" s="9" t="n">
        <v>2</v>
      </c>
      <c r="I1729" s="10" t="n">
        <v>1</v>
      </c>
      <c r="J1729" s="12">
        <f>I1729</f>
        <v/>
      </c>
      <c r="K1729" t="inlineStr">
        <is>
          <t>Premium</t>
        </is>
      </c>
      <c r="L1729" t="inlineStr">
        <is>
          <t>Adjunct</t>
        </is>
      </c>
      <c r="M1729" t="inlineStr">
        <is>
          <t>Ela Cross</t>
        </is>
      </c>
    </row>
    <row r="1730">
      <c r="A1730" s="9" t="inlineStr">
        <is>
          <t>Shawn Kane</t>
        </is>
      </c>
      <c r="B1730" s="9" t="inlineStr">
        <is>
          <t>7/13/25 - 8/10/25</t>
        </is>
      </c>
      <c r="C1730" s="12" t="n">
        <v>0.54</v>
      </c>
      <c r="D1730" s="12" t="n">
        <v>1.06</v>
      </c>
      <c r="E1730" s="12" t="n">
        <v>1</v>
      </c>
      <c r="F1730" s="12" t="n">
        <v>0.88</v>
      </c>
      <c r="G1730" s="12" t="n">
        <v>0.53</v>
      </c>
      <c r="H1730" s="9" t="e">
        <v>#N/A</v>
      </c>
      <c r="I1730" s="10" t="n">
        <v>1</v>
      </c>
      <c r="J1730" s="12">
        <f>I1730</f>
        <v/>
      </c>
      <c r="K1730" t="inlineStr">
        <is>
          <t>Premium</t>
        </is>
      </c>
      <c r="L1730" t="inlineStr">
        <is>
          <t>Adjunct</t>
        </is>
      </c>
      <c r="M1730" t="inlineStr">
        <is>
          <t>Ela Cross</t>
        </is>
      </c>
    </row>
    <row r="1731">
      <c r="A1731" s="9" t="inlineStr">
        <is>
          <t>Shawn Kane</t>
        </is>
      </c>
      <c r="B1731" s="9" t="inlineStr">
        <is>
          <t>8/10/25 - 9/6/25</t>
        </is>
      </c>
      <c r="C1731" s="12" t="n">
        <v>1.04</v>
      </c>
      <c r="D1731" s="12" t="n">
        <v>1.36</v>
      </c>
      <c r="E1731" s="12" t="n">
        <v>0.98</v>
      </c>
      <c r="F1731" s="12" t="n">
        <v>0.82</v>
      </c>
      <c r="G1731" s="12" t="n">
        <v>0.54</v>
      </c>
      <c r="H1731" s="9" t="n">
        <v>0</v>
      </c>
      <c r="I1731" s="11" t="n"/>
      <c r="J1731" s="9" t="n"/>
      <c r="K1731" t="inlineStr">
        <is>
          <t>Premium</t>
        </is>
      </c>
      <c r="L1731" t="inlineStr">
        <is>
          <t>Adjunct</t>
        </is>
      </c>
      <c r="M1731" t="inlineStr">
        <is>
          <t>Ela Cross</t>
        </is>
      </c>
    </row>
    <row r="1732">
      <c r="A1732" s="9" t="inlineStr">
        <is>
          <t>Shawn Kane</t>
        </is>
      </c>
      <c r="B1732" s="9" t="inlineStr">
        <is>
          <t>9/7/25 - 10/4/25</t>
        </is>
      </c>
      <c r="C1732" s="12" t="n">
        <v>1.14</v>
      </c>
      <c r="D1732" s="12" t="n">
        <v>1.32</v>
      </c>
      <c r="E1732" s="12" t="n">
        <v>1</v>
      </c>
      <c r="F1732" s="12" t="n">
        <v>0.98</v>
      </c>
      <c r="G1732" s="12" t="n">
        <v>0.79</v>
      </c>
      <c r="H1732" s="9" t="n">
        <v>8</v>
      </c>
      <c r="I1732" s="10" t="inlineStr">
        <is>
          <t>0/1</t>
        </is>
      </c>
      <c r="J1732" s="12" t="n">
        <v>0</v>
      </c>
      <c r="K1732" t="inlineStr">
        <is>
          <t>Premium</t>
        </is>
      </c>
      <c r="L1732" t="inlineStr">
        <is>
          <t>Adjunct</t>
        </is>
      </c>
      <c r="M1732" t="inlineStr">
        <is>
          <t>Ela Cross</t>
        </is>
      </c>
    </row>
    <row r="1733">
      <c r="A1733" s="9" t="inlineStr">
        <is>
          <t>Silvester Harrison</t>
        </is>
      </c>
      <c r="B1733" s="9" t="inlineStr">
        <is>
          <t>11/2/25 - 11/29/25</t>
        </is>
      </c>
      <c r="C1733" s="12" t="n">
        <v>0.07000000000000001</v>
      </c>
      <c r="D1733" s="12" t="n">
        <v>0.78</v>
      </c>
      <c r="E1733" s="12" t="n">
        <v>1</v>
      </c>
      <c r="F1733" s="12" t="n">
        <v>1</v>
      </c>
      <c r="G1733" s="12" t="n">
        <v>0</v>
      </c>
      <c r="H1733" s="9" t="n">
        <v>0</v>
      </c>
      <c r="I1733" s="13" t="n">
        <v>45690</v>
      </c>
      <c r="J1733" s="12" t="n">
        <v>1</v>
      </c>
      <c r="K1733" t="inlineStr">
        <is>
          <t>Distinguished</t>
        </is>
      </c>
      <c r="L1733" t="inlineStr">
        <is>
          <t>Professional</t>
        </is>
      </c>
      <c r="M1733" t="inlineStr">
        <is>
          <t>Ela Cross</t>
        </is>
      </c>
    </row>
    <row r="1734">
      <c r="A1734" s="9" t="inlineStr">
        <is>
          <t>Silvester Harrison</t>
        </is>
      </c>
      <c r="B1734" s="9" t="inlineStr">
        <is>
          <t>11/30/25 - 12/27/25</t>
        </is>
      </c>
      <c r="C1734" s="12" t="n">
        <v>0.55</v>
      </c>
      <c r="D1734" s="12" t="n">
        <v>0.98</v>
      </c>
      <c r="E1734" s="12" t="n">
        <v>0.97</v>
      </c>
      <c r="F1734" s="12" t="n">
        <v>0.98</v>
      </c>
      <c r="G1734" s="12" t="n">
        <v>0</v>
      </c>
      <c r="H1734" s="9" t="n">
        <v>0</v>
      </c>
      <c r="I1734" s="10" t="n">
        <v>0.8181818181818182</v>
      </c>
      <c r="J1734" s="12">
        <f>5/6</f>
        <v/>
      </c>
      <c r="K1734" t="inlineStr">
        <is>
          <t>Distinguished</t>
        </is>
      </c>
      <c r="L1734" t="inlineStr">
        <is>
          <t>Professional</t>
        </is>
      </c>
      <c r="M1734" t="inlineStr">
        <is>
          <t>Ela Cross</t>
        </is>
      </c>
    </row>
    <row r="1735">
      <c r="A1735" s="9" t="inlineStr">
        <is>
          <t>Silvester Harrison</t>
        </is>
      </c>
      <c r="B1735" s="9" t="inlineStr">
        <is>
          <t>12/28/25 - 1/25/26</t>
        </is>
      </c>
      <c r="C1735" s="12" t="n">
        <v>0.7571</v>
      </c>
      <c r="D1735" s="12" t="n">
        <v>1.0262</v>
      </c>
      <c r="E1735" s="12" t="n">
        <v>0.989583333</v>
      </c>
      <c r="F1735" s="12" t="n">
        <v>0.972222222</v>
      </c>
      <c r="G1735" s="12" t="n">
        <v>0.2</v>
      </c>
      <c r="H1735" s="9" t="n">
        <v>1</v>
      </c>
      <c r="I1735" s="10" t="n">
        <v>0.7272727272727273</v>
      </c>
      <c r="J1735" s="12">
        <f>I1735</f>
        <v/>
      </c>
      <c r="K1735" t="inlineStr">
        <is>
          <t>Distinguished</t>
        </is>
      </c>
      <c r="L1735" t="inlineStr">
        <is>
          <t>Professional</t>
        </is>
      </c>
      <c r="M1735" t="inlineStr">
        <is>
          <t>Ela Cross</t>
        </is>
      </c>
    </row>
    <row r="1736">
      <c r="A1736" s="9" t="inlineStr">
        <is>
          <t>Skye Silmenna</t>
        </is>
      </c>
      <c r="B1736" s="9" t="inlineStr">
        <is>
          <t>10/5/25 - 11/1/25</t>
        </is>
      </c>
      <c r="C1736" s="12" t="n">
        <v>0.85</v>
      </c>
      <c r="D1736" s="12" t="n">
        <v>1.15459999999999</v>
      </c>
      <c r="E1736" s="12" t="n">
        <v>0.934579439252336</v>
      </c>
      <c r="F1736" s="12" t="n">
        <v>0.917808219178082</v>
      </c>
      <c r="G1736" s="12" t="n">
        <v>0.4</v>
      </c>
      <c r="H1736" s="9" t="n">
        <v>6</v>
      </c>
      <c r="I1736" s="10" t="inlineStr">
        <is>
          <t>5/9</t>
        </is>
      </c>
      <c r="J1736" s="12" t="n">
        <v>0.5600000000000001</v>
      </c>
      <c r="K1736" t="inlineStr">
        <is>
          <t>Distinguished</t>
        </is>
      </c>
      <c r="L1736" t="inlineStr">
        <is>
          <t>Professional</t>
        </is>
      </c>
      <c r="M1736" t="inlineStr">
        <is>
          <t>Annelies de Groot</t>
        </is>
      </c>
    </row>
    <row r="1737">
      <c r="A1737" s="9" t="inlineStr">
        <is>
          <t>Skye Silmenna</t>
        </is>
      </c>
      <c r="B1737" s="9" t="inlineStr">
        <is>
          <t>10/5/25 - 11/1/25</t>
        </is>
      </c>
      <c r="C1737" s="12" t="n">
        <v>0.85</v>
      </c>
      <c r="D1737" s="12" t="n">
        <v>1.15459999999999</v>
      </c>
      <c r="E1737" s="12" t="n">
        <v>0.934579439252336</v>
      </c>
      <c r="F1737" s="12" t="n">
        <v>0.917808219178082</v>
      </c>
      <c r="G1737" s="12" t="n">
        <v>0.4</v>
      </c>
      <c r="H1737" s="9" t="n">
        <v>6</v>
      </c>
      <c r="I1737" s="10" t="inlineStr">
        <is>
          <t>5/9</t>
        </is>
      </c>
      <c r="J1737" s="12">
        <f>_xlfn.TEXTBEFORE(I1737, "/")/_xlfn.TEXTAFTER(I1737,"/")</f>
        <v/>
      </c>
      <c r="K1737" t="inlineStr">
        <is>
          <t>Distinguished</t>
        </is>
      </c>
      <c r="L1737" t="inlineStr">
        <is>
          <t>Professional</t>
        </is>
      </c>
      <c r="M1737" t="inlineStr">
        <is>
          <t>Annelies de Groot</t>
        </is>
      </c>
    </row>
    <row r="1738">
      <c r="A1738" s="9" t="inlineStr">
        <is>
          <t>Skye Silmenna</t>
        </is>
      </c>
      <c r="B1738" s="9" t="inlineStr">
        <is>
          <t>11/2/25 - 11/29/25</t>
        </is>
      </c>
      <c r="C1738" s="12" t="n">
        <v>1.01</v>
      </c>
      <c r="D1738" s="12" t="n">
        <v>0.98</v>
      </c>
      <c r="E1738" s="12" t="n">
        <v>0.93</v>
      </c>
      <c r="F1738" s="12" t="n">
        <v>0.9399999999999999</v>
      </c>
      <c r="G1738" s="12" t="n">
        <v>0.27</v>
      </c>
      <c r="H1738" s="9" t="n">
        <v>6</v>
      </c>
      <c r="I1738" s="13" t="n">
        <v>45693</v>
      </c>
      <c r="J1738" s="14" t="n">
        <v>0.4</v>
      </c>
      <c r="K1738" t="inlineStr">
        <is>
          <t>Distinguished</t>
        </is>
      </c>
      <c r="L1738" t="inlineStr">
        <is>
          <t>Professional</t>
        </is>
      </c>
      <c r="M1738" t="inlineStr">
        <is>
          <t>Annelies de Groot</t>
        </is>
      </c>
    </row>
    <row r="1739">
      <c r="A1739" s="9" t="inlineStr">
        <is>
          <t>Skye Silmenna</t>
        </is>
      </c>
      <c r="B1739" s="9" t="inlineStr">
        <is>
          <t>11/30/25 - 12/27/25</t>
        </is>
      </c>
      <c r="C1739" s="12" t="n">
        <v>0.77</v>
      </c>
      <c r="D1739" s="12" t="n">
        <v>1.07</v>
      </c>
      <c r="E1739" s="12" t="n">
        <v>0.93</v>
      </c>
      <c r="F1739" s="12" t="n">
        <v>0.68</v>
      </c>
      <c r="G1739" s="12" t="n">
        <v>0.52</v>
      </c>
      <c r="H1739" s="9" t="n">
        <v>9</v>
      </c>
      <c r="I1739" s="10" t="inlineStr">
        <is>
          <t>0/2</t>
        </is>
      </c>
      <c r="J1739" s="12" t="n">
        <v>0</v>
      </c>
      <c r="K1739" t="inlineStr">
        <is>
          <t>Distinguished</t>
        </is>
      </c>
      <c r="L1739" t="inlineStr">
        <is>
          <t>Professional</t>
        </is>
      </c>
      <c r="M1739" t="inlineStr">
        <is>
          <t>Annelies de Groot</t>
        </is>
      </c>
    </row>
    <row r="1740">
      <c r="A1740" s="9" t="inlineStr">
        <is>
          <t>Skye Silmenna</t>
        </is>
      </c>
      <c r="B1740" s="9" t="inlineStr">
        <is>
          <t>12/28/25 - 1/25/26</t>
        </is>
      </c>
      <c r="C1740" s="12" t="n">
        <v>0.5625</v>
      </c>
      <c r="D1740" s="12" t="n">
        <v>0.9539</v>
      </c>
      <c r="E1740" s="12" t="n">
        <v>0.953125</v>
      </c>
      <c r="F1740" s="12" t="n">
        <v>0.4</v>
      </c>
      <c r="G1740" s="12" t="n">
        <v>0.4375</v>
      </c>
      <c r="H1740" s="9" t="n">
        <v>9</v>
      </c>
      <c r="I1740" s="10" t="n">
        <v>0.5</v>
      </c>
      <c r="J1740" s="12">
        <f>I1740</f>
        <v/>
      </c>
      <c r="K1740" t="inlineStr">
        <is>
          <t>Distinguished</t>
        </is>
      </c>
      <c r="L1740" t="inlineStr">
        <is>
          <t>Professional</t>
        </is>
      </c>
      <c r="M1740" t="inlineStr">
        <is>
          <t>Annelies de Groot</t>
        </is>
      </c>
    </row>
    <row r="1741">
      <c r="A1741" s="9" t="inlineStr">
        <is>
          <t>Skye Silmenna</t>
        </is>
      </c>
      <c r="B1741" s="9" t="inlineStr">
        <is>
          <t>5/18/25 - 6/14/25</t>
        </is>
      </c>
      <c r="C1741" s="12" t="n">
        <v>0.58</v>
      </c>
      <c r="D1741" s="12" t="n">
        <v>1.13</v>
      </c>
      <c r="E1741" s="12" t="n">
        <v>1</v>
      </c>
      <c r="F1741" s="12" t="n">
        <v>0.91</v>
      </c>
      <c r="G1741" s="12" t="n">
        <v>0.75</v>
      </c>
      <c r="H1741" s="9" t="e">
        <v>#N/A</v>
      </c>
      <c r="I1741" s="10" t="inlineStr">
        <is>
          <t xml:space="preserve"> 4/5</t>
        </is>
      </c>
      <c r="J1741" s="12" t="n">
        <v>0.8</v>
      </c>
      <c r="K1741" t="inlineStr">
        <is>
          <t>Distinguished</t>
        </is>
      </c>
      <c r="L1741" t="inlineStr">
        <is>
          <t>Professional</t>
        </is>
      </c>
      <c r="M1741" t="inlineStr">
        <is>
          <t>Annelies de Groot</t>
        </is>
      </c>
    </row>
    <row r="1742">
      <c r="A1742" s="9" t="inlineStr">
        <is>
          <t>Skye Silmenna</t>
        </is>
      </c>
      <c r="B1742" s="9" t="inlineStr">
        <is>
          <t>6/15/25 - 7/12/25</t>
        </is>
      </c>
      <c r="C1742" s="12" t="n">
        <v>0.49</v>
      </c>
      <c r="D1742" s="12" t="n">
        <v>1.07</v>
      </c>
      <c r="E1742" s="12" t="n">
        <v>1</v>
      </c>
      <c r="F1742" s="12" t="n">
        <v>1</v>
      </c>
      <c r="G1742" s="12" t="n">
        <v>0.46</v>
      </c>
      <c r="H1742" s="9" t="n">
        <v>1</v>
      </c>
      <c r="I1742" s="10" t="inlineStr">
        <is>
          <t xml:space="preserve"> 1/2</t>
        </is>
      </c>
      <c r="J1742" s="12" t="n">
        <v>0.5</v>
      </c>
      <c r="K1742" t="inlineStr">
        <is>
          <t>Distinguished</t>
        </is>
      </c>
      <c r="L1742" t="inlineStr">
        <is>
          <t>Professional</t>
        </is>
      </c>
      <c r="M1742" t="inlineStr">
        <is>
          <t>Annelies de Groot</t>
        </is>
      </c>
    </row>
    <row r="1743">
      <c r="A1743" s="9" t="inlineStr">
        <is>
          <t>Skye Silmenna</t>
        </is>
      </c>
      <c r="B1743" s="9" t="inlineStr">
        <is>
          <t>7/13/25 - 8/10/25</t>
        </is>
      </c>
      <c r="C1743" s="12" t="n">
        <v>0.82</v>
      </c>
      <c r="D1743" s="12" t="n">
        <v>1.04</v>
      </c>
      <c r="E1743" s="12" t="n">
        <v>0.97</v>
      </c>
      <c r="F1743" s="12" t="n">
        <v>0.74</v>
      </c>
      <c r="G1743" s="12" t="n">
        <v>0.5600000000000001</v>
      </c>
      <c r="H1743" s="9" t="n">
        <v>5</v>
      </c>
      <c r="I1743" s="10" t="n">
        <v>0</v>
      </c>
      <c r="J1743" s="12">
        <f>I1743</f>
        <v/>
      </c>
      <c r="K1743" t="inlineStr">
        <is>
          <t>Distinguished</t>
        </is>
      </c>
      <c r="L1743" t="inlineStr">
        <is>
          <t>Professional</t>
        </is>
      </c>
      <c r="M1743" t="inlineStr">
        <is>
          <t>Annelies de Groot</t>
        </is>
      </c>
    </row>
    <row r="1744">
      <c r="A1744" s="9" t="inlineStr">
        <is>
          <t>Skye Silmenna</t>
        </is>
      </c>
      <c r="B1744" s="9" t="inlineStr">
        <is>
          <t>8/10/25 - 9/6/25</t>
        </is>
      </c>
      <c r="C1744" s="12" t="n">
        <v>0.91</v>
      </c>
      <c r="D1744" s="12" t="n">
        <v>1.02</v>
      </c>
      <c r="E1744" s="12" t="n">
        <v>0.92</v>
      </c>
      <c r="F1744" s="12" t="n">
        <v>0.6</v>
      </c>
      <c r="G1744" s="12" t="n">
        <v>0.17</v>
      </c>
      <c r="H1744" s="9" t="n">
        <v>5</v>
      </c>
      <c r="I1744" s="10" t="inlineStr">
        <is>
          <t>2/5</t>
        </is>
      </c>
      <c r="J1744" s="12" t="n">
        <v>0.4</v>
      </c>
      <c r="K1744" t="inlineStr">
        <is>
          <t>Distinguished</t>
        </is>
      </c>
      <c r="L1744" t="inlineStr">
        <is>
          <t>Professional</t>
        </is>
      </c>
      <c r="M1744" t="inlineStr">
        <is>
          <t>Annelies de Groot</t>
        </is>
      </c>
    </row>
    <row r="1745">
      <c r="A1745" s="9" t="inlineStr">
        <is>
          <t>Skye Silmenna</t>
        </is>
      </c>
      <c r="B1745" s="9" t="inlineStr">
        <is>
          <t>9/7/25 - 10/4/25</t>
        </is>
      </c>
      <c r="C1745" s="12" t="n">
        <v>0.93</v>
      </c>
      <c r="D1745" s="12" t="n">
        <v>1.04</v>
      </c>
      <c r="E1745" s="12" t="n">
        <v>0.92</v>
      </c>
      <c r="F1745" s="12" t="n">
        <v>1</v>
      </c>
      <c r="G1745" s="12" t="n">
        <v>0.2</v>
      </c>
      <c r="H1745" s="9" t="n">
        <v>8</v>
      </c>
      <c r="I1745" s="10" t="inlineStr">
        <is>
          <t>2/5</t>
        </is>
      </c>
      <c r="J1745" s="12" t="n">
        <v>0.4</v>
      </c>
      <c r="K1745" t="inlineStr">
        <is>
          <t>Distinguished</t>
        </is>
      </c>
      <c r="L1745" t="inlineStr">
        <is>
          <t>Professional</t>
        </is>
      </c>
      <c r="M1745" t="inlineStr">
        <is>
          <t>Annelies de Groot</t>
        </is>
      </c>
    </row>
    <row r="1746">
      <c r="A1746" s="9" t="inlineStr">
        <is>
          <t>Sofia Munoz</t>
        </is>
      </c>
      <c r="B1746" s="9" t="inlineStr">
        <is>
          <t>10/5/25 - 11/1/25</t>
        </is>
      </c>
      <c r="C1746" s="12" t="n">
        <v>1.066</v>
      </c>
      <c r="D1746" s="12" t="n">
        <v>1.28129999999999</v>
      </c>
      <c r="E1746" s="12" t="n">
        <v>1</v>
      </c>
      <c r="F1746" s="12" t="n">
        <v>0.971428571428571</v>
      </c>
      <c r="G1746" s="12" t="n">
        <v>0.818181818181818</v>
      </c>
      <c r="H1746" s="9" t="n">
        <v>3</v>
      </c>
      <c r="I1746" s="10" t="inlineStr">
        <is>
          <t>2/2</t>
        </is>
      </c>
      <c r="J1746" s="12" t="n">
        <v>1</v>
      </c>
      <c r="K1746" t="e">
        <v>#N/A</v>
      </c>
      <c r="L1746" t="e">
        <v>#N/A</v>
      </c>
      <c r="M1746" t="e">
        <v>#N/A</v>
      </c>
    </row>
    <row r="1747">
      <c r="A1747" s="9" t="inlineStr">
        <is>
          <t>Sofia Munoz</t>
        </is>
      </c>
      <c r="B1747" s="9" t="inlineStr">
        <is>
          <t>11/2/25 - 11/29/25</t>
        </is>
      </c>
      <c r="C1747" s="12" t="n">
        <v>1.09</v>
      </c>
      <c r="D1747" s="12" t="n">
        <v>1.3</v>
      </c>
      <c r="E1747" s="12" t="n">
        <v>1</v>
      </c>
      <c r="F1747" s="12" t="n">
        <v>0.9399999999999999</v>
      </c>
      <c r="G1747" s="12" t="n">
        <v>0.83</v>
      </c>
      <c r="H1747" s="9" t="n">
        <v>2</v>
      </c>
      <c r="I1747" s="13" t="n"/>
      <c r="J1747" s="9" t="n"/>
      <c r="K1747" t="e">
        <v>#N/A</v>
      </c>
      <c r="L1747" t="e">
        <v>#N/A</v>
      </c>
      <c r="M1747" t="e">
        <v>#N/A</v>
      </c>
    </row>
    <row r="1748">
      <c r="A1748" s="9" t="inlineStr">
        <is>
          <t>Sofia Munoz</t>
        </is>
      </c>
      <c r="B1748" s="9" t="inlineStr">
        <is>
          <t>11/30/25 - 12/27/25</t>
        </is>
      </c>
      <c r="C1748" s="12" t="n">
        <v>0.57</v>
      </c>
      <c r="D1748" s="12" t="n">
        <v>1.02</v>
      </c>
      <c r="E1748" s="12" t="n">
        <v>0.96</v>
      </c>
      <c r="F1748" s="12" t="n">
        <v>1</v>
      </c>
      <c r="G1748" s="12" t="n">
        <v>0.92</v>
      </c>
      <c r="H1748" s="9" t="n">
        <v>0</v>
      </c>
      <c r="I1748" s="10" t="n"/>
      <c r="J1748" s="12" t="n"/>
      <c r="K1748" t="e">
        <v>#N/A</v>
      </c>
      <c r="L1748" t="e">
        <v>#N/A</v>
      </c>
      <c r="M1748" t="e">
        <v>#N/A</v>
      </c>
    </row>
    <row r="1749">
      <c r="A1749" s="9" t="inlineStr">
        <is>
          <t>Sofia Munoz</t>
        </is>
      </c>
      <c r="B1749" s="9" t="inlineStr">
        <is>
          <t>12/28/25 - 1/25/26</t>
        </is>
      </c>
      <c r="C1749" s="12" t="n">
        <v>0.5677</v>
      </c>
      <c r="D1749" s="12" t="n">
        <v>1.0508</v>
      </c>
      <c r="E1749" s="12" t="n">
        <v>1</v>
      </c>
      <c r="F1749" s="12" t="n">
        <v>0.944444444</v>
      </c>
      <c r="G1749" s="12" t="n">
        <v>0.666666667</v>
      </c>
      <c r="H1749" s="9" t="n">
        <v>1</v>
      </c>
      <c r="I1749" s="10" t="inlineStr">
        <is>
          <t>0/0</t>
        </is>
      </c>
      <c r="J1749" s="12" t="n">
        <v>0</v>
      </c>
      <c r="K1749" t="e">
        <v>#N/A</v>
      </c>
      <c r="L1749" t="e">
        <v>#N/A</v>
      </c>
      <c r="M1749" t="e">
        <v>#N/A</v>
      </c>
    </row>
    <row r="1750">
      <c r="A1750" s="9" t="inlineStr">
        <is>
          <t>Sofia Munoz</t>
        </is>
      </c>
      <c r="B1750" s="9" t="inlineStr">
        <is>
          <t>5/18/25 - 6/14/25</t>
        </is>
      </c>
      <c r="C1750" s="12" t="n">
        <v>1.02</v>
      </c>
      <c r="D1750" s="12" t="n">
        <v>1.49</v>
      </c>
      <c r="E1750" s="12" t="n">
        <v>0.98</v>
      </c>
      <c r="F1750" s="12" t="n">
        <v>0.74</v>
      </c>
      <c r="G1750" s="12" t="n">
        <v>1</v>
      </c>
      <c r="H1750" s="9" t="e">
        <v>#N/A</v>
      </c>
      <c r="I1750" s="10" t="n">
        <v>1</v>
      </c>
      <c r="J1750" s="12">
        <f>I1750</f>
        <v/>
      </c>
      <c r="K1750" t="e">
        <v>#N/A</v>
      </c>
      <c r="L1750" t="e">
        <v>#N/A</v>
      </c>
      <c r="M1750" t="e">
        <v>#N/A</v>
      </c>
    </row>
    <row r="1751">
      <c r="A1751" s="9" t="inlineStr">
        <is>
          <t>Sofia Munoz</t>
        </is>
      </c>
      <c r="B1751" s="9" t="inlineStr">
        <is>
          <t>6/15/25 - 7/12/25</t>
        </is>
      </c>
      <c r="C1751" s="12" t="n">
        <v>0.51</v>
      </c>
      <c r="D1751" s="12" t="n">
        <v>1.35</v>
      </c>
      <c r="E1751" s="12" t="n">
        <v>0.97</v>
      </c>
      <c r="F1751" s="12" t="n">
        <v>1</v>
      </c>
      <c r="G1751" s="12" t="n">
        <v>0.5</v>
      </c>
      <c r="H1751" s="9" t="e">
        <v>#N/A</v>
      </c>
      <c r="I1751" s="10" t="n">
        <v>1</v>
      </c>
      <c r="J1751" s="12">
        <f>I1751</f>
        <v/>
      </c>
      <c r="K1751" t="e">
        <v>#N/A</v>
      </c>
      <c r="L1751" t="e">
        <v>#N/A</v>
      </c>
      <c r="M1751" t="e">
        <v>#N/A</v>
      </c>
    </row>
    <row r="1752">
      <c r="A1752" s="42" t="inlineStr">
        <is>
          <t>Sofia Munoz</t>
        </is>
      </c>
      <c r="B1752" s="42" t="inlineStr">
        <is>
          <t>7/13/25 - 8/10/25</t>
        </is>
      </c>
      <c r="C1752" s="41" t="n">
        <v>0.32</v>
      </c>
      <c r="D1752" s="41" t="n">
        <v>1.11</v>
      </c>
      <c r="E1752" s="41" t="n">
        <v>1</v>
      </c>
      <c r="F1752" s="41" t="n">
        <v>1</v>
      </c>
      <c r="G1752" s="41" t="n">
        <v>0.5</v>
      </c>
      <c r="H1752" s="42" t="e">
        <v>#N/A</v>
      </c>
      <c r="I1752" s="42" t="n"/>
      <c r="J1752" s="9" t="n"/>
      <c r="K1752" t="e">
        <v>#N/A</v>
      </c>
      <c r="L1752" t="e">
        <v>#N/A</v>
      </c>
      <c r="M1752" t="e">
        <v>#N/A</v>
      </c>
    </row>
    <row r="1753">
      <c r="A1753" s="42" t="inlineStr">
        <is>
          <t>Sofia Munoz</t>
        </is>
      </c>
      <c r="B1753" s="42" t="inlineStr">
        <is>
          <t>8/10/25 - 9/6/25</t>
        </is>
      </c>
      <c r="C1753" s="41" t="n">
        <v>0.83</v>
      </c>
      <c r="D1753" s="41" t="n">
        <v>1.34</v>
      </c>
      <c r="E1753" s="41" t="n">
        <v>0.9399999999999999</v>
      </c>
      <c r="F1753" s="41" t="n">
        <v>1</v>
      </c>
      <c r="G1753" s="41" t="n">
        <v>1</v>
      </c>
      <c r="H1753" s="42" t="n">
        <v>2</v>
      </c>
      <c r="I1753" s="44" t="n"/>
      <c r="J1753" s="9" t="n"/>
      <c r="K1753" t="e">
        <v>#N/A</v>
      </c>
      <c r="L1753" t="e">
        <v>#N/A</v>
      </c>
      <c r="M1753" t="e">
        <v>#N/A</v>
      </c>
    </row>
    <row r="1754">
      <c r="A1754" s="42" t="inlineStr">
        <is>
          <t>Sofia Munoz</t>
        </is>
      </c>
      <c r="B1754" s="42" t="inlineStr">
        <is>
          <t>9/7/25 - 10/4/25</t>
        </is>
      </c>
      <c r="C1754" s="41" t="n">
        <v>1.16</v>
      </c>
      <c r="D1754" s="41" t="n">
        <v>1.36</v>
      </c>
      <c r="E1754" s="41" t="n">
        <v>0.98</v>
      </c>
      <c r="F1754" s="41" t="n">
        <v>1</v>
      </c>
      <c r="G1754" s="41" t="n">
        <v>1</v>
      </c>
      <c r="H1754" s="42" t="n">
        <v>1</v>
      </c>
      <c r="I1754" s="43" t="inlineStr">
        <is>
          <t>2/2</t>
        </is>
      </c>
      <c r="J1754" s="12" t="n">
        <v>1</v>
      </c>
      <c r="K1754" t="e">
        <v>#N/A</v>
      </c>
      <c r="L1754" t="e">
        <v>#N/A</v>
      </c>
      <c r="M1754" t="e">
        <v>#N/A</v>
      </c>
    </row>
    <row r="1755">
      <c r="A1755" s="42" t="inlineStr">
        <is>
          <t>Sonja Tomasko</t>
        </is>
      </c>
      <c r="B1755" s="42" t="inlineStr">
        <is>
          <t>10/5/25 - 11/1/25</t>
        </is>
      </c>
      <c r="C1755" s="41" t="n">
        <v>0.4375</v>
      </c>
      <c r="D1755" s="41" t="n">
        <v>1.1398</v>
      </c>
      <c r="E1755" s="41" t="n">
        <v>1</v>
      </c>
      <c r="F1755" s="41" t="n">
        <v>0.95</v>
      </c>
      <c r="G1755" s="41" t="n">
        <v>0.785714285714285</v>
      </c>
      <c r="H1755" s="42" t="n">
        <v>3</v>
      </c>
      <c r="I1755" s="43" t="inlineStr">
        <is>
          <t>0/4</t>
        </is>
      </c>
      <c r="J1755" s="12" t="n">
        <v>0</v>
      </c>
      <c r="K1755" t="inlineStr">
        <is>
          <t>Premium</t>
        </is>
      </c>
      <c r="L1755" t="inlineStr">
        <is>
          <t>Professional</t>
        </is>
      </c>
      <c r="M1755" t="inlineStr">
        <is>
          <t>Ian Plamondon</t>
        </is>
      </c>
    </row>
    <row r="1756">
      <c r="A1756" s="42" t="inlineStr">
        <is>
          <t>Sonja Tomasko</t>
        </is>
      </c>
      <c r="B1756" s="42" t="inlineStr">
        <is>
          <t>11/2/25 - 11/29/25</t>
        </is>
      </c>
      <c r="C1756" s="41" t="n">
        <v>0.45</v>
      </c>
      <c r="D1756" s="41" t="n">
        <v>1.19</v>
      </c>
      <c r="E1756" s="41" t="n">
        <v>1</v>
      </c>
      <c r="F1756" s="41" t="n">
        <v>1</v>
      </c>
      <c r="G1756" s="41" t="n">
        <v>0.75</v>
      </c>
      <c r="H1756" s="42" t="n">
        <v>5</v>
      </c>
      <c r="I1756" s="45" t="inlineStr">
        <is>
          <t>0/1</t>
        </is>
      </c>
      <c r="J1756" s="12" t="n">
        <v>0</v>
      </c>
      <c r="K1756" t="inlineStr">
        <is>
          <t>Premium</t>
        </is>
      </c>
      <c r="L1756" t="inlineStr">
        <is>
          <t>Professional</t>
        </is>
      </c>
      <c r="M1756" t="inlineStr">
        <is>
          <t>Ian Plamondon</t>
        </is>
      </c>
    </row>
    <row r="1757">
      <c r="A1757" s="42" t="inlineStr">
        <is>
          <t>Sonja Tomasko</t>
        </is>
      </c>
      <c r="B1757" s="42" t="inlineStr">
        <is>
          <t>11/30/25 - 12/27/25</t>
        </is>
      </c>
      <c r="C1757" s="41" t="n">
        <v>0.38</v>
      </c>
      <c r="D1757" s="41" t="n">
        <v>1.15</v>
      </c>
      <c r="E1757" s="41" t="n">
        <v>1</v>
      </c>
      <c r="F1757" s="41" t="n">
        <v>0.93</v>
      </c>
      <c r="G1757" s="41" t="n">
        <v>0.57</v>
      </c>
      <c r="H1757" s="42" t="n">
        <v>5</v>
      </c>
      <c r="I1757" s="43" t="inlineStr">
        <is>
          <t>0/1</t>
        </is>
      </c>
      <c r="J1757" s="12" t="n">
        <v>0</v>
      </c>
      <c r="K1757" t="inlineStr">
        <is>
          <t>Premium</t>
        </is>
      </c>
      <c r="L1757" t="inlineStr">
        <is>
          <t>Professional</t>
        </is>
      </c>
      <c r="M1757" t="inlineStr">
        <is>
          <t>Ian Plamondon</t>
        </is>
      </c>
    </row>
    <row r="1758">
      <c r="A1758" s="42" t="inlineStr">
        <is>
          <t>Sonja Tomasko</t>
        </is>
      </c>
      <c r="B1758" s="42" t="inlineStr">
        <is>
          <t>12/28/25 - 1/25/26</t>
        </is>
      </c>
      <c r="C1758" s="41" t="n">
        <v>0.2792</v>
      </c>
      <c r="D1758" s="41" t="n">
        <v>1.0921</v>
      </c>
      <c r="E1758" s="41" t="n">
        <v>1</v>
      </c>
      <c r="F1758" s="41" t="n">
        <v>0.947368421</v>
      </c>
      <c r="G1758" s="41" t="n">
        <v>0.7</v>
      </c>
      <c r="H1758" s="42" t="n">
        <v>3</v>
      </c>
      <c r="I1758" s="43" t="inlineStr">
        <is>
          <t>0/2</t>
        </is>
      </c>
      <c r="J1758" s="12" t="n">
        <v>0</v>
      </c>
      <c r="K1758" t="inlineStr">
        <is>
          <t>Premium</t>
        </is>
      </c>
      <c r="L1758" t="inlineStr">
        <is>
          <t>Professional</t>
        </is>
      </c>
      <c r="M1758" t="inlineStr">
        <is>
          <t>Ian Plamondon</t>
        </is>
      </c>
    </row>
    <row r="1759">
      <c r="A1759" s="42" t="inlineStr">
        <is>
          <t>Sonja Tomasko</t>
        </is>
      </c>
      <c r="B1759" s="42" t="inlineStr">
        <is>
          <t>5/18/25 - 6/14/25</t>
        </is>
      </c>
      <c r="C1759" s="41" t="n">
        <v>0.66</v>
      </c>
      <c r="D1759" s="41" t="n">
        <v>1.19</v>
      </c>
      <c r="E1759" s="41" t="n">
        <v>1</v>
      </c>
      <c r="F1759" s="41" t="n">
        <v>0.92</v>
      </c>
      <c r="G1759" s="41" t="n">
        <v>1</v>
      </c>
      <c r="H1759" s="42" t="n">
        <v>4</v>
      </c>
      <c r="I1759" s="43" t="n">
        <v>0</v>
      </c>
      <c r="J1759" s="12">
        <f>I1759</f>
        <v/>
      </c>
      <c r="K1759" t="inlineStr">
        <is>
          <t>Premium</t>
        </is>
      </c>
      <c r="L1759" t="inlineStr">
        <is>
          <t>Professional</t>
        </is>
      </c>
      <c r="M1759" t="inlineStr">
        <is>
          <t>Ian Plamondon</t>
        </is>
      </c>
    </row>
    <row r="1760">
      <c r="A1760" s="42" t="inlineStr">
        <is>
          <t>Sonja Tomasko</t>
        </is>
      </c>
      <c r="B1760" s="42" t="inlineStr">
        <is>
          <t>6/15/25 - 7/12/25</t>
        </is>
      </c>
      <c r="C1760" s="41" t="n">
        <v>0.45</v>
      </c>
      <c r="D1760" s="41" t="n">
        <v>0.86</v>
      </c>
      <c r="E1760" s="41" t="n">
        <v>0.98</v>
      </c>
      <c r="F1760" s="41" t="n">
        <v>0.72</v>
      </c>
      <c r="G1760" s="41" t="n">
        <v>0.64</v>
      </c>
      <c r="H1760" s="42" t="n">
        <v>1</v>
      </c>
      <c r="I1760" s="43" t="n">
        <v>0</v>
      </c>
      <c r="J1760" s="12">
        <f>I1760</f>
        <v/>
      </c>
      <c r="K1760" t="inlineStr">
        <is>
          <t>Premium</t>
        </is>
      </c>
      <c r="L1760" t="inlineStr">
        <is>
          <t>Professional</t>
        </is>
      </c>
      <c r="M1760" t="inlineStr">
        <is>
          <t>Ian Plamondon</t>
        </is>
      </c>
    </row>
    <row r="1761">
      <c r="A1761" s="42" t="inlineStr">
        <is>
          <t>Sonja Tomasko</t>
        </is>
      </c>
      <c r="B1761" s="42" t="inlineStr">
        <is>
          <t>7/13/25 - 8/10/25</t>
        </is>
      </c>
      <c r="C1761" s="41" t="n">
        <v>0.38</v>
      </c>
      <c r="D1761" s="41" t="n">
        <v>0.98</v>
      </c>
      <c r="E1761" s="41" t="n">
        <v>1</v>
      </c>
      <c r="F1761" s="41" t="n">
        <v>0.96</v>
      </c>
      <c r="G1761" s="41" t="n">
        <v>0.86</v>
      </c>
      <c r="H1761" s="42" t="n">
        <v>2</v>
      </c>
      <c r="I1761" s="43" t="n">
        <v>0</v>
      </c>
      <c r="J1761" s="12">
        <f>I1761</f>
        <v/>
      </c>
      <c r="K1761" t="inlineStr">
        <is>
          <t>Premium</t>
        </is>
      </c>
      <c r="L1761" t="inlineStr">
        <is>
          <t>Professional</t>
        </is>
      </c>
      <c r="M1761" t="inlineStr">
        <is>
          <t>Ian Plamondon</t>
        </is>
      </c>
    </row>
    <row r="1762">
      <c r="A1762" s="42" t="inlineStr">
        <is>
          <t>Sonja Tomasko</t>
        </is>
      </c>
      <c r="B1762" s="42" t="inlineStr">
        <is>
          <t>8/10/25 - 9/6/25</t>
        </is>
      </c>
      <c r="C1762" s="41" t="n">
        <v>0.55</v>
      </c>
      <c r="D1762" s="41" t="n">
        <v>1.21</v>
      </c>
      <c r="E1762" s="41" t="n">
        <v>1</v>
      </c>
      <c r="F1762" s="41" t="n">
        <v>0.97</v>
      </c>
      <c r="G1762" s="41" t="n">
        <v>0.92</v>
      </c>
      <c r="H1762" s="42" t="n">
        <v>5</v>
      </c>
      <c r="I1762" s="43" t="inlineStr">
        <is>
          <t>0/2</t>
        </is>
      </c>
      <c r="J1762" s="12" t="n">
        <v>0</v>
      </c>
      <c r="K1762" t="inlineStr">
        <is>
          <t>Premium</t>
        </is>
      </c>
      <c r="L1762" t="inlineStr">
        <is>
          <t>Professional</t>
        </is>
      </c>
      <c r="M1762" t="inlineStr">
        <is>
          <t>Ian Plamondon</t>
        </is>
      </c>
    </row>
    <row r="1763">
      <c r="A1763" s="42" t="inlineStr">
        <is>
          <t>Sonja Tomasko</t>
        </is>
      </c>
      <c r="B1763" s="42" t="inlineStr">
        <is>
          <t>9/7/25 - 10/4/25</t>
        </is>
      </c>
      <c r="C1763" s="41" t="n">
        <v>0.45</v>
      </c>
      <c r="D1763" s="41" t="n">
        <v>1.16</v>
      </c>
      <c r="E1763" s="41" t="n">
        <v>0.98</v>
      </c>
      <c r="F1763" s="41" t="n">
        <v>0.95</v>
      </c>
      <c r="G1763" s="41" t="n">
        <v>0.9</v>
      </c>
      <c r="H1763" s="42" t="n">
        <v>1</v>
      </c>
      <c r="I1763" s="43" t="inlineStr">
        <is>
          <t>1/2</t>
        </is>
      </c>
      <c r="J1763" s="12" t="n">
        <v>0.5</v>
      </c>
      <c r="K1763" t="inlineStr">
        <is>
          <t>Premium</t>
        </is>
      </c>
      <c r="L1763" t="inlineStr">
        <is>
          <t>Professional</t>
        </is>
      </c>
      <c r="M1763" t="inlineStr">
        <is>
          <t>Ian Plamondon</t>
        </is>
      </c>
    </row>
    <row r="1764">
      <c r="A1764" s="42" t="inlineStr">
        <is>
          <t>Stacey Jones</t>
        </is>
      </c>
      <c r="B1764" s="42" t="inlineStr">
        <is>
          <t>10/5/25 - 11/1/25</t>
        </is>
      </c>
      <c r="C1764" s="41" t="n">
        <v>1.11459999999999</v>
      </c>
      <c r="D1764" s="41" t="n">
        <v>1.1484</v>
      </c>
      <c r="E1764" s="41" t="n">
        <v>0.955882352941176</v>
      </c>
      <c r="F1764" s="41" t="n">
        <v>1</v>
      </c>
      <c r="G1764" s="41" t="n">
        <v>0.461538461538461</v>
      </c>
      <c r="H1764" s="42" t="n">
        <v>9</v>
      </c>
      <c r="I1764" s="43" t="inlineStr">
        <is>
          <t>0/1</t>
        </is>
      </c>
      <c r="J1764" s="12" t="n">
        <v>0</v>
      </c>
      <c r="K1764" t="inlineStr">
        <is>
          <t>Distinguished</t>
        </is>
      </c>
      <c r="L1764" t="inlineStr">
        <is>
          <t>Adjunct</t>
        </is>
      </c>
      <c r="M1764" t="inlineStr">
        <is>
          <t>Annelies de Groot</t>
        </is>
      </c>
    </row>
    <row r="1765">
      <c r="A1765" s="42" t="inlineStr">
        <is>
          <t>Stacey Jones</t>
        </is>
      </c>
      <c r="B1765" s="42" t="inlineStr">
        <is>
          <t>11/2/25 - 11/29/25</t>
        </is>
      </c>
      <c r="C1765" s="41" t="n">
        <v>1.09</v>
      </c>
      <c r="D1765" s="41" t="n">
        <v>1.07</v>
      </c>
      <c r="E1765" s="41" t="n">
        <v>0.97</v>
      </c>
      <c r="F1765" s="41" t="n">
        <v>0.96</v>
      </c>
      <c r="G1765" s="41" t="n">
        <v>0.63</v>
      </c>
      <c r="H1765" s="42" t="n">
        <v>8</v>
      </c>
      <c r="I1765" s="45" t="inlineStr">
        <is>
          <t>0/1</t>
        </is>
      </c>
      <c r="J1765" s="12" t="n">
        <v>0</v>
      </c>
      <c r="K1765" t="inlineStr">
        <is>
          <t>Distinguished</t>
        </is>
      </c>
      <c r="L1765" t="inlineStr">
        <is>
          <t>Adjunct</t>
        </is>
      </c>
      <c r="M1765" t="inlineStr">
        <is>
          <t>Annelies de Groot</t>
        </is>
      </c>
    </row>
    <row r="1766">
      <c r="A1766" s="42" t="inlineStr">
        <is>
          <t>Stacey Jones</t>
        </is>
      </c>
      <c r="B1766" s="42" t="inlineStr">
        <is>
          <t>11/30/25 - 12/27/25</t>
        </is>
      </c>
      <c r="C1766" s="41" t="n">
        <v>1.05</v>
      </c>
      <c r="D1766" s="41" t="n">
        <v>1.2</v>
      </c>
      <c r="E1766" s="41" t="n">
        <v>0.97</v>
      </c>
      <c r="F1766" s="41" t="n">
        <v>0.96</v>
      </c>
      <c r="G1766" s="41" t="n">
        <v>0.6899999999999999</v>
      </c>
      <c r="H1766" s="42" t="n">
        <v>6</v>
      </c>
      <c r="I1766" s="43" t="inlineStr">
        <is>
          <t>0/2</t>
        </is>
      </c>
      <c r="J1766" s="12" t="n">
        <v>0</v>
      </c>
      <c r="K1766" t="inlineStr">
        <is>
          <t>Distinguished</t>
        </is>
      </c>
      <c r="L1766" t="inlineStr">
        <is>
          <t>Adjunct</t>
        </is>
      </c>
      <c r="M1766" t="inlineStr">
        <is>
          <t>Annelies de Groot</t>
        </is>
      </c>
    </row>
    <row r="1767">
      <c r="A1767" s="42" t="inlineStr">
        <is>
          <t>Stacey Jones</t>
        </is>
      </c>
      <c r="B1767" s="42" t="inlineStr">
        <is>
          <t>12/28/25 - 1/25/26</t>
        </is>
      </c>
      <c r="C1767" s="41" t="n">
        <v>1.5</v>
      </c>
      <c r="D1767" s="41" t="n">
        <v>1.4727</v>
      </c>
      <c r="E1767" s="41" t="n">
        <v>0.965909091</v>
      </c>
      <c r="F1767" s="41" t="n">
        <v>0.984126984</v>
      </c>
      <c r="G1767" s="41" t="n">
        <v>0.4</v>
      </c>
      <c r="H1767" s="42" t="n">
        <v>6</v>
      </c>
      <c r="I1767" s="43" t="n">
        <v>0.25</v>
      </c>
      <c r="J1767" s="12">
        <f>I1767</f>
        <v/>
      </c>
      <c r="K1767" t="inlineStr">
        <is>
          <t>Distinguished</t>
        </is>
      </c>
      <c r="L1767" t="inlineStr">
        <is>
          <t>Adjunct</t>
        </is>
      </c>
      <c r="M1767" t="inlineStr">
        <is>
          <t>Annelies de Groot</t>
        </is>
      </c>
    </row>
    <row r="1768">
      <c r="A1768" s="42" t="inlineStr">
        <is>
          <t>Stacey Jones</t>
        </is>
      </c>
      <c r="B1768" s="42" t="inlineStr">
        <is>
          <t>5/18/25 - 6/14/25</t>
        </is>
      </c>
      <c r="C1768" s="41" t="n">
        <v>0.9</v>
      </c>
      <c r="D1768" s="41" t="n">
        <v>1.27</v>
      </c>
      <c r="E1768" s="41" t="n">
        <v>0.98</v>
      </c>
      <c r="F1768" s="41" t="n">
        <v>0.74</v>
      </c>
      <c r="G1768" s="41" t="n">
        <v>0.67</v>
      </c>
      <c r="H1768" s="42" t="n">
        <v>7</v>
      </c>
      <c r="I1768" s="42" t="n"/>
      <c r="J1768" s="9" t="n"/>
      <c r="K1768" t="inlineStr">
        <is>
          <t>Distinguished</t>
        </is>
      </c>
      <c r="L1768" t="inlineStr">
        <is>
          <t>Adjunct</t>
        </is>
      </c>
      <c r="M1768" t="inlineStr">
        <is>
          <t>Annelies de Groot</t>
        </is>
      </c>
    </row>
    <row r="1769">
      <c r="A1769" s="42" t="inlineStr">
        <is>
          <t>Stacey Jones</t>
        </is>
      </c>
      <c r="B1769" s="42" t="inlineStr">
        <is>
          <t>6/15/25 - 7/12/25</t>
        </is>
      </c>
      <c r="C1769" s="41" t="n">
        <v>0.6</v>
      </c>
      <c r="D1769" s="41" t="n">
        <v>0.9399999999999999</v>
      </c>
      <c r="E1769" s="41" t="n">
        <v>0.92</v>
      </c>
      <c r="F1769" s="41" t="n">
        <v>1</v>
      </c>
      <c r="G1769" s="41" t="n">
        <v>0.33</v>
      </c>
      <c r="H1769" s="42" t="n">
        <v>8</v>
      </c>
      <c r="I1769" s="42" t="n"/>
      <c r="J1769" s="9" t="n"/>
      <c r="K1769" t="inlineStr">
        <is>
          <t>Distinguished</t>
        </is>
      </c>
      <c r="L1769" t="inlineStr">
        <is>
          <t>Adjunct</t>
        </is>
      </c>
      <c r="M1769" t="inlineStr">
        <is>
          <t>Annelies de Groot</t>
        </is>
      </c>
    </row>
    <row r="1770">
      <c r="A1770" s="42" t="inlineStr">
        <is>
          <t>Stacey Jones</t>
        </is>
      </c>
      <c r="B1770" s="42" t="inlineStr">
        <is>
          <t>7/13/25 - 8/10/25</t>
        </is>
      </c>
      <c r="C1770" s="41" t="n">
        <v>0.89</v>
      </c>
      <c r="D1770" s="41" t="n">
        <v>1.49</v>
      </c>
      <c r="E1770" s="41" t="n">
        <v>0.95</v>
      </c>
      <c r="F1770" s="41" t="n">
        <v>0.9399999999999999</v>
      </c>
      <c r="G1770" s="41" t="n">
        <v>0.54</v>
      </c>
      <c r="H1770" s="42" t="n">
        <v>2</v>
      </c>
      <c r="I1770" s="43" t="n">
        <v>0</v>
      </c>
      <c r="J1770" s="12">
        <f>I1770</f>
        <v/>
      </c>
      <c r="K1770" t="inlineStr">
        <is>
          <t>Distinguished</t>
        </is>
      </c>
      <c r="L1770" t="inlineStr">
        <is>
          <t>Adjunct</t>
        </is>
      </c>
      <c r="M1770" t="inlineStr">
        <is>
          <t>Annelies de Groot</t>
        </is>
      </c>
    </row>
    <row r="1771">
      <c r="A1771" s="42" t="inlineStr">
        <is>
          <t>Stacey Jones</t>
        </is>
      </c>
      <c r="B1771" s="42" t="inlineStr">
        <is>
          <t>8/10/25 - 9/6/25</t>
        </is>
      </c>
      <c r="C1771" s="41" t="n">
        <v>1.13</v>
      </c>
      <c r="D1771" s="41" t="n">
        <v>1.51</v>
      </c>
      <c r="E1771" s="41" t="n">
        <v>0.92</v>
      </c>
      <c r="F1771" s="41" t="n">
        <v>0.95</v>
      </c>
      <c r="G1771" s="41" t="n">
        <v>0.92</v>
      </c>
      <c r="H1771" s="42" t="n">
        <v>8</v>
      </c>
      <c r="I1771" s="43" t="inlineStr">
        <is>
          <t>0/1</t>
        </is>
      </c>
      <c r="J1771" s="12" t="n">
        <v>0</v>
      </c>
      <c r="K1771" t="inlineStr">
        <is>
          <t>Distinguished</t>
        </is>
      </c>
      <c r="L1771" t="inlineStr">
        <is>
          <t>Adjunct</t>
        </is>
      </c>
      <c r="M1771" t="inlineStr">
        <is>
          <t>Annelies de Groot</t>
        </is>
      </c>
    </row>
    <row r="1772">
      <c r="A1772" s="42" t="inlineStr">
        <is>
          <t>Stacey Jones</t>
        </is>
      </c>
      <c r="B1772" s="42" t="inlineStr">
        <is>
          <t>9/7/25 - 10/4/25</t>
        </is>
      </c>
      <c r="C1772" s="41" t="n">
        <v>1.13</v>
      </c>
      <c r="D1772" s="41" t="n">
        <v>1.15</v>
      </c>
      <c r="E1772" s="41" t="n">
        <v>1</v>
      </c>
      <c r="F1772" s="41" t="n">
        <v>0.98</v>
      </c>
      <c r="G1772" s="41" t="n">
        <v>0.82</v>
      </c>
      <c r="H1772" s="42" t="n">
        <v>7</v>
      </c>
      <c r="I1772" s="44" t="n"/>
      <c r="J1772" s="9" t="n"/>
      <c r="K1772" t="inlineStr">
        <is>
          <t>Distinguished</t>
        </is>
      </c>
      <c r="L1772" t="inlineStr">
        <is>
          <t>Adjunct</t>
        </is>
      </c>
      <c r="M1772" t="inlineStr">
        <is>
          <t>Annelies de Groot</t>
        </is>
      </c>
    </row>
    <row r="1773">
      <c r="A1773" s="42" t="inlineStr">
        <is>
          <t>Stephanie Robey</t>
        </is>
      </c>
      <c r="B1773" s="42" t="inlineStr">
        <is>
          <t>5/18/25 - 6/14/25</t>
        </is>
      </c>
      <c r="C1773" s="41" t="n">
        <v>0.96</v>
      </c>
      <c r="D1773" s="41" t="n">
        <v>1.09</v>
      </c>
      <c r="E1773" s="41" t="n">
        <v>1</v>
      </c>
      <c r="F1773" s="41" t="n">
        <v>0.97</v>
      </c>
      <c r="G1773" s="41" t="n">
        <v>0.85</v>
      </c>
      <c r="H1773" s="42" t="n">
        <v>4</v>
      </c>
      <c r="I1773" s="43" t="inlineStr">
        <is>
          <t xml:space="preserve"> 4/5</t>
        </is>
      </c>
      <c r="J1773" s="12" t="n">
        <v>0.8</v>
      </c>
      <c r="K1773" t="e">
        <v>#N/A</v>
      </c>
      <c r="L1773" t="e">
        <v>#N/A</v>
      </c>
      <c r="M1773" t="e">
        <v>#N/A</v>
      </c>
    </row>
    <row r="1774">
      <c r="A1774" s="42" t="inlineStr">
        <is>
          <t>Stephanie Robey</t>
        </is>
      </c>
      <c r="B1774" s="42" t="inlineStr">
        <is>
          <t>6/15/25 - 7/12/25</t>
        </is>
      </c>
      <c r="C1774" s="41" t="n">
        <v>0.76</v>
      </c>
      <c r="D1774" s="41" t="n">
        <v>1.03</v>
      </c>
      <c r="E1774" s="41" t="n">
        <v>1</v>
      </c>
      <c r="F1774" s="41" t="n">
        <v>0.92</v>
      </c>
      <c r="G1774" s="41" t="n">
        <v>0.82</v>
      </c>
      <c r="H1774" s="42" t="n">
        <v>6</v>
      </c>
      <c r="I1774" s="43" t="n">
        <v>1</v>
      </c>
      <c r="J1774" s="12">
        <f>I1774</f>
        <v/>
      </c>
      <c r="K1774" t="e">
        <v>#N/A</v>
      </c>
      <c r="L1774" t="e">
        <v>#N/A</v>
      </c>
      <c r="M1774" t="e">
        <v>#N/A</v>
      </c>
    </row>
    <row r="1775">
      <c r="A1775" s="42" t="inlineStr">
        <is>
          <t>Steven Colome</t>
        </is>
      </c>
      <c r="B1775" s="42" t="inlineStr">
        <is>
          <t>10/5/25 - 11/1/25</t>
        </is>
      </c>
      <c r="C1775" s="41" t="n">
        <v>1.5417</v>
      </c>
      <c r="D1775" s="41" t="n">
        <v>1.77729999999999</v>
      </c>
      <c r="E1775" s="41" t="n">
        <v>0.9875</v>
      </c>
      <c r="F1775" s="41" t="n">
        <v>1</v>
      </c>
      <c r="G1775" s="41" t="n">
        <v>0.529411764705882</v>
      </c>
      <c r="H1775" s="42" t="n">
        <v>8</v>
      </c>
      <c r="I1775" s="43" t="inlineStr">
        <is>
          <t>0/1</t>
        </is>
      </c>
      <c r="J1775" s="12" t="n">
        <v>0</v>
      </c>
      <c r="K1775" t="inlineStr">
        <is>
          <t>Distinguished</t>
        </is>
      </c>
      <c r="L1775" t="inlineStr">
        <is>
          <t>Adjunct</t>
        </is>
      </c>
      <c r="M1775" t="inlineStr">
        <is>
          <t>Ela Cross</t>
        </is>
      </c>
    </row>
    <row r="1776">
      <c r="A1776" s="42" t="inlineStr">
        <is>
          <t>Steven Colome</t>
        </is>
      </c>
      <c r="B1776" s="42" t="inlineStr">
        <is>
          <t>11/2/25 - 11/29/25</t>
        </is>
      </c>
      <c r="C1776" s="41" t="n">
        <v>1.53</v>
      </c>
      <c r="D1776" s="41" t="n">
        <v>1.6</v>
      </c>
      <c r="E1776" s="41" t="n">
        <v>0.98</v>
      </c>
      <c r="F1776" s="41" t="n">
        <v>1</v>
      </c>
      <c r="G1776" s="41" t="n">
        <v>0.57</v>
      </c>
      <c r="H1776" s="42" t="n">
        <v>4</v>
      </c>
      <c r="I1776" s="45" t="n"/>
      <c r="J1776" s="9" t="n"/>
      <c r="K1776" t="inlineStr">
        <is>
          <t>Distinguished</t>
        </is>
      </c>
      <c r="L1776" t="inlineStr">
        <is>
          <t>Adjunct</t>
        </is>
      </c>
      <c r="M1776" t="inlineStr">
        <is>
          <t>Ela Cross</t>
        </is>
      </c>
    </row>
    <row r="1777">
      <c r="A1777" s="42" t="inlineStr">
        <is>
          <t>Steven Colome</t>
        </is>
      </c>
      <c r="B1777" s="42" t="inlineStr">
        <is>
          <t>11/30/25 - 12/27/25</t>
        </is>
      </c>
      <c r="C1777" s="41" t="n">
        <v>0.9399999999999999</v>
      </c>
      <c r="D1777" s="41" t="n">
        <v>1.73</v>
      </c>
      <c r="E1777" s="41" t="n">
        <v>0.9399999999999999</v>
      </c>
      <c r="F1777" s="41" t="n">
        <v>0.96</v>
      </c>
      <c r="G1777" s="41" t="n">
        <v>0.67</v>
      </c>
      <c r="H1777" s="42" t="n">
        <v>7</v>
      </c>
      <c r="I1777" s="43" t="n"/>
      <c r="J1777" s="12" t="n"/>
      <c r="K1777" t="inlineStr">
        <is>
          <t>Distinguished</t>
        </is>
      </c>
      <c r="L1777" t="inlineStr">
        <is>
          <t>Adjunct</t>
        </is>
      </c>
      <c r="M1777" t="inlineStr">
        <is>
          <t>Ela Cross</t>
        </is>
      </c>
    </row>
    <row r="1778">
      <c r="A1778" s="42" t="inlineStr">
        <is>
          <t>Steven Colome</t>
        </is>
      </c>
      <c r="B1778" s="42" t="inlineStr">
        <is>
          <t>12/28/25 - 1/25/26</t>
        </is>
      </c>
      <c r="C1778" s="41" t="n">
        <v>0.8542</v>
      </c>
      <c r="D1778" s="41" t="n">
        <v>1.2734</v>
      </c>
      <c r="E1778" s="41" t="n">
        <v>0.974358974</v>
      </c>
      <c r="F1778" s="41" t="n">
        <v>0.6333333330000001</v>
      </c>
      <c r="G1778" s="41" t="n">
        <v>0.125</v>
      </c>
      <c r="H1778" s="42" t="n">
        <v>4</v>
      </c>
      <c r="I1778" s="43" t="n">
        <v>1</v>
      </c>
      <c r="J1778" s="12">
        <f>I1778</f>
        <v/>
      </c>
      <c r="K1778" t="inlineStr">
        <is>
          <t>Distinguished</t>
        </is>
      </c>
      <c r="L1778" t="inlineStr">
        <is>
          <t>Adjunct</t>
        </is>
      </c>
      <c r="M1778" t="inlineStr">
        <is>
          <t>Ela Cross</t>
        </is>
      </c>
    </row>
    <row r="1779">
      <c r="A1779" s="42" t="inlineStr">
        <is>
          <t>Steven Colome</t>
        </is>
      </c>
      <c r="B1779" s="42" t="inlineStr">
        <is>
          <t>5/18/25 - 6/14/25</t>
        </is>
      </c>
      <c r="C1779" s="41" t="n">
        <v>0.43</v>
      </c>
      <c r="D1779" s="41" t="n">
        <v>1.25</v>
      </c>
      <c r="E1779" s="41" t="n">
        <v>1</v>
      </c>
      <c r="F1779" s="41" t="n">
        <v>0.73</v>
      </c>
      <c r="G1779" s="41" t="n">
        <v>1</v>
      </c>
      <c r="H1779" s="42" t="e">
        <v>#N/A</v>
      </c>
      <c r="I1779" s="42" t="n"/>
      <c r="J1779" s="9" t="n"/>
      <c r="K1779" t="inlineStr">
        <is>
          <t>Distinguished</t>
        </is>
      </c>
      <c r="L1779" t="inlineStr">
        <is>
          <t>Adjunct</t>
        </is>
      </c>
      <c r="M1779" t="inlineStr">
        <is>
          <t>Ela Cross</t>
        </is>
      </c>
    </row>
    <row r="1780">
      <c r="A1780" s="42" t="inlineStr">
        <is>
          <t>Steven Colome</t>
        </is>
      </c>
      <c r="B1780" s="42" t="inlineStr">
        <is>
          <t>6/15/25 - 7/12/25</t>
        </is>
      </c>
      <c r="C1780" s="41" t="n">
        <v>0.25</v>
      </c>
      <c r="D1780" s="41" t="n">
        <v>1.3</v>
      </c>
      <c r="E1780" s="41" t="n">
        <v>1</v>
      </c>
      <c r="F1780" s="41" t="n">
        <v>0.91</v>
      </c>
      <c r="G1780" s="41" t="n">
        <v>0.79</v>
      </c>
      <c r="H1780" s="42" t="n">
        <v>2</v>
      </c>
      <c r="I1780" s="43" t="n">
        <v>0</v>
      </c>
      <c r="J1780" s="12">
        <f>I1780</f>
        <v/>
      </c>
      <c r="K1780" t="inlineStr">
        <is>
          <t>Distinguished</t>
        </is>
      </c>
      <c r="L1780" t="inlineStr">
        <is>
          <t>Adjunct</t>
        </is>
      </c>
      <c r="M1780" t="inlineStr">
        <is>
          <t>Ela Cross</t>
        </is>
      </c>
    </row>
    <row r="1781">
      <c r="A1781" s="42" t="inlineStr">
        <is>
          <t>Steven Colome</t>
        </is>
      </c>
      <c r="B1781" s="42" t="inlineStr">
        <is>
          <t>7/13/25 - 8/10/25</t>
        </is>
      </c>
      <c r="C1781" s="41" t="n">
        <v>1.55</v>
      </c>
      <c r="D1781" s="41" t="n">
        <v>2.49</v>
      </c>
      <c r="E1781" s="41" t="n">
        <v>1</v>
      </c>
      <c r="F1781" s="41" t="n">
        <v>1</v>
      </c>
      <c r="G1781" s="41" t="n">
        <v>0</v>
      </c>
      <c r="H1781" s="42" t="n">
        <v>3</v>
      </c>
      <c r="I1781" s="43" t="inlineStr">
        <is>
          <t xml:space="preserve"> 1/3</t>
        </is>
      </c>
      <c r="J1781" s="12">
        <f>1/3</f>
        <v/>
      </c>
      <c r="K1781" t="inlineStr">
        <is>
          <t>Distinguished</t>
        </is>
      </c>
      <c r="L1781" t="inlineStr">
        <is>
          <t>Adjunct</t>
        </is>
      </c>
      <c r="M1781" t="inlineStr">
        <is>
          <t>Ela Cross</t>
        </is>
      </c>
    </row>
    <row r="1782">
      <c r="A1782" s="42" t="inlineStr">
        <is>
          <t>Steven Colome</t>
        </is>
      </c>
      <c r="B1782" s="42" t="inlineStr">
        <is>
          <t>8/10/25 - 9/6/25</t>
        </is>
      </c>
      <c r="C1782" s="41" t="n">
        <v>1.67</v>
      </c>
      <c r="D1782" s="41" t="n">
        <v>2.17</v>
      </c>
      <c r="E1782" s="41" t="n">
        <v>0.99</v>
      </c>
      <c r="F1782" s="41" t="n">
        <v>0.49</v>
      </c>
      <c r="G1782" s="41" t="n">
        <v>0.27</v>
      </c>
      <c r="H1782" s="42" t="n">
        <v>7</v>
      </c>
      <c r="I1782" s="44" t="n"/>
      <c r="J1782" s="9" t="n"/>
      <c r="K1782" t="inlineStr">
        <is>
          <t>Distinguished</t>
        </is>
      </c>
      <c r="L1782" t="inlineStr">
        <is>
          <t>Adjunct</t>
        </is>
      </c>
      <c r="M1782" t="inlineStr">
        <is>
          <t>Ela Cross</t>
        </is>
      </c>
    </row>
    <row r="1783">
      <c r="A1783" s="42" t="inlineStr">
        <is>
          <t>Steven Colome</t>
        </is>
      </c>
      <c r="B1783" s="42" t="inlineStr">
        <is>
          <t>9/7/25 - 10/4/25</t>
        </is>
      </c>
      <c r="C1783" s="41" t="n">
        <v>1.93</v>
      </c>
      <c r="D1783" s="41" t="n">
        <v>1.87</v>
      </c>
      <c r="E1783" s="41" t="n">
        <v>0.99</v>
      </c>
      <c r="F1783" s="41" t="n">
        <v>0.72</v>
      </c>
      <c r="G1783" s="41" t="n">
        <v>0.08</v>
      </c>
      <c r="H1783" s="42" t="n">
        <v>9</v>
      </c>
      <c r="I1783" s="43" t="inlineStr">
        <is>
          <t>2/4</t>
        </is>
      </c>
      <c r="J1783" s="12" t="n">
        <v>0.5</v>
      </c>
      <c r="K1783" t="inlineStr">
        <is>
          <t>Distinguished</t>
        </is>
      </c>
      <c r="L1783" t="inlineStr">
        <is>
          <t>Adjunct</t>
        </is>
      </c>
      <c r="M1783" t="inlineStr">
        <is>
          <t>Ela Cross</t>
        </is>
      </c>
    </row>
    <row r="1784">
      <c r="A1784" s="42" t="inlineStr">
        <is>
          <t>Sunho Kum</t>
        </is>
      </c>
      <c r="B1784" s="42" t="inlineStr">
        <is>
          <t>10/5/25 - 11/1/25</t>
        </is>
      </c>
      <c r="C1784" s="41" t="n">
        <v>1.8229</v>
      </c>
      <c r="D1784" s="41" t="n">
        <v>1.8984</v>
      </c>
      <c r="E1784" s="41" t="n">
        <v>1</v>
      </c>
      <c r="F1784" s="41" t="n">
        <v>1</v>
      </c>
      <c r="G1784" s="41" t="n">
        <v>1</v>
      </c>
      <c r="H1784" s="42" t="n">
        <v>1</v>
      </c>
      <c r="I1784" s="43" t="n"/>
      <c r="J1784" s="12" t="n"/>
      <c r="K1784" t="inlineStr">
        <is>
          <t>Distinguished</t>
        </is>
      </c>
      <c r="L1784" t="inlineStr">
        <is>
          <t>Adjunct</t>
        </is>
      </c>
      <c r="M1784" t="inlineStr">
        <is>
          <t>Ela Cross</t>
        </is>
      </c>
    </row>
    <row r="1785">
      <c r="A1785" s="42" t="inlineStr">
        <is>
          <t>Sunho Kum</t>
        </is>
      </c>
      <c r="B1785" s="42" t="inlineStr">
        <is>
          <t>10/5/25 - 11/1/25</t>
        </is>
      </c>
      <c r="C1785" s="41" t="n">
        <v>1.8229</v>
      </c>
      <c r="D1785" s="41" t="n">
        <v>1.8984</v>
      </c>
      <c r="E1785" s="41" t="n">
        <v>1</v>
      </c>
      <c r="F1785" s="41" t="n">
        <v>1</v>
      </c>
      <c r="G1785" s="41" t="n">
        <v>1</v>
      </c>
      <c r="H1785" s="42" t="n">
        <v>1</v>
      </c>
      <c r="I1785" s="42" t="n"/>
      <c r="J1785" s="9" t="n"/>
      <c r="K1785" t="inlineStr">
        <is>
          <t>Distinguished</t>
        </is>
      </c>
      <c r="L1785" t="inlineStr">
        <is>
          <t>Adjunct</t>
        </is>
      </c>
      <c r="M1785" t="inlineStr">
        <is>
          <t>Ela Cross</t>
        </is>
      </c>
    </row>
    <row r="1786">
      <c r="A1786" s="42" t="inlineStr">
        <is>
          <t>Sunho Kum</t>
        </is>
      </c>
      <c r="B1786" s="42" t="inlineStr">
        <is>
          <t>11/2/25 - 11/29/25</t>
        </is>
      </c>
      <c r="C1786" s="41" t="n">
        <v>0.61</v>
      </c>
      <c r="D1786" s="41" t="n">
        <v>0.74</v>
      </c>
      <c r="E1786" s="41" t="n">
        <v>1</v>
      </c>
      <c r="F1786" s="41" t="n">
        <v>0.72</v>
      </c>
      <c r="G1786" s="41" t="n">
        <v>0.75</v>
      </c>
      <c r="H1786" s="42" t="n">
        <v>2</v>
      </c>
      <c r="I1786" s="45" t="n"/>
      <c r="J1786" s="9" t="n"/>
      <c r="K1786" t="inlineStr">
        <is>
          <t>Distinguished</t>
        </is>
      </c>
      <c r="L1786" t="inlineStr">
        <is>
          <t>Adjunct</t>
        </is>
      </c>
      <c r="M1786" t="inlineStr">
        <is>
          <t>Ela Cross</t>
        </is>
      </c>
    </row>
    <row r="1787">
      <c r="A1787" s="42" t="inlineStr">
        <is>
          <t>Sunho Kum</t>
        </is>
      </c>
      <c r="B1787" s="42" t="inlineStr">
        <is>
          <t>11/30/25 - 12/27/25</t>
        </is>
      </c>
      <c r="C1787" s="41" t="n">
        <v>0.51</v>
      </c>
      <c r="D1787" s="41" t="n">
        <v>0.9</v>
      </c>
      <c r="E1787" s="41" t="n">
        <v>1</v>
      </c>
      <c r="F1787" s="41" t="n">
        <v>1</v>
      </c>
      <c r="G1787" s="41" t="n">
        <v>0.92</v>
      </c>
      <c r="H1787" s="42" t="n">
        <v>3</v>
      </c>
      <c r="I1787" s="43" t="n">
        <v>1</v>
      </c>
      <c r="J1787" s="12" t="n">
        <v>1</v>
      </c>
      <c r="K1787" t="inlineStr">
        <is>
          <t>Distinguished</t>
        </is>
      </c>
      <c r="L1787" t="inlineStr">
        <is>
          <t>Adjunct</t>
        </is>
      </c>
      <c r="M1787" t="inlineStr">
        <is>
          <t>Ela Cross</t>
        </is>
      </c>
    </row>
    <row r="1788">
      <c r="A1788" s="42" t="inlineStr">
        <is>
          <t>Sunho Kum</t>
        </is>
      </c>
      <c r="B1788" s="42" t="inlineStr">
        <is>
          <t>12/28/25 - 1/25/26</t>
        </is>
      </c>
      <c r="C1788" s="41" t="n">
        <v>1.0729</v>
      </c>
      <c r="D1788" s="41" t="n">
        <v>1</v>
      </c>
      <c r="E1788" s="41" t="n">
        <v>0.975609756</v>
      </c>
      <c r="F1788" s="41" t="n">
        <v>0.974358974</v>
      </c>
      <c r="G1788" s="41" t="n">
        <v>0.857142857</v>
      </c>
      <c r="H1788" s="42" t="n">
        <v>6</v>
      </c>
      <c r="I1788" s="43" t="n">
        <v>1</v>
      </c>
      <c r="J1788" s="12">
        <f>I1788</f>
        <v/>
      </c>
      <c r="K1788" t="inlineStr">
        <is>
          <t>Distinguished</t>
        </is>
      </c>
      <c r="L1788" t="inlineStr">
        <is>
          <t>Adjunct</t>
        </is>
      </c>
      <c r="M1788" t="inlineStr">
        <is>
          <t>Ela Cross</t>
        </is>
      </c>
    </row>
    <row r="1789">
      <c r="A1789" s="42" t="inlineStr">
        <is>
          <t>Sunho Kum</t>
        </is>
      </c>
      <c r="B1789" s="42" t="inlineStr">
        <is>
          <t>5/18/25 - 6/14/25</t>
        </is>
      </c>
      <c r="C1789" s="41" t="n">
        <v>1.02</v>
      </c>
      <c r="D1789" s="41" t="n">
        <v>1.14</v>
      </c>
      <c r="E1789" s="41" t="n">
        <v>0.97</v>
      </c>
      <c r="F1789" s="41" t="n">
        <v>0.97</v>
      </c>
      <c r="G1789" s="41" t="n">
        <v>1</v>
      </c>
      <c r="H1789" s="42" t="n">
        <v>1</v>
      </c>
      <c r="I1789" s="43" t="n">
        <v>0</v>
      </c>
      <c r="J1789" s="12">
        <f>I1789</f>
        <v/>
      </c>
      <c r="K1789" t="inlineStr">
        <is>
          <t>Distinguished</t>
        </is>
      </c>
      <c r="L1789" t="inlineStr">
        <is>
          <t>Adjunct</t>
        </is>
      </c>
      <c r="M1789" t="inlineStr">
        <is>
          <t>Ela Cross</t>
        </is>
      </c>
    </row>
    <row r="1790">
      <c r="A1790" s="42" t="inlineStr">
        <is>
          <t>Sunho Kum</t>
        </is>
      </c>
      <c r="B1790" s="42" t="inlineStr">
        <is>
          <t>6/15/25 - 7/12/25</t>
        </is>
      </c>
      <c r="C1790" s="41" t="n">
        <v>0.45</v>
      </c>
      <c r="D1790" s="41" t="n">
        <v>1.34</v>
      </c>
      <c r="E1790" s="41" t="n">
        <v>1</v>
      </c>
      <c r="F1790" s="41" t="n">
        <v>0.9399999999999999</v>
      </c>
      <c r="G1790" s="41" t="n">
        <v>0.91</v>
      </c>
      <c r="H1790" s="42" t="n">
        <v>7</v>
      </c>
      <c r="I1790" s="42" t="n"/>
      <c r="J1790" s="9" t="n"/>
      <c r="K1790" t="inlineStr">
        <is>
          <t>Distinguished</t>
        </is>
      </c>
      <c r="L1790" t="inlineStr">
        <is>
          <t>Adjunct</t>
        </is>
      </c>
      <c r="M1790" t="inlineStr">
        <is>
          <t>Ela Cross</t>
        </is>
      </c>
    </row>
    <row r="1791">
      <c r="A1791" s="42" t="inlineStr">
        <is>
          <t>Sunho Kum</t>
        </is>
      </c>
      <c r="B1791" s="42" t="inlineStr">
        <is>
          <t>7/13/25 - 8/10/25</t>
        </is>
      </c>
      <c r="C1791" s="41" t="n">
        <v>0.99</v>
      </c>
      <c r="D1791" s="41" t="n">
        <v>1.3</v>
      </c>
      <c r="E1791" s="41" t="n">
        <v>0.98</v>
      </c>
      <c r="F1791" s="41" t="n">
        <v>0.93</v>
      </c>
      <c r="G1791" s="41" t="n">
        <v>0.88</v>
      </c>
      <c r="H1791" s="42" t="n">
        <v>1</v>
      </c>
      <c r="I1791" s="43" t="inlineStr">
        <is>
          <t xml:space="preserve"> 3/4</t>
        </is>
      </c>
      <c r="J1791" s="12" t="n">
        <v>0.75</v>
      </c>
      <c r="K1791" t="inlineStr">
        <is>
          <t>Distinguished</t>
        </is>
      </c>
      <c r="L1791" t="inlineStr">
        <is>
          <t>Adjunct</t>
        </is>
      </c>
      <c r="M1791" t="inlineStr">
        <is>
          <t>Ela Cross</t>
        </is>
      </c>
    </row>
    <row r="1792">
      <c r="A1792" s="42" t="inlineStr">
        <is>
          <t>Sunho Kum</t>
        </is>
      </c>
      <c r="B1792" s="42" t="inlineStr">
        <is>
          <t>8/10/25 - 9/6/25</t>
        </is>
      </c>
      <c r="C1792" s="41" t="n">
        <v>1.75</v>
      </c>
      <c r="D1792" s="41" t="n">
        <v>1.82</v>
      </c>
      <c r="E1792" s="41" t="n">
        <v>0.99</v>
      </c>
      <c r="F1792" s="41" t="n">
        <v>1</v>
      </c>
      <c r="G1792" s="41" t="n">
        <v>1</v>
      </c>
      <c r="H1792" s="42" t="n">
        <v>5</v>
      </c>
      <c r="I1792" s="43" t="inlineStr">
        <is>
          <t>1/3</t>
        </is>
      </c>
      <c r="J1792" s="12" t="n">
        <v>0.33</v>
      </c>
      <c r="K1792" t="inlineStr">
        <is>
          <t>Distinguished</t>
        </is>
      </c>
      <c r="L1792" t="inlineStr">
        <is>
          <t>Adjunct</t>
        </is>
      </c>
      <c r="M1792" t="inlineStr">
        <is>
          <t>Ela Cross</t>
        </is>
      </c>
    </row>
    <row r="1793">
      <c r="A1793" s="42" t="inlineStr">
        <is>
          <t>Sunho Kum</t>
        </is>
      </c>
      <c r="B1793" s="42" t="inlineStr">
        <is>
          <t>9/7/25 - 10/4/25</t>
        </is>
      </c>
      <c r="C1793" s="41" t="n">
        <v>1.97</v>
      </c>
      <c r="D1793" s="41" t="n">
        <v>1.86</v>
      </c>
      <c r="E1793" s="41" t="n">
        <v>1</v>
      </c>
      <c r="F1793" s="41" t="n">
        <v>1</v>
      </c>
      <c r="G1793" s="41" t="n">
        <v>0.86</v>
      </c>
      <c r="H1793" s="42" t="n">
        <v>8</v>
      </c>
      <c r="I1793" s="43" t="inlineStr">
        <is>
          <t>1/3</t>
        </is>
      </c>
      <c r="J1793" s="12" t="n">
        <v>0.33</v>
      </c>
      <c r="K1793" t="inlineStr">
        <is>
          <t>Distinguished</t>
        </is>
      </c>
      <c r="L1793" t="inlineStr">
        <is>
          <t>Adjunct</t>
        </is>
      </c>
      <c r="M1793" t="inlineStr">
        <is>
          <t>Ela Cross</t>
        </is>
      </c>
    </row>
    <row r="1794">
      <c r="A1794" s="42" t="inlineStr">
        <is>
          <t>Susanna Strotz</t>
        </is>
      </c>
      <c r="B1794" s="42" t="inlineStr">
        <is>
          <t>10/5/25 - 11/1/25</t>
        </is>
      </c>
      <c r="C1794" s="41" t="n">
        <v>0.8583</v>
      </c>
      <c r="D1794" s="41" t="n">
        <v>1.09379999999999</v>
      </c>
      <c r="E1794" s="41" t="n">
        <v>1</v>
      </c>
      <c r="F1794" s="41" t="n">
        <v>0.984848484848484</v>
      </c>
      <c r="G1794" s="41" t="n">
        <v>0.8</v>
      </c>
      <c r="H1794" s="42" t="n">
        <v>7</v>
      </c>
      <c r="I1794" s="43" t="inlineStr">
        <is>
          <t>6/7</t>
        </is>
      </c>
      <c r="J1794" s="12" t="n">
        <v>0.86</v>
      </c>
      <c r="K1794" t="e">
        <v>#N/A</v>
      </c>
      <c r="L1794" t="e">
        <v>#N/A</v>
      </c>
      <c r="M1794" t="e">
        <v>#N/A</v>
      </c>
    </row>
    <row r="1795">
      <c r="A1795" s="42" t="inlineStr">
        <is>
          <t>Susanna Strotz</t>
        </is>
      </c>
      <c r="B1795" s="42" t="inlineStr">
        <is>
          <t>10/5/25 - 11/1/25</t>
        </is>
      </c>
      <c r="C1795" s="41" t="n">
        <v>0.8583</v>
      </c>
      <c r="D1795" s="41" t="n">
        <v>1.09379999999999</v>
      </c>
      <c r="E1795" s="41" t="n">
        <v>1</v>
      </c>
      <c r="F1795" s="41" t="n">
        <v>0.984848484848484</v>
      </c>
      <c r="G1795" s="41" t="n">
        <v>0.8</v>
      </c>
      <c r="H1795" s="42" t="n">
        <v>7</v>
      </c>
      <c r="I1795" s="43" t="inlineStr">
        <is>
          <t>6/7</t>
        </is>
      </c>
      <c r="J1795" s="12">
        <f>_xlfn.TEXTBEFORE(I1795, "/")/_xlfn.TEXTAFTER(I1795,"/")</f>
        <v/>
      </c>
      <c r="K1795" t="e">
        <v>#N/A</v>
      </c>
      <c r="L1795" t="e">
        <v>#N/A</v>
      </c>
      <c r="M1795" t="e">
        <v>#N/A</v>
      </c>
    </row>
    <row r="1796">
      <c r="A1796" s="42" t="inlineStr">
        <is>
          <t>Susanna Strotz</t>
        </is>
      </c>
      <c r="B1796" s="42" t="inlineStr">
        <is>
          <t>11/2/25 - 11/29/25</t>
        </is>
      </c>
      <c r="C1796" s="41" t="n">
        <v>0.83</v>
      </c>
      <c r="D1796" s="41" t="n">
        <v>0.96</v>
      </c>
      <c r="E1796" s="41" t="n">
        <v>1</v>
      </c>
      <c r="F1796" s="41" t="n">
        <v>0.99</v>
      </c>
      <c r="G1796" s="41" t="n">
        <v>0.9399999999999999</v>
      </c>
      <c r="H1796" s="42" t="n">
        <v>4</v>
      </c>
      <c r="I1796" s="45" t="n">
        <v>45878</v>
      </c>
      <c r="J1796" s="14" t="n">
        <v>0.89</v>
      </c>
      <c r="K1796" t="e">
        <v>#N/A</v>
      </c>
      <c r="L1796" t="e">
        <v>#N/A</v>
      </c>
      <c r="M1796" t="e">
        <v>#N/A</v>
      </c>
    </row>
    <row r="1797">
      <c r="A1797" s="42" t="inlineStr">
        <is>
          <t>Susanna Strotz</t>
        </is>
      </c>
      <c r="B1797" s="42" t="inlineStr">
        <is>
          <t>5/18/25 - 6/14/25</t>
        </is>
      </c>
      <c r="C1797" s="41" t="n">
        <v>0.99</v>
      </c>
      <c r="D1797" s="41" t="n">
        <v>1.15</v>
      </c>
      <c r="E1797" s="41" t="n">
        <v>1</v>
      </c>
      <c r="F1797" s="41" t="n">
        <v>0.98</v>
      </c>
      <c r="G1797" s="41" t="n">
        <v>0.86</v>
      </c>
      <c r="H1797" s="42" t="n">
        <v>5</v>
      </c>
      <c r="I1797" s="43" t="n">
        <v>1</v>
      </c>
      <c r="J1797" s="12">
        <f>I1797</f>
        <v/>
      </c>
      <c r="K1797" t="e">
        <v>#N/A</v>
      </c>
      <c r="L1797" t="e">
        <v>#N/A</v>
      </c>
      <c r="M1797" t="e">
        <v>#N/A</v>
      </c>
    </row>
    <row r="1798">
      <c r="A1798" s="42" t="inlineStr">
        <is>
          <t>Susanna Strotz</t>
        </is>
      </c>
      <c r="B1798" s="42" t="inlineStr">
        <is>
          <t>6/15/25 - 7/12/25</t>
        </is>
      </c>
      <c r="C1798" s="41" t="n">
        <v>0.85</v>
      </c>
      <c r="D1798" s="41" t="n">
        <v>1.1</v>
      </c>
      <c r="E1798" s="41" t="n">
        <v>1</v>
      </c>
      <c r="F1798" s="41" t="n">
        <v>1</v>
      </c>
      <c r="G1798" s="41" t="n">
        <v>0.73</v>
      </c>
      <c r="H1798" s="42" t="n">
        <v>5</v>
      </c>
      <c r="I1798" s="43" t="n">
        <v>1</v>
      </c>
      <c r="J1798" s="12">
        <f>I1798</f>
        <v/>
      </c>
      <c r="K1798" t="e">
        <v>#N/A</v>
      </c>
      <c r="L1798" t="e">
        <v>#N/A</v>
      </c>
      <c r="M1798" t="e">
        <v>#N/A</v>
      </c>
    </row>
    <row r="1799">
      <c r="A1799" s="42" t="inlineStr">
        <is>
          <t>Susanna Strotz</t>
        </is>
      </c>
      <c r="B1799" s="42" t="inlineStr">
        <is>
          <t>7/13/25 - 8/10/25</t>
        </is>
      </c>
      <c r="C1799" s="41" t="n">
        <v>0.84</v>
      </c>
      <c r="D1799" s="41" t="n">
        <v>1.01</v>
      </c>
      <c r="E1799" s="41" t="n">
        <v>1</v>
      </c>
      <c r="F1799" s="41" t="n">
        <v>0.9399999999999999</v>
      </c>
      <c r="G1799" s="41" t="n">
        <v>0.6899999999999999</v>
      </c>
      <c r="H1799" s="42" t="n">
        <v>2</v>
      </c>
      <c r="I1799" s="43" t="n">
        <v>1</v>
      </c>
      <c r="J1799" s="12">
        <f>I1799</f>
        <v/>
      </c>
      <c r="K1799" t="e">
        <v>#N/A</v>
      </c>
      <c r="L1799" t="e">
        <v>#N/A</v>
      </c>
      <c r="M1799" t="e">
        <v>#N/A</v>
      </c>
    </row>
    <row r="1800">
      <c r="A1800" s="42" t="inlineStr">
        <is>
          <t>Susanna Strotz</t>
        </is>
      </c>
      <c r="B1800" s="42" t="inlineStr">
        <is>
          <t>8/10/25 - 9/6/25</t>
        </is>
      </c>
      <c r="C1800" s="41" t="n">
        <v>0.85</v>
      </c>
      <c r="D1800" s="41" t="n">
        <v>1.06</v>
      </c>
      <c r="E1800" s="41" t="n">
        <v>0.99</v>
      </c>
      <c r="F1800" s="41" t="n">
        <v>0.98</v>
      </c>
      <c r="G1800" s="41" t="n">
        <v>0.92</v>
      </c>
      <c r="H1800" s="42" t="n">
        <v>5</v>
      </c>
      <c r="I1800" s="43" t="inlineStr">
        <is>
          <t>1/2</t>
        </is>
      </c>
      <c r="J1800" s="12" t="n">
        <v>0.5</v>
      </c>
      <c r="K1800" t="e">
        <v>#N/A</v>
      </c>
      <c r="L1800" t="e">
        <v>#N/A</v>
      </c>
      <c r="M1800" t="e">
        <v>#N/A</v>
      </c>
    </row>
    <row r="1801">
      <c r="A1801" s="42" t="inlineStr">
        <is>
          <t>Susanna Strotz</t>
        </is>
      </c>
      <c r="B1801" s="42" t="inlineStr">
        <is>
          <t>9/7/25 - 10/4/25</t>
        </is>
      </c>
      <c r="C1801" s="41" t="n">
        <v>0.87</v>
      </c>
      <c r="D1801" s="41" t="n">
        <v>1.13</v>
      </c>
      <c r="E1801" s="41" t="n">
        <v>1</v>
      </c>
      <c r="F1801" s="41" t="n">
        <v>0.93</v>
      </c>
      <c r="G1801" s="41" t="n">
        <v>0.83</v>
      </c>
      <c r="H1801" s="42" t="n">
        <v>6</v>
      </c>
      <c r="I1801" s="43" t="inlineStr">
        <is>
          <t>9/11</t>
        </is>
      </c>
      <c r="J1801" s="12" t="n">
        <v>0.82</v>
      </c>
      <c r="K1801" t="e">
        <v>#N/A</v>
      </c>
      <c r="L1801" t="e">
        <v>#N/A</v>
      </c>
      <c r="M1801" t="e">
        <v>#N/A</v>
      </c>
    </row>
    <row r="1802">
      <c r="A1802" s="42" t="inlineStr">
        <is>
          <t>Sydney Hawkins</t>
        </is>
      </c>
      <c r="B1802" s="42" t="inlineStr">
        <is>
          <t>5/18/25 - 6/14/25</t>
        </is>
      </c>
      <c r="C1802" s="41" t="n">
        <v>0.75</v>
      </c>
      <c r="D1802" s="41" t="n">
        <v>1.09</v>
      </c>
      <c r="E1802" s="41" t="n">
        <v>0.98</v>
      </c>
      <c r="F1802" s="41" t="n">
        <v>0.8100000000000001</v>
      </c>
      <c r="G1802" s="41" t="n">
        <v>0.83</v>
      </c>
      <c r="H1802" s="42" t="n">
        <v>3</v>
      </c>
      <c r="I1802" s="42" t="n"/>
      <c r="J1802" s="9" t="n"/>
      <c r="K1802" t="e">
        <v>#N/A</v>
      </c>
      <c r="L1802" t="e">
        <v>#N/A</v>
      </c>
      <c r="M1802" t="e">
        <v>#N/A</v>
      </c>
    </row>
    <row r="1803">
      <c r="A1803" s="42" t="inlineStr">
        <is>
          <t>Syrae Jennings</t>
        </is>
      </c>
      <c r="B1803" s="42" t="inlineStr">
        <is>
          <t>12/28/25 - 1/25/26</t>
        </is>
      </c>
      <c r="C1803" s="41" t="n">
        <v>0</v>
      </c>
      <c r="D1803" s="41" t="n">
        <v>0.3802</v>
      </c>
      <c r="E1803" s="41" t="n">
        <v>0</v>
      </c>
      <c r="F1803" s="41" t="n">
        <v>0</v>
      </c>
      <c r="G1803" s="41" t="n">
        <v>0</v>
      </c>
      <c r="H1803" s="42" t="n">
        <v>0</v>
      </c>
      <c r="I1803" s="43" t="inlineStr">
        <is>
          <t>0/0</t>
        </is>
      </c>
      <c r="J1803" s="12" t="n">
        <v>0</v>
      </c>
      <c r="K1803" t="e">
        <v>#N/A</v>
      </c>
      <c r="L1803" t="e">
        <v>#N/A</v>
      </c>
      <c r="M1803" t="e">
        <v>#N/A</v>
      </c>
    </row>
    <row r="1804">
      <c r="A1804" s="42" t="inlineStr">
        <is>
          <t>Szabi Varga</t>
        </is>
      </c>
      <c r="B1804" s="42" t="inlineStr">
        <is>
          <t>5/18/25 - 6/14/25</t>
        </is>
      </c>
      <c r="C1804" s="41" t="n">
        <v>0.79</v>
      </c>
      <c r="D1804" s="41" t="n">
        <v>1.35</v>
      </c>
      <c r="E1804" s="41" t="n">
        <v>0.96</v>
      </c>
      <c r="F1804" s="41" t="n">
        <v>0.89</v>
      </c>
      <c r="G1804" s="41" t="n">
        <v>1</v>
      </c>
      <c r="H1804" s="42" t="n">
        <v>1</v>
      </c>
      <c r="I1804" s="42" t="n"/>
      <c r="J1804" s="9" t="n"/>
      <c r="K1804" t="e">
        <v>#N/A</v>
      </c>
      <c r="L1804" t="e">
        <v>#N/A</v>
      </c>
      <c r="M1804" t="e">
        <v>#N/A</v>
      </c>
    </row>
    <row r="1805">
      <c r="A1805" s="42" t="inlineStr">
        <is>
          <t>Szabi Varga</t>
        </is>
      </c>
      <c r="B1805" s="42" t="inlineStr">
        <is>
          <t>6/15/25 - 7/12/25</t>
        </is>
      </c>
      <c r="C1805" s="41" t="n">
        <v>0.25</v>
      </c>
      <c r="D1805" s="41" t="n">
        <v>1.03</v>
      </c>
      <c r="E1805" s="41" t="n">
        <v>1</v>
      </c>
      <c r="F1805" s="41" t="n">
        <v>0.83</v>
      </c>
      <c r="G1805" s="41" t="n">
        <v>0.67</v>
      </c>
      <c r="H1805" s="42" t="e">
        <v>#N/A</v>
      </c>
      <c r="I1805" s="42" t="n"/>
      <c r="J1805" s="9" t="n"/>
      <c r="K1805" t="e">
        <v>#N/A</v>
      </c>
      <c r="L1805" t="e">
        <v>#N/A</v>
      </c>
      <c r="M1805" t="e">
        <v>#N/A</v>
      </c>
    </row>
    <row r="1806">
      <c r="A1806" s="42" t="inlineStr">
        <is>
          <t>Szabi Varga</t>
        </is>
      </c>
      <c r="B1806" s="42" t="inlineStr">
        <is>
          <t>7/13/25 - 8/10/25</t>
        </is>
      </c>
      <c r="C1806" s="41" t="n">
        <v>0.35</v>
      </c>
      <c r="D1806" s="41" t="n">
        <v>1.01</v>
      </c>
      <c r="E1806" s="41" t="n">
        <v>1</v>
      </c>
      <c r="F1806" s="41" t="n">
        <v>0.86</v>
      </c>
      <c r="G1806" s="41" t="n">
        <v>0.8</v>
      </c>
      <c r="H1806" s="42" t="n">
        <v>1</v>
      </c>
      <c r="I1806" s="43" t="n">
        <v>1</v>
      </c>
      <c r="J1806" s="12">
        <f>I1806</f>
        <v/>
      </c>
      <c r="K1806" t="e">
        <v>#N/A</v>
      </c>
      <c r="L1806" t="e">
        <v>#N/A</v>
      </c>
      <c r="M1806" t="e">
        <v>#N/A</v>
      </c>
    </row>
    <row r="1807">
      <c r="A1807" s="42" t="inlineStr">
        <is>
          <t>Szabi Varga</t>
        </is>
      </c>
      <c r="B1807" s="42" t="inlineStr">
        <is>
          <t>8/10/25 - 9/6/25</t>
        </is>
      </c>
      <c r="C1807" s="41" t="n">
        <v>0.36</v>
      </c>
      <c r="D1807" s="41" t="n">
        <v>0.99</v>
      </c>
      <c r="E1807" s="41" t="n">
        <v>0.89</v>
      </c>
      <c r="F1807" s="41" t="n">
        <v>0.87</v>
      </c>
      <c r="G1807" s="41" t="n">
        <v>1</v>
      </c>
      <c r="H1807" s="42" t="n">
        <v>1</v>
      </c>
      <c r="I1807" s="43" t="inlineStr">
        <is>
          <t>0/1</t>
        </is>
      </c>
      <c r="J1807" s="12" t="n">
        <v>0</v>
      </c>
      <c r="K1807" t="e">
        <v>#N/A</v>
      </c>
      <c r="L1807" t="e">
        <v>#N/A</v>
      </c>
      <c r="M1807" t="e">
        <v>#N/A</v>
      </c>
    </row>
    <row r="1808">
      <c r="A1808" s="42" t="inlineStr">
        <is>
          <t>Taryn Parks</t>
        </is>
      </c>
      <c r="B1808" s="42" t="inlineStr">
        <is>
          <t>12/28/25 - 1/25/26</t>
        </is>
      </c>
      <c r="C1808" s="41" t="n">
        <v>0.1944</v>
      </c>
      <c r="D1808" s="41" t="n">
        <v>0.7865</v>
      </c>
      <c r="E1808" s="41" t="n">
        <v>1</v>
      </c>
      <c r="F1808" s="41" t="n">
        <v>1</v>
      </c>
      <c r="G1808" s="41" t="n">
        <v>0</v>
      </c>
      <c r="H1808" s="42" t="n">
        <v>0</v>
      </c>
      <c r="I1808" s="43" t="n">
        <v>1</v>
      </c>
      <c r="J1808" s="12">
        <f>I1808</f>
        <v/>
      </c>
      <c r="K1808" t="inlineStr">
        <is>
          <t>Advanced</t>
        </is>
      </c>
      <c r="L1808" t="inlineStr">
        <is>
          <t>Adjunct</t>
        </is>
      </c>
      <c r="M1808" t="inlineStr">
        <is>
          <t>Annelies de Groot</t>
        </is>
      </c>
    </row>
    <row r="1809">
      <c r="A1809" s="42" t="inlineStr">
        <is>
          <t>Tea Stewart</t>
        </is>
      </c>
      <c r="B1809" s="42" t="inlineStr">
        <is>
          <t>10/5/25 - 11/1/25</t>
        </is>
      </c>
      <c r="C1809" s="41" t="n">
        <v>1.0625</v>
      </c>
      <c r="D1809" s="41" t="n">
        <v>1.0703</v>
      </c>
      <c r="E1809" s="41" t="n">
        <v>0.978260869565217</v>
      </c>
      <c r="F1809" s="41" t="n">
        <v>1</v>
      </c>
      <c r="G1809" s="41" t="n">
        <v>0.818181818181818</v>
      </c>
      <c r="H1809" s="42" t="n">
        <v>0</v>
      </c>
      <c r="I1809" s="43" t="inlineStr">
        <is>
          <t>0/3</t>
        </is>
      </c>
      <c r="J1809" s="12" t="n">
        <v>0</v>
      </c>
      <c r="K1809" t="inlineStr">
        <is>
          <t>Distinguished</t>
        </is>
      </c>
      <c r="L1809" t="inlineStr">
        <is>
          <t>Adjunct</t>
        </is>
      </c>
      <c r="M1809" t="inlineStr">
        <is>
          <t>Kristin Haase-Alvey</t>
        </is>
      </c>
    </row>
    <row r="1810">
      <c r="A1810" s="42" t="inlineStr">
        <is>
          <t>Tea Stewart</t>
        </is>
      </c>
      <c r="B1810" s="42" t="inlineStr">
        <is>
          <t>11/2/25 - 11/29/25</t>
        </is>
      </c>
      <c r="C1810" s="41" t="n">
        <v>1.04</v>
      </c>
      <c r="D1810" s="41" t="n">
        <v>1.01</v>
      </c>
      <c r="E1810" s="41" t="n">
        <v>1</v>
      </c>
      <c r="F1810" s="41" t="n">
        <v>1</v>
      </c>
      <c r="G1810" s="41" t="n">
        <v>0.86</v>
      </c>
      <c r="H1810" s="42" t="n">
        <v>4</v>
      </c>
      <c r="I1810" s="45" t="inlineStr">
        <is>
          <t>0/2</t>
        </is>
      </c>
      <c r="J1810" s="12" t="n">
        <v>0</v>
      </c>
      <c r="K1810" t="inlineStr">
        <is>
          <t>Distinguished</t>
        </is>
      </c>
      <c r="L1810" t="inlineStr">
        <is>
          <t>Adjunct</t>
        </is>
      </c>
      <c r="M1810" t="inlineStr">
        <is>
          <t>Kristin Haase-Alvey</t>
        </is>
      </c>
    </row>
    <row r="1811">
      <c r="A1811" s="42" t="inlineStr">
        <is>
          <t>Tea Stewart</t>
        </is>
      </c>
      <c r="B1811" s="42" t="inlineStr">
        <is>
          <t>11/30/25 - 12/27/25</t>
        </is>
      </c>
      <c r="C1811" s="41" t="n">
        <v>0.97</v>
      </c>
      <c r="D1811" s="41" t="n">
        <v>1.08</v>
      </c>
      <c r="E1811" s="41" t="n">
        <v>0.95</v>
      </c>
      <c r="F1811" s="41" t="n">
        <v>1</v>
      </c>
      <c r="G1811" s="41" t="n">
        <v>0.91</v>
      </c>
      <c r="H1811" s="42" t="n">
        <v>2</v>
      </c>
      <c r="I1811" s="43" t="inlineStr">
        <is>
          <t>0/2</t>
        </is>
      </c>
      <c r="J1811" s="12" t="n">
        <v>0</v>
      </c>
      <c r="K1811" t="inlineStr">
        <is>
          <t>Distinguished</t>
        </is>
      </c>
      <c r="L1811" t="inlineStr">
        <is>
          <t>Adjunct</t>
        </is>
      </c>
      <c r="M1811" t="inlineStr">
        <is>
          <t>Kristin Haase-Alvey</t>
        </is>
      </c>
    </row>
    <row r="1812">
      <c r="A1812" s="42" t="inlineStr">
        <is>
          <t>Tea Stewart</t>
        </is>
      </c>
      <c r="B1812" s="42" t="inlineStr">
        <is>
          <t>12/28/25 - 1/25/26</t>
        </is>
      </c>
      <c r="C1812" s="41" t="n">
        <v>0.875</v>
      </c>
      <c r="D1812" s="41" t="n">
        <v>0.9414</v>
      </c>
      <c r="E1812" s="41" t="n">
        <v>1</v>
      </c>
      <c r="F1812" s="41" t="n">
        <v>1</v>
      </c>
      <c r="G1812" s="41" t="n">
        <v>0.777777778</v>
      </c>
      <c r="H1812" s="42" t="n">
        <v>3</v>
      </c>
      <c r="I1812" s="43" t="inlineStr">
        <is>
          <t>0/1</t>
        </is>
      </c>
      <c r="J1812" s="12" t="n">
        <v>0</v>
      </c>
      <c r="K1812" t="inlineStr">
        <is>
          <t>Distinguished</t>
        </is>
      </c>
      <c r="L1812" t="inlineStr">
        <is>
          <t>Adjunct</t>
        </is>
      </c>
      <c r="M1812" t="inlineStr">
        <is>
          <t>Kristin Haase-Alvey</t>
        </is>
      </c>
    </row>
    <row r="1813">
      <c r="A1813" s="42" t="inlineStr">
        <is>
          <t>Tea Stewart</t>
        </is>
      </c>
      <c r="B1813" s="42" t="inlineStr">
        <is>
          <t>5/18/25 - 6/14/25</t>
        </is>
      </c>
      <c r="C1813" s="41" t="n">
        <v>0.35</v>
      </c>
      <c r="D1813" s="41" t="n">
        <v>0.82</v>
      </c>
      <c r="E1813" s="41" t="n">
        <v>0.97</v>
      </c>
      <c r="F1813" s="41" t="n">
        <v>0.54</v>
      </c>
      <c r="G1813" s="41" t="n">
        <v>0.75</v>
      </c>
      <c r="H1813" s="42" t="n">
        <v>5</v>
      </c>
      <c r="I1813" s="43" t="n">
        <v>1</v>
      </c>
      <c r="J1813" s="12">
        <f>I1813</f>
        <v/>
      </c>
      <c r="K1813" t="inlineStr">
        <is>
          <t>Distinguished</t>
        </is>
      </c>
      <c r="L1813" t="inlineStr">
        <is>
          <t>Adjunct</t>
        </is>
      </c>
      <c r="M1813" t="inlineStr">
        <is>
          <t>Kristin Haase-Alvey</t>
        </is>
      </c>
    </row>
    <row r="1814">
      <c r="A1814" s="42" t="inlineStr">
        <is>
          <t>Tea Stewart</t>
        </is>
      </c>
      <c r="B1814" s="42" t="inlineStr">
        <is>
          <t>6/15/25 - 7/12/25</t>
        </is>
      </c>
      <c r="C1814" s="41" t="n">
        <v>0.26</v>
      </c>
      <c r="D1814" s="41" t="n">
        <v>0.98</v>
      </c>
      <c r="E1814" s="41" t="n">
        <v>1</v>
      </c>
      <c r="F1814" s="41" t="n">
        <v>1</v>
      </c>
      <c r="G1814" s="41" t="n">
        <v>1</v>
      </c>
      <c r="H1814" s="42" t="n">
        <v>1</v>
      </c>
      <c r="I1814" s="43" t="n">
        <v>1</v>
      </c>
      <c r="J1814" s="12">
        <f>I1814</f>
        <v/>
      </c>
      <c r="K1814" t="inlineStr">
        <is>
          <t>Distinguished</t>
        </is>
      </c>
      <c r="L1814" t="inlineStr">
        <is>
          <t>Adjunct</t>
        </is>
      </c>
      <c r="M1814" t="inlineStr">
        <is>
          <t>Kristin Haase-Alvey</t>
        </is>
      </c>
    </row>
    <row r="1815">
      <c r="A1815" s="42" t="inlineStr">
        <is>
          <t>Tea Stewart</t>
        </is>
      </c>
      <c r="B1815" s="42" t="inlineStr">
        <is>
          <t>7/13/25 - 8/10/25</t>
        </is>
      </c>
      <c r="C1815" s="41" t="n">
        <v>0.5</v>
      </c>
      <c r="D1815" s="41" t="n">
        <v>1.21</v>
      </c>
      <c r="E1815" s="41" t="n">
        <v>0.9</v>
      </c>
      <c r="F1815" s="41" t="n">
        <v>0.73</v>
      </c>
      <c r="G1815" s="41" t="n">
        <v>0.63</v>
      </c>
      <c r="H1815" s="42" t="e">
        <v>#N/A</v>
      </c>
      <c r="I1815" s="43" t="n">
        <v>1</v>
      </c>
      <c r="J1815" s="12">
        <f>I1815</f>
        <v/>
      </c>
      <c r="K1815" t="inlineStr">
        <is>
          <t>Distinguished</t>
        </is>
      </c>
      <c r="L1815" t="inlineStr">
        <is>
          <t>Adjunct</t>
        </is>
      </c>
      <c r="M1815" t="inlineStr">
        <is>
          <t>Kristin Haase-Alvey</t>
        </is>
      </c>
    </row>
    <row r="1816">
      <c r="A1816" s="42" t="inlineStr">
        <is>
          <t>Tea Stewart</t>
        </is>
      </c>
      <c r="B1816" s="42" t="inlineStr">
        <is>
          <t>8/10/25 - 9/6/25</t>
        </is>
      </c>
      <c r="C1816" s="41" t="n">
        <v>0.71</v>
      </c>
      <c r="D1816" s="41" t="n">
        <v>1.27</v>
      </c>
      <c r="E1816" s="41" t="n">
        <v>1</v>
      </c>
      <c r="F1816" s="41" t="n">
        <v>0.9</v>
      </c>
      <c r="G1816" s="41" t="n">
        <v>0.71</v>
      </c>
      <c r="H1816" s="42" t="n">
        <v>3</v>
      </c>
      <c r="I1816" s="43" t="inlineStr">
        <is>
          <t>2/2</t>
        </is>
      </c>
      <c r="J1816" s="12" t="n">
        <v>1</v>
      </c>
      <c r="K1816" t="inlineStr">
        <is>
          <t>Distinguished</t>
        </is>
      </c>
      <c r="L1816" t="inlineStr">
        <is>
          <t>Adjunct</t>
        </is>
      </c>
      <c r="M1816" t="inlineStr">
        <is>
          <t>Kristin Haase-Alvey</t>
        </is>
      </c>
    </row>
    <row r="1817">
      <c r="A1817" s="42" t="inlineStr">
        <is>
          <t>Tea Stewart</t>
        </is>
      </c>
      <c r="B1817" s="42" t="inlineStr">
        <is>
          <t>9/7/25 - 10/4/25</t>
        </is>
      </c>
      <c r="C1817" s="41" t="n">
        <v>0.97</v>
      </c>
      <c r="D1817" s="41" t="n">
        <v>1.14</v>
      </c>
      <c r="E1817" s="41" t="n">
        <v>0.98</v>
      </c>
      <c r="F1817" s="41" t="n">
        <v>0.97</v>
      </c>
      <c r="G1817" s="41" t="n">
        <v>0.75</v>
      </c>
      <c r="H1817" s="42" t="n">
        <v>4</v>
      </c>
      <c r="I1817" s="43" t="inlineStr">
        <is>
          <t>0/3</t>
        </is>
      </c>
      <c r="J1817" s="12" t="n">
        <v>0</v>
      </c>
      <c r="K1817" t="inlineStr">
        <is>
          <t>Distinguished</t>
        </is>
      </c>
      <c r="L1817" t="inlineStr">
        <is>
          <t>Adjunct</t>
        </is>
      </c>
      <c r="M1817" t="inlineStr">
        <is>
          <t>Kristin Haase-Alvey</t>
        </is>
      </c>
    </row>
    <row r="1818">
      <c r="A1818" s="42" t="inlineStr">
        <is>
          <t>Tim Schlotzhauer</t>
        </is>
      </c>
      <c r="B1818" s="42" t="inlineStr">
        <is>
          <t>10/5/25 - 11/1/25</t>
        </is>
      </c>
      <c r="C1818" s="41" t="n">
        <v>0.7771</v>
      </c>
      <c r="D1818" s="41" t="n">
        <v>1.5099</v>
      </c>
      <c r="E1818" s="41" t="n">
        <v>1</v>
      </c>
      <c r="F1818" s="41" t="n">
        <v>0.984375</v>
      </c>
      <c r="G1818" s="41" t="n">
        <v>0.958333333333333</v>
      </c>
      <c r="H1818" s="42" t="n">
        <v>4</v>
      </c>
      <c r="I1818" s="43" t="inlineStr">
        <is>
          <t>1/1</t>
        </is>
      </c>
      <c r="J1818" s="12" t="n">
        <v>1</v>
      </c>
      <c r="K1818" t="inlineStr">
        <is>
          <t>Premium</t>
        </is>
      </c>
      <c r="L1818" t="inlineStr">
        <is>
          <t>Professional</t>
        </is>
      </c>
      <c r="M1818" t="inlineStr">
        <is>
          <t>Geoff St. Marie</t>
        </is>
      </c>
    </row>
    <row r="1819">
      <c r="A1819" s="42" t="inlineStr">
        <is>
          <t>Tim Schlotzhauer</t>
        </is>
      </c>
      <c r="B1819" s="42" t="inlineStr">
        <is>
          <t>11/2/25 - 11/29/25</t>
        </is>
      </c>
      <c r="C1819" s="41" t="n">
        <v>0.74</v>
      </c>
      <c r="D1819" s="41" t="n">
        <v>1.47</v>
      </c>
      <c r="E1819" s="41" t="n">
        <v>1</v>
      </c>
      <c r="F1819" s="41" t="n">
        <v>0.98</v>
      </c>
      <c r="G1819" s="41" t="n">
        <v>1</v>
      </c>
      <c r="H1819" s="42" t="n">
        <v>3</v>
      </c>
      <c r="I1819" s="45" t="inlineStr">
        <is>
          <t>0/1</t>
        </is>
      </c>
      <c r="J1819" s="12" t="n">
        <v>0</v>
      </c>
      <c r="K1819" t="inlineStr">
        <is>
          <t>Premium</t>
        </is>
      </c>
      <c r="L1819" t="inlineStr">
        <is>
          <t>Professional</t>
        </is>
      </c>
      <c r="M1819" t="inlineStr">
        <is>
          <t>Geoff St. Marie</t>
        </is>
      </c>
    </row>
    <row r="1820">
      <c r="A1820" s="42" t="inlineStr">
        <is>
          <t>Tim Schlotzhauer</t>
        </is>
      </c>
      <c r="B1820" s="42" t="inlineStr">
        <is>
          <t>11/30/25 - 12/27/25</t>
        </is>
      </c>
      <c r="C1820" s="41" t="n">
        <v>0.42</v>
      </c>
      <c r="D1820" s="41" t="n">
        <v>1.25</v>
      </c>
      <c r="E1820" s="41" t="n">
        <v>0.98</v>
      </c>
      <c r="F1820" s="41" t="n">
        <v>1</v>
      </c>
      <c r="G1820" s="41" t="n">
        <v>0.95</v>
      </c>
      <c r="H1820" s="42" t="n">
        <v>0</v>
      </c>
      <c r="I1820" s="43" t="n">
        <v>1</v>
      </c>
      <c r="J1820" s="12" t="n">
        <v>1</v>
      </c>
      <c r="K1820" t="inlineStr">
        <is>
          <t>Premium</t>
        </is>
      </c>
      <c r="L1820" t="inlineStr">
        <is>
          <t>Professional</t>
        </is>
      </c>
      <c r="M1820" t="inlineStr">
        <is>
          <t>Geoff St. Marie</t>
        </is>
      </c>
    </row>
    <row r="1821">
      <c r="A1821" s="42" t="inlineStr">
        <is>
          <t>Tim Schlotzhauer</t>
        </is>
      </c>
      <c r="B1821" s="42" t="inlineStr">
        <is>
          <t>12/28/25 - 1/25/26</t>
        </is>
      </c>
      <c r="C1821" s="41" t="n">
        <v>0.375</v>
      </c>
      <c r="D1821" s="41" t="n">
        <v>1.4572</v>
      </c>
      <c r="E1821" s="41" t="n">
        <v>1</v>
      </c>
      <c r="F1821" s="41" t="n">
        <v>1</v>
      </c>
      <c r="G1821" s="41" t="n">
        <v>1</v>
      </c>
      <c r="H1821" s="42" t="n">
        <v>1</v>
      </c>
      <c r="I1821" s="43" t="n">
        <v>1</v>
      </c>
      <c r="J1821" s="12">
        <f>I1821</f>
        <v/>
      </c>
      <c r="K1821" t="inlineStr">
        <is>
          <t>Premium</t>
        </is>
      </c>
      <c r="L1821" t="inlineStr">
        <is>
          <t>Professional</t>
        </is>
      </c>
      <c r="M1821" t="inlineStr">
        <is>
          <t>Geoff St. Marie</t>
        </is>
      </c>
    </row>
    <row r="1822">
      <c r="A1822" s="42" t="inlineStr">
        <is>
          <t>Tim Schlotzhauer</t>
        </is>
      </c>
      <c r="B1822" s="42" t="inlineStr">
        <is>
          <t>5/18/25 - 6/14/25</t>
        </is>
      </c>
      <c r="C1822" s="41" t="n">
        <v>0.61</v>
      </c>
      <c r="D1822" s="41" t="n">
        <v>1.5</v>
      </c>
      <c r="E1822" s="41" t="n">
        <v>1</v>
      </c>
      <c r="F1822" s="41" t="n">
        <v>1</v>
      </c>
      <c r="G1822" s="41" t="n">
        <v>0.86</v>
      </c>
      <c r="H1822" s="42" t="n">
        <v>4</v>
      </c>
      <c r="I1822" s="43" t="n">
        <v>1</v>
      </c>
      <c r="J1822" s="12">
        <f>I1822</f>
        <v/>
      </c>
      <c r="K1822" t="inlineStr">
        <is>
          <t>Premium</t>
        </is>
      </c>
      <c r="L1822" t="inlineStr">
        <is>
          <t>Professional</t>
        </is>
      </c>
      <c r="M1822" t="inlineStr">
        <is>
          <t>Geoff St. Marie</t>
        </is>
      </c>
    </row>
    <row r="1823">
      <c r="A1823" s="42" t="inlineStr">
        <is>
          <t>Tim Schlotzhauer</t>
        </is>
      </c>
      <c r="B1823" s="42" t="inlineStr">
        <is>
          <t>6/15/25 - 7/12/25</t>
        </is>
      </c>
      <c r="C1823" s="41" t="n">
        <v>0.57</v>
      </c>
      <c r="D1823" s="41" t="n">
        <v>1.45</v>
      </c>
      <c r="E1823" s="41" t="n">
        <v>0.98</v>
      </c>
      <c r="F1823" s="41" t="n">
        <v>1</v>
      </c>
      <c r="G1823" s="41" t="n">
        <v>0.88</v>
      </c>
      <c r="H1823" s="42" t="n">
        <v>1</v>
      </c>
      <c r="I1823" s="43" t="n">
        <v>1</v>
      </c>
      <c r="J1823" s="12">
        <f>I1823</f>
        <v/>
      </c>
      <c r="K1823" t="inlineStr">
        <is>
          <t>Premium</t>
        </is>
      </c>
      <c r="L1823" t="inlineStr">
        <is>
          <t>Professional</t>
        </is>
      </c>
      <c r="M1823" t="inlineStr">
        <is>
          <t>Geoff St. Marie</t>
        </is>
      </c>
    </row>
    <row r="1824">
      <c r="A1824" s="42" t="inlineStr">
        <is>
          <t>Tim Schlotzhauer</t>
        </is>
      </c>
      <c r="B1824" s="42" t="inlineStr">
        <is>
          <t>7/13/25 - 8/10/25</t>
        </is>
      </c>
      <c r="C1824" s="41" t="n">
        <v>0.89</v>
      </c>
      <c r="D1824" s="41" t="n">
        <v>1.25</v>
      </c>
      <c r="E1824" s="41" t="n">
        <v>1</v>
      </c>
      <c r="F1824" s="41" t="n">
        <v>1</v>
      </c>
      <c r="G1824" s="41" t="n">
        <v>0.93</v>
      </c>
      <c r="H1824" s="42" t="n">
        <v>3</v>
      </c>
      <c r="I1824" s="42" t="n"/>
      <c r="J1824" s="9" t="n"/>
      <c r="K1824" t="inlineStr">
        <is>
          <t>Premium</t>
        </is>
      </c>
      <c r="L1824" t="inlineStr">
        <is>
          <t>Professional</t>
        </is>
      </c>
      <c r="M1824" t="inlineStr">
        <is>
          <t>Geoff St. Marie</t>
        </is>
      </c>
    </row>
    <row r="1825">
      <c r="A1825" s="42" t="inlineStr">
        <is>
          <t>Tim Schlotzhauer</t>
        </is>
      </c>
      <c r="B1825" s="42" t="inlineStr">
        <is>
          <t>8/10/25 - 9/6/25</t>
        </is>
      </c>
      <c r="C1825" s="41" t="n">
        <v>0.76</v>
      </c>
      <c r="D1825" s="41" t="n">
        <v>1.25</v>
      </c>
      <c r="E1825" s="41" t="n">
        <v>0.99</v>
      </c>
      <c r="F1825" s="41" t="n">
        <v>1</v>
      </c>
      <c r="G1825" s="41" t="n">
        <v>0.93</v>
      </c>
      <c r="H1825" s="42" t="n">
        <v>2</v>
      </c>
      <c r="I1825" s="43" t="inlineStr">
        <is>
          <t>2/2</t>
        </is>
      </c>
      <c r="J1825" s="12" t="n">
        <v>1</v>
      </c>
      <c r="K1825" t="inlineStr">
        <is>
          <t>Premium</t>
        </is>
      </c>
      <c r="L1825" t="inlineStr">
        <is>
          <t>Professional</t>
        </is>
      </c>
      <c r="M1825" t="inlineStr">
        <is>
          <t>Geoff St. Marie</t>
        </is>
      </c>
    </row>
    <row r="1826">
      <c r="A1826" s="42" t="inlineStr">
        <is>
          <t>Tim Schlotzhauer</t>
        </is>
      </c>
      <c r="B1826" s="42" t="inlineStr">
        <is>
          <t>9/7/25 - 10/4/25</t>
        </is>
      </c>
      <c r="C1826" s="41" t="n">
        <v>0.91</v>
      </c>
      <c r="D1826" s="41" t="n">
        <v>1.45</v>
      </c>
      <c r="E1826" s="41" t="n">
        <v>1</v>
      </c>
      <c r="F1826" s="41" t="n">
        <v>1</v>
      </c>
      <c r="G1826" s="41" t="n">
        <v>0.9399999999999999</v>
      </c>
      <c r="H1826" s="42" t="n">
        <v>6</v>
      </c>
      <c r="I1826" s="43" t="inlineStr">
        <is>
          <t>4/4</t>
        </is>
      </c>
      <c r="J1826" s="12" t="n">
        <v>1</v>
      </c>
      <c r="K1826" t="inlineStr">
        <is>
          <t>Premium</t>
        </is>
      </c>
      <c r="L1826" t="inlineStr">
        <is>
          <t>Professional</t>
        </is>
      </c>
      <c r="M1826" t="inlineStr">
        <is>
          <t>Geoff St. Marie</t>
        </is>
      </c>
    </row>
    <row r="1827">
      <c r="A1827" s="42" t="inlineStr">
        <is>
          <t>Tina Stegmann</t>
        </is>
      </c>
      <c r="B1827" s="42" t="inlineStr">
        <is>
          <t>12/28/25 - 1/25/26</t>
        </is>
      </c>
      <c r="C1827" s="41" t="n">
        <v>0</v>
      </c>
      <c r="D1827" s="41" t="n">
        <v>0.6052999999999999</v>
      </c>
      <c r="E1827" s="41" t="n">
        <v>0</v>
      </c>
      <c r="F1827" s="41" t="n">
        <v>0</v>
      </c>
      <c r="G1827" s="41" t="n">
        <v>0</v>
      </c>
      <c r="H1827" s="42" t="n">
        <v>0</v>
      </c>
      <c r="I1827" s="43" t="inlineStr">
        <is>
          <t>0/0</t>
        </is>
      </c>
      <c r="J1827" s="12" t="n">
        <v>0</v>
      </c>
      <c r="K1827" t="e">
        <v>#N/A</v>
      </c>
      <c r="L1827" t="e">
        <v>#N/A</v>
      </c>
      <c r="M1827" t="e">
        <v>#N/A</v>
      </c>
    </row>
    <row r="1828">
      <c r="A1828" s="42" t="inlineStr">
        <is>
          <t>Tom Pluth</t>
        </is>
      </c>
      <c r="B1828" s="42" t="inlineStr">
        <is>
          <t>10/5/25 - 11/1/25</t>
        </is>
      </c>
      <c r="C1828" s="41" t="n">
        <v>0.906299999999999</v>
      </c>
      <c r="D1828" s="41" t="n">
        <v>0.994799999999999</v>
      </c>
      <c r="E1828" s="41" t="n">
        <v>1</v>
      </c>
      <c r="F1828" s="41" t="n">
        <v>0.716981132075471</v>
      </c>
      <c r="G1828" s="41" t="n">
        <v>0.5</v>
      </c>
      <c r="H1828" s="42" t="n">
        <v>3</v>
      </c>
      <c r="I1828" s="43" t="inlineStr">
        <is>
          <t>4/6</t>
        </is>
      </c>
      <c r="J1828" s="12" t="n">
        <v>0.67</v>
      </c>
      <c r="K1828" t="inlineStr">
        <is>
          <t>Distinguished</t>
        </is>
      </c>
      <c r="L1828" t="inlineStr">
        <is>
          <t>Adjunct</t>
        </is>
      </c>
      <c r="M1828" t="inlineStr">
        <is>
          <t>Ela Cross</t>
        </is>
      </c>
    </row>
    <row r="1829">
      <c r="A1829" s="42" t="inlineStr">
        <is>
          <t>Tom Pluth</t>
        </is>
      </c>
      <c r="B1829" s="42" t="inlineStr">
        <is>
          <t>10/5/25 - 11/1/25</t>
        </is>
      </c>
      <c r="C1829" s="41" t="n">
        <v>0.906299999999999</v>
      </c>
      <c r="D1829" s="41" t="n">
        <v>0.994799999999999</v>
      </c>
      <c r="E1829" s="41" t="n">
        <v>1</v>
      </c>
      <c r="F1829" s="41" t="n">
        <v>0.716981132075471</v>
      </c>
      <c r="G1829" s="41" t="n">
        <v>0.5</v>
      </c>
      <c r="H1829" s="42" t="n">
        <v>3</v>
      </c>
      <c r="I1829" s="43" t="inlineStr">
        <is>
          <t>4/6</t>
        </is>
      </c>
      <c r="J1829" s="12">
        <f>_xlfn.TEXTBEFORE(I1829, "/")/_xlfn.TEXTAFTER(I1829,"/")</f>
        <v/>
      </c>
      <c r="K1829" t="inlineStr">
        <is>
          <t>Distinguished</t>
        </is>
      </c>
      <c r="L1829" t="inlineStr">
        <is>
          <t>Adjunct</t>
        </is>
      </c>
      <c r="M1829" t="inlineStr">
        <is>
          <t>Ela Cross</t>
        </is>
      </c>
    </row>
    <row r="1830">
      <c r="A1830" s="42" t="inlineStr">
        <is>
          <t>Tom Pluth</t>
        </is>
      </c>
      <c r="B1830" s="42" t="inlineStr">
        <is>
          <t>11/2/25 - 11/29/25</t>
        </is>
      </c>
      <c r="C1830" s="41" t="n">
        <v>0.71</v>
      </c>
      <c r="D1830" s="41" t="n">
        <v>0.78</v>
      </c>
      <c r="E1830" s="41" t="n">
        <v>1</v>
      </c>
      <c r="F1830" s="41" t="n">
        <v>0.74</v>
      </c>
      <c r="G1830" s="41" t="n">
        <v>0.64</v>
      </c>
      <c r="H1830" s="42" t="n">
        <v>8</v>
      </c>
      <c r="I1830" s="45" t="inlineStr">
        <is>
          <t>0/2</t>
        </is>
      </c>
      <c r="J1830" s="12" t="n">
        <v>0</v>
      </c>
      <c r="K1830" t="inlineStr">
        <is>
          <t>Distinguished</t>
        </is>
      </c>
      <c r="L1830" t="inlineStr">
        <is>
          <t>Adjunct</t>
        </is>
      </c>
      <c r="M1830" t="inlineStr">
        <is>
          <t>Ela Cross</t>
        </is>
      </c>
    </row>
    <row r="1831">
      <c r="A1831" s="42" t="inlineStr">
        <is>
          <t>Tom Pluth</t>
        </is>
      </c>
      <c r="B1831" s="42" t="inlineStr">
        <is>
          <t>11/30/25 - 12/27/25</t>
        </is>
      </c>
      <c r="C1831" s="41" t="n">
        <v>0.49</v>
      </c>
      <c r="D1831" s="41" t="n">
        <v>0.65</v>
      </c>
      <c r="E1831" s="41" t="n">
        <v>1</v>
      </c>
      <c r="F1831" s="41" t="n">
        <v>0.72</v>
      </c>
      <c r="G1831" s="41" t="n">
        <v>0.54</v>
      </c>
      <c r="H1831" s="42" t="n">
        <v>3</v>
      </c>
      <c r="I1831" s="43" t="n">
        <v>1</v>
      </c>
      <c r="J1831" s="12" t="n">
        <v>1</v>
      </c>
      <c r="K1831" t="inlineStr">
        <is>
          <t>Distinguished</t>
        </is>
      </c>
      <c r="L1831" t="inlineStr">
        <is>
          <t>Adjunct</t>
        </is>
      </c>
      <c r="M1831" t="inlineStr">
        <is>
          <t>Ela Cross</t>
        </is>
      </c>
    </row>
    <row r="1832">
      <c r="A1832" s="42" t="inlineStr">
        <is>
          <t>Tom Pluth</t>
        </is>
      </c>
      <c r="B1832" s="42" t="inlineStr">
        <is>
          <t>12/28/25 - 1/25/26</t>
        </is>
      </c>
      <c r="C1832" s="41" t="n">
        <v>0.5</v>
      </c>
      <c r="D1832" s="41" t="n">
        <v>0.737</v>
      </c>
      <c r="E1832" s="41" t="n">
        <v>1</v>
      </c>
      <c r="F1832" s="41" t="n">
        <v>0.964285714</v>
      </c>
      <c r="G1832" s="41" t="n">
        <v>0.5</v>
      </c>
      <c r="H1832" s="42" t="n">
        <v>5</v>
      </c>
      <c r="I1832" s="43" t="n">
        <v>1</v>
      </c>
      <c r="J1832" s="12">
        <f>I1832</f>
        <v/>
      </c>
      <c r="K1832" t="inlineStr">
        <is>
          <t>Distinguished</t>
        </is>
      </c>
      <c r="L1832" t="inlineStr">
        <is>
          <t>Adjunct</t>
        </is>
      </c>
      <c r="M1832" t="inlineStr">
        <is>
          <t>Ela Cross</t>
        </is>
      </c>
    </row>
    <row r="1833">
      <c r="A1833" s="42" t="inlineStr">
        <is>
          <t>Tom Pluth</t>
        </is>
      </c>
      <c r="B1833" s="42" t="inlineStr">
        <is>
          <t>5/18/25 - 6/14/25</t>
        </is>
      </c>
      <c r="C1833" s="41" t="n">
        <v>0.48</v>
      </c>
      <c r="D1833" s="41" t="n">
        <v>0.97</v>
      </c>
      <c r="E1833" s="41" t="n">
        <v>0.88</v>
      </c>
      <c r="F1833" s="41" t="n">
        <v>0.89</v>
      </c>
      <c r="G1833" s="41" t="n">
        <v>0.5</v>
      </c>
      <c r="H1833" s="42" t="n">
        <v>3</v>
      </c>
      <c r="I1833" s="43" t="inlineStr">
        <is>
          <t xml:space="preserve"> 1/2</t>
        </is>
      </c>
      <c r="J1833" s="12" t="n">
        <v>0.5</v>
      </c>
      <c r="K1833" t="inlineStr">
        <is>
          <t>Distinguished</t>
        </is>
      </c>
      <c r="L1833" t="inlineStr">
        <is>
          <t>Adjunct</t>
        </is>
      </c>
      <c r="M1833" t="inlineStr">
        <is>
          <t>Ela Cross</t>
        </is>
      </c>
    </row>
    <row r="1834">
      <c r="A1834" s="42" t="inlineStr">
        <is>
          <t>Tom Pluth</t>
        </is>
      </c>
      <c r="B1834" s="42" t="inlineStr">
        <is>
          <t>6/15/25 - 7/12/25</t>
        </is>
      </c>
      <c r="C1834" s="41" t="n">
        <v>0.24</v>
      </c>
      <c r="D1834" s="41" t="n">
        <v>0.89</v>
      </c>
      <c r="E1834" s="41" t="n">
        <v>1</v>
      </c>
      <c r="F1834" s="41" t="n">
        <v>0.75</v>
      </c>
      <c r="G1834" s="41" t="n">
        <v>0.67</v>
      </c>
      <c r="H1834" s="42" t="n">
        <v>3</v>
      </c>
      <c r="I1834" s="42" t="n"/>
      <c r="J1834" s="9" t="n"/>
      <c r="K1834" t="inlineStr">
        <is>
          <t>Distinguished</t>
        </is>
      </c>
      <c r="L1834" t="inlineStr">
        <is>
          <t>Adjunct</t>
        </is>
      </c>
      <c r="M1834" t="inlineStr">
        <is>
          <t>Ela Cross</t>
        </is>
      </c>
    </row>
    <row r="1835">
      <c r="A1835" s="42" t="inlineStr">
        <is>
          <t>Tom Pluth</t>
        </is>
      </c>
      <c r="B1835" s="42" t="inlineStr">
        <is>
          <t>7/13/25 - 8/10/25</t>
        </is>
      </c>
      <c r="C1835" s="41" t="n">
        <v>0.61</v>
      </c>
      <c r="D1835" s="41" t="n">
        <v>1.07</v>
      </c>
      <c r="E1835" s="41" t="n">
        <v>1</v>
      </c>
      <c r="F1835" s="41" t="n">
        <v>0.82</v>
      </c>
      <c r="G1835" s="41" t="n">
        <v>0.5600000000000001</v>
      </c>
      <c r="H1835" s="42" t="n">
        <v>6</v>
      </c>
      <c r="I1835" s="43" t="inlineStr">
        <is>
          <t xml:space="preserve"> 1/2</t>
        </is>
      </c>
      <c r="J1835" s="12" t="n">
        <v>0.5</v>
      </c>
      <c r="K1835" t="inlineStr">
        <is>
          <t>Distinguished</t>
        </is>
      </c>
      <c r="L1835" t="inlineStr">
        <is>
          <t>Adjunct</t>
        </is>
      </c>
      <c r="M1835" t="inlineStr">
        <is>
          <t>Ela Cross</t>
        </is>
      </c>
    </row>
    <row r="1836">
      <c r="A1836" s="42" t="inlineStr">
        <is>
          <t>Tom Pluth</t>
        </is>
      </c>
      <c r="B1836" s="42" t="inlineStr">
        <is>
          <t>8/10/25 - 9/6/25</t>
        </is>
      </c>
      <c r="C1836" s="41" t="n">
        <v>0.6899999999999999</v>
      </c>
      <c r="D1836" s="41" t="n">
        <v>1.11</v>
      </c>
      <c r="E1836" s="41" t="n">
        <v>1</v>
      </c>
      <c r="F1836" s="41" t="n">
        <v>0.92</v>
      </c>
      <c r="G1836" s="41" t="n">
        <v>0.86</v>
      </c>
      <c r="H1836" s="42" t="n">
        <v>3</v>
      </c>
      <c r="I1836" s="43" t="inlineStr">
        <is>
          <t>1/4</t>
        </is>
      </c>
      <c r="J1836" s="12" t="n">
        <v>0.25</v>
      </c>
      <c r="K1836" t="inlineStr">
        <is>
          <t>Distinguished</t>
        </is>
      </c>
      <c r="L1836" t="inlineStr">
        <is>
          <t>Adjunct</t>
        </is>
      </c>
      <c r="M1836" t="inlineStr">
        <is>
          <t>Ela Cross</t>
        </is>
      </c>
    </row>
    <row r="1837">
      <c r="A1837" s="42" t="inlineStr">
        <is>
          <t>Tom Pluth</t>
        </is>
      </c>
      <c r="B1837" s="42" t="inlineStr">
        <is>
          <t>9/7/25 - 10/4/25</t>
        </is>
      </c>
      <c r="C1837" s="41" t="n">
        <v>0.79</v>
      </c>
      <c r="D1837" s="41" t="n">
        <v>0.99</v>
      </c>
      <c r="E1837" s="41" t="n">
        <v>0.98</v>
      </c>
      <c r="F1837" s="41" t="n">
        <v>0.75</v>
      </c>
      <c r="G1837" s="41" t="n">
        <v>0.88</v>
      </c>
      <c r="H1837" s="42" t="n">
        <v>3</v>
      </c>
      <c r="I1837" s="44" t="n"/>
      <c r="J1837" s="9" t="n"/>
      <c r="K1837" t="inlineStr">
        <is>
          <t>Distinguished</t>
        </is>
      </c>
      <c r="L1837" t="inlineStr">
        <is>
          <t>Adjunct</t>
        </is>
      </c>
      <c r="M1837" t="inlineStr">
        <is>
          <t>Ela Cross</t>
        </is>
      </c>
    </row>
    <row r="1838">
      <c r="A1838" s="42" t="inlineStr">
        <is>
          <t>Tommaso Marsella</t>
        </is>
      </c>
      <c r="B1838" s="42" t="inlineStr">
        <is>
          <t>10/5/25 - 11/1/25</t>
        </is>
      </c>
      <c r="C1838" s="41" t="n">
        <v>1.059</v>
      </c>
      <c r="D1838" s="41" t="n">
        <v>1.4883</v>
      </c>
      <c r="E1838" s="41" t="n">
        <v>0.979591836734693</v>
      </c>
      <c r="F1838" s="41" t="n">
        <v>1</v>
      </c>
      <c r="G1838" s="41" t="n">
        <v>0.615384615384615</v>
      </c>
      <c r="H1838" s="42" t="n">
        <v>0</v>
      </c>
      <c r="I1838" s="43" t="inlineStr">
        <is>
          <t>1/2</t>
        </is>
      </c>
      <c r="J1838" s="12" t="n">
        <v>0.5</v>
      </c>
      <c r="K1838" t="inlineStr">
        <is>
          <t>Distinguished</t>
        </is>
      </c>
      <c r="L1838" t="inlineStr">
        <is>
          <t>Adjunct</t>
        </is>
      </c>
      <c r="M1838" t="inlineStr">
        <is>
          <t>Ian Plamondon</t>
        </is>
      </c>
    </row>
    <row r="1839">
      <c r="A1839" s="42" t="inlineStr">
        <is>
          <t>Tommaso Marsella</t>
        </is>
      </c>
      <c r="B1839" s="42" t="inlineStr">
        <is>
          <t>11/2/25 - 11/29/25</t>
        </is>
      </c>
      <c r="C1839" s="41" t="n">
        <v>0.8100000000000001</v>
      </c>
      <c r="D1839" s="41" t="n">
        <v>1.61</v>
      </c>
      <c r="E1839" s="41" t="n">
        <v>1</v>
      </c>
      <c r="F1839" s="41" t="n">
        <v>0.93</v>
      </c>
      <c r="G1839" s="41" t="n">
        <v>0.58</v>
      </c>
      <c r="H1839" s="42" t="n">
        <v>2</v>
      </c>
      <c r="I1839" s="45" t="n"/>
      <c r="J1839" s="9" t="n"/>
      <c r="K1839" t="inlineStr">
        <is>
          <t>Distinguished</t>
        </is>
      </c>
      <c r="L1839" t="inlineStr">
        <is>
          <t>Adjunct</t>
        </is>
      </c>
      <c r="M1839" t="inlineStr">
        <is>
          <t>Ian Plamondon</t>
        </is>
      </c>
    </row>
    <row r="1840">
      <c r="A1840" s="42" t="inlineStr">
        <is>
          <t>Tommaso Marsella</t>
        </is>
      </c>
      <c r="B1840" s="42" t="inlineStr">
        <is>
          <t>11/30/25 - 12/27/25</t>
        </is>
      </c>
      <c r="C1840" s="41" t="n">
        <v>0.8</v>
      </c>
      <c r="D1840" s="41" t="n">
        <v>1.6</v>
      </c>
      <c r="E1840" s="41" t="n">
        <v>0.97</v>
      </c>
      <c r="F1840" s="41" t="n">
        <v>0.58</v>
      </c>
      <c r="G1840" s="41" t="n">
        <v>0.67</v>
      </c>
      <c r="H1840" s="42" t="n">
        <v>0</v>
      </c>
      <c r="I1840" s="43" t="n">
        <v>0.5</v>
      </c>
      <c r="J1840" s="12" t="n">
        <v>0.5</v>
      </c>
      <c r="K1840" t="inlineStr">
        <is>
          <t>Distinguished</t>
        </is>
      </c>
      <c r="L1840" t="inlineStr">
        <is>
          <t>Adjunct</t>
        </is>
      </c>
      <c r="M1840" t="inlineStr">
        <is>
          <t>Ian Plamondon</t>
        </is>
      </c>
    </row>
    <row r="1841">
      <c r="A1841" s="42" t="inlineStr">
        <is>
          <t>Tommaso Marsella</t>
        </is>
      </c>
      <c r="B1841" s="42" t="inlineStr">
        <is>
          <t>12/28/25 - 1/25/26</t>
        </is>
      </c>
      <c r="C1841" s="41" t="n">
        <v>1.0625</v>
      </c>
      <c r="D1841" s="41" t="n">
        <v>1.5898</v>
      </c>
      <c r="E1841" s="41" t="n">
        <v>1</v>
      </c>
      <c r="F1841" s="41" t="n">
        <v>0.9677419350000001</v>
      </c>
      <c r="G1841" s="41" t="n">
        <v>0.4</v>
      </c>
      <c r="H1841" s="42" t="n">
        <v>0</v>
      </c>
      <c r="I1841" s="43" t="n">
        <v>0.5</v>
      </c>
      <c r="J1841" s="12">
        <f>I1841</f>
        <v/>
      </c>
      <c r="K1841" t="inlineStr">
        <is>
          <t>Distinguished</t>
        </is>
      </c>
      <c r="L1841" t="inlineStr">
        <is>
          <t>Adjunct</t>
        </is>
      </c>
      <c r="M1841" t="inlineStr">
        <is>
          <t>Ian Plamondon</t>
        </is>
      </c>
    </row>
    <row r="1842">
      <c r="A1842" s="42" t="inlineStr">
        <is>
          <t>Tommaso Marsella</t>
        </is>
      </c>
      <c r="B1842" s="42" t="inlineStr">
        <is>
          <t>5/18/25 - 6/14/25</t>
        </is>
      </c>
      <c r="C1842" s="41" t="n">
        <v>0.6899999999999999</v>
      </c>
      <c r="D1842" s="41" t="n">
        <v>1.43</v>
      </c>
      <c r="E1842" s="41" t="n">
        <v>1</v>
      </c>
      <c r="F1842" s="41" t="n">
        <v>0.85</v>
      </c>
      <c r="G1842" s="41" t="n">
        <v>1</v>
      </c>
      <c r="H1842" s="42" t="e">
        <v>#N/A</v>
      </c>
      <c r="I1842" s="43" t="n">
        <v>1</v>
      </c>
      <c r="J1842" s="12">
        <f>I1842</f>
        <v/>
      </c>
      <c r="K1842" t="inlineStr">
        <is>
          <t>Distinguished</t>
        </is>
      </c>
      <c r="L1842" t="inlineStr">
        <is>
          <t>Adjunct</t>
        </is>
      </c>
      <c r="M1842" t="inlineStr">
        <is>
          <t>Ian Plamondon</t>
        </is>
      </c>
    </row>
    <row r="1843">
      <c r="A1843" s="42" t="inlineStr">
        <is>
          <t>Tommaso Marsella</t>
        </is>
      </c>
      <c r="B1843" s="42" t="inlineStr">
        <is>
          <t>6/15/25 - 7/12/25</t>
        </is>
      </c>
      <c r="C1843" s="41" t="n">
        <v>0.6</v>
      </c>
      <c r="D1843" s="41" t="n">
        <v>1.4</v>
      </c>
      <c r="E1843" s="41" t="n">
        <v>1</v>
      </c>
      <c r="F1843" s="41" t="n">
        <v>1</v>
      </c>
      <c r="G1843" s="41" t="n">
        <v>0.89</v>
      </c>
      <c r="H1843" s="42" t="n">
        <v>1</v>
      </c>
      <c r="I1843" s="43" t="inlineStr">
        <is>
          <t xml:space="preserve"> 2/3</t>
        </is>
      </c>
      <c r="J1843" s="12" t="n">
        <v>0.67</v>
      </c>
      <c r="K1843" t="inlineStr">
        <is>
          <t>Distinguished</t>
        </is>
      </c>
      <c r="L1843" t="inlineStr">
        <is>
          <t>Adjunct</t>
        </is>
      </c>
      <c r="M1843" t="inlineStr">
        <is>
          <t>Ian Plamondon</t>
        </is>
      </c>
    </row>
    <row r="1844">
      <c r="A1844" s="42" t="inlineStr">
        <is>
          <t>Tommaso Marsella</t>
        </is>
      </c>
      <c r="B1844" s="42" t="inlineStr">
        <is>
          <t>7/13/25 - 8/10/25</t>
        </is>
      </c>
      <c r="C1844" s="41" t="n">
        <v>0.97</v>
      </c>
      <c r="D1844" s="41" t="n">
        <v>1.41</v>
      </c>
      <c r="E1844" s="41" t="n">
        <v>1</v>
      </c>
      <c r="F1844" s="41" t="n">
        <v>0.97</v>
      </c>
      <c r="G1844" s="41" t="n">
        <v>0.67</v>
      </c>
      <c r="H1844" s="42" t="n">
        <v>4</v>
      </c>
      <c r="I1844" s="43" t="n">
        <v>1</v>
      </c>
      <c r="J1844" s="12">
        <f>I1844</f>
        <v/>
      </c>
      <c r="K1844" t="inlineStr">
        <is>
          <t>Distinguished</t>
        </is>
      </c>
      <c r="L1844" t="inlineStr">
        <is>
          <t>Adjunct</t>
        </is>
      </c>
      <c r="M1844" t="inlineStr">
        <is>
          <t>Ian Plamondon</t>
        </is>
      </c>
    </row>
    <row r="1845">
      <c r="A1845" s="42" t="inlineStr">
        <is>
          <t>Tommaso Marsella</t>
        </is>
      </c>
      <c r="B1845" s="42" t="inlineStr">
        <is>
          <t>8/10/25 - 9/6/25</t>
        </is>
      </c>
      <c r="C1845" s="41" t="n">
        <v>1.15</v>
      </c>
      <c r="D1845" s="41" t="n">
        <v>1.4</v>
      </c>
      <c r="E1845" s="41" t="n">
        <v>1</v>
      </c>
      <c r="F1845" s="41" t="n">
        <v>1</v>
      </c>
      <c r="G1845" s="41" t="n">
        <v>0.8</v>
      </c>
      <c r="H1845" s="42" t="n">
        <v>0</v>
      </c>
      <c r="I1845" s="43" t="inlineStr">
        <is>
          <t>1/1</t>
        </is>
      </c>
      <c r="J1845" s="12" t="n">
        <v>1</v>
      </c>
      <c r="K1845" t="inlineStr">
        <is>
          <t>Distinguished</t>
        </is>
      </c>
      <c r="L1845" t="inlineStr">
        <is>
          <t>Adjunct</t>
        </is>
      </c>
      <c r="M1845" t="inlineStr">
        <is>
          <t>Ian Plamondon</t>
        </is>
      </c>
    </row>
    <row r="1846">
      <c r="A1846" s="42" t="inlineStr">
        <is>
          <t>Tommaso Marsella</t>
        </is>
      </c>
      <c r="B1846" s="42" t="inlineStr">
        <is>
          <t>9/7/25 - 10/4/25</t>
        </is>
      </c>
      <c r="C1846" s="41" t="n">
        <v>1.36</v>
      </c>
      <c r="D1846" s="41" t="n">
        <v>1.27</v>
      </c>
      <c r="E1846" s="41" t="n">
        <v>1</v>
      </c>
      <c r="F1846" s="41" t="n">
        <v>0.6899999999999999</v>
      </c>
      <c r="G1846" s="41" t="n">
        <v>0.5600000000000001</v>
      </c>
      <c r="H1846" s="42" t="n">
        <v>2</v>
      </c>
      <c r="I1846" s="43" t="inlineStr">
        <is>
          <t>1/1</t>
        </is>
      </c>
      <c r="J1846" s="12" t="n">
        <v>1</v>
      </c>
      <c r="K1846" t="inlineStr">
        <is>
          <t>Distinguished</t>
        </is>
      </c>
      <c r="L1846" t="inlineStr">
        <is>
          <t>Adjunct</t>
        </is>
      </c>
      <c r="M1846" t="inlineStr">
        <is>
          <t>Ian Plamondon</t>
        </is>
      </c>
    </row>
    <row r="1847">
      <c r="A1847" s="42" t="inlineStr">
        <is>
          <t>Traevon Cole</t>
        </is>
      </c>
      <c r="B1847" s="42" t="inlineStr">
        <is>
          <t>5/18/25 - 6/14/25</t>
        </is>
      </c>
      <c r="C1847" s="41" t="n">
        <v>0.58</v>
      </c>
      <c r="D1847" s="41" t="n">
        <v>0.55</v>
      </c>
      <c r="E1847" s="41" t="n">
        <v>0.96</v>
      </c>
      <c r="F1847" s="41" t="n">
        <v>1</v>
      </c>
      <c r="G1847" s="41" t="e">
        <v>#N/A</v>
      </c>
      <c r="H1847" s="42" t="n">
        <v>1</v>
      </c>
      <c r="I1847" s="42" t="n"/>
      <c r="J1847" s="9" t="n"/>
      <c r="K1847" t="e">
        <v>#N/A</v>
      </c>
      <c r="L1847" t="e">
        <v>#N/A</v>
      </c>
      <c r="M1847" t="e">
        <v>#N/A</v>
      </c>
    </row>
    <row r="1848">
      <c r="A1848" s="42" t="inlineStr">
        <is>
          <t>Traevon Cole</t>
        </is>
      </c>
      <c r="B1848" s="42" t="inlineStr">
        <is>
          <t>6/15/25 - 7/12/25</t>
        </is>
      </c>
      <c r="C1848" s="41" t="n">
        <v>0.03</v>
      </c>
      <c r="D1848" s="41" t="n">
        <v>0.06</v>
      </c>
      <c r="E1848" s="41" t="n">
        <v>1</v>
      </c>
      <c r="F1848" s="41" t="n">
        <v>0</v>
      </c>
      <c r="G1848" s="41" t="n">
        <v>0</v>
      </c>
      <c r="H1848" s="42" t="e">
        <v>#N/A</v>
      </c>
      <c r="I1848" s="42" t="n"/>
      <c r="J1848" s="9" t="n"/>
      <c r="K1848" t="e">
        <v>#N/A</v>
      </c>
      <c r="L1848" t="e">
        <v>#N/A</v>
      </c>
      <c r="M1848" t="e">
        <v>#N/A</v>
      </c>
    </row>
    <row r="1849">
      <c r="A1849" s="42" t="inlineStr">
        <is>
          <t>Traevon Cole</t>
        </is>
      </c>
      <c r="B1849" s="42" t="inlineStr">
        <is>
          <t>7/13/25 - 8/10/25</t>
        </is>
      </c>
      <c r="C1849" s="41" t="n">
        <v>0</v>
      </c>
      <c r="D1849" s="41" t="n">
        <v>0</v>
      </c>
      <c r="E1849" s="41" t="n">
        <v>0</v>
      </c>
      <c r="F1849" s="41" t="n">
        <v>0</v>
      </c>
      <c r="G1849" s="41" t="n">
        <v>0</v>
      </c>
      <c r="H1849" s="42" t="e">
        <v>#N/A</v>
      </c>
      <c r="I1849" s="42" t="n"/>
      <c r="J1849" s="9" t="n"/>
      <c r="K1849" t="e">
        <v>#N/A</v>
      </c>
      <c r="L1849" t="e">
        <v>#N/A</v>
      </c>
      <c r="M1849" t="e">
        <v>#N/A</v>
      </c>
    </row>
    <row r="1850">
      <c r="A1850" s="42" t="inlineStr">
        <is>
          <t>Traevon Cole</t>
        </is>
      </c>
      <c r="B1850" s="42" t="inlineStr">
        <is>
          <t>8/10/25 - 9/6/25</t>
        </is>
      </c>
      <c r="C1850" s="41" t="n">
        <v>0</v>
      </c>
      <c r="D1850" s="41" t="n">
        <v>0.88</v>
      </c>
      <c r="E1850" s="41" t="n">
        <v>0</v>
      </c>
      <c r="F1850" s="41" t="n">
        <v>0</v>
      </c>
      <c r="G1850" s="41" t="n">
        <v>0</v>
      </c>
      <c r="H1850" s="42" t="n">
        <v>0</v>
      </c>
      <c r="I1850" s="44" t="n"/>
      <c r="J1850" s="9" t="n"/>
      <c r="K1850" t="e">
        <v>#N/A</v>
      </c>
      <c r="L1850" t="e">
        <v>#N/A</v>
      </c>
      <c r="M1850" t="e">
        <v>#N/A</v>
      </c>
    </row>
    <row r="1851">
      <c r="A1851" s="42" t="inlineStr">
        <is>
          <t>Trevor Ferguson</t>
        </is>
      </c>
      <c r="B1851" s="42" t="inlineStr">
        <is>
          <t>10/5/25 - 11/1/25</t>
        </is>
      </c>
      <c r="C1851" s="41" t="n">
        <v>1.0354</v>
      </c>
      <c r="D1851" s="41" t="n">
        <v>1.2648</v>
      </c>
      <c r="E1851" s="41" t="n">
        <v>1</v>
      </c>
      <c r="F1851" s="41" t="n">
        <v>0.975</v>
      </c>
      <c r="G1851" s="41" t="n">
        <v>0.809523809523809</v>
      </c>
      <c r="H1851" s="42" t="n">
        <v>4</v>
      </c>
      <c r="I1851" s="43" t="inlineStr">
        <is>
          <t>1/3</t>
        </is>
      </c>
      <c r="J1851" s="12" t="n">
        <v>0.33</v>
      </c>
      <c r="K1851" t="inlineStr">
        <is>
          <t>Distinguished</t>
        </is>
      </c>
      <c r="L1851" t="inlineStr">
        <is>
          <t>Professional</t>
        </is>
      </c>
      <c r="M1851" t="inlineStr">
        <is>
          <t>Geoff St. Marie</t>
        </is>
      </c>
    </row>
    <row r="1852">
      <c r="A1852" s="42" t="inlineStr">
        <is>
          <t>Trevor Ferguson</t>
        </is>
      </c>
      <c r="B1852" s="42" t="inlineStr">
        <is>
          <t>10/5/25 - 11/1/25</t>
        </is>
      </c>
      <c r="C1852" s="41" t="n">
        <v>1.0354</v>
      </c>
      <c r="D1852" s="41" t="n">
        <v>1.2648</v>
      </c>
      <c r="E1852" s="41" t="n">
        <v>1</v>
      </c>
      <c r="F1852" s="41" t="n">
        <v>0.975</v>
      </c>
      <c r="G1852" s="41" t="n">
        <v>0.809523809523809</v>
      </c>
      <c r="H1852" s="42" t="n">
        <v>4</v>
      </c>
      <c r="I1852" s="43" t="inlineStr">
        <is>
          <t>1/3</t>
        </is>
      </c>
      <c r="J1852" s="12">
        <f>_xlfn.TEXTBEFORE(I1852, "/")/_xlfn.TEXTAFTER(I1852,"/")</f>
        <v/>
      </c>
      <c r="K1852" t="inlineStr">
        <is>
          <t>Distinguished</t>
        </is>
      </c>
      <c r="L1852" t="inlineStr">
        <is>
          <t>Professional</t>
        </is>
      </c>
      <c r="M1852" t="inlineStr">
        <is>
          <t>Geoff St. Marie</t>
        </is>
      </c>
    </row>
    <row r="1853">
      <c r="A1853" s="42" t="inlineStr">
        <is>
          <t>Trevor Ferguson</t>
        </is>
      </c>
      <c r="B1853" s="42" t="inlineStr">
        <is>
          <t>11/2/25 - 11/29/25</t>
        </is>
      </c>
      <c r="C1853" s="41" t="n">
        <v>0.84</v>
      </c>
      <c r="D1853" s="41" t="n">
        <v>1.26</v>
      </c>
      <c r="E1853" s="41" t="n">
        <v>1</v>
      </c>
      <c r="F1853" s="41" t="n">
        <v>1</v>
      </c>
      <c r="G1853" s="41" t="n">
        <v>0.58</v>
      </c>
      <c r="H1853" s="42" t="n">
        <v>4</v>
      </c>
      <c r="I1853" s="45" t="n">
        <v>45659</v>
      </c>
      <c r="J1853" s="12" t="n">
        <v>0.5</v>
      </c>
      <c r="K1853" t="inlineStr">
        <is>
          <t>Distinguished</t>
        </is>
      </c>
      <c r="L1853" t="inlineStr">
        <is>
          <t>Professional</t>
        </is>
      </c>
      <c r="M1853" t="inlineStr">
        <is>
          <t>Geoff St. Marie</t>
        </is>
      </c>
    </row>
    <row r="1854">
      <c r="A1854" s="42" t="inlineStr">
        <is>
          <t>Trevor Ferguson</t>
        </is>
      </c>
      <c r="B1854" s="42" t="inlineStr">
        <is>
          <t>11/30/25 - 12/27/25</t>
        </is>
      </c>
      <c r="C1854" s="41" t="n">
        <v>0.77</v>
      </c>
      <c r="D1854" s="41" t="n">
        <v>1.15</v>
      </c>
      <c r="E1854" s="41" t="n">
        <v>1</v>
      </c>
      <c r="F1854" s="41" t="n">
        <v>0.98</v>
      </c>
      <c r="G1854" s="41" t="n">
        <v>0.73</v>
      </c>
      <c r="H1854" s="42" t="n">
        <v>2</v>
      </c>
      <c r="I1854" s="43" t="n">
        <v>1</v>
      </c>
      <c r="J1854" s="12" t="n">
        <v>1</v>
      </c>
      <c r="K1854" t="inlineStr">
        <is>
          <t>Distinguished</t>
        </is>
      </c>
      <c r="L1854" t="inlineStr">
        <is>
          <t>Professional</t>
        </is>
      </c>
      <c r="M1854" t="inlineStr">
        <is>
          <t>Geoff St. Marie</t>
        </is>
      </c>
    </row>
    <row r="1855">
      <c r="A1855" s="42" t="inlineStr">
        <is>
          <t>Trevor Ferguson</t>
        </is>
      </c>
      <c r="B1855" s="42" t="inlineStr">
        <is>
          <t>12/28/25 - 1/25/26</t>
        </is>
      </c>
      <c r="C1855" s="41" t="n">
        <v>0.4542</v>
      </c>
      <c r="D1855" s="41" t="n">
        <v>1.0115</v>
      </c>
      <c r="E1855" s="41" t="n">
        <v>1</v>
      </c>
      <c r="F1855" s="41" t="n">
        <v>0.971428571</v>
      </c>
      <c r="G1855" s="41" t="n">
        <v>0.714285714</v>
      </c>
      <c r="H1855" s="42" t="n">
        <v>6</v>
      </c>
      <c r="I1855" s="43" t="inlineStr">
        <is>
          <t>0/0</t>
        </is>
      </c>
      <c r="J1855" s="12" t="n">
        <v>0</v>
      </c>
      <c r="K1855" t="inlineStr">
        <is>
          <t>Distinguished</t>
        </is>
      </c>
      <c r="L1855" t="inlineStr">
        <is>
          <t>Professional</t>
        </is>
      </c>
      <c r="M1855" t="inlineStr">
        <is>
          <t>Geoff St. Marie</t>
        </is>
      </c>
    </row>
    <row r="1856">
      <c r="A1856" s="42" t="inlineStr">
        <is>
          <t>Trevor Ferguson</t>
        </is>
      </c>
      <c r="B1856" s="42" t="inlineStr">
        <is>
          <t>5/18/25 - 6/14/25</t>
        </is>
      </c>
      <c r="C1856" s="41" t="n">
        <v>0.63</v>
      </c>
      <c r="D1856" s="41" t="n">
        <v>1.05</v>
      </c>
      <c r="E1856" s="41" t="n">
        <v>1</v>
      </c>
      <c r="F1856" s="41" t="n">
        <v>1</v>
      </c>
      <c r="G1856" s="41" t="n">
        <v>0.67</v>
      </c>
      <c r="H1856" s="42" t="n">
        <v>3</v>
      </c>
      <c r="I1856" s="42" t="n"/>
      <c r="J1856" s="9" t="n"/>
      <c r="K1856" t="inlineStr">
        <is>
          <t>Distinguished</t>
        </is>
      </c>
      <c r="L1856" t="inlineStr">
        <is>
          <t>Professional</t>
        </is>
      </c>
      <c r="M1856" t="inlineStr">
        <is>
          <t>Geoff St. Marie</t>
        </is>
      </c>
    </row>
    <row r="1857">
      <c r="A1857" s="42" t="inlineStr">
        <is>
          <t>Trevor Ferguson</t>
        </is>
      </c>
      <c r="B1857" s="42" t="inlineStr">
        <is>
          <t>6/15/25 - 7/12/25</t>
        </is>
      </c>
      <c r="C1857" s="41" t="n">
        <v>0.25</v>
      </c>
      <c r="D1857" s="41" t="n">
        <v>1.15</v>
      </c>
      <c r="E1857" s="41" t="n">
        <v>1</v>
      </c>
      <c r="F1857" s="41" t="n">
        <v>1</v>
      </c>
      <c r="G1857" s="41" t="n">
        <v>0.67</v>
      </c>
      <c r="H1857" s="42" t="n">
        <v>1</v>
      </c>
      <c r="I1857" s="43" t="n"/>
      <c r="J1857" s="12" t="n"/>
      <c r="K1857" t="inlineStr">
        <is>
          <t>Distinguished</t>
        </is>
      </c>
      <c r="L1857" t="inlineStr">
        <is>
          <t>Professional</t>
        </is>
      </c>
      <c r="M1857" t="inlineStr">
        <is>
          <t>Geoff St. Marie</t>
        </is>
      </c>
    </row>
    <row r="1858">
      <c r="A1858" s="42" t="inlineStr">
        <is>
          <t>Trevor Ferguson</t>
        </is>
      </c>
      <c r="B1858" s="42" t="inlineStr">
        <is>
          <t>7/13/25 - 8/10/25</t>
        </is>
      </c>
      <c r="C1858" s="41" t="n">
        <v>0.43</v>
      </c>
      <c r="D1858" s="41" t="n">
        <v>1.13</v>
      </c>
      <c r="E1858" s="41" t="n">
        <v>1</v>
      </c>
      <c r="F1858" s="41" t="n">
        <v>0.91</v>
      </c>
      <c r="G1858" s="41" t="n">
        <v>0.33</v>
      </c>
      <c r="H1858" s="42" t="e">
        <v>#N/A</v>
      </c>
      <c r="I1858" s="43" t="inlineStr">
        <is>
          <t xml:space="preserve"> 2/3</t>
        </is>
      </c>
      <c r="J1858" s="12" t="n">
        <v>0.67</v>
      </c>
      <c r="K1858" t="inlineStr">
        <is>
          <t>Distinguished</t>
        </is>
      </c>
      <c r="L1858" t="inlineStr">
        <is>
          <t>Professional</t>
        </is>
      </c>
      <c r="M1858" t="inlineStr">
        <is>
          <t>Geoff St. Marie</t>
        </is>
      </c>
    </row>
    <row r="1859">
      <c r="A1859" s="42" t="inlineStr">
        <is>
          <t>Trevor Ferguson</t>
        </is>
      </c>
      <c r="B1859" s="42" t="inlineStr">
        <is>
          <t>8/10/25 - 9/6/25</t>
        </is>
      </c>
      <c r="C1859" s="41" t="n">
        <v>0.67</v>
      </c>
      <c r="D1859" s="41" t="n">
        <v>1.25</v>
      </c>
      <c r="E1859" s="41" t="n">
        <v>1</v>
      </c>
      <c r="F1859" s="41" t="n">
        <v>0.98</v>
      </c>
      <c r="G1859" s="41" t="n">
        <v>0.64</v>
      </c>
      <c r="H1859" s="42" t="n">
        <v>2</v>
      </c>
      <c r="I1859" s="43" t="inlineStr">
        <is>
          <t>1/2</t>
        </is>
      </c>
      <c r="J1859" s="12" t="n">
        <v>0.5</v>
      </c>
      <c r="K1859" t="inlineStr">
        <is>
          <t>Distinguished</t>
        </is>
      </c>
      <c r="L1859" t="inlineStr">
        <is>
          <t>Professional</t>
        </is>
      </c>
      <c r="M1859" t="inlineStr">
        <is>
          <t>Geoff St. Marie</t>
        </is>
      </c>
    </row>
    <row r="1860">
      <c r="A1860" s="42" t="inlineStr">
        <is>
          <t>Trevor Ferguson</t>
        </is>
      </c>
      <c r="B1860" s="42" t="inlineStr">
        <is>
          <t>9/7/25 - 10/4/25</t>
        </is>
      </c>
      <c r="C1860" s="41" t="n">
        <v>0.6899999999999999</v>
      </c>
      <c r="D1860" s="41" t="n">
        <v>1.11</v>
      </c>
      <c r="E1860" s="41" t="n">
        <v>1</v>
      </c>
      <c r="F1860" s="41" t="n">
        <v>0.9399999999999999</v>
      </c>
      <c r="G1860" s="41" t="n">
        <v>0.8</v>
      </c>
      <c r="H1860" s="42" t="n">
        <v>5</v>
      </c>
      <c r="I1860" s="43" t="inlineStr">
        <is>
          <t>4/5</t>
        </is>
      </c>
      <c r="J1860" s="12" t="n">
        <v>0.8</v>
      </c>
      <c r="K1860" t="inlineStr">
        <is>
          <t>Distinguished</t>
        </is>
      </c>
      <c r="L1860" t="inlineStr">
        <is>
          <t>Professional</t>
        </is>
      </c>
      <c r="M1860" t="inlineStr">
        <is>
          <t>Geoff St. Marie</t>
        </is>
      </c>
    </row>
    <row r="1861">
      <c r="A1861" s="42" t="inlineStr">
        <is>
          <t>Tyler Greer</t>
        </is>
      </c>
      <c r="B1861" s="42" t="inlineStr">
        <is>
          <t>10/5/25 - 11/1/25</t>
        </is>
      </c>
      <c r="C1861" s="41" t="n">
        <v>0.9458</v>
      </c>
      <c r="D1861" s="41" t="n">
        <v>0.8502999999999999</v>
      </c>
      <c r="E1861" s="41" t="n">
        <v>0.991304347826086</v>
      </c>
      <c r="F1861" s="41" t="n">
        <v>0.8125</v>
      </c>
      <c r="G1861" s="41" t="n">
        <v>0.952380952380952</v>
      </c>
      <c r="H1861" s="42" t="n">
        <v>5</v>
      </c>
      <c r="I1861" s="43" t="inlineStr">
        <is>
          <t>4/12</t>
        </is>
      </c>
      <c r="J1861" s="12" t="n">
        <v>0.33</v>
      </c>
      <c r="K1861" t="inlineStr">
        <is>
          <t>Distinguished</t>
        </is>
      </c>
      <c r="L1861" t="inlineStr">
        <is>
          <t>Professional</t>
        </is>
      </c>
      <c r="M1861" t="inlineStr">
        <is>
          <t>Kristin Haase-Alvey</t>
        </is>
      </c>
    </row>
    <row r="1862">
      <c r="A1862" s="42" t="inlineStr">
        <is>
          <t>Tyler Greer</t>
        </is>
      </c>
      <c r="B1862" s="42" t="inlineStr">
        <is>
          <t>10/5/25 - 11/1/25</t>
        </is>
      </c>
      <c r="C1862" s="41" t="n">
        <v>0.9458</v>
      </c>
      <c r="D1862" s="41" t="n">
        <v>0.8502999999999999</v>
      </c>
      <c r="E1862" s="41" t="n">
        <v>0.991304347826086</v>
      </c>
      <c r="F1862" s="41" t="n">
        <v>0.8125</v>
      </c>
      <c r="G1862" s="41" t="n">
        <v>0.952380952380952</v>
      </c>
      <c r="H1862" s="42" t="n">
        <v>5</v>
      </c>
      <c r="I1862" s="43" t="inlineStr">
        <is>
          <t>4/12</t>
        </is>
      </c>
      <c r="J1862" s="12">
        <f>_xlfn.TEXTBEFORE(I1862, "/")/_xlfn.TEXTAFTER(I1862,"/")</f>
        <v/>
      </c>
      <c r="K1862" t="inlineStr">
        <is>
          <t>Distinguished</t>
        </is>
      </c>
      <c r="L1862" t="inlineStr">
        <is>
          <t>Professional</t>
        </is>
      </c>
      <c r="M1862" t="inlineStr">
        <is>
          <t>Kristin Haase-Alvey</t>
        </is>
      </c>
    </row>
    <row r="1863">
      <c r="A1863" s="42" t="inlineStr">
        <is>
          <t>Tyler Greer</t>
        </is>
      </c>
      <c r="B1863" s="42" t="inlineStr">
        <is>
          <t>11/2/25 - 11/29/25</t>
        </is>
      </c>
      <c r="C1863" s="41" t="n">
        <v>0.73</v>
      </c>
      <c r="D1863" s="41" t="n">
        <v>0.68</v>
      </c>
      <c r="E1863" s="41" t="n">
        <v>0.99</v>
      </c>
      <c r="F1863" s="41" t="n">
        <v>0.98</v>
      </c>
      <c r="G1863" s="41" t="n">
        <v>1</v>
      </c>
      <c r="H1863" s="42" t="n">
        <v>10</v>
      </c>
      <c r="I1863" s="45" t="n">
        <v>45785</v>
      </c>
      <c r="J1863" s="14" t="n">
        <v>0.63</v>
      </c>
      <c r="K1863" t="inlineStr">
        <is>
          <t>Distinguished</t>
        </is>
      </c>
      <c r="L1863" t="inlineStr">
        <is>
          <t>Professional</t>
        </is>
      </c>
      <c r="M1863" t="inlineStr">
        <is>
          <t>Kristin Haase-Alvey</t>
        </is>
      </c>
    </row>
    <row r="1864">
      <c r="A1864" s="42" t="inlineStr">
        <is>
          <t>Tyler Greer</t>
        </is>
      </c>
      <c r="B1864" s="42" t="inlineStr">
        <is>
          <t>11/30/25 - 12/27/25</t>
        </is>
      </c>
      <c r="C1864" s="41" t="n">
        <v>0.77</v>
      </c>
      <c r="D1864" s="41" t="n">
        <v>0.8100000000000001</v>
      </c>
      <c r="E1864" s="41" t="n">
        <v>0.98</v>
      </c>
      <c r="F1864" s="41" t="n">
        <v>0.98</v>
      </c>
      <c r="G1864" s="41" t="n">
        <v>1</v>
      </c>
      <c r="H1864" s="42" t="n">
        <v>8</v>
      </c>
      <c r="I1864" s="43" t="n">
        <v>0.25</v>
      </c>
      <c r="J1864" s="12" t="n">
        <v>0.25</v>
      </c>
      <c r="K1864" t="inlineStr">
        <is>
          <t>Distinguished</t>
        </is>
      </c>
      <c r="L1864" t="inlineStr">
        <is>
          <t>Professional</t>
        </is>
      </c>
      <c r="M1864" t="inlineStr">
        <is>
          <t>Kristin Haase-Alvey</t>
        </is>
      </c>
    </row>
    <row r="1865">
      <c r="A1865" s="42" t="inlineStr">
        <is>
          <t>Tyler Greer</t>
        </is>
      </c>
      <c r="B1865" s="42" t="inlineStr">
        <is>
          <t>12/28/25 - 1/25/26</t>
        </is>
      </c>
      <c r="C1865" s="41" t="n">
        <v>0.8375</v>
      </c>
      <c r="D1865" s="41" t="n">
        <v>0.8388</v>
      </c>
      <c r="E1865" s="41" t="n">
        <v>0.961165049</v>
      </c>
      <c r="F1865" s="41" t="n">
        <v>1</v>
      </c>
      <c r="G1865" s="41" t="n">
        <v>1</v>
      </c>
      <c r="H1865" s="42" t="n">
        <v>8</v>
      </c>
      <c r="I1865" s="43" t="n">
        <v>0.1428571428571428</v>
      </c>
      <c r="J1865" s="12">
        <f>I1865</f>
        <v/>
      </c>
      <c r="K1865" t="inlineStr">
        <is>
          <t>Distinguished</t>
        </is>
      </c>
      <c r="L1865" t="inlineStr">
        <is>
          <t>Professional</t>
        </is>
      </c>
      <c r="M1865" t="inlineStr">
        <is>
          <t>Kristin Haase-Alvey</t>
        </is>
      </c>
    </row>
    <row r="1866">
      <c r="A1866" s="42" t="inlineStr">
        <is>
          <t>Tyler Greer</t>
        </is>
      </c>
      <c r="B1866" s="42" t="inlineStr">
        <is>
          <t>5/18/25 - 6/14/25</t>
        </is>
      </c>
      <c r="C1866" s="41" t="n">
        <v>0</v>
      </c>
      <c r="D1866" s="41" t="n">
        <v>0.34</v>
      </c>
      <c r="E1866" s="41" t="n">
        <v>0</v>
      </c>
      <c r="F1866" s="41" t="n">
        <v>0</v>
      </c>
      <c r="G1866" s="41" t="n">
        <v>1</v>
      </c>
      <c r="H1866" s="42" t="e">
        <v>#N/A</v>
      </c>
      <c r="I1866" s="42" t="n"/>
      <c r="J1866" s="9" t="n"/>
      <c r="K1866" t="inlineStr">
        <is>
          <t>Distinguished</t>
        </is>
      </c>
      <c r="L1866" t="inlineStr">
        <is>
          <t>Professional</t>
        </is>
      </c>
      <c r="M1866" t="inlineStr">
        <is>
          <t>Kristin Haase-Alvey</t>
        </is>
      </c>
    </row>
    <row r="1867">
      <c r="A1867" s="42" t="inlineStr">
        <is>
          <t>Tyler Greer</t>
        </is>
      </c>
      <c r="B1867" s="42" t="inlineStr">
        <is>
          <t>6/15/25 - 7/12/25</t>
        </is>
      </c>
      <c r="C1867" s="41" t="n">
        <v>0.5</v>
      </c>
      <c r="D1867" s="41" t="n">
        <v>1.1</v>
      </c>
      <c r="E1867" s="41" t="n">
        <v>0.97</v>
      </c>
      <c r="F1867" s="41" t="n">
        <v>0.97</v>
      </c>
      <c r="G1867" s="41" t="n">
        <v>1</v>
      </c>
      <c r="H1867" s="42" t="e">
        <v>#N/A</v>
      </c>
      <c r="I1867" s="43" t="inlineStr">
        <is>
          <t xml:space="preserve"> 3/8</t>
        </is>
      </c>
      <c r="J1867" s="12" t="n">
        <v>0.38</v>
      </c>
      <c r="K1867" t="inlineStr">
        <is>
          <t>Distinguished</t>
        </is>
      </c>
      <c r="L1867" t="inlineStr">
        <is>
          <t>Professional</t>
        </is>
      </c>
      <c r="M1867" t="inlineStr">
        <is>
          <t>Kristin Haase-Alvey</t>
        </is>
      </c>
    </row>
    <row r="1868">
      <c r="A1868" s="42" t="inlineStr">
        <is>
          <t>Tyler Greer</t>
        </is>
      </c>
      <c r="B1868" s="42" t="inlineStr">
        <is>
          <t>7/13/25 - 8/10/25</t>
        </is>
      </c>
      <c r="C1868" s="41" t="n">
        <v>0.86</v>
      </c>
      <c r="D1868" s="41" t="n">
        <v>0.89</v>
      </c>
      <c r="E1868" s="41" t="n">
        <v>0.99</v>
      </c>
      <c r="F1868" s="41" t="n">
        <v>0.7</v>
      </c>
      <c r="G1868" s="41" t="n">
        <v>1</v>
      </c>
      <c r="H1868" s="42" t="n">
        <v>5</v>
      </c>
      <c r="I1868" s="43" t="inlineStr">
        <is>
          <t xml:space="preserve"> 5/6</t>
        </is>
      </c>
      <c r="J1868" s="12" t="n">
        <v>0.83</v>
      </c>
      <c r="K1868" t="inlineStr">
        <is>
          <t>Distinguished</t>
        </is>
      </c>
      <c r="L1868" t="inlineStr">
        <is>
          <t>Professional</t>
        </is>
      </c>
      <c r="M1868" t="inlineStr">
        <is>
          <t>Kristin Haase-Alvey</t>
        </is>
      </c>
    </row>
    <row r="1869">
      <c r="A1869" s="42" t="inlineStr">
        <is>
          <t>Tyler Greer</t>
        </is>
      </c>
      <c r="B1869" s="42" t="inlineStr">
        <is>
          <t>8/10/25 - 9/6/25</t>
        </is>
      </c>
      <c r="C1869" s="41" t="n">
        <v>0.7</v>
      </c>
      <c r="D1869" s="41" t="n">
        <v>1.02</v>
      </c>
      <c r="E1869" s="41" t="n">
        <v>0.96</v>
      </c>
      <c r="F1869" s="41" t="n">
        <v>0.96</v>
      </c>
      <c r="G1869" s="41" t="n">
        <v>1</v>
      </c>
      <c r="H1869" s="42" t="n">
        <v>1</v>
      </c>
      <c r="I1869" s="43" t="inlineStr">
        <is>
          <t>2/3</t>
        </is>
      </c>
      <c r="J1869" s="12" t="n">
        <v>0.66</v>
      </c>
      <c r="K1869" t="inlineStr">
        <is>
          <t>Distinguished</t>
        </is>
      </c>
      <c r="L1869" t="inlineStr">
        <is>
          <t>Professional</t>
        </is>
      </c>
      <c r="M1869" t="inlineStr">
        <is>
          <t>Kristin Haase-Alvey</t>
        </is>
      </c>
    </row>
    <row r="1870">
      <c r="A1870" s="42" t="inlineStr">
        <is>
          <t>Tyler Greer</t>
        </is>
      </c>
      <c r="B1870" s="42" t="inlineStr">
        <is>
          <t>9/7/25 - 10/4/25</t>
        </is>
      </c>
      <c r="C1870" s="41" t="n">
        <v>0.83</v>
      </c>
      <c r="D1870" s="41" t="n">
        <v>1.02</v>
      </c>
      <c r="E1870" s="41" t="n">
        <v>0.99</v>
      </c>
      <c r="F1870" s="41" t="n">
        <v>0.8</v>
      </c>
      <c r="G1870" s="41" t="n">
        <v>1</v>
      </c>
      <c r="H1870" s="42" t="n">
        <v>5</v>
      </c>
      <c r="I1870" s="43" t="inlineStr">
        <is>
          <t>1/1</t>
        </is>
      </c>
      <c r="J1870" s="12" t="n">
        <v>1</v>
      </c>
      <c r="K1870" t="inlineStr">
        <is>
          <t>Distinguished</t>
        </is>
      </c>
      <c r="L1870" t="inlineStr">
        <is>
          <t>Professional</t>
        </is>
      </c>
      <c r="M1870" t="inlineStr">
        <is>
          <t>Kristin Haase-Alvey</t>
        </is>
      </c>
    </row>
    <row r="1871">
      <c r="A1871" s="42" t="inlineStr">
        <is>
          <t>Tyler Henry</t>
        </is>
      </c>
      <c r="B1871" s="42" t="inlineStr">
        <is>
          <t>10/5/25 - 11/1/25</t>
        </is>
      </c>
      <c r="C1871" s="41" t="n">
        <v>1.0917</v>
      </c>
      <c r="D1871" s="41" t="n">
        <v>1.1875</v>
      </c>
      <c r="E1871" s="41" t="n">
        <v>0.916666666666666</v>
      </c>
      <c r="F1871" s="41" t="n">
        <v>0.958904109589041</v>
      </c>
      <c r="G1871" s="41" t="n">
        <v>0.636363636363636</v>
      </c>
      <c r="H1871" s="42" t="n">
        <v>12</v>
      </c>
      <c r="I1871" s="43" t="inlineStr">
        <is>
          <t>7/12</t>
        </is>
      </c>
      <c r="J1871" s="12" t="n">
        <v>0.58</v>
      </c>
      <c r="K1871" t="inlineStr">
        <is>
          <t>Distinguished</t>
        </is>
      </c>
      <c r="L1871" t="inlineStr">
        <is>
          <t>Professional</t>
        </is>
      </c>
      <c r="M1871" t="inlineStr">
        <is>
          <t>Annelies de Groot</t>
        </is>
      </c>
    </row>
    <row r="1872">
      <c r="A1872" s="42" t="inlineStr">
        <is>
          <t>Tyler Henry</t>
        </is>
      </c>
      <c r="B1872" s="42" t="inlineStr">
        <is>
          <t>10/5/25 - 11/1/25</t>
        </is>
      </c>
      <c r="C1872" s="41" t="n">
        <v>1.0917</v>
      </c>
      <c r="D1872" s="41" t="n">
        <v>1.1875</v>
      </c>
      <c r="E1872" s="41" t="n">
        <v>0.916666666666666</v>
      </c>
      <c r="F1872" s="41" t="n">
        <v>0.958904109589041</v>
      </c>
      <c r="G1872" s="41" t="n">
        <v>0.636363636363636</v>
      </c>
      <c r="H1872" s="42" t="n">
        <v>12</v>
      </c>
      <c r="I1872" s="43" t="inlineStr">
        <is>
          <t>7/12</t>
        </is>
      </c>
      <c r="J1872" s="12">
        <f>_xlfn.TEXTBEFORE(I1872, "/")/_xlfn.TEXTAFTER(I1872,"/")</f>
        <v/>
      </c>
      <c r="K1872" t="inlineStr">
        <is>
          <t>Distinguished</t>
        </is>
      </c>
      <c r="L1872" t="inlineStr">
        <is>
          <t>Professional</t>
        </is>
      </c>
      <c r="M1872" t="inlineStr">
        <is>
          <t>Annelies de Groot</t>
        </is>
      </c>
    </row>
    <row r="1873">
      <c r="A1873" s="42" t="inlineStr">
        <is>
          <t>Tyler Henry</t>
        </is>
      </c>
      <c r="B1873" s="42" t="inlineStr">
        <is>
          <t>11/2/25 - 11/29/25</t>
        </is>
      </c>
      <c r="C1873" s="41" t="n">
        <v>1.11</v>
      </c>
      <c r="D1873" s="41" t="n">
        <v>1.26</v>
      </c>
      <c r="E1873" s="41" t="n">
        <v>0.9399999999999999</v>
      </c>
      <c r="F1873" s="41" t="n">
        <v>1</v>
      </c>
      <c r="G1873" s="41" t="n">
        <v>0.74</v>
      </c>
      <c r="H1873" s="42" t="n">
        <v>7</v>
      </c>
      <c r="I1873" s="45" t="n">
        <v>45972</v>
      </c>
      <c r="J1873" s="12" t="n">
        <v>1</v>
      </c>
      <c r="K1873" t="inlineStr">
        <is>
          <t>Distinguished</t>
        </is>
      </c>
      <c r="L1873" t="inlineStr">
        <is>
          <t>Professional</t>
        </is>
      </c>
      <c r="M1873" t="inlineStr">
        <is>
          <t>Annelies de Groot</t>
        </is>
      </c>
    </row>
    <row r="1874">
      <c r="A1874" s="42" t="inlineStr">
        <is>
          <t>Tyler Henry</t>
        </is>
      </c>
      <c r="B1874" s="42" t="inlineStr">
        <is>
          <t>11/30/25 - 12/27/25</t>
        </is>
      </c>
      <c r="C1874" s="41" t="n">
        <v>0.97</v>
      </c>
      <c r="D1874" s="41" t="n">
        <v>1.3</v>
      </c>
      <c r="E1874" s="41" t="n">
        <v>0.95</v>
      </c>
      <c r="F1874" s="41" t="n">
        <v>1</v>
      </c>
      <c r="G1874" s="41" t="n">
        <v>0.89</v>
      </c>
      <c r="H1874" s="42" t="n">
        <v>16</v>
      </c>
      <c r="I1874" s="43" t="n">
        <v>0.75</v>
      </c>
      <c r="J1874" s="12" t="n">
        <v>0.75</v>
      </c>
      <c r="K1874" t="inlineStr">
        <is>
          <t>Distinguished</t>
        </is>
      </c>
      <c r="L1874" t="inlineStr">
        <is>
          <t>Professional</t>
        </is>
      </c>
      <c r="M1874" t="inlineStr">
        <is>
          <t>Annelies de Groot</t>
        </is>
      </c>
    </row>
    <row r="1875">
      <c r="A1875" s="42" t="inlineStr">
        <is>
          <t>Tyler Henry</t>
        </is>
      </c>
      <c r="B1875" s="42" t="inlineStr">
        <is>
          <t>12/28/25 - 1/25/26</t>
        </is>
      </c>
      <c r="C1875" s="41" t="n">
        <v>1.125</v>
      </c>
      <c r="D1875" s="41" t="n">
        <v>1.1513</v>
      </c>
      <c r="E1875" s="41" t="n">
        <v>0.912</v>
      </c>
      <c r="F1875" s="41" t="n">
        <v>1</v>
      </c>
      <c r="G1875" s="41" t="n">
        <v>0.681818182</v>
      </c>
      <c r="H1875" s="42" t="n">
        <v>14</v>
      </c>
      <c r="I1875" s="43" t="n">
        <v>0.8181818181818182</v>
      </c>
      <c r="J1875" s="12">
        <f>I1875</f>
        <v/>
      </c>
      <c r="K1875" t="inlineStr">
        <is>
          <t>Distinguished</t>
        </is>
      </c>
      <c r="L1875" t="inlineStr">
        <is>
          <t>Professional</t>
        </is>
      </c>
      <c r="M1875" t="inlineStr">
        <is>
          <t>Annelies de Groot</t>
        </is>
      </c>
    </row>
    <row r="1876">
      <c r="A1876" s="42" t="inlineStr">
        <is>
          <t>Tyler Henry</t>
        </is>
      </c>
      <c r="B1876" s="42" t="inlineStr">
        <is>
          <t>5/18/25 - 6/14/25</t>
        </is>
      </c>
      <c r="C1876" s="41" t="n">
        <v>1.07</v>
      </c>
      <c r="D1876" s="41" t="n">
        <v>1.29</v>
      </c>
      <c r="E1876" s="41" t="n">
        <v>0.9399999999999999</v>
      </c>
      <c r="F1876" s="41" t="n">
        <v>0.74</v>
      </c>
      <c r="G1876" s="41" t="n">
        <v>0.82</v>
      </c>
      <c r="H1876" s="42" t="n">
        <v>2</v>
      </c>
      <c r="I1876" s="43" t="n">
        <v>1</v>
      </c>
      <c r="J1876" s="12">
        <f>I1876</f>
        <v/>
      </c>
      <c r="K1876" t="inlineStr">
        <is>
          <t>Distinguished</t>
        </is>
      </c>
      <c r="L1876" t="inlineStr">
        <is>
          <t>Professional</t>
        </is>
      </c>
      <c r="M1876" t="inlineStr">
        <is>
          <t>Annelies de Groot</t>
        </is>
      </c>
    </row>
    <row r="1877">
      <c r="A1877" s="42" t="inlineStr">
        <is>
          <t>Tyler Henry</t>
        </is>
      </c>
      <c r="B1877" s="42" t="inlineStr">
        <is>
          <t>6/15/25 - 7/12/25</t>
        </is>
      </c>
      <c r="C1877" s="41" t="n">
        <v>0.39</v>
      </c>
      <c r="D1877" s="41" t="n">
        <v>0.8</v>
      </c>
      <c r="E1877" s="41" t="n">
        <v>0.96</v>
      </c>
      <c r="F1877" s="41" t="n">
        <v>0.79</v>
      </c>
      <c r="G1877" s="41" t="n">
        <v>0.65</v>
      </c>
      <c r="H1877" s="42" t="n">
        <v>4</v>
      </c>
      <c r="I1877" s="43" t="n">
        <v>1</v>
      </c>
      <c r="J1877" s="12">
        <f>I1877</f>
        <v/>
      </c>
      <c r="K1877" t="inlineStr">
        <is>
          <t>Distinguished</t>
        </is>
      </c>
      <c r="L1877" t="inlineStr">
        <is>
          <t>Professional</t>
        </is>
      </c>
      <c r="M1877" t="inlineStr">
        <is>
          <t>Annelies de Groot</t>
        </is>
      </c>
    </row>
    <row r="1878">
      <c r="A1878" s="42" t="inlineStr">
        <is>
          <t>Tyler Henry</t>
        </is>
      </c>
      <c r="B1878" s="42" t="inlineStr">
        <is>
          <t>7/13/25 - 8/10/25</t>
        </is>
      </c>
      <c r="C1878" s="41" t="n">
        <v>1</v>
      </c>
      <c r="D1878" s="41" t="n">
        <v>1.28</v>
      </c>
      <c r="E1878" s="41" t="n">
        <v>0.92</v>
      </c>
      <c r="F1878" s="41" t="n">
        <v>1</v>
      </c>
      <c r="G1878" s="41" t="n">
        <v>0.57</v>
      </c>
      <c r="H1878" s="42" t="n">
        <v>11</v>
      </c>
      <c r="I1878" s="43" t="n">
        <v>1</v>
      </c>
      <c r="J1878" s="12">
        <f>I1878</f>
        <v/>
      </c>
      <c r="K1878" t="inlineStr">
        <is>
          <t>Distinguished</t>
        </is>
      </c>
      <c r="L1878" t="inlineStr">
        <is>
          <t>Professional</t>
        </is>
      </c>
      <c r="M1878" t="inlineStr">
        <is>
          <t>Annelies de Groot</t>
        </is>
      </c>
    </row>
    <row r="1879">
      <c r="A1879" s="42" t="inlineStr">
        <is>
          <t>Tyler Henry</t>
        </is>
      </c>
      <c r="B1879" s="42" t="inlineStr">
        <is>
          <t>8/10/25 - 9/6/25</t>
        </is>
      </c>
      <c r="C1879" s="41" t="n">
        <v>1.16</v>
      </c>
      <c r="D1879" s="41" t="n">
        <v>1.31</v>
      </c>
      <c r="E1879" s="41" t="n">
        <v>0.9</v>
      </c>
      <c r="F1879" s="41" t="n">
        <v>1</v>
      </c>
      <c r="G1879" s="41" t="n">
        <v>0.9</v>
      </c>
      <c r="H1879" s="42" t="n">
        <v>8</v>
      </c>
      <c r="I1879" s="43" t="inlineStr">
        <is>
          <t>4/5</t>
        </is>
      </c>
      <c r="J1879" s="12" t="n">
        <v>0.8</v>
      </c>
      <c r="K1879" t="inlineStr">
        <is>
          <t>Distinguished</t>
        </is>
      </c>
      <c r="L1879" t="inlineStr">
        <is>
          <t>Professional</t>
        </is>
      </c>
      <c r="M1879" t="inlineStr">
        <is>
          <t>Annelies de Groot</t>
        </is>
      </c>
    </row>
    <row r="1880">
      <c r="A1880" s="42" t="inlineStr">
        <is>
          <t>Tyler Henry</t>
        </is>
      </c>
      <c r="B1880" s="42" t="inlineStr">
        <is>
          <t>9/7/25 - 10/4/25</t>
        </is>
      </c>
      <c r="C1880" s="41" t="n">
        <v>1.01</v>
      </c>
      <c r="D1880" s="41" t="n">
        <v>1.27</v>
      </c>
      <c r="E1880" s="41" t="n">
        <v>0.9399999999999999</v>
      </c>
      <c r="F1880" s="41" t="n">
        <v>1</v>
      </c>
      <c r="G1880" s="41" t="n">
        <v>0.88</v>
      </c>
      <c r="H1880" s="42" t="n">
        <v>6</v>
      </c>
      <c r="I1880" s="43" t="inlineStr">
        <is>
          <t>1/3</t>
        </is>
      </c>
      <c r="J1880" s="12" t="n">
        <v>0.33</v>
      </c>
      <c r="K1880" t="inlineStr">
        <is>
          <t>Distinguished</t>
        </is>
      </c>
      <c r="L1880" t="inlineStr">
        <is>
          <t>Professional</t>
        </is>
      </c>
      <c r="M1880" t="inlineStr">
        <is>
          <t>Annelies de Groot</t>
        </is>
      </c>
    </row>
    <row r="1881">
      <c r="A1881" s="42" t="inlineStr">
        <is>
          <t>Tyler Thornton</t>
        </is>
      </c>
      <c r="B1881" s="42" t="inlineStr">
        <is>
          <t>10/5/25 - 11/1/25</t>
        </is>
      </c>
      <c r="C1881" s="41" t="n">
        <v>0.893799999999999</v>
      </c>
      <c r="D1881" s="41" t="n">
        <v>1.0905</v>
      </c>
      <c r="E1881" s="41" t="n">
        <v>1</v>
      </c>
      <c r="F1881" s="41" t="n">
        <v>0.957746478873239</v>
      </c>
      <c r="G1881" s="41" t="n">
        <v>1</v>
      </c>
      <c r="H1881" s="42" t="n">
        <v>7</v>
      </c>
      <c r="I1881" s="43" t="inlineStr">
        <is>
          <t>4/10</t>
        </is>
      </c>
      <c r="J1881" s="12" t="n">
        <v>0.4</v>
      </c>
      <c r="K1881" t="inlineStr">
        <is>
          <t>Distinguished</t>
        </is>
      </c>
      <c r="L1881" t="inlineStr">
        <is>
          <t>Professional</t>
        </is>
      </c>
      <c r="M1881" t="inlineStr">
        <is>
          <t>Kristin Haase-Alvey</t>
        </is>
      </c>
    </row>
    <row r="1882">
      <c r="A1882" s="42" t="inlineStr">
        <is>
          <t>Tyler Thornton</t>
        </is>
      </c>
      <c r="B1882" s="42" t="inlineStr">
        <is>
          <t>11/2/25 - 11/29/25</t>
        </is>
      </c>
      <c r="C1882" s="41" t="n">
        <v>0.93</v>
      </c>
      <c r="D1882" s="41" t="n">
        <v>0.98</v>
      </c>
      <c r="E1882" s="41" t="n">
        <v>0.99</v>
      </c>
      <c r="F1882" s="41" t="n">
        <v>0.9</v>
      </c>
      <c r="G1882" s="41" t="n">
        <v>0.57</v>
      </c>
      <c r="H1882" s="42" t="n">
        <v>7</v>
      </c>
      <c r="I1882" s="45" t="n">
        <v>45661</v>
      </c>
      <c r="J1882" s="14" t="n">
        <v>0.25</v>
      </c>
      <c r="K1882" t="inlineStr">
        <is>
          <t>Distinguished</t>
        </is>
      </c>
      <c r="L1882" t="inlineStr">
        <is>
          <t>Professional</t>
        </is>
      </c>
      <c r="M1882" t="inlineStr">
        <is>
          <t>Kristin Haase-Alvey</t>
        </is>
      </c>
    </row>
    <row r="1883">
      <c r="A1883" s="42" t="inlineStr">
        <is>
          <t>Tyler Thornton</t>
        </is>
      </c>
      <c r="B1883" s="42" t="inlineStr">
        <is>
          <t>11/30/25 - 12/27/25</t>
        </is>
      </c>
      <c r="C1883" s="41" t="n">
        <v>0.6</v>
      </c>
      <c r="D1883" s="41" t="n">
        <v>0.9</v>
      </c>
      <c r="E1883" s="41" t="n">
        <v>0.99</v>
      </c>
      <c r="F1883" s="41" t="n">
        <v>0.98</v>
      </c>
      <c r="G1883" s="41" t="n">
        <v>1</v>
      </c>
      <c r="H1883" s="42" t="n">
        <v>7</v>
      </c>
      <c r="I1883" s="43" t="n">
        <v>0.75</v>
      </c>
      <c r="J1883" s="12" t="n">
        <v>0.75</v>
      </c>
      <c r="K1883" t="inlineStr">
        <is>
          <t>Distinguished</t>
        </is>
      </c>
      <c r="L1883" t="inlineStr">
        <is>
          <t>Professional</t>
        </is>
      </c>
      <c r="M1883" t="inlineStr">
        <is>
          <t>Kristin Haase-Alvey</t>
        </is>
      </c>
    </row>
    <row r="1884">
      <c r="A1884" s="42" t="inlineStr">
        <is>
          <t>Tyler Thornton</t>
        </is>
      </c>
      <c r="B1884" s="42" t="inlineStr">
        <is>
          <t>12/28/25 - 1/25/26</t>
        </is>
      </c>
      <c r="C1884" s="41" t="n">
        <v>0.9458</v>
      </c>
      <c r="D1884" s="41" t="n">
        <v>1.0082</v>
      </c>
      <c r="E1884" s="41" t="n">
        <v>0.991452991</v>
      </c>
      <c r="F1884" s="41" t="n">
        <v>0.890243902</v>
      </c>
      <c r="G1884" s="41" t="n">
        <v>0.6875</v>
      </c>
      <c r="H1884" s="42" t="n">
        <v>11</v>
      </c>
      <c r="I1884" s="43" t="n">
        <v>0.5555555555555556</v>
      </c>
      <c r="J1884" s="12">
        <f>I1884</f>
        <v/>
      </c>
      <c r="K1884" t="inlineStr">
        <is>
          <t>Distinguished</t>
        </is>
      </c>
      <c r="L1884" t="inlineStr">
        <is>
          <t>Professional</t>
        </is>
      </c>
      <c r="M1884" t="inlineStr">
        <is>
          <t>Kristin Haase-Alvey</t>
        </is>
      </c>
    </row>
    <row r="1885">
      <c r="A1885" s="42" t="inlineStr">
        <is>
          <t>Tyler Thornton</t>
        </is>
      </c>
      <c r="B1885" s="42" t="inlineStr">
        <is>
          <t>9/7/25 - 10/4/25</t>
        </is>
      </c>
      <c r="C1885" s="41" t="n">
        <v>0.6</v>
      </c>
      <c r="D1885" s="41" t="n">
        <v>0.93</v>
      </c>
      <c r="E1885" s="41" t="n">
        <v>1</v>
      </c>
      <c r="F1885" s="41" t="n">
        <v>0.93</v>
      </c>
      <c r="G1885" s="41" t="n">
        <v>0.5</v>
      </c>
      <c r="H1885" s="42" t="n">
        <v>5</v>
      </c>
      <c r="I1885" s="43" t="inlineStr">
        <is>
          <t>9/13</t>
        </is>
      </c>
      <c r="J1885" s="12" t="n">
        <v>0.6899999999999999</v>
      </c>
      <c r="K1885" t="inlineStr">
        <is>
          <t>Distinguished</t>
        </is>
      </c>
      <c r="L1885" t="inlineStr">
        <is>
          <t>Professional</t>
        </is>
      </c>
      <c r="M1885" t="inlineStr">
        <is>
          <t>Kristin Haase-Alvey</t>
        </is>
      </c>
    </row>
    <row r="1886">
      <c r="A1886" s="42" t="inlineStr">
        <is>
          <t>Valdenis Iancu</t>
        </is>
      </c>
      <c r="B1886" s="42" t="inlineStr">
        <is>
          <t>10/5/25 - 11/1/25</t>
        </is>
      </c>
      <c r="C1886" s="41" t="n">
        <v>0.993799999999999</v>
      </c>
      <c r="D1886" s="41" t="n">
        <v>1.0148</v>
      </c>
      <c r="E1886" s="41" t="n">
        <v>0.9830508474576271</v>
      </c>
      <c r="F1886" s="41" t="n">
        <v>1</v>
      </c>
      <c r="G1886" s="41" t="n">
        <v>1</v>
      </c>
      <c r="H1886" s="42" t="n">
        <v>4</v>
      </c>
      <c r="I1886" s="43" t="n"/>
      <c r="J1886" s="12" t="n"/>
      <c r="K1886" t="inlineStr">
        <is>
          <t>Premium</t>
        </is>
      </c>
      <c r="L1886" t="inlineStr">
        <is>
          <t>Professional</t>
        </is>
      </c>
      <c r="M1886" t="inlineStr">
        <is>
          <t>Ian Plamondon</t>
        </is>
      </c>
    </row>
    <row r="1887">
      <c r="A1887" s="42" t="inlineStr">
        <is>
          <t>Valdenis Iancu</t>
        </is>
      </c>
      <c r="B1887" s="42" t="inlineStr">
        <is>
          <t>10/5/25 - 11/1/25</t>
        </is>
      </c>
      <c r="C1887" s="41" t="n">
        <v>0.993799999999999</v>
      </c>
      <c r="D1887" s="41" t="n">
        <v>1.0148</v>
      </c>
      <c r="E1887" s="41" t="n">
        <v>0.9830508474576271</v>
      </c>
      <c r="F1887" s="41" t="n">
        <v>1</v>
      </c>
      <c r="G1887" s="41" t="n">
        <v>1</v>
      </c>
      <c r="H1887" s="42" t="n">
        <v>4</v>
      </c>
      <c r="I1887" s="42" t="n"/>
      <c r="J1887" s="9" t="n"/>
      <c r="K1887" t="inlineStr">
        <is>
          <t>Premium</t>
        </is>
      </c>
      <c r="L1887" t="inlineStr">
        <is>
          <t>Professional</t>
        </is>
      </c>
      <c r="M1887" t="inlineStr">
        <is>
          <t>Ian Plamondon</t>
        </is>
      </c>
    </row>
    <row r="1888">
      <c r="A1888" s="42" t="inlineStr">
        <is>
          <t>Valdenis Iancu</t>
        </is>
      </c>
      <c r="B1888" s="42" t="inlineStr">
        <is>
          <t>11/2/25 - 11/29/25</t>
        </is>
      </c>
      <c r="C1888" s="41" t="n">
        <v>0.71</v>
      </c>
      <c r="D1888" s="41" t="n">
        <v>1.07</v>
      </c>
      <c r="E1888" s="41" t="n">
        <v>0.98</v>
      </c>
      <c r="F1888" s="41" t="n">
        <v>0.98</v>
      </c>
      <c r="G1888" s="41" t="n">
        <v>1</v>
      </c>
      <c r="H1888" s="42" t="n">
        <v>2</v>
      </c>
      <c r="I1888" s="45" t="n">
        <v>45720</v>
      </c>
      <c r="J1888" s="14" t="n">
        <v>0.75</v>
      </c>
      <c r="K1888" t="inlineStr">
        <is>
          <t>Premium</t>
        </is>
      </c>
      <c r="L1888" t="inlineStr">
        <is>
          <t>Professional</t>
        </is>
      </c>
      <c r="M1888" t="inlineStr">
        <is>
          <t>Ian Plamondon</t>
        </is>
      </c>
    </row>
    <row r="1889">
      <c r="A1889" s="42" t="inlineStr">
        <is>
          <t>Valdenis Iancu</t>
        </is>
      </c>
      <c r="B1889" s="42" t="inlineStr">
        <is>
          <t>11/30/25 - 12/27/25</t>
        </is>
      </c>
      <c r="C1889" s="41" t="n">
        <v>0.6</v>
      </c>
      <c r="D1889" s="41" t="n">
        <v>1.05</v>
      </c>
      <c r="E1889" s="41" t="n">
        <v>1</v>
      </c>
      <c r="F1889" s="41" t="n">
        <v>0.97</v>
      </c>
      <c r="G1889" s="41" t="n">
        <v>1</v>
      </c>
      <c r="H1889" s="42" t="n">
        <v>3</v>
      </c>
      <c r="I1889" s="43" t="n">
        <v>1</v>
      </c>
      <c r="J1889" s="12" t="n">
        <v>1</v>
      </c>
      <c r="K1889" t="inlineStr">
        <is>
          <t>Premium</t>
        </is>
      </c>
      <c r="L1889" t="inlineStr">
        <is>
          <t>Professional</t>
        </is>
      </c>
      <c r="M1889" t="inlineStr">
        <is>
          <t>Ian Plamondon</t>
        </is>
      </c>
    </row>
    <row r="1890">
      <c r="A1890" s="42" t="inlineStr">
        <is>
          <t>Valdenis Iancu</t>
        </is>
      </c>
      <c r="B1890" s="42" t="inlineStr">
        <is>
          <t>12/28/25 - 1/25/26</t>
        </is>
      </c>
      <c r="C1890" s="41" t="n">
        <v>0.5042</v>
      </c>
      <c r="D1890" s="41" t="n">
        <v>0.898</v>
      </c>
      <c r="E1890" s="41" t="n">
        <v>1</v>
      </c>
      <c r="F1890" s="41" t="n">
        <v>1</v>
      </c>
      <c r="G1890" s="41" t="n">
        <v>0.8</v>
      </c>
      <c r="H1890" s="42" t="n">
        <v>2</v>
      </c>
      <c r="I1890" s="43" t="n">
        <v>1</v>
      </c>
      <c r="J1890" s="12">
        <f>I1890</f>
        <v/>
      </c>
      <c r="K1890" t="inlineStr">
        <is>
          <t>Premium</t>
        </is>
      </c>
      <c r="L1890" t="inlineStr">
        <is>
          <t>Professional</t>
        </is>
      </c>
      <c r="M1890" t="inlineStr">
        <is>
          <t>Ian Plamondon</t>
        </is>
      </c>
    </row>
    <row r="1891">
      <c r="A1891" s="42" t="inlineStr">
        <is>
          <t>Valdenis Iancu</t>
        </is>
      </c>
      <c r="B1891" s="42" t="inlineStr">
        <is>
          <t>5/18/25 - 6/14/25</t>
        </is>
      </c>
      <c r="C1891" s="41" t="n">
        <v>0.67</v>
      </c>
      <c r="D1891" s="41" t="n">
        <v>0.98</v>
      </c>
      <c r="E1891" s="41" t="n">
        <v>1</v>
      </c>
      <c r="F1891" s="41" t="n">
        <v>0.98</v>
      </c>
      <c r="G1891" s="41" t="n">
        <v>0.89</v>
      </c>
      <c r="H1891" s="42" t="n">
        <v>2</v>
      </c>
      <c r="I1891" s="43" t="n">
        <v>1</v>
      </c>
      <c r="J1891" s="12">
        <f>I1891</f>
        <v/>
      </c>
      <c r="K1891" t="inlineStr">
        <is>
          <t>Premium</t>
        </is>
      </c>
      <c r="L1891" t="inlineStr">
        <is>
          <t>Professional</t>
        </is>
      </c>
      <c r="M1891" t="inlineStr">
        <is>
          <t>Ian Plamondon</t>
        </is>
      </c>
    </row>
    <row r="1892">
      <c r="A1892" s="42" t="inlineStr">
        <is>
          <t>Valdenis Iancu</t>
        </is>
      </c>
      <c r="B1892" s="42" t="inlineStr">
        <is>
          <t>6/15/25 - 7/12/25</t>
        </is>
      </c>
      <c r="C1892" s="41" t="n">
        <v>0.28</v>
      </c>
      <c r="D1892" s="41" t="n">
        <v>0.82</v>
      </c>
      <c r="E1892" s="41" t="n">
        <v>1</v>
      </c>
      <c r="F1892" s="41" t="n">
        <v>1</v>
      </c>
      <c r="G1892" s="41" t="n">
        <v>1</v>
      </c>
      <c r="H1892" s="42" t="e">
        <v>#N/A</v>
      </c>
      <c r="I1892" s="43" t="n">
        <v>1</v>
      </c>
      <c r="J1892" s="12">
        <f>I1892</f>
        <v/>
      </c>
      <c r="K1892" t="inlineStr">
        <is>
          <t>Premium</t>
        </is>
      </c>
      <c r="L1892" t="inlineStr">
        <is>
          <t>Professional</t>
        </is>
      </c>
      <c r="M1892" t="inlineStr">
        <is>
          <t>Ian Plamondon</t>
        </is>
      </c>
    </row>
    <row r="1893">
      <c r="A1893" s="42" t="inlineStr">
        <is>
          <t>Valdenis Iancu</t>
        </is>
      </c>
      <c r="B1893" s="42" t="inlineStr">
        <is>
          <t>7/13/25 - 8/10/25</t>
        </is>
      </c>
      <c r="C1893" s="41" t="n">
        <v>0.29</v>
      </c>
      <c r="D1893" s="41" t="n">
        <v>0.8100000000000001</v>
      </c>
      <c r="E1893" s="41" t="n">
        <v>1</v>
      </c>
      <c r="F1893" s="41" t="n">
        <v>1</v>
      </c>
      <c r="G1893" s="41" t="n">
        <v>0.82</v>
      </c>
      <c r="H1893" s="42" t="n">
        <v>3</v>
      </c>
      <c r="I1893" s="43" t="n">
        <v>1</v>
      </c>
      <c r="J1893" s="12">
        <f>I1893</f>
        <v/>
      </c>
      <c r="K1893" t="inlineStr">
        <is>
          <t>Premium</t>
        </is>
      </c>
      <c r="L1893" t="inlineStr">
        <is>
          <t>Professional</t>
        </is>
      </c>
      <c r="M1893" t="inlineStr">
        <is>
          <t>Ian Plamondon</t>
        </is>
      </c>
    </row>
    <row r="1894">
      <c r="A1894" s="42" t="inlineStr">
        <is>
          <t>Valdenis Iancu</t>
        </is>
      </c>
      <c r="B1894" s="42" t="inlineStr">
        <is>
          <t>8/10/25 - 9/6/25</t>
        </is>
      </c>
      <c r="C1894" s="41" t="n">
        <v>0.82</v>
      </c>
      <c r="D1894" s="41" t="n">
        <v>1.07</v>
      </c>
      <c r="E1894" s="41" t="n">
        <v>1</v>
      </c>
      <c r="F1894" s="41" t="n">
        <v>1</v>
      </c>
      <c r="G1894" s="41" t="n">
        <v>0.88</v>
      </c>
      <c r="H1894" s="42" t="n">
        <v>2</v>
      </c>
      <c r="I1894" s="43" t="inlineStr">
        <is>
          <t>1/2</t>
        </is>
      </c>
      <c r="J1894" s="12" t="n">
        <v>0.5</v>
      </c>
      <c r="K1894" t="inlineStr">
        <is>
          <t>Premium</t>
        </is>
      </c>
      <c r="L1894" t="inlineStr">
        <is>
          <t>Professional</t>
        </is>
      </c>
      <c r="M1894" t="inlineStr">
        <is>
          <t>Ian Plamondon</t>
        </is>
      </c>
    </row>
    <row r="1895">
      <c r="A1895" s="42" t="inlineStr">
        <is>
          <t>Valdenis Iancu</t>
        </is>
      </c>
      <c r="B1895" s="42" t="inlineStr">
        <is>
          <t>9/7/25 - 10/4/25</t>
        </is>
      </c>
      <c r="C1895" s="41" t="n">
        <v>1.1</v>
      </c>
      <c r="D1895" s="41" t="n">
        <v>1.07</v>
      </c>
      <c r="E1895" s="41" t="n">
        <v>0.98</v>
      </c>
      <c r="F1895" s="41" t="n">
        <v>1</v>
      </c>
      <c r="G1895" s="41" t="n">
        <v>1</v>
      </c>
      <c r="H1895" s="42" t="n">
        <v>4</v>
      </c>
      <c r="I1895" s="43" t="inlineStr">
        <is>
          <t>0/1</t>
        </is>
      </c>
      <c r="J1895" s="12" t="n">
        <v>0</v>
      </c>
      <c r="K1895" t="inlineStr">
        <is>
          <t>Premium</t>
        </is>
      </c>
      <c r="L1895" t="inlineStr">
        <is>
          <t>Professional</t>
        </is>
      </c>
      <c r="M1895" t="inlineStr">
        <is>
          <t>Ian Plamondon</t>
        </is>
      </c>
    </row>
    <row r="1896">
      <c r="A1896" s="42" t="inlineStr">
        <is>
          <t>Valerie Duran</t>
        </is>
      </c>
      <c r="B1896" s="42" t="inlineStr">
        <is>
          <t>10/5/25 - 11/1/25</t>
        </is>
      </c>
      <c r="C1896" s="41" t="n">
        <v>0</v>
      </c>
      <c r="D1896" s="41" t="n">
        <v>0.7343999999999991</v>
      </c>
      <c r="E1896" s="41" t="n">
        <v>0</v>
      </c>
      <c r="F1896" s="41" t="n">
        <v>0</v>
      </c>
      <c r="G1896" s="41" t="n">
        <v>0</v>
      </c>
      <c r="H1896" s="42" t="n">
        <v>2</v>
      </c>
      <c r="I1896" s="43" t="n"/>
      <c r="J1896" s="12" t="n"/>
      <c r="K1896" t="inlineStr">
        <is>
          <t>Advanced</t>
        </is>
      </c>
      <c r="L1896" t="inlineStr">
        <is>
          <t>Adjunct</t>
        </is>
      </c>
      <c r="M1896" t="inlineStr">
        <is>
          <t>Ela Cross</t>
        </is>
      </c>
    </row>
    <row r="1897">
      <c r="A1897" s="42" t="inlineStr">
        <is>
          <t>Valerie Duran</t>
        </is>
      </c>
      <c r="B1897" s="42" t="inlineStr">
        <is>
          <t>10/5/25 - 11/1/25</t>
        </is>
      </c>
      <c r="C1897" s="41" t="n">
        <v>0</v>
      </c>
      <c r="D1897" s="41" t="n">
        <v>0.7343999999999991</v>
      </c>
      <c r="E1897" s="41" t="n">
        <v>0</v>
      </c>
      <c r="F1897" s="41" t="n">
        <v>0</v>
      </c>
      <c r="G1897" s="41" t="n">
        <v>0</v>
      </c>
      <c r="H1897" s="42" t="n">
        <v>2</v>
      </c>
      <c r="I1897" s="42" t="n"/>
      <c r="J1897" s="9" t="n"/>
      <c r="K1897" t="inlineStr">
        <is>
          <t>Advanced</t>
        </is>
      </c>
      <c r="L1897" t="inlineStr">
        <is>
          <t>Adjunct</t>
        </is>
      </c>
      <c r="M1897" t="inlineStr">
        <is>
          <t>Ela Cross</t>
        </is>
      </c>
    </row>
    <row r="1898">
      <c r="A1898" s="42" t="inlineStr">
        <is>
          <t>Valerie Duran</t>
        </is>
      </c>
      <c r="B1898" s="42" t="inlineStr">
        <is>
          <t>11/2/25 - 11/29/25</t>
        </is>
      </c>
      <c r="C1898" s="41" t="n">
        <v>1.05</v>
      </c>
      <c r="D1898" s="41" t="n">
        <v>1.21</v>
      </c>
      <c r="E1898" s="41" t="n">
        <v>0.99</v>
      </c>
      <c r="F1898" s="41" t="n">
        <v>0.88</v>
      </c>
      <c r="G1898" s="41" t="n">
        <v>0</v>
      </c>
      <c r="H1898" s="42" t="n">
        <v>7</v>
      </c>
      <c r="I1898" s="45" t="inlineStr">
        <is>
          <t>0/15</t>
        </is>
      </c>
      <c r="J1898" s="12" t="n">
        <v>0</v>
      </c>
      <c r="K1898" t="inlineStr">
        <is>
          <t>Advanced</t>
        </is>
      </c>
      <c r="L1898" t="inlineStr">
        <is>
          <t>Adjunct</t>
        </is>
      </c>
      <c r="M1898" t="inlineStr">
        <is>
          <t>Ela Cross</t>
        </is>
      </c>
    </row>
    <row r="1899">
      <c r="A1899" s="42" t="inlineStr">
        <is>
          <t>Valerie Duran</t>
        </is>
      </c>
      <c r="B1899" s="42" t="inlineStr">
        <is>
          <t>11/30/25 - 12/27/25</t>
        </is>
      </c>
      <c r="C1899" s="41" t="n">
        <v>1.19</v>
      </c>
      <c r="D1899" s="41" t="n">
        <v>1.28</v>
      </c>
      <c r="E1899" s="41" t="n">
        <v>1</v>
      </c>
      <c r="F1899" s="41" t="n">
        <v>0.98</v>
      </c>
      <c r="G1899" s="41" t="n">
        <v>0</v>
      </c>
      <c r="H1899" s="42" t="n">
        <v>11</v>
      </c>
      <c r="I1899" s="43" t="inlineStr">
        <is>
          <t>0/1</t>
        </is>
      </c>
      <c r="J1899" s="12" t="n">
        <v>0</v>
      </c>
      <c r="K1899" t="inlineStr">
        <is>
          <t>Advanced</t>
        </is>
      </c>
      <c r="L1899" t="inlineStr">
        <is>
          <t>Adjunct</t>
        </is>
      </c>
      <c r="M1899" t="inlineStr">
        <is>
          <t>Ela Cross</t>
        </is>
      </c>
    </row>
    <row r="1900">
      <c r="A1900" s="42" t="inlineStr">
        <is>
          <t>Valerie Duran</t>
        </is>
      </c>
      <c r="B1900" s="42" t="inlineStr">
        <is>
          <t>12/28/25 - 1/25/26</t>
        </is>
      </c>
      <c r="C1900" s="41" t="n">
        <v>1.1625</v>
      </c>
      <c r="D1900" s="41" t="n">
        <v>1.3385</v>
      </c>
      <c r="E1900" s="41" t="n">
        <v>0.989247312</v>
      </c>
      <c r="F1900" s="41" t="n">
        <v>0.9375</v>
      </c>
      <c r="G1900" s="41" t="n">
        <v>0.117647059</v>
      </c>
      <c r="H1900" s="42" t="n">
        <v>17</v>
      </c>
      <c r="I1900" s="43" t="inlineStr">
        <is>
          <t>0/6</t>
        </is>
      </c>
      <c r="J1900" s="12" t="n">
        <v>0</v>
      </c>
      <c r="K1900" t="inlineStr">
        <is>
          <t>Advanced</t>
        </is>
      </c>
      <c r="L1900" t="inlineStr">
        <is>
          <t>Adjunct</t>
        </is>
      </c>
      <c r="M1900" t="inlineStr">
        <is>
          <t>Ela Cross</t>
        </is>
      </c>
    </row>
    <row r="1901">
      <c r="A1901" s="42" t="inlineStr">
        <is>
          <t>Valerie Duran</t>
        </is>
      </c>
      <c r="B1901" s="42" t="inlineStr">
        <is>
          <t>5/18/25 - 6/14/25</t>
        </is>
      </c>
      <c r="C1901" s="41" t="n">
        <v>1.08</v>
      </c>
      <c r="D1901" s="41" t="n">
        <v>1.61</v>
      </c>
      <c r="E1901" s="41" t="n">
        <v>0.99</v>
      </c>
      <c r="F1901" s="41" t="n">
        <v>0.64</v>
      </c>
      <c r="G1901" s="41" t="n">
        <v>0.42</v>
      </c>
      <c r="H1901" s="42" t="n">
        <v>1</v>
      </c>
      <c r="I1901" s="43" t="n"/>
      <c r="J1901" s="12" t="n"/>
      <c r="K1901" t="inlineStr">
        <is>
          <t>Advanced</t>
        </is>
      </c>
      <c r="L1901" t="inlineStr">
        <is>
          <t>Adjunct</t>
        </is>
      </c>
      <c r="M1901" t="inlineStr">
        <is>
          <t>Ela Cross</t>
        </is>
      </c>
    </row>
    <row r="1902">
      <c r="A1902" s="42" t="inlineStr">
        <is>
          <t>Valerie Duran</t>
        </is>
      </c>
      <c r="B1902" s="42" t="inlineStr">
        <is>
          <t>6/15/25 - 7/12/25</t>
        </is>
      </c>
      <c r="C1902" s="41" t="n">
        <v>1.01</v>
      </c>
      <c r="D1902" s="41" t="n">
        <v>1.79</v>
      </c>
      <c r="E1902" s="41" t="n">
        <v>1</v>
      </c>
      <c r="F1902" s="41" t="n">
        <v>1</v>
      </c>
      <c r="G1902" s="41" t="n">
        <v>0.4</v>
      </c>
      <c r="H1902" s="42" t="n">
        <v>5</v>
      </c>
      <c r="I1902" s="42" t="n"/>
      <c r="J1902" s="9" t="n"/>
      <c r="K1902" t="inlineStr">
        <is>
          <t>Advanced</t>
        </is>
      </c>
      <c r="L1902" t="inlineStr">
        <is>
          <t>Adjunct</t>
        </is>
      </c>
      <c r="M1902" t="inlineStr">
        <is>
          <t>Ela Cross</t>
        </is>
      </c>
    </row>
    <row r="1903">
      <c r="A1903" s="42" t="inlineStr">
        <is>
          <t>Victor Prado</t>
        </is>
      </c>
      <c r="B1903" s="42" t="inlineStr">
        <is>
          <t>5/18/25 - 6/14/25</t>
        </is>
      </c>
      <c r="C1903" s="41" t="n">
        <v>0.5</v>
      </c>
      <c r="D1903" s="41" t="n">
        <v>0.88</v>
      </c>
      <c r="E1903" s="41" t="n">
        <v>1</v>
      </c>
      <c r="F1903" s="41" t="n">
        <v>0.96</v>
      </c>
      <c r="G1903" s="41" t="n">
        <v>0.86</v>
      </c>
      <c r="H1903" s="42" t="n">
        <v>2</v>
      </c>
      <c r="I1903" s="43" t="n"/>
      <c r="J1903" s="12" t="n"/>
      <c r="K1903" t="e">
        <v>#N/A</v>
      </c>
      <c r="L1903" t="e">
        <v>#N/A</v>
      </c>
      <c r="M1903" t="e">
        <v>#N/A</v>
      </c>
    </row>
    <row r="1904">
      <c r="A1904" s="42" t="inlineStr">
        <is>
          <t>Victor Prado</t>
        </is>
      </c>
      <c r="B1904" s="42" t="inlineStr">
        <is>
          <t>6/15/25 - 7/12/25</t>
        </is>
      </c>
      <c r="C1904" s="41" t="n">
        <v>0.44</v>
      </c>
      <c r="D1904" s="41" t="n">
        <v>1.05</v>
      </c>
      <c r="E1904" s="41" t="n">
        <v>0.99</v>
      </c>
      <c r="F1904" s="41" t="n">
        <v>1</v>
      </c>
      <c r="G1904" s="41" t="n">
        <v>0.63</v>
      </c>
      <c r="H1904" s="42" t="n">
        <v>1</v>
      </c>
      <c r="I1904" s="43" t="inlineStr">
        <is>
          <t xml:space="preserve"> 1/6</t>
        </is>
      </c>
      <c r="J1904" s="12" t="n">
        <v>0.17</v>
      </c>
      <c r="K1904" t="e">
        <v>#N/A</v>
      </c>
      <c r="L1904" t="e">
        <v>#N/A</v>
      </c>
      <c r="M1904" t="e">
        <v>#N/A</v>
      </c>
    </row>
    <row r="1905">
      <c r="A1905" s="42" t="inlineStr">
        <is>
          <t>Victor Prado</t>
        </is>
      </c>
      <c r="B1905" s="42" t="inlineStr">
        <is>
          <t>7/13/25 - 8/10/25</t>
        </is>
      </c>
      <c r="C1905" s="41" t="n">
        <v>0.59</v>
      </c>
      <c r="D1905" s="41" t="n">
        <v>1.02</v>
      </c>
      <c r="E1905" s="41" t="n">
        <v>0.98</v>
      </c>
      <c r="F1905" s="41" t="n">
        <v>0.47</v>
      </c>
      <c r="G1905" s="41" t="n">
        <v>0.54</v>
      </c>
      <c r="H1905" s="42" t="e">
        <v>#N/A</v>
      </c>
      <c r="I1905" s="43" t="n"/>
      <c r="J1905" s="12" t="n"/>
      <c r="K1905" t="e">
        <v>#N/A</v>
      </c>
      <c r="L1905" t="e">
        <v>#N/A</v>
      </c>
      <c r="M1905" t="e">
        <v>#N/A</v>
      </c>
    </row>
    <row r="1906">
      <c r="A1906" s="42" t="inlineStr">
        <is>
          <t>Victor Prado</t>
        </is>
      </c>
      <c r="B1906" s="42" t="inlineStr">
        <is>
          <t>8/10/25 - 9/6/25</t>
        </is>
      </c>
      <c r="C1906" s="41" t="n">
        <v>0.5600000000000001</v>
      </c>
      <c r="D1906" s="41" t="n">
        <v>0.98</v>
      </c>
      <c r="E1906" s="41" t="n">
        <v>0.98</v>
      </c>
      <c r="F1906" s="41" t="n">
        <v>0.76</v>
      </c>
      <c r="G1906" s="41" t="n">
        <v>0</v>
      </c>
      <c r="H1906" s="42" t="n">
        <v>2</v>
      </c>
      <c r="I1906" s="43" t="inlineStr">
        <is>
          <t>0/4</t>
        </is>
      </c>
      <c r="J1906" s="12" t="n">
        <v>0</v>
      </c>
      <c r="K1906" t="e">
        <v>#N/A</v>
      </c>
      <c r="L1906" t="e">
        <v>#N/A</v>
      </c>
      <c r="M1906" t="e">
        <v>#N/A</v>
      </c>
    </row>
    <row r="1907">
      <c r="A1907" s="42" t="inlineStr">
        <is>
          <t>Will Clashe</t>
        </is>
      </c>
      <c r="B1907" s="42" t="inlineStr">
        <is>
          <t>10/5/25 - 11/1/25</t>
        </is>
      </c>
      <c r="C1907" s="41" t="n">
        <v>1.0688</v>
      </c>
      <c r="D1907" s="41" t="n">
        <v>1.2005</v>
      </c>
      <c r="E1907" s="41" t="n">
        <v>0.962962962962962</v>
      </c>
      <c r="F1907" s="41" t="n">
        <v>0.928571428571428</v>
      </c>
      <c r="G1907" s="41" t="n">
        <v>0.866666666666666</v>
      </c>
      <c r="H1907" s="42" t="n">
        <v>6</v>
      </c>
      <c r="I1907" s="43" t="inlineStr">
        <is>
          <t>1/1</t>
        </is>
      </c>
      <c r="J1907" s="12" t="n">
        <v>1</v>
      </c>
      <c r="K1907" t="e">
        <v>#N/A</v>
      </c>
      <c r="L1907" t="e">
        <v>#N/A</v>
      </c>
      <c r="M1907" t="e">
        <v>#N/A</v>
      </c>
    </row>
    <row r="1908">
      <c r="A1908" s="42" t="inlineStr">
        <is>
          <t>Will Clashe</t>
        </is>
      </c>
      <c r="B1908" s="42" t="inlineStr">
        <is>
          <t>11/2/25 - 11/29/25</t>
        </is>
      </c>
      <c r="C1908" s="41" t="n">
        <v>0.46</v>
      </c>
      <c r="D1908" s="41" t="n">
        <v>0.98</v>
      </c>
      <c r="E1908" s="41" t="n">
        <v>1</v>
      </c>
      <c r="F1908" s="41" t="n">
        <v>0.93</v>
      </c>
      <c r="G1908" s="41" t="n">
        <v>0.67</v>
      </c>
      <c r="H1908" s="42" t="n">
        <v>4</v>
      </c>
      <c r="I1908" s="45" t="n"/>
      <c r="J1908" s="9" t="n"/>
      <c r="K1908" t="e">
        <v>#N/A</v>
      </c>
      <c r="L1908" t="e">
        <v>#N/A</v>
      </c>
      <c r="M1908" t="e">
        <v>#N/A</v>
      </c>
    </row>
    <row r="1909">
      <c r="A1909" s="42" t="inlineStr">
        <is>
          <t>Will Clashe</t>
        </is>
      </c>
      <c r="B1909" s="42" t="inlineStr">
        <is>
          <t>5/18/25 - 6/14/25</t>
        </is>
      </c>
      <c r="C1909" s="41" t="n">
        <v>0.85</v>
      </c>
      <c r="D1909" s="41" t="n">
        <v>1.15</v>
      </c>
      <c r="E1909" s="41" t="n">
        <v>0.98</v>
      </c>
      <c r="F1909" s="41" t="n">
        <v>0.88</v>
      </c>
      <c r="G1909" s="41" t="n">
        <v>0.72</v>
      </c>
      <c r="H1909" s="42" t="n">
        <v>3</v>
      </c>
      <c r="I1909" s="43" t="n">
        <v>1</v>
      </c>
      <c r="J1909" s="12">
        <f>I1909</f>
        <v/>
      </c>
      <c r="K1909" t="e">
        <v>#N/A</v>
      </c>
      <c r="L1909" t="e">
        <v>#N/A</v>
      </c>
      <c r="M1909" t="e">
        <v>#N/A</v>
      </c>
    </row>
    <row r="1910">
      <c r="A1910" s="42" t="inlineStr">
        <is>
          <t>Will Clashe</t>
        </is>
      </c>
      <c r="B1910" s="42" t="inlineStr">
        <is>
          <t>6/15/25 - 7/12/25</t>
        </is>
      </c>
      <c r="C1910" s="41" t="n">
        <v>1.18</v>
      </c>
      <c r="D1910" s="41" t="n">
        <v>1.65</v>
      </c>
      <c r="E1910" s="41" t="n">
        <v>0.98</v>
      </c>
      <c r="F1910" s="41" t="n">
        <v>0.95</v>
      </c>
      <c r="G1910" s="41" t="n">
        <v>0.46</v>
      </c>
      <c r="H1910" s="42" t="n">
        <v>9</v>
      </c>
      <c r="I1910" s="43" t="inlineStr">
        <is>
          <t xml:space="preserve"> 3/4</t>
        </is>
      </c>
      <c r="J1910" s="12" t="n">
        <v>0.75</v>
      </c>
      <c r="K1910" t="e">
        <v>#N/A</v>
      </c>
      <c r="L1910" t="e">
        <v>#N/A</v>
      </c>
      <c r="M1910" t="e">
        <v>#N/A</v>
      </c>
    </row>
    <row r="1911">
      <c r="A1911" s="42" t="inlineStr">
        <is>
          <t>Will Clashe</t>
        </is>
      </c>
      <c r="B1911" s="42" t="inlineStr">
        <is>
          <t>7/13/25 - 8/10/25</t>
        </is>
      </c>
      <c r="C1911" s="41" t="n">
        <v>1.49</v>
      </c>
      <c r="D1911" s="41" t="n">
        <v>1.47</v>
      </c>
      <c r="E1911" s="41" t="n">
        <v>1</v>
      </c>
      <c r="F1911" s="41" t="n">
        <v>0.9399999999999999</v>
      </c>
      <c r="G1911" s="41" t="n">
        <v>0.75</v>
      </c>
      <c r="H1911" s="42" t="n">
        <v>4</v>
      </c>
      <c r="I1911" s="42" t="n"/>
      <c r="J1911" s="9" t="n"/>
      <c r="K1911" t="e">
        <v>#N/A</v>
      </c>
      <c r="L1911" t="e">
        <v>#N/A</v>
      </c>
      <c r="M1911" t="e">
        <v>#N/A</v>
      </c>
    </row>
    <row r="1912">
      <c r="A1912" s="42" t="inlineStr">
        <is>
          <t>Will Clashe</t>
        </is>
      </c>
      <c r="B1912" s="42" t="inlineStr">
        <is>
          <t>8/10/25 - 9/6/25</t>
        </is>
      </c>
      <c r="C1912" s="41" t="n">
        <v>0.78</v>
      </c>
      <c r="D1912" s="41" t="n">
        <v>1.13</v>
      </c>
      <c r="E1912" s="41" t="n">
        <v>0.98</v>
      </c>
      <c r="F1912" s="41" t="n">
        <v>1</v>
      </c>
      <c r="G1912" s="41" t="n">
        <v>0.9399999999999999</v>
      </c>
      <c r="H1912" s="42" t="n">
        <v>5</v>
      </c>
      <c r="I1912" s="43" t="inlineStr">
        <is>
          <t>5/7</t>
        </is>
      </c>
      <c r="J1912" s="12" t="n">
        <v>0.71</v>
      </c>
      <c r="K1912" t="e">
        <v>#N/A</v>
      </c>
      <c r="L1912" t="e">
        <v>#N/A</v>
      </c>
      <c r="M1912" t="e">
        <v>#N/A</v>
      </c>
    </row>
    <row r="1913">
      <c r="A1913" s="42" t="inlineStr">
        <is>
          <t>Will Clashe</t>
        </is>
      </c>
      <c r="B1913" s="42" t="inlineStr">
        <is>
          <t>9/7/25 - 10/4/25</t>
        </is>
      </c>
      <c r="C1913" s="41" t="n">
        <v>1</v>
      </c>
      <c r="D1913" s="41" t="n">
        <v>1.27</v>
      </c>
      <c r="E1913" s="41" t="n">
        <v>1</v>
      </c>
      <c r="F1913" s="41" t="n">
        <v>0.88</v>
      </c>
      <c r="G1913" s="41" t="n">
        <v>0.85</v>
      </c>
      <c r="H1913" s="42" t="n">
        <v>7</v>
      </c>
      <c r="I1913" s="43" t="inlineStr">
        <is>
          <t>2/2</t>
        </is>
      </c>
      <c r="J1913" s="12" t="n">
        <v>1</v>
      </c>
      <c r="K1913" t="e">
        <v>#N/A</v>
      </c>
      <c r="L1913" t="e">
        <v>#N/A</v>
      </c>
      <c r="M1913" t="e">
        <v>#N/A</v>
      </c>
    </row>
    <row r="1914">
      <c r="A1914" s="42" t="inlineStr">
        <is>
          <t>Yvanna Ramirez</t>
        </is>
      </c>
      <c r="B1914" s="42" t="inlineStr">
        <is>
          <t>10/5/25 - 11/1/25</t>
        </is>
      </c>
      <c r="C1914" s="41" t="n">
        <v>0.75</v>
      </c>
      <c r="D1914" s="41" t="n">
        <v>0.9145</v>
      </c>
      <c r="E1914" s="41" t="n">
        <v>1</v>
      </c>
      <c r="F1914" s="41" t="n">
        <v>0.8032786885245899</v>
      </c>
      <c r="G1914" s="41" t="n">
        <v>0.368421052631578</v>
      </c>
      <c r="H1914" s="42" t="n">
        <v>8</v>
      </c>
      <c r="I1914" s="43" t="inlineStr">
        <is>
          <t>0/7</t>
        </is>
      </c>
      <c r="J1914" s="12" t="n">
        <v>0</v>
      </c>
      <c r="K1914" t="inlineStr">
        <is>
          <t>Distinguished</t>
        </is>
      </c>
      <c r="L1914" t="inlineStr">
        <is>
          <t>Professional</t>
        </is>
      </c>
      <c r="M1914" t="inlineStr">
        <is>
          <t>Ela Cross</t>
        </is>
      </c>
    </row>
    <row r="1915">
      <c r="A1915" s="42" t="inlineStr">
        <is>
          <t>Yvanna Ramirez</t>
        </is>
      </c>
      <c r="B1915" s="42" t="inlineStr">
        <is>
          <t>11/2/25 - 11/29/25</t>
        </is>
      </c>
      <c r="C1915" s="41" t="n">
        <v>0.71</v>
      </c>
      <c r="D1915" s="41" t="n">
        <v>0.6899999999999999</v>
      </c>
      <c r="E1915" s="41" t="n">
        <v>0.9399999999999999</v>
      </c>
      <c r="F1915" s="41" t="n">
        <v>0.71</v>
      </c>
      <c r="G1915" s="41" t="n">
        <v>0.32</v>
      </c>
      <c r="H1915" s="42" t="n">
        <v>7</v>
      </c>
      <c r="I1915" s="45" t="inlineStr">
        <is>
          <t>0/3</t>
        </is>
      </c>
      <c r="J1915" s="12" t="n">
        <v>0</v>
      </c>
      <c r="K1915" t="inlineStr">
        <is>
          <t>Distinguished</t>
        </is>
      </c>
      <c r="L1915" t="inlineStr">
        <is>
          <t>Professional</t>
        </is>
      </c>
      <c r="M1915" t="inlineStr">
        <is>
          <t>Ela Cross</t>
        </is>
      </c>
    </row>
    <row r="1916">
      <c r="A1916" s="42" t="inlineStr">
        <is>
          <t>Yvanna Ramirez</t>
        </is>
      </c>
      <c r="B1916" s="42" t="inlineStr">
        <is>
          <t>11/30/25 - 12/27/25</t>
        </is>
      </c>
      <c r="C1916" s="41" t="n">
        <v>0.45</v>
      </c>
      <c r="D1916" s="41" t="n">
        <v>0.52</v>
      </c>
      <c r="E1916" s="41" t="n">
        <v>0.96</v>
      </c>
      <c r="F1916" s="41" t="n">
        <v>0.71</v>
      </c>
      <c r="G1916" s="41" t="n">
        <v>0.83</v>
      </c>
      <c r="H1916" s="42" t="n">
        <v>9</v>
      </c>
      <c r="I1916" s="42" t="n"/>
      <c r="J1916" s="12" t="n"/>
      <c r="K1916" t="inlineStr">
        <is>
          <t>Distinguished</t>
        </is>
      </c>
      <c r="L1916" t="inlineStr">
        <is>
          <t>Professional</t>
        </is>
      </c>
      <c r="M1916" t="inlineStr">
        <is>
          <t>Ela Cross</t>
        </is>
      </c>
    </row>
    <row r="1917">
      <c r="A1917" s="42" t="inlineStr">
        <is>
          <t>Yvanna Ramirez</t>
        </is>
      </c>
      <c r="B1917" s="42" t="inlineStr">
        <is>
          <t>12/28/25 - 1/25/26</t>
        </is>
      </c>
      <c r="C1917" s="41" t="n">
        <v>0.6708</v>
      </c>
      <c r="D1917" s="41" t="n">
        <v>0.773</v>
      </c>
      <c r="E1917" s="41" t="n">
        <v>1</v>
      </c>
      <c r="F1917" s="41" t="n">
        <v>0.979591837</v>
      </c>
      <c r="G1917" s="41" t="n">
        <v>0.8</v>
      </c>
      <c r="H1917" s="42" t="n">
        <v>14</v>
      </c>
      <c r="I1917" s="43" t="inlineStr">
        <is>
          <t>0/6</t>
        </is>
      </c>
      <c r="J1917" s="12" t="n">
        <v>0</v>
      </c>
      <c r="K1917" t="inlineStr">
        <is>
          <t>Distinguished</t>
        </is>
      </c>
      <c r="L1917" t="inlineStr">
        <is>
          <t>Professional</t>
        </is>
      </c>
      <c r="M1917" t="inlineStr">
        <is>
          <t>Ela Cross</t>
        </is>
      </c>
    </row>
    <row r="1918">
      <c r="A1918" s="42" t="inlineStr">
        <is>
          <t>Yvanna Ramirez</t>
        </is>
      </c>
      <c r="B1918" s="42" t="inlineStr">
        <is>
          <t>5/18/25 - 6/14/25</t>
        </is>
      </c>
      <c r="C1918" s="41" t="n">
        <v>0.63</v>
      </c>
      <c r="D1918" s="41" t="n">
        <v>0.97</v>
      </c>
      <c r="E1918" s="41" t="n">
        <v>0.99</v>
      </c>
      <c r="F1918" s="41" t="n">
        <v>0.74</v>
      </c>
      <c r="G1918" s="41" t="n">
        <v>0.86</v>
      </c>
      <c r="H1918" s="42" t="n">
        <v>2</v>
      </c>
      <c r="I1918" s="43" t="inlineStr">
        <is>
          <t xml:space="preserve"> 2/7</t>
        </is>
      </c>
      <c r="J1918" s="12" t="n">
        <v>0.29</v>
      </c>
      <c r="K1918" t="inlineStr">
        <is>
          <t>Distinguished</t>
        </is>
      </c>
      <c r="L1918" t="inlineStr">
        <is>
          <t>Professional</t>
        </is>
      </c>
      <c r="M1918" t="inlineStr">
        <is>
          <t>Ela Cross</t>
        </is>
      </c>
    </row>
    <row r="1919">
      <c r="A1919" s="42" t="inlineStr">
        <is>
          <t>Yvanna Ramirez</t>
        </is>
      </c>
      <c r="B1919" s="42" t="inlineStr">
        <is>
          <t>6/15/25 - 7/12/25</t>
        </is>
      </c>
      <c r="C1919" s="41" t="n">
        <v>0.73</v>
      </c>
      <c r="D1919" s="41" t="n">
        <v>0.97</v>
      </c>
      <c r="E1919" s="41" t="n">
        <v>1</v>
      </c>
      <c r="F1919" s="41" t="n">
        <v>0.79</v>
      </c>
      <c r="G1919" s="41" t="n">
        <v>0.67</v>
      </c>
      <c r="H1919" s="42" t="n">
        <v>6</v>
      </c>
      <c r="I1919" s="43" t="n"/>
      <c r="J1919" s="12" t="n"/>
      <c r="K1919" t="inlineStr">
        <is>
          <t>Distinguished</t>
        </is>
      </c>
      <c r="L1919" t="inlineStr">
        <is>
          <t>Professional</t>
        </is>
      </c>
      <c r="M1919" t="inlineStr">
        <is>
          <t>Ela Cross</t>
        </is>
      </c>
    </row>
    <row r="1920">
      <c r="A1920" s="42" t="inlineStr">
        <is>
          <t>Yvanna Ramirez</t>
        </is>
      </c>
      <c r="B1920" s="42" t="inlineStr">
        <is>
          <t>7/13/25 - 8/10/25</t>
        </is>
      </c>
      <c r="C1920" s="41" t="n">
        <v>0.64</v>
      </c>
      <c r="D1920" s="41" t="n">
        <v>1.05</v>
      </c>
      <c r="E1920" s="41" t="n">
        <v>1</v>
      </c>
      <c r="F1920" s="41" t="n">
        <v>1</v>
      </c>
      <c r="G1920" s="41" t="n">
        <v>0.4</v>
      </c>
      <c r="H1920" s="42" t="n">
        <v>9</v>
      </c>
      <c r="I1920" s="43" t="n"/>
      <c r="J1920" s="12" t="n"/>
      <c r="K1920" t="inlineStr">
        <is>
          <t>Distinguished</t>
        </is>
      </c>
      <c r="L1920" t="inlineStr">
        <is>
          <t>Professional</t>
        </is>
      </c>
      <c r="M1920" t="inlineStr">
        <is>
          <t>Ela Cross</t>
        </is>
      </c>
    </row>
    <row r="1921">
      <c r="A1921" s="42" t="inlineStr">
        <is>
          <t>Yvanna Ramirez</t>
        </is>
      </c>
      <c r="B1921" s="42" t="inlineStr">
        <is>
          <t>8/10/25 - 9/6/25</t>
        </is>
      </c>
      <c r="C1921" s="41" t="n">
        <v>0.77</v>
      </c>
      <c r="D1921" s="41" t="n">
        <v>1.04</v>
      </c>
      <c r="E1921" s="41" t="n">
        <v>0.99</v>
      </c>
      <c r="F1921" s="41" t="n">
        <v>0.79</v>
      </c>
      <c r="G1921" s="41" t="n">
        <v>0.12</v>
      </c>
      <c r="H1921" s="42" t="n">
        <v>3</v>
      </c>
      <c r="I1921" s="43" t="inlineStr">
        <is>
          <t>4/8</t>
        </is>
      </c>
      <c r="J1921" s="12" t="n">
        <v>0.5</v>
      </c>
      <c r="K1921" t="inlineStr">
        <is>
          <t>Distinguished</t>
        </is>
      </c>
      <c r="L1921" t="inlineStr">
        <is>
          <t>Professional</t>
        </is>
      </c>
      <c r="M1921" t="inlineStr">
        <is>
          <t>Ela Cross</t>
        </is>
      </c>
    </row>
    <row r="1922">
      <c r="A1922" s="42" t="inlineStr">
        <is>
          <t>Yvanna Ramirez</t>
        </is>
      </c>
      <c r="B1922" s="42" t="inlineStr">
        <is>
          <t>9/7/25 - 10/4/25</t>
        </is>
      </c>
      <c r="C1922" s="41" t="n">
        <v>0.85</v>
      </c>
      <c r="D1922" s="41" t="n">
        <v>1.02</v>
      </c>
      <c r="E1922" s="41" t="n">
        <v>1</v>
      </c>
      <c r="F1922" s="41" t="n">
        <v>0.62</v>
      </c>
      <c r="G1922" s="41" t="n">
        <v>0</v>
      </c>
      <c r="H1922" s="42" t="n">
        <v>4</v>
      </c>
      <c r="I1922" s="43" t="inlineStr">
        <is>
          <t>0/7</t>
        </is>
      </c>
      <c r="J1922" s="12" t="n">
        <v>0</v>
      </c>
      <c r="K1922" t="inlineStr">
        <is>
          <t>Distinguished</t>
        </is>
      </c>
      <c r="L1922" t="inlineStr">
        <is>
          <t>Professional</t>
        </is>
      </c>
      <c r="M1922" t="inlineStr">
        <is>
          <t>Ela Cross</t>
        </is>
      </c>
    </row>
    <row r="1923">
      <c r="A1923" s="42" t="inlineStr">
        <is>
          <t>Yvrine Nguiwenga-Nketcha</t>
        </is>
      </c>
      <c r="B1923" s="42" t="inlineStr">
        <is>
          <t>10/5/25 - 11/1/25</t>
        </is>
      </c>
      <c r="C1923" s="41" t="n">
        <v>0.5208</v>
      </c>
      <c r="D1923" s="41" t="n">
        <v>1.08979999999999</v>
      </c>
      <c r="E1923" s="41" t="n">
        <v>0.2</v>
      </c>
      <c r="F1923" s="41" t="n">
        <v>1</v>
      </c>
      <c r="G1923" s="41" t="n">
        <v>1</v>
      </c>
      <c r="H1923" s="42" t="n">
        <v>1</v>
      </c>
      <c r="I1923" s="43" t="inlineStr">
        <is>
          <t>0/1</t>
        </is>
      </c>
      <c r="J1923" s="12" t="n">
        <v>0</v>
      </c>
      <c r="K1923" t="e">
        <v>#N/A</v>
      </c>
      <c r="L1923" t="e">
        <v>#N/A</v>
      </c>
      <c r="M1923" t="e">
        <v>#N/A</v>
      </c>
    </row>
    <row r="1924">
      <c r="A1924" s="42" t="inlineStr">
        <is>
          <t>Yvrine Nguiwenga-Nketcha</t>
        </is>
      </c>
      <c r="B1924" s="42" t="inlineStr">
        <is>
          <t>11/2/25 - 11/29/25</t>
        </is>
      </c>
      <c r="C1924" s="41" t="n">
        <v>0.67</v>
      </c>
      <c r="D1924" s="41" t="n">
        <v>1.31</v>
      </c>
      <c r="E1924" s="41" t="n">
        <v>0.83</v>
      </c>
      <c r="F1924" s="41" t="n">
        <v>1</v>
      </c>
      <c r="G1924" s="41" t="n">
        <v>0.75</v>
      </c>
      <c r="H1924" s="42" t="n">
        <v>0</v>
      </c>
      <c r="I1924" s="45" t="n">
        <v>45658</v>
      </c>
      <c r="J1924" s="12" t="n">
        <v>1</v>
      </c>
      <c r="K1924" t="e">
        <v>#N/A</v>
      </c>
      <c r="L1924" t="e">
        <v>#N/A</v>
      </c>
      <c r="M1924" t="e">
        <v>#N/A</v>
      </c>
    </row>
    <row r="1925">
      <c r="A1925" s="42" t="inlineStr">
        <is>
          <t>Yvrine Nguiwenga-Nketcha</t>
        </is>
      </c>
      <c r="B1925" s="42" t="inlineStr">
        <is>
          <t>11/30/25 - 12/27/25</t>
        </is>
      </c>
      <c r="C1925" s="41" t="n">
        <v>0.55</v>
      </c>
      <c r="D1925" s="41" t="n">
        <v>1.28</v>
      </c>
      <c r="E1925" s="41" t="n">
        <v>1</v>
      </c>
      <c r="F1925" s="41" t="n">
        <v>0.95</v>
      </c>
      <c r="G1925" s="41" t="n">
        <v>0.6</v>
      </c>
      <c r="H1925" s="42" t="n">
        <v>0</v>
      </c>
      <c r="I1925" s="43" t="n"/>
      <c r="J1925" s="12" t="n"/>
      <c r="K1925" t="e">
        <v>#N/A</v>
      </c>
      <c r="L1925" t="e">
        <v>#N/A</v>
      </c>
      <c r="M1925" t="e">
        <v>#N/A</v>
      </c>
    </row>
    <row r="1926">
      <c r="A1926" s="42" t="inlineStr">
        <is>
          <t>Yvrine Nguiwenga-Nketcha</t>
        </is>
      </c>
      <c r="B1926" s="42" t="inlineStr">
        <is>
          <t>12/28/25 - 1/25/26</t>
        </is>
      </c>
      <c r="C1926" s="41" t="n">
        <v>0.5313</v>
      </c>
      <c r="D1926" s="41" t="n">
        <v>1.1445</v>
      </c>
      <c r="E1926" s="41" t="n">
        <v>0.9523809519999999</v>
      </c>
      <c r="F1926" s="41" t="n">
        <v>1</v>
      </c>
      <c r="G1926" s="41" t="n">
        <v>0.666666667</v>
      </c>
      <c r="H1926" s="42" t="n">
        <v>1</v>
      </c>
      <c r="I1926" s="43" t="inlineStr">
        <is>
          <t>0/0</t>
        </is>
      </c>
      <c r="J1926" s="12" t="n">
        <v>0</v>
      </c>
      <c r="K1926" t="e">
        <v>#N/A</v>
      </c>
      <c r="L1926" t="e">
        <v>#N/A</v>
      </c>
      <c r="M1926" t="e">
        <v>#N/A</v>
      </c>
    </row>
    <row r="1927">
      <c r="A1927" s="42" t="inlineStr">
        <is>
          <t>Yvrine Nguiwenga-Nketcha</t>
        </is>
      </c>
      <c r="B1927" s="42" t="inlineStr">
        <is>
          <t>5/18/25 - 6/14/25</t>
        </is>
      </c>
      <c r="C1927" s="41" t="n">
        <v>0.7</v>
      </c>
      <c r="D1927" s="41" t="n">
        <v>1.17</v>
      </c>
      <c r="E1927" s="41" t="n">
        <v>0.98</v>
      </c>
      <c r="F1927" s="41" t="n">
        <v>0.74</v>
      </c>
      <c r="G1927" s="41" t="n">
        <v>1</v>
      </c>
      <c r="H1927" s="42" t="n">
        <v>2</v>
      </c>
      <c r="I1927" s="42" t="n"/>
      <c r="J1927" s="9" t="n"/>
      <c r="K1927" t="e">
        <v>#N/A</v>
      </c>
      <c r="L1927" t="e">
        <v>#N/A</v>
      </c>
      <c r="M1927" t="e">
        <v>#N/A</v>
      </c>
    </row>
    <row r="1928">
      <c r="A1928" s="42" t="inlineStr">
        <is>
          <t>Yvrine Nguiwenga-Nketcha</t>
        </is>
      </c>
      <c r="B1928" s="42" t="inlineStr">
        <is>
          <t>6/15/25 - 7/12/25</t>
        </is>
      </c>
      <c r="C1928" s="41" t="n">
        <v>0.23</v>
      </c>
      <c r="D1928" s="41" t="n">
        <v>1.18</v>
      </c>
      <c r="E1928" s="41" t="n">
        <v>1</v>
      </c>
      <c r="F1928" s="41" t="n">
        <v>0.83</v>
      </c>
      <c r="G1928" s="41" t="n">
        <v>1</v>
      </c>
      <c r="H1928" s="42" t="n">
        <v>1</v>
      </c>
      <c r="I1928" s="42" t="n"/>
      <c r="J1928" s="9" t="n"/>
      <c r="K1928" t="e">
        <v>#N/A</v>
      </c>
      <c r="L1928" t="e">
        <v>#N/A</v>
      </c>
      <c r="M1928" t="e">
        <v>#N/A</v>
      </c>
    </row>
    <row r="1929">
      <c r="A1929" s="42" t="inlineStr">
        <is>
          <t>Yvrine Nguiwenga-Nketcha</t>
        </is>
      </c>
      <c r="B1929" s="42" t="inlineStr">
        <is>
          <t>7/13/25 - 8/10/25</t>
        </is>
      </c>
      <c r="C1929" s="41" t="n">
        <v>0.46</v>
      </c>
      <c r="D1929" s="41" t="n">
        <v>1.09</v>
      </c>
      <c r="E1929" s="41" t="n">
        <v>1</v>
      </c>
      <c r="F1929" s="41" t="n">
        <v>1</v>
      </c>
      <c r="G1929" s="41" t="n">
        <v>0</v>
      </c>
      <c r="H1929" s="42" t="n">
        <v>2</v>
      </c>
      <c r="I1929" s="42" t="n"/>
      <c r="J1929" s="9" t="n"/>
      <c r="K1929" t="e">
        <v>#N/A</v>
      </c>
      <c r="L1929" t="e">
        <v>#N/A</v>
      </c>
      <c r="M1929" t="e">
        <v>#N/A</v>
      </c>
    </row>
    <row r="1930">
      <c r="A1930" s="42" t="inlineStr">
        <is>
          <t>Yvrine Nguiwenga-Nketcha</t>
        </is>
      </c>
      <c r="B1930" s="42" t="inlineStr">
        <is>
          <t>8/10/25 - 9/6/25</t>
        </is>
      </c>
      <c r="C1930" s="41" t="n">
        <v>0.31</v>
      </c>
      <c r="D1930" s="41" t="n">
        <v>1.12</v>
      </c>
      <c r="E1930" s="41" t="n">
        <v>1</v>
      </c>
      <c r="F1930" s="41" t="n">
        <v>1</v>
      </c>
      <c r="G1930" s="41" t="n">
        <v>0.33</v>
      </c>
      <c r="H1930" s="42" t="n">
        <v>1</v>
      </c>
      <c r="I1930" s="44" t="n"/>
      <c r="J1930" s="9" t="n"/>
      <c r="K1930" t="e">
        <v>#N/A</v>
      </c>
      <c r="L1930" t="e">
        <v>#N/A</v>
      </c>
      <c r="M1930" t="e">
        <v>#N/A</v>
      </c>
    </row>
    <row r="1931">
      <c r="A1931" s="42" t="inlineStr">
        <is>
          <t>Yvrine Nguiwenga-Nketcha</t>
        </is>
      </c>
      <c r="B1931" s="42" t="inlineStr">
        <is>
          <t>9/7/25 - 10/4/25</t>
        </is>
      </c>
      <c r="C1931" s="41" t="n">
        <v>0.25</v>
      </c>
      <c r="D1931" s="41" t="n">
        <v>1.05</v>
      </c>
      <c r="E1931" s="41" t="n">
        <v>1</v>
      </c>
      <c r="F1931" s="41" t="n">
        <v>0.71</v>
      </c>
      <c r="G1931" s="41" t="n">
        <v>1</v>
      </c>
      <c r="H1931" s="42" t="n">
        <v>2</v>
      </c>
      <c r="I1931" s="44" t="n"/>
      <c r="J1931" s="9" t="n"/>
      <c r="K1931" t="e">
        <v>#N/A</v>
      </c>
      <c r="L1931" t="e">
        <v>#N/A</v>
      </c>
      <c r="M1931" t="e">
        <v>#N/A</v>
      </c>
    </row>
    <row r="1932">
      <c r="A1932" s="42" t="inlineStr">
        <is>
          <t>Zach McFatridge</t>
        </is>
      </c>
      <c r="B1932" s="42" t="inlineStr">
        <is>
          <t>11/2/25 - 11/29/25</t>
        </is>
      </c>
      <c r="C1932" s="41" t="n">
        <v>0</v>
      </c>
      <c r="D1932" s="41" t="n">
        <v>0</v>
      </c>
      <c r="E1932" s="41" t="n">
        <v>0</v>
      </c>
      <c r="F1932" s="41" t="n">
        <v>0</v>
      </c>
      <c r="G1932" s="41" t="n">
        <v>0</v>
      </c>
      <c r="H1932" s="42" t="n">
        <v>0</v>
      </c>
      <c r="I1932" s="45" t="n"/>
      <c r="J1932" s="9" t="n"/>
      <c r="K1932" t="inlineStr">
        <is>
          <t>Distinguished</t>
        </is>
      </c>
      <c r="L1932" t="inlineStr">
        <is>
          <t>Professional</t>
        </is>
      </c>
      <c r="M1932" t="inlineStr">
        <is>
          <t>Annelies de Groot</t>
        </is>
      </c>
    </row>
    <row r="1933">
      <c r="A1933" s="42" t="inlineStr">
        <is>
          <t>Zach McFatridge</t>
        </is>
      </c>
      <c r="B1933" s="42" t="inlineStr">
        <is>
          <t>11/30/25 - 12/27/25</t>
        </is>
      </c>
      <c r="C1933" s="41" t="n">
        <v>0.25</v>
      </c>
      <c r="D1933" s="41" t="n">
        <v>0.6899999999999999</v>
      </c>
      <c r="E1933" s="41" t="n">
        <v>1</v>
      </c>
      <c r="F1933" s="41" t="n">
        <v>0.95</v>
      </c>
      <c r="G1933" s="41" t="n">
        <v>0</v>
      </c>
      <c r="H1933" s="42" t="n">
        <v>2</v>
      </c>
      <c r="I1933" s="43" t="n">
        <v>0.75</v>
      </c>
      <c r="J1933" s="12" t="n">
        <v>0.75</v>
      </c>
      <c r="K1933" t="inlineStr">
        <is>
          <t>Distinguished</t>
        </is>
      </c>
      <c r="L1933" t="inlineStr">
        <is>
          <t>Professional</t>
        </is>
      </c>
      <c r="M1933" t="inlineStr">
        <is>
          <t>Annelies de Groot</t>
        </is>
      </c>
    </row>
    <row r="1934">
      <c r="A1934" s="42" t="inlineStr">
        <is>
          <t>Zach McFatridge</t>
        </is>
      </c>
      <c r="B1934" s="42" t="inlineStr">
        <is>
          <t>12/28/25 - 1/25/26</t>
        </is>
      </c>
      <c r="C1934" s="41" t="n">
        <v>0.875</v>
      </c>
      <c r="D1934" s="41" t="n">
        <v>0.9913</v>
      </c>
      <c r="E1934" s="41" t="n">
        <v>0.991304348</v>
      </c>
      <c r="F1934" s="41" t="n">
        <v>0.945205479</v>
      </c>
      <c r="G1934" s="41" t="n">
        <v>0.857142857</v>
      </c>
      <c r="H1934" s="42" t="n">
        <v>9</v>
      </c>
      <c r="I1934" s="43" t="n">
        <v>0.7272727272727273</v>
      </c>
      <c r="J1934" s="12">
        <f>I1934</f>
        <v/>
      </c>
      <c r="K1934" t="inlineStr">
        <is>
          <t>Distinguished</t>
        </is>
      </c>
      <c r="L1934" t="inlineStr">
        <is>
          <t>Professional</t>
        </is>
      </c>
      <c r="M1934" t="inlineStr">
        <is>
          <t>Annelies de Groot</t>
        </is>
      </c>
    </row>
    <row r="1935">
      <c r="A1935" s="42" t="inlineStr">
        <is>
          <t>Zachary Doenges</t>
        </is>
      </c>
      <c r="B1935" s="42" t="inlineStr">
        <is>
          <t>10/5/25 - 11/1/25</t>
        </is>
      </c>
      <c r="C1935" s="41" t="n">
        <v>0.6214999999999991</v>
      </c>
      <c r="D1935" s="41" t="n">
        <v>0.7297</v>
      </c>
      <c r="E1935" s="41" t="n">
        <v>1</v>
      </c>
      <c r="F1935" s="41" t="n">
        <v>0.981818181818181</v>
      </c>
      <c r="G1935" s="41" t="n">
        <v>0.958333333333333</v>
      </c>
      <c r="H1935" s="42" t="n">
        <v>1</v>
      </c>
      <c r="I1935" s="43" t="inlineStr">
        <is>
          <t>1/1</t>
        </is>
      </c>
      <c r="J1935" s="12" t="n">
        <v>1</v>
      </c>
      <c r="K1935" t="inlineStr">
        <is>
          <t>Premium</t>
        </is>
      </c>
      <c r="L1935" t="inlineStr">
        <is>
          <t>Professional</t>
        </is>
      </c>
      <c r="M1935" t="inlineStr">
        <is>
          <t>Ian Plamondon</t>
        </is>
      </c>
    </row>
    <row r="1936">
      <c r="A1936" s="42" t="inlineStr">
        <is>
          <t>Zachary Doenges</t>
        </is>
      </c>
      <c r="B1936" s="42" t="inlineStr">
        <is>
          <t>11/2/25 - 11/29/25</t>
        </is>
      </c>
      <c r="C1936" s="41" t="n">
        <v>0.73</v>
      </c>
      <c r="D1936" s="41" t="n">
        <v>1.06</v>
      </c>
      <c r="E1936" s="41" t="n">
        <v>1</v>
      </c>
      <c r="F1936" s="41" t="n">
        <v>0.98</v>
      </c>
      <c r="G1936" s="41" t="n">
        <v>1</v>
      </c>
      <c r="H1936" s="42" t="n">
        <v>4</v>
      </c>
      <c r="I1936" s="45" t="n">
        <v>45690</v>
      </c>
      <c r="J1936" s="12" t="n">
        <v>1</v>
      </c>
      <c r="K1936" t="inlineStr">
        <is>
          <t>Premium</t>
        </is>
      </c>
      <c r="L1936" t="inlineStr">
        <is>
          <t>Professional</t>
        </is>
      </c>
      <c r="M1936" t="inlineStr">
        <is>
          <t>Ian Plamondon</t>
        </is>
      </c>
    </row>
    <row r="1937">
      <c r="A1937" s="42" t="inlineStr">
        <is>
          <t>Zachary Doenges</t>
        </is>
      </c>
      <c r="B1937" s="42" t="inlineStr">
        <is>
          <t>11/30/25 - 12/27/25</t>
        </is>
      </c>
      <c r="C1937" s="41" t="n">
        <v>0.65</v>
      </c>
      <c r="D1937" s="41" t="n">
        <v>1</v>
      </c>
      <c r="E1937" s="41" t="n">
        <v>1</v>
      </c>
      <c r="F1937" s="41" t="n">
        <v>0.98</v>
      </c>
      <c r="G1937" s="41" t="n">
        <v>1</v>
      </c>
      <c r="H1937" s="42" t="n">
        <v>5</v>
      </c>
      <c r="I1937" s="43" t="n">
        <v>1</v>
      </c>
      <c r="J1937" s="12" t="n">
        <v>1</v>
      </c>
      <c r="K1937" t="inlineStr">
        <is>
          <t>Premium</t>
        </is>
      </c>
      <c r="L1937" t="inlineStr">
        <is>
          <t>Professional</t>
        </is>
      </c>
      <c r="M1937" t="inlineStr">
        <is>
          <t>Ian Plamondon</t>
        </is>
      </c>
    </row>
    <row r="1938">
      <c r="A1938" s="42" t="inlineStr">
        <is>
          <t>Zachary Doenges</t>
        </is>
      </c>
      <c r="B1938" s="42" t="inlineStr">
        <is>
          <t>12/28/25 - 1/25/26</t>
        </is>
      </c>
      <c r="C1938" s="41" t="n">
        <v>0.6679</v>
      </c>
      <c r="D1938" s="41" t="n">
        <v>1.0116</v>
      </c>
      <c r="E1938" s="41" t="n">
        <v>1</v>
      </c>
      <c r="F1938" s="41" t="n">
        <v>0.965517241</v>
      </c>
      <c r="G1938" s="41" t="n">
        <v>0.777777778</v>
      </c>
      <c r="H1938" s="42" t="n">
        <v>4</v>
      </c>
      <c r="I1938" s="43" t="n">
        <v>1</v>
      </c>
      <c r="J1938" s="12">
        <f>I1938</f>
        <v/>
      </c>
      <c r="K1938" t="inlineStr">
        <is>
          <t>Premium</t>
        </is>
      </c>
      <c r="L1938" t="inlineStr">
        <is>
          <t>Professional</t>
        </is>
      </c>
      <c r="M1938" t="inlineStr">
        <is>
          <t>Ian Plamondon</t>
        </is>
      </c>
    </row>
    <row r="1939">
      <c r="A1939" s="42" t="inlineStr">
        <is>
          <t>Zachary Doenges</t>
        </is>
      </c>
      <c r="B1939" s="42" t="inlineStr">
        <is>
          <t>5/18/25 - 6/14/25</t>
        </is>
      </c>
      <c r="C1939" s="41" t="n">
        <v>0.9399999999999999</v>
      </c>
      <c r="D1939" s="41" t="n">
        <v>1.08</v>
      </c>
      <c r="E1939" s="41" t="n">
        <v>0.99</v>
      </c>
      <c r="F1939" s="41" t="n">
        <v>0.99</v>
      </c>
      <c r="G1939" s="41" t="n">
        <v>0.93</v>
      </c>
      <c r="H1939" s="42" t="n">
        <v>4</v>
      </c>
      <c r="I1939" s="43" t="inlineStr">
        <is>
          <t xml:space="preserve"> 4/7</t>
        </is>
      </c>
      <c r="J1939" s="12" t="n">
        <v>0.57</v>
      </c>
      <c r="K1939" t="inlineStr">
        <is>
          <t>Premium</t>
        </is>
      </c>
      <c r="L1939" t="inlineStr">
        <is>
          <t>Professional</t>
        </is>
      </c>
      <c r="M1939" t="inlineStr">
        <is>
          <t>Ian Plamondon</t>
        </is>
      </c>
    </row>
    <row r="1940">
      <c r="A1940" s="42" t="inlineStr">
        <is>
          <t>Zachary Doenges</t>
        </is>
      </c>
      <c r="B1940" s="42" t="inlineStr">
        <is>
          <t>6/15/25 - 7/12/25</t>
        </is>
      </c>
      <c r="C1940" s="41" t="n">
        <v>0.6</v>
      </c>
      <c r="D1940" s="41" t="n">
        <v>1.22</v>
      </c>
      <c r="E1940" s="41" t="n">
        <v>1</v>
      </c>
      <c r="F1940" s="41" t="n">
        <v>1</v>
      </c>
      <c r="G1940" s="41" t="n">
        <v>0.75</v>
      </c>
      <c r="H1940" s="42" t="n">
        <v>3</v>
      </c>
      <c r="I1940" s="43" t="inlineStr">
        <is>
          <t xml:space="preserve"> 6/7</t>
        </is>
      </c>
      <c r="J1940" s="12" t="n">
        <v>0.86</v>
      </c>
      <c r="K1940" t="inlineStr">
        <is>
          <t>Premium</t>
        </is>
      </c>
      <c r="L1940" t="inlineStr">
        <is>
          <t>Professional</t>
        </is>
      </c>
      <c r="M1940" t="inlineStr">
        <is>
          <t>Ian Plamondon</t>
        </is>
      </c>
    </row>
    <row r="1941">
      <c r="A1941" s="42" t="inlineStr">
        <is>
          <t>Zachary Doenges</t>
        </is>
      </c>
      <c r="B1941" s="42" t="inlineStr">
        <is>
          <t>7/13/25 - 8/10/25</t>
        </is>
      </c>
      <c r="C1941" s="41" t="n">
        <v>1.16</v>
      </c>
      <c r="D1941" s="41" t="n">
        <v>1.21</v>
      </c>
      <c r="E1941" s="41" t="n">
        <v>1</v>
      </c>
      <c r="F1941" s="41" t="n">
        <v>0.96</v>
      </c>
      <c r="G1941" s="41" t="n">
        <v>0.96</v>
      </c>
      <c r="H1941" s="42" t="n">
        <v>1</v>
      </c>
      <c r="I1941" s="43" t="n"/>
      <c r="J1941" s="12" t="n"/>
      <c r="K1941" t="inlineStr">
        <is>
          <t>Premium</t>
        </is>
      </c>
      <c r="L1941" t="inlineStr">
        <is>
          <t>Professional</t>
        </is>
      </c>
      <c r="M1941" t="inlineStr">
        <is>
          <t>Ian Plamondon</t>
        </is>
      </c>
    </row>
    <row r="1942">
      <c r="A1942" s="42" t="inlineStr">
        <is>
          <t>Zachary Doenges</t>
        </is>
      </c>
      <c r="B1942" s="42" t="inlineStr">
        <is>
          <t>8/10/25 - 9/6/25</t>
        </is>
      </c>
      <c r="C1942" s="41" t="n">
        <v>1.11</v>
      </c>
      <c r="D1942" s="41" t="n">
        <v>1.1</v>
      </c>
      <c r="E1942" s="41" t="n">
        <v>1</v>
      </c>
      <c r="F1942" s="41" t="n">
        <v>0.99</v>
      </c>
      <c r="G1942" s="41" t="n">
        <v>0.96</v>
      </c>
      <c r="H1942" s="42" t="n">
        <v>4</v>
      </c>
      <c r="I1942" s="43" t="inlineStr">
        <is>
          <t>2/3</t>
        </is>
      </c>
      <c r="J1942" s="12" t="n">
        <v>0.66</v>
      </c>
      <c r="K1942" t="inlineStr">
        <is>
          <t>Premium</t>
        </is>
      </c>
      <c r="L1942" t="inlineStr">
        <is>
          <t>Professional</t>
        </is>
      </c>
      <c r="M1942" t="inlineStr">
        <is>
          <t>Ian Plamondon</t>
        </is>
      </c>
    </row>
    <row r="1943">
      <c r="A1943" s="42" t="inlineStr">
        <is>
          <t>Zachary Doenges</t>
        </is>
      </c>
      <c r="B1943" s="42" t="inlineStr">
        <is>
          <t>9/7/25 - 10/4/25</t>
        </is>
      </c>
      <c r="C1943" s="41" t="n">
        <v>0.9399999999999999</v>
      </c>
      <c r="D1943" s="41" t="n">
        <v>1.04</v>
      </c>
      <c r="E1943" s="41" t="n">
        <v>1</v>
      </c>
      <c r="F1943" s="41" t="n">
        <v>1</v>
      </c>
      <c r="G1943" s="41" t="n">
        <v>1</v>
      </c>
      <c r="H1943" s="42" t="n">
        <v>9</v>
      </c>
      <c r="I1943" s="43" t="inlineStr">
        <is>
          <t>1/2</t>
        </is>
      </c>
      <c r="J1943" s="12" t="n">
        <v>0.5</v>
      </c>
      <c r="K1943" t="inlineStr">
        <is>
          <t>Premium</t>
        </is>
      </c>
      <c r="L1943" t="inlineStr">
        <is>
          <t>Professional</t>
        </is>
      </c>
      <c r="M1943" t="inlineStr">
        <is>
          <t>Ian Plamondon</t>
        </is>
      </c>
    </row>
    <row r="1944">
      <c r="A1944" s="42" t="inlineStr">
        <is>
          <t>Zack Anthony</t>
        </is>
      </c>
      <c r="B1944" s="42" t="inlineStr">
        <is>
          <t>10/5/25 - 11/1/25</t>
        </is>
      </c>
      <c r="C1944" s="41" t="n">
        <v>0.9375</v>
      </c>
      <c r="D1944" s="41" t="n">
        <v>0.824</v>
      </c>
      <c r="E1944" s="41" t="n">
        <v>0.966666666666666</v>
      </c>
      <c r="F1944" s="41" t="n">
        <v>0.987654320987654</v>
      </c>
      <c r="G1944" s="41" t="n">
        <v>0.653846153846153</v>
      </c>
      <c r="H1944" s="42" t="n">
        <v>10</v>
      </c>
      <c r="I1944" s="43" t="inlineStr">
        <is>
          <t>5/8</t>
        </is>
      </c>
      <c r="J1944" s="12" t="n">
        <v>0.63</v>
      </c>
      <c r="K1944" t="inlineStr">
        <is>
          <t>Distinguished</t>
        </is>
      </c>
      <c r="L1944" t="inlineStr">
        <is>
          <t>Professional</t>
        </is>
      </c>
      <c r="M1944" t="inlineStr">
        <is>
          <t>Kristin Haase-Alvey</t>
        </is>
      </c>
    </row>
    <row r="1945">
      <c r="A1945" s="42" t="inlineStr">
        <is>
          <t>Zack Anthony</t>
        </is>
      </c>
      <c r="B1945" s="42" t="inlineStr">
        <is>
          <t>10/5/25 - 11/1/25</t>
        </is>
      </c>
      <c r="C1945" s="41" t="n">
        <v>0.9375</v>
      </c>
      <c r="D1945" s="41" t="n">
        <v>0.824</v>
      </c>
      <c r="E1945" s="41" t="n">
        <v>0.966666666666666</v>
      </c>
      <c r="F1945" s="41" t="n">
        <v>0.987654320987654</v>
      </c>
      <c r="G1945" s="41" t="n">
        <v>0.653846153846153</v>
      </c>
      <c r="H1945" s="42" t="n">
        <v>10</v>
      </c>
      <c r="I1945" s="43" t="inlineStr">
        <is>
          <t>5/8</t>
        </is>
      </c>
      <c r="J1945" s="12">
        <f>_xlfn.TEXTBEFORE(I1945, "/")/_xlfn.TEXTAFTER(I1945,"/")</f>
        <v/>
      </c>
      <c r="K1945" t="inlineStr">
        <is>
          <t>Distinguished</t>
        </is>
      </c>
      <c r="L1945" t="inlineStr">
        <is>
          <t>Professional</t>
        </is>
      </c>
      <c r="M1945" t="inlineStr">
        <is>
          <t>Kristin Haase-Alvey</t>
        </is>
      </c>
    </row>
    <row r="1946">
      <c r="A1946" s="42" t="inlineStr">
        <is>
          <t>Zack Anthony</t>
        </is>
      </c>
      <c r="B1946" s="42" t="inlineStr">
        <is>
          <t>11/2/25 - 11/29/25</t>
        </is>
      </c>
      <c r="C1946" s="41" t="n">
        <v>0.9</v>
      </c>
      <c r="D1946" s="41" t="n">
        <v>0.8</v>
      </c>
      <c r="E1946" s="41" t="n">
        <v>0.96</v>
      </c>
      <c r="F1946" s="41" t="n">
        <v>0.88</v>
      </c>
      <c r="G1946" s="41" t="n">
        <v>0.41</v>
      </c>
      <c r="H1946" s="42" t="n">
        <v>12</v>
      </c>
      <c r="I1946" s="45" t="n">
        <v>45659</v>
      </c>
      <c r="J1946" s="12" t="n">
        <v>0.5</v>
      </c>
      <c r="K1946" t="inlineStr">
        <is>
          <t>Distinguished</t>
        </is>
      </c>
      <c r="L1946" t="inlineStr">
        <is>
          <t>Professional</t>
        </is>
      </c>
      <c r="M1946" t="inlineStr">
        <is>
          <t>Kristin Haase-Alvey</t>
        </is>
      </c>
    </row>
    <row r="1947">
      <c r="A1947" s="42" t="inlineStr">
        <is>
          <t>Zack Anthony</t>
        </is>
      </c>
      <c r="B1947" s="42" t="inlineStr">
        <is>
          <t>11/30/25 - 12/27/25</t>
        </is>
      </c>
      <c r="C1947" s="41" t="n">
        <v>0.83</v>
      </c>
      <c r="D1947" s="41" t="n">
        <v>0.85</v>
      </c>
      <c r="E1947" s="41" t="n">
        <v>0.95</v>
      </c>
      <c r="F1947" s="41" t="n">
        <v>0.96</v>
      </c>
      <c r="G1947" s="41" t="n">
        <v>1</v>
      </c>
      <c r="H1947" s="42" t="n">
        <v>11</v>
      </c>
      <c r="I1947" s="43" t="n">
        <v>0.8</v>
      </c>
      <c r="J1947" s="12" t="n">
        <v>0.8</v>
      </c>
      <c r="K1947" t="inlineStr">
        <is>
          <t>Distinguished</t>
        </is>
      </c>
      <c r="L1947" t="inlineStr">
        <is>
          <t>Professional</t>
        </is>
      </c>
      <c r="M1947" t="inlineStr">
        <is>
          <t>Kristin Haase-Alvey</t>
        </is>
      </c>
    </row>
    <row r="1948">
      <c r="A1948" s="42" t="inlineStr">
        <is>
          <t>Zack Anthony</t>
        </is>
      </c>
      <c r="B1948" s="42" t="inlineStr">
        <is>
          <t>12/28/25 - 1/25/26</t>
        </is>
      </c>
      <c r="C1948" s="41" t="n">
        <v>0.8458</v>
      </c>
      <c r="D1948" s="41" t="n">
        <v>0.8273</v>
      </c>
      <c r="E1948" s="41" t="n">
        <v>0.990384615</v>
      </c>
      <c r="F1948" s="41" t="n">
        <v>0.9855072459999999</v>
      </c>
      <c r="G1948" s="41" t="n">
        <v>0.722222222</v>
      </c>
      <c r="H1948" s="42" t="n">
        <v>13</v>
      </c>
      <c r="I1948" s="43" t="n">
        <v>1</v>
      </c>
      <c r="J1948" s="12">
        <f>I1948</f>
        <v/>
      </c>
      <c r="K1948" t="inlineStr">
        <is>
          <t>Distinguished</t>
        </is>
      </c>
      <c r="L1948" t="inlineStr">
        <is>
          <t>Professional</t>
        </is>
      </c>
      <c r="M1948" t="inlineStr">
        <is>
          <t>Kristin Haase-Alvey</t>
        </is>
      </c>
    </row>
    <row r="1949">
      <c r="A1949" s="42" t="inlineStr">
        <is>
          <t>Zack Anthony</t>
        </is>
      </c>
      <c r="B1949" s="42" t="inlineStr">
        <is>
          <t>5/18/25 - 6/14/25</t>
        </is>
      </c>
      <c r="C1949" s="41" t="n">
        <v>0.79</v>
      </c>
      <c r="D1949" s="41" t="n">
        <v>1.04</v>
      </c>
      <c r="E1949" s="41" t="n">
        <v>0.97</v>
      </c>
      <c r="F1949" s="41" t="n">
        <v>0.85</v>
      </c>
      <c r="G1949" s="41" t="n">
        <v>0.57</v>
      </c>
      <c r="H1949" s="42" t="n">
        <v>6</v>
      </c>
      <c r="I1949" s="43" t="n"/>
      <c r="J1949" s="12" t="n"/>
      <c r="K1949" t="inlineStr">
        <is>
          <t>Distinguished</t>
        </is>
      </c>
      <c r="L1949" t="inlineStr">
        <is>
          <t>Professional</t>
        </is>
      </c>
      <c r="M1949" t="inlineStr">
        <is>
          <t>Kristin Haase-Alvey</t>
        </is>
      </c>
    </row>
    <row r="1950">
      <c r="A1950" s="42" t="inlineStr">
        <is>
          <t>Zack Anthony</t>
        </is>
      </c>
      <c r="B1950" s="42" t="inlineStr">
        <is>
          <t>6/15/25 - 7/12/25</t>
        </is>
      </c>
      <c r="C1950" s="41" t="n">
        <v>0.44</v>
      </c>
      <c r="D1950" s="41" t="n">
        <v>1.04</v>
      </c>
      <c r="E1950" s="41" t="n">
        <v>0.98</v>
      </c>
      <c r="F1950" s="41" t="n">
        <v>0.88</v>
      </c>
      <c r="G1950" s="41" t="n">
        <v>0.9399999999999999</v>
      </c>
      <c r="H1950" s="42" t="n">
        <v>5</v>
      </c>
      <c r="I1950" s="43" t="n">
        <v>1</v>
      </c>
      <c r="J1950" s="12">
        <f>I1950</f>
        <v/>
      </c>
      <c r="K1950" t="inlineStr">
        <is>
          <t>Distinguished</t>
        </is>
      </c>
      <c r="L1950" t="inlineStr">
        <is>
          <t>Professional</t>
        </is>
      </c>
      <c r="M1950" t="inlineStr">
        <is>
          <t>Kristin Haase-Alvey</t>
        </is>
      </c>
    </row>
    <row r="1951">
      <c r="A1951" s="42" t="inlineStr">
        <is>
          <t>Zack Anthony</t>
        </is>
      </c>
      <c r="B1951" s="42" t="inlineStr">
        <is>
          <t>7/13/25 - 8/10/25</t>
        </is>
      </c>
      <c r="C1951" s="41" t="n">
        <v>0.77</v>
      </c>
      <c r="D1951" s="41" t="n">
        <v>1.07</v>
      </c>
      <c r="E1951" s="41" t="n">
        <v>1</v>
      </c>
      <c r="F1951" s="41" t="n">
        <v>0.88</v>
      </c>
      <c r="G1951" s="41" t="n">
        <v>0.73</v>
      </c>
      <c r="H1951" s="42" t="n">
        <v>7</v>
      </c>
      <c r="I1951" s="43" t="n">
        <v>1</v>
      </c>
      <c r="J1951" s="12">
        <f>I1951</f>
        <v/>
      </c>
      <c r="K1951" t="inlineStr">
        <is>
          <t>Distinguished</t>
        </is>
      </c>
      <c r="L1951" t="inlineStr">
        <is>
          <t>Professional</t>
        </is>
      </c>
      <c r="M1951" t="inlineStr">
        <is>
          <t>Kristin Haase-Alvey</t>
        </is>
      </c>
    </row>
    <row r="1952">
      <c r="A1952" s="42" t="inlineStr">
        <is>
          <t>Zack Anthony</t>
        </is>
      </c>
      <c r="B1952" s="42" t="inlineStr">
        <is>
          <t>8/10/25 - 9/6/25</t>
        </is>
      </c>
      <c r="C1952" s="41" t="n">
        <v>0.96</v>
      </c>
      <c r="D1952" s="41" t="n">
        <v>1.03</v>
      </c>
      <c r="E1952" s="41" t="n">
        <v>0.97</v>
      </c>
      <c r="F1952" s="41" t="n">
        <v>0.89</v>
      </c>
      <c r="G1952" s="41" t="n">
        <v>0.61</v>
      </c>
      <c r="H1952" s="42" t="n">
        <v>10</v>
      </c>
      <c r="I1952" s="43" t="inlineStr">
        <is>
          <t>1/1</t>
        </is>
      </c>
      <c r="J1952" s="12" t="n">
        <v>1</v>
      </c>
      <c r="K1952" t="inlineStr">
        <is>
          <t>Distinguished</t>
        </is>
      </c>
      <c r="L1952" t="inlineStr">
        <is>
          <t>Professional</t>
        </is>
      </c>
      <c r="M1952" t="inlineStr">
        <is>
          <t>Kristin Haase-Alvey</t>
        </is>
      </c>
    </row>
    <row r="1953">
      <c r="A1953" s="42" t="inlineStr">
        <is>
          <t>Zack Anthony</t>
        </is>
      </c>
      <c r="B1953" s="42" t="inlineStr">
        <is>
          <t>9/7/25 - 10/4/25</t>
        </is>
      </c>
      <c r="C1953" s="41" t="n">
        <v>0.88</v>
      </c>
      <c r="D1953" s="41" t="n">
        <v>0.82</v>
      </c>
      <c r="E1953" s="41" t="n">
        <v>0.96</v>
      </c>
      <c r="F1953" s="41" t="n">
        <v>0.96</v>
      </c>
      <c r="G1953" s="41" t="n">
        <v>0.64</v>
      </c>
      <c r="H1953" s="42" t="n">
        <v>7</v>
      </c>
      <c r="I1953" s="43" t="inlineStr">
        <is>
          <t>1/1</t>
        </is>
      </c>
      <c r="J1953" s="12" t="n">
        <v>1</v>
      </c>
      <c r="K1953" t="inlineStr">
        <is>
          <t>Distinguished</t>
        </is>
      </c>
      <c r="L1953" t="inlineStr">
        <is>
          <t>Professional</t>
        </is>
      </c>
      <c r="M1953" t="inlineStr">
        <is>
          <t>Kristin Haase-Alvey</t>
        </is>
      </c>
    </row>
    <row r="1954">
      <c r="A1954" s="42" t="inlineStr">
        <is>
          <t>Zack Robertson</t>
        </is>
      </c>
      <c r="B1954" s="42" t="inlineStr">
        <is>
          <t>10/5/25 - 11/1/25</t>
        </is>
      </c>
      <c r="C1954" s="41" t="n">
        <v>0.8708</v>
      </c>
      <c r="D1954" s="41" t="n">
        <v>1.125</v>
      </c>
      <c r="E1954" s="41" t="n">
        <v>0.98</v>
      </c>
      <c r="F1954" s="41" t="n">
        <v>0.9859154929577461</v>
      </c>
      <c r="G1954" s="41" t="n">
        <v>0.666666666666666</v>
      </c>
      <c r="H1954" s="42" t="n">
        <v>4</v>
      </c>
      <c r="I1954" s="43" t="inlineStr">
        <is>
          <t>6/6</t>
        </is>
      </c>
      <c r="J1954" s="12" t="n">
        <v>1</v>
      </c>
      <c r="K1954" t="inlineStr">
        <is>
          <t>Distinguished</t>
        </is>
      </c>
      <c r="L1954" t="inlineStr">
        <is>
          <t>Professional</t>
        </is>
      </c>
      <c r="M1954" t="inlineStr">
        <is>
          <t>Kristin Haase-Alvey</t>
        </is>
      </c>
    </row>
    <row r="1955">
      <c r="A1955" s="42" t="inlineStr">
        <is>
          <t>Zack Robertson</t>
        </is>
      </c>
      <c r="B1955" s="42" t="inlineStr">
        <is>
          <t>11/2/25 - 11/29/25</t>
        </is>
      </c>
      <c r="C1955" s="41" t="n">
        <v>0.9</v>
      </c>
      <c r="D1955" s="41" t="n">
        <v>1.03</v>
      </c>
      <c r="E1955" s="41" t="n">
        <v>1</v>
      </c>
      <c r="F1955" s="41" t="n">
        <v>0.99</v>
      </c>
      <c r="G1955" s="41" t="n">
        <v>0.78</v>
      </c>
      <c r="H1955" s="42" t="n">
        <v>3</v>
      </c>
      <c r="I1955" s="45" t="n">
        <v>45658</v>
      </c>
      <c r="J1955" s="12" t="n">
        <v>1</v>
      </c>
      <c r="K1955" t="inlineStr">
        <is>
          <t>Distinguished</t>
        </is>
      </c>
      <c r="L1955" t="inlineStr">
        <is>
          <t>Professional</t>
        </is>
      </c>
      <c r="M1955" t="inlineStr">
        <is>
          <t>Kristin Haase-Alvey</t>
        </is>
      </c>
    </row>
    <row r="1956">
      <c r="A1956" s="42" t="inlineStr">
        <is>
          <t>Zack Robertson</t>
        </is>
      </c>
      <c r="B1956" s="42" t="inlineStr">
        <is>
          <t>11/30/25 - 12/27/25</t>
        </is>
      </c>
      <c r="C1956" s="41" t="n">
        <v>0.64</v>
      </c>
      <c r="D1956" s="41" t="n">
        <v>1.07</v>
      </c>
      <c r="E1956" s="41" t="n">
        <v>1</v>
      </c>
      <c r="F1956" s="41" t="n">
        <v>0.98</v>
      </c>
      <c r="G1956" s="41" t="n">
        <v>1</v>
      </c>
      <c r="H1956" s="42" t="n">
        <v>2</v>
      </c>
      <c r="I1956" s="43" t="n">
        <v>1</v>
      </c>
      <c r="J1956" s="12" t="n">
        <v>1</v>
      </c>
      <c r="K1956" t="inlineStr">
        <is>
          <t>Distinguished</t>
        </is>
      </c>
      <c r="L1956" t="inlineStr">
        <is>
          <t>Professional</t>
        </is>
      </c>
      <c r="M1956" t="inlineStr">
        <is>
          <t>Kristin Haase-Alvey</t>
        </is>
      </c>
    </row>
    <row r="1957">
      <c r="A1957" s="42" t="inlineStr">
        <is>
          <t>Zack Robertson</t>
        </is>
      </c>
      <c r="B1957" s="42" t="inlineStr">
        <is>
          <t>12/28/25 - 1/25/26</t>
        </is>
      </c>
      <c r="C1957" s="41" t="n">
        <v>0.7625</v>
      </c>
      <c r="D1957" s="41" t="n">
        <v>1.0987</v>
      </c>
      <c r="E1957" s="41" t="n">
        <v>1</v>
      </c>
      <c r="F1957" s="41" t="n">
        <v>0.969230769</v>
      </c>
      <c r="G1957" s="41" t="n">
        <v>0.823529412</v>
      </c>
      <c r="H1957" s="42" t="n">
        <v>3</v>
      </c>
      <c r="I1957" s="43" t="n">
        <v>0.8</v>
      </c>
      <c r="J1957" s="12">
        <f>I1957</f>
        <v/>
      </c>
      <c r="K1957" t="inlineStr">
        <is>
          <t>Distinguished</t>
        </is>
      </c>
      <c r="L1957" t="inlineStr">
        <is>
          <t>Professional</t>
        </is>
      </c>
      <c r="M1957" t="inlineStr">
        <is>
          <t>Kristin Haase-Alvey</t>
        </is>
      </c>
    </row>
    <row r="1958">
      <c r="A1958" s="42" t="inlineStr">
        <is>
          <t>Zack Robertson</t>
        </is>
      </c>
      <c r="B1958" s="42" t="inlineStr">
        <is>
          <t>5/18/25 - 6/14/25</t>
        </is>
      </c>
      <c r="C1958" s="41" t="n">
        <v>0.99</v>
      </c>
      <c r="D1958" s="41" t="n">
        <v>1.19</v>
      </c>
      <c r="E1958" s="41" t="n">
        <v>1</v>
      </c>
      <c r="F1958" s="41" t="n">
        <v>0.98</v>
      </c>
      <c r="G1958" s="41" t="n">
        <v>0.8100000000000001</v>
      </c>
      <c r="H1958" s="42" t="n">
        <v>4</v>
      </c>
      <c r="I1958" s="43" t="n">
        <v>1</v>
      </c>
      <c r="J1958" s="12">
        <f>I1958</f>
        <v/>
      </c>
      <c r="K1958" t="inlineStr">
        <is>
          <t>Distinguished</t>
        </is>
      </c>
      <c r="L1958" t="inlineStr">
        <is>
          <t>Professional</t>
        </is>
      </c>
      <c r="M1958" t="inlineStr">
        <is>
          <t>Kristin Haase-Alvey</t>
        </is>
      </c>
    </row>
    <row r="1959">
      <c r="A1959" s="42" t="inlineStr">
        <is>
          <t>Zack Robertson</t>
        </is>
      </c>
      <c r="B1959" s="42" t="inlineStr">
        <is>
          <t>6/15/25 - 7/12/25</t>
        </is>
      </c>
      <c r="C1959" s="41" t="n">
        <v>0.82</v>
      </c>
      <c r="D1959" s="41" t="n">
        <v>1.08</v>
      </c>
      <c r="E1959" s="41" t="n">
        <v>1</v>
      </c>
      <c r="F1959" s="41" t="n">
        <v>1</v>
      </c>
      <c r="G1959" s="41" t="n">
        <v>0.73</v>
      </c>
      <c r="H1959" s="42" t="n">
        <v>6</v>
      </c>
      <c r="I1959" s="43" t="inlineStr">
        <is>
          <t xml:space="preserve"> 2/3</t>
        </is>
      </c>
      <c r="J1959" s="12" t="n">
        <v>0.67</v>
      </c>
      <c r="K1959" t="inlineStr">
        <is>
          <t>Distinguished</t>
        </is>
      </c>
      <c r="L1959" t="inlineStr">
        <is>
          <t>Professional</t>
        </is>
      </c>
      <c r="M1959" t="inlineStr">
        <is>
          <t>Kristin Haase-Alvey</t>
        </is>
      </c>
    </row>
    <row r="1960">
      <c r="A1960" s="42" t="inlineStr">
        <is>
          <t>Zack Robertson</t>
        </is>
      </c>
      <c r="B1960" s="42" t="inlineStr">
        <is>
          <t>7/13/25 - 8/10/25</t>
        </is>
      </c>
      <c r="C1960" s="41" t="n">
        <v>0.84</v>
      </c>
      <c r="D1960" s="41" t="n">
        <v>1.03</v>
      </c>
      <c r="E1960" s="41" t="n">
        <v>1</v>
      </c>
      <c r="F1960" s="41" t="n">
        <v>1</v>
      </c>
      <c r="G1960" s="41" t="n">
        <v>0.74</v>
      </c>
      <c r="H1960" s="42" t="n">
        <v>5</v>
      </c>
      <c r="I1960" s="43" t="inlineStr">
        <is>
          <t xml:space="preserve"> 7/8</t>
        </is>
      </c>
      <c r="J1960" s="12" t="n">
        <v>0.88</v>
      </c>
      <c r="K1960" t="inlineStr">
        <is>
          <t>Distinguished</t>
        </is>
      </c>
      <c r="L1960" t="inlineStr">
        <is>
          <t>Professional</t>
        </is>
      </c>
      <c r="M1960" t="inlineStr">
        <is>
          <t>Kristin Haase-Alvey</t>
        </is>
      </c>
    </row>
    <row r="1961">
      <c r="A1961" s="42" t="inlineStr">
        <is>
          <t>Zack Robertson</t>
        </is>
      </c>
      <c r="B1961" s="42" t="inlineStr">
        <is>
          <t>8/10/25 - 9/6/25</t>
        </is>
      </c>
      <c r="C1961" s="41" t="n">
        <v>0.95</v>
      </c>
      <c r="D1961" s="41" t="n">
        <v>1.03</v>
      </c>
      <c r="E1961" s="41" t="n">
        <v>0.99</v>
      </c>
      <c r="F1961" s="41" t="n">
        <v>0.98</v>
      </c>
      <c r="G1961" s="41" t="n">
        <v>0.85</v>
      </c>
      <c r="H1961" s="42" t="n">
        <v>2</v>
      </c>
      <c r="I1961" s="43" t="inlineStr">
        <is>
          <t>5/5</t>
        </is>
      </c>
      <c r="J1961" s="12" t="n">
        <v>1</v>
      </c>
      <c r="K1961" t="inlineStr">
        <is>
          <t>Distinguished</t>
        </is>
      </c>
      <c r="L1961" t="inlineStr">
        <is>
          <t>Professional</t>
        </is>
      </c>
      <c r="M1961" t="inlineStr">
        <is>
          <t>Kristin Haase-Alvey</t>
        </is>
      </c>
    </row>
    <row r="1962">
      <c r="A1962" s="42" t="inlineStr">
        <is>
          <t>Zack Robertson</t>
        </is>
      </c>
      <c r="B1962" s="42" t="inlineStr">
        <is>
          <t>9/7/25 - 10/4/25</t>
        </is>
      </c>
      <c r="C1962" s="41" t="n">
        <v>0.76</v>
      </c>
      <c r="D1962" s="41" t="n">
        <v>1</v>
      </c>
      <c r="E1962" s="41" t="n">
        <v>0.99</v>
      </c>
      <c r="F1962" s="41" t="n">
        <v>0.95</v>
      </c>
      <c r="G1962" s="41" t="n">
        <v>0.62</v>
      </c>
      <c r="H1962" s="42" t="n">
        <v>6</v>
      </c>
      <c r="I1962" s="43" t="inlineStr">
        <is>
          <t>7/9</t>
        </is>
      </c>
      <c r="J1962" s="12" t="n">
        <v>0.78</v>
      </c>
      <c r="K1962" t="inlineStr">
        <is>
          <t>Distinguished</t>
        </is>
      </c>
      <c r="L1962" t="inlineStr">
        <is>
          <t>Professional</t>
        </is>
      </c>
      <c r="M1962" t="inlineStr">
        <is>
          <t>Kristin Haase-Alvey</t>
        </is>
      </c>
    </row>
    <row r="1963">
      <c r="A1963" s="42" t="inlineStr">
        <is>
          <t>Zoe Shanley</t>
        </is>
      </c>
      <c r="B1963" s="42" t="inlineStr">
        <is>
          <t>10/5/25 - 11/1/25</t>
        </is>
      </c>
      <c r="C1963" s="41" t="n">
        <v>0.925</v>
      </c>
      <c r="D1963" s="41" t="n">
        <v>1.0329</v>
      </c>
      <c r="E1963" s="41" t="n">
        <v>0.991452991452991</v>
      </c>
      <c r="F1963" s="41" t="n">
        <v>0.971830985915492</v>
      </c>
      <c r="G1963" s="41" t="n">
        <v>0.5</v>
      </c>
      <c r="H1963" s="42" t="n">
        <v>8</v>
      </c>
      <c r="I1963" s="43" t="inlineStr">
        <is>
          <t>1/4</t>
        </is>
      </c>
      <c r="J1963" s="12" t="n">
        <v>0.25</v>
      </c>
      <c r="K1963" t="inlineStr">
        <is>
          <t>Distinguished</t>
        </is>
      </c>
      <c r="L1963" t="inlineStr">
        <is>
          <t>Professional</t>
        </is>
      </c>
      <c r="M1963" t="inlineStr">
        <is>
          <t>Ian Plamondon</t>
        </is>
      </c>
    </row>
    <row r="1964">
      <c r="A1964" s="42" t="inlineStr">
        <is>
          <t>Zoe Shanley</t>
        </is>
      </c>
      <c r="B1964" s="42" t="inlineStr">
        <is>
          <t>11/2/25 - 11/29/25</t>
        </is>
      </c>
      <c r="C1964" s="41" t="n">
        <v>0.95</v>
      </c>
      <c r="D1964" s="41" t="n">
        <v>0.91</v>
      </c>
      <c r="E1964" s="41" t="n">
        <v>0.99</v>
      </c>
      <c r="F1964" s="41" t="n">
        <v>0.99</v>
      </c>
      <c r="G1964" s="41" t="n">
        <v>0.57</v>
      </c>
      <c r="H1964" s="42" t="n">
        <v>11</v>
      </c>
      <c r="I1964" s="45" t="n">
        <v>45720</v>
      </c>
      <c r="J1964" s="14" t="n">
        <v>0.75</v>
      </c>
      <c r="K1964" t="inlineStr">
        <is>
          <t>Distinguished</t>
        </is>
      </c>
      <c r="L1964" t="inlineStr">
        <is>
          <t>Professional</t>
        </is>
      </c>
      <c r="M1964" t="inlineStr">
        <is>
          <t>Ian Plamondon</t>
        </is>
      </c>
    </row>
    <row r="1965">
      <c r="A1965" s="42" t="inlineStr">
        <is>
          <t>Zoe Shanley</t>
        </is>
      </c>
      <c r="B1965" s="42" t="inlineStr">
        <is>
          <t>11/30/25 - 12/27/25</t>
        </is>
      </c>
      <c r="C1965" s="41" t="n">
        <v>0.61</v>
      </c>
      <c r="D1965" s="41" t="n">
        <v>0.57</v>
      </c>
      <c r="E1965" s="41" t="n">
        <v>0.95</v>
      </c>
      <c r="F1965" s="41" t="n">
        <v>0.98</v>
      </c>
      <c r="G1965" s="41" t="n">
        <v>0.8</v>
      </c>
      <c r="H1965" s="42" t="n">
        <v>16</v>
      </c>
      <c r="I1965" s="43" t="n">
        <v>0.25</v>
      </c>
      <c r="J1965" s="12" t="n">
        <v>0.25</v>
      </c>
      <c r="K1965" t="inlineStr">
        <is>
          <t>Distinguished</t>
        </is>
      </c>
      <c r="L1965" t="inlineStr">
        <is>
          <t>Professional</t>
        </is>
      </c>
      <c r="M1965" t="inlineStr">
        <is>
          <t>Ian Plamondon</t>
        </is>
      </c>
    </row>
    <row r="1966">
      <c r="A1966" s="42" t="inlineStr">
        <is>
          <t>Zoe Shanley</t>
        </is>
      </c>
      <c r="B1966" s="42" t="inlineStr">
        <is>
          <t>12/28/25 - 1/25/26</t>
        </is>
      </c>
      <c r="C1966" s="41" t="n">
        <v>1.075</v>
      </c>
      <c r="D1966" s="41" t="n">
        <v>1.1086</v>
      </c>
      <c r="E1966" s="41" t="n">
        <v>0.976377953</v>
      </c>
      <c r="F1966" s="41" t="n">
        <v>0.966666667</v>
      </c>
      <c r="G1966" s="41" t="n">
        <v>0.652173913</v>
      </c>
      <c r="H1966" s="42" t="n">
        <v>16</v>
      </c>
      <c r="I1966" s="43" t="n">
        <v>0.2</v>
      </c>
      <c r="J1966" s="12">
        <f>I1966</f>
        <v/>
      </c>
      <c r="K1966" t="inlineStr">
        <is>
          <t>Distinguished</t>
        </is>
      </c>
      <c r="L1966" t="inlineStr">
        <is>
          <t>Professional</t>
        </is>
      </c>
      <c r="M1966" t="inlineStr">
        <is>
          <t>Ian Plamondon</t>
        </is>
      </c>
    </row>
    <row r="1967">
      <c r="A1967" s="42" t="inlineStr">
        <is>
          <t>Zoe Shanley</t>
        </is>
      </c>
      <c r="B1967" s="42" t="inlineStr">
        <is>
          <t>9/7/25 - 10/4/25</t>
        </is>
      </c>
      <c r="C1967" s="41" t="n">
        <v>0.65</v>
      </c>
      <c r="D1967" s="41" t="n">
        <v>1.01</v>
      </c>
      <c r="E1967" s="41" t="n">
        <v>1</v>
      </c>
      <c r="F1967" s="41" t="n">
        <v>0.98</v>
      </c>
      <c r="G1967" s="41" t="n">
        <v>0.33</v>
      </c>
      <c r="H1967" s="42" t="n">
        <v>5</v>
      </c>
      <c r="I1967" s="43" t="inlineStr">
        <is>
          <t>5/7</t>
        </is>
      </c>
      <c r="J1967" s="12" t="n">
        <v>0.71</v>
      </c>
      <c r="K1967" t="inlineStr">
        <is>
          <t>Distinguished</t>
        </is>
      </c>
      <c r="L1967" t="inlineStr">
        <is>
          <t>Professional</t>
        </is>
      </c>
      <c r="M1967" t="inlineStr">
        <is>
          <t>Ian Plamondon</t>
        </is>
      </c>
    </row>
    <row r="1968">
      <c r="A1968" s="9" t="inlineStr">
        <is>
          <t>Akeema Williams</t>
        </is>
      </c>
      <c r="B1968" s="9" t="inlineStr">
        <is>
          <t>1/25/26 - 2/21/26</t>
        </is>
      </c>
      <c r="C1968" s="12" t="n">
        <v>1.0875</v>
      </c>
      <c r="D1968" s="12" t="n">
        <v>0.970399999999999</v>
      </c>
      <c r="E1968" s="12" t="n">
        <v>1</v>
      </c>
      <c r="F1968" s="12" t="n">
        <v>0.902912621359223</v>
      </c>
      <c r="G1968" s="12" t="n">
        <v>0.7826086956521729</v>
      </c>
      <c r="H1968" s="9" t="n">
        <v>16</v>
      </c>
      <c r="I1968" s="9" t="inlineStr">
        <is>
          <t>2/4</t>
        </is>
      </c>
      <c r="J1968" s="12" t="n">
        <v>0.5</v>
      </c>
      <c r="K1968" t="inlineStr">
        <is>
          <t>Advanced</t>
        </is>
      </c>
      <c r="L1968" t="inlineStr">
        <is>
          <t>Professional</t>
        </is>
      </c>
      <c r="M1968" t="inlineStr">
        <is>
          <t>Ian Plamondon</t>
        </is>
      </c>
    </row>
    <row r="1969">
      <c r="A1969" s="9" t="inlineStr">
        <is>
          <t>Akshiv Gulati</t>
        </is>
      </c>
      <c r="B1969" s="9" t="inlineStr">
        <is>
          <t>1/25/26 - 2/21/26</t>
        </is>
      </c>
      <c r="C1969" s="12" t="n">
        <v>0.2952</v>
      </c>
      <c r="D1969" s="12" t="n">
        <v>0.6859999999999991</v>
      </c>
      <c r="E1969" s="12" t="n">
        <v>0.84</v>
      </c>
      <c r="F1969" s="12" t="n">
        <v>0.842105263157894</v>
      </c>
      <c r="G1969" s="12" t="n">
        <v>0</v>
      </c>
      <c r="H1969" s="9" t="n">
        <v>0</v>
      </c>
      <c r="I1969" s="9" t="inlineStr">
        <is>
          <t>1/6</t>
        </is>
      </c>
      <c r="J1969" s="12" t="n">
        <v>0.17</v>
      </c>
      <c r="K1969" t="inlineStr">
        <is>
          <t>Advanced</t>
        </is>
      </c>
      <c r="L1969" t="inlineStr">
        <is>
          <t xml:space="preserve">Professional </t>
        </is>
      </c>
      <c r="M1969" t="inlineStr">
        <is>
          <t>Kristin Haase-Alvey</t>
        </is>
      </c>
    </row>
    <row r="1970">
      <c r="A1970" s="9" t="inlineStr">
        <is>
          <t>Alex Small</t>
        </is>
      </c>
      <c r="B1970" s="9" t="inlineStr">
        <is>
          <t>1/25/26 - 2/21/26</t>
        </is>
      </c>
      <c r="C1970" s="12" t="n">
        <v>1.21879999999999</v>
      </c>
      <c r="D1970" s="12" t="n">
        <v>1.40629999999999</v>
      </c>
      <c r="E1970" s="12" t="n">
        <v>1</v>
      </c>
      <c r="F1970" s="12" t="n">
        <v>0.9655172413793101</v>
      </c>
      <c r="G1970" s="12" t="n">
        <v>0.571428571428571</v>
      </c>
      <c r="H1970" s="9" t="n">
        <v>3</v>
      </c>
      <c r="I1970" s="10" t="inlineStr">
        <is>
          <t>1/2</t>
        </is>
      </c>
      <c r="J1970" s="12" t="n">
        <v>0.5</v>
      </c>
      <c r="K1970" t="inlineStr">
        <is>
          <t>Premium</t>
        </is>
      </c>
      <c r="L1970" t="inlineStr">
        <is>
          <t>Adjunct</t>
        </is>
      </c>
      <c r="M1970" t="inlineStr">
        <is>
          <t>Ela Cross</t>
        </is>
      </c>
    </row>
    <row r="1971">
      <c r="A1971" s="9" t="inlineStr">
        <is>
          <t>Alexa Pinera</t>
        </is>
      </c>
      <c r="B1971" s="9" t="inlineStr">
        <is>
          <t>1/25/26 - 2/21/26</t>
        </is>
      </c>
      <c r="C1971" s="12" t="n">
        <v>0.7542</v>
      </c>
      <c r="D1971" s="12" t="n">
        <v>2.0708</v>
      </c>
      <c r="E1971" s="12" t="n">
        <v>1</v>
      </c>
      <c r="F1971" s="12" t="n">
        <v>1</v>
      </c>
      <c r="G1971" s="12" t="n">
        <v>0.916666666666666</v>
      </c>
      <c r="H1971" s="9" t="n">
        <v>6</v>
      </c>
      <c r="I1971" s="10" t="inlineStr">
        <is>
          <t>2/3</t>
        </is>
      </c>
      <c r="J1971" s="12" t="n">
        <v>0.66</v>
      </c>
      <c r="K1971" t="inlineStr">
        <is>
          <t>Premium</t>
        </is>
      </c>
      <c r="L1971" t="inlineStr">
        <is>
          <t>Professional</t>
        </is>
      </c>
      <c r="M1971" t="inlineStr">
        <is>
          <t>Ian Plamondon</t>
        </is>
      </c>
    </row>
    <row r="1972">
      <c r="A1972" s="9" t="inlineStr">
        <is>
          <t>Alexandra Berrios</t>
        </is>
      </c>
      <c r="B1972" s="9" t="inlineStr">
        <is>
          <t>1/25/26 - 2/21/26</t>
        </is>
      </c>
      <c r="C1972" s="12" t="n">
        <v>1.55209999999999</v>
      </c>
      <c r="D1972" s="12" t="n">
        <v>1.3359</v>
      </c>
      <c r="E1972" s="12" t="n">
        <v>0.96774193548387</v>
      </c>
      <c r="F1972" s="12" t="n">
        <v>0.888888888888888</v>
      </c>
      <c r="G1972" s="12" t="n">
        <v>0.857142857142857</v>
      </c>
      <c r="H1972" s="9" t="n">
        <v>10</v>
      </c>
      <c r="I1972" s="10" t="inlineStr">
        <is>
          <t>6/8</t>
        </is>
      </c>
      <c r="J1972" s="12" t="n">
        <v>0.75</v>
      </c>
      <c r="K1972" t="inlineStr">
        <is>
          <t>Advanced</t>
        </is>
      </c>
      <c r="L1972" t="inlineStr">
        <is>
          <t>Adjunct</t>
        </is>
      </c>
      <c r="M1972" t="inlineStr">
        <is>
          <t>Kristin Haase-Alvey</t>
        </is>
      </c>
    </row>
    <row r="1973">
      <c r="A1973" s="9" t="inlineStr">
        <is>
          <t>Alexandra Laus</t>
        </is>
      </c>
      <c r="B1973" s="9" t="inlineStr">
        <is>
          <t>1/25/26 - 2/21/26</t>
        </is>
      </c>
      <c r="C1973" s="12" t="n">
        <v>0</v>
      </c>
      <c r="D1973" s="12" t="n">
        <v>0.9440999999999991</v>
      </c>
      <c r="E1973" s="12" t="n">
        <v>0</v>
      </c>
      <c r="F1973" s="12" t="n">
        <v>0</v>
      </c>
      <c r="G1973" s="12" t="n">
        <v>0</v>
      </c>
      <c r="H1973" s="9" t="n">
        <v>0</v>
      </c>
      <c r="I1973" s="10" t="inlineStr">
        <is>
          <t>0/0</t>
        </is>
      </c>
      <c r="J1973" s="12" t="n">
        <v>0</v>
      </c>
      <c r="K1973" t="e">
        <v>#N/A</v>
      </c>
      <c r="L1973" t="e">
        <v>#N/A</v>
      </c>
      <c r="M1973" t="e">
        <v>#N/A</v>
      </c>
    </row>
    <row r="1974">
      <c r="A1974" s="9" t="inlineStr">
        <is>
          <t>Alexis Boucher</t>
        </is>
      </c>
      <c r="B1974" s="9" t="inlineStr">
        <is>
          <t>1/25/26 - 2/21/26</t>
        </is>
      </c>
      <c r="C1974" s="12" t="n">
        <v>0.8333</v>
      </c>
      <c r="D1974" s="12" t="n">
        <v>0.9671</v>
      </c>
      <c r="E1974" s="12" t="n">
        <v>0.987951807228915</v>
      </c>
      <c r="F1974" s="12" t="n">
        <v>0.952380952380952</v>
      </c>
      <c r="G1974" s="12" t="n">
        <v>1</v>
      </c>
      <c r="H1974" s="9" t="n">
        <v>9</v>
      </c>
      <c r="I1974" s="10" t="inlineStr">
        <is>
          <t>1/4</t>
        </is>
      </c>
      <c r="J1974" s="12" t="n">
        <v>0.25</v>
      </c>
      <c r="K1974" t="inlineStr">
        <is>
          <t>Distinguished</t>
        </is>
      </c>
      <c r="L1974" t="inlineStr">
        <is>
          <t>Professional</t>
        </is>
      </c>
      <c r="M1974" t="inlineStr">
        <is>
          <t>Ian Plamondon</t>
        </is>
      </c>
    </row>
    <row r="1975">
      <c r="A1975" s="9" t="inlineStr">
        <is>
          <t>Alison Trumbull</t>
        </is>
      </c>
      <c r="B1975" s="9" t="inlineStr">
        <is>
          <t>1/25/26 - 2/21/26</t>
        </is>
      </c>
      <c r="C1975" s="12" t="n">
        <v>0.7083</v>
      </c>
      <c r="D1975" s="12" t="n">
        <v>1.1367</v>
      </c>
      <c r="E1975" s="12" t="n">
        <v>1</v>
      </c>
      <c r="F1975" s="12" t="n">
        <v>0.833333333333333</v>
      </c>
      <c r="G1975" s="12" t="n">
        <v>1</v>
      </c>
      <c r="H1975" s="9" t="n">
        <v>1</v>
      </c>
      <c r="I1975" s="10" t="inlineStr">
        <is>
          <t>0/0</t>
        </is>
      </c>
      <c r="J1975" s="12" t="n">
        <v>0</v>
      </c>
      <c r="K1975" t="inlineStr">
        <is>
          <t>Premium</t>
        </is>
      </c>
      <c r="L1975" t="inlineStr">
        <is>
          <t>Adjunct</t>
        </is>
      </c>
      <c r="M1975" t="inlineStr">
        <is>
          <t>Geoff St. Marie</t>
        </is>
      </c>
    </row>
    <row r="1976">
      <c r="A1976" s="9" t="inlineStr">
        <is>
          <t>Allison Peck</t>
        </is>
      </c>
      <c r="B1976" s="9" t="inlineStr">
        <is>
          <t>1/25/26 - 2/21/26</t>
        </is>
      </c>
      <c r="C1976" s="12" t="n">
        <v>0.6667</v>
      </c>
      <c r="D1976" s="12" t="n">
        <v>1.08979999999999</v>
      </c>
      <c r="E1976" s="12" t="n">
        <v>1</v>
      </c>
      <c r="F1976" s="12" t="n">
        <v>0.833333333333333</v>
      </c>
      <c r="G1976" s="12" t="n">
        <v>0.6</v>
      </c>
      <c r="H1976" s="9" t="n">
        <v>2</v>
      </c>
      <c r="I1976" s="10" t="inlineStr">
        <is>
          <t>1/1</t>
        </is>
      </c>
      <c r="J1976" s="12" t="n">
        <v>1</v>
      </c>
      <c r="K1976" t="inlineStr">
        <is>
          <t>Distinguished</t>
        </is>
      </c>
      <c r="L1976" t="inlineStr">
        <is>
          <t>Adjunct</t>
        </is>
      </c>
      <c r="M1976" t="inlineStr">
        <is>
          <t>Kristin Haase-Alvey</t>
        </is>
      </c>
    </row>
    <row r="1977">
      <c r="A1977" s="9" t="inlineStr">
        <is>
          <t>Amanda Newton</t>
        </is>
      </c>
      <c r="B1977" s="9" t="inlineStr">
        <is>
          <t>1/25/26 - 2/21/26</t>
        </is>
      </c>
      <c r="C1977" s="12" t="n">
        <v>0</v>
      </c>
      <c r="D1977" s="12" t="n">
        <v>0</v>
      </c>
      <c r="E1977" s="12" t="n">
        <v>0</v>
      </c>
      <c r="F1977" s="12" t="n">
        <v>0</v>
      </c>
      <c r="G1977" s="12" t="n">
        <v>0</v>
      </c>
      <c r="H1977" s="9" t="n">
        <v>0</v>
      </c>
      <c r="I1977" s="10" t="inlineStr">
        <is>
          <t>0/0</t>
        </is>
      </c>
      <c r="J1977" s="12" t="n">
        <v>0</v>
      </c>
      <c r="K1977" t="e">
        <v>#N/A</v>
      </c>
      <c r="L1977" t="e">
        <v>#N/A</v>
      </c>
      <c r="M1977" t="e">
        <v>#N/A</v>
      </c>
    </row>
    <row r="1978">
      <c r="A1978" s="9" t="inlineStr">
        <is>
          <t>Amber Maldonado</t>
        </is>
      </c>
      <c r="B1978" s="9" t="inlineStr">
        <is>
          <t>1/25/26 - 2/21/26</t>
        </is>
      </c>
      <c r="C1978" s="12" t="n">
        <v>0</v>
      </c>
      <c r="D1978" s="12" t="n">
        <v>0</v>
      </c>
      <c r="E1978" s="12" t="n">
        <v>0</v>
      </c>
      <c r="F1978" s="12" t="n">
        <v>0</v>
      </c>
      <c r="G1978" s="12" t="n">
        <v>0</v>
      </c>
      <c r="H1978" s="9" t="n">
        <v>0</v>
      </c>
      <c r="I1978" s="9" t="inlineStr">
        <is>
          <t>0/0</t>
        </is>
      </c>
      <c r="J1978" s="12" t="n">
        <v>0</v>
      </c>
      <c r="K1978" t="inlineStr">
        <is>
          <t>Advanced</t>
        </is>
      </c>
      <c r="L1978" t="inlineStr">
        <is>
          <t>Professional</t>
        </is>
      </c>
      <c r="M1978" t="inlineStr">
        <is>
          <t>Annelies de Groot</t>
        </is>
      </c>
    </row>
    <row r="1979">
      <c r="A1979" s="9" t="inlineStr">
        <is>
          <t>Amelia Sain</t>
        </is>
      </c>
      <c r="B1979" s="9" t="inlineStr">
        <is>
          <t>1/25/26 - 2/21/26</t>
        </is>
      </c>
      <c r="C1979" s="12" t="n">
        <v>0.5208</v>
      </c>
      <c r="D1979" s="12" t="n">
        <v>1.1217</v>
      </c>
      <c r="E1979" s="12" t="n">
        <v>1</v>
      </c>
      <c r="F1979" s="12" t="n">
        <v>0.891891891891891</v>
      </c>
      <c r="G1979" s="12" t="n">
        <v>0.222222222222222</v>
      </c>
      <c r="H1979" s="9" t="n">
        <v>0</v>
      </c>
      <c r="I1979" s="10" t="inlineStr">
        <is>
          <t>0/0</t>
        </is>
      </c>
      <c r="J1979" s="12" t="n">
        <v>0</v>
      </c>
      <c r="K1979" t="inlineStr">
        <is>
          <t>Premium</t>
        </is>
      </c>
      <c r="L1979" t="inlineStr">
        <is>
          <t>Professional</t>
        </is>
      </c>
      <c r="M1979" t="inlineStr">
        <is>
          <t>Geoff St. Marie</t>
        </is>
      </c>
    </row>
    <row r="1980">
      <c r="A1980" s="9" t="inlineStr">
        <is>
          <t>Amy Kim</t>
        </is>
      </c>
      <c r="B1980" s="9" t="inlineStr">
        <is>
          <t>1/25/26 - 2/21/26</t>
        </is>
      </c>
      <c r="C1980" s="12" t="n">
        <v>0.8625</v>
      </c>
      <c r="D1980" s="12" t="n">
        <v>1.023</v>
      </c>
      <c r="E1980" s="12" t="n">
        <v>0.9375</v>
      </c>
      <c r="F1980" s="12" t="n">
        <v>1</v>
      </c>
      <c r="G1980" s="12" t="n">
        <v>0</v>
      </c>
      <c r="H1980" s="9" t="n">
        <v>2</v>
      </c>
      <c r="I1980" s="10" t="inlineStr">
        <is>
          <t>1/8</t>
        </is>
      </c>
      <c r="J1980" s="12" t="n">
        <v>0.13</v>
      </c>
      <c r="K1980" t="inlineStr">
        <is>
          <t>Advanced</t>
        </is>
      </c>
      <c r="L1980" t="inlineStr">
        <is>
          <t>Professional</t>
        </is>
      </c>
      <c r="M1980" t="inlineStr">
        <is>
          <t>Ela Cross</t>
        </is>
      </c>
    </row>
    <row r="1981">
      <c r="A1981" s="9" t="inlineStr">
        <is>
          <t>Ana Heiser</t>
        </is>
      </c>
      <c r="B1981" s="9" t="inlineStr">
        <is>
          <t>1/25/26 - 2/21/26</t>
        </is>
      </c>
      <c r="C1981" s="12" t="n">
        <v>0.7417</v>
      </c>
      <c r="D1981" s="12" t="n">
        <v>1.275</v>
      </c>
      <c r="E1981" s="12" t="n">
        <v>0.977011494252873</v>
      </c>
      <c r="F1981" s="12" t="n">
        <v>0.9833333333333329</v>
      </c>
      <c r="G1981" s="12" t="n">
        <v>1</v>
      </c>
      <c r="H1981" s="9" t="n">
        <v>1</v>
      </c>
      <c r="I1981" s="10" t="inlineStr">
        <is>
          <t>2/2</t>
        </is>
      </c>
      <c r="J1981" s="12" t="n">
        <v>1</v>
      </c>
      <c r="K1981" t="inlineStr">
        <is>
          <t>Distinguished</t>
        </is>
      </c>
      <c r="L1981" t="inlineStr">
        <is>
          <t>Professional</t>
        </is>
      </c>
      <c r="M1981" t="inlineStr">
        <is>
          <t>Kristin Haase-Alvey</t>
        </is>
      </c>
    </row>
    <row r="1982">
      <c r="A1982" s="9" t="inlineStr">
        <is>
          <t>Andres Jarquin</t>
        </is>
      </c>
      <c r="B1982" s="9" t="inlineStr">
        <is>
          <t>1/25/26 - 2/21/26</t>
        </is>
      </c>
      <c r="C1982" s="12" t="n">
        <v>0.9667</v>
      </c>
      <c r="D1982" s="12" t="n">
        <v>0.9933999999999999</v>
      </c>
      <c r="E1982" s="12" t="n">
        <v>0.992857142857142</v>
      </c>
      <c r="F1982" s="12" t="n">
        <v>0.934210526315789</v>
      </c>
      <c r="G1982" s="12" t="n">
        <v>0.5</v>
      </c>
      <c r="H1982" s="9" t="n">
        <v>11</v>
      </c>
      <c r="I1982" s="10" t="inlineStr">
        <is>
          <t>2/7</t>
        </is>
      </c>
      <c r="J1982" s="12" t="n">
        <v>0.29</v>
      </c>
      <c r="K1982" t="inlineStr">
        <is>
          <t>Advanced</t>
        </is>
      </c>
      <c r="L1982" t="inlineStr">
        <is>
          <t>Professional</t>
        </is>
      </c>
      <c r="M1982" t="inlineStr">
        <is>
          <t>Ian Plamondon</t>
        </is>
      </c>
    </row>
    <row r="1983">
      <c r="A1983" s="9" t="inlineStr">
        <is>
          <t>Andrew Brown</t>
        </is>
      </c>
      <c r="B1983" s="9" t="inlineStr">
        <is>
          <t>1/25/26 - 2/21/26</t>
        </is>
      </c>
      <c r="C1983" s="12" t="n">
        <v>1.1458</v>
      </c>
      <c r="D1983" s="12" t="n">
        <v>1.1217</v>
      </c>
      <c r="E1983" s="12" t="n">
        <v>0.991803278688524</v>
      </c>
      <c r="F1983" s="12" t="n">
        <v>0.978021978021978</v>
      </c>
      <c r="G1983" s="12" t="n">
        <v>0.454545454545454</v>
      </c>
      <c r="H1983" s="9" t="n">
        <v>5</v>
      </c>
      <c r="I1983" s="9" t="inlineStr">
        <is>
          <t>5/6</t>
        </is>
      </c>
      <c r="J1983" s="12" t="n">
        <v>0.83</v>
      </c>
      <c r="K1983" t="inlineStr">
        <is>
          <t>Distinguished</t>
        </is>
      </c>
      <c r="L1983" t="inlineStr">
        <is>
          <t>Professional</t>
        </is>
      </c>
      <c r="M1983" t="inlineStr">
        <is>
          <t>Ian Plamondon</t>
        </is>
      </c>
    </row>
    <row r="1984">
      <c r="A1984" s="9" t="inlineStr">
        <is>
          <t>Andrew Gehlot</t>
        </is>
      </c>
      <c r="B1984" s="9" t="inlineStr">
        <is>
          <t>1/25/26 - 2/21/26</t>
        </is>
      </c>
      <c r="C1984" s="12" t="n">
        <v>0.7417</v>
      </c>
      <c r="D1984" s="12" t="n">
        <v>1.0378</v>
      </c>
      <c r="E1984" s="12" t="n">
        <v>0.938271604938271</v>
      </c>
      <c r="F1984" s="12" t="n">
        <v>0.914893617021276</v>
      </c>
      <c r="G1984" s="12" t="n">
        <v>0.642857142857142</v>
      </c>
      <c r="H1984" s="9" t="n">
        <v>6</v>
      </c>
      <c r="I1984" s="10" t="inlineStr">
        <is>
          <t>0/1</t>
        </is>
      </c>
      <c r="J1984" s="12" t="n">
        <v>0</v>
      </c>
      <c r="K1984" t="inlineStr">
        <is>
          <t>Premium</t>
        </is>
      </c>
      <c r="L1984" t="inlineStr">
        <is>
          <t>Professional</t>
        </is>
      </c>
      <c r="M1984" t="inlineStr">
        <is>
          <t>Ela Cross</t>
        </is>
      </c>
    </row>
    <row r="1985">
      <c r="A1985" s="9" t="inlineStr">
        <is>
          <t>Andrew League</t>
        </is>
      </c>
      <c r="B1985" s="9" t="inlineStr">
        <is>
          <t>1/25/26 - 2/21/26</t>
        </is>
      </c>
      <c r="C1985" s="12" t="n">
        <v>0</v>
      </c>
      <c r="D1985" s="12" t="n">
        <v>0.2796</v>
      </c>
      <c r="E1985" s="12" t="n">
        <v>0</v>
      </c>
      <c r="F1985" s="12" t="n">
        <v>0</v>
      </c>
      <c r="G1985" s="12" t="n">
        <v>0</v>
      </c>
      <c r="H1985" s="9" t="n">
        <v>0</v>
      </c>
      <c r="I1985" s="10" t="inlineStr">
        <is>
          <t>0/0</t>
        </is>
      </c>
      <c r="J1985" s="12" t="n">
        <v>0</v>
      </c>
      <c r="K1985" t="e">
        <v>#N/A</v>
      </c>
      <c r="L1985" t="e">
        <v>#N/A</v>
      </c>
      <c r="M1985" t="e">
        <v>#N/A</v>
      </c>
    </row>
    <row r="1986">
      <c r="A1986" s="9" t="inlineStr">
        <is>
          <t>Anna Gilbert</t>
        </is>
      </c>
      <c r="B1986" s="9" t="inlineStr">
        <is>
          <t>1/25/26 - 2/21/26</t>
        </is>
      </c>
      <c r="C1986" s="12" t="n">
        <v>0.75</v>
      </c>
      <c r="D1986" s="12" t="n">
        <v>1</v>
      </c>
      <c r="E1986" s="12" t="n">
        <v>1</v>
      </c>
      <c r="F1986" s="12" t="n">
        <v>1</v>
      </c>
      <c r="G1986" s="12" t="n">
        <v>1</v>
      </c>
      <c r="H1986" s="9" t="n">
        <v>1</v>
      </c>
      <c r="I1986" s="10" t="inlineStr">
        <is>
          <t>0/0</t>
        </is>
      </c>
      <c r="J1986" s="12" t="n">
        <v>0</v>
      </c>
      <c r="K1986" t="inlineStr">
        <is>
          <t>Distinguished</t>
        </is>
      </c>
      <c r="L1986" t="inlineStr">
        <is>
          <t>Adjunct</t>
        </is>
      </c>
      <c r="M1986" t="inlineStr">
        <is>
          <t>Kristin Haase-Alvey</t>
        </is>
      </c>
    </row>
    <row r="1987">
      <c r="A1987" s="9" t="inlineStr">
        <is>
          <t>Annie Sylvester</t>
        </is>
      </c>
      <c r="B1987" s="9" t="inlineStr">
        <is>
          <t>1/25/26 - 2/21/26</t>
        </is>
      </c>
      <c r="C1987" s="12" t="n">
        <v>0.1714</v>
      </c>
      <c r="D1987" s="12" t="n">
        <v>0.640999999999999</v>
      </c>
      <c r="E1987" s="12" t="n">
        <v>0.954545454545454</v>
      </c>
      <c r="F1987" s="12" t="n">
        <v>0.8125</v>
      </c>
      <c r="G1987" s="12" t="n">
        <v>0</v>
      </c>
      <c r="H1987" s="9" t="n">
        <v>1</v>
      </c>
      <c r="I1987" s="10" t="inlineStr">
        <is>
          <t>8/10</t>
        </is>
      </c>
      <c r="J1987" s="12" t="n">
        <v>0.8</v>
      </c>
      <c r="K1987" t="inlineStr">
        <is>
          <t>Advanced</t>
        </is>
      </c>
      <c r="L1987" t="inlineStr">
        <is>
          <t xml:space="preserve">Professional </t>
        </is>
      </c>
      <c r="M1987" t="inlineStr">
        <is>
          <t>Ela Cross</t>
        </is>
      </c>
    </row>
    <row r="1988">
      <c r="A1988" s="9" t="inlineStr">
        <is>
          <t>Armand Brouty</t>
        </is>
      </c>
      <c r="B1988" s="9" t="inlineStr">
        <is>
          <t>1/25/26 - 2/21/26</t>
        </is>
      </c>
      <c r="C1988" s="12" t="n">
        <v>1.0292</v>
      </c>
      <c r="D1988" s="12" t="n">
        <v>1.6875</v>
      </c>
      <c r="E1988" s="12" t="n">
        <v>1</v>
      </c>
      <c r="F1988" s="12" t="n">
        <v>1</v>
      </c>
      <c r="G1988" s="12" t="n">
        <v>0.85</v>
      </c>
      <c r="H1988" s="9" t="n">
        <v>1</v>
      </c>
      <c r="I1988" s="10" t="inlineStr">
        <is>
          <t>3/3</t>
        </is>
      </c>
      <c r="J1988" s="12" t="n">
        <v>1</v>
      </c>
      <c r="K1988" t="inlineStr">
        <is>
          <t>Distinguished</t>
        </is>
      </c>
      <c r="L1988" t="inlineStr">
        <is>
          <t>Professional</t>
        </is>
      </c>
      <c r="M1988" t="inlineStr">
        <is>
          <t>Ian Plamondon</t>
        </is>
      </c>
    </row>
    <row r="1989">
      <c r="A1989" s="9" t="inlineStr">
        <is>
          <t>Ashley Scorsone</t>
        </is>
      </c>
      <c r="B1989" s="9" t="inlineStr">
        <is>
          <t>1/25/26 - 2/21/26</t>
        </is>
      </c>
      <c r="C1989" s="12" t="n">
        <v>0.955399999999999</v>
      </c>
      <c r="D1989" s="12" t="n">
        <v>1.7195</v>
      </c>
      <c r="E1989" s="12" t="n">
        <v>0.925925925925925</v>
      </c>
      <c r="F1989" s="12" t="n">
        <v>0.975903614457831</v>
      </c>
      <c r="G1989" s="12" t="n">
        <v>0.954545454545454</v>
      </c>
      <c r="H1989" s="9" t="n">
        <v>3</v>
      </c>
      <c r="I1989" s="10" t="inlineStr">
        <is>
          <t>3/4</t>
        </is>
      </c>
      <c r="J1989" s="12" t="n">
        <v>0.75</v>
      </c>
      <c r="K1989" t="inlineStr">
        <is>
          <t>Premium</t>
        </is>
      </c>
      <c r="L1989" t="inlineStr">
        <is>
          <t>Professional</t>
        </is>
      </c>
      <c r="M1989" t="inlineStr">
        <is>
          <t>Geoff St. Marie</t>
        </is>
      </c>
    </row>
    <row r="1990">
      <c r="A1990" s="9" t="inlineStr">
        <is>
          <t>Autumn Reed</t>
        </is>
      </c>
      <c r="B1990" s="9" t="inlineStr">
        <is>
          <t>1/25/26 - 2/21/26</t>
        </is>
      </c>
      <c r="C1990" s="12" t="n">
        <v>1.03129999999999</v>
      </c>
      <c r="D1990" s="12" t="n">
        <v>1.224</v>
      </c>
      <c r="E1990" s="12" t="n">
        <v>0.9761904761904761</v>
      </c>
      <c r="F1990" s="12" t="n">
        <v>0.828125</v>
      </c>
      <c r="G1990" s="12" t="n">
        <v>0</v>
      </c>
      <c r="H1990" s="9" t="n">
        <v>13</v>
      </c>
      <c r="I1990" s="10" t="inlineStr">
        <is>
          <t>4/4</t>
        </is>
      </c>
      <c r="J1990" s="12" t="n">
        <v>1</v>
      </c>
      <c r="K1990" t="inlineStr">
        <is>
          <t>Advanced</t>
        </is>
      </c>
      <c r="L1990" t="inlineStr">
        <is>
          <t>Adjunct- BUC</t>
        </is>
      </c>
      <c r="M1990" t="inlineStr">
        <is>
          <t>Geoff St. Marie</t>
        </is>
      </c>
    </row>
    <row r="1991">
      <c r="A1991" s="9" t="inlineStr">
        <is>
          <t>Ava Robledo</t>
        </is>
      </c>
      <c r="B1991" s="9" t="inlineStr">
        <is>
          <t>1/25/26 - 2/21/26</t>
        </is>
      </c>
      <c r="C1991" s="12" t="n">
        <v>0.1111</v>
      </c>
      <c r="D1991" s="12" t="n">
        <v>0.7708</v>
      </c>
      <c r="E1991" s="12" t="n">
        <v>1</v>
      </c>
      <c r="F1991" s="12" t="n">
        <v>1</v>
      </c>
      <c r="G1991" s="12" t="n">
        <v>0</v>
      </c>
      <c r="H1991" s="9" t="n">
        <v>0</v>
      </c>
      <c r="I1991" s="10" t="inlineStr">
        <is>
          <t>0/2</t>
        </is>
      </c>
      <c r="J1991" s="12" t="n">
        <v>0</v>
      </c>
      <c r="K1991" t="e">
        <v>#N/A</v>
      </c>
      <c r="L1991" t="e">
        <v>#N/A</v>
      </c>
      <c r="M1991" t="e">
        <v>#N/A</v>
      </c>
    </row>
    <row r="1992">
      <c r="A1992" s="9" t="inlineStr">
        <is>
          <t>Ayman Smoot</t>
        </is>
      </c>
      <c r="B1992" s="9" t="inlineStr">
        <is>
          <t>1/25/26 - 2/21/26</t>
        </is>
      </c>
      <c r="C1992" s="12" t="n">
        <v>2.2188</v>
      </c>
      <c r="D1992" s="12" t="n">
        <v>2.5156</v>
      </c>
      <c r="E1992" s="12" t="n">
        <v>0.87378640776699</v>
      </c>
      <c r="F1992" s="12" t="n">
        <v>0.820895522388059</v>
      </c>
      <c r="G1992" s="12" t="n">
        <v>0.611111111111111</v>
      </c>
      <c r="H1992" s="9" t="n">
        <v>5</v>
      </c>
      <c r="I1992" s="10" t="inlineStr">
        <is>
          <t>1/3</t>
        </is>
      </c>
      <c r="J1992" s="12" t="n">
        <v>0.33</v>
      </c>
      <c r="K1992" t="inlineStr">
        <is>
          <t>Advanced</t>
        </is>
      </c>
      <c r="L1992" t="inlineStr">
        <is>
          <t>Adjunct</t>
        </is>
      </c>
      <c r="M1992" t="inlineStr">
        <is>
          <t>Annelies de Groot</t>
        </is>
      </c>
    </row>
    <row r="1993">
      <c r="A1993" s="9" t="inlineStr">
        <is>
          <t>Ben Chamberlain</t>
        </is>
      </c>
      <c r="B1993" s="9" t="inlineStr">
        <is>
          <t>1/25/26 - 2/21/26</t>
        </is>
      </c>
      <c r="C1993" s="12" t="n">
        <v>0.992899999999999</v>
      </c>
      <c r="D1993" s="12" t="n">
        <v>1.189</v>
      </c>
      <c r="E1993" s="12" t="n">
        <v>0.952380952380952</v>
      </c>
      <c r="F1993" s="12" t="n">
        <v>0.815217391304347</v>
      </c>
      <c r="G1993" s="12" t="n">
        <v>0.821428571428571</v>
      </c>
      <c r="H1993" s="9" t="n">
        <v>1</v>
      </c>
      <c r="I1993" s="10" t="inlineStr">
        <is>
          <t>0/1</t>
        </is>
      </c>
      <c r="J1993" s="12" t="n">
        <v>0</v>
      </c>
      <c r="K1993" t="inlineStr">
        <is>
          <t>Advanced</t>
        </is>
      </c>
      <c r="L1993" t="inlineStr">
        <is>
          <t>Professional</t>
        </is>
      </c>
      <c r="M1993" t="inlineStr">
        <is>
          <t>Kristin Haase-Alvey</t>
        </is>
      </c>
    </row>
    <row r="1994">
      <c r="A1994" s="9" t="inlineStr">
        <is>
          <t>Ben Taylor</t>
        </is>
      </c>
      <c r="B1994" s="9" t="inlineStr">
        <is>
          <t>1/25/26 - 2/21/26</t>
        </is>
      </c>
      <c r="C1994" s="12" t="n">
        <v>0.625</v>
      </c>
      <c r="D1994" s="12" t="n">
        <v>1.44579999999999</v>
      </c>
      <c r="E1994" s="12" t="n">
        <v>1</v>
      </c>
      <c r="F1994" s="12" t="n">
        <v>1</v>
      </c>
      <c r="G1994" s="12" t="n">
        <v>1</v>
      </c>
      <c r="H1994" s="9" t="n">
        <v>0</v>
      </c>
      <c r="I1994" s="10" t="inlineStr">
        <is>
          <t>2/3</t>
        </is>
      </c>
      <c r="J1994" s="12" t="n">
        <v>0.66</v>
      </c>
      <c r="K1994" t="inlineStr">
        <is>
          <t>Premium</t>
        </is>
      </c>
      <c r="L1994" t="inlineStr">
        <is>
          <t>Professional</t>
        </is>
      </c>
      <c r="M1994" t="inlineStr">
        <is>
          <t>Kristin Haase-Alvey</t>
        </is>
      </c>
    </row>
    <row r="1995">
      <c r="A1995" s="9" t="inlineStr">
        <is>
          <t>Blake Maly</t>
        </is>
      </c>
      <c r="B1995" s="9" t="inlineStr">
        <is>
          <t>1/25/26 - 2/21/26</t>
        </is>
      </c>
      <c r="C1995" s="12" t="n">
        <v>0.5821</v>
      </c>
      <c r="D1995" s="12" t="n">
        <v>0.8052</v>
      </c>
      <c r="E1995" s="12" t="n">
        <v>0.98780487804878</v>
      </c>
      <c r="F1995" s="12" t="n">
        <v>0.963636363636363</v>
      </c>
      <c r="G1995" s="12" t="n">
        <v>0</v>
      </c>
      <c r="H1995" s="9" t="n">
        <v>0</v>
      </c>
      <c r="I1995" s="9" t="inlineStr">
        <is>
          <t>4/13</t>
        </is>
      </c>
      <c r="J1995" s="12" t="n">
        <v>0.31</v>
      </c>
      <c r="K1995" t="inlineStr">
        <is>
          <t>Advanced</t>
        </is>
      </c>
      <c r="L1995" t="inlineStr">
        <is>
          <t xml:space="preserve">Professional </t>
        </is>
      </c>
      <c r="M1995" t="inlineStr">
        <is>
          <t>Annelies de Groot</t>
        </is>
      </c>
    </row>
    <row r="1996">
      <c r="A1996" s="9" t="inlineStr">
        <is>
          <t>Brandon Engle</t>
        </is>
      </c>
      <c r="B1996" s="9" t="inlineStr">
        <is>
          <t>1/25/26 - 2/21/26</t>
        </is>
      </c>
      <c r="C1996" s="12" t="n">
        <v>0.978599999999999</v>
      </c>
      <c r="D1996" s="12" t="n">
        <v>1.0509</v>
      </c>
      <c r="E1996" s="12" t="n">
        <v>1</v>
      </c>
      <c r="F1996" s="12" t="n">
        <v>1</v>
      </c>
      <c r="G1996" s="12" t="n">
        <v>0.923076923076923</v>
      </c>
      <c r="H1996" s="9" t="n">
        <v>19</v>
      </c>
      <c r="I1996" s="9" t="inlineStr">
        <is>
          <t>3/3</t>
        </is>
      </c>
      <c r="J1996" s="12" t="n">
        <v>1</v>
      </c>
      <c r="K1996" t="inlineStr">
        <is>
          <t>Advanced</t>
        </is>
      </c>
      <c r="L1996" t="inlineStr">
        <is>
          <t>Professional</t>
        </is>
      </c>
      <c r="M1996" t="inlineStr">
        <is>
          <t>Annelies de Groot</t>
        </is>
      </c>
    </row>
    <row r="1997">
      <c r="A1997" s="9" t="inlineStr">
        <is>
          <t>Brandon Lora</t>
        </is>
      </c>
      <c r="B1997" s="9" t="inlineStr">
        <is>
          <t>1/25/26 - 2/21/26</t>
        </is>
      </c>
      <c r="C1997" s="12" t="n">
        <v>1.0417</v>
      </c>
      <c r="D1997" s="12" t="n">
        <v>1.09209999999999</v>
      </c>
      <c r="E1997" s="12" t="n">
        <v>0.975</v>
      </c>
      <c r="F1997" s="12" t="n">
        <v>0.98780487804878</v>
      </c>
      <c r="G1997" s="12" t="n">
        <v>0.588235294117647</v>
      </c>
      <c r="H1997" s="9" t="n">
        <v>0</v>
      </c>
      <c r="I1997" s="10" t="inlineStr">
        <is>
          <t>4/9</t>
        </is>
      </c>
      <c r="J1997" s="12" t="n">
        <v>0.44</v>
      </c>
      <c r="K1997" t="inlineStr">
        <is>
          <t>Advanced</t>
        </is>
      </c>
      <c r="L1997" t="inlineStr">
        <is>
          <t>Professional</t>
        </is>
      </c>
      <c r="M1997" t="inlineStr">
        <is>
          <t>Annelies de Groot</t>
        </is>
      </c>
    </row>
    <row r="1998">
      <c r="A1998" s="9" t="inlineStr">
        <is>
          <t>Brenna Hubnik</t>
        </is>
      </c>
      <c r="B1998" s="9" t="inlineStr">
        <is>
          <t>1/25/26 - 2/21/26</t>
        </is>
      </c>
      <c r="C1998" s="12" t="n">
        <v>1.11459999999999</v>
      </c>
      <c r="D1998" s="12" t="n">
        <v>1.1992</v>
      </c>
      <c r="E1998" s="12" t="n">
        <v>0.987951807228915</v>
      </c>
      <c r="F1998" s="12" t="n">
        <v>0.984126984126984</v>
      </c>
      <c r="G1998" s="12" t="n">
        <v>0.8</v>
      </c>
      <c r="H1998" s="9" t="n">
        <v>10</v>
      </c>
      <c r="I1998" s="10" t="inlineStr">
        <is>
          <t>0/0</t>
        </is>
      </c>
      <c r="J1998" s="12" t="n">
        <v>0</v>
      </c>
      <c r="K1998" t="inlineStr">
        <is>
          <t>Advanced</t>
        </is>
      </c>
      <c r="L1998" t="inlineStr">
        <is>
          <t>Adjunct</t>
        </is>
      </c>
      <c r="M1998" t="inlineStr">
        <is>
          <t>Annelies de Groot</t>
        </is>
      </c>
    </row>
    <row r="1999">
      <c r="A1999" s="9" t="inlineStr">
        <is>
          <t>Brian Cohen</t>
        </is>
      </c>
      <c r="B1999" s="9" t="inlineStr">
        <is>
          <t>1/25/26 - 2/21/26</t>
        </is>
      </c>
      <c r="C1999" s="12" t="n">
        <v>0.968799999999999</v>
      </c>
      <c r="D1999" s="12" t="n">
        <v>0.980499999999999</v>
      </c>
      <c r="E1999" s="12" t="n">
        <v>0.954545454545454</v>
      </c>
      <c r="F1999" s="12" t="n">
        <v>1</v>
      </c>
      <c r="G1999" s="12" t="n">
        <v>1</v>
      </c>
      <c r="H1999" s="9" t="n">
        <v>0</v>
      </c>
      <c r="I1999" s="10" t="inlineStr">
        <is>
          <t>0/0</t>
        </is>
      </c>
      <c r="J1999" s="12" t="n">
        <v>0</v>
      </c>
      <c r="K1999" t="inlineStr">
        <is>
          <t>Premium</t>
        </is>
      </c>
      <c r="L1999" t="inlineStr">
        <is>
          <t>Adjunct</t>
        </is>
      </c>
      <c r="M1999" t="inlineStr">
        <is>
          <t>Annelies de Groot</t>
        </is>
      </c>
    </row>
    <row r="2000">
      <c r="A2000" s="9" t="inlineStr">
        <is>
          <t>Brian James</t>
        </is>
      </c>
      <c r="B2000" s="9" t="inlineStr">
        <is>
          <t>1/25/26 - 2/21/26</t>
        </is>
      </c>
      <c r="C2000" s="12" t="n">
        <v>1.0375</v>
      </c>
      <c r="D2000" s="12" t="n">
        <v>0.8766</v>
      </c>
      <c r="E2000" s="12" t="n">
        <v>0.99236641221374</v>
      </c>
      <c r="F2000" s="12" t="n">
        <v>0.975308641975308</v>
      </c>
      <c r="G2000" s="12" t="n">
        <v>0.541666666666666</v>
      </c>
      <c r="H2000" s="9" t="n">
        <v>14</v>
      </c>
      <c r="I2000" s="10" t="inlineStr">
        <is>
          <t>1/1</t>
        </is>
      </c>
      <c r="J2000" s="12" t="n">
        <v>1</v>
      </c>
      <c r="K2000" t="inlineStr">
        <is>
          <t>Advanced</t>
        </is>
      </c>
      <c r="L2000" t="inlineStr">
        <is>
          <t>Professional</t>
        </is>
      </c>
      <c r="M2000" t="inlineStr">
        <is>
          <t>Annelies de Groot</t>
        </is>
      </c>
    </row>
    <row r="2001">
      <c r="A2001" s="9" t="inlineStr">
        <is>
          <t>Brittany Drew</t>
        </is>
      </c>
      <c r="B2001" s="9" t="inlineStr">
        <is>
          <t>1/25/26 - 2/21/26</t>
        </is>
      </c>
      <c r="C2001" s="12" t="n">
        <v>0.579199999999999</v>
      </c>
      <c r="D2001" s="12" t="n">
        <v>0.9145</v>
      </c>
      <c r="E2001" s="12" t="n">
        <v>0.984848484848484</v>
      </c>
      <c r="F2001" s="12" t="n">
        <v>0.9761904761904761</v>
      </c>
      <c r="G2001" s="12" t="n">
        <v>0</v>
      </c>
      <c r="H2001" s="9" t="n">
        <v>0</v>
      </c>
      <c r="I2001" s="10" t="inlineStr">
        <is>
          <t>17/20</t>
        </is>
      </c>
      <c r="J2001" s="12" t="n">
        <v>0.85</v>
      </c>
      <c r="K2001" t="inlineStr">
        <is>
          <t>Advanced</t>
        </is>
      </c>
      <c r="L2001" t="inlineStr">
        <is>
          <t xml:space="preserve">Professional </t>
        </is>
      </c>
      <c r="M2001" t="inlineStr">
        <is>
          <t>Ela Cross</t>
        </is>
      </c>
    </row>
    <row r="2002">
      <c r="A2002" s="9" t="inlineStr">
        <is>
          <t>Brock Dilley</t>
        </is>
      </c>
      <c r="B2002" s="9" t="inlineStr">
        <is>
          <t>1/25/26 - 2/21/26</t>
        </is>
      </c>
      <c r="C2002" s="12" t="n">
        <v>1.1071</v>
      </c>
      <c r="D2002" s="12" t="n">
        <v>1.0625</v>
      </c>
      <c r="E2002" s="12" t="n">
        <v>0.968354430379746</v>
      </c>
      <c r="F2002" s="12" t="n">
        <v>0.9898989898989889</v>
      </c>
      <c r="G2002" s="12" t="n">
        <v>0.875</v>
      </c>
      <c r="H2002" s="9" t="n">
        <v>11</v>
      </c>
      <c r="I2002" s="10" t="inlineStr">
        <is>
          <t>7/11</t>
        </is>
      </c>
      <c r="J2002" s="12" t="n">
        <v>0.64</v>
      </c>
      <c r="K2002" t="inlineStr">
        <is>
          <t>Advanced</t>
        </is>
      </c>
      <c r="L2002" t="inlineStr">
        <is>
          <t>Professional</t>
        </is>
      </c>
      <c r="M2002" t="inlineStr">
        <is>
          <t>Annelies de Groot</t>
        </is>
      </c>
    </row>
    <row r="2003">
      <c r="A2003" s="9" t="inlineStr">
        <is>
          <t>Bryant Salinas</t>
        </is>
      </c>
      <c r="B2003" s="9" t="inlineStr">
        <is>
          <t>1/25/26 - 2/21/26</t>
        </is>
      </c>
      <c r="C2003" s="12" t="n">
        <v>0.8528</v>
      </c>
      <c r="D2003" s="12" t="n">
        <v>1.0345</v>
      </c>
      <c r="E2003" s="12" t="n">
        <v>0.947368421052631</v>
      </c>
      <c r="F2003" s="12" t="n">
        <v>0.968253968253968</v>
      </c>
      <c r="G2003" s="12" t="n">
        <v>0.875</v>
      </c>
      <c r="H2003" s="9" t="n">
        <v>6</v>
      </c>
      <c r="I2003" s="10" t="inlineStr">
        <is>
          <t>2/6</t>
        </is>
      </c>
      <c r="J2003" s="12" t="n">
        <v>0.33</v>
      </c>
      <c r="K2003" t="inlineStr">
        <is>
          <t>Premium</t>
        </is>
      </c>
      <c r="L2003" t="inlineStr">
        <is>
          <t>Professional</t>
        </is>
      </c>
      <c r="M2003" t="inlineStr">
        <is>
          <t>Geoff St. Marie</t>
        </is>
      </c>
    </row>
    <row r="2004">
      <c r="A2004" s="9" t="inlineStr">
        <is>
          <t>Cait White</t>
        </is>
      </c>
      <c r="B2004" s="9" t="inlineStr">
        <is>
          <t>1/25/26 - 2/21/26</t>
        </is>
      </c>
      <c r="C2004" s="12" t="n">
        <v>0.6042</v>
      </c>
      <c r="D2004" s="12" t="n">
        <v>1.1016</v>
      </c>
      <c r="E2004" s="12" t="n">
        <v>1</v>
      </c>
      <c r="F2004" s="12" t="n">
        <v>1</v>
      </c>
      <c r="G2004" s="12" t="n">
        <v>0.5</v>
      </c>
      <c r="H2004" s="9" t="n">
        <v>0</v>
      </c>
      <c r="I2004" s="10" t="inlineStr">
        <is>
          <t>2/2</t>
        </is>
      </c>
      <c r="J2004" s="12" t="n">
        <v>1</v>
      </c>
      <c r="K2004" t="inlineStr">
        <is>
          <t>Premium</t>
        </is>
      </c>
      <c r="L2004" t="inlineStr">
        <is>
          <t>Adjunct</t>
        </is>
      </c>
      <c r="M2004" t="inlineStr">
        <is>
          <t>Ela Cross</t>
        </is>
      </c>
    </row>
    <row r="2005">
      <c r="A2005" s="9" t="inlineStr">
        <is>
          <t>Cameron Hojecki</t>
        </is>
      </c>
      <c r="B2005" s="9" t="inlineStr">
        <is>
          <t>1/25/26 - 2/21/26</t>
        </is>
      </c>
      <c r="C2005" s="12" t="n">
        <v>0.9875</v>
      </c>
      <c r="D2005" s="12" t="n">
        <v>1.1484</v>
      </c>
      <c r="E2005" s="12" t="n">
        <v>0.987179487179487</v>
      </c>
      <c r="F2005" s="12" t="n">
        <v>0.9399999999999999</v>
      </c>
      <c r="G2005" s="12" t="n">
        <v>0.692307692307692</v>
      </c>
      <c r="H2005" s="9" t="n">
        <v>6</v>
      </c>
      <c r="I2005" s="10" t="inlineStr">
        <is>
          <t>3/3</t>
        </is>
      </c>
      <c r="J2005" s="12" t="n">
        <v>1</v>
      </c>
      <c r="K2005" t="inlineStr">
        <is>
          <t>Advanced</t>
        </is>
      </c>
      <c r="L2005" t="inlineStr">
        <is>
          <t>Adjunct- BUC</t>
        </is>
      </c>
      <c r="M2005" t="inlineStr">
        <is>
          <t>Geoff St. Marie</t>
        </is>
      </c>
    </row>
    <row r="2006">
      <c r="A2006" s="9" t="inlineStr">
        <is>
          <t>Camryn To</t>
        </is>
      </c>
      <c r="B2006" s="9" t="inlineStr">
        <is>
          <t>1/25/26 - 2/21/26</t>
        </is>
      </c>
      <c r="C2006" s="12" t="n">
        <v>1.0208</v>
      </c>
      <c r="D2006" s="12" t="n">
        <v>1.0508</v>
      </c>
      <c r="E2006" s="12" t="n">
        <v>1</v>
      </c>
      <c r="F2006" s="12" t="n">
        <v>1</v>
      </c>
      <c r="G2006" s="12" t="n">
        <v>0.75</v>
      </c>
      <c r="H2006" s="9" t="n">
        <v>0</v>
      </c>
      <c r="I2006" s="9" t="inlineStr">
        <is>
          <t>1/1</t>
        </is>
      </c>
      <c r="J2006" s="12" t="n">
        <v>1</v>
      </c>
      <c r="K2006" t="inlineStr">
        <is>
          <t>Distinguished</t>
        </is>
      </c>
      <c r="L2006" t="inlineStr">
        <is>
          <t>Adjunct</t>
        </is>
      </c>
      <c r="M2006" t="inlineStr">
        <is>
          <t>Kristin Haase-Alvey</t>
        </is>
      </c>
    </row>
    <row r="2007">
      <c r="A2007" s="9" t="inlineStr">
        <is>
          <t>Cara Rabaev (McLaughlin)</t>
        </is>
      </c>
      <c r="B2007" s="9" t="inlineStr">
        <is>
          <t>1/25/26 - 2/21/26</t>
        </is>
      </c>
      <c r="C2007" s="12" t="n">
        <v>1.2625</v>
      </c>
      <c r="D2007" s="12" t="n">
        <v>1.0066</v>
      </c>
      <c r="E2007" s="12" t="n">
        <v>0.936170212765957</v>
      </c>
      <c r="F2007" s="12" t="n">
        <v>0.875</v>
      </c>
      <c r="G2007" s="12" t="n">
        <v>0.571428571428571</v>
      </c>
      <c r="H2007" s="9" t="n">
        <v>1</v>
      </c>
      <c r="I2007" s="10" t="inlineStr">
        <is>
          <t>1/3</t>
        </is>
      </c>
      <c r="J2007" s="12" t="n">
        <v>0.33</v>
      </c>
      <c r="K2007" t="inlineStr">
        <is>
          <t>Distinguished</t>
        </is>
      </c>
      <c r="L2007" t="inlineStr">
        <is>
          <t>Professional</t>
        </is>
      </c>
      <c r="M2007" t="inlineStr">
        <is>
          <t>Ian Plamondon</t>
        </is>
      </c>
    </row>
    <row r="2008">
      <c r="A2008" s="9" t="inlineStr">
        <is>
          <t>Carina Shanahan</t>
        </is>
      </c>
      <c r="B2008" s="9" t="inlineStr">
        <is>
          <t>1/25/26 - 2/21/26</t>
        </is>
      </c>
      <c r="C2008" s="12" t="n">
        <v>1.2042</v>
      </c>
      <c r="D2008" s="12" t="n">
        <v>1.0247</v>
      </c>
      <c r="E2008" s="12" t="n">
        <v>0.986206896551724</v>
      </c>
      <c r="F2008" s="12" t="n">
        <v>0.881188118811881</v>
      </c>
      <c r="G2008" s="12" t="n">
        <v>0.791666666666666</v>
      </c>
      <c r="H2008" s="9" t="n">
        <v>15</v>
      </c>
      <c r="I2008" s="10" t="inlineStr">
        <is>
          <t>1/2</t>
        </is>
      </c>
      <c r="J2008" s="12" t="n">
        <v>0.5</v>
      </c>
      <c r="K2008" t="inlineStr">
        <is>
          <t>Advanced</t>
        </is>
      </c>
      <c r="L2008" t="inlineStr">
        <is>
          <t>Professional</t>
        </is>
      </c>
      <c r="M2008" t="inlineStr">
        <is>
          <t>Kristin Haase-Alvey</t>
        </is>
      </c>
    </row>
    <row r="2009">
      <c r="A2009" s="9" t="inlineStr">
        <is>
          <t>Casey Young</t>
        </is>
      </c>
      <c r="B2009" s="9" t="inlineStr">
        <is>
          <t>1/25/26 - 2/21/26</t>
        </is>
      </c>
      <c r="C2009" s="12" t="n">
        <v>1.0429</v>
      </c>
      <c r="D2009" s="12" t="n">
        <v>1.0233</v>
      </c>
      <c r="E2009" s="12" t="n">
        <v>0.994680851063829</v>
      </c>
      <c r="F2009" s="12" t="n">
        <v>0.982142857142857</v>
      </c>
      <c r="G2009" s="12" t="n">
        <v>0.828571428571428</v>
      </c>
      <c r="H2009" s="9" t="n">
        <v>10</v>
      </c>
      <c r="I2009" s="10" t="inlineStr">
        <is>
          <t>0/0</t>
        </is>
      </c>
      <c r="J2009" s="12" t="n">
        <v>0</v>
      </c>
      <c r="K2009" t="inlineStr">
        <is>
          <t>Advanced</t>
        </is>
      </c>
      <c r="L2009" t="inlineStr">
        <is>
          <t>Professional</t>
        </is>
      </c>
      <c r="M2009" t="inlineStr">
        <is>
          <t>Ela Cross</t>
        </is>
      </c>
    </row>
    <row r="2010">
      <c r="A2010" s="9" t="inlineStr">
        <is>
          <t>Charlie Anderson</t>
        </is>
      </c>
      <c r="B2010" s="9" t="inlineStr">
        <is>
          <t>1/25/26 - 2/21/26</t>
        </is>
      </c>
      <c r="C2010" s="12" t="n">
        <v>1.3375</v>
      </c>
      <c r="D2010" s="12" t="n">
        <v>1.1678</v>
      </c>
      <c r="E2010" s="12" t="n">
        <v>1</v>
      </c>
      <c r="F2010" s="12" t="n">
        <v>0.982456140350877</v>
      </c>
      <c r="G2010" s="12" t="n">
        <v>0.583333333333333</v>
      </c>
      <c r="H2010" s="9" t="n">
        <v>15</v>
      </c>
      <c r="I2010" s="10" t="inlineStr">
        <is>
          <t>3/5</t>
        </is>
      </c>
      <c r="J2010" s="12" t="n">
        <v>0.6</v>
      </c>
      <c r="K2010" t="inlineStr">
        <is>
          <t>Advanced</t>
        </is>
      </c>
      <c r="L2010" t="inlineStr">
        <is>
          <t>Professional</t>
        </is>
      </c>
      <c r="M2010" t="inlineStr">
        <is>
          <t>Annelies de Groot</t>
        </is>
      </c>
    </row>
    <row r="2011">
      <c r="A2011" s="9" t="inlineStr">
        <is>
          <t>Chazlee Myers</t>
        </is>
      </c>
      <c r="B2011" s="9" t="inlineStr">
        <is>
          <t>1/25/26 - 2/21/26</t>
        </is>
      </c>
      <c r="C2011" s="12" t="n">
        <v>1.0417</v>
      </c>
      <c r="D2011" s="12" t="n">
        <v>1.0493</v>
      </c>
      <c r="E2011" s="12" t="n">
        <v>0.913043478260869</v>
      </c>
      <c r="F2011" s="12" t="n">
        <v>0.96</v>
      </c>
      <c r="G2011" s="12" t="n">
        <v>0.619047619047619</v>
      </c>
      <c r="H2011" s="9" t="n">
        <v>8</v>
      </c>
      <c r="I2011" s="10" t="inlineStr">
        <is>
          <t>0/6</t>
        </is>
      </c>
      <c r="J2011" s="12" t="n">
        <v>0</v>
      </c>
      <c r="K2011" t="inlineStr">
        <is>
          <t>Advanced</t>
        </is>
      </c>
      <c r="L2011" t="inlineStr">
        <is>
          <t>Professional</t>
        </is>
      </c>
      <c r="M2011" t="inlineStr">
        <is>
          <t>Ian Plamondon</t>
        </is>
      </c>
    </row>
    <row r="2012">
      <c r="A2012" s="9" t="inlineStr">
        <is>
          <t>Chelsea Kobea</t>
        </is>
      </c>
      <c r="B2012" s="9" t="inlineStr">
        <is>
          <t>1/25/26 - 2/21/26</t>
        </is>
      </c>
      <c r="C2012" s="12" t="n">
        <v>0</v>
      </c>
      <c r="D2012" s="12" t="n">
        <v>0.2171</v>
      </c>
      <c r="E2012" s="12" t="n">
        <v>0</v>
      </c>
      <c r="F2012" s="12" t="n">
        <v>0</v>
      </c>
      <c r="G2012" s="12" t="n">
        <v>0</v>
      </c>
      <c r="H2012" s="9" t="n">
        <v>0</v>
      </c>
      <c r="I2012" s="10" t="inlineStr">
        <is>
          <t>0/0</t>
        </is>
      </c>
      <c r="J2012" s="12" t="n">
        <v>0</v>
      </c>
      <c r="K2012" t="e">
        <v>#N/A</v>
      </c>
      <c r="L2012" t="e">
        <v>#N/A</v>
      </c>
      <c r="M2012" t="e">
        <v>#N/A</v>
      </c>
    </row>
    <row r="2013">
      <c r="A2013" s="9" t="inlineStr">
        <is>
          <t>Cheyanne Jones</t>
        </is>
      </c>
      <c r="B2013" s="9" t="inlineStr">
        <is>
          <t>1/25/26 - 2/21/26</t>
        </is>
      </c>
      <c r="C2013" s="12" t="n">
        <v>1.1875</v>
      </c>
      <c r="D2013" s="12" t="n">
        <v>1.1809</v>
      </c>
      <c r="E2013" s="12" t="n">
        <v>0.992857142857142</v>
      </c>
      <c r="F2013" s="12" t="n">
        <v>0.988888888888888</v>
      </c>
      <c r="G2013" s="12" t="n">
        <v>1</v>
      </c>
      <c r="H2013" s="9" t="n">
        <v>2</v>
      </c>
      <c r="I2013" s="10" t="inlineStr">
        <is>
          <t>5/5</t>
        </is>
      </c>
      <c r="J2013" s="12" t="n">
        <v>1</v>
      </c>
      <c r="K2013" t="inlineStr">
        <is>
          <t>Advanced</t>
        </is>
      </c>
      <c r="L2013" t="inlineStr">
        <is>
          <t>Professional</t>
        </is>
      </c>
      <c r="M2013" t="inlineStr">
        <is>
          <t>Kristin Haase-Alvey</t>
        </is>
      </c>
    </row>
    <row r="2014">
      <c r="A2014" s="9" t="inlineStr">
        <is>
          <t>Chris Prouty</t>
        </is>
      </c>
      <c r="B2014" s="9" t="inlineStr">
        <is>
          <t>1/25/26 - 2/21/26</t>
        </is>
      </c>
      <c r="C2014" s="12" t="n">
        <v>0.6688</v>
      </c>
      <c r="D2014" s="12" t="n">
        <v>1.0651</v>
      </c>
      <c r="E2014" s="12" t="n">
        <v>0.9807692307692299</v>
      </c>
      <c r="F2014" s="12" t="n">
        <v>1</v>
      </c>
      <c r="G2014" s="12" t="n">
        <v>1</v>
      </c>
      <c r="H2014" s="9" t="n">
        <v>0</v>
      </c>
      <c r="I2014" s="9" t="inlineStr">
        <is>
          <t>3/3</t>
        </is>
      </c>
      <c r="J2014" s="12" t="n">
        <v>1</v>
      </c>
      <c r="K2014" t="inlineStr">
        <is>
          <t>Premium</t>
        </is>
      </c>
      <c r="L2014" t="inlineStr">
        <is>
          <t>Adjunct</t>
        </is>
      </c>
      <c r="M2014" t="inlineStr">
        <is>
          <t>Annelies de Groot</t>
        </is>
      </c>
    </row>
    <row r="2015">
      <c r="A2015" s="9" t="inlineStr">
        <is>
          <t>Chris Yoon</t>
        </is>
      </c>
      <c r="B2015" s="9" t="inlineStr">
        <is>
          <t>1/25/26 - 2/21/26</t>
        </is>
      </c>
      <c r="C2015" s="12" t="n">
        <v>0</v>
      </c>
      <c r="D2015" s="12" t="n">
        <v>0.5263</v>
      </c>
      <c r="E2015" s="12" t="n">
        <v>0</v>
      </c>
      <c r="F2015" s="12" t="n">
        <v>0</v>
      </c>
      <c r="G2015" s="12" t="n">
        <v>0</v>
      </c>
      <c r="H2015" s="9" t="n">
        <v>0</v>
      </c>
      <c r="I2015" s="9" t="inlineStr">
        <is>
          <t>0/0</t>
        </is>
      </c>
      <c r="J2015" s="12" t="n">
        <v>0</v>
      </c>
      <c r="K2015" t="e">
        <v>#N/A</v>
      </c>
      <c r="L2015" t="e">
        <v>#N/A</v>
      </c>
      <c r="M2015" t="e">
        <v>#N/A</v>
      </c>
    </row>
    <row r="2016">
      <c r="A2016" s="9" t="inlineStr">
        <is>
          <t>Christelle Rocha</t>
        </is>
      </c>
      <c r="B2016" s="9" t="inlineStr">
        <is>
          <t>1/25/26 - 2/21/26</t>
        </is>
      </c>
      <c r="C2016" s="12" t="n">
        <v>0.9</v>
      </c>
      <c r="D2016" s="12" t="n">
        <v>1.2035</v>
      </c>
      <c r="E2016" s="12" t="n">
        <v>1</v>
      </c>
      <c r="F2016" s="12" t="n">
        <v>0.989130434782608</v>
      </c>
      <c r="G2016" s="12" t="n">
        <v>0.529411764705882</v>
      </c>
      <c r="H2016" s="9" t="n">
        <v>1</v>
      </c>
      <c r="I2016" s="10" t="inlineStr">
        <is>
          <t>6/7</t>
        </is>
      </c>
      <c r="J2016" s="12" t="n">
        <v>0.86</v>
      </c>
      <c r="K2016" t="inlineStr">
        <is>
          <t>Advanced</t>
        </is>
      </c>
      <c r="L2016" t="inlineStr">
        <is>
          <t>Professional</t>
        </is>
      </c>
      <c r="M2016" t="inlineStr">
        <is>
          <t>Annelies de Groot</t>
        </is>
      </c>
    </row>
    <row r="2017">
      <c r="A2017" s="9" t="inlineStr">
        <is>
          <t>Christian Collins</t>
        </is>
      </c>
      <c r="B2017" s="9" t="inlineStr">
        <is>
          <t>1/25/26 - 2/21/26</t>
        </is>
      </c>
      <c r="C2017" s="12" t="n">
        <v>1.1417</v>
      </c>
      <c r="D2017" s="12" t="n">
        <v>1.30759999999999</v>
      </c>
      <c r="E2017" s="12" t="n">
        <v>1</v>
      </c>
      <c r="F2017" s="12" t="n">
        <v>1</v>
      </c>
      <c r="G2017" s="12" t="n">
        <v>0.9</v>
      </c>
      <c r="H2017" s="9" t="n">
        <v>3</v>
      </c>
      <c r="I2017" s="10" t="inlineStr">
        <is>
          <t>0/0</t>
        </is>
      </c>
      <c r="J2017" s="12" t="n">
        <v>0</v>
      </c>
      <c r="K2017" t="inlineStr">
        <is>
          <t>Premium</t>
        </is>
      </c>
      <c r="L2017" t="inlineStr">
        <is>
          <t>Professional</t>
        </is>
      </c>
      <c r="M2017" t="inlineStr">
        <is>
          <t>Ian Plamondon</t>
        </is>
      </c>
    </row>
    <row r="2018">
      <c r="A2018" s="9" t="inlineStr">
        <is>
          <t>Christian Steiner</t>
        </is>
      </c>
      <c r="B2018" s="9" t="inlineStr">
        <is>
          <t>1/25/26 - 2/21/26</t>
        </is>
      </c>
      <c r="C2018" s="12" t="n">
        <v>1.1292</v>
      </c>
      <c r="D2018" s="12" t="n">
        <v>1.1053</v>
      </c>
      <c r="E2018" s="12" t="n">
        <v>0.963235294117647</v>
      </c>
      <c r="F2018" s="12" t="n">
        <v>0.979166666666666</v>
      </c>
      <c r="G2018" s="12" t="n">
        <v>0.806451612903225</v>
      </c>
      <c r="H2018" s="9" t="n">
        <v>12</v>
      </c>
      <c r="I2018" s="10" t="inlineStr">
        <is>
          <t>0/0</t>
        </is>
      </c>
      <c r="J2018" s="12" t="n">
        <v>0</v>
      </c>
      <c r="K2018" t="inlineStr">
        <is>
          <t>Advanced</t>
        </is>
      </c>
      <c r="L2018" t="inlineStr">
        <is>
          <t>Professional</t>
        </is>
      </c>
      <c r="M2018" t="inlineStr">
        <is>
          <t>Kristin Haase-Alvey</t>
        </is>
      </c>
    </row>
    <row r="2019">
      <c r="A2019" s="9" t="inlineStr">
        <is>
          <t>Christine Santos</t>
        </is>
      </c>
      <c r="B2019" s="9" t="inlineStr">
        <is>
          <t>1/25/26 - 2/21/26</t>
        </is>
      </c>
      <c r="C2019" s="12" t="n">
        <v>1.42709999999999</v>
      </c>
      <c r="D2019" s="12" t="n">
        <v>1.3984</v>
      </c>
      <c r="E2019" s="12" t="n">
        <v>0.934426229508196</v>
      </c>
      <c r="F2019" s="12" t="n">
        <v>0.9090909090909089</v>
      </c>
      <c r="G2019" s="12" t="n">
        <v>0.571428571428571</v>
      </c>
      <c r="H2019" s="9" t="n">
        <v>2</v>
      </c>
      <c r="I2019" s="10" t="inlineStr">
        <is>
          <t>1/1</t>
        </is>
      </c>
      <c r="J2019" s="12" t="n">
        <v>1</v>
      </c>
      <c r="K2019" t="inlineStr">
        <is>
          <t>Premium</t>
        </is>
      </c>
      <c r="L2019" t="inlineStr">
        <is>
          <t>Adjunct</t>
        </is>
      </c>
      <c r="M2019" t="inlineStr">
        <is>
          <t>Ela Cross</t>
        </is>
      </c>
    </row>
    <row r="2020">
      <c r="A2020" s="9" t="inlineStr">
        <is>
          <t>Clark Howard</t>
        </is>
      </c>
      <c r="B2020" s="9" t="inlineStr">
        <is>
          <t>1/25/26 - 2/21/26</t>
        </is>
      </c>
      <c r="C2020" s="12" t="n">
        <v>0.9917</v>
      </c>
      <c r="D2020" s="12" t="n">
        <v>1.03949999999999</v>
      </c>
      <c r="E2020" s="12" t="n">
        <v>0.961538461538461</v>
      </c>
      <c r="F2020" s="12" t="n">
        <v>0.92156862745098</v>
      </c>
      <c r="G2020" s="12" t="n">
        <v>0.826086956521739</v>
      </c>
      <c r="H2020" s="9" t="n">
        <v>10</v>
      </c>
      <c r="I2020" s="10" t="inlineStr">
        <is>
          <t>7/9</t>
        </is>
      </c>
      <c r="J2020" s="12" t="n">
        <v>0.78</v>
      </c>
      <c r="K2020" t="inlineStr">
        <is>
          <t>Advanced</t>
        </is>
      </c>
      <c r="L2020" t="inlineStr">
        <is>
          <t>Professional</t>
        </is>
      </c>
      <c r="M2020" t="inlineStr">
        <is>
          <t>Ela Cross</t>
        </is>
      </c>
    </row>
    <row r="2021">
      <c r="A2021" s="9" t="inlineStr">
        <is>
          <t>Colin Cody</t>
        </is>
      </c>
      <c r="B2021" s="9" t="inlineStr">
        <is>
          <t>1/25/26 - 2/21/26</t>
        </is>
      </c>
      <c r="C2021" s="12" t="n">
        <v>1.0792</v>
      </c>
      <c r="D2021" s="12" t="n">
        <v>1.0773</v>
      </c>
      <c r="E2021" s="12" t="n">
        <v>0.948275862068965</v>
      </c>
      <c r="F2021" s="12" t="n">
        <v>1</v>
      </c>
      <c r="G2021" s="12" t="n">
        <v>0.964285714285714</v>
      </c>
      <c r="H2021" s="9" t="n">
        <v>7</v>
      </c>
      <c r="I2021" s="10" t="inlineStr">
        <is>
          <t>2/8</t>
        </is>
      </c>
      <c r="J2021" s="12" t="n">
        <v>0.25</v>
      </c>
      <c r="K2021" t="inlineStr">
        <is>
          <t>Advanced</t>
        </is>
      </c>
      <c r="L2021" t="inlineStr">
        <is>
          <t>Professional</t>
        </is>
      </c>
      <c r="M2021" t="inlineStr">
        <is>
          <t>Ela Cross</t>
        </is>
      </c>
    </row>
    <row r="2022">
      <c r="A2022" s="9" t="inlineStr">
        <is>
          <t>Cristina Ascenzi Pettenuzzo</t>
        </is>
      </c>
      <c r="B2022" s="9" t="inlineStr">
        <is>
          <t>1/25/26 - 2/21/26</t>
        </is>
      </c>
      <c r="C2022" s="12" t="n">
        <v>1.1083</v>
      </c>
      <c r="D2022" s="12" t="n">
        <v>1.0082</v>
      </c>
      <c r="E2022" s="12" t="n">
        <v>0.992537313432835</v>
      </c>
      <c r="F2022" s="12" t="n">
        <v>0.9905660377358489</v>
      </c>
      <c r="G2022" s="12" t="n">
        <v>0.956521739130434</v>
      </c>
      <c r="H2022" s="9" t="n">
        <v>18</v>
      </c>
      <c r="I2022" s="10" t="inlineStr">
        <is>
          <t>5/6</t>
        </is>
      </c>
      <c r="J2022" s="12" t="n">
        <v>0.83</v>
      </c>
      <c r="K2022" t="inlineStr">
        <is>
          <t>Advanced</t>
        </is>
      </c>
      <c r="L2022" t="inlineStr">
        <is>
          <t>Professional</t>
        </is>
      </c>
      <c r="M2022" t="inlineStr">
        <is>
          <t>Ian Plamondon</t>
        </is>
      </c>
    </row>
    <row r="2023">
      <c r="A2023" s="9" t="inlineStr">
        <is>
          <t>Daniel Esquivel-Reynoso</t>
        </is>
      </c>
      <c r="B2023" s="9" t="inlineStr">
        <is>
          <t>1/25/26 - 2/21/26</t>
        </is>
      </c>
      <c r="C2023" s="12" t="n">
        <v>0.856299999999999</v>
      </c>
      <c r="D2023" s="12" t="n">
        <v>1.1224</v>
      </c>
      <c r="E2023" s="12" t="n">
        <v>1</v>
      </c>
      <c r="F2023" s="12" t="n">
        <v>1</v>
      </c>
      <c r="G2023" s="12" t="n">
        <v>0.8</v>
      </c>
      <c r="H2023" s="9" t="n">
        <v>7</v>
      </c>
      <c r="I2023" s="9" t="inlineStr">
        <is>
          <t>0/0</t>
        </is>
      </c>
      <c r="J2023" s="12" t="n">
        <v>0</v>
      </c>
      <c r="K2023" t="inlineStr">
        <is>
          <t>Advanced</t>
        </is>
      </c>
      <c r="L2023" t="inlineStr">
        <is>
          <t>Adjunct</t>
        </is>
      </c>
      <c r="M2023" t="inlineStr">
        <is>
          <t>Annelies de Groot</t>
        </is>
      </c>
    </row>
    <row r="2024">
      <c r="A2024" s="9" t="inlineStr">
        <is>
          <t>Daniel Olson</t>
        </is>
      </c>
      <c r="B2024" s="9" t="inlineStr">
        <is>
          <t>1/25/26 - 2/21/26</t>
        </is>
      </c>
      <c r="C2024" s="12" t="n">
        <v>1.1042</v>
      </c>
      <c r="D2024" s="12" t="n">
        <v>1.0773</v>
      </c>
      <c r="E2024" s="12" t="n">
        <v>0.992248062015503</v>
      </c>
      <c r="F2024" s="12" t="n">
        <v>0.967032967032967</v>
      </c>
      <c r="G2024" s="12" t="n">
        <v>0.571428571428571</v>
      </c>
      <c r="H2024" s="9" t="n">
        <v>9</v>
      </c>
      <c r="I2024" s="10" t="inlineStr">
        <is>
          <t>1/12</t>
        </is>
      </c>
      <c r="J2024" s="12" t="n">
        <v>0.08</v>
      </c>
      <c r="K2024" t="inlineStr">
        <is>
          <t>Advanced</t>
        </is>
      </c>
      <c r="L2024" t="inlineStr">
        <is>
          <t>Professional</t>
        </is>
      </c>
      <c r="M2024" t="inlineStr">
        <is>
          <t>Annelies de Groot</t>
        </is>
      </c>
    </row>
    <row r="2025">
      <c r="A2025" s="9" t="inlineStr">
        <is>
          <t>Daniel Severance</t>
        </is>
      </c>
      <c r="B2025" s="9" t="inlineStr">
        <is>
          <t>1/25/26 - 2/21/26</t>
        </is>
      </c>
      <c r="C2025" s="12" t="n">
        <v>0.864299999999999</v>
      </c>
      <c r="D2025" s="12" t="n">
        <v>1.1672</v>
      </c>
      <c r="E2025" s="12" t="n">
        <v>0.954128440366972</v>
      </c>
      <c r="F2025" s="12" t="n">
        <v>0.968253968253968</v>
      </c>
      <c r="G2025" s="12" t="n">
        <v>0.625</v>
      </c>
      <c r="H2025" s="9" t="n">
        <v>6</v>
      </c>
      <c r="I2025" s="9" t="inlineStr">
        <is>
          <t>1/2</t>
        </is>
      </c>
      <c r="J2025" s="12" t="n">
        <v>0.5</v>
      </c>
      <c r="K2025" t="inlineStr">
        <is>
          <t>Premium</t>
        </is>
      </c>
      <c r="L2025" t="inlineStr">
        <is>
          <t>Professional</t>
        </is>
      </c>
      <c r="M2025" t="inlineStr">
        <is>
          <t>Annelies de Groot</t>
        </is>
      </c>
    </row>
    <row r="2026">
      <c r="A2026" s="9" t="inlineStr">
        <is>
          <t>David Alcantara</t>
        </is>
      </c>
      <c r="B2026" s="9" t="inlineStr">
        <is>
          <t>1/25/26 - 2/21/26</t>
        </is>
      </c>
      <c r="C2026" s="12" t="n">
        <v>0.8708</v>
      </c>
      <c r="D2026" s="12" t="n">
        <v>1.0641</v>
      </c>
      <c r="E2026" s="12" t="n">
        <v>1</v>
      </c>
      <c r="F2026" s="12" t="n">
        <v>0.926470588235294</v>
      </c>
      <c r="G2026" s="12" t="n">
        <v>0.466666666666666</v>
      </c>
      <c r="H2026" s="9" t="n">
        <v>0</v>
      </c>
      <c r="I2026" s="10" t="inlineStr">
        <is>
          <t>5/6</t>
        </is>
      </c>
      <c r="J2026" s="12" t="n">
        <v>0.83</v>
      </c>
      <c r="K2026" t="inlineStr">
        <is>
          <t>Distinguished</t>
        </is>
      </c>
      <c r="L2026" t="inlineStr">
        <is>
          <t>Professional</t>
        </is>
      </c>
      <c r="M2026" t="inlineStr">
        <is>
          <t>Ela Cross</t>
        </is>
      </c>
    </row>
    <row r="2027">
      <c r="A2027" s="9" t="inlineStr">
        <is>
          <t>David Keder</t>
        </is>
      </c>
      <c r="B2027" s="9" t="inlineStr">
        <is>
          <t>1/25/26 - 2/21/26</t>
        </is>
      </c>
      <c r="C2027" s="12" t="n">
        <v>1.3542</v>
      </c>
      <c r="D2027" s="12" t="n">
        <v>1.21879999999999</v>
      </c>
      <c r="E2027" s="12" t="n">
        <v>0.857142857142857</v>
      </c>
      <c r="F2027" s="12" t="n">
        <v>0.914893617021276</v>
      </c>
      <c r="G2027" s="12" t="n">
        <v>0.833333333333333</v>
      </c>
      <c r="H2027" s="9" t="n">
        <v>5</v>
      </c>
      <c r="I2027" s="9" t="inlineStr">
        <is>
          <t>0/0</t>
        </is>
      </c>
      <c r="J2027" s="12" t="n">
        <v>0</v>
      </c>
      <c r="K2027" t="inlineStr">
        <is>
          <t>Advanced</t>
        </is>
      </c>
      <c r="L2027" t="inlineStr">
        <is>
          <t>Adjunct</t>
        </is>
      </c>
      <c r="M2027" t="inlineStr">
        <is>
          <t>Kristin Haase-Alvey</t>
        </is>
      </c>
    </row>
    <row r="2028">
      <c r="A2028" s="9" t="inlineStr">
        <is>
          <t>Dehavion Knight</t>
        </is>
      </c>
      <c r="B2028" s="9" t="inlineStr">
        <is>
          <t>1/25/26 - 2/21/26</t>
        </is>
      </c>
      <c r="C2028" s="12" t="n">
        <v>1.1875</v>
      </c>
      <c r="D2028" s="12" t="n">
        <v>1.18359999999999</v>
      </c>
      <c r="E2028" s="12" t="n">
        <v>0.9833333333333329</v>
      </c>
      <c r="F2028" s="12" t="n">
        <v>0.6857142857142851</v>
      </c>
      <c r="G2028" s="12" t="n">
        <v>0</v>
      </c>
      <c r="H2028" s="9" t="n">
        <v>8</v>
      </c>
      <c r="I2028" s="10" t="inlineStr">
        <is>
          <t>0/1</t>
        </is>
      </c>
      <c r="J2028" s="12" t="n">
        <v>0</v>
      </c>
      <c r="K2028" t="inlineStr">
        <is>
          <t>Advanced</t>
        </is>
      </c>
      <c r="L2028" t="inlineStr">
        <is>
          <t>Adjunct</t>
        </is>
      </c>
      <c r="M2028" t="inlineStr">
        <is>
          <t>Ela Cross</t>
        </is>
      </c>
    </row>
    <row r="2029">
      <c r="A2029" s="9" t="inlineStr">
        <is>
          <t>Delphine Hintz</t>
        </is>
      </c>
      <c r="B2029" s="9" t="inlineStr">
        <is>
          <t>1/25/26 - 2/21/26</t>
        </is>
      </c>
      <c r="C2029" s="12" t="n">
        <v>1.2917</v>
      </c>
      <c r="D2029" s="12" t="n">
        <v>1.37109999999999</v>
      </c>
      <c r="E2029" s="12" t="n">
        <v>1</v>
      </c>
      <c r="F2029" s="12" t="n">
        <v>1</v>
      </c>
      <c r="G2029" s="12" t="n">
        <v>0.9</v>
      </c>
      <c r="H2029" s="9" t="n">
        <v>6</v>
      </c>
      <c r="I2029" s="10" t="inlineStr">
        <is>
          <t>3/3</t>
        </is>
      </c>
      <c r="J2029" s="12" t="n">
        <v>1</v>
      </c>
      <c r="K2029" t="inlineStr">
        <is>
          <t>Advanced</t>
        </is>
      </c>
      <c r="L2029" t="inlineStr">
        <is>
          <t>Adjunct- BUC</t>
        </is>
      </c>
      <c r="M2029" t="inlineStr">
        <is>
          <t>Geoff St. Marie</t>
        </is>
      </c>
    </row>
    <row r="2030">
      <c r="A2030" s="9" t="inlineStr">
        <is>
          <t>Derek Fox</t>
        </is>
      </c>
      <c r="B2030" s="9" t="inlineStr">
        <is>
          <t>1/25/26 - 2/21/26</t>
        </is>
      </c>
      <c r="C2030" s="12" t="n">
        <v>1.1354</v>
      </c>
      <c r="D2030" s="12" t="n">
        <v>0.9648</v>
      </c>
      <c r="E2030" s="12" t="n">
        <v>1</v>
      </c>
      <c r="F2030" s="12" t="n">
        <v>0.785714285714285</v>
      </c>
      <c r="G2030" s="12" t="n">
        <v>0.2</v>
      </c>
      <c r="H2030" s="9" t="n">
        <v>5</v>
      </c>
      <c r="I2030" s="10" t="inlineStr">
        <is>
          <t>0/0</t>
        </is>
      </c>
      <c r="J2030" s="12" t="n">
        <v>0</v>
      </c>
      <c r="K2030" t="inlineStr">
        <is>
          <t>Advanced</t>
        </is>
      </c>
      <c r="L2030" t="inlineStr">
        <is>
          <t>Adjunct- BUC</t>
        </is>
      </c>
      <c r="M2030" t="inlineStr">
        <is>
          <t>Geoff St. Marie</t>
        </is>
      </c>
    </row>
    <row r="2031">
      <c r="A2031" s="9" t="inlineStr">
        <is>
          <t>Derrick Holland</t>
        </is>
      </c>
      <c r="B2031" s="9" t="inlineStr">
        <is>
          <t>1/25/26 - 2/21/26</t>
        </is>
      </c>
      <c r="C2031" s="12" t="n">
        <v>0.1048</v>
      </c>
      <c r="D2031" s="12" t="n">
        <v>0.624</v>
      </c>
      <c r="E2031" s="12" t="n">
        <v>1</v>
      </c>
      <c r="F2031" s="12" t="n">
        <v>1</v>
      </c>
      <c r="G2031" s="12" t="n">
        <v>0</v>
      </c>
      <c r="H2031" s="9" t="n">
        <v>0</v>
      </c>
      <c r="I2031" s="10" t="inlineStr">
        <is>
          <t>4/4</t>
        </is>
      </c>
      <c r="J2031" s="12" t="n">
        <v>1</v>
      </c>
      <c r="K2031" t="e">
        <v>#N/A</v>
      </c>
      <c r="L2031" t="e">
        <v>#N/A</v>
      </c>
      <c r="M2031" t="e">
        <v>#N/A</v>
      </c>
    </row>
    <row r="2032">
      <c r="A2032" s="9" t="inlineStr">
        <is>
          <t>Diamond Anderson</t>
        </is>
      </c>
      <c r="B2032" s="9" t="inlineStr">
        <is>
          <t>1/25/26 - 2/21/26</t>
        </is>
      </c>
      <c r="C2032" s="12" t="n">
        <v>1.2083</v>
      </c>
      <c r="D2032" s="12" t="n">
        <v>1.1719</v>
      </c>
      <c r="E2032" s="12" t="n">
        <v>0.97560975609756</v>
      </c>
      <c r="F2032" s="12" t="n">
        <v>0.959183673469387</v>
      </c>
      <c r="G2032" s="12" t="n">
        <v>0.727272727272727</v>
      </c>
      <c r="H2032" s="9" t="n">
        <v>7</v>
      </c>
      <c r="I2032" s="10" t="inlineStr">
        <is>
          <t>1/3</t>
        </is>
      </c>
      <c r="J2032" s="12" t="n">
        <v>0.33</v>
      </c>
      <c r="K2032" t="inlineStr">
        <is>
          <t>Advanced</t>
        </is>
      </c>
      <c r="L2032" t="inlineStr">
        <is>
          <t>Adjunct</t>
        </is>
      </c>
      <c r="M2032" t="inlineStr">
        <is>
          <t>Kristin Haase-Alvey</t>
        </is>
      </c>
    </row>
    <row r="2033">
      <c r="A2033" s="9" t="inlineStr">
        <is>
          <t>Diana Hoyer</t>
        </is>
      </c>
      <c r="B2033" s="9" t="inlineStr">
        <is>
          <t>1/25/26 - 2/21/26</t>
        </is>
      </c>
      <c r="C2033" s="12" t="n">
        <v>0.8</v>
      </c>
      <c r="D2033" s="12" t="n">
        <v>1.2078</v>
      </c>
      <c r="E2033" s="12" t="n">
        <v>0.9898989898989889</v>
      </c>
      <c r="F2033" s="12" t="n">
        <v>1</v>
      </c>
      <c r="G2033" s="12" t="n">
        <v>0.88235294117647</v>
      </c>
      <c r="H2033" s="9" t="n">
        <v>1</v>
      </c>
      <c r="I2033" s="10" t="inlineStr">
        <is>
          <t>7/8</t>
        </is>
      </c>
      <c r="J2033" s="12" t="n">
        <v>0.88</v>
      </c>
      <c r="K2033" t="inlineStr">
        <is>
          <t>Distinguished</t>
        </is>
      </c>
      <c r="L2033" t="inlineStr">
        <is>
          <t>Professional</t>
        </is>
      </c>
      <c r="M2033" t="inlineStr">
        <is>
          <t>Ian Plamondon</t>
        </is>
      </c>
    </row>
    <row r="2034">
      <c r="A2034" s="9" t="inlineStr">
        <is>
          <t>Dorothy McDaniel</t>
        </is>
      </c>
      <c r="B2034" s="9" t="inlineStr">
        <is>
          <t>1/25/26 - 2/21/26</t>
        </is>
      </c>
      <c r="C2034" s="12" t="n">
        <v>0.35</v>
      </c>
      <c r="D2034" s="12" t="n">
        <v>1.1917</v>
      </c>
      <c r="E2034" s="12" t="n">
        <v>1</v>
      </c>
      <c r="F2034" s="12" t="n">
        <v>1</v>
      </c>
      <c r="G2034" s="12" t="n">
        <v>0.5</v>
      </c>
      <c r="H2034" s="9" t="n">
        <v>0</v>
      </c>
      <c r="I2034" s="9" t="inlineStr">
        <is>
          <t>1/3</t>
        </is>
      </c>
      <c r="J2034" s="12" t="n">
        <v>0.33</v>
      </c>
      <c r="K2034" t="inlineStr">
        <is>
          <t>Premium</t>
        </is>
      </c>
      <c r="L2034" t="inlineStr">
        <is>
          <t>Professional</t>
        </is>
      </c>
      <c r="M2034" t="inlineStr">
        <is>
          <t>Ian Plamondon</t>
        </is>
      </c>
    </row>
    <row r="2035">
      <c r="A2035" s="9" t="inlineStr">
        <is>
          <t>Eddie Cayia</t>
        </is>
      </c>
      <c r="B2035" s="9" t="inlineStr">
        <is>
          <t>1/25/26 - 2/21/26</t>
        </is>
      </c>
      <c r="C2035" s="12" t="n">
        <v>0.975</v>
      </c>
      <c r="D2035" s="12" t="n">
        <v>0.9506</v>
      </c>
      <c r="E2035" s="12" t="n">
        <v>0.936619718309859</v>
      </c>
      <c r="F2035" s="12" t="n">
        <v>0.933962264150943</v>
      </c>
      <c r="G2035" s="12" t="n">
        <v>0.5909090909090901</v>
      </c>
      <c r="H2035" s="9" t="n">
        <v>16</v>
      </c>
      <c r="I2035" s="10" t="inlineStr">
        <is>
          <t>6/10</t>
        </is>
      </c>
      <c r="J2035" s="12" t="n">
        <v>0.6</v>
      </c>
      <c r="K2035" t="inlineStr">
        <is>
          <t>Advanced</t>
        </is>
      </c>
      <c r="L2035" t="inlineStr">
        <is>
          <t>Professional</t>
        </is>
      </c>
      <c r="M2035" t="inlineStr">
        <is>
          <t>Annelies de Groot</t>
        </is>
      </c>
    </row>
    <row r="2036">
      <c r="A2036" s="9" t="inlineStr">
        <is>
          <t>Eddie Rodriguez</t>
        </is>
      </c>
      <c r="B2036" s="9" t="inlineStr">
        <is>
          <t>1/25/26 - 2/21/26</t>
        </is>
      </c>
      <c r="C2036" s="12" t="n">
        <v>0.9583</v>
      </c>
      <c r="D2036" s="12" t="n">
        <v>0.981899999999999</v>
      </c>
      <c r="E2036" s="12" t="n">
        <v>1</v>
      </c>
      <c r="F2036" s="12" t="n">
        <v>0.987654320987654</v>
      </c>
      <c r="G2036" s="12" t="n">
        <v>0.727272727272727</v>
      </c>
      <c r="H2036" s="9" t="n">
        <v>1</v>
      </c>
      <c r="I2036" s="9" t="inlineStr">
        <is>
          <t>3/3</t>
        </is>
      </c>
      <c r="J2036" s="12" t="n">
        <v>1</v>
      </c>
      <c r="K2036" t="inlineStr">
        <is>
          <t>Distinguished</t>
        </is>
      </c>
      <c r="L2036" t="inlineStr">
        <is>
          <t>Professional</t>
        </is>
      </c>
      <c r="M2036" t="inlineStr">
        <is>
          <t>Ian Plamondon</t>
        </is>
      </c>
    </row>
    <row r="2037">
      <c r="A2037" s="9" t="inlineStr">
        <is>
          <t>Eden Rasmussen</t>
        </is>
      </c>
      <c r="B2037" s="9" t="inlineStr">
        <is>
          <t>1/25/26 - 2/21/26</t>
        </is>
      </c>
      <c r="C2037" s="12" t="n">
        <v>0.9958</v>
      </c>
      <c r="D2037" s="12" t="n">
        <v>1.0148</v>
      </c>
      <c r="E2037" s="12" t="n">
        <v>0.904761904761904</v>
      </c>
      <c r="F2037" s="12" t="n">
        <v>0.923076923076923</v>
      </c>
      <c r="G2037" s="12" t="n">
        <v>0.0526315789473684</v>
      </c>
      <c r="H2037" s="9" t="n">
        <v>4</v>
      </c>
      <c r="I2037" s="10" t="inlineStr">
        <is>
          <t>0/2</t>
        </is>
      </c>
      <c r="J2037" s="12" t="n">
        <v>0</v>
      </c>
      <c r="K2037" t="inlineStr">
        <is>
          <t>Advanced</t>
        </is>
      </c>
      <c r="L2037" t="inlineStr">
        <is>
          <t>Professional</t>
        </is>
      </c>
      <c r="M2037" t="inlineStr">
        <is>
          <t>Ian Plamondon</t>
        </is>
      </c>
    </row>
    <row r="2038">
      <c r="A2038" s="9" t="inlineStr">
        <is>
          <t>Edwin West</t>
        </is>
      </c>
      <c r="B2038" s="9" t="inlineStr">
        <is>
          <t>1/25/26 - 2/21/26</t>
        </is>
      </c>
      <c r="C2038" s="12" t="n">
        <v>1.0833</v>
      </c>
      <c r="D2038" s="12" t="n">
        <v>1.0703</v>
      </c>
      <c r="E2038" s="12" t="n">
        <v>1</v>
      </c>
      <c r="F2038" s="12" t="n">
        <v>0.869565217391304</v>
      </c>
      <c r="G2038" s="12" t="n">
        <v>1</v>
      </c>
      <c r="H2038" s="9" t="n">
        <v>5</v>
      </c>
      <c r="I2038" s="10" t="inlineStr">
        <is>
          <t>0/0</t>
        </is>
      </c>
      <c r="J2038" s="12" t="n">
        <v>0</v>
      </c>
      <c r="K2038" t="inlineStr">
        <is>
          <t>Advanced</t>
        </is>
      </c>
      <c r="L2038" t="inlineStr">
        <is>
          <t>Adjunct</t>
        </is>
      </c>
      <c r="M2038" t="inlineStr">
        <is>
          <t>Ela Cross</t>
        </is>
      </c>
    </row>
    <row r="2039">
      <c r="A2039" s="9" t="inlineStr">
        <is>
          <t>Elain Ng</t>
        </is>
      </c>
      <c r="B2039" s="9" t="inlineStr">
        <is>
          <t>1/25/26 - 2/21/26</t>
        </is>
      </c>
      <c r="C2039" s="12" t="n">
        <v>1.11999999999999</v>
      </c>
      <c r="D2039" s="12" t="n">
        <v>1.388</v>
      </c>
      <c r="E2039" s="12" t="n">
        <v>1</v>
      </c>
      <c r="F2039" s="12" t="n">
        <v>1</v>
      </c>
      <c r="G2039" s="12" t="n">
        <v>0.578947368421052</v>
      </c>
      <c r="H2039" s="9" t="n">
        <v>2</v>
      </c>
      <c r="I2039" s="10" t="inlineStr">
        <is>
          <t>0/0</t>
        </is>
      </c>
      <c r="J2039" s="12" t="n">
        <v>0</v>
      </c>
      <c r="K2039" t="inlineStr">
        <is>
          <t>Distinguished</t>
        </is>
      </c>
      <c r="L2039" t="inlineStr">
        <is>
          <t>Adjunct</t>
        </is>
      </c>
      <c r="M2039" t="inlineStr">
        <is>
          <t>Ela Cross</t>
        </is>
      </c>
    </row>
    <row r="2040">
      <c r="A2040" s="9" t="inlineStr">
        <is>
          <t>Elijah Ramirez</t>
        </is>
      </c>
      <c r="B2040" s="9" t="inlineStr">
        <is>
          <t>1/25/26 - 2/21/26</t>
        </is>
      </c>
      <c r="C2040" s="12" t="n">
        <v>0.7917</v>
      </c>
      <c r="D2040" s="12" t="n">
        <v>1.0724</v>
      </c>
      <c r="E2040" s="12" t="n">
        <v>0.975308641975308</v>
      </c>
      <c r="F2040" s="12" t="n">
        <v>0.8545454545454541</v>
      </c>
      <c r="G2040" s="12" t="n">
        <v>1</v>
      </c>
      <c r="H2040" s="9" t="n">
        <v>0</v>
      </c>
      <c r="I2040" s="10" t="inlineStr">
        <is>
          <t>0/0</t>
        </is>
      </c>
      <c r="J2040" s="12" t="n">
        <v>0</v>
      </c>
      <c r="K2040" t="inlineStr">
        <is>
          <t>Premium</t>
        </is>
      </c>
      <c r="L2040" t="inlineStr">
        <is>
          <t>Professional</t>
        </is>
      </c>
      <c r="M2040" t="inlineStr">
        <is>
          <t>Ian Plamondon</t>
        </is>
      </c>
    </row>
    <row r="2041">
      <c r="A2041" s="9" t="inlineStr">
        <is>
          <t>Elizabeth Simons</t>
        </is>
      </c>
      <c r="B2041" s="9" t="inlineStr">
        <is>
          <t>1/25/26 - 2/21/26</t>
        </is>
      </c>
      <c r="C2041" s="12" t="n">
        <v>1.11459999999999</v>
      </c>
      <c r="D2041" s="12" t="n">
        <v>1.0078</v>
      </c>
      <c r="E2041" s="12" t="n">
        <v>0.96078431372549</v>
      </c>
      <c r="F2041" s="12" t="n">
        <v>0.975</v>
      </c>
      <c r="G2041" s="12" t="n">
        <v>0.538461538461538</v>
      </c>
      <c r="H2041" s="9" t="n">
        <v>4</v>
      </c>
      <c r="I2041" s="10" t="inlineStr">
        <is>
          <t>1/2</t>
        </is>
      </c>
      <c r="J2041" s="12" t="n">
        <v>0.5</v>
      </c>
      <c r="K2041" t="inlineStr">
        <is>
          <t>Advanced</t>
        </is>
      </c>
      <c r="L2041" t="inlineStr">
        <is>
          <t>Adjunct</t>
        </is>
      </c>
      <c r="M2041" t="inlineStr">
        <is>
          <t>Kristin Haase-Alvey</t>
        </is>
      </c>
    </row>
    <row r="2042">
      <c r="A2042" s="9" t="inlineStr">
        <is>
          <t>Elliot Emadian</t>
        </is>
      </c>
      <c r="B2042" s="9" t="inlineStr">
        <is>
          <t>1/25/26 - 2/21/26</t>
        </is>
      </c>
      <c r="C2042" s="12" t="n">
        <v>0.9125</v>
      </c>
      <c r="D2042" s="12" t="n">
        <v>0.9046</v>
      </c>
      <c r="E2042" s="12" t="n">
        <v>0.978947368421052</v>
      </c>
      <c r="F2042" s="12" t="n">
        <v>0.8271604938271599</v>
      </c>
      <c r="G2042" s="12" t="n">
        <v>0.777777777777777</v>
      </c>
      <c r="H2042" s="9" t="n">
        <v>7</v>
      </c>
      <c r="I2042" s="10" t="inlineStr">
        <is>
          <t>0/0</t>
        </is>
      </c>
      <c r="J2042" s="12" t="n">
        <v>0</v>
      </c>
      <c r="K2042" t="inlineStr">
        <is>
          <t>Advanced</t>
        </is>
      </c>
      <c r="L2042" t="inlineStr">
        <is>
          <t>Professional</t>
        </is>
      </c>
      <c r="M2042" t="inlineStr">
        <is>
          <t>Annelies de Groot</t>
        </is>
      </c>
    </row>
    <row r="2043">
      <c r="A2043" s="9" t="inlineStr">
        <is>
          <t>Emma Brugman</t>
        </is>
      </c>
      <c r="B2043" s="9" t="inlineStr">
        <is>
          <t>1/25/26 - 2/21/26</t>
        </is>
      </c>
      <c r="C2043" s="12" t="n">
        <v>1</v>
      </c>
      <c r="D2043" s="12" t="n">
        <v>0.9201</v>
      </c>
      <c r="E2043" s="12" t="n">
        <v>0.994011976047904</v>
      </c>
      <c r="F2043" s="12" t="n">
        <v>0.809523809523809</v>
      </c>
      <c r="G2043" s="12" t="n">
        <v>0.413793103448275</v>
      </c>
      <c r="H2043" s="9" t="n">
        <v>18</v>
      </c>
      <c r="I2043" s="9" t="inlineStr">
        <is>
          <t>1/4</t>
        </is>
      </c>
      <c r="J2043" s="12" t="n">
        <v>0.25</v>
      </c>
      <c r="K2043" t="inlineStr">
        <is>
          <t>Advanced</t>
        </is>
      </c>
      <c r="L2043" t="inlineStr">
        <is>
          <t>Professional</t>
        </is>
      </c>
      <c r="M2043" t="inlineStr">
        <is>
          <t>Kristin Haase-Alvey</t>
        </is>
      </c>
    </row>
    <row r="2044">
      <c r="A2044" s="9" t="inlineStr">
        <is>
          <t>Eric Chang</t>
        </is>
      </c>
      <c r="B2044" s="9" t="inlineStr">
        <is>
          <t>1/25/26 - 2/21/26</t>
        </is>
      </c>
      <c r="C2044" s="12" t="n">
        <v>1.0208</v>
      </c>
      <c r="D2044" s="12" t="n">
        <v>0.9589</v>
      </c>
      <c r="E2044" s="12" t="n">
        <v>0.991935483870967</v>
      </c>
      <c r="F2044" s="12" t="n">
        <v>0.989583333333333</v>
      </c>
      <c r="G2044" s="12" t="n">
        <v>0.857142857142857</v>
      </c>
      <c r="H2044" s="9" t="n">
        <v>13</v>
      </c>
      <c r="I2044" s="10" t="inlineStr">
        <is>
          <t>2/11</t>
        </is>
      </c>
      <c r="J2044" s="12" t="n">
        <v>0.18</v>
      </c>
      <c r="K2044" t="inlineStr">
        <is>
          <t>Advanced</t>
        </is>
      </c>
      <c r="L2044" t="inlineStr">
        <is>
          <t>Professional</t>
        </is>
      </c>
      <c r="M2044" t="inlineStr">
        <is>
          <t>Annelies de Groot</t>
        </is>
      </c>
    </row>
    <row r="2045">
      <c r="A2045" s="9" t="inlineStr">
        <is>
          <t>Erica Ichikawa</t>
        </is>
      </c>
      <c r="B2045" s="9" t="inlineStr">
        <is>
          <t>1/25/26 - 2/21/26</t>
        </is>
      </c>
      <c r="C2045" s="12" t="n">
        <v>0.8280999999999999</v>
      </c>
      <c r="D2045" s="12" t="n">
        <v>0.7227</v>
      </c>
      <c r="E2045" s="12" t="n">
        <v>1</v>
      </c>
      <c r="F2045" s="12" t="n">
        <v>0.758620689655172</v>
      </c>
      <c r="G2045" s="12" t="n">
        <v>0.9</v>
      </c>
      <c r="H2045" s="9" t="n">
        <v>2</v>
      </c>
      <c r="I2045" s="10" t="inlineStr">
        <is>
          <t>0/0</t>
        </is>
      </c>
      <c r="J2045" s="12" t="n">
        <v>0</v>
      </c>
      <c r="K2045" t="inlineStr">
        <is>
          <t>Distinguished</t>
        </is>
      </c>
      <c r="L2045" t="inlineStr">
        <is>
          <t>Adjunct</t>
        </is>
      </c>
      <c r="M2045" t="inlineStr">
        <is>
          <t>Ela Cross</t>
        </is>
      </c>
    </row>
    <row r="2046">
      <c r="A2046" s="9" t="inlineStr">
        <is>
          <t>Ernie Chu</t>
        </is>
      </c>
      <c r="B2046" s="9" t="inlineStr">
        <is>
          <t>1/25/26 - 2/21/26</t>
        </is>
      </c>
      <c r="C2046" s="12" t="n">
        <v>1.4792</v>
      </c>
      <c r="D2046" s="12" t="n">
        <v>1.2434</v>
      </c>
      <c r="E2046" s="12" t="n">
        <v>0.98342541436464</v>
      </c>
      <c r="F2046" s="12" t="n">
        <v>0.965811965811965</v>
      </c>
      <c r="G2046" s="12" t="n">
        <v>0.9</v>
      </c>
      <c r="H2046" s="9" t="n">
        <v>12</v>
      </c>
      <c r="I2046" s="10" t="inlineStr">
        <is>
          <t>3/8</t>
        </is>
      </c>
      <c r="J2046" s="12" t="n">
        <v>0.38</v>
      </c>
      <c r="K2046" t="inlineStr">
        <is>
          <t>Advanced</t>
        </is>
      </c>
      <c r="L2046" t="inlineStr">
        <is>
          <t>Professional</t>
        </is>
      </c>
      <c r="M2046" t="inlineStr">
        <is>
          <t>Geoff St. Marie</t>
        </is>
      </c>
    </row>
    <row r="2047">
      <c r="A2047" s="9" t="inlineStr">
        <is>
          <t>Faith Rogers</t>
        </is>
      </c>
      <c r="B2047" s="9" t="inlineStr">
        <is>
          <t>1/25/26 - 2/21/26</t>
        </is>
      </c>
      <c r="C2047" s="12" t="n">
        <v>0.8542</v>
      </c>
      <c r="D2047" s="12" t="n">
        <v>1.023</v>
      </c>
      <c r="E2047" s="12" t="n">
        <v>0.96</v>
      </c>
      <c r="F2047" s="12" t="n">
        <v>0.944444444444444</v>
      </c>
      <c r="G2047" s="12" t="n">
        <v>0.933333333333333</v>
      </c>
      <c r="H2047" s="9" t="n">
        <v>2</v>
      </c>
      <c r="I2047" s="10" t="inlineStr">
        <is>
          <t>3/4</t>
        </is>
      </c>
      <c r="J2047" s="12" t="n">
        <v>0.75</v>
      </c>
      <c r="K2047" t="inlineStr">
        <is>
          <t>Distinguished</t>
        </is>
      </c>
      <c r="L2047" t="inlineStr">
        <is>
          <t>Professional</t>
        </is>
      </c>
      <c r="M2047" t="inlineStr">
        <is>
          <t>Ian Plamondon</t>
        </is>
      </c>
    </row>
    <row r="2048">
      <c r="A2048" s="9" t="inlineStr">
        <is>
          <t>Gabriel Saint Cyr</t>
        </is>
      </c>
      <c r="B2048" s="9" t="inlineStr">
        <is>
          <t>1/25/26 - 2/21/26</t>
        </is>
      </c>
      <c r="C2048" s="12" t="n">
        <v>1.03129999999999</v>
      </c>
      <c r="D2048" s="12" t="n">
        <v>1.1289</v>
      </c>
      <c r="E2048" s="12" t="n">
        <v>0.9761904761904761</v>
      </c>
      <c r="F2048" s="12" t="n">
        <v>1</v>
      </c>
      <c r="G2048" s="12" t="n">
        <v>0.666666666666666</v>
      </c>
      <c r="H2048" s="9" t="n">
        <v>1</v>
      </c>
      <c r="I2048" s="10" t="inlineStr">
        <is>
          <t>2/5</t>
        </is>
      </c>
      <c r="J2048" s="12" t="n">
        <v>0.4</v>
      </c>
      <c r="K2048" t="inlineStr">
        <is>
          <t>Distinguished</t>
        </is>
      </c>
      <c r="L2048" t="inlineStr">
        <is>
          <t>Adjunct</t>
        </is>
      </c>
      <c r="M2048" t="inlineStr">
        <is>
          <t>Geoff St. Marie</t>
        </is>
      </c>
    </row>
    <row r="2049">
      <c r="A2049" s="9" t="inlineStr">
        <is>
          <t>Gale Hermes</t>
        </is>
      </c>
      <c r="B2049" s="9" t="inlineStr">
        <is>
          <t>1/25/26 - 2/21/26</t>
        </is>
      </c>
      <c r="C2049" s="12" t="n">
        <v>0.7625</v>
      </c>
      <c r="D2049" s="12" t="n">
        <v>1.5733</v>
      </c>
      <c r="E2049" s="12" t="n">
        <v>1</v>
      </c>
      <c r="F2049" s="12" t="n">
        <v>0.9649122807017541</v>
      </c>
      <c r="G2049" s="12" t="n">
        <v>0.642857142857142</v>
      </c>
      <c r="H2049" s="9" t="n">
        <v>1</v>
      </c>
      <c r="I2049" s="10" t="inlineStr">
        <is>
          <t>0/1</t>
        </is>
      </c>
      <c r="J2049" s="12" t="n">
        <v>0</v>
      </c>
      <c r="K2049" t="inlineStr">
        <is>
          <t>Premium</t>
        </is>
      </c>
      <c r="L2049" t="inlineStr">
        <is>
          <t>Professional</t>
        </is>
      </c>
      <c r="M2049" t="inlineStr">
        <is>
          <t>Ian Plamondon</t>
        </is>
      </c>
    </row>
    <row r="2050">
      <c r="A2050" s="9" t="inlineStr">
        <is>
          <t>Gigi Glover</t>
        </is>
      </c>
      <c r="B2050" s="9" t="inlineStr">
        <is>
          <t>1/25/26 - 2/21/26</t>
        </is>
      </c>
      <c r="C2050" s="12" t="n">
        <v>0.8542</v>
      </c>
      <c r="D2050" s="12" t="n">
        <v>1.2582</v>
      </c>
      <c r="E2050" s="12" t="n">
        <v>0.9375</v>
      </c>
      <c r="F2050" s="12" t="n">
        <v>0.96875</v>
      </c>
      <c r="G2050" s="12" t="n">
        <v>0.75</v>
      </c>
      <c r="H2050" s="9" t="n">
        <v>3</v>
      </c>
      <c r="I2050" s="9" t="inlineStr">
        <is>
          <t>3/5</t>
        </is>
      </c>
      <c r="J2050" s="12" t="n">
        <v>0.6</v>
      </c>
      <c r="K2050" t="inlineStr">
        <is>
          <t>Distinguished</t>
        </is>
      </c>
      <c r="L2050" t="inlineStr">
        <is>
          <t>Professional</t>
        </is>
      </c>
      <c r="M2050" t="inlineStr">
        <is>
          <t>Ian Plamondon</t>
        </is>
      </c>
    </row>
    <row r="2051">
      <c r="A2051" s="9" t="inlineStr">
        <is>
          <t>Gillian Ware</t>
        </is>
      </c>
      <c r="B2051" s="9" t="inlineStr">
        <is>
          <t>1/25/26 - 2/21/26</t>
        </is>
      </c>
      <c r="C2051" s="12" t="n">
        <v>0.875</v>
      </c>
      <c r="D2051" s="12" t="n">
        <v>0.8593999999999991</v>
      </c>
      <c r="E2051" s="12" t="n">
        <v>1</v>
      </c>
      <c r="F2051" s="12" t="n">
        <v>1</v>
      </c>
      <c r="G2051" s="12" t="n">
        <v>0.933333333333333</v>
      </c>
      <c r="H2051" s="9" t="n">
        <v>7</v>
      </c>
      <c r="I2051" s="10" t="inlineStr">
        <is>
          <t>0/2</t>
        </is>
      </c>
      <c r="J2051" s="12" t="n">
        <v>0</v>
      </c>
      <c r="K2051" t="inlineStr">
        <is>
          <t>Advanced</t>
        </is>
      </c>
      <c r="L2051" t="inlineStr">
        <is>
          <t>Adjunct</t>
        </is>
      </c>
      <c r="M2051" t="inlineStr">
        <is>
          <t>Kristin Haase-Alvey</t>
        </is>
      </c>
    </row>
    <row r="2052">
      <c r="A2052" s="9" t="inlineStr">
        <is>
          <t>Hannah Duliere</t>
        </is>
      </c>
      <c r="B2052" s="9" t="inlineStr">
        <is>
          <t>1/25/26 - 2/21/26</t>
        </is>
      </c>
      <c r="C2052" s="12" t="n">
        <v>1.175</v>
      </c>
      <c r="D2052" s="12" t="n">
        <v>1.5208</v>
      </c>
      <c r="E2052" s="12" t="n">
        <v>1</v>
      </c>
      <c r="F2052" s="12" t="n">
        <v>0.976470588235294</v>
      </c>
      <c r="G2052" s="12" t="n">
        <v>0.777777777777777</v>
      </c>
      <c r="H2052" s="9" t="n">
        <v>4</v>
      </c>
      <c r="I2052" s="10" t="inlineStr">
        <is>
          <t>0/0</t>
        </is>
      </c>
      <c r="J2052" s="12" t="n">
        <v>0</v>
      </c>
      <c r="K2052" t="inlineStr">
        <is>
          <t>Premium</t>
        </is>
      </c>
      <c r="L2052" t="inlineStr">
        <is>
          <t>Professional</t>
        </is>
      </c>
      <c r="M2052" t="inlineStr">
        <is>
          <t>Ela Cross</t>
        </is>
      </c>
    </row>
    <row r="2053">
      <c r="A2053" s="9" t="inlineStr">
        <is>
          <t>Hannah Ervitz</t>
        </is>
      </c>
      <c r="B2053" s="9" t="inlineStr">
        <is>
          <t>1/25/26 - 2/21/26</t>
        </is>
      </c>
      <c r="C2053" s="12" t="n">
        <v>1.0125</v>
      </c>
      <c r="D2053" s="12" t="n">
        <v>0.916099999999999</v>
      </c>
      <c r="E2053" s="12" t="n">
        <v>0.992424242424242</v>
      </c>
      <c r="F2053" s="12" t="n">
        <v>0.929577464788732</v>
      </c>
      <c r="G2053" s="12" t="n">
        <v>1</v>
      </c>
      <c r="H2053" s="9" t="n">
        <v>11</v>
      </c>
      <c r="I2053" s="10" t="inlineStr">
        <is>
          <t>0/2</t>
        </is>
      </c>
      <c r="J2053" s="12" t="n">
        <v>0</v>
      </c>
      <c r="K2053" t="inlineStr">
        <is>
          <t>Advanced</t>
        </is>
      </c>
      <c r="L2053" t="inlineStr">
        <is>
          <t>Professional</t>
        </is>
      </c>
      <c r="M2053" t="inlineStr">
        <is>
          <t>Kristin Haase-Alvey</t>
        </is>
      </c>
    </row>
    <row r="2054">
      <c r="A2054" s="9" t="inlineStr">
        <is>
          <t>Hannah Lodge</t>
        </is>
      </c>
      <c r="B2054" s="9" t="inlineStr">
        <is>
          <t>1/25/26 - 2/21/26</t>
        </is>
      </c>
      <c r="C2054" s="12" t="n">
        <v>1.1644</v>
      </c>
      <c r="D2054" s="12" t="n">
        <v>1.3766</v>
      </c>
      <c r="E2054" s="12" t="n">
        <v>1</v>
      </c>
      <c r="F2054" s="12" t="n">
        <v>0.96629213483146</v>
      </c>
      <c r="G2054" s="12" t="n">
        <v>0.875</v>
      </c>
      <c r="H2054" s="9" t="n">
        <v>2</v>
      </c>
      <c r="I2054" s="10" t="inlineStr">
        <is>
          <t>1/2</t>
        </is>
      </c>
      <c r="J2054" s="12" t="n">
        <v>0.5</v>
      </c>
      <c r="K2054" t="inlineStr">
        <is>
          <t>Premium</t>
        </is>
      </c>
      <c r="L2054" t="inlineStr">
        <is>
          <t>Professional</t>
        </is>
      </c>
      <c r="M2054" t="inlineStr">
        <is>
          <t>Ian Plamondon</t>
        </is>
      </c>
    </row>
    <row r="2055">
      <c r="A2055" s="9" t="inlineStr">
        <is>
          <t>Heather Tuck</t>
        </is>
      </c>
      <c r="B2055" s="9" t="inlineStr">
        <is>
          <t>1/25/26 - 2/21/26</t>
        </is>
      </c>
      <c r="C2055" s="12" t="n">
        <v>0</v>
      </c>
      <c r="D2055" s="12" t="n">
        <v>0.5625</v>
      </c>
      <c r="E2055" s="12" t="n">
        <v>0</v>
      </c>
      <c r="F2055" s="12" t="n">
        <v>0</v>
      </c>
      <c r="G2055" s="12" t="n">
        <v>0</v>
      </c>
      <c r="H2055" s="9" t="n">
        <v>0</v>
      </c>
      <c r="I2055" s="10" t="inlineStr">
        <is>
          <t>0/0</t>
        </is>
      </c>
      <c r="J2055" s="12" t="n">
        <v>0</v>
      </c>
      <c r="K2055" t="e">
        <v>#N/A</v>
      </c>
      <c r="L2055" t="e">
        <v>#N/A</v>
      </c>
      <c r="M2055" t="e">
        <v>#N/A</v>
      </c>
    </row>
    <row r="2056">
      <c r="A2056" s="9" t="inlineStr">
        <is>
          <t>Isaiah De La Torre</t>
        </is>
      </c>
      <c r="B2056" s="9" t="inlineStr">
        <is>
          <t>1/25/26 - 2/21/26</t>
        </is>
      </c>
      <c r="C2056" s="12" t="n">
        <v>0</v>
      </c>
      <c r="D2056" s="12" t="n">
        <v>0.521899999999999</v>
      </c>
      <c r="E2056" s="12" t="n">
        <v>0</v>
      </c>
      <c r="F2056" s="12" t="n">
        <v>0</v>
      </c>
      <c r="G2056" s="12" t="n">
        <v>0</v>
      </c>
      <c r="H2056" s="9" t="n">
        <v>0</v>
      </c>
      <c r="I2056" s="10" t="inlineStr">
        <is>
          <t>0/0</t>
        </is>
      </c>
      <c r="J2056" s="12" t="n">
        <v>0</v>
      </c>
      <c r="K2056" t="e">
        <v>#N/A</v>
      </c>
      <c r="L2056" t="e">
        <v>#N/A</v>
      </c>
      <c r="M2056" t="e">
        <v>#N/A</v>
      </c>
    </row>
    <row r="2057">
      <c r="A2057" s="9" t="inlineStr">
        <is>
          <t>Jacey Clifton</t>
        </is>
      </c>
      <c r="B2057" s="9" t="inlineStr">
        <is>
          <t>1/25/26 - 2/21/26</t>
        </is>
      </c>
      <c r="C2057" s="12" t="n">
        <v>1.2083</v>
      </c>
      <c r="D2057" s="12" t="n">
        <v>1.0742</v>
      </c>
      <c r="E2057" s="12" t="n">
        <v>1</v>
      </c>
      <c r="F2057" s="12" t="n">
        <v>1</v>
      </c>
      <c r="G2057" s="12" t="n">
        <v>0.384615384615384</v>
      </c>
      <c r="H2057" s="9" t="n">
        <v>11</v>
      </c>
      <c r="I2057" s="9" t="inlineStr">
        <is>
          <t>1/1</t>
        </is>
      </c>
      <c r="J2057" s="12" t="n">
        <v>1</v>
      </c>
      <c r="K2057" t="inlineStr">
        <is>
          <t>Advanced</t>
        </is>
      </c>
      <c r="L2057" t="inlineStr">
        <is>
          <t>Adjunct</t>
        </is>
      </c>
      <c r="M2057" t="inlineStr">
        <is>
          <t>Ela Cross</t>
        </is>
      </c>
    </row>
    <row r="2058">
      <c r="A2058" s="9" t="inlineStr">
        <is>
          <t>Jackson Byars</t>
        </is>
      </c>
      <c r="B2058" s="9" t="inlineStr">
        <is>
          <t>1/25/26 - 2/21/26</t>
        </is>
      </c>
      <c r="C2058" s="12" t="n">
        <v>0.872899999999999</v>
      </c>
      <c r="D2058" s="12" t="n">
        <v>1.28129999999999</v>
      </c>
      <c r="E2058" s="12" t="n">
        <v>1</v>
      </c>
      <c r="F2058" s="12" t="n">
        <v>0.961038961038961</v>
      </c>
      <c r="G2058" s="12" t="n">
        <v>0.791666666666666</v>
      </c>
      <c r="H2058" s="9" t="n">
        <v>4</v>
      </c>
      <c r="I2058" s="9" t="inlineStr">
        <is>
          <t>0/2</t>
        </is>
      </c>
      <c r="J2058" s="12" t="n">
        <v>0</v>
      </c>
      <c r="K2058" t="inlineStr">
        <is>
          <t>Distinguished</t>
        </is>
      </c>
      <c r="L2058" t="inlineStr">
        <is>
          <t>Professional</t>
        </is>
      </c>
      <c r="M2058" t="inlineStr">
        <is>
          <t>Ian Plamondon</t>
        </is>
      </c>
    </row>
    <row r="2059">
      <c r="A2059" s="9" t="inlineStr">
        <is>
          <t>Jackson Weier</t>
        </is>
      </c>
      <c r="B2059" s="9" t="inlineStr">
        <is>
          <t>1/25/26 - 2/21/26</t>
        </is>
      </c>
      <c r="C2059" s="12" t="n">
        <v>0</v>
      </c>
      <c r="D2059" s="12" t="n">
        <v>0.6563</v>
      </c>
      <c r="E2059" s="12" t="n">
        <v>0</v>
      </c>
      <c r="F2059" s="12" t="n">
        <v>0</v>
      </c>
      <c r="G2059" s="12" t="n">
        <v>0</v>
      </c>
      <c r="H2059" s="9" t="n">
        <v>0</v>
      </c>
      <c r="I2059" s="10" t="inlineStr">
        <is>
          <t>0/0</t>
        </is>
      </c>
      <c r="J2059" s="12" t="n">
        <v>0</v>
      </c>
      <c r="K2059" t="e">
        <v>#N/A</v>
      </c>
      <c r="L2059" t="e">
        <v>#N/A</v>
      </c>
      <c r="M2059" t="e">
        <v>#N/A</v>
      </c>
    </row>
    <row r="2060">
      <c r="A2060" s="9" t="inlineStr">
        <is>
          <t>Jacob Karn</t>
        </is>
      </c>
      <c r="B2060" s="9" t="inlineStr">
        <is>
          <t>1/25/26 - 2/21/26</t>
        </is>
      </c>
      <c r="C2060" s="12" t="n">
        <v>1.1833</v>
      </c>
      <c r="D2060" s="12" t="n">
        <v>1.0839</v>
      </c>
      <c r="E2060" s="12" t="n">
        <v>0.986206896551724</v>
      </c>
      <c r="F2060" s="12" t="n">
        <v>0.9905660377358489</v>
      </c>
      <c r="G2060" s="12" t="n">
        <v>0.954545454545454</v>
      </c>
      <c r="H2060" s="9" t="n">
        <v>9</v>
      </c>
      <c r="I2060" s="9" t="inlineStr">
        <is>
          <t>2/4</t>
        </is>
      </c>
      <c r="J2060" s="12" t="n">
        <v>0.5</v>
      </c>
      <c r="K2060" t="inlineStr">
        <is>
          <t>Advanced</t>
        </is>
      </c>
      <c r="L2060" t="inlineStr">
        <is>
          <t>Professional</t>
        </is>
      </c>
      <c r="M2060" t="inlineStr">
        <is>
          <t>Ian Plamondon</t>
        </is>
      </c>
    </row>
    <row r="2061">
      <c r="A2061" s="9" t="inlineStr">
        <is>
          <t>Jake Corvino</t>
        </is>
      </c>
      <c r="B2061" s="9" t="inlineStr">
        <is>
          <t>1/25/26 - 2/21/26</t>
        </is>
      </c>
      <c r="C2061" s="12" t="n">
        <v>0.3958</v>
      </c>
      <c r="D2061" s="12" t="n">
        <v>1.0352</v>
      </c>
      <c r="E2061" s="12" t="n">
        <v>0.888888888888888</v>
      </c>
      <c r="F2061" s="12" t="n">
        <v>1</v>
      </c>
      <c r="G2061" s="12" t="n">
        <v>0</v>
      </c>
      <c r="H2061" s="9" t="n">
        <v>3</v>
      </c>
      <c r="I2061" s="9" t="inlineStr">
        <is>
          <t>0/0</t>
        </is>
      </c>
      <c r="J2061" s="12" t="n">
        <v>0</v>
      </c>
      <c r="K2061" t="inlineStr">
        <is>
          <t>Advanced</t>
        </is>
      </c>
      <c r="L2061" t="inlineStr">
        <is>
          <t>Adjunct</t>
        </is>
      </c>
      <c r="M2061" t="inlineStr">
        <is>
          <t>Ela Cross</t>
        </is>
      </c>
    </row>
    <row r="2062">
      <c r="A2062" s="9" t="inlineStr">
        <is>
          <t>Jamaul Pemberton</t>
        </is>
      </c>
      <c r="B2062" s="9" t="inlineStr">
        <is>
          <t>1/25/26 - 2/21/26</t>
        </is>
      </c>
      <c r="C2062" s="12" t="n">
        <v>0.7</v>
      </c>
      <c r="D2062" s="12" t="n">
        <v>1.0444</v>
      </c>
      <c r="E2062" s="12" t="n">
        <v>1</v>
      </c>
      <c r="F2062" s="12" t="n">
        <v>0.92156862745098</v>
      </c>
      <c r="G2062" s="12" t="n">
        <v>0.666666666666666</v>
      </c>
      <c r="H2062" s="9" t="n">
        <v>2</v>
      </c>
      <c r="I2062" s="10" t="inlineStr">
        <is>
          <t>5/6</t>
        </is>
      </c>
      <c r="J2062" s="12" t="n">
        <v>0.83</v>
      </c>
      <c r="K2062" t="inlineStr">
        <is>
          <t>Premium</t>
        </is>
      </c>
      <c r="L2062" t="inlineStr">
        <is>
          <t>Professional</t>
        </is>
      </c>
      <c r="M2062" t="inlineStr">
        <is>
          <t>Ian Plamondon</t>
        </is>
      </c>
    </row>
    <row r="2063">
      <c r="A2063" s="9" t="inlineStr">
        <is>
          <t>James Falconer</t>
        </is>
      </c>
      <c r="B2063" s="9" t="inlineStr">
        <is>
          <t>1/25/26 - 2/21/26</t>
        </is>
      </c>
      <c r="C2063" s="12" t="n">
        <v>1.02859999999999</v>
      </c>
      <c r="D2063" s="12" t="n">
        <v>1.0567</v>
      </c>
      <c r="E2063" s="12" t="n">
        <v>1</v>
      </c>
      <c r="F2063" s="12" t="n">
        <v>0.991935483870967</v>
      </c>
      <c r="G2063" s="12" t="n">
        <v>0.9090909090909089</v>
      </c>
      <c r="H2063" s="9" t="n">
        <v>23</v>
      </c>
      <c r="I2063" s="9" t="inlineStr">
        <is>
          <t>1/1</t>
        </is>
      </c>
      <c r="J2063" s="12" t="n">
        <v>1</v>
      </c>
      <c r="K2063" t="inlineStr">
        <is>
          <t>Advanced</t>
        </is>
      </c>
      <c r="L2063" t="inlineStr">
        <is>
          <t>Professional</t>
        </is>
      </c>
      <c r="M2063" t="inlineStr">
        <is>
          <t>Ian Plamondon</t>
        </is>
      </c>
    </row>
    <row r="2064">
      <c r="A2064" s="9" t="inlineStr">
        <is>
          <t>Jason Keller</t>
        </is>
      </c>
      <c r="B2064" s="9" t="inlineStr">
        <is>
          <t>1/25/26 - 2/21/26</t>
        </is>
      </c>
      <c r="C2064" s="12" t="n">
        <v>0.625</v>
      </c>
      <c r="D2064" s="12" t="n">
        <v>0.9440999999999991</v>
      </c>
      <c r="E2064" s="12" t="n">
        <v>1</v>
      </c>
      <c r="F2064" s="12" t="n">
        <v>0.928571428571428</v>
      </c>
      <c r="G2064" s="12" t="n">
        <v>0.25</v>
      </c>
      <c r="H2064" s="9" t="n">
        <v>2</v>
      </c>
      <c r="I2064" s="10" t="inlineStr">
        <is>
          <t>4/4</t>
        </is>
      </c>
      <c r="J2064" s="12" t="n">
        <v>1</v>
      </c>
      <c r="K2064" t="inlineStr">
        <is>
          <t>Premium</t>
        </is>
      </c>
      <c r="L2064" t="inlineStr">
        <is>
          <t>Professional</t>
        </is>
      </c>
      <c r="M2064" t="inlineStr">
        <is>
          <t>Kristin Haase-Alvey</t>
        </is>
      </c>
    </row>
    <row r="2065">
      <c r="A2065" s="9" t="inlineStr">
        <is>
          <t>Jason Noble</t>
        </is>
      </c>
      <c r="B2065" s="9" t="inlineStr">
        <is>
          <t>1/25/26 - 2/21/26</t>
        </is>
      </c>
      <c r="C2065" s="12" t="n">
        <v>0.875</v>
      </c>
      <c r="D2065" s="12" t="n">
        <v>0.772999999999999</v>
      </c>
      <c r="E2065" s="12" t="n">
        <v>0.871794871794871</v>
      </c>
      <c r="F2065" s="12" t="n">
        <v>0.901408450704225</v>
      </c>
      <c r="G2065" s="12" t="n">
        <v>0.956521739130434</v>
      </c>
      <c r="H2065" s="9" t="n">
        <v>7</v>
      </c>
      <c r="I2065" s="10" t="inlineStr">
        <is>
          <t>2/2</t>
        </is>
      </c>
      <c r="J2065" s="12" t="n">
        <v>1</v>
      </c>
      <c r="K2065" t="inlineStr">
        <is>
          <t>Advanced</t>
        </is>
      </c>
      <c r="L2065" t="inlineStr">
        <is>
          <t>Professional</t>
        </is>
      </c>
      <c r="M2065" t="inlineStr">
        <is>
          <t>Kristin Haase-Alvey</t>
        </is>
      </c>
    </row>
    <row r="2066">
      <c r="A2066" s="9" t="inlineStr">
        <is>
          <t>Jayna Boaz</t>
        </is>
      </c>
      <c r="B2066" s="9" t="inlineStr">
        <is>
          <t>1/25/26 - 2/21/26</t>
        </is>
      </c>
      <c r="C2066" s="12" t="n">
        <v>1.2708</v>
      </c>
      <c r="D2066" s="12" t="n">
        <v>1.375</v>
      </c>
      <c r="E2066" s="12" t="n">
        <v>0.885245901639344</v>
      </c>
      <c r="F2066" s="12" t="n">
        <v>0.948717948717948</v>
      </c>
      <c r="G2066" s="12" t="n">
        <v>0</v>
      </c>
      <c r="H2066" s="9" t="n">
        <v>4</v>
      </c>
      <c r="I2066" s="10" t="inlineStr">
        <is>
          <t>1/4</t>
        </is>
      </c>
      <c r="J2066" s="12" t="n">
        <v>0.25</v>
      </c>
      <c r="K2066" t="inlineStr">
        <is>
          <t>Advanced</t>
        </is>
      </c>
      <c r="L2066" t="inlineStr">
        <is>
          <t>Adjunct- BUC</t>
        </is>
      </c>
      <c r="M2066" t="inlineStr">
        <is>
          <t>Ela Cross</t>
        </is>
      </c>
    </row>
    <row r="2067">
      <c r="A2067" s="9" t="inlineStr">
        <is>
          <t>Jennifer Hernandez</t>
        </is>
      </c>
      <c r="B2067" s="9" t="inlineStr">
        <is>
          <t>1/25/26 - 2/21/26</t>
        </is>
      </c>
      <c r="C2067" s="12" t="n">
        <v>0.725</v>
      </c>
      <c r="D2067" s="12" t="n">
        <v>1.07809999999999</v>
      </c>
      <c r="E2067" s="12" t="n">
        <v>1</v>
      </c>
      <c r="F2067" s="12" t="n">
        <v>1</v>
      </c>
      <c r="G2067" s="12" t="n">
        <v>0.916666666666666</v>
      </c>
      <c r="H2067" s="9" t="n">
        <v>3</v>
      </c>
      <c r="I2067" s="10" t="inlineStr">
        <is>
          <t>2/2</t>
        </is>
      </c>
      <c r="J2067" s="12" t="n">
        <v>1</v>
      </c>
      <c r="K2067" t="inlineStr">
        <is>
          <t>Distinguished</t>
        </is>
      </c>
      <c r="L2067" t="inlineStr">
        <is>
          <t>Adjunct</t>
        </is>
      </c>
      <c r="M2067" t="inlineStr">
        <is>
          <t>Kristin Haase-Alvey</t>
        </is>
      </c>
    </row>
    <row r="2068">
      <c r="A2068" s="9" t="inlineStr">
        <is>
          <t>Jesse Squires</t>
        </is>
      </c>
      <c r="B2068" s="9" t="inlineStr">
        <is>
          <t>1/25/26 - 2/21/26</t>
        </is>
      </c>
      <c r="C2068" s="12" t="n">
        <v>1.0542</v>
      </c>
      <c r="D2068" s="12" t="n">
        <v>1.03129999999999</v>
      </c>
      <c r="E2068" s="12" t="n">
        <v>0.98473282442748</v>
      </c>
      <c r="F2068" s="12" t="n">
        <v>0.990196078431372</v>
      </c>
      <c r="G2068" s="12" t="n">
        <v>0.72</v>
      </c>
      <c r="H2068" s="9" t="n">
        <v>4</v>
      </c>
      <c r="I2068" s="10" t="inlineStr">
        <is>
          <t>2/2</t>
        </is>
      </c>
      <c r="J2068" s="12" t="n">
        <v>1</v>
      </c>
      <c r="K2068" t="inlineStr">
        <is>
          <t>Advanced</t>
        </is>
      </c>
      <c r="L2068" t="inlineStr">
        <is>
          <t>Professional</t>
        </is>
      </c>
      <c r="M2068" t="inlineStr">
        <is>
          <t>Kristin Haase-Alvey</t>
        </is>
      </c>
    </row>
    <row r="2069">
      <c r="A2069" s="9" t="inlineStr">
        <is>
          <t>Jessica Menkhus</t>
        </is>
      </c>
      <c r="B2069" s="9" t="inlineStr">
        <is>
          <t>1/25/26 - 2/21/26</t>
        </is>
      </c>
      <c r="C2069" s="12" t="n">
        <v>1.0208</v>
      </c>
      <c r="D2069" s="12" t="n">
        <v>1.4414</v>
      </c>
      <c r="E2069" s="12" t="n">
        <v>1</v>
      </c>
      <c r="F2069" s="12" t="n">
        <v>1</v>
      </c>
      <c r="G2069" s="12" t="n">
        <v>0.857142857142857</v>
      </c>
      <c r="H2069" s="9" t="n">
        <v>0</v>
      </c>
      <c r="I2069" s="9" t="inlineStr">
        <is>
          <t>1/2</t>
        </is>
      </c>
      <c r="J2069" s="12" t="n">
        <v>0.5</v>
      </c>
      <c r="K2069" t="inlineStr">
        <is>
          <t>Premium</t>
        </is>
      </c>
      <c r="L2069" t="inlineStr">
        <is>
          <t>Adjunct</t>
        </is>
      </c>
      <c r="M2069" t="inlineStr">
        <is>
          <t>Ela Cross</t>
        </is>
      </c>
    </row>
    <row r="2070">
      <c r="A2070" s="9" t="inlineStr">
        <is>
          <t>Jessica Peterson</t>
        </is>
      </c>
      <c r="B2070" s="9" t="inlineStr">
        <is>
          <t>1/25/26 - 2/21/26</t>
        </is>
      </c>
      <c r="C2070" s="12" t="n">
        <v>1.23959999999999</v>
      </c>
      <c r="D2070" s="12" t="n">
        <v>1</v>
      </c>
      <c r="E2070" s="12" t="n">
        <v>1</v>
      </c>
      <c r="F2070" s="12" t="n">
        <v>1</v>
      </c>
      <c r="G2070" s="12" t="n">
        <v>0.875</v>
      </c>
      <c r="H2070" s="9" t="n">
        <v>0</v>
      </c>
      <c r="I2070" s="10" t="inlineStr">
        <is>
          <t>0/0</t>
        </is>
      </c>
      <c r="J2070" s="12" t="n">
        <v>0</v>
      </c>
      <c r="K2070" t="inlineStr">
        <is>
          <t>Premium</t>
        </is>
      </c>
      <c r="L2070" t="inlineStr">
        <is>
          <t>Adjunct</t>
        </is>
      </c>
      <c r="M2070" t="inlineStr">
        <is>
          <t>Annelies de Groot</t>
        </is>
      </c>
    </row>
    <row r="2071">
      <c r="A2071" s="9" t="inlineStr">
        <is>
          <t>Jessica Wall</t>
        </is>
      </c>
      <c r="B2071" s="9" t="inlineStr">
        <is>
          <t>1/25/26 - 2/21/26</t>
        </is>
      </c>
      <c r="C2071" s="12" t="n">
        <v>1.2125</v>
      </c>
      <c r="D2071" s="12" t="n">
        <v>1.0789</v>
      </c>
      <c r="E2071" s="12" t="n">
        <v>0.966887417218543</v>
      </c>
      <c r="F2071" s="12" t="n">
        <v>1</v>
      </c>
      <c r="G2071" s="12" t="n">
        <v>0.705882352941176</v>
      </c>
      <c r="H2071" s="9" t="n">
        <v>5</v>
      </c>
      <c r="I2071" s="10" t="inlineStr">
        <is>
          <t>2/2</t>
        </is>
      </c>
      <c r="J2071" s="12" t="n">
        <v>1</v>
      </c>
      <c r="K2071" t="inlineStr">
        <is>
          <t>Advanced</t>
        </is>
      </c>
      <c r="L2071" t="inlineStr">
        <is>
          <t>Professional</t>
        </is>
      </c>
      <c r="M2071" t="inlineStr">
        <is>
          <t>Kristin Haase-Alvey</t>
        </is>
      </c>
    </row>
    <row r="2072">
      <c r="A2072" s="9" t="inlineStr">
        <is>
          <t>Jill Watson</t>
        </is>
      </c>
      <c r="B2072" s="9" t="inlineStr">
        <is>
          <t>1/25/26 - 2/21/26</t>
        </is>
      </c>
      <c r="C2072" s="12" t="n">
        <v>1.05</v>
      </c>
      <c r="D2072" s="12" t="n">
        <v>1.1119</v>
      </c>
      <c r="E2072" s="12" t="n">
        <v>0.993975903614457</v>
      </c>
      <c r="F2072" s="12" t="n">
        <v>0.982608695652173</v>
      </c>
      <c r="G2072" s="12" t="n">
        <v>0.84</v>
      </c>
      <c r="H2072" s="9" t="n">
        <v>7</v>
      </c>
      <c r="I2072" s="10" t="inlineStr">
        <is>
          <t>2/2</t>
        </is>
      </c>
      <c r="J2072" s="12" t="n">
        <v>1</v>
      </c>
      <c r="K2072" t="inlineStr">
        <is>
          <t>Advanced</t>
        </is>
      </c>
      <c r="L2072" t="inlineStr">
        <is>
          <t>Professional</t>
        </is>
      </c>
      <c r="M2072" t="inlineStr">
        <is>
          <t>Ian Plamondon</t>
        </is>
      </c>
    </row>
    <row r="2073">
      <c r="A2073" s="9" t="inlineStr">
        <is>
          <t>Jimmy Works</t>
        </is>
      </c>
      <c r="B2073" s="9" t="inlineStr">
        <is>
          <t>1/25/26 - 2/21/26</t>
        </is>
      </c>
      <c r="C2073" s="12" t="n">
        <v>1.1875</v>
      </c>
      <c r="D2073" s="12" t="n">
        <v>1.1953</v>
      </c>
      <c r="E2073" s="12" t="n">
        <v>1</v>
      </c>
      <c r="F2073" s="12" t="n">
        <v>0.97560975609756</v>
      </c>
      <c r="G2073" s="12" t="n">
        <v>1</v>
      </c>
      <c r="H2073" s="9" t="n">
        <v>2</v>
      </c>
      <c r="I2073" s="10" t="inlineStr">
        <is>
          <t>0/1</t>
        </is>
      </c>
      <c r="J2073" s="12" t="n">
        <v>0</v>
      </c>
      <c r="K2073" t="inlineStr">
        <is>
          <t>Distinguished</t>
        </is>
      </c>
      <c r="L2073" t="inlineStr">
        <is>
          <t>Adjunct</t>
        </is>
      </c>
      <c r="M2073" t="inlineStr">
        <is>
          <t>Kristin Haase-Alvey</t>
        </is>
      </c>
    </row>
    <row r="2074">
      <c r="A2074" s="9" t="inlineStr">
        <is>
          <t>Johan Falconi</t>
        </is>
      </c>
      <c r="B2074" s="9" t="inlineStr">
        <is>
          <t>1/25/26 - 2/21/26</t>
        </is>
      </c>
      <c r="C2074" s="12" t="n">
        <v>0.275</v>
      </c>
      <c r="D2074" s="12" t="n">
        <v>0.6771</v>
      </c>
      <c r="E2074" s="12" t="n">
        <v>0.96</v>
      </c>
      <c r="F2074" s="12" t="n">
        <v>0.933333333333333</v>
      </c>
      <c r="G2074" s="12" t="n">
        <v>0</v>
      </c>
      <c r="H2074" s="9" t="n">
        <v>1</v>
      </c>
      <c r="I2074" s="10" t="inlineStr">
        <is>
          <t>1/5</t>
        </is>
      </c>
      <c r="J2074" s="12" t="n">
        <v>0.2</v>
      </c>
      <c r="K2074" t="inlineStr">
        <is>
          <t>Advanced</t>
        </is>
      </c>
      <c r="L2074" t="inlineStr">
        <is>
          <t>Adjunct- BUC</t>
        </is>
      </c>
      <c r="M2074" t="inlineStr">
        <is>
          <t>Ela Cross</t>
        </is>
      </c>
    </row>
    <row r="2075">
      <c r="A2075" s="9" t="inlineStr">
        <is>
          <t>John Corbett</t>
        </is>
      </c>
      <c r="B2075" s="9" t="inlineStr">
        <is>
          <t>1/25/26 - 2/21/26</t>
        </is>
      </c>
      <c r="C2075" s="12" t="n">
        <v>1.09379999999999</v>
      </c>
      <c r="D2075" s="12" t="n">
        <v>1.0651</v>
      </c>
      <c r="E2075" s="12" t="n">
        <v>0.989473684210526</v>
      </c>
      <c r="F2075" s="12" t="n">
        <v>1</v>
      </c>
      <c r="G2075" s="12" t="n">
        <v>0.631578947368421</v>
      </c>
      <c r="H2075" s="9" t="n">
        <v>11</v>
      </c>
      <c r="I2075" s="10" t="inlineStr">
        <is>
          <t>0/0</t>
        </is>
      </c>
      <c r="J2075" s="12" t="n">
        <v>0</v>
      </c>
      <c r="K2075" t="inlineStr">
        <is>
          <t>Advanced</t>
        </is>
      </c>
      <c r="L2075" t="inlineStr">
        <is>
          <t xml:space="preserve">Adjunct </t>
        </is>
      </c>
      <c r="M2075" t="inlineStr">
        <is>
          <t>Ian Plamondon</t>
        </is>
      </c>
    </row>
    <row r="2076">
      <c r="A2076" s="9" t="inlineStr">
        <is>
          <t>John Licitra</t>
        </is>
      </c>
      <c r="B2076" s="9" t="inlineStr">
        <is>
          <t>1/25/26 - 2/21/26</t>
        </is>
      </c>
      <c r="C2076" s="12" t="n">
        <v>1.0042</v>
      </c>
      <c r="D2076" s="12" t="n">
        <v>0.925999999999999</v>
      </c>
      <c r="E2076" s="12" t="n">
        <v>1</v>
      </c>
      <c r="F2076" s="12" t="n">
        <v>0.987012987012987</v>
      </c>
      <c r="G2076" s="12" t="n">
        <v>0.923076923076923</v>
      </c>
      <c r="H2076" s="9" t="n">
        <v>10</v>
      </c>
      <c r="I2076" s="9" t="inlineStr">
        <is>
          <t>2/13</t>
        </is>
      </c>
      <c r="J2076" s="12" t="n">
        <v>0.15</v>
      </c>
      <c r="K2076" t="inlineStr">
        <is>
          <t>Advanced</t>
        </is>
      </c>
      <c r="L2076" t="inlineStr">
        <is>
          <t>Professional</t>
        </is>
      </c>
      <c r="M2076" t="inlineStr">
        <is>
          <t>Geoff St. Marie</t>
        </is>
      </c>
    </row>
    <row r="2077">
      <c r="A2077" s="9" t="inlineStr">
        <is>
          <t>John Olmos</t>
        </is>
      </c>
      <c r="B2077" s="9" t="inlineStr">
        <is>
          <t>1/25/26 - 2/21/26</t>
        </is>
      </c>
      <c r="C2077" s="12" t="n">
        <v>1.0667</v>
      </c>
      <c r="D2077" s="12" t="n">
        <v>1.472</v>
      </c>
      <c r="E2077" s="12" t="n">
        <v>1</v>
      </c>
      <c r="F2077" s="12" t="n">
        <v>0.910447761194029</v>
      </c>
      <c r="G2077" s="12" t="n">
        <v>0.588235294117647</v>
      </c>
      <c r="H2077" s="9" t="n">
        <v>1</v>
      </c>
      <c r="I2077" s="10" t="inlineStr">
        <is>
          <t>1/2</t>
        </is>
      </c>
      <c r="J2077" s="12" t="n">
        <v>0.5</v>
      </c>
      <c r="K2077" t="inlineStr">
        <is>
          <t>Distinguished</t>
        </is>
      </c>
      <c r="L2077" t="inlineStr">
        <is>
          <t>Professional</t>
        </is>
      </c>
      <c r="M2077" t="inlineStr">
        <is>
          <t>Ian Plamondon</t>
        </is>
      </c>
    </row>
    <row r="2078">
      <c r="A2078" s="9" t="inlineStr">
        <is>
          <t>Johnny Kaplan</t>
        </is>
      </c>
      <c r="B2078" s="9" t="inlineStr">
        <is>
          <t>1/25/26 - 2/21/26</t>
        </is>
      </c>
      <c r="C2078" s="12" t="n">
        <v>0</v>
      </c>
      <c r="D2078" s="12" t="n">
        <v>0.6563</v>
      </c>
      <c r="E2078" s="12" t="n">
        <v>0</v>
      </c>
      <c r="F2078" s="12" t="n">
        <v>0</v>
      </c>
      <c r="G2078" s="12" t="n">
        <v>0</v>
      </c>
      <c r="H2078" s="9" t="n">
        <v>0</v>
      </c>
      <c r="I2078" s="10" t="inlineStr">
        <is>
          <t>0/0</t>
        </is>
      </c>
      <c r="J2078" s="12" t="n">
        <v>0</v>
      </c>
      <c r="K2078" t="e">
        <v>#N/A</v>
      </c>
      <c r="L2078" t="e">
        <v>#N/A</v>
      </c>
      <c r="M2078" t="e">
        <v>#N/A</v>
      </c>
    </row>
    <row r="2079">
      <c r="A2079" s="9" t="inlineStr">
        <is>
          <t>Jon Cathapermal</t>
        </is>
      </c>
      <c r="B2079" s="9" t="inlineStr">
        <is>
          <t>1/25/26 - 2/21/26</t>
        </is>
      </c>
      <c r="C2079" s="12" t="n">
        <v>0.875</v>
      </c>
      <c r="D2079" s="12" t="n">
        <v>1.0203</v>
      </c>
      <c r="E2079" s="12" t="n">
        <v>0.97391304347826</v>
      </c>
      <c r="F2079" s="12" t="n">
        <v>0.897435897435897</v>
      </c>
      <c r="G2079" s="12" t="n">
        <v>0.631578947368421</v>
      </c>
      <c r="H2079" s="9" t="n">
        <v>12</v>
      </c>
      <c r="I2079" s="10" t="inlineStr">
        <is>
          <t>3/4</t>
        </is>
      </c>
      <c r="J2079" s="12" t="n">
        <v>0.75</v>
      </c>
      <c r="K2079" t="inlineStr">
        <is>
          <t>Advanced</t>
        </is>
      </c>
      <c r="L2079" t="inlineStr">
        <is>
          <t>Professional</t>
        </is>
      </c>
      <c r="M2079" t="inlineStr">
        <is>
          <t>Geoff St. Marie</t>
        </is>
      </c>
    </row>
    <row r="2080">
      <c r="A2080" s="9" t="inlineStr">
        <is>
          <t>Jonathan Grams</t>
        </is>
      </c>
      <c r="B2080" s="9" t="inlineStr">
        <is>
          <t>1/25/26 - 2/21/26</t>
        </is>
      </c>
      <c r="C2080" s="12" t="n">
        <v>0.7292</v>
      </c>
      <c r="D2080" s="12" t="n">
        <v>1.2109</v>
      </c>
      <c r="E2080" s="12" t="n">
        <v>1</v>
      </c>
      <c r="F2080" s="12" t="n">
        <v>1</v>
      </c>
      <c r="G2080" s="12" t="n">
        <v>1</v>
      </c>
      <c r="H2080" s="9" t="n">
        <v>3</v>
      </c>
      <c r="I2080" s="10" t="inlineStr">
        <is>
          <t>1/2</t>
        </is>
      </c>
      <c r="J2080" s="12" t="n">
        <v>0.5</v>
      </c>
      <c r="K2080" t="inlineStr">
        <is>
          <t>Premium</t>
        </is>
      </c>
      <c r="L2080" t="inlineStr">
        <is>
          <t>Adjunct</t>
        </is>
      </c>
      <c r="M2080" t="inlineStr">
        <is>
          <t>Kristin Haase-Alvey</t>
        </is>
      </c>
    </row>
    <row r="2081">
      <c r="A2081" s="9" t="inlineStr">
        <is>
          <t>Jose Falconi</t>
        </is>
      </c>
      <c r="B2081" s="9" t="inlineStr">
        <is>
          <t>1/25/26 - 2/21/26</t>
        </is>
      </c>
      <c r="C2081" s="12" t="n">
        <v>1.0929</v>
      </c>
      <c r="D2081" s="12" t="n">
        <v>0.9666</v>
      </c>
      <c r="E2081" s="12" t="n">
        <v>0.994011976047904</v>
      </c>
      <c r="F2081" s="12" t="n">
        <v>0.962264150943396</v>
      </c>
      <c r="G2081" s="12" t="n">
        <v>0.375</v>
      </c>
      <c r="H2081" s="9" t="n">
        <v>9</v>
      </c>
      <c r="I2081" s="10" t="inlineStr">
        <is>
          <t>3/6</t>
        </is>
      </c>
      <c r="J2081" s="12" t="n">
        <v>0.5</v>
      </c>
      <c r="K2081" t="inlineStr">
        <is>
          <t>Advanced</t>
        </is>
      </c>
      <c r="L2081" t="inlineStr">
        <is>
          <t>Professional</t>
        </is>
      </c>
      <c r="M2081" t="inlineStr">
        <is>
          <t>Annelies de Groot</t>
        </is>
      </c>
    </row>
    <row r="2082">
      <c r="A2082" s="9" t="inlineStr">
        <is>
          <t>Joy Chen</t>
        </is>
      </c>
      <c r="B2082" s="9" t="inlineStr">
        <is>
          <t>1/25/26 - 2/21/26</t>
        </is>
      </c>
      <c r="C2082" s="12" t="n">
        <v>0</v>
      </c>
      <c r="D2082" s="12" t="n">
        <v>1.2</v>
      </c>
      <c r="E2082" s="12" t="n">
        <v>0</v>
      </c>
      <c r="F2082" s="12" t="n">
        <v>0</v>
      </c>
      <c r="G2082" s="12" t="n">
        <v>0</v>
      </c>
      <c r="H2082" s="9" t="n">
        <v>0</v>
      </c>
      <c r="I2082" s="10" t="inlineStr">
        <is>
          <t>0/0</t>
        </is>
      </c>
      <c r="J2082" s="12" t="n">
        <v>0</v>
      </c>
      <c r="K2082" t="e">
        <v>#N/A</v>
      </c>
      <c r="L2082" t="e">
        <v>#N/A</v>
      </c>
      <c r="M2082" t="e">
        <v>#N/A</v>
      </c>
    </row>
    <row r="2083">
      <c r="A2083" s="9" t="inlineStr">
        <is>
          <t>Joyraj D'souza</t>
        </is>
      </c>
      <c r="B2083" s="9" t="inlineStr">
        <is>
          <t>1/25/26 - 2/21/26</t>
        </is>
      </c>
      <c r="C2083" s="12" t="n">
        <v>1.40629999999999</v>
      </c>
      <c r="D2083" s="12" t="n">
        <v>1.2344</v>
      </c>
      <c r="E2083" s="12" t="n">
        <v>1</v>
      </c>
      <c r="F2083" s="12" t="n">
        <v>1</v>
      </c>
      <c r="G2083" s="12" t="n">
        <v>1</v>
      </c>
      <c r="H2083" s="9" t="n">
        <v>8</v>
      </c>
      <c r="I2083" s="10" t="inlineStr">
        <is>
          <t>0/0</t>
        </is>
      </c>
      <c r="J2083" s="12" t="n">
        <v>0</v>
      </c>
      <c r="K2083" t="inlineStr">
        <is>
          <t>Advanced</t>
        </is>
      </c>
      <c r="L2083" t="inlineStr">
        <is>
          <t>Adjunct</t>
        </is>
      </c>
      <c r="M2083" t="inlineStr">
        <is>
          <t>Kristin Haase-Alvey</t>
        </is>
      </c>
    </row>
    <row r="2084">
      <c r="A2084" s="9" t="inlineStr">
        <is>
          <t>Juan Nunez</t>
        </is>
      </c>
      <c r="B2084" s="9" t="inlineStr">
        <is>
          <t>1/25/26 - 2/21/26</t>
        </is>
      </c>
      <c r="C2084" s="12" t="n">
        <v>0.8792</v>
      </c>
      <c r="D2084" s="12" t="n">
        <v>1.0625</v>
      </c>
      <c r="E2084" s="12" t="n">
        <v>1</v>
      </c>
      <c r="F2084" s="12" t="n">
        <v>1</v>
      </c>
      <c r="G2084" s="12" t="n">
        <v>1</v>
      </c>
      <c r="H2084" s="9" t="n">
        <v>0</v>
      </c>
      <c r="I2084" s="10" t="inlineStr">
        <is>
          <t>11/13</t>
        </is>
      </c>
      <c r="J2084" s="12" t="n">
        <v>0.85</v>
      </c>
      <c r="K2084" t="inlineStr">
        <is>
          <t>Advanced</t>
        </is>
      </c>
      <c r="L2084" t="inlineStr">
        <is>
          <t>Professional</t>
        </is>
      </c>
      <c r="M2084" t="inlineStr">
        <is>
          <t>Kristin Haase-Alvey</t>
        </is>
      </c>
    </row>
    <row r="2085">
      <c r="A2085" s="9" t="inlineStr">
        <is>
          <t>Judi Abo Hana</t>
        </is>
      </c>
      <c r="B2085" s="9" t="inlineStr">
        <is>
          <t>1/25/26 - 2/21/26</t>
        </is>
      </c>
      <c r="C2085" s="12" t="n">
        <v>1.8813</v>
      </c>
      <c r="D2085" s="12" t="n">
        <v>1.71609999999999</v>
      </c>
      <c r="E2085" s="12" t="n">
        <v>1</v>
      </c>
      <c r="F2085" s="12" t="n">
        <v>0.96078431372549</v>
      </c>
      <c r="G2085" s="12" t="n">
        <v>0.52</v>
      </c>
      <c r="H2085" s="9" t="n">
        <v>9</v>
      </c>
      <c r="I2085" s="10" t="inlineStr">
        <is>
          <t>4/7</t>
        </is>
      </c>
      <c r="J2085" s="12" t="n">
        <v>0.57</v>
      </c>
      <c r="K2085" t="inlineStr">
        <is>
          <t>Advanced</t>
        </is>
      </c>
      <c r="L2085" t="inlineStr">
        <is>
          <t>Adjunct- BUC</t>
        </is>
      </c>
      <c r="M2085" t="inlineStr">
        <is>
          <t>Geoff St. Marie</t>
        </is>
      </c>
    </row>
    <row r="2086">
      <c r="A2086" s="9" t="inlineStr">
        <is>
          <t>Julia Saderholm</t>
        </is>
      </c>
      <c r="B2086" s="9" t="inlineStr">
        <is>
          <t>1/25/26 - 2/21/26</t>
        </is>
      </c>
      <c r="C2086" s="12" t="n">
        <v>1.0083</v>
      </c>
      <c r="D2086" s="12" t="n">
        <v>0.9852</v>
      </c>
      <c r="E2086" s="12" t="n">
        <v>1</v>
      </c>
      <c r="F2086" s="12" t="n">
        <v>0.931818181818181</v>
      </c>
      <c r="G2086" s="12" t="n">
        <v>0.178571428571428</v>
      </c>
      <c r="H2086" s="9" t="n">
        <v>10</v>
      </c>
      <c r="I2086" s="10" t="inlineStr">
        <is>
          <t>2/2</t>
        </is>
      </c>
      <c r="J2086" s="12" t="n">
        <v>1</v>
      </c>
      <c r="K2086" t="inlineStr">
        <is>
          <t>Advanced</t>
        </is>
      </c>
      <c r="L2086" t="inlineStr">
        <is>
          <t>Professional</t>
        </is>
      </c>
      <c r="M2086" t="inlineStr">
        <is>
          <t>Ela Cross</t>
        </is>
      </c>
    </row>
    <row r="2087">
      <c r="A2087" s="9" t="inlineStr">
        <is>
          <t>Julie Byrom</t>
        </is>
      </c>
      <c r="B2087" s="9" t="inlineStr">
        <is>
          <t>1/25/26 - 2/21/26</t>
        </is>
      </c>
      <c r="C2087" s="12" t="n">
        <v>0.8583</v>
      </c>
      <c r="D2087" s="12" t="n">
        <v>1.0099</v>
      </c>
      <c r="E2087" s="12" t="n">
        <v>1</v>
      </c>
      <c r="F2087" s="12" t="n">
        <v>1</v>
      </c>
      <c r="G2087" s="12" t="n">
        <v>0.9090909090909089</v>
      </c>
      <c r="H2087" s="9" t="n">
        <v>8</v>
      </c>
      <c r="I2087" s="10" t="inlineStr">
        <is>
          <t>2/2</t>
        </is>
      </c>
      <c r="J2087" s="12" t="n">
        <v>1</v>
      </c>
      <c r="K2087" t="inlineStr">
        <is>
          <t>Premium</t>
        </is>
      </c>
      <c r="L2087" t="inlineStr">
        <is>
          <t>Professional</t>
        </is>
      </c>
      <c r="M2087" t="inlineStr">
        <is>
          <t>Ela Cross</t>
        </is>
      </c>
    </row>
    <row r="2088">
      <c r="A2088" s="9" t="inlineStr">
        <is>
          <t>Kai Tsung</t>
        </is>
      </c>
      <c r="B2088" s="9" t="inlineStr">
        <is>
          <t>1/25/26 - 2/21/26</t>
        </is>
      </c>
      <c r="C2088" s="12" t="n">
        <v>0</v>
      </c>
      <c r="D2088" s="12" t="n">
        <v>1.28129999999999</v>
      </c>
      <c r="E2088" s="12" t="n">
        <v>0</v>
      </c>
      <c r="F2088" s="12" t="n">
        <v>0</v>
      </c>
      <c r="G2088" s="12" t="n">
        <v>0</v>
      </c>
      <c r="H2088" s="9" t="n">
        <v>0</v>
      </c>
      <c r="I2088" s="10" t="inlineStr">
        <is>
          <t>0/0</t>
        </is>
      </c>
      <c r="J2088" s="12" t="n">
        <v>0</v>
      </c>
      <c r="K2088" t="e">
        <v>#N/A</v>
      </c>
      <c r="L2088" t="e">
        <v>#N/A</v>
      </c>
      <c r="M2088" t="e">
        <v>#N/A</v>
      </c>
    </row>
    <row r="2089">
      <c r="A2089" s="9" t="inlineStr">
        <is>
          <t>Kailot Harris</t>
        </is>
      </c>
      <c r="B2089" s="9" t="inlineStr">
        <is>
          <t>1/25/26 - 2/21/26</t>
        </is>
      </c>
      <c r="C2089" s="12" t="n">
        <v>1.1</v>
      </c>
      <c r="D2089" s="12" t="n">
        <v>1.10859999999999</v>
      </c>
      <c r="E2089" s="12" t="n">
        <v>0.993006993006993</v>
      </c>
      <c r="F2089" s="12" t="n">
        <v>1</v>
      </c>
      <c r="G2089" s="12" t="n">
        <v>0.75</v>
      </c>
      <c r="H2089" s="9" t="n">
        <v>7</v>
      </c>
      <c r="I2089" s="10" t="inlineStr">
        <is>
          <t>0/3</t>
        </is>
      </c>
      <c r="J2089" s="12" t="n">
        <v>0</v>
      </c>
      <c r="K2089" t="inlineStr">
        <is>
          <t>Advanced</t>
        </is>
      </c>
      <c r="L2089" t="inlineStr">
        <is>
          <t>Professional</t>
        </is>
      </c>
      <c r="M2089" t="inlineStr">
        <is>
          <t>Kristin Haase-Alvey</t>
        </is>
      </c>
    </row>
    <row r="2090">
      <c r="A2090" s="9" t="inlineStr">
        <is>
          <t>Karleigh Arrington</t>
        </is>
      </c>
      <c r="B2090" s="9" t="inlineStr">
        <is>
          <t>1/25/26 - 2/21/26</t>
        </is>
      </c>
      <c r="C2090" s="12" t="n">
        <v>0.942899999999999</v>
      </c>
      <c r="D2090" s="12" t="n">
        <v>1.0465</v>
      </c>
      <c r="E2090" s="12" t="n">
        <v>1</v>
      </c>
      <c r="F2090" s="12" t="n">
        <v>0.9126213592233</v>
      </c>
      <c r="G2090" s="12" t="n">
        <v>1</v>
      </c>
      <c r="H2090" s="9" t="n">
        <v>3</v>
      </c>
      <c r="I2090" s="9" t="inlineStr">
        <is>
          <t>18/21</t>
        </is>
      </c>
      <c r="J2090" s="12" t="n">
        <v>0.86</v>
      </c>
      <c r="K2090" t="inlineStr">
        <is>
          <t>Advanced</t>
        </is>
      </c>
      <c r="L2090" t="inlineStr">
        <is>
          <t>Professional</t>
        </is>
      </c>
      <c r="M2090" t="inlineStr">
        <is>
          <t>Annelies de Groot</t>
        </is>
      </c>
    </row>
    <row r="2091">
      <c r="A2091" s="9" t="inlineStr">
        <is>
          <t>Katherine Clarke</t>
        </is>
      </c>
      <c r="B2091" s="9" t="inlineStr">
        <is>
          <t>1/25/26 - 2/21/26</t>
        </is>
      </c>
      <c r="C2091" s="12" t="n">
        <v>0.8083</v>
      </c>
      <c r="D2091" s="12" t="n">
        <v>0.8190999999999991</v>
      </c>
      <c r="E2091" s="12" t="n">
        <v>1</v>
      </c>
      <c r="F2091" s="12" t="n">
        <v>0.921875</v>
      </c>
      <c r="G2091" s="12" t="n">
        <v>0.823529411764705</v>
      </c>
      <c r="H2091" s="9" t="n">
        <v>0</v>
      </c>
      <c r="I2091" s="10" t="inlineStr">
        <is>
          <t>2/3</t>
        </is>
      </c>
      <c r="J2091" s="12" t="n">
        <v>0.66</v>
      </c>
      <c r="K2091" t="inlineStr">
        <is>
          <t>Distinguished</t>
        </is>
      </c>
      <c r="L2091" t="inlineStr">
        <is>
          <t>Professional</t>
        </is>
      </c>
      <c r="M2091" t="inlineStr">
        <is>
          <t>Kristin Haase-Alvey</t>
        </is>
      </c>
    </row>
    <row r="2092">
      <c r="A2092" s="9" t="inlineStr">
        <is>
          <t>Katherine Dickerson</t>
        </is>
      </c>
      <c r="B2092" s="9" t="inlineStr">
        <is>
          <t>1/25/26 - 2/21/26</t>
        </is>
      </c>
      <c r="C2092" s="12" t="n">
        <v>0.825</v>
      </c>
      <c r="D2092" s="12" t="n">
        <v>1.4128</v>
      </c>
      <c r="E2092" s="12" t="n">
        <v>1</v>
      </c>
      <c r="F2092" s="12" t="n">
        <v>0.888888888888888</v>
      </c>
      <c r="G2092" s="12" t="n">
        <v>0.5</v>
      </c>
      <c r="H2092" s="9" t="n">
        <v>1</v>
      </c>
      <c r="I2092" s="10" t="inlineStr">
        <is>
          <t>0/5</t>
        </is>
      </c>
      <c r="J2092" s="12" t="n">
        <v>0</v>
      </c>
      <c r="K2092" t="inlineStr">
        <is>
          <t>Premium</t>
        </is>
      </c>
      <c r="L2092" t="inlineStr">
        <is>
          <t>Professional</t>
        </is>
      </c>
      <c r="M2092" t="inlineStr">
        <is>
          <t>Geoff St. Marie</t>
        </is>
      </c>
    </row>
    <row r="2093">
      <c r="A2093" s="9" t="inlineStr">
        <is>
          <t>Katie Lykens</t>
        </is>
      </c>
      <c r="B2093" s="9" t="inlineStr">
        <is>
          <t>1/25/26 - 2/21/26</t>
        </is>
      </c>
      <c r="C2093" s="12" t="n">
        <v>0.8958</v>
      </c>
      <c r="D2093" s="12" t="n">
        <v>1.25</v>
      </c>
      <c r="E2093" s="12" t="n">
        <v>0.9375</v>
      </c>
      <c r="F2093" s="12" t="n">
        <v>1</v>
      </c>
      <c r="G2093" s="12" t="n">
        <v>0.666666666666666</v>
      </c>
      <c r="H2093" s="9" t="n">
        <v>0</v>
      </c>
      <c r="I2093" s="10" t="inlineStr">
        <is>
          <t>2/2</t>
        </is>
      </c>
      <c r="J2093" s="12" t="n">
        <v>1</v>
      </c>
      <c r="K2093" t="inlineStr">
        <is>
          <t>Distinguished</t>
        </is>
      </c>
      <c r="L2093" t="inlineStr">
        <is>
          <t>Adjunct</t>
        </is>
      </c>
      <c r="M2093" t="inlineStr">
        <is>
          <t>Annelies de Groot</t>
        </is>
      </c>
    </row>
    <row r="2094">
      <c r="A2094" s="9" t="inlineStr">
        <is>
          <t>Kiersten Guetlein</t>
        </is>
      </c>
      <c r="B2094" s="9" t="inlineStr">
        <is>
          <t>1/25/26 - 2/21/26</t>
        </is>
      </c>
      <c r="C2094" s="12" t="n">
        <v>0.75</v>
      </c>
      <c r="D2094" s="12" t="n">
        <v>1.5208</v>
      </c>
      <c r="E2094" s="12" t="n">
        <v>0.97560975609756</v>
      </c>
      <c r="F2094" s="12" t="n">
        <v>0.96078431372549</v>
      </c>
      <c r="G2094" s="12" t="n">
        <v>0.866666666666666</v>
      </c>
      <c r="H2094" s="9" t="n">
        <v>2</v>
      </c>
      <c r="I2094" s="9" t="inlineStr">
        <is>
          <t>0/1</t>
        </is>
      </c>
      <c r="J2094" s="12" t="n">
        <v>0</v>
      </c>
      <c r="K2094" t="inlineStr">
        <is>
          <t>Premium</t>
        </is>
      </c>
      <c r="L2094" t="inlineStr">
        <is>
          <t>Professional</t>
        </is>
      </c>
      <c r="M2094" t="inlineStr">
        <is>
          <t>Ela Cross</t>
        </is>
      </c>
    </row>
    <row r="2095">
      <c r="A2095" s="9" t="inlineStr">
        <is>
          <t>Kira Lioto</t>
        </is>
      </c>
      <c r="B2095" s="9" t="inlineStr">
        <is>
          <t>1/25/26 - 2/21/26</t>
        </is>
      </c>
      <c r="C2095" s="12" t="n">
        <v>1.05209999999999</v>
      </c>
      <c r="D2095" s="12" t="n">
        <v>1.0156</v>
      </c>
      <c r="E2095" s="12" t="n">
        <v>0.9807692307692299</v>
      </c>
      <c r="F2095" s="12" t="n">
        <v>0.9761904761904761</v>
      </c>
      <c r="G2095" s="12" t="n">
        <v>0</v>
      </c>
      <c r="H2095" s="9" t="n">
        <v>5</v>
      </c>
      <c r="I2095" s="9" t="inlineStr">
        <is>
          <t>5/5</t>
        </is>
      </c>
      <c r="J2095" s="12" t="n">
        <v>1</v>
      </c>
      <c r="K2095" t="inlineStr">
        <is>
          <t>Advanced</t>
        </is>
      </c>
      <c r="L2095" t="inlineStr">
        <is>
          <t>Adjunct-BUC</t>
        </is>
      </c>
      <c r="M2095" t="inlineStr">
        <is>
          <t>Kristin Haase-Alvey</t>
        </is>
      </c>
    </row>
    <row r="2096">
      <c r="A2096" s="9" t="inlineStr">
        <is>
          <t>Krishna Rastogi</t>
        </is>
      </c>
      <c r="B2096" s="9" t="inlineStr">
        <is>
          <t>1/25/26 - 2/21/26</t>
        </is>
      </c>
      <c r="C2096" s="12" t="n">
        <v>0.5833</v>
      </c>
      <c r="D2096" s="12" t="n">
        <v>1.1133</v>
      </c>
      <c r="E2096" s="12" t="n">
        <v>1</v>
      </c>
      <c r="F2096" s="12" t="n">
        <v>1</v>
      </c>
      <c r="G2096" s="12" t="n">
        <v>0</v>
      </c>
      <c r="H2096" s="9" t="n">
        <v>2</v>
      </c>
      <c r="I2096" s="10" t="inlineStr">
        <is>
          <t>0/9</t>
        </is>
      </c>
      <c r="J2096" s="12" t="n">
        <v>0</v>
      </c>
      <c r="K2096" t="inlineStr">
        <is>
          <t>Advanced</t>
        </is>
      </c>
      <c r="L2096" t="inlineStr">
        <is>
          <t>Adjunct- BUC</t>
        </is>
      </c>
      <c r="M2096" t="inlineStr">
        <is>
          <t>Kristin Haase-Alvey</t>
        </is>
      </c>
    </row>
    <row r="2097">
      <c r="A2097" s="9" t="inlineStr">
        <is>
          <t>Kristen Fox</t>
        </is>
      </c>
      <c r="B2097" s="9" t="inlineStr">
        <is>
          <t>1/25/26 - 2/21/26</t>
        </is>
      </c>
      <c r="C2097" s="12" t="n">
        <v>0.675</v>
      </c>
      <c r="D2097" s="12" t="n">
        <v>0.6563</v>
      </c>
      <c r="E2097" s="12" t="n">
        <v>0.872727272727272</v>
      </c>
      <c r="F2097" s="12" t="n">
        <v>0.957142857142857</v>
      </c>
      <c r="G2097" s="12" t="n">
        <v>0.807692307692307</v>
      </c>
      <c r="H2097" s="9" t="n">
        <v>8</v>
      </c>
      <c r="I2097" s="10" t="inlineStr">
        <is>
          <t>1/1</t>
        </is>
      </c>
      <c r="J2097" s="12" t="n">
        <v>1</v>
      </c>
      <c r="K2097" t="inlineStr">
        <is>
          <t>Advanced</t>
        </is>
      </c>
      <c r="L2097" t="inlineStr">
        <is>
          <t>Professional</t>
        </is>
      </c>
      <c r="M2097" t="inlineStr">
        <is>
          <t>Kristin Haase-Alvey</t>
        </is>
      </c>
    </row>
    <row r="2098">
      <c r="A2098" s="9" t="inlineStr">
        <is>
          <t>Kristen Luigart</t>
        </is>
      </c>
      <c r="B2098" s="9" t="inlineStr">
        <is>
          <t>1/25/26 - 2/21/26</t>
        </is>
      </c>
      <c r="C2098" s="12" t="n">
        <v>0.6375</v>
      </c>
      <c r="D2098" s="12" t="n">
        <v>1.0329</v>
      </c>
      <c r="E2098" s="12" t="n">
        <v>0.971830985915492</v>
      </c>
      <c r="F2098" s="12" t="n">
        <v>0.767441860465116</v>
      </c>
      <c r="G2098" s="12" t="n">
        <v>0.555555555555555</v>
      </c>
      <c r="H2098" s="9" t="n">
        <v>0</v>
      </c>
      <c r="I2098" s="10" t="inlineStr">
        <is>
          <t>3/4</t>
        </is>
      </c>
      <c r="J2098" s="12" t="n">
        <v>0.75</v>
      </c>
      <c r="K2098" t="inlineStr">
        <is>
          <t>Distinguished</t>
        </is>
      </c>
      <c r="L2098" t="inlineStr">
        <is>
          <t>Professional</t>
        </is>
      </c>
      <c r="M2098" t="inlineStr">
        <is>
          <t>Ian Plamondon</t>
        </is>
      </c>
    </row>
    <row r="2099">
      <c r="A2099" s="9" t="inlineStr">
        <is>
          <t>Lana Kargetta</t>
        </is>
      </c>
      <c r="B2099" s="9" t="inlineStr">
        <is>
          <t>1/25/26 - 2/21/26</t>
        </is>
      </c>
      <c r="C2099" s="12" t="n">
        <v>1.125</v>
      </c>
      <c r="D2099" s="12" t="n">
        <v>1.0625</v>
      </c>
      <c r="E2099" s="12" t="n">
        <v>0.93069306930693</v>
      </c>
      <c r="F2099" s="12" t="n">
        <v>0.919354838709677</v>
      </c>
      <c r="G2099" s="12" t="n">
        <v>1</v>
      </c>
      <c r="H2099" s="9" t="n">
        <v>7</v>
      </c>
      <c r="I2099" s="10" t="inlineStr">
        <is>
          <t>2/5</t>
        </is>
      </c>
      <c r="J2099" s="12" t="n">
        <v>0.4</v>
      </c>
      <c r="K2099" t="inlineStr">
        <is>
          <t>Advanced</t>
        </is>
      </c>
      <c r="L2099" t="inlineStr">
        <is>
          <t>Adjunct- BUC</t>
        </is>
      </c>
      <c r="M2099" t="inlineStr">
        <is>
          <t>Geoff St. Marie</t>
        </is>
      </c>
    </row>
    <row r="2100">
      <c r="A2100" s="9" t="inlineStr">
        <is>
          <t>Levi Fox</t>
        </is>
      </c>
      <c r="B2100" s="9" t="inlineStr">
        <is>
          <t>1/25/26 - 2/21/26</t>
        </is>
      </c>
      <c r="C2100" s="12" t="n">
        <v>0.6958</v>
      </c>
      <c r="D2100" s="12" t="n">
        <v>0.8289</v>
      </c>
      <c r="E2100" s="12" t="n">
        <v>0.97560975609756</v>
      </c>
      <c r="F2100" s="12" t="n">
        <v>1</v>
      </c>
      <c r="G2100" s="12" t="n">
        <v>0.0625</v>
      </c>
      <c r="H2100" s="9" t="n">
        <v>4</v>
      </c>
      <c r="I2100" s="9" t="inlineStr">
        <is>
          <t>1/3</t>
        </is>
      </c>
      <c r="J2100" s="12" t="n">
        <v>0.33</v>
      </c>
      <c r="K2100" t="inlineStr">
        <is>
          <t>Premium</t>
        </is>
      </c>
      <c r="L2100" t="inlineStr">
        <is>
          <t>Professional</t>
        </is>
      </c>
      <c r="M2100" t="inlineStr">
        <is>
          <t>Geoff St. Marie</t>
        </is>
      </c>
    </row>
    <row r="2101">
      <c r="A2101" s="9" t="inlineStr">
        <is>
          <t>Linda Hindi</t>
        </is>
      </c>
      <c r="B2101" s="9" t="inlineStr">
        <is>
          <t>1/25/26 - 2/21/26</t>
        </is>
      </c>
      <c r="C2101" s="12" t="n">
        <v>0.9958</v>
      </c>
      <c r="D2101" s="12" t="n">
        <v>1.69079999999999</v>
      </c>
      <c r="E2101" s="12" t="n">
        <v>0.975206611570247</v>
      </c>
      <c r="F2101" s="12" t="n">
        <v>0.988095238095238</v>
      </c>
      <c r="G2101" s="12" t="n">
        <v>1</v>
      </c>
      <c r="H2101" s="9" t="n">
        <v>2</v>
      </c>
      <c r="I2101" s="10" t="inlineStr">
        <is>
          <t>1/5</t>
        </is>
      </c>
      <c r="J2101" s="12" t="n">
        <v>0.2</v>
      </c>
      <c r="K2101" t="inlineStr">
        <is>
          <t>Distinguished</t>
        </is>
      </c>
      <c r="L2101" t="inlineStr">
        <is>
          <t>Professional</t>
        </is>
      </c>
      <c r="M2101" t="inlineStr">
        <is>
          <t>Ian Plamondon</t>
        </is>
      </c>
    </row>
    <row r="2102">
      <c r="A2102" s="9" t="inlineStr">
        <is>
          <t>Lisa Bartle</t>
        </is>
      </c>
      <c r="B2102" s="9" t="inlineStr">
        <is>
          <t>1/25/26 - 2/21/26</t>
        </is>
      </c>
      <c r="C2102" s="12" t="n">
        <v>1.9375</v>
      </c>
      <c r="D2102" s="12" t="n">
        <v>1.7539</v>
      </c>
      <c r="E2102" s="12" t="n">
        <v>0.956521739130434</v>
      </c>
      <c r="F2102" s="12" t="n">
        <v>0.891304347826086</v>
      </c>
      <c r="G2102" s="12" t="n">
        <v>0.785714285714285</v>
      </c>
      <c r="H2102" s="9" t="n">
        <v>1</v>
      </c>
      <c r="I2102" s="10" t="inlineStr">
        <is>
          <t>1/1</t>
        </is>
      </c>
      <c r="J2102" s="12" t="n">
        <v>1</v>
      </c>
      <c r="K2102" t="inlineStr">
        <is>
          <t>Premium</t>
        </is>
      </c>
      <c r="L2102" t="inlineStr">
        <is>
          <t>Adjunct</t>
        </is>
      </c>
      <c r="M2102" t="inlineStr">
        <is>
          <t>Annelies de Groot</t>
        </is>
      </c>
    </row>
    <row r="2103">
      <c r="A2103" s="9" t="inlineStr">
        <is>
          <t>Liz Garcia</t>
        </is>
      </c>
      <c r="B2103" s="9" t="inlineStr">
        <is>
          <t>1/25/26 - 2/21/26</t>
        </is>
      </c>
      <c r="C2103" s="12" t="n">
        <v>0.9208</v>
      </c>
      <c r="D2103" s="12" t="n">
        <v>1.1053</v>
      </c>
      <c r="E2103" s="12" t="n">
        <v>1</v>
      </c>
      <c r="F2103" s="12" t="n">
        <v>0.961038961038961</v>
      </c>
      <c r="G2103" s="12" t="n">
        <v>0.9</v>
      </c>
      <c r="H2103" s="9" t="n">
        <v>9</v>
      </c>
      <c r="I2103" s="9" t="inlineStr">
        <is>
          <t>7/10</t>
        </is>
      </c>
      <c r="J2103" s="12" t="n">
        <v>0.7</v>
      </c>
      <c r="K2103" t="inlineStr">
        <is>
          <t>Advanced</t>
        </is>
      </c>
      <c r="L2103" t="inlineStr">
        <is>
          <t>Professional</t>
        </is>
      </c>
      <c r="M2103" t="inlineStr">
        <is>
          <t>Ian Plamondon</t>
        </is>
      </c>
    </row>
    <row r="2104">
      <c r="A2104" s="9" t="inlineStr">
        <is>
          <t>Liz Pirie</t>
        </is>
      </c>
      <c r="B2104" s="9" t="inlineStr">
        <is>
          <t>1/25/26 - 2/21/26</t>
        </is>
      </c>
      <c r="C2104" s="12" t="n">
        <v>0.9042</v>
      </c>
      <c r="D2104" s="12" t="n">
        <v>1.0428</v>
      </c>
      <c r="E2104" s="12" t="n">
        <v>1</v>
      </c>
      <c r="F2104" s="12" t="n">
        <v>0.961038961038961</v>
      </c>
      <c r="G2104" s="12" t="n">
        <v>0.947368421052631</v>
      </c>
      <c r="H2104" s="9" t="n">
        <v>2</v>
      </c>
      <c r="I2104" s="10" t="inlineStr">
        <is>
          <t>2/2</t>
        </is>
      </c>
      <c r="J2104" s="12" t="n">
        <v>1</v>
      </c>
      <c r="K2104" t="inlineStr">
        <is>
          <t>Distinguished</t>
        </is>
      </c>
      <c r="L2104" t="inlineStr">
        <is>
          <t>Professional</t>
        </is>
      </c>
      <c r="M2104" t="inlineStr">
        <is>
          <t>Kristin Haase-Alvey</t>
        </is>
      </c>
    </row>
    <row r="2105">
      <c r="A2105" s="9" t="inlineStr">
        <is>
          <t>Loren Lijewski</t>
        </is>
      </c>
      <c r="B2105" s="9" t="inlineStr">
        <is>
          <t>1/25/26 - 2/21/26</t>
        </is>
      </c>
      <c r="C2105" s="12" t="n">
        <v>0</v>
      </c>
      <c r="D2105" s="12" t="n">
        <v>0</v>
      </c>
      <c r="E2105" s="12" t="n">
        <v>0</v>
      </c>
      <c r="F2105" s="12" t="n">
        <v>0</v>
      </c>
      <c r="G2105" s="12" t="n">
        <v>0</v>
      </c>
      <c r="H2105" s="9" t="n">
        <v>0</v>
      </c>
      <c r="I2105" s="10" t="inlineStr">
        <is>
          <t>0/0</t>
        </is>
      </c>
      <c r="J2105" s="12" t="n">
        <v>0</v>
      </c>
      <c r="K2105" t="e">
        <v>#N/A</v>
      </c>
      <c r="L2105" t="e">
        <v>#N/A</v>
      </c>
      <c r="M2105" t="e">
        <v>#N/A</v>
      </c>
    </row>
    <row r="2106">
      <c r="A2106" s="9" t="inlineStr">
        <is>
          <t>Machaela Verhage</t>
        </is>
      </c>
      <c r="B2106" s="9" t="inlineStr">
        <is>
          <t>1/25/26 - 2/21/26</t>
        </is>
      </c>
      <c r="C2106" s="12" t="n">
        <v>0.7375</v>
      </c>
      <c r="D2106" s="12" t="n">
        <v>1.0082</v>
      </c>
      <c r="E2106" s="12" t="n">
        <v>0.9859154929577461</v>
      </c>
      <c r="F2106" s="12" t="n">
        <v>1</v>
      </c>
      <c r="G2106" s="12" t="n">
        <v>0.5</v>
      </c>
      <c r="H2106" s="9" t="n">
        <v>5</v>
      </c>
      <c r="I2106" s="10" t="inlineStr">
        <is>
          <t>2/2</t>
        </is>
      </c>
      <c r="J2106" s="12" t="n">
        <v>1</v>
      </c>
      <c r="K2106" t="inlineStr">
        <is>
          <t>Distinguished</t>
        </is>
      </c>
      <c r="L2106" t="inlineStr">
        <is>
          <t>Professional</t>
        </is>
      </c>
      <c r="M2106" t="inlineStr">
        <is>
          <t>Annelies de Groot</t>
        </is>
      </c>
    </row>
    <row r="2107">
      <c r="A2107" s="9" t="inlineStr">
        <is>
          <t>Madia Banda</t>
        </is>
      </c>
      <c r="B2107" s="9" t="inlineStr">
        <is>
          <t>1/25/26 - 2/21/26</t>
        </is>
      </c>
      <c r="C2107" s="12" t="n">
        <v>1.05359999999999</v>
      </c>
      <c r="D2107" s="12" t="n">
        <v>1.0683</v>
      </c>
      <c r="E2107" s="12" t="n">
        <v>0.982142857142857</v>
      </c>
      <c r="F2107" s="12" t="n">
        <v>0.99</v>
      </c>
      <c r="G2107" s="12" t="n">
        <v>1</v>
      </c>
      <c r="H2107" s="9" t="n">
        <v>10</v>
      </c>
      <c r="I2107" s="10" t="inlineStr">
        <is>
          <t>0/3</t>
        </is>
      </c>
      <c r="J2107" s="12" t="n">
        <v>0</v>
      </c>
      <c r="K2107" t="inlineStr">
        <is>
          <t>Advanced</t>
        </is>
      </c>
      <c r="L2107" t="inlineStr">
        <is>
          <t>Professional- BUC</t>
        </is>
      </c>
      <c r="M2107" t="inlineStr">
        <is>
          <t>Geoff St. Marie</t>
        </is>
      </c>
    </row>
    <row r="2108">
      <c r="A2108" s="9" t="inlineStr">
        <is>
          <t>Maia Gerlinger</t>
        </is>
      </c>
      <c r="B2108" s="9" t="inlineStr">
        <is>
          <t>1/25/26 - 2/21/26</t>
        </is>
      </c>
      <c r="C2108" s="12" t="n">
        <v>1.23959999999999</v>
      </c>
      <c r="D2108" s="12" t="n">
        <v>1.5352</v>
      </c>
      <c r="E2108" s="12" t="n">
        <v>0.978723404255319</v>
      </c>
      <c r="F2108" s="12" t="n">
        <v>0.944444444444444</v>
      </c>
      <c r="G2108" s="12" t="n">
        <v>0.692307692307692</v>
      </c>
      <c r="H2108" s="9" t="n">
        <v>5</v>
      </c>
      <c r="I2108" s="10" t="inlineStr">
        <is>
          <t>0/0</t>
        </is>
      </c>
      <c r="J2108" s="12" t="n">
        <v>0</v>
      </c>
      <c r="K2108" t="inlineStr">
        <is>
          <t>Distinguished</t>
        </is>
      </c>
      <c r="L2108" t="inlineStr">
        <is>
          <t>Adjunct</t>
        </is>
      </c>
      <c r="M2108" t="inlineStr">
        <is>
          <t>Annelies de Groot</t>
        </is>
      </c>
    </row>
    <row r="2109">
      <c r="A2109" s="9" t="inlineStr">
        <is>
          <t>Margaret Webb</t>
        </is>
      </c>
      <c r="B2109" s="9" t="inlineStr">
        <is>
          <t>1/25/26 - 2/21/26</t>
        </is>
      </c>
      <c r="C2109" s="12" t="n">
        <v>1.5107</v>
      </c>
      <c r="D2109" s="12" t="n">
        <v>1.4724</v>
      </c>
      <c r="E2109" s="12" t="n">
        <v>0.9838709677419351</v>
      </c>
      <c r="F2109" s="12" t="n">
        <v>1</v>
      </c>
      <c r="G2109" s="12" t="n">
        <v>0.948717948717948</v>
      </c>
      <c r="H2109" s="9" t="n">
        <v>13</v>
      </c>
      <c r="I2109" s="9" t="inlineStr">
        <is>
          <t>4/6</t>
        </is>
      </c>
      <c r="J2109" s="12" t="n">
        <v>0.66</v>
      </c>
      <c r="K2109" t="inlineStr">
        <is>
          <t>Advanced</t>
        </is>
      </c>
      <c r="L2109" t="inlineStr">
        <is>
          <t>Professional</t>
        </is>
      </c>
      <c r="M2109" t="inlineStr">
        <is>
          <t>Kristin Haase-Alvey</t>
        </is>
      </c>
    </row>
    <row r="2110">
      <c r="A2110" s="9" t="inlineStr">
        <is>
          <t>Mariah Lutz</t>
        </is>
      </c>
      <c r="B2110" s="9" t="inlineStr">
        <is>
          <t>1/25/26 - 2/21/26</t>
        </is>
      </c>
      <c r="C2110" s="12" t="n">
        <v>0.2</v>
      </c>
      <c r="D2110" s="12" t="n">
        <v>0.9379999999999999</v>
      </c>
      <c r="E2110" s="12" t="n">
        <v>1</v>
      </c>
      <c r="F2110" s="12" t="n">
        <v>1</v>
      </c>
      <c r="G2110" s="12" t="n">
        <v>0</v>
      </c>
      <c r="H2110" s="9" t="n">
        <v>0</v>
      </c>
      <c r="I2110" s="10" t="inlineStr">
        <is>
          <t>8/8</t>
        </is>
      </c>
      <c r="J2110" s="12" t="n">
        <v>1</v>
      </c>
      <c r="K2110" t="inlineStr">
        <is>
          <t>Advanced</t>
        </is>
      </c>
      <c r="L2110" t="inlineStr">
        <is>
          <t xml:space="preserve">Professional </t>
        </is>
      </c>
      <c r="M2110" t="inlineStr">
        <is>
          <t>Ian Plamondon</t>
        </is>
      </c>
    </row>
    <row r="2111">
      <c r="A2111" s="9" t="inlineStr">
        <is>
          <t>Mark Duncan</t>
        </is>
      </c>
      <c r="B2111" s="9" t="inlineStr">
        <is>
          <t>1/25/26 - 2/21/26</t>
        </is>
      </c>
      <c r="C2111" s="12" t="n">
        <v>0.75</v>
      </c>
      <c r="D2111" s="12" t="n">
        <v>1.1328</v>
      </c>
      <c r="E2111" s="12" t="n">
        <v>1</v>
      </c>
      <c r="F2111" s="12" t="n">
        <v>0.7692307692307691</v>
      </c>
      <c r="G2111" s="12" t="n">
        <v>0.75</v>
      </c>
      <c r="H2111" s="9" t="n">
        <v>3</v>
      </c>
      <c r="I2111" s="9" t="inlineStr">
        <is>
          <t>2/3</t>
        </is>
      </c>
      <c r="J2111" s="12" t="n">
        <v>0.66</v>
      </c>
      <c r="K2111" t="inlineStr">
        <is>
          <t>Advanced</t>
        </is>
      </c>
      <c r="L2111" t="inlineStr">
        <is>
          <t>Adjunct</t>
        </is>
      </c>
      <c r="M2111" t="inlineStr">
        <is>
          <t>Kristin Haase-Alvey</t>
        </is>
      </c>
    </row>
    <row r="2112">
      <c r="A2112" s="9" t="inlineStr">
        <is>
          <t>Mary Felix</t>
        </is>
      </c>
      <c r="B2112" s="9" t="inlineStr">
        <is>
          <t>1/25/26 - 2/21/26</t>
        </is>
      </c>
      <c r="C2112" s="12" t="n">
        <v>0.8042</v>
      </c>
      <c r="D2112" s="12" t="n">
        <v>1.3109</v>
      </c>
      <c r="E2112" s="12" t="n">
        <v>0.977272727272727</v>
      </c>
      <c r="F2112" s="12" t="n">
        <v>0.9859154929577461</v>
      </c>
      <c r="G2112" s="12" t="n">
        <v>0.95</v>
      </c>
      <c r="H2112" s="9" t="n">
        <v>6</v>
      </c>
      <c r="I2112" s="10" t="inlineStr">
        <is>
          <t>0/4</t>
        </is>
      </c>
      <c r="J2112" s="12" t="n">
        <v>0</v>
      </c>
      <c r="K2112" t="inlineStr">
        <is>
          <t>Premium</t>
        </is>
      </c>
      <c r="L2112" t="inlineStr">
        <is>
          <t>Professional</t>
        </is>
      </c>
      <c r="M2112" t="inlineStr">
        <is>
          <t>Ian Plamondon</t>
        </is>
      </c>
    </row>
    <row r="2113">
      <c r="A2113" s="9" t="inlineStr">
        <is>
          <t>Mary Logan</t>
        </is>
      </c>
      <c r="B2113" s="9" t="inlineStr">
        <is>
          <t>1/25/26 - 2/21/26</t>
        </is>
      </c>
      <c r="C2113" s="12" t="n">
        <v>1.1375</v>
      </c>
      <c r="D2113" s="12" t="n">
        <v>1.1151</v>
      </c>
      <c r="E2113" s="12" t="n">
        <v>1</v>
      </c>
      <c r="F2113" s="12" t="n">
        <v>0.946236559139784</v>
      </c>
      <c r="G2113" s="12" t="n">
        <v>1</v>
      </c>
      <c r="H2113" s="9" t="n">
        <v>15</v>
      </c>
      <c r="I2113" s="10" t="inlineStr">
        <is>
          <t>2/3</t>
        </is>
      </c>
      <c r="J2113" s="12" t="n">
        <v>0.66</v>
      </c>
      <c r="K2113" t="inlineStr">
        <is>
          <t>Advanced</t>
        </is>
      </c>
      <c r="L2113" t="inlineStr">
        <is>
          <t>Professional</t>
        </is>
      </c>
      <c r="M2113" t="inlineStr">
        <is>
          <t>Ela Cross</t>
        </is>
      </c>
    </row>
    <row r="2114">
      <c r="A2114" s="9" t="inlineStr">
        <is>
          <t>Matthew Urso</t>
        </is>
      </c>
      <c r="B2114" s="9" t="inlineStr">
        <is>
          <t>1/25/26 - 2/21/26</t>
        </is>
      </c>
      <c r="C2114" s="12" t="n">
        <v>0.9</v>
      </c>
      <c r="D2114" s="12" t="n">
        <v>1.0181</v>
      </c>
      <c r="E2114" s="12" t="n">
        <v>1</v>
      </c>
      <c r="F2114" s="12" t="n">
        <v>1</v>
      </c>
      <c r="G2114" s="12" t="n">
        <v>0.823529411764705</v>
      </c>
      <c r="H2114" s="9" t="n">
        <v>2</v>
      </c>
      <c r="I2114" s="10" t="inlineStr">
        <is>
          <t>0/2</t>
        </is>
      </c>
      <c r="J2114" s="12" t="n">
        <v>0</v>
      </c>
      <c r="K2114" t="inlineStr">
        <is>
          <t>Distinguished</t>
        </is>
      </c>
      <c r="L2114" t="inlineStr">
        <is>
          <t>Professional</t>
        </is>
      </c>
      <c r="M2114" t="inlineStr">
        <is>
          <t>Ian Plamondon</t>
        </is>
      </c>
    </row>
    <row r="2115">
      <c r="A2115" s="9" t="inlineStr">
        <is>
          <t>Matthew Wert</t>
        </is>
      </c>
      <c r="B2115" s="9" t="inlineStr">
        <is>
          <t>1/25/26 - 2/21/26</t>
        </is>
      </c>
      <c r="C2115" s="12" t="n">
        <v>0.9375</v>
      </c>
      <c r="D2115" s="12" t="n">
        <v>0.901</v>
      </c>
      <c r="E2115" s="12" t="n">
        <v>0.972972972972972</v>
      </c>
      <c r="F2115" s="12" t="n">
        <v>0.888888888888888</v>
      </c>
      <c r="G2115" s="12" t="n">
        <v>0.4</v>
      </c>
      <c r="H2115" s="9" t="n">
        <v>10</v>
      </c>
      <c r="I2115" s="10" t="inlineStr">
        <is>
          <t>2/4</t>
        </is>
      </c>
      <c r="J2115" s="12" t="n">
        <v>0.5</v>
      </c>
      <c r="K2115" t="inlineStr">
        <is>
          <t>Advanced</t>
        </is>
      </c>
      <c r="L2115" t="inlineStr">
        <is>
          <t>Adjunct</t>
        </is>
      </c>
      <c r="M2115" t="inlineStr">
        <is>
          <t>Geoff St. Marie</t>
        </is>
      </c>
    </row>
    <row r="2116">
      <c r="A2116" s="9" t="inlineStr">
        <is>
          <t>Matty Burge</t>
        </is>
      </c>
      <c r="B2116" s="9" t="inlineStr">
        <is>
          <t>1/25/26 - 2/21/26</t>
        </is>
      </c>
      <c r="C2116" s="12" t="n">
        <v>0.6354</v>
      </c>
      <c r="D2116" s="12" t="n">
        <v>1.03129999999999</v>
      </c>
      <c r="E2116" s="12" t="n">
        <v>1</v>
      </c>
      <c r="F2116" s="12" t="n">
        <v>1</v>
      </c>
      <c r="G2116" s="12" t="n">
        <v>0.666666666666666</v>
      </c>
      <c r="H2116" s="9" t="n">
        <v>5</v>
      </c>
      <c r="I2116" s="10" t="inlineStr">
        <is>
          <t>3/3</t>
        </is>
      </c>
      <c r="J2116" s="12" t="n">
        <v>1</v>
      </c>
      <c r="K2116" t="inlineStr">
        <is>
          <t>Distinguished</t>
        </is>
      </c>
      <c r="L2116" t="inlineStr">
        <is>
          <t>Adjunct</t>
        </is>
      </c>
      <c r="M2116" t="inlineStr">
        <is>
          <t>Annelies de Groot</t>
        </is>
      </c>
    </row>
    <row r="2117">
      <c r="A2117" s="9" t="inlineStr">
        <is>
          <t>Maximilian Tsimerman</t>
        </is>
      </c>
      <c r="B2117" s="9" t="inlineStr">
        <is>
          <t>1/25/26 - 2/21/26</t>
        </is>
      </c>
      <c r="C2117" s="12" t="n">
        <v>1.2417</v>
      </c>
      <c r="D2117" s="12" t="n">
        <v>1.1003</v>
      </c>
      <c r="E2117" s="12" t="n">
        <v>0.958333333333333</v>
      </c>
      <c r="F2117" s="12" t="n">
        <v>0.958677685950413</v>
      </c>
      <c r="G2117" s="12" t="n">
        <v>0.642857142857142</v>
      </c>
      <c r="H2117" s="9" t="n">
        <v>12</v>
      </c>
      <c r="I2117" s="9" t="inlineStr">
        <is>
          <t>3/7</t>
        </is>
      </c>
      <c r="J2117" s="12" t="n">
        <v>0.43</v>
      </c>
      <c r="K2117" t="inlineStr">
        <is>
          <t>Advanced</t>
        </is>
      </c>
      <c r="L2117" t="inlineStr">
        <is>
          <t>Professional</t>
        </is>
      </c>
      <c r="M2117" t="inlineStr">
        <is>
          <t>Ian Plamondon</t>
        </is>
      </c>
    </row>
    <row r="2118">
      <c r="A2118" s="9" t="inlineStr">
        <is>
          <t>Megan Hoelting</t>
        </is>
      </c>
      <c r="B2118" s="9" t="inlineStr">
        <is>
          <t>1/25/26 - 2/21/26</t>
        </is>
      </c>
      <c r="C2118" s="12" t="n">
        <v>0.6563</v>
      </c>
      <c r="D2118" s="12" t="n">
        <v>1.14059999999999</v>
      </c>
      <c r="E2118" s="12" t="n">
        <v>0.95</v>
      </c>
      <c r="F2118" s="12" t="n">
        <v>1</v>
      </c>
      <c r="G2118" s="12" t="n">
        <v>0</v>
      </c>
      <c r="H2118" s="9" t="n">
        <v>0</v>
      </c>
      <c r="I2118" s="10" t="inlineStr">
        <is>
          <t>0/1</t>
        </is>
      </c>
      <c r="J2118" s="12" t="n">
        <v>0</v>
      </c>
      <c r="K2118" t="inlineStr">
        <is>
          <t>Distinguished</t>
        </is>
      </c>
      <c r="L2118" t="inlineStr">
        <is>
          <t>Adjunct</t>
        </is>
      </c>
      <c r="M2118" t="inlineStr">
        <is>
          <t>Annelies de Groot</t>
        </is>
      </c>
    </row>
    <row r="2119">
      <c r="A2119" s="9" t="inlineStr">
        <is>
          <t>Megan Ingle</t>
        </is>
      </c>
      <c r="B2119" s="9" t="inlineStr">
        <is>
          <t>1/25/26 - 2/21/26</t>
        </is>
      </c>
      <c r="C2119" s="12" t="n">
        <v>0</v>
      </c>
      <c r="D2119" s="12" t="n">
        <v>0.820299999999999</v>
      </c>
      <c r="E2119" s="12" t="n">
        <v>0</v>
      </c>
      <c r="F2119" s="12" t="n">
        <v>0</v>
      </c>
      <c r="G2119" s="12" t="n">
        <v>0</v>
      </c>
      <c r="H2119" s="9" t="n">
        <v>0</v>
      </c>
      <c r="I2119" s="10" t="inlineStr">
        <is>
          <t>0/0</t>
        </is>
      </c>
      <c r="J2119" s="12" t="n">
        <v>0</v>
      </c>
      <c r="K2119" t="e">
        <v>#N/A</v>
      </c>
      <c r="L2119" t="e">
        <v>#N/A</v>
      </c>
      <c r="M2119" t="e">
        <v>#N/A</v>
      </c>
    </row>
    <row r="2120">
      <c r="A2120" s="9" t="inlineStr">
        <is>
          <t>Megan Osgood</t>
        </is>
      </c>
      <c r="B2120" s="9" t="inlineStr">
        <is>
          <t>1/25/26 - 2/21/26</t>
        </is>
      </c>
      <c r="C2120" s="12" t="n">
        <v>0.6938</v>
      </c>
      <c r="D2120" s="12" t="n">
        <v>0.852</v>
      </c>
      <c r="E2120" s="12" t="n">
        <v>0.987654320987654</v>
      </c>
      <c r="F2120" s="12" t="n">
        <v>0.9836065573770491</v>
      </c>
      <c r="G2120" s="12" t="n">
        <v>1</v>
      </c>
      <c r="H2120" s="9" t="n">
        <v>4</v>
      </c>
      <c r="I2120" s="10" t="inlineStr">
        <is>
          <t>3/5</t>
        </is>
      </c>
      <c r="J2120" s="12" t="n">
        <v>0.6</v>
      </c>
      <c r="K2120" t="inlineStr">
        <is>
          <t>Distinguished</t>
        </is>
      </c>
      <c r="L2120" t="inlineStr">
        <is>
          <t>Professional</t>
        </is>
      </c>
      <c r="M2120" t="inlineStr">
        <is>
          <t>Annelies de Groot</t>
        </is>
      </c>
    </row>
    <row r="2121">
      <c r="A2121" s="9" t="inlineStr">
        <is>
          <t>Melanie Leong</t>
        </is>
      </c>
      <c r="B2121" s="9" t="inlineStr">
        <is>
          <t>1/25/26 - 2/21/26</t>
        </is>
      </c>
      <c r="C2121" s="12" t="n">
        <v>0.6063</v>
      </c>
      <c r="D2121" s="12" t="n">
        <v>1.02959999999999</v>
      </c>
      <c r="E2121" s="12" t="n">
        <v>0.977272727272727</v>
      </c>
      <c r="F2121" s="12" t="n">
        <v>1</v>
      </c>
      <c r="G2121" s="12" t="n">
        <v>1</v>
      </c>
      <c r="H2121" s="9" t="n">
        <v>0</v>
      </c>
      <c r="I2121" s="10" t="inlineStr">
        <is>
          <t>0/0</t>
        </is>
      </c>
      <c r="J2121" s="12" t="n">
        <v>0</v>
      </c>
      <c r="K2121" t="inlineStr">
        <is>
          <t>Premium</t>
        </is>
      </c>
      <c r="L2121" t="inlineStr">
        <is>
          <t>Adjunct</t>
        </is>
      </c>
      <c r="M2121" t="inlineStr">
        <is>
          <t>Kristin Haase-Alvey</t>
        </is>
      </c>
    </row>
    <row r="2122">
      <c r="A2122" s="9" t="inlineStr">
        <is>
          <t>Melinda Mergendahl</t>
        </is>
      </c>
      <c r="B2122" s="9" t="inlineStr">
        <is>
          <t>1/25/26 - 2/21/26</t>
        </is>
      </c>
      <c r="C2122" s="12" t="n">
        <v>0.843799999999999</v>
      </c>
      <c r="D2122" s="12" t="n">
        <v>0.9245</v>
      </c>
      <c r="E2122" s="12" t="n">
        <v>0.984375</v>
      </c>
      <c r="F2122" s="12" t="n">
        <v>0.962962962962962</v>
      </c>
      <c r="G2122" s="12" t="n">
        <v>0.857142857142857</v>
      </c>
      <c r="H2122" s="9" t="n">
        <v>4</v>
      </c>
      <c r="I2122" s="10" t="inlineStr">
        <is>
          <t>2/2</t>
        </is>
      </c>
      <c r="J2122" s="12" t="n">
        <v>1</v>
      </c>
      <c r="K2122" t="inlineStr">
        <is>
          <t>Distinguished</t>
        </is>
      </c>
      <c r="L2122" t="inlineStr">
        <is>
          <t>Adjunct</t>
        </is>
      </c>
      <c r="M2122" t="inlineStr">
        <is>
          <t>Ian Plamondon</t>
        </is>
      </c>
    </row>
    <row r="2123">
      <c r="A2123" s="9" t="inlineStr">
        <is>
          <t>Michelle Testerman</t>
        </is>
      </c>
      <c r="B2123" s="9" t="inlineStr">
        <is>
          <t>1/25/26 - 2/21/26</t>
        </is>
      </c>
      <c r="C2123" s="12" t="n">
        <v>1.125</v>
      </c>
      <c r="D2123" s="12" t="n">
        <v>0.9922</v>
      </c>
      <c r="E2123" s="12" t="n">
        <v>0.986666666666666</v>
      </c>
      <c r="F2123" s="12" t="n">
        <v>0.951219512195121</v>
      </c>
      <c r="G2123" s="12" t="n">
        <v>1</v>
      </c>
      <c r="H2123" s="9" t="n">
        <v>13</v>
      </c>
      <c r="I2123" s="10" t="inlineStr">
        <is>
          <t>0/0</t>
        </is>
      </c>
      <c r="J2123" s="12" t="n">
        <v>0</v>
      </c>
      <c r="K2123" t="inlineStr">
        <is>
          <t>Advanced</t>
        </is>
      </c>
      <c r="L2123" t="inlineStr">
        <is>
          <t>Adjunct</t>
        </is>
      </c>
      <c r="M2123" t="inlineStr">
        <is>
          <t>Ela Cross</t>
        </is>
      </c>
    </row>
    <row r="2124">
      <c r="A2124" s="9" t="inlineStr">
        <is>
          <t>Miki Cornwell</t>
        </is>
      </c>
      <c r="B2124" s="9" t="inlineStr">
        <is>
          <t>1/25/26 - 2/21/26</t>
        </is>
      </c>
      <c r="C2124" s="12" t="n">
        <v>1.5885</v>
      </c>
      <c r="D2124" s="12" t="n">
        <v>1.33199999999999</v>
      </c>
      <c r="E2124" s="12" t="n">
        <v>0.988095238095238</v>
      </c>
      <c r="F2124" s="12" t="n">
        <v>0.946428571428571</v>
      </c>
      <c r="G2124" s="12" t="n">
        <v>0.7</v>
      </c>
      <c r="H2124" s="9" t="n">
        <v>6</v>
      </c>
      <c r="I2124" s="9" t="inlineStr">
        <is>
          <t>4/10</t>
        </is>
      </c>
      <c r="J2124" s="12" t="n">
        <v>0.4</v>
      </c>
      <c r="K2124" t="inlineStr">
        <is>
          <t>Advanced</t>
        </is>
      </c>
      <c r="L2124" t="inlineStr">
        <is>
          <t>Adjunct</t>
        </is>
      </c>
      <c r="M2124" t="inlineStr">
        <is>
          <t>Ela Cross</t>
        </is>
      </c>
    </row>
    <row r="2125">
      <c r="A2125" s="9" t="inlineStr">
        <is>
          <t>Myles Oldroyd</t>
        </is>
      </c>
      <c r="B2125" s="9" t="inlineStr">
        <is>
          <t>1/25/26 - 2/21/26</t>
        </is>
      </c>
      <c r="C2125" s="12" t="n">
        <v>1.0292</v>
      </c>
      <c r="D2125" s="12" t="n">
        <v>1.71879999999999</v>
      </c>
      <c r="E2125" s="12" t="n">
        <v>1</v>
      </c>
      <c r="F2125" s="12" t="n">
        <v>0.987179487179487</v>
      </c>
      <c r="G2125" s="12" t="n">
        <v>0.888888888888888</v>
      </c>
      <c r="H2125" s="9" t="n">
        <v>3</v>
      </c>
      <c r="I2125" s="10" t="inlineStr">
        <is>
          <t>4/7</t>
        </is>
      </c>
      <c r="J2125" s="12" t="n">
        <v>0.57</v>
      </c>
      <c r="K2125" t="inlineStr">
        <is>
          <t>Premium</t>
        </is>
      </c>
      <c r="L2125" t="inlineStr">
        <is>
          <t>Professional</t>
        </is>
      </c>
      <c r="M2125" t="inlineStr">
        <is>
          <t>Ian Plamondon</t>
        </is>
      </c>
    </row>
    <row r="2126">
      <c r="A2126" s="9" t="inlineStr">
        <is>
          <t>Naima Chaudhry</t>
        </is>
      </c>
      <c r="B2126" s="9" t="inlineStr">
        <is>
          <t>1/25/26 - 2/21/26</t>
        </is>
      </c>
      <c r="C2126" s="12" t="n">
        <v>0.5625</v>
      </c>
      <c r="D2126" s="12" t="n">
        <v>1.1055</v>
      </c>
      <c r="E2126" s="12" t="n">
        <v>0.956521739130434</v>
      </c>
      <c r="F2126" s="12" t="n">
        <v>1</v>
      </c>
      <c r="G2126" s="12" t="n">
        <v>0</v>
      </c>
      <c r="H2126" s="9" t="n">
        <v>1</v>
      </c>
      <c r="I2126" s="10" t="inlineStr">
        <is>
          <t>0/4</t>
        </is>
      </c>
      <c r="J2126" s="12" t="n">
        <v>0</v>
      </c>
      <c r="K2126" t="e">
        <v>#N/A</v>
      </c>
      <c r="L2126" t="e">
        <v>#N/A</v>
      </c>
      <c r="M2126" t="e">
        <v>#N/A</v>
      </c>
    </row>
    <row r="2127">
      <c r="A2127" s="9" t="inlineStr">
        <is>
          <t>Nando Reyes</t>
        </is>
      </c>
      <c r="B2127" s="9" t="inlineStr">
        <is>
          <t>1/25/26 - 2/21/26</t>
        </is>
      </c>
      <c r="C2127" s="12" t="n">
        <v>0.564299999999999</v>
      </c>
      <c r="D2127" s="12" t="n">
        <v>1.1962</v>
      </c>
      <c r="E2127" s="12" t="n">
        <v>1</v>
      </c>
      <c r="F2127" s="12" t="n">
        <v>0.961538461538461</v>
      </c>
      <c r="G2127" s="12" t="n">
        <v>0.888888888888888</v>
      </c>
      <c r="H2127" s="9" t="n">
        <v>0</v>
      </c>
      <c r="I2127" s="10" t="inlineStr">
        <is>
          <t>0/7</t>
        </is>
      </c>
      <c r="J2127" s="12" t="n">
        <v>0</v>
      </c>
      <c r="K2127" t="inlineStr">
        <is>
          <t>Distinguished</t>
        </is>
      </c>
      <c r="L2127" t="inlineStr">
        <is>
          <t>Professional</t>
        </is>
      </c>
      <c r="M2127" t="inlineStr">
        <is>
          <t>Geoff St. Marie</t>
        </is>
      </c>
    </row>
    <row r="2128">
      <c r="A2128" s="9" t="inlineStr">
        <is>
          <t>Nayely Rolon-Gomez</t>
        </is>
      </c>
      <c r="B2128" s="9" t="inlineStr">
        <is>
          <t>1/25/26 - 2/21/26</t>
        </is>
      </c>
      <c r="C2128" s="12" t="n">
        <v>1.25</v>
      </c>
      <c r="D2128" s="12" t="n">
        <v>1.1217</v>
      </c>
      <c r="E2128" s="12" t="n">
        <v>1</v>
      </c>
      <c r="F2128" s="12" t="n">
        <v>0.910714285714285</v>
      </c>
      <c r="G2128" s="12" t="n">
        <v>0.862068965517241</v>
      </c>
      <c r="H2128" s="9" t="n">
        <v>15</v>
      </c>
      <c r="I2128" s="10" t="inlineStr">
        <is>
          <t>2/4</t>
        </is>
      </c>
      <c r="J2128" s="12" t="n">
        <v>0.5</v>
      </c>
      <c r="K2128" t="inlineStr">
        <is>
          <t>Advanced</t>
        </is>
      </c>
      <c r="L2128" t="inlineStr">
        <is>
          <t>Professional</t>
        </is>
      </c>
      <c r="M2128" t="inlineStr">
        <is>
          <t>Ela Cross</t>
        </is>
      </c>
    </row>
    <row r="2129">
      <c r="A2129" s="9" t="inlineStr">
        <is>
          <t>Nicholas Ulfik</t>
        </is>
      </c>
      <c r="B2129" s="9" t="inlineStr">
        <is>
          <t>1/25/26 - 2/21/26</t>
        </is>
      </c>
      <c r="C2129" s="12" t="n">
        <v>1.0292</v>
      </c>
      <c r="D2129" s="12" t="n">
        <v>1.199</v>
      </c>
      <c r="E2129" s="12" t="n">
        <v>1</v>
      </c>
      <c r="F2129" s="12" t="n">
        <v>0.970588235294117</v>
      </c>
      <c r="G2129" s="12" t="n">
        <v>0.705882352941176</v>
      </c>
      <c r="H2129" s="9" t="n">
        <v>0</v>
      </c>
      <c r="I2129" s="10" t="inlineStr">
        <is>
          <t>1/2</t>
        </is>
      </c>
      <c r="J2129" s="12" t="n">
        <v>0.5</v>
      </c>
      <c r="K2129" t="inlineStr">
        <is>
          <t>Distinguished</t>
        </is>
      </c>
      <c r="L2129" t="inlineStr">
        <is>
          <t>Professional</t>
        </is>
      </c>
      <c r="M2129" t="inlineStr">
        <is>
          <t>Kristin Haase-Alvey</t>
        </is>
      </c>
    </row>
    <row r="2130">
      <c r="A2130" s="9" t="inlineStr">
        <is>
          <t>Nick Kocik</t>
        </is>
      </c>
      <c r="B2130" s="9" t="inlineStr">
        <is>
          <t>1/25/26 - 2/21/26</t>
        </is>
      </c>
      <c r="C2130" s="12" t="n">
        <v>1.0667</v>
      </c>
      <c r="D2130" s="12" t="n">
        <v>0.9967</v>
      </c>
      <c r="E2130" s="12" t="n">
        <v>0.991379310344827</v>
      </c>
      <c r="F2130" s="12" t="n">
        <v>0.964705882352941</v>
      </c>
      <c r="G2130" s="12" t="n">
        <v>0.35</v>
      </c>
      <c r="H2130" s="9" t="n">
        <v>1</v>
      </c>
      <c r="I2130" s="9" t="inlineStr">
        <is>
          <t>5/6</t>
        </is>
      </c>
      <c r="J2130" s="12" t="n">
        <v>0.83</v>
      </c>
      <c r="K2130" t="inlineStr">
        <is>
          <t>Advanced</t>
        </is>
      </c>
      <c r="L2130" t="inlineStr">
        <is>
          <t>Professional</t>
        </is>
      </c>
      <c r="M2130" t="inlineStr">
        <is>
          <t>Ela Cross</t>
        </is>
      </c>
    </row>
    <row r="2131">
      <c r="A2131" s="9" t="inlineStr">
        <is>
          <t>Nick Lucido</t>
        </is>
      </c>
      <c r="B2131" s="9" t="inlineStr">
        <is>
          <t>1/25/26 - 2/21/26</t>
        </is>
      </c>
      <c r="C2131" s="12" t="n">
        <v>1.2429</v>
      </c>
      <c r="D2131" s="12" t="n">
        <v>1.2398</v>
      </c>
      <c r="E2131" s="12" t="n">
        <v>0.99492385786802</v>
      </c>
      <c r="F2131" s="12" t="n">
        <v>0.99074074074074</v>
      </c>
      <c r="G2131" s="12" t="n">
        <v>0.8</v>
      </c>
      <c r="H2131" s="9" t="n">
        <v>13</v>
      </c>
      <c r="I2131" s="10" t="inlineStr">
        <is>
          <t>0/4</t>
        </is>
      </c>
      <c r="J2131" s="12" t="n">
        <v>0</v>
      </c>
      <c r="K2131" t="inlineStr">
        <is>
          <t>Advanced</t>
        </is>
      </c>
      <c r="L2131" t="inlineStr">
        <is>
          <t>Professional</t>
        </is>
      </c>
      <c r="M2131" t="inlineStr">
        <is>
          <t>Kristin Haase-Alvey</t>
        </is>
      </c>
    </row>
    <row r="2132">
      <c r="A2132" s="9" t="inlineStr">
        <is>
          <t>Nicole Bishop</t>
        </is>
      </c>
      <c r="B2132" s="9" t="inlineStr">
        <is>
          <t>1/25/26 - 2/21/26</t>
        </is>
      </c>
      <c r="C2132" s="12" t="n">
        <v>1.2667</v>
      </c>
      <c r="D2132" s="12" t="n">
        <v>1.1875</v>
      </c>
      <c r="E2132" s="12" t="n">
        <v>0.988826815642458</v>
      </c>
      <c r="F2132" s="12" t="n">
        <v>0.911764705882352</v>
      </c>
      <c r="G2132" s="12" t="n">
        <v>0.576923076923076</v>
      </c>
      <c r="H2132" s="9" t="n">
        <v>12</v>
      </c>
      <c r="I2132" s="10" t="inlineStr">
        <is>
          <t>3/7</t>
        </is>
      </c>
      <c r="J2132" s="12" t="n">
        <v>0.43</v>
      </c>
      <c r="K2132" t="inlineStr">
        <is>
          <t>Advanced</t>
        </is>
      </c>
      <c r="L2132" t="inlineStr">
        <is>
          <t>Professional</t>
        </is>
      </c>
      <c r="M2132" t="inlineStr">
        <is>
          <t>Ela Cross</t>
        </is>
      </c>
    </row>
    <row r="2133">
      <c r="A2133" s="9" t="inlineStr">
        <is>
          <t>Nik Kososik</t>
        </is>
      </c>
      <c r="B2133" s="9" t="inlineStr">
        <is>
          <t>1/25/26 - 2/21/26</t>
        </is>
      </c>
      <c r="C2133" s="12" t="n">
        <v>0.9906</v>
      </c>
      <c r="D2133" s="12" t="n">
        <v>1.0182</v>
      </c>
      <c r="E2133" s="12" t="n">
        <v>1</v>
      </c>
      <c r="F2133" s="12" t="n">
        <v>1</v>
      </c>
      <c r="G2133" s="12" t="n">
        <v>0.9411764705882349</v>
      </c>
      <c r="H2133" s="9" t="n">
        <v>8</v>
      </c>
      <c r="I2133" s="10" t="inlineStr">
        <is>
          <t>3/5</t>
        </is>
      </c>
      <c r="J2133" s="12" t="n">
        <v>0.6</v>
      </c>
      <c r="K2133" t="inlineStr">
        <is>
          <t>Advanced</t>
        </is>
      </c>
      <c r="L2133" t="inlineStr">
        <is>
          <t>Adjunct</t>
        </is>
      </c>
      <c r="M2133" t="inlineStr">
        <is>
          <t>Geoff St. Marie</t>
        </is>
      </c>
    </row>
    <row r="2134">
      <c r="A2134" s="9" t="inlineStr">
        <is>
          <t>Nisan Hubbard</t>
        </is>
      </c>
      <c r="B2134" s="9" t="inlineStr">
        <is>
          <t>1/25/26 - 2/21/26</t>
        </is>
      </c>
      <c r="C2134" s="12" t="n">
        <v>0.9125</v>
      </c>
      <c r="D2134" s="12" t="n">
        <v>0.862</v>
      </c>
      <c r="E2134" s="12" t="n">
        <v>0.972222222222222</v>
      </c>
      <c r="F2134" s="12" t="n">
        <v>1</v>
      </c>
      <c r="G2134" s="12" t="n">
        <v>0.714285714285714</v>
      </c>
      <c r="H2134" s="9" t="n">
        <v>14</v>
      </c>
      <c r="I2134" s="10" t="inlineStr">
        <is>
          <t>3/4</t>
        </is>
      </c>
      <c r="J2134" s="12" t="n">
        <v>0.75</v>
      </c>
      <c r="K2134" t="inlineStr">
        <is>
          <t>Advanced</t>
        </is>
      </c>
      <c r="L2134" t="inlineStr">
        <is>
          <t>Adjunct</t>
        </is>
      </c>
      <c r="M2134" t="inlineStr">
        <is>
          <t>Annelies de Groot</t>
        </is>
      </c>
    </row>
    <row r="2135">
      <c r="A2135" s="9" t="inlineStr">
        <is>
          <t>Noah Robinson</t>
        </is>
      </c>
      <c r="B2135" s="9" t="inlineStr">
        <is>
          <t>1/25/26 - 2/21/26</t>
        </is>
      </c>
      <c r="C2135" s="12" t="n">
        <v>1.0375</v>
      </c>
      <c r="D2135" s="12" t="n">
        <v>1.0148</v>
      </c>
      <c r="E2135" s="12" t="n">
        <v>0</v>
      </c>
      <c r="F2135" s="12" t="n">
        <v>0.9659090909090901</v>
      </c>
      <c r="G2135" s="12" t="n">
        <v>0.142857142857142</v>
      </c>
      <c r="H2135" s="9" t="n">
        <v>2</v>
      </c>
      <c r="I2135" s="10" t="inlineStr">
        <is>
          <t>0/14</t>
        </is>
      </c>
      <c r="J2135" s="12" t="n">
        <v>0</v>
      </c>
      <c r="K2135" t="inlineStr">
        <is>
          <t>Advanced</t>
        </is>
      </c>
      <c r="L2135" t="inlineStr">
        <is>
          <t>Professional</t>
        </is>
      </c>
      <c r="M2135" t="inlineStr">
        <is>
          <t>Geoff St. Marie</t>
        </is>
      </c>
    </row>
    <row r="2136">
      <c r="A2136" s="9" t="inlineStr">
        <is>
          <t>Ore Williams</t>
        </is>
      </c>
      <c r="B2136" s="9" t="inlineStr">
        <is>
          <t>1/25/26 - 2/21/26</t>
        </is>
      </c>
      <c r="C2136" s="12" t="n">
        <v>1.2083</v>
      </c>
      <c r="D2136" s="12" t="n">
        <v>1.45699999999999</v>
      </c>
      <c r="E2136" s="12" t="n">
        <v>0.966666666666666</v>
      </c>
      <c r="F2136" s="12" t="n">
        <v>1</v>
      </c>
      <c r="G2136" s="12" t="n">
        <v>0</v>
      </c>
      <c r="H2136" s="9" t="n">
        <v>5</v>
      </c>
      <c r="I2136" s="10" t="inlineStr">
        <is>
          <t>2/12</t>
        </is>
      </c>
      <c r="J2136" s="12" t="n">
        <v>0.17</v>
      </c>
      <c r="K2136" t="e">
        <v>#N/A</v>
      </c>
      <c r="L2136" t="e">
        <v>#N/A</v>
      </c>
      <c r="M2136" t="e">
        <v>#N/A</v>
      </c>
    </row>
    <row r="2137">
      <c r="A2137" s="9" t="inlineStr">
        <is>
          <t>Patricia Flores</t>
        </is>
      </c>
      <c r="B2137" s="9" t="inlineStr">
        <is>
          <t>1/25/26 - 2/21/26</t>
        </is>
      </c>
      <c r="C2137" s="12" t="n">
        <v>0.9843999999999991</v>
      </c>
      <c r="D2137" s="12" t="n">
        <v>1.40629999999999</v>
      </c>
      <c r="E2137" s="12" t="n">
        <v>0.938271604938271</v>
      </c>
      <c r="F2137" s="12" t="n">
        <v>0.979166666666666</v>
      </c>
      <c r="G2137" s="12" t="n">
        <v>1</v>
      </c>
      <c r="H2137" s="9" t="n">
        <v>0</v>
      </c>
      <c r="I2137" s="10" t="inlineStr">
        <is>
          <t>0/0</t>
        </is>
      </c>
      <c r="J2137" s="12" t="n">
        <v>0</v>
      </c>
      <c r="K2137" t="inlineStr">
        <is>
          <t>Distinguished</t>
        </is>
      </c>
      <c r="L2137" t="inlineStr">
        <is>
          <t>Adjunct</t>
        </is>
      </c>
      <c r="M2137" t="inlineStr">
        <is>
          <t>Ela Cross</t>
        </is>
      </c>
    </row>
    <row r="2138">
      <c r="A2138" s="9" t="inlineStr">
        <is>
          <t>Penny Russell</t>
        </is>
      </c>
      <c r="B2138" s="9" t="inlineStr">
        <is>
          <t>1/25/26 - 2/21/26</t>
        </is>
      </c>
      <c r="C2138" s="12" t="n">
        <v>0.9958</v>
      </c>
      <c r="D2138" s="12" t="n">
        <v>1.0066</v>
      </c>
      <c r="E2138" s="12" t="n">
        <v>1</v>
      </c>
      <c r="F2138" s="12" t="n">
        <v>1</v>
      </c>
      <c r="G2138" s="12" t="n">
        <v>0.333333333333333</v>
      </c>
      <c r="H2138" s="9" t="n">
        <v>0</v>
      </c>
      <c r="I2138" s="9" t="inlineStr">
        <is>
          <t>0/2</t>
        </is>
      </c>
      <c r="J2138" s="12" t="n">
        <v>0</v>
      </c>
      <c r="K2138" t="inlineStr">
        <is>
          <t>Advanced</t>
        </is>
      </c>
      <c r="L2138" t="inlineStr">
        <is>
          <t>Professional</t>
        </is>
      </c>
      <c r="M2138" t="inlineStr">
        <is>
          <t>Ian Plamondon</t>
        </is>
      </c>
    </row>
    <row r="2139">
      <c r="A2139" s="9" t="inlineStr">
        <is>
          <t>Philip Thomas</t>
        </is>
      </c>
      <c r="B2139" s="9" t="inlineStr">
        <is>
          <t>1/25/26 - 2/21/26</t>
        </is>
      </c>
      <c r="C2139" s="12" t="n">
        <v>1.1542</v>
      </c>
      <c r="D2139" s="12" t="n">
        <v>1.3684</v>
      </c>
      <c r="E2139" s="12" t="n">
        <v>0.661157024793388</v>
      </c>
      <c r="F2139" s="12" t="n">
        <v>0.956521739130434</v>
      </c>
      <c r="G2139" s="12" t="n">
        <v>0</v>
      </c>
      <c r="H2139" s="9" t="n">
        <v>5</v>
      </c>
      <c r="I2139" s="10" t="inlineStr">
        <is>
          <t>1/6</t>
        </is>
      </c>
      <c r="J2139" s="12" t="n">
        <v>0.17</v>
      </c>
      <c r="K2139" t="inlineStr">
        <is>
          <t>Premium</t>
        </is>
      </c>
      <c r="L2139" t="inlineStr">
        <is>
          <t>Professional</t>
        </is>
      </c>
      <c r="M2139" t="inlineStr">
        <is>
          <t>Annelies de Groot</t>
        </is>
      </c>
    </row>
    <row r="2140">
      <c r="A2140" s="9" t="inlineStr">
        <is>
          <t>Preston Peoples</t>
        </is>
      </c>
      <c r="B2140" s="9" t="inlineStr">
        <is>
          <t>1/25/26 - 2/21/26</t>
        </is>
      </c>
      <c r="C2140" s="12" t="n">
        <v>0.9958</v>
      </c>
      <c r="D2140" s="12" t="n">
        <v>0.9440999999999991</v>
      </c>
      <c r="E2140" s="12" t="n">
        <v>0.95</v>
      </c>
      <c r="F2140" s="12" t="n">
        <v>0.949367088607594</v>
      </c>
      <c r="G2140" s="12" t="n">
        <v>0.32</v>
      </c>
      <c r="H2140" s="9" t="n">
        <v>7</v>
      </c>
      <c r="I2140" s="9" t="inlineStr">
        <is>
          <t>0/5</t>
        </is>
      </c>
      <c r="J2140" s="12" t="n">
        <v>0</v>
      </c>
      <c r="K2140" t="inlineStr">
        <is>
          <t>Advanced</t>
        </is>
      </c>
      <c r="L2140" t="inlineStr">
        <is>
          <t>Professional</t>
        </is>
      </c>
      <c r="M2140" t="inlineStr">
        <is>
          <t>Annelies de Groot</t>
        </is>
      </c>
    </row>
    <row r="2141">
      <c r="A2141" s="9" t="inlineStr">
        <is>
          <t>Q. MonÃ©t Travis</t>
        </is>
      </c>
      <c r="B2141" s="9" t="inlineStr">
        <is>
          <t>1/25/26 - 2/21/26</t>
        </is>
      </c>
      <c r="C2141" s="12" t="n">
        <v>1.0813</v>
      </c>
      <c r="D2141" s="12" t="n">
        <v>1.0625</v>
      </c>
      <c r="E2141" s="12" t="n">
        <v>0.992481203007518</v>
      </c>
      <c r="F2141" s="12" t="n">
        <v>1</v>
      </c>
      <c r="G2141" s="12" t="n">
        <v>1</v>
      </c>
      <c r="H2141" s="9" t="n">
        <v>0</v>
      </c>
      <c r="I2141" s="9" t="inlineStr">
        <is>
          <t>5/8</t>
        </is>
      </c>
      <c r="J2141" s="12" t="n">
        <v>0.63</v>
      </c>
      <c r="K2141" t="e">
        <v>#N/A</v>
      </c>
      <c r="L2141" t="e">
        <v>#N/A</v>
      </c>
      <c r="M2141" t="e">
        <v>#N/A</v>
      </c>
    </row>
    <row r="2142">
      <c r="A2142" s="9" t="inlineStr">
        <is>
          <t>Rachel Daku</t>
        </is>
      </c>
      <c r="B2142" s="9" t="inlineStr">
        <is>
          <t>1/25/26 - 2/21/26</t>
        </is>
      </c>
      <c r="C2142" s="12" t="n">
        <v>0.8229</v>
      </c>
      <c r="D2142" s="12" t="n">
        <v>1.9219</v>
      </c>
      <c r="E2142" s="12" t="n">
        <v>1</v>
      </c>
      <c r="F2142" s="12" t="n">
        <v>0.956521739130434</v>
      </c>
      <c r="G2142" s="12" t="n">
        <v>0</v>
      </c>
      <c r="H2142" s="9" t="n">
        <v>0</v>
      </c>
      <c r="I2142" s="9" t="inlineStr">
        <is>
          <t>3/4</t>
        </is>
      </c>
      <c r="J2142" s="12" t="n">
        <v>0.75</v>
      </c>
      <c r="K2142" t="inlineStr">
        <is>
          <t>Distinguished</t>
        </is>
      </c>
      <c r="L2142" t="inlineStr">
        <is>
          <t>Adjunct</t>
        </is>
      </c>
      <c r="M2142" t="inlineStr">
        <is>
          <t>Annelies de Groot</t>
        </is>
      </c>
    </row>
    <row r="2143">
      <c r="A2143" s="9" t="inlineStr">
        <is>
          <t>Rafi Overton</t>
        </is>
      </c>
      <c r="B2143" s="9" t="inlineStr">
        <is>
          <t>1/25/26 - 2/21/26</t>
        </is>
      </c>
      <c r="C2143" s="12" t="n">
        <v>0.4607</v>
      </c>
      <c r="D2143" s="12" t="n">
        <v>0.9593</v>
      </c>
      <c r="E2143" s="12" t="n">
        <v>1</v>
      </c>
      <c r="F2143" s="12" t="n">
        <v>0.6326530612244891</v>
      </c>
      <c r="G2143" s="12" t="n">
        <v>0.5</v>
      </c>
      <c r="H2143" s="9" t="n">
        <v>1</v>
      </c>
      <c r="I2143" s="10" t="inlineStr">
        <is>
          <t>1/11</t>
        </is>
      </c>
      <c r="J2143" s="12" t="n">
        <v>0.09</v>
      </c>
      <c r="K2143" t="inlineStr">
        <is>
          <t>Advanced</t>
        </is>
      </c>
      <c r="L2143" t="inlineStr">
        <is>
          <t>Professional</t>
        </is>
      </c>
      <c r="M2143" t="inlineStr">
        <is>
          <t>Geoff St. Marie</t>
        </is>
      </c>
    </row>
    <row r="2144">
      <c r="A2144" s="9" t="inlineStr">
        <is>
          <t>Rain Real</t>
        </is>
      </c>
      <c r="B2144" s="9" t="inlineStr">
        <is>
          <t>1/25/26 - 2/21/26</t>
        </is>
      </c>
      <c r="C2144" s="12" t="n">
        <v>0.842899999999999</v>
      </c>
      <c r="D2144" s="12" t="n">
        <v>1.1265</v>
      </c>
      <c r="E2144" s="12" t="n">
        <v>1</v>
      </c>
      <c r="F2144" s="12" t="n">
        <v>1</v>
      </c>
      <c r="G2144" s="12" t="n">
        <v>0</v>
      </c>
      <c r="H2144" s="9" t="n">
        <v>1</v>
      </c>
      <c r="I2144" s="9" t="inlineStr">
        <is>
          <t>26/31</t>
        </is>
      </c>
      <c r="J2144" s="12" t="n">
        <v>0.84</v>
      </c>
      <c r="K2144" t="inlineStr">
        <is>
          <t>Advanced</t>
        </is>
      </c>
      <c r="L2144" t="inlineStr">
        <is>
          <t>Professional</t>
        </is>
      </c>
      <c r="M2144" t="inlineStr">
        <is>
          <t>Annelies de Groot</t>
        </is>
      </c>
    </row>
    <row r="2145">
      <c r="A2145" s="9" t="inlineStr">
        <is>
          <t>Ralph Strope</t>
        </is>
      </c>
      <c r="B2145" s="9" t="inlineStr">
        <is>
          <t>1/25/26 - 2/21/26</t>
        </is>
      </c>
      <c r="C2145" s="12" t="n">
        <v>1.075</v>
      </c>
      <c r="D2145" s="12" t="n">
        <v>1.0729</v>
      </c>
      <c r="E2145" s="12" t="n">
        <v>1</v>
      </c>
      <c r="F2145" s="12" t="n">
        <v>0.984126984126984</v>
      </c>
      <c r="G2145" s="12" t="n">
        <v>0.714285714285714</v>
      </c>
      <c r="H2145" s="9" t="n">
        <v>6</v>
      </c>
      <c r="I2145" s="10" t="inlineStr">
        <is>
          <t>0/2</t>
        </is>
      </c>
      <c r="J2145" s="12" t="n">
        <v>0</v>
      </c>
      <c r="K2145" t="inlineStr">
        <is>
          <t>Advanced</t>
        </is>
      </c>
      <c r="L2145" t="inlineStr">
        <is>
          <t>Adjunct</t>
        </is>
      </c>
      <c r="M2145" t="inlineStr">
        <is>
          <t>Ela Cross</t>
        </is>
      </c>
    </row>
    <row r="2146">
      <c r="A2146" s="9" t="inlineStr">
        <is>
          <t>Raymond Elliot</t>
        </is>
      </c>
      <c r="B2146" s="9" t="inlineStr">
        <is>
          <t>1/25/26 - 2/21/26</t>
        </is>
      </c>
      <c r="C2146" s="12" t="n">
        <v>0.918799999999999</v>
      </c>
      <c r="D2146" s="12" t="n">
        <v>1</v>
      </c>
      <c r="E2146" s="12" t="n">
        <v>1</v>
      </c>
      <c r="F2146" s="12" t="n">
        <v>0.984848484848484</v>
      </c>
      <c r="G2146" s="12" t="n">
        <v>0.625</v>
      </c>
      <c r="H2146" s="9" t="n">
        <v>9</v>
      </c>
      <c r="I2146" s="10" t="inlineStr">
        <is>
          <t>0/0</t>
        </is>
      </c>
      <c r="J2146" s="12" t="n">
        <v>0</v>
      </c>
      <c r="K2146" t="inlineStr">
        <is>
          <t>Advanced</t>
        </is>
      </c>
      <c r="L2146" t="inlineStr">
        <is>
          <t>Adjunct</t>
        </is>
      </c>
      <c r="M2146" t="inlineStr">
        <is>
          <t>Kristin Haase-Alvey</t>
        </is>
      </c>
    </row>
    <row r="2147">
      <c r="A2147" s="9" t="inlineStr">
        <is>
          <t>Raymond Serrano</t>
        </is>
      </c>
      <c r="B2147" s="9" t="inlineStr">
        <is>
          <t>1/25/26 - 2/21/26</t>
        </is>
      </c>
      <c r="C2147" s="12" t="n">
        <v>0.9458</v>
      </c>
      <c r="D2147" s="12" t="n">
        <v>0.907899999999999</v>
      </c>
      <c r="E2147" s="12" t="n">
        <v>0.933962264150943</v>
      </c>
      <c r="F2147" s="12" t="n">
        <v>1</v>
      </c>
      <c r="G2147" s="12" t="n">
        <v>0.38095238095238</v>
      </c>
      <c r="H2147" s="9" t="n">
        <v>4</v>
      </c>
      <c r="I2147" s="10" t="inlineStr">
        <is>
          <t>1/1</t>
        </is>
      </c>
      <c r="J2147" s="12" t="n">
        <v>1</v>
      </c>
      <c r="K2147" t="inlineStr">
        <is>
          <t>Advanced</t>
        </is>
      </c>
      <c r="L2147" t="inlineStr">
        <is>
          <t>Professional</t>
        </is>
      </c>
      <c r="M2147" t="inlineStr">
        <is>
          <t>Kristin Haase-Alvey</t>
        </is>
      </c>
    </row>
    <row r="2148">
      <c r="A2148" s="9" t="inlineStr">
        <is>
          <t>Rebekah Nachian</t>
        </is>
      </c>
      <c r="B2148" s="9" t="inlineStr">
        <is>
          <t>1/25/26 - 2/21/26</t>
        </is>
      </c>
      <c r="C2148" s="12" t="n">
        <v>0.7625</v>
      </c>
      <c r="D2148" s="12" t="n">
        <v>1.0724</v>
      </c>
      <c r="E2148" s="12" t="n">
        <v>1</v>
      </c>
      <c r="F2148" s="12" t="n">
        <v>0.9838709677419351</v>
      </c>
      <c r="G2148" s="12" t="n">
        <v>0</v>
      </c>
      <c r="H2148" s="9" t="n">
        <v>2</v>
      </c>
      <c r="I2148" s="10" t="inlineStr">
        <is>
          <t>0/9</t>
        </is>
      </c>
      <c r="J2148" s="12" t="n">
        <v>0</v>
      </c>
      <c r="K2148" t="inlineStr">
        <is>
          <t>Advanced</t>
        </is>
      </c>
      <c r="L2148" t="inlineStr">
        <is>
          <t>Professional</t>
        </is>
      </c>
      <c r="M2148" t="inlineStr">
        <is>
          <t>Annelies de Groot</t>
        </is>
      </c>
    </row>
    <row r="2149">
      <c r="A2149" s="9" t="inlineStr">
        <is>
          <t>Rehan Zaib</t>
        </is>
      </c>
      <c r="B2149" s="9" t="inlineStr">
        <is>
          <t>1/25/26 - 2/21/26</t>
        </is>
      </c>
      <c r="C2149" s="12" t="n">
        <v>0.997899999999999</v>
      </c>
      <c r="D2149" s="12" t="n">
        <v>1.0164</v>
      </c>
      <c r="E2149" s="12" t="n">
        <v>0.937062937062937</v>
      </c>
      <c r="F2149" s="12" t="n">
        <v>0.595505617977528</v>
      </c>
      <c r="G2149" s="12" t="n">
        <v>0.789473684210526</v>
      </c>
      <c r="H2149" s="9" t="n">
        <v>8</v>
      </c>
      <c r="I2149" s="10" t="inlineStr">
        <is>
          <t>1/5</t>
        </is>
      </c>
      <c r="J2149" s="12" t="n">
        <v>0.2</v>
      </c>
      <c r="K2149" t="inlineStr">
        <is>
          <t>Advanced</t>
        </is>
      </c>
      <c r="L2149" t="inlineStr">
        <is>
          <t>Professional</t>
        </is>
      </c>
      <c r="M2149" t="inlineStr">
        <is>
          <t>Ela Cross</t>
        </is>
      </c>
    </row>
    <row r="2150">
      <c r="A2150" s="9" t="inlineStr">
        <is>
          <t>Richard Kralik</t>
        </is>
      </c>
      <c r="B2150" s="9" t="inlineStr">
        <is>
          <t>1/25/26 - 2/21/26</t>
        </is>
      </c>
      <c r="C2150" s="12" t="n">
        <v>1.0393</v>
      </c>
      <c r="D2150" s="12" t="n">
        <v>1</v>
      </c>
      <c r="E2150" s="12" t="n">
        <v>0.993630573248407</v>
      </c>
      <c r="F2150" s="12" t="n">
        <v>0.925531914893617</v>
      </c>
      <c r="G2150" s="12" t="n">
        <v>0.136363636363636</v>
      </c>
      <c r="H2150" s="9" t="n">
        <v>10</v>
      </c>
      <c r="I2150" s="10" t="inlineStr">
        <is>
          <t>1/7</t>
        </is>
      </c>
      <c r="J2150" s="12" t="n">
        <v>0.14</v>
      </c>
      <c r="K2150" t="inlineStr">
        <is>
          <t>Advanced</t>
        </is>
      </c>
      <c r="L2150" t="inlineStr">
        <is>
          <t>Professional</t>
        </is>
      </c>
      <c r="M2150" t="inlineStr">
        <is>
          <t>Ian Plamondon</t>
        </is>
      </c>
    </row>
    <row r="2151">
      <c r="A2151" s="9" t="inlineStr">
        <is>
          <t>Ries Scerbin</t>
        </is>
      </c>
      <c r="B2151" s="9" t="inlineStr">
        <is>
          <t>1/25/26 - 2/21/26</t>
        </is>
      </c>
      <c r="C2151" s="12" t="n">
        <v>1.2083</v>
      </c>
      <c r="D2151" s="12" t="n">
        <v>1.27729999999999</v>
      </c>
      <c r="E2151" s="12" t="n">
        <v>0.925373134328358</v>
      </c>
      <c r="F2151" s="12" t="n">
        <v>1</v>
      </c>
      <c r="G2151" s="12" t="n">
        <v>0.285714285714285</v>
      </c>
      <c r="H2151" s="9" t="n">
        <v>5</v>
      </c>
      <c r="I2151" s="10" t="inlineStr">
        <is>
          <t>2/2</t>
        </is>
      </c>
      <c r="J2151" s="12" t="n">
        <v>1</v>
      </c>
      <c r="K2151" t="inlineStr">
        <is>
          <t>Advanced</t>
        </is>
      </c>
      <c r="L2151" t="inlineStr">
        <is>
          <t>Adjunct</t>
        </is>
      </c>
      <c r="M2151" t="inlineStr">
        <is>
          <t>Annelies de Groot</t>
        </is>
      </c>
    </row>
    <row r="2152">
      <c r="A2152" s="9" t="inlineStr">
        <is>
          <t>River Nunez</t>
        </is>
      </c>
      <c r="B2152" s="9" t="inlineStr">
        <is>
          <t>1/25/26 - 2/21/26</t>
        </is>
      </c>
      <c r="C2152" s="12" t="n">
        <v>1.0125</v>
      </c>
      <c r="D2152" s="12" t="n">
        <v>1.0214</v>
      </c>
      <c r="E2152" s="12" t="n">
        <v>0.958333333333333</v>
      </c>
      <c r="F2152" s="12" t="n">
        <v>0.684782608695652</v>
      </c>
      <c r="G2152" s="12" t="n">
        <v>0.684210526315789</v>
      </c>
      <c r="H2152" s="9" t="n">
        <v>4</v>
      </c>
      <c r="I2152" s="9" t="inlineStr">
        <is>
          <t>5/7</t>
        </is>
      </c>
      <c r="J2152" s="12" t="n">
        <v>0.71</v>
      </c>
      <c r="K2152" t="inlineStr">
        <is>
          <t>Advanced</t>
        </is>
      </c>
      <c r="L2152" t="inlineStr">
        <is>
          <t>Professional</t>
        </is>
      </c>
      <c r="M2152" t="inlineStr">
        <is>
          <t>Annelies de Groot</t>
        </is>
      </c>
    </row>
    <row r="2153">
      <c r="A2153" s="9" t="inlineStr">
        <is>
          <t>Robert Nantze</t>
        </is>
      </c>
      <c r="B2153" s="9" t="inlineStr">
        <is>
          <t>1/25/26 - 2/21/26</t>
        </is>
      </c>
      <c r="C2153" s="12" t="n">
        <v>1.1167</v>
      </c>
      <c r="D2153" s="12" t="n">
        <v>1.0987</v>
      </c>
      <c r="E2153" s="12" t="n">
        <v>0.946564885496183</v>
      </c>
      <c r="F2153" s="12" t="n">
        <v>1</v>
      </c>
      <c r="G2153" s="12" t="n">
        <v>0.9411764705882349</v>
      </c>
      <c r="H2153" s="9" t="n">
        <v>12</v>
      </c>
      <c r="I2153" s="10" t="inlineStr">
        <is>
          <t>2/9</t>
        </is>
      </c>
      <c r="J2153" s="12" t="n">
        <v>0.22</v>
      </c>
      <c r="K2153" t="inlineStr">
        <is>
          <t>Advanced</t>
        </is>
      </c>
      <c r="L2153" t="inlineStr">
        <is>
          <t>Professional</t>
        </is>
      </c>
      <c r="M2153" t="inlineStr">
        <is>
          <t>Ela Cross</t>
        </is>
      </c>
    </row>
    <row r="2154">
      <c r="A2154" s="9" t="inlineStr">
        <is>
          <t>Saahithi Punnam</t>
        </is>
      </c>
      <c r="B2154" s="9" t="inlineStr">
        <is>
          <t>1/25/26 - 2/21/26</t>
        </is>
      </c>
      <c r="C2154" s="12" t="n">
        <v>0.3542</v>
      </c>
      <c r="D2154" s="12" t="n">
        <v>1.1719</v>
      </c>
      <c r="E2154" s="12" t="n">
        <v>1</v>
      </c>
      <c r="F2154" s="12" t="n">
        <v>1</v>
      </c>
      <c r="G2154" s="12" t="n">
        <v>0</v>
      </c>
      <c r="H2154" s="9" t="n">
        <v>0</v>
      </c>
      <c r="I2154" s="10" t="inlineStr">
        <is>
          <t>2/6</t>
        </is>
      </c>
      <c r="J2154" s="12" t="n">
        <v>0.33</v>
      </c>
      <c r="K2154" t="inlineStr">
        <is>
          <t>Advanced</t>
        </is>
      </c>
      <c r="L2154" t="inlineStr">
        <is>
          <t>Adjunct- BUC</t>
        </is>
      </c>
      <c r="M2154" t="inlineStr">
        <is>
          <t>Ian Plamondon</t>
        </is>
      </c>
    </row>
    <row r="2155">
      <c r="A2155" s="9" t="inlineStr">
        <is>
          <t>Samantha Hudson</t>
        </is>
      </c>
      <c r="B2155" s="9" t="inlineStr">
        <is>
          <t>1/25/26 - 2/21/26</t>
        </is>
      </c>
      <c r="C2155" s="12" t="n">
        <v>0.3333</v>
      </c>
      <c r="D2155" s="12" t="n">
        <v>0.968799999999999</v>
      </c>
      <c r="E2155" s="12" t="n">
        <v>1</v>
      </c>
      <c r="F2155" s="12" t="n">
        <v>0.666666666666666</v>
      </c>
      <c r="G2155" s="12" t="n">
        <v>0.25</v>
      </c>
      <c r="H2155" s="9" t="n">
        <v>0</v>
      </c>
      <c r="I2155" s="10" t="inlineStr">
        <is>
          <t>0/0</t>
        </is>
      </c>
      <c r="J2155" s="12" t="n">
        <v>0</v>
      </c>
      <c r="K2155" t="inlineStr">
        <is>
          <t>Distinguished</t>
        </is>
      </c>
      <c r="L2155" t="inlineStr">
        <is>
          <t>Adjunct</t>
        </is>
      </c>
      <c r="M2155" t="inlineStr">
        <is>
          <t>Annelies de Groot</t>
        </is>
      </c>
    </row>
    <row r="2156">
      <c r="A2156" s="9" t="inlineStr">
        <is>
          <t>Samantha Wetz</t>
        </is>
      </c>
      <c r="B2156" s="9" t="inlineStr">
        <is>
          <t>1/25/26 - 2/21/26</t>
        </is>
      </c>
      <c r="C2156" s="12" t="n">
        <v>0.9042</v>
      </c>
      <c r="D2156" s="12" t="n">
        <v>1.3207</v>
      </c>
      <c r="E2156" s="12" t="n">
        <v>1</v>
      </c>
      <c r="F2156" s="12" t="n">
        <v>1</v>
      </c>
      <c r="G2156" s="12" t="n">
        <v>0.8</v>
      </c>
      <c r="H2156" s="9" t="n">
        <v>4</v>
      </c>
      <c r="I2156" s="10" t="inlineStr">
        <is>
          <t>1/3</t>
        </is>
      </c>
      <c r="J2156" s="12" t="n">
        <v>0.33</v>
      </c>
      <c r="K2156" t="inlineStr">
        <is>
          <t>Premium</t>
        </is>
      </c>
      <c r="L2156" t="inlineStr">
        <is>
          <t>Professional</t>
        </is>
      </c>
      <c r="M2156" t="inlineStr">
        <is>
          <t>Ian Plamondon</t>
        </is>
      </c>
    </row>
    <row r="2157">
      <c r="A2157" s="9" t="inlineStr">
        <is>
          <t>Sarah Goodstein</t>
        </is>
      </c>
      <c r="B2157" s="9" t="inlineStr">
        <is>
          <t>1/25/26 - 2/21/26</t>
        </is>
      </c>
      <c r="C2157" s="12" t="n">
        <v>1.1</v>
      </c>
      <c r="D2157" s="12" t="n">
        <v>1.0345</v>
      </c>
      <c r="E2157" s="12" t="n">
        <v>0.926470588235294</v>
      </c>
      <c r="F2157" s="12" t="n">
        <v>0.9090909090909089</v>
      </c>
      <c r="G2157" s="12" t="n">
        <v>0.681818181818181</v>
      </c>
      <c r="H2157" s="9" t="n">
        <v>10</v>
      </c>
      <c r="I2157" s="10" t="inlineStr">
        <is>
          <t>0/2</t>
        </is>
      </c>
      <c r="J2157" s="12" t="n">
        <v>0</v>
      </c>
      <c r="K2157" t="inlineStr">
        <is>
          <t>Advanced</t>
        </is>
      </c>
      <c r="L2157" t="inlineStr">
        <is>
          <t>Professional</t>
        </is>
      </c>
      <c r="M2157" t="inlineStr">
        <is>
          <t>Kristin Haase-Alvey</t>
        </is>
      </c>
    </row>
    <row r="2158">
      <c r="A2158" s="9" t="inlineStr">
        <is>
          <t>Schon Gonzalez</t>
        </is>
      </c>
      <c r="B2158" s="9" t="inlineStr">
        <is>
          <t>1/25/26 - 2/21/26</t>
        </is>
      </c>
      <c r="C2158" s="12" t="n">
        <v>1.55209999999999</v>
      </c>
      <c r="D2158" s="12" t="n">
        <v>1.3906</v>
      </c>
      <c r="E2158" s="12" t="n">
        <v>1</v>
      </c>
      <c r="F2158" s="12" t="n">
        <v>0.957446808510638</v>
      </c>
      <c r="G2158" s="12" t="n">
        <v>0.6</v>
      </c>
      <c r="H2158" s="9" t="n">
        <v>1</v>
      </c>
      <c r="I2158" s="10" t="inlineStr">
        <is>
          <t>2/7</t>
        </is>
      </c>
      <c r="J2158" s="12" t="n">
        <v>0.29</v>
      </c>
      <c r="K2158" t="inlineStr">
        <is>
          <t>Advanced</t>
        </is>
      </c>
      <c r="L2158" t="inlineStr">
        <is>
          <t>Adjunct</t>
        </is>
      </c>
      <c r="M2158" t="inlineStr">
        <is>
          <t>Ela Cross</t>
        </is>
      </c>
    </row>
    <row r="2159">
      <c r="A2159" s="9" t="inlineStr">
        <is>
          <t>Scott Boyd</t>
        </is>
      </c>
      <c r="B2159" s="9" t="inlineStr">
        <is>
          <t>1/25/26 - 2/21/26</t>
        </is>
      </c>
      <c r="C2159" s="12" t="n">
        <v>0.8542</v>
      </c>
      <c r="D2159" s="12" t="n">
        <v>1.30859999999999</v>
      </c>
      <c r="E2159" s="12" t="n">
        <v>0.972972972972972</v>
      </c>
      <c r="F2159" s="12" t="n">
        <v>1</v>
      </c>
      <c r="G2159" s="12" t="n">
        <v>1</v>
      </c>
      <c r="H2159" s="9" t="n">
        <v>0</v>
      </c>
      <c r="I2159" s="10" t="inlineStr">
        <is>
          <t>1/2</t>
        </is>
      </c>
      <c r="J2159" s="12" t="n">
        <v>0.5</v>
      </c>
      <c r="K2159" t="inlineStr">
        <is>
          <t>Premium</t>
        </is>
      </c>
      <c r="L2159" t="inlineStr">
        <is>
          <t>Adjunct</t>
        </is>
      </c>
      <c r="M2159" t="inlineStr">
        <is>
          <t>Geoff St. Marie</t>
        </is>
      </c>
    </row>
    <row r="2160">
      <c r="A2160" s="9" t="inlineStr">
        <is>
          <t>Scott Greathouse</t>
        </is>
      </c>
      <c r="B2160" s="9" t="inlineStr">
        <is>
          <t>1/25/26 - 2/21/26</t>
        </is>
      </c>
      <c r="C2160" s="12" t="n">
        <v>0.5</v>
      </c>
      <c r="D2160" s="12" t="n">
        <v>0.9883</v>
      </c>
      <c r="E2160" s="12" t="n">
        <v>1</v>
      </c>
      <c r="F2160" s="12" t="n">
        <v>1</v>
      </c>
      <c r="G2160" s="12" t="n">
        <v>0</v>
      </c>
      <c r="H2160" s="9" t="n">
        <v>0</v>
      </c>
      <c r="I2160" s="10" t="inlineStr">
        <is>
          <t>2/5</t>
        </is>
      </c>
      <c r="J2160" s="12" t="n">
        <v>0.4</v>
      </c>
      <c r="K2160" t="inlineStr">
        <is>
          <t>Advanced</t>
        </is>
      </c>
      <c r="L2160" t="inlineStr">
        <is>
          <t>Adjunct</t>
        </is>
      </c>
      <c r="M2160" t="inlineStr">
        <is>
          <t>Kristin Haase-Alvey</t>
        </is>
      </c>
    </row>
    <row r="2161">
      <c r="A2161" s="9" t="inlineStr">
        <is>
          <t>Scott Holdcraft</t>
        </is>
      </c>
      <c r="B2161" s="9" t="inlineStr">
        <is>
          <t>1/25/26 - 2/21/26</t>
        </is>
      </c>
      <c r="C2161" s="12" t="n">
        <v>0.9333</v>
      </c>
      <c r="D2161" s="12" t="n">
        <v>1.0592</v>
      </c>
      <c r="E2161" s="12" t="n">
        <v>0.964539007092198</v>
      </c>
      <c r="F2161" s="12" t="n">
        <v>0.98876404494382</v>
      </c>
      <c r="G2161" s="12" t="n">
        <v>0.555555555555555</v>
      </c>
      <c r="H2161" s="9" t="n">
        <v>12</v>
      </c>
      <c r="I2161" s="9" t="inlineStr">
        <is>
          <t>1/1</t>
        </is>
      </c>
      <c r="J2161" s="12" t="n">
        <v>1</v>
      </c>
      <c r="K2161" t="inlineStr">
        <is>
          <t>Advanced</t>
        </is>
      </c>
      <c r="L2161" t="inlineStr">
        <is>
          <t>Professional</t>
        </is>
      </c>
      <c r="M2161" t="inlineStr">
        <is>
          <t>Ela Cross</t>
        </is>
      </c>
    </row>
    <row r="2162">
      <c r="A2162" s="9" t="inlineStr">
        <is>
          <t>Sean Ulfik</t>
        </is>
      </c>
      <c r="B2162" s="9" t="inlineStr">
        <is>
          <t>1/25/26 - 2/21/26</t>
        </is>
      </c>
      <c r="C2162" s="12" t="n">
        <v>0.5821</v>
      </c>
      <c r="D2162" s="12" t="n">
        <v>0.6957</v>
      </c>
      <c r="E2162" s="12" t="n">
        <v>1</v>
      </c>
      <c r="F2162" s="12" t="n">
        <v>0.944444444444444</v>
      </c>
      <c r="G2162" s="12" t="n">
        <v>0.684210526315789</v>
      </c>
      <c r="H2162" s="9" t="n">
        <v>3</v>
      </c>
      <c r="I2162" s="10" t="inlineStr">
        <is>
          <t>0/0</t>
        </is>
      </c>
      <c r="J2162" s="12" t="n">
        <v>0</v>
      </c>
      <c r="K2162" t="inlineStr">
        <is>
          <t>Premium</t>
        </is>
      </c>
      <c r="L2162" t="inlineStr">
        <is>
          <t>Professional</t>
        </is>
      </c>
      <c r="M2162" t="inlineStr">
        <is>
          <t>Annelies de Groot</t>
        </is>
      </c>
    </row>
    <row r="2163">
      <c r="A2163" s="9" t="inlineStr">
        <is>
          <t>Shannon Huang</t>
        </is>
      </c>
      <c r="B2163" s="9" t="inlineStr">
        <is>
          <t>1/25/26 - 2/21/26</t>
        </is>
      </c>
      <c r="C2163" s="12" t="n">
        <v>1.2583</v>
      </c>
      <c r="D2163" s="12" t="n">
        <v>1.097</v>
      </c>
      <c r="E2163" s="12" t="n">
        <v>0.971698113207547</v>
      </c>
      <c r="F2163" s="12" t="n">
        <v>0.233333333333333</v>
      </c>
      <c r="G2163" s="12" t="n">
        <v>0.40625</v>
      </c>
      <c r="H2163" s="9" t="n">
        <v>6</v>
      </c>
      <c r="I2163" s="9" t="inlineStr">
        <is>
          <t>0/1</t>
        </is>
      </c>
      <c r="J2163" s="12" t="n">
        <v>0</v>
      </c>
      <c r="K2163" t="inlineStr">
        <is>
          <t>Advanced</t>
        </is>
      </c>
      <c r="L2163" t="inlineStr">
        <is>
          <t>Professional</t>
        </is>
      </c>
      <c r="M2163" t="inlineStr">
        <is>
          <t>Ela Cross</t>
        </is>
      </c>
    </row>
    <row r="2164">
      <c r="A2164" s="9" t="inlineStr">
        <is>
          <t>Sharon Vincuilla</t>
        </is>
      </c>
      <c r="B2164" s="9" t="inlineStr">
        <is>
          <t>1/25/26 - 2/21/26</t>
        </is>
      </c>
      <c r="C2164" s="12" t="n">
        <v>1.2708</v>
      </c>
      <c r="D2164" s="12" t="n">
        <v>1.2891</v>
      </c>
      <c r="E2164" s="12" t="n">
        <v>1</v>
      </c>
      <c r="F2164" s="12" t="n">
        <v>1</v>
      </c>
      <c r="G2164" s="12" t="n">
        <v>1</v>
      </c>
      <c r="H2164" s="9" t="n">
        <v>6</v>
      </c>
      <c r="I2164" s="9" t="inlineStr">
        <is>
          <t>0/0</t>
        </is>
      </c>
      <c r="J2164" s="12" t="n">
        <v>0</v>
      </c>
      <c r="K2164" t="inlineStr">
        <is>
          <t>Advanced</t>
        </is>
      </c>
      <c r="L2164" t="inlineStr">
        <is>
          <t>Adjunct</t>
        </is>
      </c>
      <c r="M2164" t="inlineStr">
        <is>
          <t>Annelies de Groot</t>
        </is>
      </c>
    </row>
    <row r="2165">
      <c r="A2165" s="9" t="inlineStr">
        <is>
          <t>Shaun Leonard</t>
        </is>
      </c>
      <c r="B2165" s="9" t="inlineStr">
        <is>
          <t>1/25/26 - 2/21/26</t>
        </is>
      </c>
      <c r="C2165" s="12" t="n">
        <v>1.30209999999999</v>
      </c>
      <c r="D2165" s="12" t="n">
        <v>1.24609999999999</v>
      </c>
      <c r="E2165" s="12" t="n">
        <v>0.873015873015873</v>
      </c>
      <c r="F2165" s="12" t="n">
        <v>0.862745098039215</v>
      </c>
      <c r="G2165" s="12" t="n">
        <v>0.933333333333333</v>
      </c>
      <c r="H2165" s="9" t="n">
        <v>11</v>
      </c>
      <c r="I2165" s="10" t="inlineStr">
        <is>
          <t>1/5</t>
        </is>
      </c>
      <c r="J2165" s="12" t="n">
        <v>0.2</v>
      </c>
      <c r="K2165" t="inlineStr">
        <is>
          <t>Advanced</t>
        </is>
      </c>
      <c r="L2165" t="inlineStr">
        <is>
          <t>Adjunct</t>
        </is>
      </c>
      <c r="M2165" t="inlineStr">
        <is>
          <t>Kristin Haase-Alvey</t>
        </is>
      </c>
    </row>
    <row r="2166">
      <c r="A2166" s="9" t="inlineStr">
        <is>
          <t>Shaun O'Neil</t>
        </is>
      </c>
      <c r="B2166" s="9" t="inlineStr">
        <is>
          <t>1/25/26 - 2/21/26</t>
        </is>
      </c>
      <c r="C2166" s="12" t="n">
        <v>0.7375</v>
      </c>
      <c r="D2166" s="12" t="n">
        <v>1.0839</v>
      </c>
      <c r="E2166" s="12" t="n">
        <v>0.965116279069767</v>
      </c>
      <c r="F2166" s="12" t="n">
        <v>0.962962962962962</v>
      </c>
      <c r="G2166" s="12" t="n">
        <v>0.0666666666666666</v>
      </c>
      <c r="H2166" s="9" t="n">
        <v>3</v>
      </c>
      <c r="I2166" s="9" t="inlineStr">
        <is>
          <t>0/4</t>
        </is>
      </c>
      <c r="J2166" s="12" t="n">
        <v>0</v>
      </c>
      <c r="K2166" t="inlineStr">
        <is>
          <t>Distinguished</t>
        </is>
      </c>
      <c r="L2166" t="inlineStr">
        <is>
          <t>Professional</t>
        </is>
      </c>
      <c r="M2166" t="inlineStr">
        <is>
          <t>Ian Plamondon</t>
        </is>
      </c>
    </row>
    <row r="2167">
      <c r="A2167" s="9" t="inlineStr">
        <is>
          <t>Shawn Kane</t>
        </is>
      </c>
      <c r="B2167" s="9" t="inlineStr">
        <is>
          <t>1/25/26 - 2/21/26</t>
        </is>
      </c>
      <c r="C2167" s="12" t="n">
        <v>0.881299999999999</v>
      </c>
      <c r="D2167" s="12" t="n">
        <v>1.138</v>
      </c>
      <c r="E2167" s="12" t="n">
        <v>1</v>
      </c>
      <c r="F2167" s="12" t="n">
        <v>1</v>
      </c>
      <c r="G2167" s="12" t="n">
        <v>0.666666666666666</v>
      </c>
      <c r="H2167" s="9" t="n">
        <v>4</v>
      </c>
      <c r="I2167" s="10" t="inlineStr">
        <is>
          <t>0/0</t>
        </is>
      </c>
      <c r="J2167" s="12" t="n">
        <v>0</v>
      </c>
      <c r="K2167" t="inlineStr">
        <is>
          <t>Premium</t>
        </is>
      </c>
      <c r="L2167" t="inlineStr">
        <is>
          <t>Adjunct</t>
        </is>
      </c>
      <c r="M2167" t="inlineStr">
        <is>
          <t>Ela Cross</t>
        </is>
      </c>
    </row>
    <row r="2168">
      <c r="A2168" s="9" t="inlineStr">
        <is>
          <t>Silvester Harrison</t>
        </is>
      </c>
      <c r="B2168" s="9" t="inlineStr">
        <is>
          <t>1/25/26 - 2/21/26</t>
        </is>
      </c>
      <c r="C2168" s="12" t="n">
        <v>0.8571</v>
      </c>
      <c r="D2168" s="12" t="n">
        <v>1.0378</v>
      </c>
      <c r="E2168" s="12" t="n">
        <v>1</v>
      </c>
      <c r="F2168" s="12" t="n">
        <v>1</v>
      </c>
      <c r="G2168" s="12" t="n">
        <v>0.642857142857142</v>
      </c>
      <c r="H2168" s="9" t="n">
        <v>2</v>
      </c>
      <c r="I2168" s="10" t="inlineStr">
        <is>
          <t>1/4</t>
        </is>
      </c>
      <c r="J2168" s="12" t="n">
        <v>0.25</v>
      </c>
      <c r="K2168" t="inlineStr">
        <is>
          <t>Advanced</t>
        </is>
      </c>
      <c r="L2168" t="inlineStr">
        <is>
          <t xml:space="preserve">Professional </t>
        </is>
      </c>
      <c r="M2168" t="inlineStr">
        <is>
          <t>Ela Cross</t>
        </is>
      </c>
    </row>
    <row r="2169">
      <c r="A2169" s="9" t="inlineStr">
        <is>
          <t>Skye Silmenna</t>
        </is>
      </c>
      <c r="B2169" s="9" t="inlineStr">
        <is>
          <t>1/25/26 - 2/21/26</t>
        </is>
      </c>
      <c r="C2169" s="12" t="n">
        <v>0.9292</v>
      </c>
      <c r="D2169" s="12" t="n">
        <v>0.9951</v>
      </c>
      <c r="E2169" s="12" t="n">
        <v>0.923809523809523</v>
      </c>
      <c r="F2169" s="12" t="n">
        <v>0.830985915492957</v>
      </c>
      <c r="G2169" s="12" t="n">
        <v>0.736842105263157</v>
      </c>
      <c r="H2169" s="9" t="n">
        <v>5</v>
      </c>
      <c r="I2169" s="10" t="inlineStr">
        <is>
          <t>1/5</t>
        </is>
      </c>
      <c r="J2169" s="12" t="n">
        <v>0.2</v>
      </c>
      <c r="K2169" t="inlineStr">
        <is>
          <t>Advanced</t>
        </is>
      </c>
      <c r="L2169" t="inlineStr">
        <is>
          <t>Professional</t>
        </is>
      </c>
      <c r="M2169" t="inlineStr">
        <is>
          <t>Annelies de Groot</t>
        </is>
      </c>
    </row>
    <row r="2170">
      <c r="A2170" s="9" t="inlineStr">
        <is>
          <t>Sonja Tomasko</t>
        </is>
      </c>
      <c r="B2170" s="9" t="inlineStr">
        <is>
          <t>1/25/26 - 2/21/26</t>
        </is>
      </c>
      <c r="C2170" s="12" t="n">
        <v>0.5958</v>
      </c>
      <c r="D2170" s="12" t="n">
        <v>1.1365</v>
      </c>
      <c r="E2170" s="12" t="n">
        <v>1</v>
      </c>
      <c r="F2170" s="12" t="n">
        <v>0.98</v>
      </c>
      <c r="G2170" s="12" t="n">
        <v>0.818181818181818</v>
      </c>
      <c r="H2170" s="9" t="n">
        <v>2</v>
      </c>
      <c r="I2170" s="10" t="inlineStr">
        <is>
          <t>0/5</t>
        </is>
      </c>
      <c r="J2170" s="12" t="n">
        <v>0</v>
      </c>
      <c r="K2170" t="inlineStr">
        <is>
          <t>Premium</t>
        </is>
      </c>
      <c r="L2170" t="inlineStr">
        <is>
          <t>Professional</t>
        </is>
      </c>
      <c r="M2170" t="inlineStr">
        <is>
          <t>Ian Plamondon</t>
        </is>
      </c>
    </row>
    <row r="2171">
      <c r="A2171" s="9" t="inlineStr">
        <is>
          <t>Stacey Jones</t>
        </is>
      </c>
      <c r="B2171" s="9" t="inlineStr">
        <is>
          <t>1/25/26 - 2/21/26</t>
        </is>
      </c>
      <c r="C2171" s="12" t="n">
        <v>1.6875</v>
      </c>
      <c r="D2171" s="12" t="n">
        <v>1.5625</v>
      </c>
      <c r="E2171" s="12" t="n">
        <v>0.95049504950495</v>
      </c>
      <c r="F2171" s="12" t="n">
        <v>0.984126984126984</v>
      </c>
      <c r="G2171" s="12" t="n">
        <v>0.666666666666666</v>
      </c>
      <c r="H2171" s="9" t="n">
        <v>7</v>
      </c>
      <c r="I2171" s="9" t="inlineStr">
        <is>
          <t>0/0</t>
        </is>
      </c>
      <c r="J2171" s="12" t="n">
        <v>0</v>
      </c>
      <c r="K2171" t="inlineStr">
        <is>
          <t>Advanced</t>
        </is>
      </c>
      <c r="L2171" t="inlineStr">
        <is>
          <t>Adjunct</t>
        </is>
      </c>
      <c r="M2171" t="inlineStr">
        <is>
          <t>Annelies de Groot</t>
        </is>
      </c>
    </row>
    <row r="2172">
      <c r="A2172" s="9" t="inlineStr">
        <is>
          <t>Steven Colome</t>
        </is>
      </c>
      <c r="B2172" s="9" t="inlineStr">
        <is>
          <t>1/25/26 - 2/21/26</t>
        </is>
      </c>
      <c r="C2172" s="12" t="n">
        <v>1.2292</v>
      </c>
      <c r="D2172" s="12" t="n">
        <v>1.21479999999999</v>
      </c>
      <c r="E2172" s="12" t="n">
        <v>0.966666666666666</v>
      </c>
      <c r="F2172" s="12" t="n">
        <v>0.947368421052631</v>
      </c>
      <c r="G2172" s="12" t="n">
        <v>0</v>
      </c>
      <c r="H2172" s="9" t="n">
        <v>3</v>
      </c>
      <c r="I2172" s="9" t="inlineStr">
        <is>
          <t>0/0</t>
        </is>
      </c>
      <c r="J2172" s="12" t="n">
        <v>0</v>
      </c>
      <c r="K2172" t="inlineStr">
        <is>
          <t>Advanced</t>
        </is>
      </c>
      <c r="L2172" t="inlineStr">
        <is>
          <t>Adjunct</t>
        </is>
      </c>
      <c r="M2172" t="inlineStr">
        <is>
          <t>Ela Cross</t>
        </is>
      </c>
    </row>
    <row r="2173">
      <c r="A2173" s="9" t="inlineStr">
        <is>
          <t>Sunho Kum</t>
        </is>
      </c>
      <c r="B2173" s="9" t="inlineStr">
        <is>
          <t>1/25/26 - 2/21/26</t>
        </is>
      </c>
      <c r="C2173" s="12" t="n">
        <v>1.1979</v>
      </c>
      <c r="D2173" s="12" t="n">
        <v>1</v>
      </c>
      <c r="E2173" s="12" t="n">
        <v>1</v>
      </c>
      <c r="F2173" s="12" t="n">
        <v>1</v>
      </c>
      <c r="G2173" s="12" t="n">
        <v>1</v>
      </c>
      <c r="H2173" s="9" t="n">
        <v>4</v>
      </c>
      <c r="I2173" s="10" t="inlineStr">
        <is>
          <t>3/3</t>
        </is>
      </c>
      <c r="J2173" s="12" t="n">
        <v>1</v>
      </c>
      <c r="K2173" t="inlineStr">
        <is>
          <t>Advanced</t>
        </is>
      </c>
      <c r="L2173" t="inlineStr">
        <is>
          <t>Adjunct</t>
        </is>
      </c>
      <c r="M2173" t="inlineStr">
        <is>
          <t>Ela Cross</t>
        </is>
      </c>
    </row>
    <row r="2174">
      <c r="A2174" s="9" t="inlineStr">
        <is>
          <t>Syrae Jennings</t>
        </is>
      </c>
      <c r="B2174" s="9" t="inlineStr">
        <is>
          <t>1/25/26 - 2/21/26</t>
        </is>
      </c>
      <c r="C2174" s="12" t="n">
        <v>1.0833</v>
      </c>
      <c r="D2174" s="12" t="n">
        <v>1.1914</v>
      </c>
      <c r="E2174" s="12" t="n">
        <v>0.981481481481481</v>
      </c>
      <c r="F2174" s="12" t="n">
        <v>0.928571428571428</v>
      </c>
      <c r="G2174" s="12" t="n">
        <v>0</v>
      </c>
      <c r="H2174" s="9" t="n">
        <v>6</v>
      </c>
      <c r="I2174" s="10" t="inlineStr">
        <is>
          <t>3/6</t>
        </is>
      </c>
      <c r="J2174" s="12" t="n">
        <v>0.5</v>
      </c>
      <c r="K2174" t="inlineStr">
        <is>
          <t>Advanced</t>
        </is>
      </c>
      <c r="L2174" t="inlineStr">
        <is>
          <t>Adjunct-BUC</t>
        </is>
      </c>
      <c r="M2174" t="inlineStr">
        <is>
          <t>Ian Plamondon</t>
        </is>
      </c>
    </row>
    <row r="2175">
      <c r="A2175" s="9" t="inlineStr">
        <is>
          <t>Taryn Parks</t>
        </is>
      </c>
      <c r="B2175" s="9" t="inlineStr">
        <is>
          <t>1/25/26 - 2/21/26</t>
        </is>
      </c>
      <c r="C2175" s="12" t="n">
        <v>1.36459999999999</v>
      </c>
      <c r="D2175" s="12" t="n">
        <v>1.3242</v>
      </c>
      <c r="E2175" s="12" t="n">
        <v>1</v>
      </c>
      <c r="F2175" s="12" t="n">
        <v>0.953488372093023</v>
      </c>
      <c r="G2175" s="12" t="n">
        <v>0</v>
      </c>
      <c r="H2175" s="9" t="n">
        <v>6</v>
      </c>
      <c r="I2175" s="10" t="inlineStr">
        <is>
          <t>6/11</t>
        </is>
      </c>
      <c r="J2175" s="12" t="n">
        <v>0.55</v>
      </c>
      <c r="K2175" t="inlineStr">
        <is>
          <t>Advanced</t>
        </is>
      </c>
      <c r="L2175" t="inlineStr">
        <is>
          <t>Adjunct-BUC</t>
        </is>
      </c>
      <c r="M2175" t="inlineStr">
        <is>
          <t>Annelies de Groot</t>
        </is>
      </c>
    </row>
    <row r="2176">
      <c r="A2176" s="9" t="inlineStr">
        <is>
          <t>Tea Stewart</t>
        </is>
      </c>
      <c r="B2176" s="9" t="inlineStr">
        <is>
          <t>1/25/26 - 2/21/26</t>
        </is>
      </c>
      <c r="C2176" s="12" t="n">
        <v>0.8333</v>
      </c>
      <c r="D2176" s="12" t="n">
        <v>0.7813</v>
      </c>
      <c r="E2176" s="12" t="n">
        <v>1</v>
      </c>
      <c r="F2176" s="12" t="n">
        <v>1</v>
      </c>
      <c r="G2176" s="12" t="n">
        <v>0.444444444444444</v>
      </c>
      <c r="H2176" s="9" t="n">
        <v>1</v>
      </c>
      <c r="I2176" s="10" t="inlineStr">
        <is>
          <t>0/0</t>
        </is>
      </c>
      <c r="J2176" s="12" t="n">
        <v>0</v>
      </c>
      <c r="K2176" t="inlineStr">
        <is>
          <t>Advanced</t>
        </is>
      </c>
      <c r="L2176" t="inlineStr">
        <is>
          <t>Adjunct</t>
        </is>
      </c>
      <c r="M2176" t="inlineStr">
        <is>
          <t>Kristin Haase-Alvey</t>
        </is>
      </c>
    </row>
    <row r="2177">
      <c r="A2177" s="9" t="inlineStr">
        <is>
          <t>Teresa Fuller</t>
        </is>
      </c>
      <c r="B2177" s="9" t="inlineStr">
        <is>
          <t>1/25/26 - 2/21/26</t>
        </is>
      </c>
      <c r="C2177" s="12" t="n">
        <v>0</v>
      </c>
      <c r="D2177" s="12" t="n">
        <v>0.2188</v>
      </c>
      <c r="E2177" s="12" t="n">
        <v>0</v>
      </c>
      <c r="F2177" s="12" t="n">
        <v>0</v>
      </c>
      <c r="G2177" s="12" t="n">
        <v>0</v>
      </c>
      <c r="H2177" s="9" t="n">
        <v>0</v>
      </c>
      <c r="I2177" s="10" t="inlineStr">
        <is>
          <t>0/0</t>
        </is>
      </c>
      <c r="J2177" s="12" t="n">
        <v>0</v>
      </c>
      <c r="K2177" t="e">
        <v>#N/A</v>
      </c>
      <c r="L2177" t="e">
        <v>#N/A</v>
      </c>
      <c r="M2177" t="e">
        <v>#N/A</v>
      </c>
    </row>
    <row r="2178">
      <c r="A2178" s="9" t="inlineStr">
        <is>
          <t>Tim Schlotzhauer</t>
        </is>
      </c>
      <c r="B2178" s="9" t="inlineStr">
        <is>
          <t>1/25/26 - 2/21/26</t>
        </is>
      </c>
      <c r="C2178" s="12" t="n">
        <v>0.8667</v>
      </c>
      <c r="D2178" s="12" t="n">
        <v>1.4885</v>
      </c>
      <c r="E2178" s="12" t="n">
        <v>1</v>
      </c>
      <c r="F2178" s="12" t="n">
        <v>0.984615384615384</v>
      </c>
      <c r="G2178" s="12" t="n">
        <v>0.8125</v>
      </c>
      <c r="H2178" s="9" t="n">
        <v>9</v>
      </c>
      <c r="I2178" s="10" t="inlineStr">
        <is>
          <t>2/3</t>
        </is>
      </c>
      <c r="J2178" s="12" t="n">
        <v>0.66</v>
      </c>
      <c r="K2178" t="inlineStr">
        <is>
          <t>Premium</t>
        </is>
      </c>
      <c r="L2178" t="inlineStr">
        <is>
          <t>Professional</t>
        </is>
      </c>
      <c r="M2178" t="inlineStr">
        <is>
          <t>Geoff St. Marie</t>
        </is>
      </c>
    </row>
    <row r="2179">
      <c r="A2179" s="9" t="inlineStr">
        <is>
          <t>Tom Pluth</t>
        </is>
      </c>
      <c r="B2179" s="9" t="inlineStr">
        <is>
          <t>1/25/26 - 2/21/26</t>
        </is>
      </c>
      <c r="C2179" s="12" t="n">
        <v>0.9125</v>
      </c>
      <c r="D2179" s="12" t="n">
        <v>0.901</v>
      </c>
      <c r="E2179" s="12" t="n">
        <v>0.985507246376811</v>
      </c>
      <c r="F2179" s="12" t="n">
        <v>1</v>
      </c>
      <c r="G2179" s="12" t="n">
        <v>0.777777777777777</v>
      </c>
      <c r="H2179" s="9" t="n">
        <v>1</v>
      </c>
      <c r="I2179" s="9" t="inlineStr">
        <is>
          <t>4/5</t>
        </is>
      </c>
      <c r="J2179" s="12" t="n">
        <v>0.8</v>
      </c>
      <c r="K2179" t="inlineStr">
        <is>
          <t>Advanced</t>
        </is>
      </c>
      <c r="L2179" t="inlineStr">
        <is>
          <t>Adjunct</t>
        </is>
      </c>
      <c r="M2179" t="inlineStr">
        <is>
          <t>Ela Cross</t>
        </is>
      </c>
    </row>
    <row r="2180">
      <c r="A2180" s="9" t="inlineStr">
        <is>
          <t>Tommaso Marsella</t>
        </is>
      </c>
      <c r="B2180" s="9" t="inlineStr">
        <is>
          <t>1/25/26 - 2/21/26</t>
        </is>
      </c>
      <c r="C2180" s="12" t="n">
        <v>1.21879999999999</v>
      </c>
      <c r="D2180" s="12" t="n">
        <v>1.24609999999999</v>
      </c>
      <c r="E2180" s="12" t="n">
        <v>1</v>
      </c>
      <c r="F2180" s="12" t="n">
        <v>0.97560975609756</v>
      </c>
      <c r="G2180" s="12" t="n">
        <v>0.583333333333333</v>
      </c>
      <c r="H2180" s="9" t="n">
        <v>1</v>
      </c>
      <c r="I2180" s="10" t="inlineStr">
        <is>
          <t>0/0</t>
        </is>
      </c>
      <c r="J2180" s="12" t="n">
        <v>0</v>
      </c>
      <c r="K2180" t="inlineStr">
        <is>
          <t>Distinguished</t>
        </is>
      </c>
      <c r="L2180" t="inlineStr">
        <is>
          <t>Adjunct</t>
        </is>
      </c>
      <c r="M2180" t="inlineStr">
        <is>
          <t>Ian Plamondon</t>
        </is>
      </c>
    </row>
    <row r="2181">
      <c r="A2181" s="9" t="inlineStr">
        <is>
          <t>Trevor Ferguson</t>
        </is>
      </c>
      <c r="B2181" s="9" t="inlineStr">
        <is>
          <t>1/25/26 - 2/21/26</t>
        </is>
      </c>
      <c r="C2181" s="12" t="n">
        <v>0.9125</v>
      </c>
      <c r="D2181" s="12" t="n">
        <v>1.0609</v>
      </c>
      <c r="E2181" s="12" t="n">
        <v>1</v>
      </c>
      <c r="F2181" s="12" t="n">
        <v>0.972972972972972</v>
      </c>
      <c r="G2181" s="12" t="n">
        <v>0.789473684210526</v>
      </c>
      <c r="H2181" s="9" t="n">
        <v>2</v>
      </c>
      <c r="I2181" s="10" t="inlineStr">
        <is>
          <t>1/2</t>
        </is>
      </c>
      <c r="J2181" s="12" t="n">
        <v>0.5</v>
      </c>
      <c r="K2181" t="inlineStr">
        <is>
          <t>Distinguished</t>
        </is>
      </c>
      <c r="L2181" t="inlineStr">
        <is>
          <t>Professional</t>
        </is>
      </c>
      <c r="M2181" t="inlineStr">
        <is>
          <t>Geoff St. Marie</t>
        </is>
      </c>
    </row>
    <row r="2182">
      <c r="A2182" s="9" t="inlineStr">
        <is>
          <t>Tyler Greer</t>
        </is>
      </c>
      <c r="B2182" s="9" t="inlineStr">
        <is>
          <t>1/25/26 - 2/21/26</t>
        </is>
      </c>
      <c r="C2182" s="12" t="n">
        <v>0.95</v>
      </c>
      <c r="D2182" s="12" t="n">
        <v>0.852</v>
      </c>
      <c r="E2182" s="12" t="n">
        <v>0.949152542372881</v>
      </c>
      <c r="F2182" s="12" t="n">
        <v>0.975</v>
      </c>
      <c r="G2182" s="12" t="n">
        <v>0.875</v>
      </c>
      <c r="H2182" s="9" t="n">
        <v>7</v>
      </c>
      <c r="I2182" s="9" t="inlineStr">
        <is>
          <t>0/5</t>
        </is>
      </c>
      <c r="J2182" s="12" t="n">
        <v>0</v>
      </c>
      <c r="K2182" t="inlineStr">
        <is>
          <t>Advanced</t>
        </is>
      </c>
      <c r="L2182" t="inlineStr">
        <is>
          <t>Professional</t>
        </is>
      </c>
      <c r="M2182" t="inlineStr">
        <is>
          <t>Kristin Haase-Alvey</t>
        </is>
      </c>
    </row>
    <row r="2183">
      <c r="A2183" s="9" t="inlineStr">
        <is>
          <t>Tyler Henry</t>
        </is>
      </c>
      <c r="B2183" s="9" t="inlineStr">
        <is>
          <t>1/25/26 - 2/21/26</t>
        </is>
      </c>
      <c r="C2183" s="12" t="n">
        <v>1.2542</v>
      </c>
      <c r="D2183" s="12" t="n">
        <v>1.0888</v>
      </c>
      <c r="E2183" s="12" t="n">
        <v>0.8645161290322581</v>
      </c>
      <c r="F2183" s="12" t="n">
        <v>0.989795918367346</v>
      </c>
      <c r="G2183" s="12" t="n">
        <v>0.481481481481481</v>
      </c>
      <c r="H2183" s="9" t="n">
        <v>10</v>
      </c>
      <c r="I2183" s="10" t="inlineStr">
        <is>
          <t>1/2</t>
        </is>
      </c>
      <c r="J2183" s="12" t="n">
        <v>0.5</v>
      </c>
      <c r="K2183" t="inlineStr">
        <is>
          <t>Advanced</t>
        </is>
      </c>
      <c r="L2183" t="inlineStr">
        <is>
          <t>Professional</t>
        </is>
      </c>
      <c r="M2183" t="inlineStr">
        <is>
          <t>Annelies de Groot</t>
        </is>
      </c>
    </row>
    <row r="2184">
      <c r="A2184" s="9" t="inlineStr">
        <is>
          <t>Tyler Thornton</t>
        </is>
      </c>
      <c r="B2184" s="9" t="inlineStr">
        <is>
          <t>1/25/26 - 2/21/26</t>
        </is>
      </c>
      <c r="C2184" s="12" t="n">
        <v>0.875</v>
      </c>
      <c r="D2184" s="12" t="n">
        <v>0.965499999999999</v>
      </c>
      <c r="E2184" s="12" t="n">
        <v>1</v>
      </c>
      <c r="F2184" s="12" t="n">
        <v>0.8125</v>
      </c>
      <c r="G2184" s="12" t="n">
        <v>0.9411764705882349</v>
      </c>
      <c r="H2184" s="9" t="n">
        <v>8</v>
      </c>
      <c r="I2184" s="9" t="inlineStr">
        <is>
          <t>0/2</t>
        </is>
      </c>
      <c r="J2184" s="12" t="n">
        <v>0</v>
      </c>
      <c r="K2184" t="inlineStr">
        <is>
          <t>Advanced</t>
        </is>
      </c>
      <c r="L2184" t="inlineStr">
        <is>
          <t>Professional</t>
        </is>
      </c>
      <c r="M2184" t="inlineStr">
        <is>
          <t>Kristin Haase-Alvey</t>
        </is>
      </c>
    </row>
    <row r="2185">
      <c r="A2185" s="9" t="inlineStr">
        <is>
          <t>Valdenis Iancu</t>
        </is>
      </c>
      <c r="B2185" s="9" t="inlineStr">
        <is>
          <t>1/25/26 - 2/21/26</t>
        </is>
      </c>
      <c r="C2185" s="12" t="n">
        <v>0.6979</v>
      </c>
      <c r="D2185" s="12" t="n">
        <v>1.0493</v>
      </c>
      <c r="E2185" s="12" t="n">
        <v>0.987179487179487</v>
      </c>
      <c r="F2185" s="12" t="n">
        <v>0.981132075471698</v>
      </c>
      <c r="G2185" s="12" t="n">
        <v>0.875</v>
      </c>
      <c r="H2185" s="9" t="n">
        <v>0</v>
      </c>
      <c r="I2185" s="10" t="inlineStr">
        <is>
          <t>1/1</t>
        </is>
      </c>
      <c r="J2185" s="12" t="n">
        <v>1</v>
      </c>
      <c r="K2185" t="inlineStr">
        <is>
          <t>Premium</t>
        </is>
      </c>
      <c r="L2185" t="inlineStr">
        <is>
          <t>Professional</t>
        </is>
      </c>
      <c r="M2185" t="inlineStr">
        <is>
          <t>Ian Plamondon</t>
        </is>
      </c>
    </row>
    <row r="2186">
      <c r="A2186" s="9" t="inlineStr">
        <is>
          <t>Valerie Duran</t>
        </is>
      </c>
      <c r="B2186" s="9" t="inlineStr">
        <is>
          <t>1/25/26 - 2/21/26</t>
        </is>
      </c>
      <c r="C2186" s="12" t="n">
        <v>1.6</v>
      </c>
      <c r="D2186" s="12" t="n">
        <v>1.36459999999999</v>
      </c>
      <c r="E2186" s="12" t="n">
        <v>0.970588235294117</v>
      </c>
      <c r="F2186" s="12" t="n">
        <v>0.924731182795698</v>
      </c>
      <c r="G2186" s="12" t="n">
        <v>0.0588235294117647</v>
      </c>
      <c r="H2186" s="9" t="n">
        <v>14</v>
      </c>
      <c r="I2186" s="10" t="inlineStr">
        <is>
          <t>0/2</t>
        </is>
      </c>
      <c r="J2186" s="12" t="n">
        <v>0</v>
      </c>
      <c r="K2186" t="inlineStr">
        <is>
          <t>Advanced</t>
        </is>
      </c>
      <c r="L2186" t="inlineStr">
        <is>
          <t>Adjunct- BUC</t>
        </is>
      </c>
      <c r="M2186" t="inlineStr">
        <is>
          <t>Ela Cross</t>
        </is>
      </c>
    </row>
    <row r="2187">
      <c r="A2187" s="9" t="inlineStr">
        <is>
          <t>Valerie Morris</t>
        </is>
      </c>
      <c r="B2187" s="9" t="inlineStr">
        <is>
          <t>1/25/26 - 2/21/26</t>
        </is>
      </c>
      <c r="C2187" s="12" t="n">
        <v>0</v>
      </c>
      <c r="D2187" s="12" t="n">
        <v>0.7188</v>
      </c>
      <c r="E2187" s="12" t="n">
        <v>0</v>
      </c>
      <c r="F2187" s="12" t="n">
        <v>0</v>
      </c>
      <c r="G2187" s="12" t="n">
        <v>0</v>
      </c>
      <c r="H2187" s="9" t="n">
        <v>0</v>
      </c>
      <c r="I2187" s="10" t="inlineStr">
        <is>
          <t>0/0</t>
        </is>
      </c>
      <c r="J2187" s="12" t="n">
        <v>0</v>
      </c>
      <c r="K2187" t="e">
        <v>#N/A</v>
      </c>
      <c r="L2187" t="e">
        <v>#N/A</v>
      </c>
      <c r="M2187" t="e">
        <v>#N/A</v>
      </c>
    </row>
    <row r="2188">
      <c r="A2188" s="9" t="inlineStr">
        <is>
          <t>Yvanna Ramirez</t>
        </is>
      </c>
      <c r="B2188" s="9" t="inlineStr">
        <is>
          <t>1/25/26 - 2/21/26</t>
        </is>
      </c>
      <c r="C2188" s="12" t="n">
        <v>0.8125</v>
      </c>
      <c r="D2188" s="12" t="n">
        <v>0.75</v>
      </c>
      <c r="E2188" s="12" t="n">
        <v>1</v>
      </c>
      <c r="F2188" s="12" t="n">
        <v>0.686567164179104</v>
      </c>
      <c r="G2188" s="12" t="n">
        <v>0.421052631578947</v>
      </c>
      <c r="H2188" s="9" t="n">
        <v>8</v>
      </c>
      <c r="I2188" s="10" t="inlineStr">
        <is>
          <t>0/3</t>
        </is>
      </c>
      <c r="J2188" s="12" t="n">
        <v>0</v>
      </c>
      <c r="K2188" t="inlineStr">
        <is>
          <t>Advanced</t>
        </is>
      </c>
      <c r="L2188" t="inlineStr">
        <is>
          <t>Professional</t>
        </is>
      </c>
      <c r="M2188" t="inlineStr">
        <is>
          <t>Ela Cross</t>
        </is>
      </c>
    </row>
    <row r="2189">
      <c r="A2189" s="9" t="inlineStr">
        <is>
          <t>Yvrine Nguiwenga-Nketcha</t>
        </is>
      </c>
      <c r="B2189" s="9" t="inlineStr">
        <is>
          <t>1/25/26 - 2/21/26</t>
        </is>
      </c>
      <c r="C2189" s="12" t="n">
        <v>1.0208</v>
      </c>
      <c r="D2189" s="12" t="n">
        <v>1.168</v>
      </c>
      <c r="E2189" s="12" t="n">
        <v>1</v>
      </c>
      <c r="F2189" s="12" t="n">
        <v>0.96875</v>
      </c>
      <c r="G2189" s="12" t="n">
        <v>0.8</v>
      </c>
      <c r="H2189" s="9" t="n">
        <v>1</v>
      </c>
      <c r="I2189" s="10" t="inlineStr">
        <is>
          <t>0/1</t>
        </is>
      </c>
      <c r="J2189" s="12" t="n">
        <v>0</v>
      </c>
      <c r="K2189" t="inlineStr">
        <is>
          <t>Distinguished</t>
        </is>
      </c>
      <c r="L2189" t="inlineStr">
        <is>
          <t>Adjunct</t>
        </is>
      </c>
      <c r="M2189" t="inlineStr">
        <is>
          <t>Annelies de Groot</t>
        </is>
      </c>
    </row>
    <row r="2190">
      <c r="A2190" s="9" t="inlineStr">
        <is>
          <t>Zach McFatridge</t>
        </is>
      </c>
      <c r="B2190" s="9" t="inlineStr">
        <is>
          <t>1/25/26 - 2/21/26</t>
        </is>
      </c>
      <c r="C2190" s="12" t="n">
        <v>1.125</v>
      </c>
      <c r="D2190" s="12" t="n">
        <v>1.0363</v>
      </c>
      <c r="E2190" s="12" t="n">
        <v>1</v>
      </c>
      <c r="F2190" s="12" t="n">
        <v>0.990654205607476</v>
      </c>
      <c r="G2190" s="12" t="n">
        <v>0.8947368421052631</v>
      </c>
      <c r="H2190" s="9" t="n">
        <v>8</v>
      </c>
      <c r="I2190" s="10" t="inlineStr">
        <is>
          <t>7/15</t>
        </is>
      </c>
      <c r="J2190" s="12" t="n">
        <v>0.47</v>
      </c>
      <c r="K2190" t="inlineStr">
        <is>
          <t>Advanced</t>
        </is>
      </c>
      <c r="L2190" t="inlineStr">
        <is>
          <t xml:space="preserve">Professional </t>
        </is>
      </c>
      <c r="M2190" t="inlineStr">
        <is>
          <t>Annelies de Groot</t>
        </is>
      </c>
    </row>
    <row r="2191">
      <c r="A2191" s="9" t="inlineStr">
        <is>
          <t>Zachary Doenges</t>
        </is>
      </c>
      <c r="B2191" s="9" t="inlineStr">
        <is>
          <t>1/25/26 - 2/21/26</t>
        </is>
      </c>
      <c r="C2191" s="12" t="n">
        <v>1.06429999999999</v>
      </c>
      <c r="D2191" s="12" t="n">
        <v>1.2398</v>
      </c>
      <c r="E2191" s="12" t="n">
        <v>1</v>
      </c>
      <c r="F2191" s="12" t="n">
        <v>0.96</v>
      </c>
      <c r="G2191" s="12" t="n">
        <v>1</v>
      </c>
      <c r="H2191" s="9" t="n">
        <v>4</v>
      </c>
      <c r="I2191" s="10" t="inlineStr">
        <is>
          <t>4/6</t>
        </is>
      </c>
      <c r="J2191" s="12" t="n">
        <v>0.66</v>
      </c>
      <c r="K2191" t="inlineStr">
        <is>
          <t>Premium</t>
        </is>
      </c>
      <c r="L2191" t="inlineStr">
        <is>
          <t>Professional</t>
        </is>
      </c>
      <c r="M2191" t="inlineStr">
        <is>
          <t>Ian Plamondon</t>
        </is>
      </c>
    </row>
    <row r="2192">
      <c r="A2192" s="9" t="inlineStr">
        <is>
          <t>Zack Anthony</t>
        </is>
      </c>
      <c r="B2192" s="9" t="inlineStr">
        <is>
          <t>1/25/26 - 2/21/26</t>
        </is>
      </c>
      <c r="C2192" s="12" t="n">
        <v>0.9458</v>
      </c>
      <c r="D2192" s="12" t="n">
        <v>0.8224</v>
      </c>
      <c r="E2192" s="12" t="n">
        <v>0.966101694915254</v>
      </c>
      <c r="F2192" s="12" t="n">
        <v>0.986301369863013</v>
      </c>
      <c r="G2192" s="12" t="n">
        <v>0.64</v>
      </c>
      <c r="H2192" s="9" t="n">
        <v>15</v>
      </c>
      <c r="I2192" s="10" t="inlineStr">
        <is>
          <t>1/2</t>
        </is>
      </c>
      <c r="J2192" s="12" t="n">
        <v>0.5</v>
      </c>
      <c r="K2192" t="inlineStr">
        <is>
          <t>Advanced</t>
        </is>
      </c>
      <c r="L2192" t="inlineStr">
        <is>
          <t>Professional</t>
        </is>
      </c>
      <c r="M2192" t="inlineStr">
        <is>
          <t>Kristin Haase-Alvey</t>
        </is>
      </c>
    </row>
    <row r="2193">
      <c r="A2193" s="9" t="inlineStr">
        <is>
          <t>Zack Robertson</t>
        </is>
      </c>
      <c r="B2193" s="9" t="inlineStr">
        <is>
          <t>1/25/26 - 2/21/26</t>
        </is>
      </c>
      <c r="C2193" s="12" t="n">
        <v>0.9208</v>
      </c>
      <c r="D2193" s="12" t="n">
        <v>1.0049</v>
      </c>
      <c r="E2193" s="12" t="n">
        <v>0.980582524271844</v>
      </c>
      <c r="F2193" s="12" t="n">
        <v>0.950617283950617</v>
      </c>
      <c r="G2193" s="12" t="n">
        <v>0.863636363636363</v>
      </c>
      <c r="H2193" s="9" t="n">
        <v>3</v>
      </c>
      <c r="I2193" s="9" t="inlineStr">
        <is>
          <t>2/2</t>
        </is>
      </c>
      <c r="J2193" s="12" t="n">
        <v>1</v>
      </c>
      <c r="K2193" t="inlineStr">
        <is>
          <t>Distinguished</t>
        </is>
      </c>
      <c r="L2193" t="inlineStr">
        <is>
          <t>Professional</t>
        </is>
      </c>
      <c r="M2193" t="inlineStr">
        <is>
          <t>Kristin Haase-Alvey</t>
        </is>
      </c>
    </row>
    <row r="2194">
      <c r="A2194" s="9" t="inlineStr">
        <is>
          <t>Zoe Shanley</t>
        </is>
      </c>
      <c r="B2194" s="9" t="inlineStr">
        <is>
          <t>1/25/26 - 2/21/26</t>
        </is>
      </c>
      <c r="C2194" s="12" t="n">
        <v>1.1714</v>
      </c>
      <c r="D2194" s="12" t="n">
        <v>1.077</v>
      </c>
      <c r="E2194" s="12" t="n">
        <v>0.987577639751552</v>
      </c>
      <c r="F2194" s="12" t="n">
        <v>0.979591836734693</v>
      </c>
      <c r="G2194" s="12" t="n">
        <v>0.354838709677419</v>
      </c>
      <c r="H2194" s="9" t="n">
        <v>10</v>
      </c>
      <c r="I2194" s="10" t="inlineStr">
        <is>
          <t>0/0</t>
        </is>
      </c>
      <c r="J2194" s="12" t="n">
        <v>0</v>
      </c>
      <c r="K2194" t="inlineStr">
        <is>
          <t>Advanced</t>
        </is>
      </c>
      <c r="L2194" t="inlineStr">
        <is>
          <t>Professional</t>
        </is>
      </c>
      <c r="M2194" t="inlineStr">
        <is>
          <t>Ian Plamondon</t>
        </is>
      </c>
    </row>
    <row r="2195">
      <c r="A2195" s="9" t="inlineStr">
        <is>
          <t>Aaron Schneberger</t>
        </is>
      </c>
      <c r="B2195" s="9" t="inlineStr">
        <is>
          <t>2/22/26 - 3/21/26</t>
        </is>
      </c>
      <c r="C2195" s="12" t="n">
        <v>0</v>
      </c>
      <c r="D2195" s="12" t="n">
        <v>0</v>
      </c>
      <c r="E2195" s="12" t="n">
        <v>0</v>
      </c>
      <c r="F2195" s="12" t="n">
        <v>0</v>
      </c>
      <c r="G2195" s="12" t="n">
        <v>0</v>
      </c>
      <c r="H2195" s="9" t="n">
        <v>0</v>
      </c>
      <c r="I2195" s="32" t="inlineStr">
        <is>
          <t>0/0</t>
        </is>
      </c>
      <c r="J2195" s="12" t="n">
        <v>0</v>
      </c>
      <c r="K2195" t="e">
        <v>#N/A</v>
      </c>
      <c r="L2195" t="e">
        <v>#N/A</v>
      </c>
      <c r="M2195" t="e">
        <v>#N/A</v>
      </c>
    </row>
    <row r="2196">
      <c r="A2196" s="9" t="inlineStr">
        <is>
          <t>Alison Trumbull</t>
        </is>
      </c>
      <c r="B2196" s="9" t="inlineStr">
        <is>
          <t>2/22/26 - 3/21/26</t>
        </is>
      </c>
      <c r="C2196" s="12" t="n">
        <v>0.66</v>
      </c>
      <c r="D2196" s="12" t="n">
        <v>0.95</v>
      </c>
      <c r="E2196" s="12" t="n">
        <v>1</v>
      </c>
      <c r="F2196" s="12" t="n">
        <v>1</v>
      </c>
      <c r="G2196" s="12" t="n">
        <v>1</v>
      </c>
      <c r="H2196" s="9" t="n">
        <v>0</v>
      </c>
      <c r="I2196" s="32" t="inlineStr">
        <is>
          <t>0/0</t>
        </is>
      </c>
      <c r="J2196" s="12" t="n">
        <v>0</v>
      </c>
      <c r="K2196" t="inlineStr">
        <is>
          <t>Premium</t>
        </is>
      </c>
      <c r="L2196" t="inlineStr">
        <is>
          <t>Adjunct</t>
        </is>
      </c>
      <c r="M2196" t="inlineStr">
        <is>
          <t>Geoff St. Marie</t>
        </is>
      </c>
    </row>
    <row r="2197">
      <c r="A2197" s="9" t="inlineStr">
        <is>
          <t>Allison Peck</t>
        </is>
      </c>
      <c r="B2197" s="9" t="inlineStr">
        <is>
          <t>2/22/26 - 3/21/26</t>
        </is>
      </c>
      <c r="C2197" s="12" t="n">
        <v>0.65</v>
      </c>
      <c r="D2197" s="12" t="n">
        <v>0.95</v>
      </c>
      <c r="E2197" s="12" t="n">
        <v>1</v>
      </c>
      <c r="F2197" s="12" t="n">
        <v>0.96</v>
      </c>
      <c r="G2197" s="12" t="n">
        <v>0.57</v>
      </c>
      <c r="H2197" s="9" t="n">
        <v>0</v>
      </c>
      <c r="I2197" s="32" t="inlineStr">
        <is>
          <t>0/0</t>
        </is>
      </c>
      <c r="J2197" s="12" t="n">
        <v>0</v>
      </c>
      <c r="K2197" t="inlineStr">
        <is>
          <t>Distinguished</t>
        </is>
      </c>
      <c r="L2197" t="inlineStr">
        <is>
          <t>Adjunct</t>
        </is>
      </c>
      <c r="M2197" t="inlineStr">
        <is>
          <t>Kristin Haase-Alvey</t>
        </is>
      </c>
    </row>
    <row r="2198">
      <c r="A2198" s="9" t="inlineStr">
        <is>
          <t>Ana Heiser</t>
        </is>
      </c>
      <c r="B2198" s="9" t="inlineStr">
        <is>
          <t>2/22/26 - 3/21/26</t>
        </is>
      </c>
      <c r="C2198" s="12" t="n">
        <v>0.62</v>
      </c>
      <c r="D2198" s="12" t="n">
        <v>1.21</v>
      </c>
      <c r="E2198" s="12" t="n">
        <v>0.97</v>
      </c>
      <c r="F2198" s="12" t="n">
        <v>0.92</v>
      </c>
      <c r="G2198" s="12" t="n">
        <v>1</v>
      </c>
      <c r="H2198" s="9" t="n">
        <v>0</v>
      </c>
      <c r="I2198" s="32" t="inlineStr">
        <is>
          <t>0/0</t>
        </is>
      </c>
      <c r="J2198" s="12" t="n">
        <v>0</v>
      </c>
      <c r="K2198" t="inlineStr">
        <is>
          <t>Distinguished</t>
        </is>
      </c>
      <c r="L2198" t="inlineStr">
        <is>
          <t>Professional</t>
        </is>
      </c>
      <c r="M2198" t="inlineStr">
        <is>
          <t>Kristin Haase-Alvey</t>
        </is>
      </c>
    </row>
    <row r="2199">
      <c r="A2199" s="9" t="inlineStr">
        <is>
          <t>Andrew Brown</t>
        </is>
      </c>
      <c r="B2199" s="9" t="inlineStr">
        <is>
          <t>2/22/26 - 3/21/26</t>
        </is>
      </c>
      <c r="C2199" s="12" t="n">
        <v>1.15</v>
      </c>
      <c r="D2199" s="12" t="n">
        <v>1.3</v>
      </c>
      <c r="E2199" s="12" t="n">
        <v>0.98</v>
      </c>
      <c r="F2199" s="12" t="n">
        <v>0.96</v>
      </c>
      <c r="G2199" s="12" t="n">
        <v>0.59</v>
      </c>
      <c r="H2199" s="9" t="n">
        <v>5</v>
      </c>
      <c r="I2199" s="32" t="inlineStr">
        <is>
          <t>0/0</t>
        </is>
      </c>
      <c r="J2199" s="12" t="n">
        <v>0</v>
      </c>
      <c r="K2199" t="inlineStr">
        <is>
          <t>Distinguished</t>
        </is>
      </c>
      <c r="L2199" t="inlineStr">
        <is>
          <t>Professional</t>
        </is>
      </c>
      <c r="M2199" t="inlineStr">
        <is>
          <t>Ian Plamondon</t>
        </is>
      </c>
    </row>
    <row r="2200">
      <c r="A2200" s="9" t="inlineStr">
        <is>
          <t>Anna Gilbert</t>
        </is>
      </c>
      <c r="B2200" s="9" t="inlineStr">
        <is>
          <t>2/22/26 - 3/21/26</t>
        </is>
      </c>
      <c r="C2200" s="12" t="n">
        <v>0.88</v>
      </c>
      <c r="D2200" s="12" t="n">
        <v>0.95</v>
      </c>
      <c r="E2200" s="12" t="n">
        <v>1</v>
      </c>
      <c r="F2200" s="12" t="n">
        <v>1</v>
      </c>
      <c r="G2200" s="12" t="n">
        <v>1</v>
      </c>
      <c r="H2200" s="9" t="n">
        <v>0</v>
      </c>
      <c r="I2200" s="32" t="inlineStr">
        <is>
          <t>0/0</t>
        </is>
      </c>
      <c r="J2200" s="12" t="n">
        <v>0</v>
      </c>
      <c r="K2200" t="inlineStr">
        <is>
          <t>Distinguished</t>
        </is>
      </c>
      <c r="L2200" t="inlineStr">
        <is>
          <t>Adjunct</t>
        </is>
      </c>
      <c r="M2200" t="inlineStr">
        <is>
          <t>Kristin Haase-Alvey</t>
        </is>
      </c>
    </row>
    <row r="2201">
      <c r="A2201" s="9" t="inlineStr">
        <is>
          <t>Anna Jasko</t>
        </is>
      </c>
      <c r="B2201" s="9" t="inlineStr">
        <is>
          <t>2/22/26 - 3/21/26</t>
        </is>
      </c>
      <c r="C2201" s="12" t="n">
        <v>0</v>
      </c>
      <c r="D2201" s="12" t="n">
        <v>0.59</v>
      </c>
      <c r="E2201" s="12" t="n">
        <v>0</v>
      </c>
      <c r="F2201" s="12" t="n">
        <v>0</v>
      </c>
      <c r="G2201" s="12" t="n">
        <v>0</v>
      </c>
      <c r="H2201" s="9" t="n">
        <v>0</v>
      </c>
      <c r="I2201" s="32" t="inlineStr">
        <is>
          <t>0/0</t>
        </is>
      </c>
      <c r="J2201" s="12" t="n">
        <v>0</v>
      </c>
      <c r="K2201" t="e">
        <v>#N/A</v>
      </c>
      <c r="L2201" t="e">
        <v>#N/A</v>
      </c>
      <c r="M2201" t="e">
        <v>#N/A</v>
      </c>
    </row>
    <row r="2202">
      <c r="A2202" s="9" t="inlineStr">
        <is>
          <t>Ayman Smoot</t>
        </is>
      </c>
      <c r="B2202" s="9" t="inlineStr">
        <is>
          <t>2/22/26 - 3/21/26</t>
        </is>
      </c>
      <c r="C2202" s="12" t="n">
        <v>2.09</v>
      </c>
      <c r="D2202" s="12" t="n">
        <v>2.33</v>
      </c>
      <c r="E2202" s="12" t="n">
        <v>0.85</v>
      </c>
      <c r="F2202" s="12" t="n">
        <v>0.98</v>
      </c>
      <c r="G2202" s="12" t="n">
        <v>0.6899999999999999</v>
      </c>
      <c r="H2202" s="9" t="n">
        <v>2</v>
      </c>
      <c r="I2202" s="32" t="inlineStr">
        <is>
          <t>0/0</t>
        </is>
      </c>
      <c r="J2202" s="12" t="n">
        <v>0</v>
      </c>
      <c r="K2202" t="inlineStr">
        <is>
          <t>Advanced</t>
        </is>
      </c>
      <c r="L2202" t="inlineStr">
        <is>
          <t>Adjunct</t>
        </is>
      </c>
      <c r="M2202" t="inlineStr">
        <is>
          <t>Annelies de Groot</t>
        </is>
      </c>
    </row>
    <row r="2203">
      <c r="A2203" s="9" t="inlineStr">
        <is>
          <t>Brandon Engle</t>
        </is>
      </c>
      <c r="B2203" s="9" t="inlineStr">
        <is>
          <t>2/22/26 - 3/21/26</t>
        </is>
      </c>
      <c r="C2203" s="12" t="n">
        <v>1.11</v>
      </c>
      <c r="D2203" s="12" t="n">
        <v>1.09</v>
      </c>
      <c r="E2203" s="12" t="n">
        <v>1</v>
      </c>
      <c r="F2203" s="12" t="n">
        <v>0.99</v>
      </c>
      <c r="G2203" s="12" t="n">
        <v>0.88</v>
      </c>
      <c r="H2203" s="9" t="n">
        <v>10</v>
      </c>
      <c r="I2203" s="32" t="inlineStr">
        <is>
          <t>0/0</t>
        </is>
      </c>
      <c r="J2203" s="12" t="n">
        <v>0</v>
      </c>
      <c r="K2203" t="inlineStr">
        <is>
          <t>Advanced</t>
        </is>
      </c>
      <c r="L2203" t="inlineStr">
        <is>
          <t>Professional</t>
        </is>
      </c>
      <c r="M2203" t="inlineStr">
        <is>
          <t>Annelies de Groot</t>
        </is>
      </c>
    </row>
    <row r="2204">
      <c r="A2204" s="9" t="inlineStr">
        <is>
          <t>Brian James</t>
        </is>
      </c>
      <c r="B2204" s="9" t="inlineStr">
        <is>
          <t>2/22/26 - 3/21/26</t>
        </is>
      </c>
      <c r="C2204" s="12" t="n">
        <v>1.21</v>
      </c>
      <c r="D2204" s="12" t="n">
        <v>1.01</v>
      </c>
      <c r="E2204" s="12" t="n">
        <v>0.97</v>
      </c>
      <c r="F2204" s="12" t="n">
        <v>0.99</v>
      </c>
      <c r="G2204" s="12" t="n">
        <v>0</v>
      </c>
      <c r="H2204" s="9" t="n">
        <v>21</v>
      </c>
      <c r="I2204" s="32" t="inlineStr">
        <is>
          <t>0/0</t>
        </is>
      </c>
      <c r="J2204" s="12" t="n">
        <v>0</v>
      </c>
      <c r="K2204" t="inlineStr">
        <is>
          <t>Advanced</t>
        </is>
      </c>
      <c r="L2204" t="inlineStr">
        <is>
          <t>Professional</t>
        </is>
      </c>
      <c r="M2204" t="inlineStr">
        <is>
          <t>Annelies de Groot</t>
        </is>
      </c>
    </row>
    <row r="2205">
      <c r="A2205" s="9" t="inlineStr">
        <is>
          <t>Cadence Liles</t>
        </is>
      </c>
      <c r="B2205" s="9" t="inlineStr">
        <is>
          <t>2/22/26 - 3/21/26</t>
        </is>
      </c>
      <c r="C2205" s="12" t="n">
        <v>0</v>
      </c>
      <c r="D2205" s="12" t="n">
        <v>0.73</v>
      </c>
      <c r="E2205" s="12" t="n">
        <v>0</v>
      </c>
      <c r="F2205" s="12" t="n">
        <v>0</v>
      </c>
      <c r="G2205" s="12" t="n">
        <v>0</v>
      </c>
      <c r="H2205" s="9" t="n">
        <v>0</v>
      </c>
      <c r="I2205" s="32" t="inlineStr">
        <is>
          <t>0/0</t>
        </is>
      </c>
      <c r="J2205" s="12" t="n">
        <v>0</v>
      </c>
      <c r="K2205" t="e">
        <v>#N/A</v>
      </c>
      <c r="L2205" t="e">
        <v>#N/A</v>
      </c>
      <c r="M2205" t="e">
        <v>#N/A</v>
      </c>
    </row>
    <row r="2206">
      <c r="A2206" s="9" t="inlineStr">
        <is>
          <t>Cara Rabaev (McLaughlin)</t>
        </is>
      </c>
      <c r="B2206" s="9" t="inlineStr">
        <is>
          <t>2/22/26 - 3/21/26</t>
        </is>
      </c>
      <c r="C2206" s="12" t="n">
        <v>1.2</v>
      </c>
      <c r="D2206" s="12" t="n">
        <v>1.07</v>
      </c>
      <c r="E2206" s="12" t="n">
        <v>0.96</v>
      </c>
      <c r="F2206" s="12" t="n">
        <v>0.89</v>
      </c>
      <c r="G2206" s="12" t="n">
        <v>0.7</v>
      </c>
      <c r="H2206" s="9" t="n">
        <v>6</v>
      </c>
      <c r="I2206" s="32" t="inlineStr">
        <is>
          <t>0/0</t>
        </is>
      </c>
      <c r="J2206" s="12" t="n">
        <v>0</v>
      </c>
      <c r="K2206" t="inlineStr">
        <is>
          <t>Distinguished</t>
        </is>
      </c>
      <c r="L2206" t="inlineStr">
        <is>
          <t>Professional</t>
        </is>
      </c>
      <c r="M2206" t="inlineStr">
        <is>
          <t>Ian Plamondon</t>
        </is>
      </c>
    </row>
    <row r="2207">
      <c r="A2207" s="9" t="inlineStr">
        <is>
          <t>Christian Steiner</t>
        </is>
      </c>
      <c r="B2207" s="9" t="inlineStr">
        <is>
          <t>2/22/26 - 3/21/26</t>
        </is>
      </c>
      <c r="C2207" s="12" t="n">
        <v>1.05</v>
      </c>
      <c r="D2207" s="12" t="n">
        <v>1.09</v>
      </c>
      <c r="E2207" s="12" t="n">
        <v>0.96</v>
      </c>
      <c r="F2207" s="12" t="n">
        <v>0.99</v>
      </c>
      <c r="G2207" s="12" t="n">
        <v>0.97</v>
      </c>
      <c r="H2207" s="9" t="n">
        <v>8</v>
      </c>
      <c r="I2207" s="32" t="inlineStr">
        <is>
          <t>0/0</t>
        </is>
      </c>
      <c r="J2207" s="12" t="n">
        <v>0</v>
      </c>
      <c r="K2207" t="inlineStr">
        <is>
          <t>Advanced</t>
        </is>
      </c>
      <c r="L2207" t="inlineStr">
        <is>
          <t>Professional</t>
        </is>
      </c>
      <c r="M2207" t="inlineStr">
        <is>
          <t>Kristin Haase-Alvey</t>
        </is>
      </c>
    </row>
    <row r="2208">
      <c r="A2208" s="9" t="inlineStr">
        <is>
          <t>Colin Cody</t>
        </is>
      </c>
      <c r="B2208" s="9" t="inlineStr">
        <is>
          <t>2/22/26 - 3/21/26</t>
        </is>
      </c>
      <c r="C2208" s="12" t="n">
        <v>1.04</v>
      </c>
      <c r="D2208" s="12" t="n">
        <v>1.13</v>
      </c>
      <c r="E2208" s="12" t="n">
        <v>0.92</v>
      </c>
      <c r="F2208" s="12" t="n">
        <v>1</v>
      </c>
      <c r="G2208" s="12" t="n">
        <v>1</v>
      </c>
      <c r="H2208" s="9" t="n">
        <v>18</v>
      </c>
      <c r="I2208" s="32" t="inlineStr">
        <is>
          <t>0/0</t>
        </is>
      </c>
      <c r="J2208" s="12" t="n">
        <v>0</v>
      </c>
      <c r="K2208" t="inlineStr">
        <is>
          <t>Advanced</t>
        </is>
      </c>
      <c r="L2208" t="inlineStr">
        <is>
          <t>Professional</t>
        </is>
      </c>
      <c r="M2208" t="inlineStr">
        <is>
          <t>Ela Cross</t>
        </is>
      </c>
    </row>
    <row r="2209">
      <c r="A2209" s="9" t="inlineStr">
        <is>
          <t>Debleena Chatterjee</t>
        </is>
      </c>
      <c r="B2209" s="9" t="inlineStr">
        <is>
          <t>2/22/26 - 3/21/26</t>
        </is>
      </c>
      <c r="C2209" s="12" t="n">
        <v>0</v>
      </c>
      <c r="D2209" s="12" t="n">
        <v>0</v>
      </c>
      <c r="E2209" s="12" t="n">
        <v>0</v>
      </c>
      <c r="F2209" s="12" t="n">
        <v>0</v>
      </c>
      <c r="G2209" s="12" t="n">
        <v>0</v>
      </c>
      <c r="H2209" s="9" t="n">
        <v>0</v>
      </c>
      <c r="I2209" s="32" t="inlineStr">
        <is>
          <t>0/0</t>
        </is>
      </c>
      <c r="J2209" s="12" t="n">
        <v>0</v>
      </c>
      <c r="K2209" t="e">
        <v>#N/A</v>
      </c>
      <c r="L2209" t="e">
        <v>#N/A</v>
      </c>
      <c r="M2209" t="e">
        <v>#N/A</v>
      </c>
    </row>
    <row r="2210">
      <c r="A2210" s="9" t="inlineStr">
        <is>
          <t>Dehavion Knight</t>
        </is>
      </c>
      <c r="B2210" s="9" t="inlineStr">
        <is>
          <t>2/22/26 - 3/21/26</t>
        </is>
      </c>
      <c r="C2210" s="12" t="n">
        <v>1.26</v>
      </c>
      <c r="D2210" s="12" t="n">
        <v>1.25</v>
      </c>
      <c r="E2210" s="12" t="n">
        <v>0.9</v>
      </c>
      <c r="F2210" s="12" t="n">
        <v>0.44</v>
      </c>
      <c r="G2210" s="12" t="n">
        <v>0</v>
      </c>
      <c r="H2210" s="9" t="n">
        <v>5</v>
      </c>
      <c r="I2210" s="32" t="inlineStr">
        <is>
          <t>0/0</t>
        </is>
      </c>
      <c r="J2210" s="12" t="n">
        <v>0</v>
      </c>
      <c r="K2210" t="inlineStr">
        <is>
          <t>Advanced</t>
        </is>
      </c>
      <c r="L2210" t="inlineStr">
        <is>
          <t>Adjunct</t>
        </is>
      </c>
      <c r="M2210" t="inlineStr">
        <is>
          <t>Ela Cross</t>
        </is>
      </c>
    </row>
    <row r="2211">
      <c r="A2211" s="9" t="inlineStr">
        <is>
          <t>Delphine Hintz</t>
        </is>
      </c>
      <c r="B2211" s="9" t="inlineStr">
        <is>
          <t>2/22/26 - 3/21/26</t>
        </is>
      </c>
      <c r="C2211" s="12" t="n">
        <v>1.36</v>
      </c>
      <c r="D2211" s="12" t="n">
        <v>1.21</v>
      </c>
      <c r="E2211" s="12" t="n">
        <v>0.98</v>
      </c>
      <c r="F2211" s="12" t="n">
        <v>1</v>
      </c>
      <c r="G2211" s="12" t="n">
        <v>1</v>
      </c>
      <c r="H2211" s="9" t="n">
        <v>7</v>
      </c>
      <c r="I2211" s="32" t="inlineStr">
        <is>
          <t>0/0</t>
        </is>
      </c>
      <c r="J2211" s="12" t="n">
        <v>0</v>
      </c>
      <c r="K2211" t="inlineStr">
        <is>
          <t>Advanced</t>
        </is>
      </c>
      <c r="L2211" t="inlineStr">
        <is>
          <t>Adjunct- BUC</t>
        </is>
      </c>
      <c r="M2211" t="inlineStr">
        <is>
          <t>Geoff St. Marie</t>
        </is>
      </c>
    </row>
    <row r="2212">
      <c r="A2212" s="9" t="inlineStr">
        <is>
          <t>Diamond Anderson</t>
        </is>
      </c>
      <c r="B2212" s="9" t="inlineStr">
        <is>
          <t>2/22/26 - 3/21/26</t>
        </is>
      </c>
      <c r="C2212" s="12" t="n">
        <v>1.01</v>
      </c>
      <c r="D2212" s="12" t="n">
        <v>0.92</v>
      </c>
      <c r="E2212" s="12" t="n">
        <v>0.98</v>
      </c>
      <c r="F2212" s="12" t="n">
        <v>0.9</v>
      </c>
      <c r="G2212" s="12" t="n">
        <v>0.43</v>
      </c>
      <c r="H2212" s="9" t="n">
        <v>10</v>
      </c>
      <c r="I2212" s="32" t="inlineStr">
        <is>
          <t>0/0</t>
        </is>
      </c>
      <c r="J2212" s="12" t="n">
        <v>0</v>
      </c>
      <c r="K2212" t="inlineStr">
        <is>
          <t>Advanced</t>
        </is>
      </c>
      <c r="L2212" t="inlineStr">
        <is>
          <t>Adjunct</t>
        </is>
      </c>
      <c r="M2212" t="inlineStr">
        <is>
          <t>Kristin Haase-Alvey</t>
        </is>
      </c>
    </row>
    <row r="2213">
      <c r="A2213" s="9" t="inlineStr">
        <is>
          <t>Diana Hoyer</t>
        </is>
      </c>
      <c r="B2213" s="9" t="inlineStr">
        <is>
          <t>2/22/26 - 3/21/26</t>
        </is>
      </c>
      <c r="C2213" s="12" t="n">
        <v>0.78</v>
      </c>
      <c r="D2213" s="12" t="n">
        <v>0.99</v>
      </c>
      <c r="E2213" s="12" t="n">
        <v>0.93</v>
      </c>
      <c r="F2213" s="12" t="n">
        <v>1</v>
      </c>
      <c r="G2213" s="12" t="n">
        <v>1</v>
      </c>
      <c r="H2213" s="9" t="n">
        <v>0</v>
      </c>
      <c r="I2213" s="32" t="inlineStr">
        <is>
          <t>0/0</t>
        </is>
      </c>
      <c r="J2213" s="12" t="n">
        <v>0</v>
      </c>
      <c r="K2213" t="inlineStr">
        <is>
          <t>Distinguished</t>
        </is>
      </c>
      <c r="L2213" t="inlineStr">
        <is>
          <t>Professional</t>
        </is>
      </c>
      <c r="M2213" t="inlineStr">
        <is>
          <t>Ian Plamondon</t>
        </is>
      </c>
    </row>
    <row r="2214">
      <c r="A2214" s="9" t="inlineStr">
        <is>
          <t>Eddie Cayia</t>
        </is>
      </c>
      <c r="B2214" s="9" t="inlineStr">
        <is>
          <t>2/22/26 - 3/21/26</t>
        </is>
      </c>
      <c r="C2214" s="12" t="n">
        <v>0.9</v>
      </c>
      <c r="D2214" s="12" t="n">
        <v>0.85</v>
      </c>
      <c r="E2214" s="12" t="n">
        <v>0.95</v>
      </c>
      <c r="F2214" s="12" t="n">
        <v>0.9</v>
      </c>
      <c r="G2214" s="12" t="n">
        <v>0.74</v>
      </c>
      <c r="H2214" s="9" t="n">
        <v>7</v>
      </c>
      <c r="I2214" s="32" t="inlineStr">
        <is>
          <t>0/0</t>
        </is>
      </c>
      <c r="J2214" s="12" t="n">
        <v>0</v>
      </c>
      <c r="K2214" t="inlineStr">
        <is>
          <t>Advanced</t>
        </is>
      </c>
      <c r="L2214" t="inlineStr">
        <is>
          <t>Professional</t>
        </is>
      </c>
      <c r="M2214" t="inlineStr">
        <is>
          <t>Annelies de Groot</t>
        </is>
      </c>
    </row>
    <row r="2215">
      <c r="A2215" s="9" t="inlineStr">
        <is>
          <t>Edwin West</t>
        </is>
      </c>
      <c r="B2215" s="9" t="inlineStr">
        <is>
          <t>2/22/26 - 3/21/26</t>
        </is>
      </c>
      <c r="C2215" s="12" t="n">
        <v>0.97</v>
      </c>
      <c r="D2215" s="12" t="n">
        <v>1.01</v>
      </c>
      <c r="E2215" s="12" t="n">
        <v>1</v>
      </c>
      <c r="F2215" s="12" t="n">
        <v>1</v>
      </c>
      <c r="G2215" s="12" t="n">
        <v>1</v>
      </c>
      <c r="H2215" s="9" t="n">
        <v>4</v>
      </c>
      <c r="I2215" s="32" t="inlineStr">
        <is>
          <t>0/0</t>
        </is>
      </c>
      <c r="J2215" s="12" t="n">
        <v>0</v>
      </c>
      <c r="K2215" t="inlineStr">
        <is>
          <t>Advanced</t>
        </is>
      </c>
      <c r="L2215" t="inlineStr">
        <is>
          <t>Adjunct</t>
        </is>
      </c>
      <c r="M2215" t="inlineStr">
        <is>
          <t>Ela Cross</t>
        </is>
      </c>
    </row>
    <row r="2216">
      <c r="A2216" s="9" t="inlineStr">
        <is>
          <t>Erica Ichikawa</t>
        </is>
      </c>
      <c r="B2216" s="9" t="inlineStr">
        <is>
          <t>2/22/26 - 3/21/26</t>
        </is>
      </c>
      <c r="C2216" s="12" t="n">
        <v>0.6</v>
      </c>
      <c r="D2216" s="12" t="n">
        <v>0.98</v>
      </c>
      <c r="E2216" s="12" t="n">
        <v>1</v>
      </c>
      <c r="F2216" s="12" t="n">
        <v>0.43</v>
      </c>
      <c r="G2216" s="12" t="n">
        <v>0.8</v>
      </c>
      <c r="H2216" s="9" t="n">
        <v>3</v>
      </c>
      <c r="I2216" s="32" t="inlineStr">
        <is>
          <t>0/0</t>
        </is>
      </c>
      <c r="J2216" s="12" t="n">
        <v>0</v>
      </c>
      <c r="K2216" t="inlineStr">
        <is>
          <t>Distinguished</t>
        </is>
      </c>
      <c r="L2216" t="inlineStr">
        <is>
          <t>Adjunct</t>
        </is>
      </c>
      <c r="M2216" t="inlineStr">
        <is>
          <t>Ela Cross</t>
        </is>
      </c>
    </row>
    <row r="2217">
      <c r="A2217" s="9" t="inlineStr">
        <is>
          <t>Ernie Chu</t>
        </is>
      </c>
      <c r="B2217" s="9" t="inlineStr">
        <is>
          <t>2/22/26 - 3/21/26</t>
        </is>
      </c>
      <c r="C2217" s="12" t="n">
        <v>1.28</v>
      </c>
      <c r="D2217" s="12" t="n">
        <v>1.06</v>
      </c>
      <c r="E2217" s="12" t="n">
        <v>1</v>
      </c>
      <c r="F2217" s="12" t="n">
        <v>0.9399999999999999</v>
      </c>
      <c r="G2217" s="12" t="n">
        <v>1</v>
      </c>
      <c r="H2217" s="9" t="n">
        <v>8</v>
      </c>
      <c r="I2217" s="32" t="inlineStr">
        <is>
          <t>0/0</t>
        </is>
      </c>
      <c r="J2217" s="12" t="n">
        <v>0</v>
      </c>
      <c r="K2217" t="inlineStr">
        <is>
          <t>Advanced</t>
        </is>
      </c>
      <c r="L2217" t="inlineStr">
        <is>
          <t>Professional</t>
        </is>
      </c>
      <c r="M2217" t="inlineStr">
        <is>
          <t>Geoff St. Marie</t>
        </is>
      </c>
    </row>
    <row r="2218">
      <c r="A2218" s="9" t="inlineStr">
        <is>
          <t>Gabriel Saint Cyr</t>
        </is>
      </c>
      <c r="B2218" s="9" t="inlineStr">
        <is>
          <t>2/22/26 - 3/21/26</t>
        </is>
      </c>
      <c r="C2218" s="12" t="n">
        <v>0.9399999999999999</v>
      </c>
      <c r="D2218" s="12" t="n">
        <v>1.11</v>
      </c>
      <c r="E2218" s="12" t="n">
        <v>1</v>
      </c>
      <c r="F2218" s="12" t="n">
        <v>0.97</v>
      </c>
      <c r="G2218" s="12" t="n">
        <v>1</v>
      </c>
      <c r="H2218" s="9" t="n">
        <v>0</v>
      </c>
      <c r="I2218" s="32" t="inlineStr">
        <is>
          <t>0/0</t>
        </is>
      </c>
      <c r="J2218" s="12" t="n">
        <v>0</v>
      </c>
      <c r="K2218" t="inlineStr">
        <is>
          <t>Distinguished</t>
        </is>
      </c>
      <c r="L2218" t="inlineStr">
        <is>
          <t>Adjunct</t>
        </is>
      </c>
      <c r="M2218" t="inlineStr">
        <is>
          <t>Geoff St. Marie</t>
        </is>
      </c>
    </row>
    <row r="2219">
      <c r="A2219" s="9" t="inlineStr">
        <is>
          <t>Gale Hermes</t>
        </is>
      </c>
      <c r="B2219" s="9" t="inlineStr">
        <is>
          <t>2/22/26 - 3/21/26</t>
        </is>
      </c>
      <c r="C2219" s="12" t="n">
        <v>0.85</v>
      </c>
      <c r="D2219" s="12" t="n">
        <v>1.34</v>
      </c>
      <c r="E2219" s="12" t="n">
        <v>1</v>
      </c>
      <c r="F2219" s="12" t="n">
        <v>0.92</v>
      </c>
      <c r="G2219" s="12" t="n">
        <v>0.87</v>
      </c>
      <c r="H2219" s="9" t="n">
        <v>2</v>
      </c>
      <c r="I2219" s="32" t="inlineStr">
        <is>
          <t>0/0</t>
        </is>
      </c>
      <c r="J2219" s="12" t="n">
        <v>0</v>
      </c>
      <c r="K2219" t="inlineStr">
        <is>
          <t>Premium</t>
        </is>
      </c>
      <c r="L2219" t="inlineStr">
        <is>
          <t>Professional</t>
        </is>
      </c>
      <c r="M2219" t="inlineStr">
        <is>
          <t>Ian Plamondon</t>
        </is>
      </c>
    </row>
    <row r="2220">
      <c r="A2220" s="9" t="inlineStr">
        <is>
          <t>Hannah Duliere</t>
        </is>
      </c>
      <c r="B2220" s="9" t="inlineStr">
        <is>
          <t>2/22/26 - 3/21/26</t>
        </is>
      </c>
      <c r="C2220" s="12" t="n">
        <v>1.11</v>
      </c>
      <c r="D2220" s="12" t="n">
        <v>1.5</v>
      </c>
      <c r="E2220" s="12" t="n">
        <v>1</v>
      </c>
      <c r="F2220" s="12" t="n">
        <v>0.99</v>
      </c>
      <c r="G2220" s="12" t="n">
        <v>0.86</v>
      </c>
      <c r="H2220" s="9" t="n">
        <v>6</v>
      </c>
      <c r="I2220" s="32" t="inlineStr">
        <is>
          <t>0/0</t>
        </is>
      </c>
      <c r="J2220" s="12" t="n">
        <v>0</v>
      </c>
      <c r="K2220" t="inlineStr">
        <is>
          <t>Premium</t>
        </is>
      </c>
      <c r="L2220" t="inlineStr">
        <is>
          <t>Professional</t>
        </is>
      </c>
      <c r="M2220" t="inlineStr">
        <is>
          <t>Ela Cross</t>
        </is>
      </c>
    </row>
    <row r="2221">
      <c r="A2221" s="9" t="inlineStr">
        <is>
          <t>Jackson Weier</t>
        </is>
      </c>
      <c r="B2221" s="9" t="inlineStr">
        <is>
          <t>2/22/26 - 3/21/26</t>
        </is>
      </c>
      <c r="C2221" s="12" t="n">
        <v>0</v>
      </c>
      <c r="D2221" s="12" t="n">
        <v>0.72</v>
      </c>
      <c r="E2221" s="12" t="n">
        <v>0</v>
      </c>
      <c r="F2221" s="12" t="n">
        <v>0</v>
      </c>
      <c r="G2221" s="12" t="n">
        <v>0</v>
      </c>
      <c r="H2221" s="9" t="n">
        <v>0</v>
      </c>
      <c r="I2221" s="32" t="inlineStr">
        <is>
          <t>0/0</t>
        </is>
      </c>
      <c r="J2221" s="12" t="n">
        <v>0</v>
      </c>
      <c r="K2221" t="e">
        <v>#N/A</v>
      </c>
      <c r="L2221" t="e">
        <v>#N/A</v>
      </c>
      <c r="M2221" t="e">
        <v>#N/A</v>
      </c>
    </row>
    <row r="2222">
      <c r="A2222" s="9" t="inlineStr">
        <is>
          <t>Jake Corvino</t>
        </is>
      </c>
      <c r="B2222" s="9" t="inlineStr">
        <is>
          <t>2/22/26 - 3/21/26</t>
        </is>
      </c>
      <c r="C2222" s="12" t="n">
        <v>0.46</v>
      </c>
      <c r="D2222" s="12" t="n">
        <v>1.06</v>
      </c>
      <c r="E2222" s="12" t="n">
        <v>0.9</v>
      </c>
      <c r="F2222" s="12" t="n">
        <v>0.73</v>
      </c>
      <c r="G2222" s="12" t="n">
        <v>0</v>
      </c>
      <c r="H2222" s="9" t="n">
        <v>0</v>
      </c>
      <c r="I2222" s="32" t="inlineStr">
        <is>
          <t>0/0</t>
        </is>
      </c>
      <c r="J2222" s="12" t="n">
        <v>0</v>
      </c>
      <c r="K2222" t="inlineStr">
        <is>
          <t>Advanced</t>
        </is>
      </c>
      <c r="L2222" t="inlineStr">
        <is>
          <t>Adjunct</t>
        </is>
      </c>
      <c r="M2222" t="inlineStr">
        <is>
          <t>Ela Cross</t>
        </is>
      </c>
    </row>
    <row r="2223">
      <c r="A2223" s="9" t="inlineStr">
        <is>
          <t>Jayna Boaz</t>
        </is>
      </c>
      <c r="B2223" s="9" t="inlineStr">
        <is>
          <t>2/22/26 - 3/21/26</t>
        </is>
      </c>
      <c r="C2223" s="12" t="n">
        <v>1.45</v>
      </c>
      <c r="D2223" s="12" t="n">
        <v>1.53</v>
      </c>
      <c r="E2223" s="12" t="n">
        <v>0.87</v>
      </c>
      <c r="F2223" s="12" t="n">
        <v>0.93</v>
      </c>
      <c r="G2223" s="12" t="n">
        <v>0.31</v>
      </c>
      <c r="H2223" s="9" t="n">
        <v>5</v>
      </c>
      <c r="I2223" s="32" t="inlineStr">
        <is>
          <t>0/0</t>
        </is>
      </c>
      <c r="J2223" s="12" t="n">
        <v>0</v>
      </c>
      <c r="K2223" t="inlineStr">
        <is>
          <t>Advanced</t>
        </is>
      </c>
      <c r="L2223" t="inlineStr">
        <is>
          <t>Adjunct- BUC</t>
        </is>
      </c>
      <c r="M2223" t="inlineStr">
        <is>
          <t>Ela Cross</t>
        </is>
      </c>
    </row>
    <row r="2224">
      <c r="A2224" s="9" t="inlineStr">
        <is>
          <t>John Corbett</t>
        </is>
      </c>
      <c r="B2224" s="9" t="inlineStr">
        <is>
          <t>2/22/26 - 3/21/26</t>
        </is>
      </c>
      <c r="C2224" s="12" t="n">
        <v>0.9399999999999999</v>
      </c>
      <c r="D2224" s="12" t="n">
        <v>1.1</v>
      </c>
      <c r="E2224" s="12" t="n">
        <v>0.98</v>
      </c>
      <c r="F2224" s="12" t="n">
        <v>0.97</v>
      </c>
      <c r="G2224" s="12" t="n">
        <v>0.8100000000000001</v>
      </c>
      <c r="H2224" s="9" t="n">
        <v>3</v>
      </c>
      <c r="I2224" s="32" t="inlineStr">
        <is>
          <t>0/0</t>
        </is>
      </c>
      <c r="J2224" s="12" t="n">
        <v>0</v>
      </c>
      <c r="K2224" t="inlineStr">
        <is>
          <t>Advanced</t>
        </is>
      </c>
      <c r="L2224" t="inlineStr">
        <is>
          <t xml:space="preserve">Adjunct </t>
        </is>
      </c>
      <c r="M2224" t="inlineStr">
        <is>
          <t>Ian Plamondon</t>
        </is>
      </c>
    </row>
    <row r="2225">
      <c r="A2225" s="9" t="inlineStr">
        <is>
          <t>Joyraj D'souza</t>
        </is>
      </c>
      <c r="B2225" s="9" t="inlineStr">
        <is>
          <t>2/22/26 - 3/21/26</t>
        </is>
      </c>
      <c r="C2225" s="12" t="n">
        <v>1.41</v>
      </c>
      <c r="D2225" s="12" t="n">
        <v>1.25</v>
      </c>
      <c r="E2225" s="12" t="n">
        <v>1</v>
      </c>
      <c r="F2225" s="12" t="n">
        <v>1</v>
      </c>
      <c r="G2225" s="12" t="n">
        <v>1</v>
      </c>
      <c r="H2225" s="9" t="n">
        <v>5</v>
      </c>
      <c r="I2225" s="32" t="inlineStr">
        <is>
          <t>0/0</t>
        </is>
      </c>
      <c r="J2225" s="12" t="n">
        <v>0</v>
      </c>
      <c r="K2225" t="inlineStr">
        <is>
          <t>Advanced</t>
        </is>
      </c>
      <c r="L2225" t="inlineStr">
        <is>
          <t>Adjunct</t>
        </is>
      </c>
      <c r="M2225" t="inlineStr">
        <is>
          <t>Kristin Haase-Alvey</t>
        </is>
      </c>
    </row>
    <row r="2226">
      <c r="A2226" s="9" t="inlineStr">
        <is>
          <t>Justin Hill</t>
        </is>
      </c>
      <c r="B2226" s="9" t="inlineStr">
        <is>
          <t>2/22/26 - 3/21/26</t>
        </is>
      </c>
      <c r="C2226" s="12" t="n">
        <v>0</v>
      </c>
      <c r="D2226" s="12" t="n">
        <v>0.41</v>
      </c>
      <c r="E2226" s="12" t="n">
        <v>0</v>
      </c>
      <c r="F2226" s="12" t="n">
        <v>0</v>
      </c>
      <c r="G2226" s="12" t="n">
        <v>0</v>
      </c>
      <c r="H2226" s="9" t="n">
        <v>0</v>
      </c>
      <c r="I2226" s="32" t="inlineStr">
        <is>
          <t>0/0</t>
        </is>
      </c>
      <c r="J2226" s="12" t="n">
        <v>0</v>
      </c>
      <c r="K2226" t="e">
        <v>#N/A</v>
      </c>
      <c r="L2226" t="e">
        <v>#N/A</v>
      </c>
      <c r="M2226" t="e">
        <v>#N/A</v>
      </c>
    </row>
    <row r="2227">
      <c r="A2227" s="9" t="inlineStr">
        <is>
          <t>Kate Haldeman</t>
        </is>
      </c>
      <c r="B2227" s="9" t="inlineStr">
        <is>
          <t>2/22/26 - 3/21/26</t>
        </is>
      </c>
      <c r="C2227" s="12" t="n">
        <v>0</v>
      </c>
      <c r="D2227" s="12" t="n">
        <v>1.02</v>
      </c>
      <c r="E2227" s="12" t="n">
        <v>0</v>
      </c>
      <c r="F2227" s="12" t="n">
        <v>0</v>
      </c>
      <c r="G2227" s="12" t="n">
        <v>0</v>
      </c>
      <c r="H2227" s="9" t="n">
        <v>0</v>
      </c>
      <c r="I2227" s="32" t="inlineStr">
        <is>
          <t>0/0</t>
        </is>
      </c>
      <c r="J2227" s="12" t="n">
        <v>0</v>
      </c>
      <c r="K2227" t="e">
        <v>#N/A</v>
      </c>
      <c r="L2227" t="e">
        <v>#N/A</v>
      </c>
      <c r="M2227" t="e">
        <v>#N/A</v>
      </c>
    </row>
    <row r="2228">
      <c r="A2228" s="9" t="inlineStr">
        <is>
          <t>Kiersten Guetlein</t>
        </is>
      </c>
      <c r="B2228" s="9" t="inlineStr">
        <is>
          <t>2/22/26 - 3/21/26</t>
        </is>
      </c>
      <c r="C2228" s="12" t="n">
        <v>0.78</v>
      </c>
      <c r="D2228" s="12" t="n">
        <v>1.54</v>
      </c>
      <c r="E2228" s="12" t="n">
        <v>0.99</v>
      </c>
      <c r="F2228" s="12" t="n">
        <v>0.92</v>
      </c>
      <c r="G2228" s="12" t="n">
        <v>0.9399999999999999</v>
      </c>
      <c r="H2228" s="9" t="n">
        <v>1</v>
      </c>
      <c r="I2228" s="32" t="inlineStr">
        <is>
          <t>0/0</t>
        </is>
      </c>
      <c r="J2228" s="12" t="n">
        <v>0</v>
      </c>
      <c r="K2228" t="inlineStr">
        <is>
          <t>Premium</t>
        </is>
      </c>
      <c r="L2228" t="inlineStr">
        <is>
          <t>Professional</t>
        </is>
      </c>
      <c r="M2228" t="inlineStr">
        <is>
          <t>Ela Cross</t>
        </is>
      </c>
    </row>
    <row r="2229">
      <c r="A2229" s="9" t="inlineStr">
        <is>
          <t>Krishna Rastogi</t>
        </is>
      </c>
      <c r="B2229" s="9" t="inlineStr">
        <is>
          <t>2/22/26 - 3/21/26</t>
        </is>
      </c>
      <c r="C2229" s="12" t="n">
        <v>1.06</v>
      </c>
      <c r="D2229" s="12" t="n">
        <v>1.21</v>
      </c>
      <c r="E2229" s="12" t="n">
        <v>0.9</v>
      </c>
      <c r="F2229" s="12" t="n">
        <v>0.82</v>
      </c>
      <c r="G2229" s="12" t="n">
        <v>0.17</v>
      </c>
      <c r="H2229" s="9" t="n">
        <v>5</v>
      </c>
      <c r="I2229" s="32" t="inlineStr">
        <is>
          <t>0/0</t>
        </is>
      </c>
      <c r="J2229" s="12" t="n">
        <v>0</v>
      </c>
      <c r="K2229" t="inlineStr">
        <is>
          <t>Advanced</t>
        </is>
      </c>
      <c r="L2229" t="inlineStr">
        <is>
          <t>Adjunct- BUC</t>
        </is>
      </c>
      <c r="M2229" t="inlineStr">
        <is>
          <t>Ian Plamondon</t>
        </is>
      </c>
    </row>
    <row r="2230">
      <c r="A2230" s="9" t="inlineStr">
        <is>
          <t>Maia Gerlinger</t>
        </is>
      </c>
      <c r="B2230" s="9" t="inlineStr">
        <is>
          <t>2/22/26 - 3/21/26</t>
        </is>
      </c>
      <c r="C2230" s="12" t="n">
        <v>1.08</v>
      </c>
      <c r="D2230" s="12" t="n">
        <v>1.43</v>
      </c>
      <c r="E2230" s="12" t="n">
        <v>1</v>
      </c>
      <c r="F2230" s="12" t="n">
        <v>1</v>
      </c>
      <c r="G2230" s="12" t="n">
        <v>0.92</v>
      </c>
      <c r="H2230" s="9" t="n">
        <v>3</v>
      </c>
      <c r="I2230" s="32" t="inlineStr">
        <is>
          <t>0/0</t>
        </is>
      </c>
      <c r="J2230" s="12" t="n">
        <v>0</v>
      </c>
      <c r="K2230" t="inlineStr">
        <is>
          <t>Distinguished</t>
        </is>
      </c>
      <c r="L2230" t="inlineStr">
        <is>
          <t>Adjunct</t>
        </is>
      </c>
      <c r="M2230" t="inlineStr">
        <is>
          <t>Annelies de Groot</t>
        </is>
      </c>
    </row>
    <row r="2231">
      <c r="A2231" s="9" t="inlineStr">
        <is>
          <t>Margaret Webb</t>
        </is>
      </c>
      <c r="B2231" s="9" t="inlineStr">
        <is>
          <t>2/22/26 - 3/21/26</t>
        </is>
      </c>
      <c r="C2231" s="12" t="n">
        <v>1.53</v>
      </c>
      <c r="D2231" s="12" t="n">
        <v>1.49</v>
      </c>
      <c r="E2231" s="12" t="n">
        <v>1</v>
      </c>
      <c r="F2231" s="12" t="n">
        <v>1</v>
      </c>
      <c r="G2231" s="12" t="n">
        <v>0.98</v>
      </c>
      <c r="H2231" s="9" t="n">
        <v>25</v>
      </c>
      <c r="I2231" s="32" t="inlineStr">
        <is>
          <t>0/0</t>
        </is>
      </c>
      <c r="J2231" s="12" t="n">
        <v>0</v>
      </c>
      <c r="K2231" t="inlineStr">
        <is>
          <t>Advanced</t>
        </is>
      </c>
      <c r="L2231" t="inlineStr">
        <is>
          <t>Professional</t>
        </is>
      </c>
      <c r="M2231" t="inlineStr">
        <is>
          <t>Kristin Haase-Alvey</t>
        </is>
      </c>
    </row>
    <row r="2232">
      <c r="A2232" s="9" t="inlineStr">
        <is>
          <t>Mark Duncan</t>
        </is>
      </c>
      <c r="B2232" s="9" t="inlineStr">
        <is>
          <t>2/22/26 - 3/21/26</t>
        </is>
      </c>
      <c r="C2232" s="12" t="n">
        <v>0.89</v>
      </c>
      <c r="D2232" s="12" t="n">
        <v>1.14</v>
      </c>
      <c r="E2232" s="12" t="n">
        <v>0.98</v>
      </c>
      <c r="F2232" s="12" t="n">
        <v>1</v>
      </c>
      <c r="G2232" s="12" t="n">
        <v>0.9</v>
      </c>
      <c r="H2232" s="9" t="n">
        <v>3</v>
      </c>
      <c r="I2232" s="32" t="inlineStr">
        <is>
          <t>0/0</t>
        </is>
      </c>
      <c r="J2232" s="12" t="n">
        <v>0</v>
      </c>
      <c r="K2232" t="inlineStr">
        <is>
          <t>Advanced</t>
        </is>
      </c>
      <c r="L2232" t="inlineStr">
        <is>
          <t>Adjunct</t>
        </is>
      </c>
      <c r="M2232" t="inlineStr">
        <is>
          <t>Kristin Haase-Alvey</t>
        </is>
      </c>
    </row>
    <row r="2233">
      <c r="A2233" s="9" t="inlineStr">
        <is>
          <t>Mary Logan</t>
        </is>
      </c>
      <c r="B2233" s="9" t="inlineStr">
        <is>
          <t>2/22/26 - 3/21/26</t>
        </is>
      </c>
      <c r="C2233" s="12" t="n">
        <v>1.03</v>
      </c>
      <c r="D2233" s="12" t="n">
        <v>1.11</v>
      </c>
      <c r="E2233" s="12" t="n">
        <v>1</v>
      </c>
      <c r="F2233" s="12" t="n">
        <v>1</v>
      </c>
      <c r="G2233" s="12" t="n">
        <v>1</v>
      </c>
      <c r="H2233" s="9" t="n">
        <v>18</v>
      </c>
      <c r="I2233" s="32" t="inlineStr">
        <is>
          <t>0/0</t>
        </is>
      </c>
      <c r="J2233" s="12" t="n">
        <v>0</v>
      </c>
      <c r="K2233" t="inlineStr">
        <is>
          <t>Advanced</t>
        </is>
      </c>
      <c r="L2233" t="inlineStr">
        <is>
          <t>Professional</t>
        </is>
      </c>
      <c r="M2233" t="inlineStr">
        <is>
          <t>Ela Cross</t>
        </is>
      </c>
    </row>
    <row r="2234">
      <c r="A2234" s="9" t="inlineStr">
        <is>
          <t>Matthew Wert</t>
        </is>
      </c>
      <c r="B2234" s="9" t="inlineStr">
        <is>
          <t>2/22/26 - 3/21/26</t>
        </is>
      </c>
      <c r="C2234" s="12" t="n">
        <v>1.03</v>
      </c>
      <c r="D2234" s="12" t="n">
        <v>0.93</v>
      </c>
      <c r="E2234" s="12" t="n">
        <v>0.96</v>
      </c>
      <c r="F2234" s="12" t="n">
        <v>0.76</v>
      </c>
      <c r="G2234" s="12" t="n">
        <v>0.89</v>
      </c>
      <c r="H2234" s="9" t="n">
        <v>10</v>
      </c>
      <c r="I2234" s="32" t="inlineStr">
        <is>
          <t>0/0</t>
        </is>
      </c>
      <c r="J2234" s="12" t="n">
        <v>0</v>
      </c>
      <c r="K2234" t="inlineStr">
        <is>
          <t>Advanced</t>
        </is>
      </c>
      <c r="L2234" t="inlineStr">
        <is>
          <t>Adjunct</t>
        </is>
      </c>
      <c r="M2234" t="inlineStr">
        <is>
          <t>Geoff St. Marie</t>
        </is>
      </c>
    </row>
    <row r="2235">
      <c r="A2235" s="9" t="inlineStr">
        <is>
          <t>Melanie Leong</t>
        </is>
      </c>
      <c r="B2235" s="9" t="inlineStr">
        <is>
          <t>2/22/26 - 3/21/26</t>
        </is>
      </c>
      <c r="C2235" s="12" t="n">
        <v>0.55</v>
      </c>
      <c r="D2235" s="12" t="n">
        <v>1.08</v>
      </c>
      <c r="E2235" s="12" t="n">
        <v>1</v>
      </c>
      <c r="F2235" s="12" t="n">
        <v>1</v>
      </c>
      <c r="G2235" s="12" t="n">
        <v>1</v>
      </c>
      <c r="H2235" s="9" t="n">
        <v>6</v>
      </c>
      <c r="I2235" s="32" t="inlineStr">
        <is>
          <t>0/0</t>
        </is>
      </c>
      <c r="J2235" s="12" t="n">
        <v>0</v>
      </c>
      <c r="K2235" t="inlineStr">
        <is>
          <t>Premium</t>
        </is>
      </c>
      <c r="L2235" t="inlineStr">
        <is>
          <t>Adjunct</t>
        </is>
      </c>
      <c r="M2235" t="inlineStr">
        <is>
          <t>Kristin Haase-Alvey</t>
        </is>
      </c>
    </row>
    <row r="2236">
      <c r="A2236" s="9" t="inlineStr">
        <is>
          <t>Michelle Testerman</t>
        </is>
      </c>
      <c r="B2236" s="9" t="inlineStr">
        <is>
          <t>2/22/26 - 3/21/26</t>
        </is>
      </c>
      <c r="C2236" s="12" t="n">
        <v>1.21</v>
      </c>
      <c r="D2236" s="12" t="n">
        <v>1.03</v>
      </c>
      <c r="E2236" s="12" t="n">
        <v>1</v>
      </c>
      <c r="F2236" s="12" t="n">
        <v>0.98</v>
      </c>
      <c r="G2236" s="12" t="n">
        <v>1</v>
      </c>
      <c r="H2236" s="9" t="n">
        <v>8</v>
      </c>
      <c r="I2236" s="32" t="inlineStr">
        <is>
          <t>0/0</t>
        </is>
      </c>
      <c r="J2236" s="12" t="n">
        <v>0</v>
      </c>
      <c r="K2236" t="inlineStr">
        <is>
          <t>Advanced</t>
        </is>
      </c>
      <c r="L2236" t="inlineStr">
        <is>
          <t>Adjunct</t>
        </is>
      </c>
      <c r="M2236" t="inlineStr">
        <is>
          <t>Ela Cross</t>
        </is>
      </c>
    </row>
    <row r="2237">
      <c r="A2237" s="9" t="inlineStr">
        <is>
          <t>Nik Kososik</t>
        </is>
      </c>
      <c r="B2237" s="9" t="inlineStr">
        <is>
          <t>2/22/26 - 3/21/26</t>
        </is>
      </c>
      <c r="C2237" s="12" t="n">
        <v>0.99</v>
      </c>
      <c r="D2237" s="12" t="n">
        <v>0.99</v>
      </c>
      <c r="E2237" s="12" t="n">
        <v>0.91</v>
      </c>
      <c r="F2237" s="12" t="n">
        <v>0.98</v>
      </c>
      <c r="G2237" s="12" t="n">
        <v>0.75</v>
      </c>
      <c r="H2237" s="9" t="n">
        <v>7</v>
      </c>
      <c r="I2237" s="32" t="inlineStr">
        <is>
          <t>0/0</t>
        </is>
      </c>
      <c r="J2237" s="12" t="n">
        <v>0</v>
      </c>
      <c r="K2237" t="inlineStr">
        <is>
          <t>Advanced</t>
        </is>
      </c>
      <c r="L2237" t="inlineStr">
        <is>
          <t>Adjunct</t>
        </is>
      </c>
      <c r="M2237" t="inlineStr">
        <is>
          <t>Geoff St. Marie</t>
        </is>
      </c>
    </row>
    <row r="2238">
      <c r="A2238" s="9" t="inlineStr">
        <is>
          <t>Nisha Fletcher</t>
        </is>
      </c>
      <c r="B2238" s="9" t="inlineStr">
        <is>
          <t>2/22/26 - 3/21/26</t>
        </is>
      </c>
      <c r="C2238" s="12" t="n">
        <v>0</v>
      </c>
      <c r="D2238" s="12" t="n">
        <v>0</v>
      </c>
      <c r="E2238" s="12" t="n">
        <v>0</v>
      </c>
      <c r="F2238" s="12" t="n">
        <v>0</v>
      </c>
      <c r="G2238" s="12" t="n">
        <v>0</v>
      </c>
      <c r="H2238" s="9" t="n">
        <v>0</v>
      </c>
      <c r="I2238" s="32" t="inlineStr">
        <is>
          <t>0/0</t>
        </is>
      </c>
      <c r="J2238" s="12" t="n">
        <v>0</v>
      </c>
      <c r="K2238" t="e">
        <v>#N/A</v>
      </c>
      <c r="L2238" t="e">
        <v>#N/A</v>
      </c>
      <c r="M2238" t="e">
        <v>#N/A</v>
      </c>
    </row>
    <row r="2239">
      <c r="A2239" s="9" t="inlineStr">
        <is>
          <t>Parthav Elangovan</t>
        </is>
      </c>
      <c r="B2239" s="9" t="inlineStr">
        <is>
          <t>2/22/26 - 3/21/26</t>
        </is>
      </c>
      <c r="C2239" s="12" t="n">
        <v>0</v>
      </c>
      <c r="D2239" s="12" t="n">
        <v>0.58</v>
      </c>
      <c r="E2239" s="12" t="n">
        <v>0</v>
      </c>
      <c r="F2239" s="12" t="n">
        <v>0</v>
      </c>
      <c r="G2239" s="12" t="n">
        <v>0</v>
      </c>
      <c r="H2239" s="9" t="n">
        <v>0</v>
      </c>
      <c r="I2239" s="32" t="inlineStr">
        <is>
          <t>0/0</t>
        </is>
      </c>
      <c r="J2239" s="12" t="n">
        <v>0</v>
      </c>
      <c r="K2239" t="e">
        <v>#N/A</v>
      </c>
      <c r="L2239" t="e">
        <v>#N/A</v>
      </c>
      <c r="M2239" t="e">
        <v>#N/A</v>
      </c>
    </row>
    <row r="2240">
      <c r="A2240" s="9" t="inlineStr">
        <is>
          <t>Patricia Flores</t>
        </is>
      </c>
      <c r="B2240" s="9" t="inlineStr">
        <is>
          <t>2/22/26 - 3/21/26</t>
        </is>
      </c>
      <c r="C2240" s="12" t="n">
        <v>0.97</v>
      </c>
      <c r="D2240" s="12" t="n">
        <v>1.48</v>
      </c>
      <c r="E2240" s="12" t="n">
        <v>0.95</v>
      </c>
      <c r="F2240" s="12" t="n">
        <v>0.68</v>
      </c>
      <c r="G2240" s="12" t="n">
        <v>0.8</v>
      </c>
      <c r="H2240" s="9" t="n">
        <v>0</v>
      </c>
      <c r="I2240" s="32" t="inlineStr">
        <is>
          <t>0/0</t>
        </is>
      </c>
      <c r="J2240" s="12" t="n">
        <v>0</v>
      </c>
      <c r="K2240" t="inlineStr">
        <is>
          <t>Distinguished</t>
        </is>
      </c>
      <c r="L2240" t="inlineStr">
        <is>
          <t>Adjunct</t>
        </is>
      </c>
      <c r="M2240" t="inlineStr">
        <is>
          <t>Ela Cross</t>
        </is>
      </c>
    </row>
    <row r="2241">
      <c r="A2241" s="9" t="inlineStr">
        <is>
          <t>Ralph Strope</t>
        </is>
      </c>
      <c r="B2241" s="9" t="inlineStr">
        <is>
          <t>2/22/26 - 3/21/26</t>
        </is>
      </c>
      <c r="C2241" s="12" t="n">
        <v>1.09</v>
      </c>
      <c r="D2241" s="12" t="n">
        <v>1.12</v>
      </c>
      <c r="E2241" s="12" t="n">
        <v>1</v>
      </c>
      <c r="F2241" s="12" t="n">
        <v>1</v>
      </c>
      <c r="G2241" s="12" t="n">
        <v>0.83</v>
      </c>
      <c r="H2241" s="9" t="n">
        <v>4</v>
      </c>
      <c r="I2241" s="32" t="inlineStr">
        <is>
          <t>0/0</t>
        </is>
      </c>
      <c r="J2241" s="12" t="n">
        <v>0</v>
      </c>
      <c r="K2241" t="inlineStr">
        <is>
          <t>Advanced</t>
        </is>
      </c>
      <c r="L2241" t="inlineStr">
        <is>
          <t>Adjunct</t>
        </is>
      </c>
      <c r="M2241" t="inlineStr">
        <is>
          <t>Ela Cross</t>
        </is>
      </c>
    </row>
    <row r="2242">
      <c r="A2242" s="9" t="inlineStr">
        <is>
          <t>Scott Greathouse</t>
        </is>
      </c>
      <c r="B2242" s="9" t="inlineStr">
        <is>
          <t>2/22/26 - 3/21/26</t>
        </is>
      </c>
      <c r="C2242" s="12" t="n">
        <v>1.15</v>
      </c>
      <c r="D2242" s="12" t="n">
        <v>1.24</v>
      </c>
      <c r="E2242" s="12" t="n">
        <v>1</v>
      </c>
      <c r="F2242" s="12" t="n">
        <v>1</v>
      </c>
      <c r="G2242" s="12" t="n">
        <v>0.5</v>
      </c>
      <c r="H2242" s="9" t="n">
        <v>6</v>
      </c>
      <c r="I2242" s="32" t="inlineStr">
        <is>
          <t>0/0</t>
        </is>
      </c>
      <c r="J2242" s="12" t="n">
        <v>0</v>
      </c>
      <c r="K2242" t="inlineStr">
        <is>
          <t>Advanced</t>
        </is>
      </c>
      <c r="L2242" t="inlineStr">
        <is>
          <t>Adjunct</t>
        </is>
      </c>
      <c r="M2242" t="inlineStr">
        <is>
          <t>Kristin Haase-Alvey</t>
        </is>
      </c>
    </row>
    <row r="2243">
      <c r="A2243" s="9" t="inlineStr">
        <is>
          <t>Shannon Huang</t>
        </is>
      </c>
      <c r="B2243" s="9" t="inlineStr">
        <is>
          <t>2/22/26 - 3/21/26</t>
        </is>
      </c>
      <c r="C2243" s="12" t="n">
        <v>1.22</v>
      </c>
      <c r="D2243" s="12" t="n">
        <v>1.12</v>
      </c>
      <c r="E2243" s="12" t="n">
        <v>0.99</v>
      </c>
      <c r="F2243" s="12" t="n">
        <v>0.67</v>
      </c>
      <c r="G2243" s="12" t="n">
        <v>0.67</v>
      </c>
      <c r="H2243" s="9" t="n">
        <v>20</v>
      </c>
      <c r="I2243" s="32" t="inlineStr">
        <is>
          <t>0/0</t>
        </is>
      </c>
      <c r="J2243" s="12" t="n">
        <v>0</v>
      </c>
      <c r="K2243" t="inlineStr">
        <is>
          <t>Advanced</t>
        </is>
      </c>
      <c r="L2243" t="inlineStr">
        <is>
          <t>Professional</t>
        </is>
      </c>
      <c r="M2243" t="inlineStr">
        <is>
          <t>Ela Cross</t>
        </is>
      </c>
    </row>
    <row r="2244">
      <c r="A2244" s="9" t="inlineStr">
        <is>
          <t>Sharon Vincuilla</t>
        </is>
      </c>
      <c r="B2244" s="9" t="inlineStr">
        <is>
          <t>2/22/26 - 3/21/26</t>
        </is>
      </c>
      <c r="C2244" s="12" t="n">
        <v>1.17</v>
      </c>
      <c r="D2244" s="12" t="n">
        <v>1.4</v>
      </c>
      <c r="E2244" s="12" t="n">
        <v>0.98</v>
      </c>
      <c r="F2244" s="12" t="n">
        <v>1</v>
      </c>
      <c r="G2244" s="12" t="n">
        <v>1</v>
      </c>
      <c r="H2244" s="9" t="n">
        <v>6</v>
      </c>
      <c r="I2244" s="32" t="inlineStr">
        <is>
          <t>0/0</t>
        </is>
      </c>
      <c r="J2244" s="12" t="n">
        <v>0</v>
      </c>
      <c r="K2244" t="inlineStr">
        <is>
          <t>Advanced</t>
        </is>
      </c>
      <c r="L2244" t="inlineStr">
        <is>
          <t>Adjunct</t>
        </is>
      </c>
      <c r="M2244" t="inlineStr">
        <is>
          <t>Annelies de Groot</t>
        </is>
      </c>
    </row>
    <row r="2245">
      <c r="A2245" s="9" t="inlineStr">
        <is>
          <t>Shaun Leonard</t>
        </is>
      </c>
      <c r="B2245" s="9" t="inlineStr">
        <is>
          <t>2/22/26 - 3/21/26</t>
        </is>
      </c>
      <c r="C2245" s="12" t="n">
        <v>0.98</v>
      </c>
      <c r="D2245" s="12" t="n">
        <v>1.18</v>
      </c>
      <c r="E2245" s="12" t="n">
        <v>0.9</v>
      </c>
      <c r="F2245" s="12" t="n">
        <v>0.85</v>
      </c>
      <c r="G2245" s="12" t="n">
        <v>0.79</v>
      </c>
      <c r="H2245" s="9" t="n">
        <v>6</v>
      </c>
      <c r="I2245" s="32" t="inlineStr">
        <is>
          <t>0/0</t>
        </is>
      </c>
      <c r="J2245" s="12" t="n">
        <v>0</v>
      </c>
      <c r="K2245" t="inlineStr">
        <is>
          <t>Advanced</t>
        </is>
      </c>
      <c r="L2245" t="inlineStr">
        <is>
          <t>Adjunct</t>
        </is>
      </c>
      <c r="M2245" t="inlineStr">
        <is>
          <t>Kristin Haase-Alvey</t>
        </is>
      </c>
    </row>
    <row r="2246">
      <c r="A2246" s="9" t="inlineStr">
        <is>
          <t>Shawn Kane</t>
        </is>
      </c>
      <c r="B2246" s="9" t="inlineStr">
        <is>
          <t>2/22/26 - 3/21/26</t>
        </is>
      </c>
      <c r="C2246" s="12" t="n">
        <v>0.71</v>
      </c>
      <c r="D2246" s="12" t="n">
        <v>1.1</v>
      </c>
      <c r="E2246" s="12" t="n">
        <v>0.98</v>
      </c>
      <c r="F2246" s="12" t="n">
        <v>1</v>
      </c>
      <c r="G2246" s="12" t="n">
        <v>1</v>
      </c>
      <c r="H2246" s="9" t="n">
        <v>0</v>
      </c>
      <c r="I2246" s="32" t="inlineStr">
        <is>
          <t>0/0</t>
        </is>
      </c>
      <c r="J2246" s="12" t="n">
        <v>0</v>
      </c>
      <c r="K2246" t="inlineStr">
        <is>
          <t>Premium</t>
        </is>
      </c>
      <c r="L2246" t="inlineStr">
        <is>
          <t>Adjunct</t>
        </is>
      </c>
      <c r="M2246" t="inlineStr">
        <is>
          <t>Ela Cross</t>
        </is>
      </c>
    </row>
    <row r="2247">
      <c r="A2247" s="9" t="inlineStr">
        <is>
          <t>Skye Silmenna</t>
        </is>
      </c>
      <c r="B2247" s="9" t="inlineStr">
        <is>
          <t>2/22/26 - 3/21/26</t>
        </is>
      </c>
      <c r="C2247" s="12" t="n">
        <v>0.49</v>
      </c>
      <c r="D2247" s="12" t="n">
        <v>0.55</v>
      </c>
      <c r="E2247" s="12" t="n">
        <v>0.85</v>
      </c>
      <c r="F2247" s="12" t="n">
        <v>0.77</v>
      </c>
      <c r="G2247" s="12" t="n">
        <v>0.47</v>
      </c>
      <c r="H2247" s="9" t="n">
        <v>8</v>
      </c>
      <c r="I2247" s="32" t="inlineStr">
        <is>
          <t>0/0</t>
        </is>
      </c>
      <c r="J2247" s="12" t="n">
        <v>0</v>
      </c>
      <c r="K2247" t="inlineStr">
        <is>
          <t>Advanced</t>
        </is>
      </c>
      <c r="L2247" t="inlineStr">
        <is>
          <t>Professional</t>
        </is>
      </c>
      <c r="M2247" t="inlineStr">
        <is>
          <t>Annelies de Groot</t>
        </is>
      </c>
    </row>
    <row r="2248">
      <c r="A2248" s="9" t="inlineStr">
        <is>
          <t>Stacey Jones</t>
        </is>
      </c>
      <c r="B2248" s="9" t="inlineStr">
        <is>
          <t>2/22/26 - 3/21/26</t>
        </is>
      </c>
      <c r="C2248" s="12" t="n">
        <v>1.56</v>
      </c>
      <c r="D2248" s="12" t="n">
        <v>1.43</v>
      </c>
      <c r="E2248" s="12" t="n">
        <v>0.97</v>
      </c>
      <c r="F2248" s="12" t="n">
        <v>0.95</v>
      </c>
      <c r="G2248" s="12" t="n">
        <v>0.9399999999999999</v>
      </c>
      <c r="H2248" s="9" t="n">
        <v>5</v>
      </c>
      <c r="I2248" s="32" t="inlineStr">
        <is>
          <t>0/0</t>
        </is>
      </c>
      <c r="J2248" s="12" t="n">
        <v>0</v>
      </c>
      <c r="K2248" t="inlineStr">
        <is>
          <t>Advanced</t>
        </is>
      </c>
      <c r="L2248" t="inlineStr">
        <is>
          <t>Adjunct</t>
        </is>
      </c>
      <c r="M2248" t="inlineStr">
        <is>
          <t>Annelies de Groot</t>
        </is>
      </c>
    </row>
    <row r="2249">
      <c r="A2249" s="9" t="inlineStr">
        <is>
          <t>Steven Colome</t>
        </is>
      </c>
      <c r="B2249" s="9" t="inlineStr">
        <is>
          <t>2/22/26 - 3/21/26</t>
        </is>
      </c>
      <c r="C2249" s="12" t="n">
        <v>1.22</v>
      </c>
      <c r="D2249" s="12" t="n">
        <v>1.2</v>
      </c>
      <c r="E2249" s="12" t="n">
        <v>0.98</v>
      </c>
      <c r="F2249" s="12" t="n">
        <v>0.63</v>
      </c>
      <c r="G2249" s="12" t="n">
        <v>0</v>
      </c>
      <c r="H2249" s="9" t="n">
        <v>4</v>
      </c>
      <c r="I2249" s="32" t="inlineStr">
        <is>
          <t>0/0</t>
        </is>
      </c>
      <c r="J2249" s="12" t="n">
        <v>0</v>
      </c>
      <c r="K2249" t="inlineStr">
        <is>
          <t>Advanced</t>
        </is>
      </c>
      <c r="L2249" t="inlineStr">
        <is>
          <t>Adjunct</t>
        </is>
      </c>
      <c r="M2249" t="inlineStr">
        <is>
          <t>Ela Cross</t>
        </is>
      </c>
    </row>
    <row r="2250">
      <c r="A2250" s="9" t="inlineStr">
        <is>
          <t>Sunho Kum</t>
        </is>
      </c>
      <c r="B2250" s="9" t="inlineStr">
        <is>
          <t>2/22/26 - 3/21/26</t>
        </is>
      </c>
      <c r="C2250" s="12" t="n">
        <v>1.15</v>
      </c>
      <c r="D2250" s="12" t="n">
        <v>0.98</v>
      </c>
      <c r="E2250" s="12" t="n">
        <v>1</v>
      </c>
      <c r="F2250" s="12" t="n">
        <v>1</v>
      </c>
      <c r="G2250" s="12" t="n">
        <v>1</v>
      </c>
      <c r="H2250" s="9" t="n">
        <v>5</v>
      </c>
      <c r="I2250" s="32" t="inlineStr">
        <is>
          <t>0/0</t>
        </is>
      </c>
      <c r="J2250" s="12" t="n">
        <v>0</v>
      </c>
      <c r="K2250" t="inlineStr">
        <is>
          <t>Advanced</t>
        </is>
      </c>
      <c r="L2250" t="inlineStr">
        <is>
          <t>Adjunct</t>
        </is>
      </c>
      <c r="M2250" t="inlineStr">
        <is>
          <t>Ela Cross</t>
        </is>
      </c>
    </row>
    <row r="2251">
      <c r="A2251" s="9" t="inlineStr">
        <is>
          <t>Tea Stewart</t>
        </is>
      </c>
      <c r="B2251" s="9" t="inlineStr">
        <is>
          <t>2/22/26 - 3/21/26</t>
        </is>
      </c>
      <c r="C2251" s="12" t="n">
        <v>1.03</v>
      </c>
      <c r="D2251" s="12" t="n">
        <v>1.1</v>
      </c>
      <c r="E2251" s="12" t="n">
        <v>1</v>
      </c>
      <c r="F2251" s="12" t="n">
        <v>1</v>
      </c>
      <c r="G2251" s="12" t="n">
        <v>0.89</v>
      </c>
      <c r="H2251" s="9" t="n">
        <v>0</v>
      </c>
      <c r="I2251" s="32" t="inlineStr">
        <is>
          <t>0/0</t>
        </is>
      </c>
      <c r="J2251" s="12" t="n">
        <v>0</v>
      </c>
      <c r="K2251" t="inlineStr">
        <is>
          <t>Advanced</t>
        </is>
      </c>
      <c r="L2251" t="inlineStr">
        <is>
          <t>Adjunct</t>
        </is>
      </c>
      <c r="M2251" t="inlineStr">
        <is>
          <t>Kristin Haase-Alvey</t>
        </is>
      </c>
    </row>
    <row r="2252">
      <c r="A2252" s="9" t="inlineStr">
        <is>
          <t>Tommaso Marsella</t>
        </is>
      </c>
      <c r="B2252" s="9" t="inlineStr">
        <is>
          <t>2/22/26 - 3/21/26</t>
        </is>
      </c>
      <c r="C2252" s="12" t="n">
        <v>0.9399999999999999</v>
      </c>
      <c r="D2252" s="12" t="n">
        <v>1.23</v>
      </c>
      <c r="E2252" s="12" t="n">
        <v>1</v>
      </c>
      <c r="F2252" s="12" t="n">
        <v>1</v>
      </c>
      <c r="G2252" s="12" t="n">
        <v>1</v>
      </c>
      <c r="H2252" s="9" t="n">
        <v>0</v>
      </c>
      <c r="I2252" s="32" t="inlineStr">
        <is>
          <t>0/0</t>
        </is>
      </c>
      <c r="J2252" s="12" t="n">
        <v>0</v>
      </c>
      <c r="K2252" t="inlineStr">
        <is>
          <t>Distinguished</t>
        </is>
      </c>
      <c r="L2252" t="inlineStr">
        <is>
          <t>Adjunct</t>
        </is>
      </c>
      <c r="M2252" t="inlineStr">
        <is>
          <t>Ian Plamondon</t>
        </is>
      </c>
    </row>
    <row r="2253">
      <c r="A2253" s="9" t="inlineStr">
        <is>
          <t>Tyler Greer</t>
        </is>
      </c>
      <c r="B2253" s="9" t="inlineStr">
        <is>
          <t>2/22/26 - 3/21/26</t>
        </is>
      </c>
      <c r="C2253" s="12" t="n">
        <v>0.95</v>
      </c>
      <c r="D2253" s="12" t="n">
        <v>0.86</v>
      </c>
      <c r="E2253" s="12" t="n">
        <v>0.97</v>
      </c>
      <c r="F2253" s="12" t="n">
        <v>0.99</v>
      </c>
      <c r="G2253" s="12" t="n">
        <v>1</v>
      </c>
      <c r="H2253" s="9" t="n">
        <v>12</v>
      </c>
      <c r="I2253" s="32" t="inlineStr">
        <is>
          <t>0/0</t>
        </is>
      </c>
      <c r="J2253" s="12" t="n">
        <v>0</v>
      </c>
      <c r="K2253" t="inlineStr">
        <is>
          <t>Advanced</t>
        </is>
      </c>
      <c r="L2253" t="inlineStr">
        <is>
          <t>Professional</t>
        </is>
      </c>
      <c r="M2253" t="inlineStr">
        <is>
          <t>Kristin Haase-Alvey</t>
        </is>
      </c>
    </row>
    <row r="2254">
      <c r="A2254" s="9" t="inlineStr">
        <is>
          <t>Valerie Duran</t>
        </is>
      </c>
      <c r="B2254" s="9" t="inlineStr">
        <is>
          <t>2/22/26 - 3/21/26</t>
        </is>
      </c>
      <c r="C2254" s="12" t="n">
        <v>1.53</v>
      </c>
      <c r="D2254" s="12" t="n">
        <v>1.29</v>
      </c>
      <c r="E2254" s="12" t="n">
        <v>0.99</v>
      </c>
      <c r="F2254" s="12" t="n">
        <v>0.95</v>
      </c>
      <c r="G2254" s="12" t="n">
        <v>0</v>
      </c>
      <c r="H2254" s="9" t="n">
        <v>12</v>
      </c>
      <c r="I2254" s="32" t="inlineStr">
        <is>
          <t>0/0</t>
        </is>
      </c>
      <c r="J2254" s="12" t="n">
        <v>0</v>
      </c>
      <c r="K2254" t="inlineStr">
        <is>
          <t>Advanced</t>
        </is>
      </c>
      <c r="L2254" t="inlineStr">
        <is>
          <t>Adjunct- BUC</t>
        </is>
      </c>
      <c r="M2254" t="inlineStr">
        <is>
          <t>Ela Cross</t>
        </is>
      </c>
    </row>
    <row r="2255">
      <c r="A2255" s="9" t="inlineStr">
        <is>
          <t>Vincent Cross</t>
        </is>
      </c>
      <c r="B2255" s="9" t="inlineStr">
        <is>
          <t>2/22/26 - 3/21/26</t>
        </is>
      </c>
      <c r="C2255" s="12" t="n">
        <v>0</v>
      </c>
      <c r="D2255" s="12" t="n">
        <v>0.21</v>
      </c>
      <c r="E2255" s="12" t="n">
        <v>0</v>
      </c>
      <c r="F2255" s="12" t="n">
        <v>0</v>
      </c>
      <c r="G2255" s="12" t="n">
        <v>0</v>
      </c>
      <c r="H2255" s="9" t="n">
        <v>0</v>
      </c>
      <c r="I2255" s="32" t="inlineStr">
        <is>
          <t>0/0</t>
        </is>
      </c>
      <c r="J2255" s="12" t="n">
        <v>0</v>
      </c>
      <c r="K2255" t="e">
        <v>#N/A</v>
      </c>
      <c r="L2255" t="e">
        <v>#N/A</v>
      </c>
      <c r="M2255" t="e">
        <v>#N/A</v>
      </c>
    </row>
    <row r="2256">
      <c r="A2256" s="9" t="inlineStr">
        <is>
          <t>Yvrine Nguiwenga-Nketcha</t>
        </is>
      </c>
      <c r="B2256" s="9" t="inlineStr">
        <is>
          <t>2/22/26 - 3/21/26</t>
        </is>
      </c>
      <c r="C2256" s="12" t="n">
        <v>0.96</v>
      </c>
      <c r="D2256" s="12" t="n">
        <v>1.26</v>
      </c>
      <c r="E2256" s="12" t="n">
        <v>1</v>
      </c>
      <c r="F2256" s="12" t="n">
        <v>1</v>
      </c>
      <c r="G2256" s="12" t="n">
        <v>0.6</v>
      </c>
      <c r="H2256" s="9" t="n">
        <v>0</v>
      </c>
      <c r="I2256" s="32" t="inlineStr">
        <is>
          <t>0/0</t>
        </is>
      </c>
      <c r="J2256" s="12" t="n">
        <v>0</v>
      </c>
      <c r="K2256" t="inlineStr">
        <is>
          <t>Distinguished</t>
        </is>
      </c>
      <c r="L2256" t="inlineStr">
        <is>
          <t>Adjunct</t>
        </is>
      </c>
      <c r="M2256" t="inlineStr">
        <is>
          <t>Annelies de Groot</t>
        </is>
      </c>
    </row>
    <row r="2257">
      <c r="A2257" s="9" t="inlineStr">
        <is>
          <t>Zack Anthony</t>
        </is>
      </c>
      <c r="B2257" s="9" t="inlineStr">
        <is>
          <t>2/22/26 - 3/21/26</t>
        </is>
      </c>
      <c r="C2257" s="12" t="n">
        <v>0.98</v>
      </c>
      <c r="D2257" s="12" t="n">
        <v>0.92</v>
      </c>
      <c r="E2257" s="12" t="n">
        <v>0.97</v>
      </c>
      <c r="F2257" s="12" t="n">
        <v>0.9399999999999999</v>
      </c>
      <c r="G2257" s="12" t="n">
        <v>0.63</v>
      </c>
      <c r="H2257" s="9" t="n">
        <v>8</v>
      </c>
      <c r="I2257" s="32" t="inlineStr">
        <is>
          <t>0/0</t>
        </is>
      </c>
      <c r="J2257" s="12" t="n">
        <v>0</v>
      </c>
      <c r="K2257" t="inlineStr">
        <is>
          <t>Advanced</t>
        </is>
      </c>
      <c r="L2257" t="inlineStr">
        <is>
          <t>Professional</t>
        </is>
      </c>
      <c r="M2257" t="inlineStr">
        <is>
          <t>Kristin Haase-Alvey</t>
        </is>
      </c>
    </row>
    <row r="2258">
      <c r="A2258" s="9" t="inlineStr">
        <is>
          <t>Akeema Williams</t>
        </is>
      </c>
      <c r="B2258" s="9" t="inlineStr">
        <is>
          <t>2/22/26 - 3/21/26</t>
        </is>
      </c>
      <c r="C2258" s="12" t="n">
        <v>1.01</v>
      </c>
      <c r="D2258" s="12" t="n">
        <v>1.01</v>
      </c>
      <c r="E2258" s="12" t="n">
        <v>1</v>
      </c>
      <c r="F2258" s="12" t="n">
        <v>0.97</v>
      </c>
      <c r="G2258" s="12" t="n">
        <v>0.88</v>
      </c>
      <c r="H2258" s="9" t="n">
        <v>14</v>
      </c>
      <c r="I2258" s="32" t="inlineStr">
        <is>
          <t>0/1</t>
        </is>
      </c>
      <c r="J2258" s="12" t="n">
        <v>0</v>
      </c>
      <c r="K2258" t="inlineStr">
        <is>
          <t>Advanced</t>
        </is>
      </c>
      <c r="L2258" t="inlineStr">
        <is>
          <t>Professional</t>
        </is>
      </c>
      <c r="M2258" t="inlineStr">
        <is>
          <t>Ian Plamondon</t>
        </is>
      </c>
    </row>
    <row r="2259">
      <c r="A2259" s="9" t="inlineStr">
        <is>
          <t>Cameron Hojecki</t>
        </is>
      </c>
      <c r="B2259" s="9" t="inlineStr">
        <is>
          <t>2/22/26 - 3/21/26</t>
        </is>
      </c>
      <c r="C2259" s="12" t="n">
        <v>0.82</v>
      </c>
      <c r="D2259" s="12" t="n">
        <v>1.04</v>
      </c>
      <c r="E2259" s="12" t="n">
        <v>0.95</v>
      </c>
      <c r="F2259" s="12" t="n">
        <v>0.77</v>
      </c>
      <c r="G2259" s="12" t="n">
        <v>0.92</v>
      </c>
      <c r="H2259" s="9" t="n">
        <v>8</v>
      </c>
      <c r="I2259" s="32" t="inlineStr">
        <is>
          <t>0/1</t>
        </is>
      </c>
      <c r="J2259" s="12" t="n">
        <v>0</v>
      </c>
      <c r="K2259" t="inlineStr">
        <is>
          <t>Advanced</t>
        </is>
      </c>
      <c r="L2259" t="inlineStr">
        <is>
          <t>Adjunct- BUC</t>
        </is>
      </c>
      <c r="M2259" t="inlineStr">
        <is>
          <t>Geoff St. Marie</t>
        </is>
      </c>
    </row>
    <row r="2260">
      <c r="A2260" s="9" t="inlineStr">
        <is>
          <t>Gillian Ware</t>
        </is>
      </c>
      <c r="B2260" s="9" t="inlineStr">
        <is>
          <t>2/22/26 - 3/21/26</t>
        </is>
      </c>
      <c r="C2260" s="12" t="n">
        <v>0.83</v>
      </c>
      <c r="D2260" s="12" t="n">
        <v>0.86</v>
      </c>
      <c r="E2260" s="12" t="n">
        <v>1</v>
      </c>
      <c r="F2260" s="12" t="n">
        <v>0.96</v>
      </c>
      <c r="G2260" s="12" t="n">
        <v>0.74</v>
      </c>
      <c r="H2260" s="9" t="n">
        <v>15</v>
      </c>
      <c r="I2260" s="32" t="inlineStr">
        <is>
          <t>0/1</t>
        </is>
      </c>
      <c r="J2260" s="12" t="n">
        <v>0</v>
      </c>
      <c r="K2260" t="inlineStr">
        <is>
          <t>Advanced</t>
        </is>
      </c>
      <c r="L2260" t="inlineStr">
        <is>
          <t>Adjunct</t>
        </is>
      </c>
      <c r="M2260" t="inlineStr">
        <is>
          <t>Kristin Haase-Alvey</t>
        </is>
      </c>
    </row>
    <row r="2261">
      <c r="A2261" s="9" t="inlineStr">
        <is>
          <t>Guha Sriram</t>
        </is>
      </c>
      <c r="B2261" s="9" t="inlineStr">
        <is>
          <t>2/22/26 - 3/21/26</t>
        </is>
      </c>
      <c r="C2261" s="12" t="n">
        <v>0.03</v>
      </c>
      <c r="D2261" s="12" t="n">
        <v>0.72</v>
      </c>
      <c r="E2261" s="12" t="n">
        <v>1</v>
      </c>
      <c r="F2261" s="12" t="n">
        <v>1</v>
      </c>
      <c r="G2261" s="12" t="n">
        <v>0</v>
      </c>
      <c r="H2261" s="9" t="n">
        <v>0</v>
      </c>
      <c r="I2261" s="32" t="inlineStr">
        <is>
          <t>0/1</t>
        </is>
      </c>
      <c r="J2261" s="12" t="n">
        <v>0</v>
      </c>
      <c r="K2261" t="e">
        <v>#N/A</v>
      </c>
      <c r="L2261" t="e">
        <v>#N/A</v>
      </c>
      <c r="M2261" t="e">
        <v>#N/A</v>
      </c>
    </row>
    <row r="2262">
      <c r="A2262" s="9" t="inlineStr">
        <is>
          <t>Hannah Ervitz</t>
        </is>
      </c>
      <c r="B2262" s="9" t="inlineStr">
        <is>
          <t>2/22/26 - 3/21/26</t>
        </is>
      </c>
      <c r="C2262" s="12" t="n">
        <v>0.88</v>
      </c>
      <c r="D2262" s="12" t="n">
        <v>0.86</v>
      </c>
      <c r="E2262" s="12" t="n">
        <v>1</v>
      </c>
      <c r="F2262" s="12" t="n">
        <v>0.98</v>
      </c>
      <c r="G2262" s="12" t="n">
        <v>0.86</v>
      </c>
      <c r="H2262" s="9" t="n">
        <v>8</v>
      </c>
      <c r="I2262" s="32" t="inlineStr">
        <is>
          <t>0/1</t>
        </is>
      </c>
      <c r="J2262" s="12" t="n">
        <v>0</v>
      </c>
      <c r="K2262" t="inlineStr">
        <is>
          <t>Advanced</t>
        </is>
      </c>
      <c r="L2262" t="inlineStr">
        <is>
          <t>Professional</t>
        </is>
      </c>
      <c r="M2262" t="inlineStr">
        <is>
          <t>Kristin Haase-Alvey</t>
        </is>
      </c>
    </row>
    <row r="2263">
      <c r="A2263" s="9" t="inlineStr">
        <is>
          <t>Jackson Byars</t>
        </is>
      </c>
      <c r="B2263" s="9" t="inlineStr">
        <is>
          <t>2/22/26 - 3/21/26</t>
        </is>
      </c>
      <c r="C2263" s="12" t="n">
        <v>0.84</v>
      </c>
      <c r="D2263" s="12" t="n">
        <v>1.08</v>
      </c>
      <c r="E2263" s="12" t="n">
        <v>0.99</v>
      </c>
      <c r="F2263" s="12" t="n">
        <v>0.85</v>
      </c>
      <c r="G2263" s="12" t="n">
        <v>0.71</v>
      </c>
      <c r="H2263" s="9" t="n">
        <v>1</v>
      </c>
      <c r="I2263" s="32" t="inlineStr">
        <is>
          <t>0/1</t>
        </is>
      </c>
      <c r="J2263" s="12" t="n">
        <v>0</v>
      </c>
      <c r="K2263" t="inlineStr">
        <is>
          <t>Distinguished</t>
        </is>
      </c>
      <c r="L2263" t="inlineStr">
        <is>
          <t>Professional</t>
        </is>
      </c>
      <c r="M2263" t="inlineStr">
        <is>
          <t>Ian Plamondon</t>
        </is>
      </c>
    </row>
    <row r="2264">
      <c r="A2264" s="9" t="inlineStr">
        <is>
          <t>Jacob Karn</t>
        </is>
      </c>
      <c r="B2264" s="9" t="inlineStr">
        <is>
          <t>2/22/26 - 3/21/26</t>
        </is>
      </c>
      <c r="C2264" s="12" t="n">
        <v>1.1</v>
      </c>
      <c r="D2264" s="12" t="n">
        <v>1.02</v>
      </c>
      <c r="E2264" s="12" t="n">
        <v>0.99</v>
      </c>
      <c r="F2264" s="12" t="n">
        <v>0.73</v>
      </c>
      <c r="G2264" s="12" t="n">
        <v>0.84</v>
      </c>
      <c r="H2264" s="9" t="n">
        <v>14</v>
      </c>
      <c r="I2264" s="32" t="inlineStr">
        <is>
          <t>0/1</t>
        </is>
      </c>
      <c r="J2264" s="12" t="n">
        <v>0</v>
      </c>
      <c r="K2264" t="inlineStr">
        <is>
          <t>Advanced</t>
        </is>
      </c>
      <c r="L2264" t="inlineStr">
        <is>
          <t>Professional</t>
        </is>
      </c>
      <c r="M2264" t="inlineStr">
        <is>
          <t>Ian Plamondon</t>
        </is>
      </c>
    </row>
    <row r="2265">
      <c r="A2265" s="9" t="inlineStr">
        <is>
          <t>Jonathan Grams</t>
        </is>
      </c>
      <c r="B2265" s="9" t="inlineStr">
        <is>
          <t>2/22/26 - 3/21/26</t>
        </is>
      </c>
      <c r="C2265" s="12" t="n">
        <v>0.93</v>
      </c>
      <c r="D2265" s="12" t="n">
        <v>1.21</v>
      </c>
      <c r="E2265" s="12" t="n">
        <v>1</v>
      </c>
      <c r="F2265" s="12" t="n">
        <v>1</v>
      </c>
      <c r="G2265" s="12" t="n">
        <v>1</v>
      </c>
      <c r="H2265" s="9" t="n">
        <v>4</v>
      </c>
      <c r="I2265" s="32" t="inlineStr">
        <is>
          <t>0/1</t>
        </is>
      </c>
      <c r="J2265" s="12" t="n">
        <v>0</v>
      </c>
      <c r="K2265" t="inlineStr">
        <is>
          <t>Premium</t>
        </is>
      </c>
      <c r="L2265" t="inlineStr">
        <is>
          <t>Adjunct</t>
        </is>
      </c>
      <c r="M2265" t="inlineStr">
        <is>
          <t>Kristin Haase-Alvey</t>
        </is>
      </c>
    </row>
    <row r="2266">
      <c r="A2266" s="9" t="inlineStr">
        <is>
          <t>Nick Kocik</t>
        </is>
      </c>
      <c r="B2266" s="9" t="inlineStr">
        <is>
          <t>2/22/26 - 3/21/26</t>
        </is>
      </c>
      <c r="C2266" s="12" t="n">
        <v>1.04</v>
      </c>
      <c r="D2266" s="12" t="n">
        <v>1.05</v>
      </c>
      <c r="E2266" s="12" t="n">
        <v>1</v>
      </c>
      <c r="F2266" s="12" t="n">
        <v>0.9399999999999999</v>
      </c>
      <c r="G2266" s="12" t="n">
        <v>0.59</v>
      </c>
      <c r="H2266" s="9" t="n">
        <v>2</v>
      </c>
      <c r="I2266" s="32" t="inlineStr">
        <is>
          <t>0/1</t>
        </is>
      </c>
      <c r="J2266" s="12" t="n">
        <v>0</v>
      </c>
      <c r="K2266" t="inlineStr">
        <is>
          <t>Advanced</t>
        </is>
      </c>
      <c r="L2266" t="inlineStr">
        <is>
          <t>Professional</t>
        </is>
      </c>
      <c r="M2266" t="inlineStr">
        <is>
          <t>Ela Cross</t>
        </is>
      </c>
    </row>
    <row r="2267">
      <c r="A2267" s="9" t="inlineStr">
        <is>
          <t>Preston Peoples</t>
        </is>
      </c>
      <c r="B2267" s="9" t="inlineStr">
        <is>
          <t>2/22/26 - 3/21/26</t>
        </is>
      </c>
      <c r="C2267" s="12" t="n">
        <v>0.96</v>
      </c>
      <c r="D2267" s="12" t="n">
        <v>0.9399999999999999</v>
      </c>
      <c r="E2267" s="12" t="n">
        <v>0.96</v>
      </c>
      <c r="F2267" s="12" t="n">
        <v>0.99</v>
      </c>
      <c r="G2267" s="12" t="n">
        <v>0.68</v>
      </c>
      <c r="H2267" s="9" t="n">
        <v>12</v>
      </c>
      <c r="I2267" s="32" t="inlineStr">
        <is>
          <t>0/1</t>
        </is>
      </c>
      <c r="J2267" s="12" t="n">
        <v>0</v>
      </c>
      <c r="K2267" t="inlineStr">
        <is>
          <t>Advanced</t>
        </is>
      </c>
      <c r="L2267" t="inlineStr">
        <is>
          <t>Professional</t>
        </is>
      </c>
      <c r="M2267" t="inlineStr">
        <is>
          <t>Annelies de Groot</t>
        </is>
      </c>
    </row>
    <row r="2268">
      <c r="A2268" s="9" t="inlineStr">
        <is>
          <t>Ries Scerbin</t>
        </is>
      </c>
      <c r="B2268" s="9" t="inlineStr">
        <is>
          <t>2/22/26 - 3/21/26</t>
        </is>
      </c>
      <c r="C2268" s="12" t="n">
        <v>1.16</v>
      </c>
      <c r="D2268" s="12" t="n">
        <v>1.3</v>
      </c>
      <c r="E2268" s="12" t="n">
        <v>0.97</v>
      </c>
      <c r="F2268" s="12" t="n">
        <v>1</v>
      </c>
      <c r="G2268" s="12" t="n">
        <v>0.62</v>
      </c>
      <c r="H2268" s="9" t="n">
        <v>5</v>
      </c>
      <c r="I2268" s="32" t="inlineStr">
        <is>
          <t>0/1</t>
        </is>
      </c>
      <c r="J2268" s="12" t="n">
        <v>0</v>
      </c>
      <c r="K2268" t="inlineStr">
        <is>
          <t>Advanced</t>
        </is>
      </c>
      <c r="L2268" t="inlineStr">
        <is>
          <t>Adjunct</t>
        </is>
      </c>
      <c r="M2268" t="inlineStr">
        <is>
          <t>Annelies de Groot</t>
        </is>
      </c>
    </row>
    <row r="2269">
      <c r="A2269" s="9" t="inlineStr">
        <is>
          <t>Robert Nantze</t>
        </is>
      </c>
      <c r="B2269" s="9" t="inlineStr">
        <is>
          <t>2/22/26 - 3/21/26</t>
        </is>
      </c>
      <c r="C2269" s="12" t="n">
        <v>1.08</v>
      </c>
      <c r="D2269" s="12" t="n">
        <v>1.04</v>
      </c>
      <c r="E2269" s="12" t="n">
        <v>0.98</v>
      </c>
      <c r="F2269" s="12" t="n">
        <v>0.99</v>
      </c>
      <c r="G2269" s="12" t="n">
        <v>0.91</v>
      </c>
      <c r="H2269" s="9" t="n">
        <v>12</v>
      </c>
      <c r="I2269" s="32" t="inlineStr">
        <is>
          <t>0/1</t>
        </is>
      </c>
      <c r="J2269" s="12" t="n">
        <v>0</v>
      </c>
      <c r="K2269" t="inlineStr">
        <is>
          <t>Advanced</t>
        </is>
      </c>
      <c r="L2269" t="inlineStr">
        <is>
          <t>Professional</t>
        </is>
      </c>
      <c r="M2269" t="inlineStr">
        <is>
          <t>Ela Cross</t>
        </is>
      </c>
    </row>
    <row r="2270">
      <c r="A2270" s="9" t="inlineStr">
        <is>
          <t>Shaun O'Neil</t>
        </is>
      </c>
      <c r="B2270" s="9" t="inlineStr">
        <is>
          <t>2/22/26 - 3/21/26</t>
        </is>
      </c>
      <c r="C2270" s="12" t="n">
        <v>0.85</v>
      </c>
      <c r="D2270" s="12" t="n">
        <v>1.03</v>
      </c>
      <c r="E2270" s="12" t="n">
        <v>0.92</v>
      </c>
      <c r="F2270" s="12" t="n">
        <v>0.83</v>
      </c>
      <c r="G2270" s="12" t="n">
        <v>0.9399999999999999</v>
      </c>
      <c r="H2270" s="9" t="n">
        <v>0</v>
      </c>
      <c r="I2270" s="32" t="inlineStr">
        <is>
          <t>0/1</t>
        </is>
      </c>
      <c r="J2270" s="12" t="n">
        <v>0</v>
      </c>
      <c r="K2270" t="inlineStr">
        <is>
          <t>Distinguished</t>
        </is>
      </c>
      <c r="L2270" t="inlineStr">
        <is>
          <t>Professional</t>
        </is>
      </c>
      <c r="M2270" t="inlineStr">
        <is>
          <t>Ian Plamondon</t>
        </is>
      </c>
    </row>
    <row r="2271">
      <c r="A2271" s="9" t="inlineStr">
        <is>
          <t>Sonja Tomasko</t>
        </is>
      </c>
      <c r="B2271" s="9" t="inlineStr">
        <is>
          <t>2/22/26 - 3/21/26</t>
        </is>
      </c>
      <c r="C2271" s="12" t="n">
        <v>0.68</v>
      </c>
      <c r="D2271" s="12" t="n">
        <v>1.15</v>
      </c>
      <c r="E2271" s="12" t="n">
        <v>1</v>
      </c>
      <c r="F2271" s="12" t="n">
        <v>0.89</v>
      </c>
      <c r="G2271" s="12" t="n">
        <v>0.73</v>
      </c>
      <c r="H2271" s="9" t="n">
        <v>2</v>
      </c>
      <c r="I2271" s="32" t="inlineStr">
        <is>
          <t>0/1</t>
        </is>
      </c>
      <c r="J2271" s="12" t="n">
        <v>0</v>
      </c>
      <c r="K2271" t="inlineStr">
        <is>
          <t>Premium</t>
        </is>
      </c>
      <c r="L2271" t="inlineStr">
        <is>
          <t>Professional</t>
        </is>
      </c>
      <c r="M2271" t="inlineStr">
        <is>
          <t>Ian Plamondon</t>
        </is>
      </c>
    </row>
    <row r="2272">
      <c r="A2272" s="9" t="inlineStr">
        <is>
          <t>Zachary Doenges</t>
        </is>
      </c>
      <c r="B2272" s="9" t="inlineStr">
        <is>
          <t>2/22/26 - 3/21/26</t>
        </is>
      </c>
      <c r="C2272" s="12" t="n">
        <v>1.09</v>
      </c>
      <c r="D2272" s="12" t="n">
        <v>1.23</v>
      </c>
      <c r="E2272" s="12" t="n">
        <v>1</v>
      </c>
      <c r="F2272" s="12" t="n">
        <v>0.99</v>
      </c>
      <c r="G2272" s="12" t="n">
        <v>1</v>
      </c>
      <c r="H2272" s="9" t="n">
        <v>2</v>
      </c>
      <c r="I2272" s="32" t="inlineStr">
        <is>
          <t>0/1</t>
        </is>
      </c>
      <c r="J2272" s="12" t="n">
        <v>0</v>
      </c>
      <c r="K2272" t="inlineStr">
        <is>
          <t>Premium</t>
        </is>
      </c>
      <c r="L2272" t="inlineStr">
        <is>
          <t>Professional</t>
        </is>
      </c>
      <c r="M2272" t="inlineStr">
        <is>
          <t>Ian Plamondon</t>
        </is>
      </c>
    </row>
    <row r="2273">
      <c r="A2273" s="9" t="inlineStr">
        <is>
          <t>Zoe Shanley</t>
        </is>
      </c>
      <c r="B2273" s="9" t="inlineStr">
        <is>
          <t>2/22/26 - 3/21/26</t>
        </is>
      </c>
      <c r="C2273" s="12" t="n">
        <v>1.08</v>
      </c>
      <c r="D2273" s="12" t="n">
        <v>1.01</v>
      </c>
      <c r="E2273" s="12" t="n">
        <v>0.99</v>
      </c>
      <c r="F2273" s="12" t="n">
        <v>0.99</v>
      </c>
      <c r="G2273" s="12" t="n">
        <v>0.8100000000000001</v>
      </c>
      <c r="H2273" s="9" t="n">
        <v>18</v>
      </c>
      <c r="I2273" s="32" t="inlineStr">
        <is>
          <t>0/1</t>
        </is>
      </c>
      <c r="J2273" s="12" t="n">
        <v>0</v>
      </c>
      <c r="K2273" t="inlineStr">
        <is>
          <t>Advanced</t>
        </is>
      </c>
      <c r="L2273" t="inlineStr">
        <is>
          <t>Professional</t>
        </is>
      </c>
      <c r="M2273" t="inlineStr">
        <is>
          <t>Ian Plamondon</t>
        </is>
      </c>
    </row>
    <row r="2274">
      <c r="A2274" s="9" t="inlineStr">
        <is>
          <t>Chelsea Kobea</t>
        </is>
      </c>
      <c r="B2274" s="9" t="inlineStr">
        <is>
          <t>2/22/26 - 3/21/26</t>
        </is>
      </c>
      <c r="C2274" s="12" t="n">
        <v>0.44</v>
      </c>
      <c r="D2274" s="12" t="n">
        <v>1</v>
      </c>
      <c r="E2274" s="12" t="n">
        <v>0.89</v>
      </c>
      <c r="F2274" s="12" t="n">
        <v>0.89</v>
      </c>
      <c r="G2274" s="12" t="n">
        <v>1</v>
      </c>
      <c r="H2274" s="9" t="n">
        <v>0</v>
      </c>
      <c r="I2274" s="32" t="inlineStr">
        <is>
          <t>0/11</t>
        </is>
      </c>
      <c r="J2274" s="12" t="n">
        <v>0</v>
      </c>
      <c r="K2274" t="inlineStr">
        <is>
          <t>Advanced</t>
        </is>
      </c>
      <c r="L2274" t="inlineStr">
        <is>
          <t>Professional</t>
        </is>
      </c>
      <c r="M2274" t="inlineStr">
        <is>
          <t>Kristin Haase-Alvey</t>
        </is>
      </c>
    </row>
    <row r="2275">
      <c r="A2275" s="9" t="inlineStr">
        <is>
          <t>Andres Jarquin</t>
        </is>
      </c>
      <c r="B2275" s="9" t="inlineStr">
        <is>
          <t>2/22/26 - 3/21/26</t>
        </is>
      </c>
      <c r="C2275" s="12" t="n">
        <v>1.04</v>
      </c>
      <c r="D2275" s="12" t="n">
        <v>1.05</v>
      </c>
      <c r="E2275" s="12" t="n">
        <v>0.98</v>
      </c>
      <c r="F2275" s="12" t="n">
        <v>0.95</v>
      </c>
      <c r="G2275" s="12" t="n">
        <v>0.44</v>
      </c>
      <c r="H2275" s="9" t="n">
        <v>17</v>
      </c>
      <c r="I2275" s="32" t="inlineStr">
        <is>
          <t>0/2</t>
        </is>
      </c>
      <c r="J2275" s="12" t="n">
        <v>0</v>
      </c>
      <c r="K2275" t="inlineStr">
        <is>
          <t>Advanced</t>
        </is>
      </c>
      <c r="L2275" t="inlineStr">
        <is>
          <t>Professional</t>
        </is>
      </c>
      <c r="M2275" t="inlineStr">
        <is>
          <t>Ian Plamondon</t>
        </is>
      </c>
    </row>
    <row r="2276">
      <c r="A2276" s="9" t="inlineStr">
        <is>
          <t>Andrew Gehlot</t>
        </is>
      </c>
      <c r="B2276" s="9" t="inlineStr">
        <is>
          <t>2/22/26 - 3/21/26</t>
        </is>
      </c>
      <c r="C2276" s="12" t="n">
        <v>0.54</v>
      </c>
      <c r="D2276" s="12" t="n">
        <v>0.99</v>
      </c>
      <c r="E2276" s="12" t="n">
        <v>0.92</v>
      </c>
      <c r="F2276" s="12" t="n">
        <v>0.76</v>
      </c>
      <c r="G2276" s="12" t="n">
        <v>0.93</v>
      </c>
      <c r="H2276" s="9" t="n">
        <v>3</v>
      </c>
      <c r="I2276" s="32" t="inlineStr">
        <is>
          <t>0/2</t>
        </is>
      </c>
      <c r="J2276" s="12" t="n">
        <v>0</v>
      </c>
      <c r="K2276" t="inlineStr">
        <is>
          <t>Premium</t>
        </is>
      </c>
      <c r="L2276" t="inlineStr">
        <is>
          <t>Professional</t>
        </is>
      </c>
      <c r="M2276" t="inlineStr">
        <is>
          <t>Ela Cross</t>
        </is>
      </c>
    </row>
    <row r="2277">
      <c r="A2277" s="9" t="inlineStr">
        <is>
          <t>Brian Johnson</t>
        </is>
      </c>
      <c r="B2277" s="9" t="inlineStr">
        <is>
          <t>2/22/26 - 3/21/26</t>
        </is>
      </c>
      <c r="C2277" s="12" t="n">
        <v>0.13</v>
      </c>
      <c r="D2277" s="12" t="n">
        <v>0.5600000000000001</v>
      </c>
      <c r="E2277" s="12" t="n">
        <v>1</v>
      </c>
      <c r="F2277" s="12" t="n">
        <v>0</v>
      </c>
      <c r="G2277" s="12" t="n">
        <v>0</v>
      </c>
      <c r="H2277" s="9" t="n">
        <v>0</v>
      </c>
      <c r="I2277" s="32" t="inlineStr">
        <is>
          <t>0/2</t>
        </is>
      </c>
      <c r="J2277" s="12" t="n">
        <v>0</v>
      </c>
      <c r="K2277" t="e">
        <v>#N/A</v>
      </c>
      <c r="L2277" t="e">
        <v>#N/A</v>
      </c>
      <c r="M2277" t="e">
        <v>#N/A</v>
      </c>
    </row>
    <row r="2278">
      <c r="A2278" s="9" t="inlineStr">
        <is>
          <t>Chazlee Myers</t>
        </is>
      </c>
      <c r="B2278" s="9" t="inlineStr">
        <is>
          <t>2/22/26 - 3/21/26</t>
        </is>
      </c>
      <c r="C2278" s="12" t="n">
        <v>1.05</v>
      </c>
      <c r="D2278" s="12" t="n">
        <v>1.03</v>
      </c>
      <c r="E2278" s="12" t="n">
        <v>0.9399999999999999</v>
      </c>
      <c r="F2278" s="12" t="n">
        <v>1</v>
      </c>
      <c r="G2278" s="12" t="n">
        <v>1</v>
      </c>
      <c r="H2278" s="9" t="n">
        <v>5</v>
      </c>
      <c r="I2278" s="32" t="inlineStr">
        <is>
          <t>0/2</t>
        </is>
      </c>
      <c r="J2278" s="12" t="n">
        <v>0</v>
      </c>
      <c r="K2278" t="inlineStr">
        <is>
          <t>Advanced</t>
        </is>
      </c>
      <c r="L2278" t="inlineStr">
        <is>
          <t>Professional</t>
        </is>
      </c>
      <c r="M2278" t="inlineStr">
        <is>
          <t>Ian Plamondon</t>
        </is>
      </c>
    </row>
    <row r="2279">
      <c r="A2279" s="9" t="inlineStr">
        <is>
          <t>Eric Chang</t>
        </is>
      </c>
      <c r="B2279" s="9" t="inlineStr">
        <is>
          <t>2/22/26 - 3/21/26</t>
        </is>
      </c>
      <c r="C2279" s="12" t="n">
        <v>1.03</v>
      </c>
      <c r="D2279" s="12" t="n">
        <v>0.95</v>
      </c>
      <c r="E2279" s="12" t="n">
        <v>0.96</v>
      </c>
      <c r="F2279" s="12" t="n">
        <v>0.97</v>
      </c>
      <c r="G2279" s="12" t="n">
        <v>0.5</v>
      </c>
      <c r="H2279" s="9" t="n">
        <v>14</v>
      </c>
      <c r="I2279" s="32" t="inlineStr">
        <is>
          <t>0/2</t>
        </is>
      </c>
      <c r="J2279" s="12" t="n">
        <v>0</v>
      </c>
      <c r="K2279" t="inlineStr">
        <is>
          <t>Advanced</t>
        </is>
      </c>
      <c r="L2279" t="inlineStr">
        <is>
          <t>Professional</t>
        </is>
      </c>
      <c r="M2279" t="inlineStr">
        <is>
          <t>Annelies de Groot</t>
        </is>
      </c>
    </row>
    <row r="2280">
      <c r="A2280" s="9" t="inlineStr">
        <is>
          <t>Jacey Clifton</t>
        </is>
      </c>
      <c r="B2280" s="9" t="inlineStr">
        <is>
          <t>2/22/26 - 3/21/26</t>
        </is>
      </c>
      <c r="C2280" s="12" t="n">
        <v>1.15</v>
      </c>
      <c r="D2280" s="12" t="n">
        <v>0.99</v>
      </c>
      <c r="E2280" s="12" t="n">
        <v>1</v>
      </c>
      <c r="F2280" s="12" t="n">
        <v>0.96</v>
      </c>
      <c r="G2280" s="12" t="n">
        <v>0.8100000000000001</v>
      </c>
      <c r="H2280" s="9" t="n">
        <v>5</v>
      </c>
      <c r="I2280" s="32" t="inlineStr">
        <is>
          <t>0/2</t>
        </is>
      </c>
      <c r="J2280" s="12" t="n">
        <v>0</v>
      </c>
      <c r="K2280" t="inlineStr">
        <is>
          <t>Advanced</t>
        </is>
      </c>
      <c r="L2280" t="inlineStr">
        <is>
          <t>Adjunct</t>
        </is>
      </c>
      <c r="M2280" t="inlineStr">
        <is>
          <t>Ela Cross</t>
        </is>
      </c>
    </row>
    <row r="2281">
      <c r="A2281" s="9" t="inlineStr">
        <is>
          <t>Jason Noble</t>
        </is>
      </c>
      <c r="B2281" s="9" t="inlineStr">
        <is>
          <t>2/22/26 - 3/21/26</t>
        </is>
      </c>
      <c r="C2281" s="12" t="n">
        <v>1.18</v>
      </c>
      <c r="D2281" s="12" t="n">
        <v>1</v>
      </c>
      <c r="E2281" s="12" t="n">
        <v>0.92</v>
      </c>
      <c r="F2281" s="12" t="n">
        <v>0.89</v>
      </c>
      <c r="G2281" s="12" t="n">
        <v>1</v>
      </c>
      <c r="H2281" s="9" t="n">
        <v>13</v>
      </c>
      <c r="I2281" s="32" t="inlineStr">
        <is>
          <t>0/2</t>
        </is>
      </c>
      <c r="J2281" s="12" t="n">
        <v>0</v>
      </c>
      <c r="K2281" t="inlineStr">
        <is>
          <t>Advanced</t>
        </is>
      </c>
      <c r="L2281" t="inlineStr">
        <is>
          <t>Professional</t>
        </is>
      </c>
      <c r="M2281" t="inlineStr">
        <is>
          <t>Kristin Haase-Alvey</t>
        </is>
      </c>
    </row>
    <row r="2282">
      <c r="A2282" s="9" t="inlineStr">
        <is>
          <t>Kristen Luigart</t>
        </is>
      </c>
      <c r="B2282" s="9" t="inlineStr">
        <is>
          <t>2/22/26 - 3/21/26</t>
        </is>
      </c>
      <c r="C2282" s="12" t="n">
        <v>0.62</v>
      </c>
      <c r="D2282" s="12" t="n">
        <v>1.07</v>
      </c>
      <c r="E2282" s="12" t="n">
        <v>0.93</v>
      </c>
      <c r="F2282" s="12" t="n">
        <v>0.75</v>
      </c>
      <c r="G2282" s="12" t="n">
        <v>0.71</v>
      </c>
      <c r="H2282" s="9" t="n">
        <v>2</v>
      </c>
      <c r="I2282" s="32" t="inlineStr">
        <is>
          <t>0/2</t>
        </is>
      </c>
      <c r="J2282" s="12" t="n">
        <v>0</v>
      </c>
      <c r="K2282" t="inlineStr">
        <is>
          <t>Distinguished</t>
        </is>
      </c>
      <c r="L2282" t="inlineStr">
        <is>
          <t>Professional</t>
        </is>
      </c>
      <c r="M2282" t="inlineStr">
        <is>
          <t>Ian Plamondon</t>
        </is>
      </c>
    </row>
    <row r="2283">
      <c r="A2283" s="9" t="inlineStr">
        <is>
          <t>Lisa Bartle</t>
        </is>
      </c>
      <c r="B2283" s="9" t="inlineStr">
        <is>
          <t>2/22/26 - 3/21/26</t>
        </is>
      </c>
      <c r="C2283" s="12" t="n">
        <v>2.08</v>
      </c>
      <c r="D2283" s="12" t="n">
        <v>1.65</v>
      </c>
      <c r="E2283" s="12" t="n">
        <v>0.99</v>
      </c>
      <c r="F2283" s="12" t="n">
        <v>0.83</v>
      </c>
      <c r="G2283" s="12" t="n">
        <v>0.87</v>
      </c>
      <c r="H2283" s="9" t="n">
        <v>3</v>
      </c>
      <c r="I2283" s="32" t="inlineStr">
        <is>
          <t>0/2</t>
        </is>
      </c>
      <c r="J2283" s="12" t="n">
        <v>0</v>
      </c>
      <c r="K2283" t="inlineStr">
        <is>
          <t>Premium</t>
        </is>
      </c>
      <c r="L2283" t="inlineStr">
        <is>
          <t>Adjunct</t>
        </is>
      </c>
      <c r="M2283" t="inlineStr">
        <is>
          <t>Annelies de Groot</t>
        </is>
      </c>
    </row>
    <row r="2284">
      <c r="A2284" s="9" t="inlineStr">
        <is>
          <t>Loren Lijewski</t>
        </is>
      </c>
      <c r="B2284" s="9" t="inlineStr">
        <is>
          <t>2/22/26 - 3/21/26</t>
        </is>
      </c>
      <c r="C2284" s="12" t="n">
        <v>0.55</v>
      </c>
      <c r="D2284" s="12" t="n">
        <v>1.34</v>
      </c>
      <c r="E2284" s="12" t="n">
        <v>1</v>
      </c>
      <c r="F2284" s="12" t="n">
        <v>0.63</v>
      </c>
      <c r="G2284" s="12" t="n">
        <v>0</v>
      </c>
      <c r="H2284" s="9" t="n">
        <v>4</v>
      </c>
      <c r="I2284" s="32" t="inlineStr">
        <is>
          <t>0/2</t>
        </is>
      </c>
      <c r="J2284" s="12" t="n">
        <v>0</v>
      </c>
      <c r="K2284" t="inlineStr">
        <is>
          <t>Advanced</t>
        </is>
      </c>
      <c r="L2284" t="inlineStr">
        <is>
          <t>Adjunct-BUC-Academic</t>
        </is>
      </c>
      <c r="M2284" t="inlineStr">
        <is>
          <t>Annelies de Groot</t>
        </is>
      </c>
    </row>
    <row r="2285">
      <c r="A2285" s="9" t="inlineStr">
        <is>
          <t>Melinda Mergendahl</t>
        </is>
      </c>
      <c r="B2285" s="9" t="inlineStr">
        <is>
          <t>2/22/26 - 3/21/26</t>
        </is>
      </c>
      <c r="C2285" s="12" t="n">
        <v>0.8</v>
      </c>
      <c r="D2285" s="12" t="n">
        <v>0.91</v>
      </c>
      <c r="E2285" s="12" t="n">
        <v>1</v>
      </c>
      <c r="F2285" s="12" t="n">
        <v>1</v>
      </c>
      <c r="G2285" s="12" t="n">
        <v>0.88</v>
      </c>
      <c r="H2285" s="9" t="n">
        <v>0</v>
      </c>
      <c r="I2285" s="32" t="inlineStr">
        <is>
          <t>0/2</t>
        </is>
      </c>
      <c r="J2285" s="12" t="n">
        <v>0</v>
      </c>
      <c r="K2285" t="inlineStr">
        <is>
          <t>Distinguished</t>
        </is>
      </c>
      <c r="L2285" t="inlineStr">
        <is>
          <t>Adjunct</t>
        </is>
      </c>
      <c r="M2285" t="inlineStr">
        <is>
          <t>Ian Plamondon</t>
        </is>
      </c>
    </row>
    <row r="2286">
      <c r="A2286" s="9" t="inlineStr">
        <is>
          <t>Rehan Zaib</t>
        </is>
      </c>
      <c r="B2286" s="9" t="inlineStr">
        <is>
          <t>2/22/26 - 3/21/26</t>
        </is>
      </c>
      <c r="C2286" s="12" t="n">
        <v>0.95</v>
      </c>
      <c r="D2286" s="12" t="n">
        <v>1.01</v>
      </c>
      <c r="E2286" s="12" t="n">
        <v>0.91</v>
      </c>
      <c r="F2286" s="12" t="n">
        <v>0.98</v>
      </c>
      <c r="G2286" s="12" t="n">
        <v>0.46</v>
      </c>
      <c r="H2286" s="9" t="n">
        <v>13</v>
      </c>
      <c r="I2286" s="32" t="inlineStr">
        <is>
          <t>0/2</t>
        </is>
      </c>
      <c r="J2286" s="12" t="n">
        <v>0</v>
      </c>
      <c r="K2286" t="inlineStr">
        <is>
          <t>Advanced</t>
        </is>
      </c>
      <c r="L2286" t="inlineStr">
        <is>
          <t>Professional</t>
        </is>
      </c>
      <c r="M2286" t="inlineStr">
        <is>
          <t>Ela Cross</t>
        </is>
      </c>
    </row>
    <row r="2287">
      <c r="A2287" s="9" t="inlineStr">
        <is>
          <t>Johan Falconi</t>
        </is>
      </c>
      <c r="B2287" s="9" t="inlineStr">
        <is>
          <t>2/22/26 - 3/21/26</t>
        </is>
      </c>
      <c r="C2287" s="12" t="n">
        <v>1.1</v>
      </c>
      <c r="D2287" s="12" t="n">
        <v>1.05</v>
      </c>
      <c r="E2287" s="12" t="n">
        <v>0.97</v>
      </c>
      <c r="F2287" s="12" t="n">
        <v>0.98</v>
      </c>
      <c r="G2287" s="12" t="n">
        <v>0</v>
      </c>
      <c r="H2287" s="9" t="n">
        <v>5</v>
      </c>
      <c r="I2287" s="32" t="inlineStr">
        <is>
          <t>0/3</t>
        </is>
      </c>
      <c r="J2287" s="12" t="n">
        <v>0</v>
      </c>
      <c r="K2287" t="inlineStr">
        <is>
          <t>Advanced</t>
        </is>
      </c>
      <c r="L2287" t="inlineStr">
        <is>
          <t>Adjunct- BUC</t>
        </is>
      </c>
      <c r="M2287" t="inlineStr">
        <is>
          <t>Ela Cross</t>
        </is>
      </c>
    </row>
    <row r="2288">
      <c r="A2288" s="9" t="inlineStr">
        <is>
          <t>John Salcedo</t>
        </is>
      </c>
      <c r="B2288" s="9" t="inlineStr">
        <is>
          <t>2/22/26 - 3/21/26</t>
        </is>
      </c>
      <c r="C2288" s="12" t="n">
        <v>0.22</v>
      </c>
      <c r="D2288" s="12" t="n">
        <v>0.68</v>
      </c>
      <c r="E2288" s="12" t="n">
        <v>0.95</v>
      </c>
      <c r="F2288" s="12" t="n">
        <v>0.93</v>
      </c>
      <c r="G2288" s="12" t="n">
        <v>0</v>
      </c>
      <c r="H2288" s="9" t="n">
        <v>0</v>
      </c>
      <c r="I2288" s="32" t="inlineStr">
        <is>
          <t>0/3</t>
        </is>
      </c>
      <c r="J2288" s="12" t="n">
        <v>0</v>
      </c>
      <c r="K2288" t="inlineStr">
        <is>
          <t>Advanced</t>
        </is>
      </c>
      <c r="L2288" t="inlineStr">
        <is>
          <t>Professional</t>
        </is>
      </c>
      <c r="M2288" t="inlineStr">
        <is>
          <t>Ela Cross</t>
        </is>
      </c>
    </row>
    <row r="2289">
      <c r="A2289" s="9" t="inlineStr">
        <is>
          <t>Nick Lucido</t>
        </is>
      </c>
      <c r="B2289" s="9" t="inlineStr">
        <is>
          <t>2/22/26 - 3/21/26</t>
        </is>
      </c>
      <c r="C2289" s="12" t="n">
        <v>1.18</v>
      </c>
      <c r="D2289" s="12" t="n">
        <v>1.16</v>
      </c>
      <c r="E2289" s="12" t="n">
        <v>1</v>
      </c>
      <c r="F2289" s="12" t="n">
        <v>0.99</v>
      </c>
      <c r="G2289" s="12" t="n">
        <v>0.86</v>
      </c>
      <c r="H2289" s="9" t="n">
        <v>12</v>
      </c>
      <c r="I2289" s="32" t="inlineStr">
        <is>
          <t>0/3</t>
        </is>
      </c>
      <c r="J2289" s="12" t="n">
        <v>0</v>
      </c>
      <c r="K2289" t="inlineStr">
        <is>
          <t>Advanced</t>
        </is>
      </c>
      <c r="L2289" t="inlineStr">
        <is>
          <t>Professional</t>
        </is>
      </c>
      <c r="M2289" t="inlineStr">
        <is>
          <t>Kristin Haase-Alvey</t>
        </is>
      </c>
    </row>
    <row r="2290">
      <c r="A2290" s="9" t="inlineStr">
        <is>
          <t>Noah Robinson</t>
        </is>
      </c>
      <c r="B2290" s="9" t="inlineStr">
        <is>
          <t>2/22/26 - 3/21/26</t>
        </is>
      </c>
      <c r="C2290" s="12" t="n">
        <v>1.2</v>
      </c>
      <c r="D2290" s="12" t="n">
        <v>1.09</v>
      </c>
      <c r="E2290" s="12" t="n">
        <v>0</v>
      </c>
      <c r="F2290" s="12" t="n">
        <v>0.98</v>
      </c>
      <c r="G2290" s="12" t="n">
        <v>0.1</v>
      </c>
      <c r="H2290" s="9" t="n">
        <v>4</v>
      </c>
      <c r="I2290" s="32" t="inlineStr">
        <is>
          <t>0/3</t>
        </is>
      </c>
      <c r="J2290" s="12" t="n">
        <v>0</v>
      </c>
      <c r="K2290" t="inlineStr">
        <is>
          <t>Advanced</t>
        </is>
      </c>
      <c r="L2290" t="inlineStr">
        <is>
          <t>Professional</t>
        </is>
      </c>
      <c r="M2290" t="inlineStr">
        <is>
          <t>Geoff St. Marie</t>
        </is>
      </c>
    </row>
    <row r="2291">
      <c r="A2291" s="9" t="inlineStr">
        <is>
          <t>Philip Thomas</t>
        </is>
      </c>
      <c r="B2291" s="9" t="inlineStr">
        <is>
          <t>2/22/26 - 3/21/26</t>
        </is>
      </c>
      <c r="C2291" s="12" t="n">
        <v>1.17</v>
      </c>
      <c r="D2291" s="12" t="n">
        <v>1.45</v>
      </c>
      <c r="E2291" s="12" t="n">
        <v>0.68</v>
      </c>
      <c r="F2291" s="12" t="n">
        <v>0.39</v>
      </c>
      <c r="G2291" s="12" t="n">
        <v>0</v>
      </c>
      <c r="H2291" s="9" t="n">
        <v>7</v>
      </c>
      <c r="I2291" s="32" t="inlineStr">
        <is>
          <t>0/3</t>
        </is>
      </c>
      <c r="J2291" s="12" t="n">
        <v>0</v>
      </c>
      <c r="K2291" t="inlineStr">
        <is>
          <t>Premium</t>
        </is>
      </c>
      <c r="L2291" t="inlineStr">
        <is>
          <t>Professional</t>
        </is>
      </c>
      <c r="M2291" t="inlineStr">
        <is>
          <t>Annelies de Groot</t>
        </is>
      </c>
    </row>
    <row r="2292">
      <c r="A2292" s="9" t="inlineStr">
        <is>
          <t>Syrae Jennings</t>
        </is>
      </c>
      <c r="B2292" s="9" t="inlineStr">
        <is>
          <t>2/22/26 - 3/21/26</t>
        </is>
      </c>
      <c r="C2292" s="12" t="n">
        <v>1.03</v>
      </c>
      <c r="D2292" s="12" t="n">
        <v>1.17</v>
      </c>
      <c r="E2292" s="12" t="n">
        <v>1</v>
      </c>
      <c r="F2292" s="12" t="n">
        <v>0.98</v>
      </c>
      <c r="G2292" s="12" t="n">
        <v>0</v>
      </c>
      <c r="H2292" s="9" t="n">
        <v>4</v>
      </c>
      <c r="I2292" s="32" t="inlineStr">
        <is>
          <t>0/3</t>
        </is>
      </c>
      <c r="J2292" s="12" t="n">
        <v>0</v>
      </c>
      <c r="K2292" t="inlineStr">
        <is>
          <t>Advanced</t>
        </is>
      </c>
      <c r="L2292" t="inlineStr">
        <is>
          <t>Adjunct-BUC</t>
        </is>
      </c>
      <c r="M2292" t="inlineStr">
        <is>
          <t>Ian Plamondon</t>
        </is>
      </c>
    </row>
    <row r="2293">
      <c r="A2293" s="9" t="inlineStr">
        <is>
          <t>Amelia Sain</t>
        </is>
      </c>
      <c r="B2293" s="9" t="inlineStr">
        <is>
          <t>2/22/26 - 3/21/26</t>
        </is>
      </c>
      <c r="C2293" s="12" t="n">
        <v>0.73</v>
      </c>
      <c r="D2293" s="12" t="n">
        <v>1.14</v>
      </c>
      <c r="E2293" s="12" t="n">
        <v>1</v>
      </c>
      <c r="F2293" s="12" t="n">
        <v>0.79</v>
      </c>
      <c r="G2293" s="12" t="n">
        <v>0.08</v>
      </c>
      <c r="H2293" s="9" t="n">
        <v>2</v>
      </c>
      <c r="I2293" s="32" t="inlineStr">
        <is>
          <t>0/4</t>
        </is>
      </c>
      <c r="J2293" s="12" t="n">
        <v>0</v>
      </c>
      <c r="K2293" t="inlineStr">
        <is>
          <t>Premium</t>
        </is>
      </c>
      <c r="L2293" t="inlineStr">
        <is>
          <t>Professional</t>
        </is>
      </c>
      <c r="M2293" t="inlineStr">
        <is>
          <t>Geoff St. Marie</t>
        </is>
      </c>
    </row>
    <row r="2294">
      <c r="A2294" s="9" t="inlineStr">
        <is>
          <t>Katherine Dickerson</t>
        </is>
      </c>
      <c r="B2294" s="9" t="inlineStr">
        <is>
          <t>2/22/26 - 3/21/26</t>
        </is>
      </c>
      <c r="C2294" s="12" t="n">
        <v>1.01</v>
      </c>
      <c r="D2294" s="12" t="n">
        <v>1.29</v>
      </c>
      <c r="E2294" s="12" t="n">
        <v>0.99</v>
      </c>
      <c r="F2294" s="12" t="n">
        <v>0.9</v>
      </c>
      <c r="G2294" s="12" t="n">
        <v>0.36</v>
      </c>
      <c r="H2294" s="9" t="n">
        <v>0</v>
      </c>
      <c r="I2294" s="32" t="inlineStr">
        <is>
          <t>0/4</t>
        </is>
      </c>
      <c r="J2294" s="12" t="n">
        <v>0</v>
      </c>
      <c r="K2294" t="inlineStr">
        <is>
          <t>Premium</t>
        </is>
      </c>
      <c r="L2294" t="inlineStr">
        <is>
          <t>Professional</t>
        </is>
      </c>
      <c r="M2294" t="inlineStr">
        <is>
          <t>Geoff St. Marie</t>
        </is>
      </c>
    </row>
    <row r="2295">
      <c r="A2295" s="9" t="inlineStr">
        <is>
          <t>Mary Felix</t>
        </is>
      </c>
      <c r="B2295" s="9" t="inlineStr">
        <is>
          <t>2/22/26 - 3/21/26</t>
        </is>
      </c>
      <c r="C2295" s="12" t="n">
        <v>1.05</v>
      </c>
      <c r="D2295" s="12" t="n">
        <v>1.27</v>
      </c>
      <c r="E2295" s="12" t="n">
        <v>1</v>
      </c>
      <c r="F2295" s="12" t="n">
        <v>0.96</v>
      </c>
      <c r="G2295" s="12" t="n">
        <v>0.88</v>
      </c>
      <c r="H2295" s="9" t="n">
        <v>4</v>
      </c>
      <c r="I2295" s="32" t="inlineStr">
        <is>
          <t>0/4</t>
        </is>
      </c>
      <c r="J2295" s="12" t="n">
        <v>0</v>
      </c>
      <c r="K2295" t="inlineStr">
        <is>
          <t>Premium</t>
        </is>
      </c>
      <c r="L2295" t="inlineStr">
        <is>
          <t>Professional</t>
        </is>
      </c>
      <c r="M2295" t="inlineStr">
        <is>
          <t>Ian Plamondon</t>
        </is>
      </c>
    </row>
    <row r="2296">
      <c r="A2296" s="9" t="inlineStr">
        <is>
          <t>Amy Kim</t>
        </is>
      </c>
      <c r="B2296" s="9" t="inlineStr">
        <is>
          <t>2/22/26 - 3/21/26</t>
        </is>
      </c>
      <c r="C2296" s="12" t="n">
        <v>0.9</v>
      </c>
      <c r="D2296" s="12" t="n">
        <v>1.07</v>
      </c>
      <c r="E2296" s="12" t="n">
        <v>0.76</v>
      </c>
      <c r="F2296" s="12" t="n">
        <v>1</v>
      </c>
      <c r="G2296" s="12" t="n">
        <v>0</v>
      </c>
      <c r="H2296" s="9" t="n">
        <v>1</v>
      </c>
      <c r="I2296" s="32" t="inlineStr">
        <is>
          <t>0/5</t>
        </is>
      </c>
      <c r="J2296" s="12" t="n">
        <v>0</v>
      </c>
      <c r="K2296" t="inlineStr">
        <is>
          <t>Advanced</t>
        </is>
      </c>
      <c r="L2296" t="inlineStr">
        <is>
          <t>Professional</t>
        </is>
      </c>
      <c r="M2296" t="inlineStr">
        <is>
          <t>Ela Cross</t>
        </is>
      </c>
    </row>
    <row r="2297">
      <c r="A2297" s="9" t="inlineStr">
        <is>
          <t>Daniel Olson</t>
        </is>
      </c>
      <c r="B2297" s="9" t="inlineStr">
        <is>
          <t>2/22/26 - 3/21/26</t>
        </is>
      </c>
      <c r="C2297" s="12" t="n">
        <v>0.98</v>
      </c>
      <c r="D2297" s="12" t="n">
        <v>1.07</v>
      </c>
      <c r="E2297" s="12" t="n">
        <v>1</v>
      </c>
      <c r="F2297" s="12" t="n">
        <v>1</v>
      </c>
      <c r="G2297" s="12" t="n">
        <v>0.27</v>
      </c>
      <c r="H2297" s="9" t="n">
        <v>9</v>
      </c>
      <c r="I2297" s="32" t="inlineStr">
        <is>
          <t>0/5</t>
        </is>
      </c>
      <c r="J2297" s="12" t="n">
        <v>0</v>
      </c>
      <c r="K2297" t="inlineStr">
        <is>
          <t>Advanced</t>
        </is>
      </c>
      <c r="L2297" t="inlineStr">
        <is>
          <t>Professional</t>
        </is>
      </c>
      <c r="M2297" t="inlineStr">
        <is>
          <t>Annelies de Groot</t>
        </is>
      </c>
    </row>
    <row r="2298">
      <c r="A2298" s="9" t="inlineStr">
        <is>
          <t>Valerie Morris</t>
        </is>
      </c>
      <c r="B2298" s="9" t="inlineStr">
        <is>
          <t>2/22/26 - 3/21/26</t>
        </is>
      </c>
      <c r="C2298" s="12" t="n">
        <v>0.46</v>
      </c>
      <c r="D2298" s="12" t="n">
        <v>0.61</v>
      </c>
      <c r="E2298" s="12" t="n">
        <v>1</v>
      </c>
      <c r="F2298" s="12" t="n">
        <v>0.86</v>
      </c>
      <c r="G2298" s="12" t="n">
        <v>0</v>
      </c>
      <c r="H2298" s="9" t="n">
        <v>0</v>
      </c>
      <c r="I2298" s="32" t="inlineStr">
        <is>
          <t>0/5</t>
        </is>
      </c>
      <c r="J2298" s="12" t="n">
        <v>0</v>
      </c>
      <c r="K2298" t="inlineStr">
        <is>
          <t>Advanced</t>
        </is>
      </c>
      <c r="L2298" t="inlineStr">
        <is>
          <t>Adjunct-BUC-Academic</t>
        </is>
      </c>
      <c r="M2298" t="inlineStr">
        <is>
          <t>Annelies de Groot</t>
        </is>
      </c>
    </row>
    <row r="2299">
      <c r="A2299" s="9" t="inlineStr">
        <is>
          <t>Chris Yoon</t>
        </is>
      </c>
      <c r="B2299" s="9" t="inlineStr">
        <is>
          <t>2/22/26 - 3/21/26</t>
        </is>
      </c>
      <c r="C2299" s="12" t="n">
        <v>0.31</v>
      </c>
      <c r="D2299" s="12" t="n">
        <v>0.97</v>
      </c>
      <c r="E2299" s="12" t="n">
        <v>1</v>
      </c>
      <c r="F2299" s="12" t="n">
        <v>1</v>
      </c>
      <c r="G2299" s="12" t="n">
        <v>0</v>
      </c>
      <c r="H2299" s="9" t="n">
        <v>0</v>
      </c>
      <c r="I2299" s="32" t="inlineStr">
        <is>
          <t>0/7</t>
        </is>
      </c>
      <c r="J2299" s="12" t="n">
        <v>0</v>
      </c>
      <c r="K2299" t="inlineStr">
        <is>
          <t>Advanced</t>
        </is>
      </c>
      <c r="L2299" t="inlineStr">
        <is>
          <t>Professional</t>
        </is>
      </c>
      <c r="M2299" t="inlineStr">
        <is>
          <t>Ian Plamondon</t>
        </is>
      </c>
    </row>
    <row r="2300">
      <c r="A2300" s="9" t="inlineStr">
        <is>
          <t>Penny Russell</t>
        </is>
      </c>
      <c r="B2300" s="9" t="inlineStr">
        <is>
          <t>2/22/26 - 3/21/26</t>
        </is>
      </c>
      <c r="C2300" s="12" t="n">
        <v>0.99</v>
      </c>
      <c r="D2300" s="12" t="n">
        <v>1.01</v>
      </c>
      <c r="E2300" s="12" t="n">
        <v>0.96</v>
      </c>
      <c r="F2300" s="12" t="n">
        <v>0.68</v>
      </c>
      <c r="G2300" s="12" t="n">
        <v>0.29</v>
      </c>
      <c r="H2300" s="9" t="n">
        <v>3</v>
      </c>
      <c r="I2300" s="32" t="inlineStr">
        <is>
          <t>0/8</t>
        </is>
      </c>
      <c r="J2300" s="12" t="n">
        <v>0</v>
      </c>
      <c r="K2300" t="inlineStr">
        <is>
          <t>Advanced</t>
        </is>
      </c>
      <c r="L2300" t="inlineStr">
        <is>
          <t>Professional</t>
        </is>
      </c>
      <c r="M2300" t="inlineStr">
        <is>
          <t>Ian Plamondon</t>
        </is>
      </c>
    </row>
    <row r="2301">
      <c r="A2301" s="9" t="inlineStr">
        <is>
          <t>Megan Ingle</t>
        </is>
      </c>
      <c r="B2301" s="9" t="inlineStr">
        <is>
          <t>2/22/26 - 3/21/26</t>
        </is>
      </c>
      <c r="C2301" s="12" t="n">
        <v>0.8</v>
      </c>
      <c r="D2301" s="12" t="n">
        <v>1.18</v>
      </c>
      <c r="E2301" s="12" t="n">
        <v>1</v>
      </c>
      <c r="F2301" s="12" t="n">
        <v>1</v>
      </c>
      <c r="G2301" s="12" t="n">
        <v>0</v>
      </c>
      <c r="H2301" s="9" t="n">
        <v>1</v>
      </c>
      <c r="I2301" s="32" t="inlineStr">
        <is>
          <t>0/9</t>
        </is>
      </c>
      <c r="J2301" s="12" t="n">
        <v>0</v>
      </c>
      <c r="K2301" t="inlineStr">
        <is>
          <t>Advanced</t>
        </is>
      </c>
      <c r="L2301" t="inlineStr">
        <is>
          <t>Adjunct-BUC</t>
        </is>
      </c>
      <c r="M2301" t="inlineStr">
        <is>
          <t>Geoff St. Marie</t>
        </is>
      </c>
    </row>
    <row r="2302">
      <c r="A2302" s="9" t="inlineStr">
        <is>
          <t>Akshiv Gulati</t>
        </is>
      </c>
      <c r="B2302" s="9" t="inlineStr">
        <is>
          <t>2/22/26 - 3/21/26</t>
        </is>
      </c>
      <c r="C2302" s="12" t="n">
        <v>1.04</v>
      </c>
      <c r="D2302" s="12" t="n">
        <v>1.16</v>
      </c>
      <c r="E2302" s="12" t="n">
        <v>0.97</v>
      </c>
      <c r="F2302" s="12" t="n">
        <v>0.88</v>
      </c>
      <c r="G2302" s="12" t="n">
        <v>0.29</v>
      </c>
      <c r="H2302" s="9" t="n">
        <v>3</v>
      </c>
      <c r="I2302" s="32" t="inlineStr">
        <is>
          <t>1/19</t>
        </is>
      </c>
      <c r="J2302" s="12" t="n">
        <v>0.05263157894736842</v>
      </c>
      <c r="K2302" t="inlineStr">
        <is>
          <t>Advanced</t>
        </is>
      </c>
      <c r="L2302" t="inlineStr">
        <is>
          <t xml:space="preserve">Professional </t>
        </is>
      </c>
      <c r="M2302" t="inlineStr">
        <is>
          <t>Kristin Haase-Alvey</t>
        </is>
      </c>
    </row>
    <row r="2303">
      <c r="A2303" s="9" t="inlineStr">
        <is>
          <t>Rafi Overton</t>
        </is>
      </c>
      <c r="B2303" s="9" t="inlineStr">
        <is>
          <t>2/22/26 - 3/21/26</t>
        </is>
      </c>
      <c r="C2303" s="12" t="n">
        <v>0.77</v>
      </c>
      <c r="D2303" s="12" t="n">
        <v>1.05</v>
      </c>
      <c r="E2303" s="12" t="n">
        <v>0.99</v>
      </c>
      <c r="F2303" s="12" t="n">
        <v>0.4</v>
      </c>
      <c r="G2303" s="12" t="n">
        <v>0.1</v>
      </c>
      <c r="H2303" s="9" t="n">
        <v>1</v>
      </c>
      <c r="I2303" s="32" t="inlineStr">
        <is>
          <t>2/17</t>
        </is>
      </c>
      <c r="J2303" s="12" t="n">
        <v>0.1176470588235294</v>
      </c>
      <c r="K2303" t="inlineStr">
        <is>
          <t>Advanced</t>
        </is>
      </c>
      <c r="L2303" t="inlineStr">
        <is>
          <t>Professional</t>
        </is>
      </c>
      <c r="M2303" t="inlineStr">
        <is>
          <t>Geoff St. Marie</t>
        </is>
      </c>
    </row>
    <row r="2304">
      <c r="A2304" s="9" t="inlineStr">
        <is>
          <t>Derek Fox</t>
        </is>
      </c>
      <c r="B2304" s="9" t="inlineStr">
        <is>
          <t>2/22/26 - 3/21/26</t>
        </is>
      </c>
      <c r="C2304" s="12" t="n">
        <v>1.14</v>
      </c>
      <c r="D2304" s="12" t="n">
        <v>1</v>
      </c>
      <c r="E2304" s="12" t="n">
        <v>0.98</v>
      </c>
      <c r="F2304" s="12" t="n">
        <v>0.74</v>
      </c>
      <c r="G2304" s="12" t="n">
        <v>0.5</v>
      </c>
      <c r="H2304" s="9" t="n">
        <v>2</v>
      </c>
      <c r="I2304" s="32" t="inlineStr">
        <is>
          <t>1/7</t>
        </is>
      </c>
      <c r="J2304" s="12" t="n">
        <v>0.1428571428571428</v>
      </c>
      <c r="K2304" t="inlineStr">
        <is>
          <t>Advanced</t>
        </is>
      </c>
      <c r="L2304" t="inlineStr">
        <is>
          <t>Adjunct- BUC</t>
        </is>
      </c>
      <c r="M2304" t="inlineStr">
        <is>
          <t>Geoff St. Marie</t>
        </is>
      </c>
    </row>
    <row r="2305">
      <c r="A2305" s="9" t="inlineStr">
        <is>
          <t>Craig Street</t>
        </is>
      </c>
      <c r="B2305" s="9" t="inlineStr">
        <is>
          <t>2/22/26 - 3/21/26</t>
        </is>
      </c>
      <c r="C2305" s="12" t="n">
        <v>0.08</v>
      </c>
      <c r="D2305" s="12" t="n">
        <v>0.61</v>
      </c>
      <c r="E2305" s="12" t="n">
        <v>0.5</v>
      </c>
      <c r="F2305" s="12" t="n">
        <v>0.88</v>
      </c>
      <c r="G2305" s="12" t="n">
        <v>0</v>
      </c>
      <c r="H2305" s="9" t="n">
        <v>1</v>
      </c>
      <c r="I2305" s="32" t="inlineStr">
        <is>
          <t>1/6</t>
        </is>
      </c>
      <c r="J2305" s="12" t="n">
        <v>0.1666666666666667</v>
      </c>
      <c r="K2305" t="inlineStr">
        <is>
          <t>Advanced</t>
        </is>
      </c>
      <c r="L2305" t="inlineStr">
        <is>
          <t xml:space="preserve">Professional </t>
        </is>
      </c>
      <c r="M2305" t="inlineStr">
        <is>
          <t>Annelies de Groot</t>
        </is>
      </c>
    </row>
    <row r="2306">
      <c r="A2306" s="9" t="inlineStr">
        <is>
          <t>Ava Robledo</t>
        </is>
      </c>
      <c r="B2306" s="9" t="inlineStr">
        <is>
          <t>2/22/26 - 3/21/26</t>
        </is>
      </c>
      <c r="C2306" s="12" t="n">
        <v>0.6</v>
      </c>
      <c r="D2306" s="12" t="n">
        <v>0.84</v>
      </c>
      <c r="E2306" s="12" t="n">
        <v>1</v>
      </c>
      <c r="F2306" s="12" t="n">
        <v>1</v>
      </c>
      <c r="G2306" s="12" t="n">
        <v>0</v>
      </c>
      <c r="H2306" s="9" t="n">
        <v>2</v>
      </c>
      <c r="I2306" s="32" t="inlineStr">
        <is>
          <t>1/5</t>
        </is>
      </c>
      <c r="J2306" s="12" t="n">
        <v>0.2</v>
      </c>
      <c r="K2306" t="inlineStr">
        <is>
          <t>Advanced</t>
        </is>
      </c>
      <c r="L2306" t="inlineStr">
        <is>
          <t>Adjunct- BUC</t>
        </is>
      </c>
      <c r="M2306" t="inlineStr">
        <is>
          <t>Ela Cross</t>
        </is>
      </c>
    </row>
    <row r="2307">
      <c r="A2307" s="9" t="inlineStr">
        <is>
          <t>Naima Chaudhry</t>
        </is>
      </c>
      <c r="B2307" s="9" t="inlineStr">
        <is>
          <t>2/22/26 - 3/21/26</t>
        </is>
      </c>
      <c r="C2307" s="12" t="n">
        <v>0.98</v>
      </c>
      <c r="D2307" s="12" t="n">
        <v>1.07</v>
      </c>
      <c r="E2307" s="12" t="n">
        <v>1</v>
      </c>
      <c r="F2307" s="12" t="n">
        <v>1</v>
      </c>
      <c r="G2307" s="12" t="n">
        <v>0</v>
      </c>
      <c r="H2307" s="9" t="n">
        <v>4</v>
      </c>
      <c r="I2307" s="32" t="inlineStr">
        <is>
          <t>1/5</t>
        </is>
      </c>
      <c r="J2307" s="12" t="n">
        <v>0.2</v>
      </c>
      <c r="K2307" t="e">
        <v>#N/A</v>
      </c>
      <c r="L2307" t="e">
        <v>#N/A</v>
      </c>
      <c r="M2307" t="e">
        <v>#N/A</v>
      </c>
    </row>
    <row r="2308">
      <c r="A2308" s="9" t="inlineStr">
        <is>
          <t>Nando Reyes</t>
        </is>
      </c>
      <c r="B2308" s="9" t="inlineStr">
        <is>
          <t>2/22/26 - 3/21/26</t>
        </is>
      </c>
      <c r="C2308" s="12" t="n">
        <v>0.79</v>
      </c>
      <c r="D2308" s="12" t="n">
        <v>1.25</v>
      </c>
      <c r="E2308" s="12" t="n">
        <v>0.99</v>
      </c>
      <c r="F2308" s="12" t="n">
        <v>0.99</v>
      </c>
      <c r="G2308" s="12" t="n">
        <v>0.7</v>
      </c>
      <c r="H2308" s="9" t="n">
        <v>0</v>
      </c>
      <c r="I2308" s="32" t="inlineStr">
        <is>
          <t>1/5</t>
        </is>
      </c>
      <c r="J2308" s="12" t="n">
        <v>0.2</v>
      </c>
      <c r="K2308" t="inlineStr">
        <is>
          <t>Distinguished</t>
        </is>
      </c>
      <c r="L2308" t="inlineStr">
        <is>
          <t>Professional</t>
        </is>
      </c>
      <c r="M2308" t="inlineStr">
        <is>
          <t>Geoff St. Marie</t>
        </is>
      </c>
    </row>
    <row r="2309">
      <c r="A2309" s="9" t="inlineStr">
        <is>
          <t>Richard Kralik</t>
        </is>
      </c>
      <c r="B2309" s="9" t="inlineStr">
        <is>
          <t>2/22/26 - 3/21/26</t>
        </is>
      </c>
      <c r="C2309" s="12" t="n">
        <v>1.03</v>
      </c>
      <c r="D2309" s="12" t="n">
        <v>1.02</v>
      </c>
      <c r="E2309" s="12" t="n">
        <v>0.99</v>
      </c>
      <c r="F2309" s="12" t="n">
        <v>0.99</v>
      </c>
      <c r="G2309" s="12" t="n">
        <v>0.73</v>
      </c>
      <c r="H2309" s="9" t="n">
        <v>16</v>
      </c>
      <c r="I2309" s="32" t="inlineStr">
        <is>
          <t>1/5</t>
        </is>
      </c>
      <c r="J2309" s="12" t="n">
        <v>0.2</v>
      </c>
      <c r="K2309" t="inlineStr">
        <is>
          <t>Advanced</t>
        </is>
      </c>
      <c r="L2309" t="inlineStr">
        <is>
          <t>Professional</t>
        </is>
      </c>
      <c r="M2309" t="inlineStr">
        <is>
          <t>Ian Plamondon</t>
        </is>
      </c>
    </row>
    <row r="2310">
      <c r="A2310" s="9" t="inlineStr">
        <is>
          <t>Eden Rasmussen</t>
        </is>
      </c>
      <c r="B2310" s="9" t="inlineStr">
        <is>
          <t>2/22/26 - 3/21/26</t>
        </is>
      </c>
      <c r="C2310" s="12" t="n">
        <v>0.95</v>
      </c>
      <c r="D2310" s="12" t="n">
        <v>1.08</v>
      </c>
      <c r="E2310" s="12" t="n">
        <v>0.93</v>
      </c>
      <c r="F2310" s="12" t="n">
        <v>0.76</v>
      </c>
      <c r="G2310" s="12" t="n">
        <v>1</v>
      </c>
      <c r="H2310" s="9" t="n">
        <v>10</v>
      </c>
      <c r="I2310" s="32" t="inlineStr">
        <is>
          <t>1/4</t>
        </is>
      </c>
      <c r="J2310" s="12" t="n">
        <v>0.25</v>
      </c>
      <c r="K2310" t="inlineStr">
        <is>
          <t>Advanced</t>
        </is>
      </c>
      <c r="L2310" t="inlineStr">
        <is>
          <t>Professional</t>
        </is>
      </c>
      <c r="M2310" t="inlineStr">
        <is>
          <t>Ian Plamondon</t>
        </is>
      </c>
    </row>
    <row r="2311">
      <c r="A2311" s="9" t="inlineStr">
        <is>
          <t>Madia Banda</t>
        </is>
      </c>
      <c r="B2311" s="9" t="inlineStr">
        <is>
          <t>2/22/26 - 3/21/26</t>
        </is>
      </c>
      <c r="C2311" s="12" t="n">
        <v>1.15</v>
      </c>
      <c r="D2311" s="12" t="n">
        <v>1.16</v>
      </c>
      <c r="E2311" s="12" t="n">
        <v>0.98</v>
      </c>
      <c r="F2311" s="12" t="n">
        <v>0.99</v>
      </c>
      <c r="G2311" s="12" t="n">
        <v>1</v>
      </c>
      <c r="H2311" s="9" t="n">
        <v>21</v>
      </c>
      <c r="I2311" s="32" t="inlineStr">
        <is>
          <t>1/4</t>
        </is>
      </c>
      <c r="J2311" s="12" t="n">
        <v>0.25</v>
      </c>
      <c r="K2311" t="inlineStr">
        <is>
          <t>Advanced</t>
        </is>
      </c>
      <c r="L2311" t="inlineStr">
        <is>
          <t>Professional- BUC</t>
        </is>
      </c>
      <c r="M2311" t="inlineStr">
        <is>
          <t>Geoff St. Marie</t>
        </is>
      </c>
    </row>
    <row r="2312">
      <c r="A2312" s="9" t="inlineStr">
        <is>
          <t>Yvanna Ramirez</t>
        </is>
      </c>
      <c r="B2312" s="9" t="inlineStr">
        <is>
          <t>2/22/26 - 3/21/26</t>
        </is>
      </c>
      <c r="C2312" s="12" t="n">
        <v>1.14</v>
      </c>
      <c r="D2312" s="12" t="n">
        <v>1.08</v>
      </c>
      <c r="E2312" s="12" t="n">
        <v>1</v>
      </c>
      <c r="F2312" s="12" t="n">
        <v>0.93</v>
      </c>
      <c r="G2312" s="12" t="n">
        <v>0.76</v>
      </c>
      <c r="H2312" s="9" t="n">
        <v>10</v>
      </c>
      <c r="I2312" s="32" t="inlineStr">
        <is>
          <t>1/4</t>
        </is>
      </c>
      <c r="J2312" s="12" t="n">
        <v>0.25</v>
      </c>
      <c r="K2312" t="inlineStr">
        <is>
          <t>Advanced</t>
        </is>
      </c>
      <c r="L2312" t="inlineStr">
        <is>
          <t>Professional</t>
        </is>
      </c>
      <c r="M2312" t="inlineStr">
        <is>
          <t>Ela Cross</t>
        </is>
      </c>
    </row>
    <row r="2313">
      <c r="A2313" s="9" t="inlineStr">
        <is>
          <t>Kai Tsung</t>
        </is>
      </c>
      <c r="B2313" s="9" t="inlineStr">
        <is>
          <t>2/22/26 - 3/21/26</t>
        </is>
      </c>
      <c r="C2313" s="12" t="n">
        <v>1.42</v>
      </c>
      <c r="D2313" s="12" t="n">
        <v>1.2</v>
      </c>
      <c r="E2313" s="12" t="n">
        <v>0.95</v>
      </c>
      <c r="F2313" s="12" t="n">
        <v>0.86</v>
      </c>
      <c r="G2313" s="12" t="n">
        <v>0</v>
      </c>
      <c r="H2313" s="9" t="n">
        <v>0</v>
      </c>
      <c r="I2313" s="32" t="inlineStr">
        <is>
          <t>3/12</t>
        </is>
      </c>
      <c r="J2313" s="12" t="n">
        <v>0.25</v>
      </c>
      <c r="K2313" t="inlineStr">
        <is>
          <t>Advanced</t>
        </is>
      </c>
      <c r="L2313" t="inlineStr">
        <is>
          <t>Adjunct-BUC-TestPrep</t>
        </is>
      </c>
      <c r="M2313" t="inlineStr">
        <is>
          <t>Kristin Haase-Alvey</t>
        </is>
      </c>
    </row>
    <row r="2314">
      <c r="A2314" s="9" t="inlineStr">
        <is>
          <t>John Licitra</t>
        </is>
      </c>
      <c r="B2314" s="9" t="inlineStr">
        <is>
          <t>2/22/26 - 3/21/26</t>
        </is>
      </c>
      <c r="C2314" s="12" t="n">
        <v>0.98</v>
      </c>
      <c r="D2314" s="12" t="n">
        <v>0.89</v>
      </c>
      <c r="E2314" s="12" t="n">
        <v>0.99</v>
      </c>
      <c r="F2314" s="12" t="n">
        <v>0.92</v>
      </c>
      <c r="G2314" s="12" t="n">
        <v>0.95</v>
      </c>
      <c r="H2314" s="9" t="n">
        <v>14</v>
      </c>
      <c r="I2314" s="32" t="inlineStr">
        <is>
          <t>2/7</t>
        </is>
      </c>
      <c r="J2314" s="12" t="n">
        <v>0.2857142857142857</v>
      </c>
      <c r="K2314" t="inlineStr">
        <is>
          <t>Advanced</t>
        </is>
      </c>
      <c r="L2314" t="inlineStr">
        <is>
          <t>Professional</t>
        </is>
      </c>
      <c r="M2314" t="inlineStr">
        <is>
          <t>Geoff St. Marie</t>
        </is>
      </c>
    </row>
    <row r="2315">
      <c r="A2315" s="9" t="inlineStr">
        <is>
          <t>Lana Kargetta</t>
        </is>
      </c>
      <c r="B2315" s="9" t="inlineStr">
        <is>
          <t>2/22/26 - 3/21/26</t>
        </is>
      </c>
      <c r="C2315" s="12" t="n">
        <v>1.08</v>
      </c>
      <c r="D2315" s="12" t="n">
        <v>1.06</v>
      </c>
      <c r="E2315" s="12" t="n">
        <v>0.9399999999999999</v>
      </c>
      <c r="F2315" s="12" t="n">
        <v>0.73</v>
      </c>
      <c r="G2315" s="12" t="n">
        <v>0.93</v>
      </c>
      <c r="H2315" s="9" t="n">
        <v>15</v>
      </c>
      <c r="I2315" s="32" t="inlineStr">
        <is>
          <t>1/3</t>
        </is>
      </c>
      <c r="J2315" s="12" t="n">
        <v>0.33</v>
      </c>
      <c r="K2315" t="inlineStr">
        <is>
          <t>Advanced</t>
        </is>
      </c>
      <c r="L2315" t="inlineStr">
        <is>
          <t>Adjunct- BUC</t>
        </is>
      </c>
      <c r="M2315" t="inlineStr">
        <is>
          <t>Geoff St. Marie</t>
        </is>
      </c>
    </row>
    <row r="2316">
      <c r="A2316" s="9" t="inlineStr">
        <is>
          <t>Megan Hoelting</t>
        </is>
      </c>
      <c r="B2316" s="9" t="inlineStr">
        <is>
          <t>2/22/26 - 3/21/26</t>
        </is>
      </c>
      <c r="C2316" s="12" t="n">
        <v>0.9</v>
      </c>
      <c r="D2316" s="12" t="n">
        <v>1.12</v>
      </c>
      <c r="E2316" s="12" t="n">
        <v>0.97</v>
      </c>
      <c r="F2316" s="12" t="n">
        <v>0.96</v>
      </c>
      <c r="G2316" s="12" t="n">
        <v>1</v>
      </c>
      <c r="H2316" s="9" t="n">
        <v>0</v>
      </c>
      <c r="I2316" s="32" t="inlineStr">
        <is>
          <t>1/3</t>
        </is>
      </c>
      <c r="J2316" s="12" t="n">
        <v>0.33</v>
      </c>
      <c r="K2316" t="inlineStr">
        <is>
          <t>Distinguished</t>
        </is>
      </c>
      <c r="L2316" t="inlineStr">
        <is>
          <t>Adjunct</t>
        </is>
      </c>
      <c r="M2316" t="inlineStr">
        <is>
          <t>Annelies de Groot</t>
        </is>
      </c>
    </row>
    <row r="2317">
      <c r="A2317" s="9" t="inlineStr">
        <is>
          <t>Saahithi Punnam</t>
        </is>
      </c>
      <c r="B2317" s="9" t="inlineStr">
        <is>
          <t>2/22/26 - 3/21/26</t>
        </is>
      </c>
      <c r="C2317" s="12" t="n">
        <v>1.24</v>
      </c>
      <c r="D2317" s="12" t="n">
        <v>1.08</v>
      </c>
      <c r="E2317" s="12" t="n">
        <v>0.96</v>
      </c>
      <c r="F2317" s="12" t="n">
        <v>1</v>
      </c>
      <c r="G2317" s="12" t="n">
        <v>0</v>
      </c>
      <c r="H2317" s="9" t="n">
        <v>2</v>
      </c>
      <c r="I2317" s="32" t="inlineStr">
        <is>
          <t>2/6</t>
        </is>
      </c>
      <c r="J2317" s="12" t="n">
        <v>0.33</v>
      </c>
      <c r="K2317" t="inlineStr">
        <is>
          <t>Advanced</t>
        </is>
      </c>
      <c r="L2317" t="inlineStr">
        <is>
          <t>Adjunct- BUC</t>
        </is>
      </c>
      <c r="M2317" t="inlineStr">
        <is>
          <t>Annelies de Groot</t>
        </is>
      </c>
    </row>
    <row r="2318">
      <c r="A2318" s="9" t="inlineStr">
        <is>
          <t>Alexandra Laus</t>
        </is>
      </c>
      <c r="B2318" s="9" t="inlineStr">
        <is>
          <t>2/22/26 - 3/21/26</t>
        </is>
      </c>
      <c r="C2318" s="12" t="n">
        <v>0.7</v>
      </c>
      <c r="D2318" s="12" t="n">
        <v>1.18</v>
      </c>
      <c r="E2318" s="12" t="n">
        <v>0.96</v>
      </c>
      <c r="F2318" s="12" t="n">
        <v>0.71</v>
      </c>
      <c r="G2318" s="12" t="n">
        <v>0</v>
      </c>
      <c r="H2318" s="9" t="n">
        <v>1</v>
      </c>
      <c r="I2318" s="32" t="inlineStr">
        <is>
          <t>7/21</t>
        </is>
      </c>
      <c r="J2318" s="12" t="n">
        <v>0.3333333333333333</v>
      </c>
      <c r="K2318" t="inlineStr">
        <is>
          <t>Advanced</t>
        </is>
      </c>
      <c r="L2318" t="inlineStr">
        <is>
          <t>Professional</t>
        </is>
      </c>
      <c r="M2318" t="inlineStr">
        <is>
          <t>Annelies de Groot</t>
        </is>
      </c>
    </row>
    <row r="2319">
      <c r="A2319" s="9" t="inlineStr">
        <is>
          <t>Heather Tuck</t>
        </is>
      </c>
      <c r="B2319" s="9" t="inlineStr">
        <is>
          <t>2/22/26 - 3/21/26</t>
        </is>
      </c>
      <c r="C2319" s="12" t="n">
        <v>1.08</v>
      </c>
      <c r="D2319" s="12" t="n">
        <v>1.08</v>
      </c>
      <c r="E2319" s="12" t="n">
        <v>1</v>
      </c>
      <c r="F2319" s="12" t="n">
        <v>1</v>
      </c>
      <c r="G2319" s="12" t="n">
        <v>0</v>
      </c>
      <c r="H2319" s="9" t="n">
        <v>4</v>
      </c>
      <c r="I2319" s="32" t="inlineStr">
        <is>
          <t>5/13</t>
        </is>
      </c>
      <c r="J2319" s="12" t="n">
        <v>0.3846153846153846</v>
      </c>
      <c r="K2319" t="inlineStr">
        <is>
          <t>Advanced</t>
        </is>
      </c>
      <c r="L2319" t="inlineStr">
        <is>
          <t>Adjunct- BUC</t>
        </is>
      </c>
      <c r="M2319" t="inlineStr">
        <is>
          <t>Kristin Haase-Alvey</t>
        </is>
      </c>
    </row>
    <row r="2320">
      <c r="A2320" s="9" t="inlineStr">
        <is>
          <t>Brandon Lora</t>
        </is>
      </c>
      <c r="B2320" s="9" t="inlineStr">
        <is>
          <t>2/22/26 - 3/21/26</t>
        </is>
      </c>
      <c r="C2320" s="12" t="n">
        <v>1.01</v>
      </c>
      <c r="D2320" s="12" t="n">
        <v>1.13</v>
      </c>
      <c r="E2320" s="12" t="n">
        <v>0.97</v>
      </c>
      <c r="F2320" s="12" t="n">
        <v>1</v>
      </c>
      <c r="G2320" s="12" t="n">
        <v>0.8</v>
      </c>
      <c r="H2320" s="9" t="n">
        <v>1</v>
      </c>
      <c r="I2320" s="32" t="inlineStr">
        <is>
          <t>3/7</t>
        </is>
      </c>
      <c r="J2320" s="12" t="n">
        <v>0.4285714285714285</v>
      </c>
      <c r="K2320" t="inlineStr">
        <is>
          <t>Advanced</t>
        </is>
      </c>
      <c r="L2320" t="inlineStr">
        <is>
          <t>Professional</t>
        </is>
      </c>
      <c r="M2320" t="inlineStr">
        <is>
          <t>Annelies de Groot</t>
        </is>
      </c>
    </row>
    <row r="2321">
      <c r="A2321" s="9" t="inlineStr">
        <is>
          <t>Ashley Scorsone</t>
        </is>
      </c>
      <c r="B2321" s="9" t="inlineStr">
        <is>
          <t>2/22/26 - 3/21/26</t>
        </is>
      </c>
      <c r="C2321" s="12" t="n">
        <v>1.08</v>
      </c>
      <c r="D2321" s="12" t="n">
        <v>1.46</v>
      </c>
      <c r="E2321" s="12" t="n">
        <v>0.9399999999999999</v>
      </c>
      <c r="F2321" s="12" t="n">
        <v>0.98</v>
      </c>
      <c r="G2321" s="12" t="n">
        <v>0.96</v>
      </c>
      <c r="H2321" s="9" t="n">
        <v>1</v>
      </c>
      <c r="I2321" s="32" t="inlineStr">
        <is>
          <t>1/2</t>
        </is>
      </c>
      <c r="J2321" s="12" t="n">
        <v>0.5</v>
      </c>
      <c r="K2321" t="inlineStr">
        <is>
          <t>Premium</t>
        </is>
      </c>
      <c r="L2321" t="inlineStr">
        <is>
          <t>Professional</t>
        </is>
      </c>
      <c r="M2321" t="inlineStr">
        <is>
          <t>Geoff St. Marie</t>
        </is>
      </c>
    </row>
    <row r="2322">
      <c r="A2322" s="9" t="inlineStr">
        <is>
          <t>Christine Santos</t>
        </is>
      </c>
      <c r="B2322" s="9" t="inlineStr">
        <is>
          <t>2/22/26 - 3/21/26</t>
        </is>
      </c>
      <c r="C2322" s="12" t="n">
        <v>1.55</v>
      </c>
      <c r="D2322" s="12" t="n">
        <v>1.55</v>
      </c>
      <c r="E2322" s="12" t="n">
        <v>0.92</v>
      </c>
      <c r="F2322" s="12" t="n">
        <v>1</v>
      </c>
      <c r="G2322" s="12" t="n">
        <v>0.85</v>
      </c>
      <c r="H2322" s="9" t="n">
        <v>3</v>
      </c>
      <c r="I2322" s="32" t="inlineStr">
        <is>
          <t>1/2</t>
        </is>
      </c>
      <c r="J2322" s="12" t="n">
        <v>0.5</v>
      </c>
      <c r="K2322" t="inlineStr">
        <is>
          <t>Premium</t>
        </is>
      </c>
      <c r="L2322" t="inlineStr">
        <is>
          <t>Adjunct</t>
        </is>
      </c>
      <c r="M2322" t="inlineStr">
        <is>
          <t>Ela Cross</t>
        </is>
      </c>
    </row>
    <row r="2323">
      <c r="A2323" s="9" t="inlineStr">
        <is>
          <t>David Keder</t>
        </is>
      </c>
      <c r="B2323" s="9" t="inlineStr">
        <is>
          <t>2/22/26 - 3/21/26</t>
        </is>
      </c>
      <c r="C2323" s="12" t="n">
        <v>1.5</v>
      </c>
      <c r="D2323" s="12" t="n">
        <v>1.29</v>
      </c>
      <c r="E2323" s="12" t="n">
        <v>0.93</v>
      </c>
      <c r="F2323" s="12" t="n">
        <v>0.91</v>
      </c>
      <c r="G2323" s="12" t="n">
        <v>0.87</v>
      </c>
      <c r="H2323" s="9" t="n">
        <v>2</v>
      </c>
      <c r="I2323" s="32" t="inlineStr">
        <is>
          <t>1/2</t>
        </is>
      </c>
      <c r="J2323" s="12" t="n">
        <v>0.5</v>
      </c>
      <c r="K2323" t="inlineStr">
        <is>
          <t>Advanced</t>
        </is>
      </c>
      <c r="L2323" t="inlineStr">
        <is>
          <t>Adjunct</t>
        </is>
      </c>
      <c r="M2323" t="inlineStr">
        <is>
          <t>Kristin Haase-Alvey</t>
        </is>
      </c>
    </row>
    <row r="2324">
      <c r="A2324" s="9" t="inlineStr">
        <is>
          <t>Eddie Rodriguez</t>
        </is>
      </c>
      <c r="B2324" s="9" t="inlineStr">
        <is>
          <t>2/22/26 - 3/21/26</t>
        </is>
      </c>
      <c r="C2324" s="12" t="n">
        <v>1.02</v>
      </c>
      <c r="D2324" s="12" t="n">
        <v>1.04</v>
      </c>
      <c r="E2324" s="12" t="n">
        <v>1</v>
      </c>
      <c r="F2324" s="12" t="n">
        <v>1</v>
      </c>
      <c r="G2324" s="12" t="n">
        <v>0.8100000000000001</v>
      </c>
      <c r="H2324" s="9" t="n">
        <v>1</v>
      </c>
      <c r="I2324" s="32" t="inlineStr">
        <is>
          <t>1/2</t>
        </is>
      </c>
      <c r="J2324" s="12" t="n">
        <v>0.5</v>
      </c>
      <c r="K2324" t="inlineStr">
        <is>
          <t>Distinguished</t>
        </is>
      </c>
      <c r="L2324" t="inlineStr">
        <is>
          <t>Professional</t>
        </is>
      </c>
      <c r="M2324" t="inlineStr">
        <is>
          <t>Ian Plamondon</t>
        </is>
      </c>
    </row>
    <row r="2325">
      <c r="A2325" s="9" t="inlineStr">
        <is>
          <t>Elijah Ramirez</t>
        </is>
      </c>
      <c r="B2325" s="9" t="inlineStr">
        <is>
          <t>2/22/26 - 3/21/26</t>
        </is>
      </c>
      <c r="C2325" s="12" t="n">
        <v>0.72</v>
      </c>
      <c r="D2325" s="12" t="n">
        <v>1.11</v>
      </c>
      <c r="E2325" s="12" t="n">
        <v>0.98</v>
      </c>
      <c r="F2325" s="12" t="n">
        <v>0.83</v>
      </c>
      <c r="G2325" s="12" t="n">
        <v>0.87</v>
      </c>
      <c r="H2325" s="9" t="n">
        <v>1</v>
      </c>
      <c r="I2325" s="32" t="inlineStr">
        <is>
          <t>1/2</t>
        </is>
      </c>
      <c r="J2325" s="12" t="n">
        <v>0.5</v>
      </c>
      <c r="K2325" t="inlineStr">
        <is>
          <t>Premium</t>
        </is>
      </c>
      <c r="L2325" t="inlineStr">
        <is>
          <t>Professional</t>
        </is>
      </c>
      <c r="M2325" t="inlineStr">
        <is>
          <t>Ian Plamondon</t>
        </is>
      </c>
    </row>
    <row r="2326">
      <c r="A2326" s="9" t="inlineStr">
        <is>
          <t>John Olmos</t>
        </is>
      </c>
      <c r="B2326" s="9" t="inlineStr">
        <is>
          <t>2/22/26 - 3/21/26</t>
        </is>
      </c>
      <c r="C2326" s="12" t="n">
        <v>1.09</v>
      </c>
      <c r="D2326" s="12" t="n">
        <v>1.43</v>
      </c>
      <c r="E2326" s="12" t="n">
        <v>0.98</v>
      </c>
      <c r="F2326" s="12" t="n">
        <v>0.91</v>
      </c>
      <c r="G2326" s="12" t="n">
        <v>0.74</v>
      </c>
      <c r="H2326" s="9" t="n">
        <v>5</v>
      </c>
      <c r="I2326" s="32" t="inlineStr">
        <is>
          <t>1/2</t>
        </is>
      </c>
      <c r="J2326" s="12" t="n">
        <v>0.5</v>
      </c>
      <c r="K2326" t="inlineStr">
        <is>
          <t>Distinguished</t>
        </is>
      </c>
      <c r="L2326" t="inlineStr">
        <is>
          <t>Professional</t>
        </is>
      </c>
      <c r="M2326" t="inlineStr">
        <is>
          <t>Ian Plamondon</t>
        </is>
      </c>
    </row>
    <row r="2327">
      <c r="A2327" s="9" t="inlineStr">
        <is>
          <t>Jon Cathapermal</t>
        </is>
      </c>
      <c r="B2327" s="9" t="inlineStr">
        <is>
          <t>2/22/26 - 3/21/26</t>
        </is>
      </c>
      <c r="C2327" s="12" t="n">
        <v>0.9</v>
      </c>
      <c r="D2327" s="12" t="n">
        <v>0.83</v>
      </c>
      <c r="E2327" s="12" t="n">
        <v>0.97</v>
      </c>
      <c r="F2327" s="12" t="n">
        <v>0.97</v>
      </c>
      <c r="G2327" s="12" t="n">
        <v>0.95</v>
      </c>
      <c r="H2327" s="9" t="n">
        <v>8</v>
      </c>
      <c r="I2327" s="32" t="inlineStr">
        <is>
          <t>1/2</t>
        </is>
      </c>
      <c r="J2327" s="12" t="n">
        <v>0.5</v>
      </c>
      <c r="K2327" t="inlineStr">
        <is>
          <t>Advanced</t>
        </is>
      </c>
      <c r="L2327" t="inlineStr">
        <is>
          <t>Professional</t>
        </is>
      </c>
      <c r="M2327" t="inlineStr">
        <is>
          <t>Geoff St. Marie</t>
        </is>
      </c>
    </row>
    <row r="2328">
      <c r="A2328" s="9" t="inlineStr">
        <is>
          <t>Julie Byrom</t>
        </is>
      </c>
      <c r="B2328" s="9" t="inlineStr">
        <is>
          <t>2/22/26 - 3/21/26</t>
        </is>
      </c>
      <c r="C2328" s="12" t="n">
        <v>0.88</v>
      </c>
      <c r="D2328" s="12" t="n">
        <v>1.05</v>
      </c>
      <c r="E2328" s="12" t="n">
        <v>1</v>
      </c>
      <c r="F2328" s="12" t="n">
        <v>1</v>
      </c>
      <c r="G2328" s="12" t="n">
        <v>0.87</v>
      </c>
      <c r="H2328" s="9" t="n">
        <v>1</v>
      </c>
      <c r="I2328" s="32" t="inlineStr">
        <is>
          <t>1/2</t>
        </is>
      </c>
      <c r="J2328" s="12" t="n">
        <v>0.5</v>
      </c>
      <c r="K2328" t="inlineStr">
        <is>
          <t>Premium</t>
        </is>
      </c>
      <c r="L2328" t="inlineStr">
        <is>
          <t>Professional</t>
        </is>
      </c>
      <c r="M2328" t="inlineStr">
        <is>
          <t>Ela Cross</t>
        </is>
      </c>
    </row>
    <row r="2329">
      <c r="A2329" s="9" t="inlineStr">
        <is>
          <t>Nisan Hubbard</t>
        </is>
      </c>
      <c r="B2329" s="9" t="inlineStr">
        <is>
          <t>2/22/26 - 3/21/26</t>
        </is>
      </c>
      <c r="C2329" s="12" t="n">
        <v>0.84</v>
      </c>
      <c r="D2329" s="12" t="n">
        <v>0.78</v>
      </c>
      <c r="E2329" s="12" t="n">
        <v>0.98</v>
      </c>
      <c r="F2329" s="12" t="n">
        <v>0.96</v>
      </c>
      <c r="G2329" s="12" t="n">
        <v>0.63</v>
      </c>
      <c r="H2329" s="9" t="n">
        <v>12</v>
      </c>
      <c r="I2329" s="32" t="inlineStr">
        <is>
          <t>1/2</t>
        </is>
      </c>
      <c r="J2329" s="12" t="n">
        <v>0.5</v>
      </c>
      <c r="K2329" t="inlineStr">
        <is>
          <t>Advanced</t>
        </is>
      </c>
      <c r="L2329" t="inlineStr">
        <is>
          <t>Adjunct</t>
        </is>
      </c>
      <c r="M2329" t="inlineStr">
        <is>
          <t>Annelies de Groot</t>
        </is>
      </c>
    </row>
    <row r="2330">
      <c r="A2330" s="9" t="inlineStr">
        <is>
          <t>Sean Ulfik</t>
        </is>
      </c>
      <c r="B2330" s="9" t="inlineStr">
        <is>
          <t>2/22/26 - 3/21/26</t>
        </is>
      </c>
      <c r="C2330" s="12" t="n">
        <v>1.21</v>
      </c>
      <c r="D2330" s="12" t="n">
        <v>1.07</v>
      </c>
      <c r="E2330" s="12" t="n">
        <v>0.99</v>
      </c>
      <c r="F2330" s="12" t="n">
        <v>0.93</v>
      </c>
      <c r="G2330" s="12" t="n">
        <v>0.96</v>
      </c>
      <c r="H2330" s="9" t="n">
        <v>6</v>
      </c>
      <c r="I2330" s="32" t="inlineStr">
        <is>
          <t>1/2</t>
        </is>
      </c>
      <c r="J2330" s="12" t="n">
        <v>0.5</v>
      </c>
      <c r="K2330" t="inlineStr">
        <is>
          <t>Premium</t>
        </is>
      </c>
      <c r="L2330" t="inlineStr">
        <is>
          <t>Professional</t>
        </is>
      </c>
      <c r="M2330" t="inlineStr">
        <is>
          <t>Annelies de Groot</t>
        </is>
      </c>
    </row>
    <row r="2331">
      <c r="A2331" s="9" t="inlineStr">
        <is>
          <t>Daniel Severance</t>
        </is>
      </c>
      <c r="B2331" s="9" t="inlineStr">
        <is>
          <t>2/22/26 - 3/21/26</t>
        </is>
      </c>
      <c r="C2331" s="12" t="n">
        <v>0.95</v>
      </c>
      <c r="D2331" s="12" t="n">
        <v>1.31</v>
      </c>
      <c r="E2331" s="12" t="n">
        <v>0.99</v>
      </c>
      <c r="F2331" s="12" t="n">
        <v>0.96</v>
      </c>
      <c r="G2331" s="12" t="n">
        <v>0.7</v>
      </c>
      <c r="H2331" s="9" t="n">
        <v>3</v>
      </c>
      <c r="I2331" s="32" t="inlineStr">
        <is>
          <t>2/4</t>
        </is>
      </c>
      <c r="J2331" s="12" t="n">
        <v>0.5</v>
      </c>
      <c r="K2331" t="inlineStr">
        <is>
          <t>Premium</t>
        </is>
      </c>
      <c r="L2331" t="inlineStr">
        <is>
          <t>Professional</t>
        </is>
      </c>
      <c r="M2331" t="inlineStr">
        <is>
          <t>Annelies de Groot</t>
        </is>
      </c>
    </row>
    <row r="2332">
      <c r="A2332" s="9" t="inlineStr">
        <is>
          <t>Matthew Urso</t>
        </is>
      </c>
      <c r="B2332" s="9" t="inlineStr">
        <is>
          <t>2/22/26 - 3/21/26</t>
        </is>
      </c>
      <c r="C2332" s="12" t="n">
        <v>0.83</v>
      </c>
      <c r="D2332" s="12" t="n">
        <v>1.01</v>
      </c>
      <c r="E2332" s="12" t="n">
        <v>1</v>
      </c>
      <c r="F2332" s="12" t="n">
        <v>0.91</v>
      </c>
      <c r="G2332" s="12" t="n">
        <v>0.9</v>
      </c>
      <c r="H2332" s="9" t="n">
        <v>3</v>
      </c>
      <c r="I2332" s="32" t="inlineStr">
        <is>
          <t>2/4</t>
        </is>
      </c>
      <c r="J2332" s="12" t="n">
        <v>0.5</v>
      </c>
      <c r="K2332" t="inlineStr">
        <is>
          <t>Distinguished</t>
        </is>
      </c>
      <c r="L2332" t="inlineStr">
        <is>
          <t>Professional</t>
        </is>
      </c>
      <c r="M2332" t="inlineStr">
        <is>
          <t>Ian Plamondon</t>
        </is>
      </c>
    </row>
    <row r="2333">
      <c r="A2333" s="9" t="inlineStr">
        <is>
          <t>Myles Oldroyd</t>
        </is>
      </c>
      <c r="B2333" s="9" t="inlineStr">
        <is>
          <t>2/22/26 - 3/21/26</t>
        </is>
      </c>
      <c r="C2333" s="12" t="n">
        <v>1.28</v>
      </c>
      <c r="D2333" s="12" t="n">
        <v>1.71</v>
      </c>
      <c r="E2333" s="12" t="n">
        <v>1</v>
      </c>
      <c r="F2333" s="12" t="n">
        <v>0.99</v>
      </c>
      <c r="G2333" s="12" t="n">
        <v>0.91</v>
      </c>
      <c r="H2333" s="9" t="n">
        <v>3</v>
      </c>
      <c r="I2333" s="32" t="inlineStr">
        <is>
          <t>6/11</t>
        </is>
      </c>
      <c r="J2333" s="12" t="n">
        <v>0.5454545454545454</v>
      </c>
      <c r="K2333" t="inlineStr">
        <is>
          <t>Premium</t>
        </is>
      </c>
      <c r="L2333" t="inlineStr">
        <is>
          <t>Professional</t>
        </is>
      </c>
      <c r="M2333" t="inlineStr">
        <is>
          <t>Ian Plamondon</t>
        </is>
      </c>
    </row>
    <row r="2334">
      <c r="A2334" s="9" t="inlineStr">
        <is>
          <t>Bryant Salinas</t>
        </is>
      </c>
      <c r="B2334" s="9" t="inlineStr">
        <is>
          <t>2/22/26 - 3/21/26</t>
        </is>
      </c>
      <c r="C2334" s="12" t="n">
        <v>0.91</v>
      </c>
      <c r="D2334" s="12" t="n">
        <v>1.13</v>
      </c>
      <c r="E2334" s="12" t="n">
        <v>0.92</v>
      </c>
      <c r="F2334" s="12" t="n">
        <v>0.99</v>
      </c>
      <c r="G2334" s="12" t="n">
        <v>0.89</v>
      </c>
      <c r="H2334" s="9" t="n">
        <v>7</v>
      </c>
      <c r="I2334" s="32" t="inlineStr">
        <is>
          <t>4/7</t>
        </is>
      </c>
      <c r="J2334" s="12" t="n">
        <v>0.5714285714285714</v>
      </c>
      <c r="K2334" t="inlineStr">
        <is>
          <t>Premium</t>
        </is>
      </c>
      <c r="L2334" t="inlineStr">
        <is>
          <t>Professional</t>
        </is>
      </c>
      <c r="M2334" t="inlineStr">
        <is>
          <t>Geoff St. Marie</t>
        </is>
      </c>
    </row>
    <row r="2335">
      <c r="A2335" s="9" t="inlineStr">
        <is>
          <t>Tyler Henry</t>
        </is>
      </c>
      <c r="B2335" s="9" t="inlineStr">
        <is>
          <t>2/22/26 - 3/21/26</t>
        </is>
      </c>
      <c r="C2335" s="12" t="n">
        <v>1.18</v>
      </c>
      <c r="D2335" s="12" t="n">
        <v>1.18</v>
      </c>
      <c r="E2335" s="12" t="n">
        <v>0.85</v>
      </c>
      <c r="F2335" s="12" t="n">
        <v>0.78</v>
      </c>
      <c r="G2335" s="12" t="n">
        <v>0.76</v>
      </c>
      <c r="H2335" s="9" t="n">
        <v>6</v>
      </c>
      <c r="I2335" s="32" t="inlineStr">
        <is>
          <t>4/7</t>
        </is>
      </c>
      <c r="J2335" s="12" t="n">
        <v>0.5714285714285714</v>
      </c>
      <c r="K2335" t="inlineStr">
        <is>
          <t>Advanced</t>
        </is>
      </c>
      <c r="L2335" t="inlineStr">
        <is>
          <t>Professional</t>
        </is>
      </c>
      <c r="M2335" t="inlineStr">
        <is>
          <t>Annelies de Groot</t>
        </is>
      </c>
    </row>
    <row r="2336">
      <c r="A2336" s="9" t="inlineStr">
        <is>
          <t>Clark Howard</t>
        </is>
      </c>
      <c r="B2336" s="9" t="inlineStr">
        <is>
          <t>2/22/26 - 3/21/26</t>
        </is>
      </c>
      <c r="C2336" s="12" t="n">
        <v>1.05</v>
      </c>
      <c r="D2336" s="12" t="n">
        <v>1.08</v>
      </c>
      <c r="E2336" s="12" t="n">
        <v>0.96</v>
      </c>
      <c r="F2336" s="12" t="n">
        <v>0.96</v>
      </c>
      <c r="G2336" s="12" t="n">
        <v>0.72</v>
      </c>
      <c r="H2336" s="9" t="n">
        <v>13</v>
      </c>
      <c r="I2336" s="32" t="inlineStr">
        <is>
          <t>3/5</t>
        </is>
      </c>
      <c r="J2336" s="12" t="n">
        <v>0.6</v>
      </c>
      <c r="K2336" t="inlineStr">
        <is>
          <t>Advanced</t>
        </is>
      </c>
      <c r="L2336" t="inlineStr">
        <is>
          <t>Professional</t>
        </is>
      </c>
      <c r="M2336" t="inlineStr">
        <is>
          <t>Ela Cross</t>
        </is>
      </c>
    </row>
    <row r="2337">
      <c r="A2337" s="9" t="inlineStr">
        <is>
          <t>Elliot Emadian</t>
        </is>
      </c>
      <c r="B2337" s="9" t="inlineStr">
        <is>
          <t>2/22/26 - 3/21/26</t>
        </is>
      </c>
      <c r="C2337" s="12" t="n">
        <v>0.85</v>
      </c>
      <c r="D2337" s="12" t="n">
        <v>0.89</v>
      </c>
      <c r="E2337" s="12" t="n">
        <v>0.98</v>
      </c>
      <c r="F2337" s="12" t="n">
        <v>0.84</v>
      </c>
      <c r="G2337" s="12" t="n">
        <v>0.68</v>
      </c>
      <c r="H2337" s="9" t="n">
        <v>13</v>
      </c>
      <c r="I2337" s="32" t="inlineStr">
        <is>
          <t>3/5</t>
        </is>
      </c>
      <c r="J2337" s="12" t="n">
        <v>0.6</v>
      </c>
      <c r="K2337" t="inlineStr">
        <is>
          <t>Advanced</t>
        </is>
      </c>
      <c r="L2337" t="inlineStr">
        <is>
          <t>Professional</t>
        </is>
      </c>
      <c r="M2337" t="inlineStr">
        <is>
          <t>Annelies de Groot</t>
        </is>
      </c>
    </row>
    <row r="2338">
      <c r="A2338" s="9" t="inlineStr">
        <is>
          <t>Julia Saderholm</t>
        </is>
      </c>
      <c r="B2338" s="9" t="inlineStr">
        <is>
          <t>2/22/26 - 3/21/26</t>
        </is>
      </c>
      <c r="C2338" s="12" t="n">
        <v>0.96</v>
      </c>
      <c r="D2338" s="12" t="n">
        <v>1.01</v>
      </c>
      <c r="E2338" s="12" t="n">
        <v>1</v>
      </c>
      <c r="F2338" s="12" t="n">
        <v>0.76</v>
      </c>
      <c r="G2338" s="12" t="n">
        <v>0.1</v>
      </c>
      <c r="H2338" s="9" t="n">
        <v>14</v>
      </c>
      <c r="I2338" s="32" t="inlineStr">
        <is>
          <t>3/5</t>
        </is>
      </c>
      <c r="J2338" s="12" t="n">
        <v>0.6</v>
      </c>
      <c r="K2338" t="inlineStr">
        <is>
          <t>Advanced</t>
        </is>
      </c>
      <c r="L2338" t="inlineStr">
        <is>
          <t>Professional</t>
        </is>
      </c>
      <c r="M2338" t="inlineStr">
        <is>
          <t>Ela Cross</t>
        </is>
      </c>
    </row>
    <row r="2339">
      <c r="A2339" s="9" t="inlineStr">
        <is>
          <t>River Nunez</t>
        </is>
      </c>
      <c r="B2339" s="9" t="inlineStr">
        <is>
          <t>2/22/26 - 3/21/26</t>
        </is>
      </c>
      <c r="C2339" s="12" t="n">
        <v>0.84</v>
      </c>
      <c r="D2339" s="12" t="n">
        <v>0.88</v>
      </c>
      <c r="E2339" s="12" t="n">
        <v>0.98</v>
      </c>
      <c r="F2339" s="12" t="n">
        <v>0.97</v>
      </c>
      <c r="G2339" s="12" t="n">
        <v>0.68</v>
      </c>
      <c r="H2339" s="9" t="n">
        <v>8</v>
      </c>
      <c r="I2339" s="32" t="inlineStr">
        <is>
          <t>3/5</t>
        </is>
      </c>
      <c r="J2339" s="12" t="n">
        <v>0.6</v>
      </c>
      <c r="K2339" t="inlineStr">
        <is>
          <t>Advanced</t>
        </is>
      </c>
      <c r="L2339" t="inlineStr">
        <is>
          <t>Professional</t>
        </is>
      </c>
      <c r="M2339" t="inlineStr">
        <is>
          <t>Annelies de Groot</t>
        </is>
      </c>
    </row>
    <row r="2340">
      <c r="A2340" s="9" t="inlineStr">
        <is>
          <t>Rain Real</t>
        </is>
      </c>
      <c r="B2340" s="9" t="inlineStr">
        <is>
          <t>2/22/26 - 3/21/26</t>
        </is>
      </c>
      <c r="C2340" s="12" t="n">
        <v>0.83</v>
      </c>
      <c r="D2340" s="12" t="n">
        <v>1</v>
      </c>
      <c r="E2340" s="12" t="n">
        <v>1</v>
      </c>
      <c r="F2340" s="12" t="n">
        <v>1</v>
      </c>
      <c r="G2340" s="12" t="n">
        <v>0.53</v>
      </c>
      <c r="H2340" s="9" t="n">
        <v>3</v>
      </c>
      <c r="I2340" s="32" t="inlineStr">
        <is>
          <t>7/11</t>
        </is>
      </c>
      <c r="J2340" s="12" t="n">
        <v>0.6363636363636364</v>
      </c>
      <c r="K2340" t="inlineStr">
        <is>
          <t>Advanced</t>
        </is>
      </c>
      <c r="L2340" t="inlineStr">
        <is>
          <t>Professional</t>
        </is>
      </c>
      <c r="M2340" t="inlineStr">
        <is>
          <t>Annelies de Groot</t>
        </is>
      </c>
    </row>
    <row r="2341">
      <c r="A2341" s="9" t="inlineStr">
        <is>
          <t>Alexa Pinera</t>
        </is>
      </c>
      <c r="B2341" s="9" t="inlineStr">
        <is>
          <t>2/22/26 - 3/21/26</t>
        </is>
      </c>
      <c r="C2341" s="12" t="n">
        <v>0.77</v>
      </c>
      <c r="D2341" s="12" t="n">
        <v>1.63</v>
      </c>
      <c r="E2341" s="12" t="n">
        <v>0.95</v>
      </c>
      <c r="F2341" s="12" t="n">
        <v>1</v>
      </c>
      <c r="G2341" s="12" t="n">
        <v>0.93</v>
      </c>
      <c r="H2341" s="9" t="n">
        <v>0</v>
      </c>
      <c r="I2341" s="32" t="inlineStr">
        <is>
          <t>2/3</t>
        </is>
      </c>
      <c r="J2341" s="12" t="n">
        <v>0.66</v>
      </c>
      <c r="K2341" t="inlineStr">
        <is>
          <t>Premium</t>
        </is>
      </c>
      <c r="L2341" t="inlineStr">
        <is>
          <t>Professional</t>
        </is>
      </c>
      <c r="M2341" t="inlineStr">
        <is>
          <t>Ian Plamondon</t>
        </is>
      </c>
    </row>
    <row r="2342">
      <c r="A2342" s="9" t="inlineStr">
        <is>
          <t>Hannah Lodge</t>
        </is>
      </c>
      <c r="B2342" s="9" t="inlineStr">
        <is>
          <t>2/22/26 - 3/21/26</t>
        </is>
      </c>
      <c r="C2342" s="12" t="n">
        <v>1.12</v>
      </c>
      <c r="D2342" s="12" t="n">
        <v>1.37</v>
      </c>
      <c r="E2342" s="12" t="n">
        <v>0.99</v>
      </c>
      <c r="F2342" s="12" t="n">
        <v>0.88</v>
      </c>
      <c r="G2342" s="12" t="n">
        <v>0.83</v>
      </c>
      <c r="H2342" s="9" t="n">
        <v>3</v>
      </c>
      <c r="I2342" s="32" t="inlineStr">
        <is>
          <t>2/3</t>
        </is>
      </c>
      <c r="J2342" s="12" t="n">
        <v>0.66</v>
      </c>
      <c r="K2342" t="inlineStr">
        <is>
          <t>Premium</t>
        </is>
      </c>
      <c r="L2342" t="inlineStr">
        <is>
          <t>Professional</t>
        </is>
      </c>
      <c r="M2342" t="inlineStr">
        <is>
          <t>Ian Plamondon</t>
        </is>
      </c>
    </row>
    <row r="2343">
      <c r="A2343" s="9" t="inlineStr">
        <is>
          <t>Jose Falconi</t>
        </is>
      </c>
      <c r="B2343" s="9" t="inlineStr">
        <is>
          <t>2/22/26 - 3/21/26</t>
        </is>
      </c>
      <c r="C2343" s="12" t="n">
        <v>1.08</v>
      </c>
      <c r="D2343" s="12" t="n">
        <v>1.01</v>
      </c>
      <c r="E2343" s="12" t="n">
        <v>0.98</v>
      </c>
      <c r="F2343" s="12" t="n">
        <v>0.97</v>
      </c>
      <c r="G2343" s="12" t="n">
        <v>0.52</v>
      </c>
      <c r="H2343" s="9" t="n">
        <v>15</v>
      </c>
      <c r="I2343" s="32" t="inlineStr">
        <is>
          <t>2/3</t>
        </is>
      </c>
      <c r="J2343" s="12" t="n">
        <v>0.66</v>
      </c>
      <c r="K2343" t="inlineStr">
        <is>
          <t>Advanced</t>
        </is>
      </c>
      <c r="L2343" t="inlineStr">
        <is>
          <t>Professional</t>
        </is>
      </c>
      <c r="M2343" t="inlineStr">
        <is>
          <t>Annelies de Groot</t>
        </is>
      </c>
    </row>
    <row r="2344">
      <c r="A2344" s="9" t="inlineStr">
        <is>
          <t>Katherine Clarke</t>
        </is>
      </c>
      <c r="B2344" s="9" t="inlineStr">
        <is>
          <t>2/22/26 - 3/21/26</t>
        </is>
      </c>
      <c r="C2344" s="12" t="n">
        <v>0.8</v>
      </c>
      <c r="D2344" s="12" t="n">
        <v>0.86</v>
      </c>
      <c r="E2344" s="12" t="n">
        <v>1</v>
      </c>
      <c r="F2344" s="12" t="n">
        <v>0.73</v>
      </c>
      <c r="G2344" s="12" t="n">
        <v>0.9</v>
      </c>
      <c r="H2344" s="9" t="n">
        <v>1</v>
      </c>
      <c r="I2344" s="32" t="inlineStr">
        <is>
          <t>2/3</t>
        </is>
      </c>
      <c r="J2344" s="12" t="n">
        <v>0.66</v>
      </c>
      <c r="K2344" t="inlineStr">
        <is>
          <t>Distinguished</t>
        </is>
      </c>
      <c r="L2344" t="inlineStr">
        <is>
          <t>Professional</t>
        </is>
      </c>
      <c r="M2344" t="inlineStr">
        <is>
          <t>Kristin Haase-Alvey</t>
        </is>
      </c>
    </row>
    <row r="2345">
      <c r="A2345" s="9" t="inlineStr">
        <is>
          <t>Matty Burge</t>
        </is>
      </c>
      <c r="B2345" s="9" t="inlineStr">
        <is>
          <t>2/22/26 - 3/21/26</t>
        </is>
      </c>
      <c r="C2345" s="12" t="n">
        <v>0.99</v>
      </c>
      <c r="D2345" s="12" t="n">
        <v>1.11</v>
      </c>
      <c r="E2345" s="12" t="n">
        <v>1</v>
      </c>
      <c r="F2345" s="12" t="n">
        <v>1</v>
      </c>
      <c r="G2345" s="12" t="n">
        <v>0.4</v>
      </c>
      <c r="H2345" s="9" t="n">
        <v>0</v>
      </c>
      <c r="I2345" s="32" t="inlineStr">
        <is>
          <t>2/3</t>
        </is>
      </c>
      <c r="J2345" s="12" t="n">
        <v>0.66</v>
      </c>
      <c r="K2345" t="inlineStr">
        <is>
          <t>Distinguished</t>
        </is>
      </c>
      <c r="L2345" t="inlineStr">
        <is>
          <t>Adjunct</t>
        </is>
      </c>
      <c r="M2345" t="inlineStr">
        <is>
          <t>Annelies de Groot</t>
        </is>
      </c>
    </row>
    <row r="2346">
      <c r="A2346" s="9" t="inlineStr">
        <is>
          <t>Maximilian Tsimerman</t>
        </is>
      </c>
      <c r="B2346" s="9" t="inlineStr">
        <is>
          <t>2/22/26 - 3/21/26</t>
        </is>
      </c>
      <c r="C2346" s="12" t="n">
        <v>1.22</v>
      </c>
      <c r="D2346" s="12" t="n">
        <v>1.11</v>
      </c>
      <c r="E2346" s="12" t="n">
        <v>0.9399999999999999</v>
      </c>
      <c r="F2346" s="12" t="n">
        <v>0.83</v>
      </c>
      <c r="G2346" s="12" t="n">
        <v>0.86</v>
      </c>
      <c r="H2346" s="9" t="n">
        <v>23</v>
      </c>
      <c r="I2346" s="32" t="inlineStr">
        <is>
          <t>2/3</t>
        </is>
      </c>
      <c r="J2346" s="12" t="n">
        <v>0.66</v>
      </c>
      <c r="K2346" t="inlineStr">
        <is>
          <t>Advanced</t>
        </is>
      </c>
      <c r="L2346" t="inlineStr">
        <is>
          <t>Professional</t>
        </is>
      </c>
      <c r="M2346" t="inlineStr">
        <is>
          <t>Ian Plamondon</t>
        </is>
      </c>
    </row>
    <row r="2347">
      <c r="A2347" s="9" t="inlineStr">
        <is>
          <t>Annie Sylvester</t>
        </is>
      </c>
      <c r="B2347" s="9" t="inlineStr">
        <is>
          <t>2/22/26 - 3/21/26</t>
        </is>
      </c>
      <c r="C2347" s="12" t="n">
        <v>0.97</v>
      </c>
      <c r="D2347" s="12" t="n">
        <v>1.01</v>
      </c>
      <c r="E2347" s="12" t="n">
        <v>0.97</v>
      </c>
      <c r="F2347" s="12" t="n">
        <v>0.97</v>
      </c>
      <c r="G2347" s="12" t="n">
        <v>0.22</v>
      </c>
      <c r="H2347" s="9" t="n">
        <v>6</v>
      </c>
      <c r="I2347" s="32" t="inlineStr">
        <is>
          <t>10/15</t>
        </is>
      </c>
      <c r="J2347" s="12" t="n">
        <v>0.6666666666666666</v>
      </c>
      <c r="K2347" t="inlineStr">
        <is>
          <t>Advanced</t>
        </is>
      </c>
      <c r="L2347" t="inlineStr">
        <is>
          <t xml:space="preserve">Professional </t>
        </is>
      </c>
      <c r="M2347" t="inlineStr">
        <is>
          <t>Ela Cross</t>
        </is>
      </c>
    </row>
    <row r="2348">
      <c r="A2348" s="9" t="inlineStr">
        <is>
          <t>Ore Williams</t>
        </is>
      </c>
      <c r="B2348" s="9" t="inlineStr">
        <is>
          <t>2/22/26 - 3/21/26</t>
        </is>
      </c>
      <c r="C2348" s="12" t="n">
        <v>1.39</v>
      </c>
      <c r="D2348" s="12" t="n">
        <v>1.4</v>
      </c>
      <c r="E2348" s="12" t="n">
        <v>0.95</v>
      </c>
      <c r="F2348" s="12" t="n">
        <v>0.98</v>
      </c>
      <c r="G2348" s="12" t="n">
        <v>0.5</v>
      </c>
      <c r="H2348" s="9" t="n">
        <v>5</v>
      </c>
      <c r="I2348" s="32" t="inlineStr">
        <is>
          <t>6/9</t>
        </is>
      </c>
      <c r="J2348" s="12" t="n">
        <v>0.6666666666666666</v>
      </c>
      <c r="K2348" t="inlineStr">
        <is>
          <t>Advanced</t>
        </is>
      </c>
      <c r="L2348" t="inlineStr">
        <is>
          <t>Adjunct-BUC</t>
        </is>
      </c>
      <c r="M2348" t="inlineStr">
        <is>
          <t>Ela Cross</t>
        </is>
      </c>
    </row>
    <row r="2349">
      <c r="A2349" s="9" t="inlineStr">
        <is>
          <t>Autumn Reed</t>
        </is>
      </c>
      <c r="B2349" s="9" t="inlineStr">
        <is>
          <t>2/22/26 - 3/21/26</t>
        </is>
      </c>
      <c r="C2349" s="12" t="n">
        <v>1.03</v>
      </c>
      <c r="D2349" s="12" t="n">
        <v>1.2</v>
      </c>
      <c r="E2349" s="12" t="n">
        <v>0.96</v>
      </c>
      <c r="F2349" s="12" t="n">
        <v>0.59</v>
      </c>
      <c r="G2349" s="12" t="n">
        <v>0.07000000000000001</v>
      </c>
      <c r="H2349" s="9" t="n">
        <v>7</v>
      </c>
      <c r="I2349" s="32" t="inlineStr">
        <is>
          <t>4/6</t>
        </is>
      </c>
      <c r="J2349" s="12" t="n">
        <v>0.67</v>
      </c>
      <c r="K2349" t="inlineStr">
        <is>
          <t>Advanced</t>
        </is>
      </c>
      <c r="L2349" t="inlineStr">
        <is>
          <t>Adjunct- BUC</t>
        </is>
      </c>
      <c r="M2349" t="inlineStr">
        <is>
          <t>Geoff St. Marie</t>
        </is>
      </c>
    </row>
    <row r="2350">
      <c r="A2350" s="9" t="inlineStr">
        <is>
          <t>Kristen Fox</t>
        </is>
      </c>
      <c r="B2350" s="9" t="inlineStr">
        <is>
          <t>2/22/26 - 3/21/26</t>
        </is>
      </c>
      <c r="C2350" s="12" t="n">
        <v>0.99</v>
      </c>
      <c r="D2350" s="12" t="n">
        <v>0.96</v>
      </c>
      <c r="E2350" s="12" t="n">
        <v>0.83</v>
      </c>
      <c r="F2350" s="12" t="n">
        <v>0.93</v>
      </c>
      <c r="G2350" s="12" t="n">
        <v>0.92</v>
      </c>
      <c r="H2350" s="9" t="n">
        <v>8</v>
      </c>
      <c r="I2350" s="32" t="inlineStr">
        <is>
          <t>4/6</t>
        </is>
      </c>
      <c r="J2350" s="12" t="n">
        <v>0.67</v>
      </c>
      <c r="K2350" t="inlineStr">
        <is>
          <t>Advanced</t>
        </is>
      </c>
      <c r="L2350" t="inlineStr">
        <is>
          <t>Professional</t>
        </is>
      </c>
      <c r="M2350" t="inlineStr">
        <is>
          <t>Kristin Haase-Alvey</t>
        </is>
      </c>
    </row>
    <row r="2351">
      <c r="A2351" s="9" t="inlineStr">
        <is>
          <t>Levi Fox</t>
        </is>
      </c>
      <c r="B2351" s="9" t="inlineStr">
        <is>
          <t>2/22/26 - 3/21/26</t>
        </is>
      </c>
      <c r="C2351" s="12" t="n">
        <v>0.75</v>
      </c>
      <c r="D2351" s="12" t="n">
        <v>0.98</v>
      </c>
      <c r="E2351" s="12" t="n">
        <v>0.9399999999999999</v>
      </c>
      <c r="F2351" s="12" t="n">
        <v>0.95</v>
      </c>
      <c r="G2351" s="12" t="n">
        <v>0</v>
      </c>
      <c r="H2351" s="9" t="n">
        <v>3</v>
      </c>
      <c r="I2351" s="32" t="inlineStr">
        <is>
          <t>4/6</t>
        </is>
      </c>
      <c r="J2351" s="12" t="n">
        <v>0.67</v>
      </c>
      <c r="K2351" t="inlineStr">
        <is>
          <t>Premium</t>
        </is>
      </c>
      <c r="L2351" t="inlineStr">
        <is>
          <t>Professional</t>
        </is>
      </c>
      <c r="M2351" t="inlineStr">
        <is>
          <t>Geoff St. Marie</t>
        </is>
      </c>
    </row>
    <row r="2352">
      <c r="A2352" s="9" t="inlineStr">
        <is>
          <t>Liz Garcia</t>
        </is>
      </c>
      <c r="B2352" s="9" t="inlineStr">
        <is>
          <t>2/22/26 - 3/21/26</t>
        </is>
      </c>
      <c r="C2352" s="12" t="n">
        <v>1.08</v>
      </c>
      <c r="D2352" s="12" t="n">
        <v>1.1</v>
      </c>
      <c r="E2352" s="12" t="n">
        <v>0.99</v>
      </c>
      <c r="F2352" s="12" t="n">
        <v>0.99</v>
      </c>
      <c r="G2352" s="12" t="n">
        <v>0.96</v>
      </c>
      <c r="H2352" s="9" t="n">
        <v>9</v>
      </c>
      <c r="I2352" s="32" t="inlineStr">
        <is>
          <t>4/6</t>
        </is>
      </c>
      <c r="J2352" s="12" t="n">
        <v>0.67</v>
      </c>
      <c r="K2352" t="inlineStr">
        <is>
          <t>Advanced</t>
        </is>
      </c>
      <c r="L2352" t="inlineStr">
        <is>
          <t>Professional</t>
        </is>
      </c>
      <c r="M2352" t="inlineStr">
        <is>
          <t>Ian Plamondon</t>
        </is>
      </c>
    </row>
    <row r="2353">
      <c r="A2353" s="9" t="inlineStr">
        <is>
          <t>Johnny Kaplan</t>
        </is>
      </c>
      <c r="B2353" s="9" t="inlineStr">
        <is>
          <t>2/22/26 - 3/21/26</t>
        </is>
      </c>
      <c r="C2353" s="12" t="n">
        <v>0.85</v>
      </c>
      <c r="D2353" s="12" t="n">
        <v>1</v>
      </c>
      <c r="E2353" s="12" t="n">
        <v>1</v>
      </c>
      <c r="F2353" s="12" t="n">
        <v>0.9399999999999999</v>
      </c>
      <c r="G2353" s="12" t="n">
        <v>0</v>
      </c>
      <c r="H2353" s="9" t="n">
        <v>2</v>
      </c>
      <c r="I2353" s="32" t="inlineStr">
        <is>
          <t>5/7</t>
        </is>
      </c>
      <c r="J2353" s="12" t="n">
        <v>0.7142857142857143</v>
      </c>
      <c r="K2353" t="inlineStr">
        <is>
          <t>Advanced</t>
        </is>
      </c>
      <c r="L2353" t="inlineStr">
        <is>
          <t>Adjunct-BUC-TestPrep</t>
        </is>
      </c>
      <c r="M2353" t="inlineStr">
        <is>
          <t>Ian Plamondon</t>
        </is>
      </c>
    </row>
    <row r="2354">
      <c r="A2354" s="9" t="inlineStr">
        <is>
          <t>Judi Abo Hana</t>
        </is>
      </c>
      <c r="B2354" s="9" t="inlineStr">
        <is>
          <t>2/22/26 - 3/21/26</t>
        </is>
      </c>
      <c r="C2354" s="12" t="n">
        <v>1.8</v>
      </c>
      <c r="D2354" s="12" t="n">
        <v>1.69</v>
      </c>
      <c r="E2354" s="12" t="n">
        <v>0.99</v>
      </c>
      <c r="F2354" s="12" t="n">
        <v>0.97</v>
      </c>
      <c r="G2354" s="12" t="n">
        <v>0.74</v>
      </c>
      <c r="H2354" s="9" t="n">
        <v>16</v>
      </c>
      <c r="I2354" s="32" t="inlineStr">
        <is>
          <t>5/7</t>
        </is>
      </c>
      <c r="J2354" s="12" t="n">
        <v>0.7142857142857143</v>
      </c>
      <c r="K2354" t="inlineStr">
        <is>
          <t>Advanced</t>
        </is>
      </c>
      <c r="L2354" t="inlineStr">
        <is>
          <t>Adjunct- BUC</t>
        </is>
      </c>
      <c r="M2354" t="inlineStr">
        <is>
          <t>Geoff St. Marie</t>
        </is>
      </c>
    </row>
    <row r="2355">
      <c r="A2355" s="9" t="inlineStr">
        <is>
          <t>Rebekah Nachian</t>
        </is>
      </c>
      <c r="B2355" s="9" t="inlineStr">
        <is>
          <t>2/22/26 - 3/21/26</t>
        </is>
      </c>
      <c r="C2355" s="12" t="n">
        <v>0.68</v>
      </c>
      <c r="D2355" s="12" t="n">
        <v>1.03</v>
      </c>
      <c r="E2355" s="12" t="n">
        <v>0.99</v>
      </c>
      <c r="F2355" s="12" t="n">
        <v>0.98</v>
      </c>
      <c r="G2355" s="12" t="n">
        <v>0.82</v>
      </c>
      <c r="H2355" s="9" t="n">
        <v>2</v>
      </c>
      <c r="I2355" s="32" t="inlineStr">
        <is>
          <t>5/7</t>
        </is>
      </c>
      <c r="J2355" s="12" t="n">
        <v>0.7142857142857143</v>
      </c>
      <c r="K2355" t="inlineStr">
        <is>
          <t>Advanced</t>
        </is>
      </c>
      <c r="L2355" t="inlineStr">
        <is>
          <t>Professional</t>
        </is>
      </c>
      <c r="M2355" t="inlineStr">
        <is>
          <t>Annelies de Groot</t>
        </is>
      </c>
    </row>
    <row r="2356">
      <c r="A2356" s="9" t="inlineStr">
        <is>
          <t>Brittany Drew</t>
        </is>
      </c>
      <c r="B2356" s="9" t="inlineStr">
        <is>
          <t>2/22/26 - 3/21/26</t>
        </is>
      </c>
      <c r="C2356" s="12" t="n">
        <v>0.93</v>
      </c>
      <c r="D2356" s="12" t="n">
        <v>1</v>
      </c>
      <c r="E2356" s="12" t="n">
        <v>1</v>
      </c>
      <c r="F2356" s="12" t="n">
        <v>1</v>
      </c>
      <c r="G2356" s="12" t="n">
        <v>0.55</v>
      </c>
      <c r="H2356" s="9" t="n">
        <v>1</v>
      </c>
      <c r="I2356" s="32" t="inlineStr">
        <is>
          <t>11/15</t>
        </is>
      </c>
      <c r="J2356" s="12" t="n">
        <v>0.7333333333333333</v>
      </c>
      <c r="K2356" t="inlineStr">
        <is>
          <t>Advanced</t>
        </is>
      </c>
      <c r="L2356" t="inlineStr">
        <is>
          <t xml:space="preserve">Professional </t>
        </is>
      </c>
      <c r="M2356" t="inlineStr">
        <is>
          <t>Ela Cross</t>
        </is>
      </c>
    </row>
    <row r="2357">
      <c r="A2357" s="9" t="inlineStr">
        <is>
          <t>Alexandra Berrios</t>
        </is>
      </c>
      <c r="B2357" s="9" t="inlineStr">
        <is>
          <t>2/22/26 - 3/21/26</t>
        </is>
      </c>
      <c r="C2357" s="12" t="n">
        <v>1.5</v>
      </c>
      <c r="D2357" s="12" t="n">
        <v>1.24</v>
      </c>
      <c r="E2357" s="12" t="n">
        <v>1</v>
      </c>
      <c r="F2357" s="12" t="n">
        <v>0.91</v>
      </c>
      <c r="G2357" s="12" t="n">
        <v>1</v>
      </c>
      <c r="H2357" s="9" t="n">
        <v>10</v>
      </c>
      <c r="I2357" s="32" t="inlineStr">
        <is>
          <t>3/4</t>
        </is>
      </c>
      <c r="J2357" s="12" t="n">
        <v>0.75</v>
      </c>
      <c r="K2357" t="inlineStr">
        <is>
          <t>Advanced</t>
        </is>
      </c>
      <c r="L2357" t="inlineStr">
        <is>
          <t>Adjunct</t>
        </is>
      </c>
      <c r="M2357" t="inlineStr">
        <is>
          <t>Kristin Haase-Alvey</t>
        </is>
      </c>
    </row>
    <row r="2358">
      <c r="A2358" s="9" t="inlineStr">
        <is>
          <t>Ben Taylor</t>
        </is>
      </c>
      <c r="B2358" s="9" t="inlineStr">
        <is>
          <t>2/22/26 - 3/21/26</t>
        </is>
      </c>
      <c r="C2358" s="12" t="n">
        <v>0.57</v>
      </c>
      <c r="D2358" s="12" t="n">
        <v>1.4</v>
      </c>
      <c r="E2358" s="12" t="n">
        <v>1</v>
      </c>
      <c r="F2358" s="12" t="n">
        <v>1</v>
      </c>
      <c r="G2358" s="12" t="n">
        <v>1</v>
      </c>
      <c r="H2358" s="9" t="n">
        <v>0</v>
      </c>
      <c r="I2358" s="32" t="inlineStr">
        <is>
          <t>3/4</t>
        </is>
      </c>
      <c r="J2358" s="12" t="n">
        <v>0.75</v>
      </c>
      <c r="K2358" t="inlineStr">
        <is>
          <t>Premium</t>
        </is>
      </c>
      <c r="L2358" t="inlineStr">
        <is>
          <t>Professional</t>
        </is>
      </c>
      <c r="M2358" t="inlineStr">
        <is>
          <t>Kristin Haase-Alvey</t>
        </is>
      </c>
    </row>
    <row r="2359">
      <c r="A2359" s="9" t="inlineStr">
        <is>
          <t>Carina Shanahan</t>
        </is>
      </c>
      <c r="B2359" s="9" t="inlineStr">
        <is>
          <t>2/22/26 - 3/21/26</t>
        </is>
      </c>
      <c r="C2359" s="12" t="n">
        <v>1.23</v>
      </c>
      <c r="D2359" s="12" t="n">
        <v>1.04</v>
      </c>
      <c r="E2359" s="12" t="n">
        <v>0.99</v>
      </c>
      <c r="F2359" s="12" t="n">
        <v>0.86</v>
      </c>
      <c r="G2359" s="12" t="n">
        <v>0.63</v>
      </c>
      <c r="H2359" s="9" t="n">
        <v>13</v>
      </c>
      <c r="I2359" s="32" t="inlineStr">
        <is>
          <t>3/4</t>
        </is>
      </c>
      <c r="J2359" s="12" t="n">
        <v>0.75</v>
      </c>
      <c r="K2359" t="inlineStr">
        <is>
          <t>Advanced</t>
        </is>
      </c>
      <c r="L2359" t="inlineStr">
        <is>
          <t>Professional</t>
        </is>
      </c>
      <c r="M2359" t="inlineStr">
        <is>
          <t>Kristin Haase-Alvey</t>
        </is>
      </c>
    </row>
    <row r="2360">
      <c r="A2360" s="9" t="inlineStr">
        <is>
          <t>Chris Prouty</t>
        </is>
      </c>
      <c r="B2360" s="9" t="inlineStr">
        <is>
          <t>2/22/26 - 3/21/26</t>
        </is>
      </c>
      <c r="C2360" s="12" t="n">
        <v>0.83</v>
      </c>
      <c r="D2360" s="12" t="n">
        <v>1.15</v>
      </c>
      <c r="E2360" s="12" t="n">
        <v>0.98</v>
      </c>
      <c r="F2360" s="12" t="n">
        <v>1</v>
      </c>
      <c r="G2360" s="12" t="n">
        <v>0.92</v>
      </c>
      <c r="H2360" s="9" t="n">
        <v>1</v>
      </c>
      <c r="I2360" s="32" t="inlineStr">
        <is>
          <t>3/4</t>
        </is>
      </c>
      <c r="J2360" s="12" t="n">
        <v>0.75</v>
      </c>
      <c r="K2360" t="inlineStr">
        <is>
          <t>Premium</t>
        </is>
      </c>
      <c r="L2360" t="inlineStr">
        <is>
          <t>Adjunct</t>
        </is>
      </c>
      <c r="M2360" t="inlineStr">
        <is>
          <t>Annelies de Groot</t>
        </is>
      </c>
    </row>
    <row r="2361">
      <c r="A2361" s="9" t="inlineStr">
        <is>
          <t>James Falconer</t>
        </is>
      </c>
      <c r="B2361" s="9" t="inlineStr">
        <is>
          <t>2/22/26 - 3/21/26</t>
        </is>
      </c>
      <c r="C2361" s="12" t="n">
        <v>1.1</v>
      </c>
      <c r="D2361" s="12" t="n">
        <v>1.13</v>
      </c>
      <c r="E2361" s="12" t="n">
        <v>0.99</v>
      </c>
      <c r="F2361" s="12" t="n">
        <v>0.95</v>
      </c>
      <c r="G2361" s="12" t="n">
        <v>0.97</v>
      </c>
      <c r="H2361" s="9" t="n">
        <v>24</v>
      </c>
      <c r="I2361" s="32" t="inlineStr">
        <is>
          <t>3/4</t>
        </is>
      </c>
      <c r="J2361" s="12" t="n">
        <v>0.75</v>
      </c>
      <c r="K2361" t="inlineStr">
        <is>
          <t>Advanced</t>
        </is>
      </c>
      <c r="L2361" t="inlineStr">
        <is>
          <t>Professional</t>
        </is>
      </c>
      <c r="M2361" t="inlineStr">
        <is>
          <t>Ian Plamondon</t>
        </is>
      </c>
    </row>
    <row r="2362">
      <c r="A2362" s="9" t="inlineStr">
        <is>
          <t>Kailot Harris</t>
        </is>
      </c>
      <c r="B2362" s="9" t="inlineStr">
        <is>
          <t>2/22/26 - 3/21/26</t>
        </is>
      </c>
      <c r="C2362" s="12" t="n">
        <v>1.2</v>
      </c>
      <c r="D2362" s="12" t="n">
        <v>1.22</v>
      </c>
      <c r="E2362" s="12" t="n">
        <v>1</v>
      </c>
      <c r="F2362" s="12" t="n">
        <v>1</v>
      </c>
      <c r="G2362" s="12" t="n">
        <v>0.97</v>
      </c>
      <c r="H2362" s="9" t="n">
        <v>14</v>
      </c>
      <c r="I2362" s="32" t="inlineStr">
        <is>
          <t>3/4</t>
        </is>
      </c>
      <c r="J2362" s="12" t="n">
        <v>0.75</v>
      </c>
      <c r="K2362" t="inlineStr">
        <is>
          <t>Advanced</t>
        </is>
      </c>
      <c r="L2362" t="inlineStr">
        <is>
          <t>Professional</t>
        </is>
      </c>
      <c r="M2362" t="inlineStr">
        <is>
          <t>Kristin Haase-Alvey</t>
        </is>
      </c>
    </row>
    <row r="2363">
      <c r="A2363" s="9" t="inlineStr">
        <is>
          <t>Miki Cornwell</t>
        </is>
      </c>
      <c r="B2363" s="9" t="inlineStr">
        <is>
          <t>2/22/26 - 3/21/26</t>
        </is>
      </c>
      <c r="C2363" s="12" t="n">
        <v>1.46</v>
      </c>
      <c r="D2363" s="12" t="n">
        <v>1.32</v>
      </c>
      <c r="E2363" s="12" t="n">
        <v>1</v>
      </c>
      <c r="F2363" s="12" t="n">
        <v>0.88</v>
      </c>
      <c r="G2363" s="12" t="n">
        <v>0.91</v>
      </c>
      <c r="H2363" s="9" t="n">
        <v>13</v>
      </c>
      <c r="I2363" s="32" t="inlineStr">
        <is>
          <t>3/4</t>
        </is>
      </c>
      <c r="J2363" s="12" t="n">
        <v>0.75</v>
      </c>
      <c r="K2363" t="inlineStr">
        <is>
          <t>Advanced</t>
        </is>
      </c>
      <c r="L2363" t="inlineStr">
        <is>
          <t>Adjunct</t>
        </is>
      </c>
      <c r="M2363" t="inlineStr">
        <is>
          <t>Ela Cross</t>
        </is>
      </c>
    </row>
    <row r="2364">
      <c r="A2364" s="9" t="inlineStr">
        <is>
          <t>Scott Holdcraft</t>
        </is>
      </c>
      <c r="B2364" s="9" t="inlineStr">
        <is>
          <t>2/22/26 - 3/21/26</t>
        </is>
      </c>
      <c r="C2364" s="12" t="n">
        <v>0.9</v>
      </c>
      <c r="D2364" s="12" t="n">
        <v>1.04</v>
      </c>
      <c r="E2364" s="12" t="n">
        <v>0.9399999999999999</v>
      </c>
      <c r="F2364" s="12" t="n">
        <v>1</v>
      </c>
      <c r="G2364" s="12" t="n">
        <v>0.33</v>
      </c>
      <c r="H2364" s="9" t="n">
        <v>10</v>
      </c>
      <c r="I2364" s="32" t="inlineStr">
        <is>
          <t>3/4</t>
        </is>
      </c>
      <c r="J2364" s="12" t="n">
        <v>0.75</v>
      </c>
      <c r="K2364" t="inlineStr">
        <is>
          <t>Advanced</t>
        </is>
      </c>
      <c r="L2364" t="inlineStr">
        <is>
          <t>Professional</t>
        </is>
      </c>
      <c r="M2364" t="inlineStr">
        <is>
          <t>Ela Cross</t>
        </is>
      </c>
    </row>
    <row r="2365">
      <c r="A2365" s="9" t="inlineStr">
        <is>
          <t>Valdenis Iancu</t>
        </is>
      </c>
      <c r="B2365" s="9" t="inlineStr">
        <is>
          <t>2/22/26 - 3/21/26</t>
        </is>
      </c>
      <c r="C2365" s="12" t="n">
        <v>0.55</v>
      </c>
      <c r="D2365" s="12" t="n">
        <v>0.9399999999999999</v>
      </c>
      <c r="E2365" s="12" t="n">
        <v>0.98</v>
      </c>
      <c r="F2365" s="12" t="n">
        <v>0.98</v>
      </c>
      <c r="G2365" s="12" t="n">
        <v>0.9399999999999999</v>
      </c>
      <c r="H2365" s="9" t="n">
        <v>0</v>
      </c>
      <c r="I2365" s="32" t="inlineStr">
        <is>
          <t>3/4</t>
        </is>
      </c>
      <c r="J2365" s="12" t="n">
        <v>0.75</v>
      </c>
      <c r="K2365" t="inlineStr">
        <is>
          <t>Premium</t>
        </is>
      </c>
      <c r="L2365" t="inlineStr">
        <is>
          <t>Professional</t>
        </is>
      </c>
      <c r="M2365" t="inlineStr">
        <is>
          <t>Ian Plamondon</t>
        </is>
      </c>
    </row>
    <row r="2366">
      <c r="A2366" s="9" t="inlineStr">
        <is>
          <t>Jamaul Pemberton</t>
        </is>
      </c>
      <c r="B2366" s="9" t="inlineStr">
        <is>
          <t>2/22/26 - 3/21/26</t>
        </is>
      </c>
      <c r="C2366" s="12" t="n">
        <v>0.9</v>
      </c>
      <c r="D2366" s="12" t="n">
        <v>1.01</v>
      </c>
      <c r="E2366" s="12" t="n">
        <v>1</v>
      </c>
      <c r="F2366" s="12" t="n">
        <v>0.99</v>
      </c>
      <c r="G2366" s="12" t="n">
        <v>0.91</v>
      </c>
      <c r="H2366" s="9" t="n">
        <v>9</v>
      </c>
      <c r="I2366" s="32" t="inlineStr">
        <is>
          <t>7/9</t>
        </is>
      </c>
      <c r="J2366" s="12" t="n">
        <v>0.7777777777777778</v>
      </c>
      <c r="K2366" t="inlineStr">
        <is>
          <t>Premium</t>
        </is>
      </c>
      <c r="L2366" t="inlineStr">
        <is>
          <t>Professional</t>
        </is>
      </c>
      <c r="M2366" t="inlineStr">
        <is>
          <t>Ian Plamondon</t>
        </is>
      </c>
    </row>
    <row r="2367">
      <c r="A2367" s="9" t="inlineStr">
        <is>
          <t>David Alcantara</t>
        </is>
      </c>
      <c r="B2367" s="9" t="inlineStr">
        <is>
          <t>2/22/26 - 3/21/26</t>
        </is>
      </c>
      <c r="C2367" s="12" t="n">
        <v>0.9399999999999999</v>
      </c>
      <c r="D2367" s="12" t="n">
        <v>0.9</v>
      </c>
      <c r="E2367" s="12" t="n">
        <v>0.99</v>
      </c>
      <c r="F2367" s="12" t="n">
        <v>0.97</v>
      </c>
      <c r="G2367" s="12" t="n">
        <v>0.5600000000000001</v>
      </c>
      <c r="H2367" s="9" t="n">
        <v>0</v>
      </c>
      <c r="I2367" s="32" t="inlineStr">
        <is>
          <t>4/5</t>
        </is>
      </c>
      <c r="J2367" s="12" t="n">
        <v>0.8</v>
      </c>
      <c r="K2367" t="inlineStr">
        <is>
          <t>Distinguished</t>
        </is>
      </c>
      <c r="L2367" t="inlineStr">
        <is>
          <t>Professional</t>
        </is>
      </c>
      <c r="M2367" t="inlineStr">
        <is>
          <t>Ela Cross</t>
        </is>
      </c>
    </row>
    <row r="2368">
      <c r="A2368" s="9" t="inlineStr">
        <is>
          <t>Jessica Wall</t>
        </is>
      </c>
      <c r="B2368" s="9" t="inlineStr">
        <is>
          <t>2/22/26 - 3/21/26</t>
        </is>
      </c>
      <c r="C2368" s="12" t="n">
        <v>1.17</v>
      </c>
      <c r="D2368" s="12" t="n">
        <v>1.07</v>
      </c>
      <c r="E2368" s="12" t="n">
        <v>0.99</v>
      </c>
      <c r="F2368" s="12" t="n">
        <v>0.93</v>
      </c>
      <c r="G2368" s="12" t="n">
        <v>1</v>
      </c>
      <c r="H2368" s="9" t="n">
        <v>10</v>
      </c>
      <c r="I2368" s="32" t="inlineStr">
        <is>
          <t>4/5</t>
        </is>
      </c>
      <c r="J2368" s="12" t="n">
        <v>0.8</v>
      </c>
      <c r="K2368" t="inlineStr">
        <is>
          <t>Advanced</t>
        </is>
      </c>
      <c r="L2368" t="inlineStr">
        <is>
          <t>Professional</t>
        </is>
      </c>
      <c r="M2368" t="inlineStr">
        <is>
          <t>Kristin Haase-Alvey</t>
        </is>
      </c>
    </row>
    <row r="2369">
      <c r="A2369" s="9" t="inlineStr">
        <is>
          <t>Juan Nunez</t>
        </is>
      </c>
      <c r="B2369" s="9" t="inlineStr">
        <is>
          <t>2/22/26 - 3/21/26</t>
        </is>
      </c>
      <c r="C2369" s="12" t="n">
        <v>0.93</v>
      </c>
      <c r="D2369" s="12" t="n">
        <v>1.11</v>
      </c>
      <c r="E2369" s="12" t="n">
        <v>1</v>
      </c>
      <c r="F2369" s="12" t="n">
        <v>1</v>
      </c>
      <c r="G2369" s="12" t="n">
        <v>0.88</v>
      </c>
      <c r="H2369" s="9" t="n">
        <v>1</v>
      </c>
      <c r="I2369" s="32" t="inlineStr">
        <is>
          <t>4/5</t>
        </is>
      </c>
      <c r="J2369" s="12" t="n">
        <v>0.8</v>
      </c>
      <c r="K2369" t="inlineStr">
        <is>
          <t>Advanced</t>
        </is>
      </c>
      <c r="L2369" t="inlineStr">
        <is>
          <t>Professional</t>
        </is>
      </c>
      <c r="M2369" t="inlineStr">
        <is>
          <t>Kristin Haase-Alvey</t>
        </is>
      </c>
    </row>
    <row r="2370">
      <c r="A2370" s="9" t="inlineStr">
        <is>
          <t>Taryn Parks</t>
        </is>
      </c>
      <c r="B2370" s="9" t="inlineStr">
        <is>
          <t>2/22/26 - 3/21/26</t>
        </is>
      </c>
      <c r="C2370" s="12" t="n">
        <v>1.08</v>
      </c>
      <c r="D2370" s="12" t="n">
        <v>0.99</v>
      </c>
      <c r="E2370" s="12" t="n">
        <v>1</v>
      </c>
      <c r="F2370" s="12" t="n">
        <v>1</v>
      </c>
      <c r="G2370" s="12" t="n">
        <v>0</v>
      </c>
      <c r="H2370" s="9" t="n">
        <v>4</v>
      </c>
      <c r="I2370" s="32" t="inlineStr">
        <is>
          <t>4/5</t>
        </is>
      </c>
      <c r="J2370" s="12" t="n">
        <v>0.8</v>
      </c>
      <c r="K2370" t="inlineStr">
        <is>
          <t>Advanced</t>
        </is>
      </c>
      <c r="L2370" t="inlineStr">
        <is>
          <t>Adjunct-BUC</t>
        </is>
      </c>
      <c r="M2370" t="inlineStr">
        <is>
          <t>Annelies de Groot</t>
        </is>
      </c>
    </row>
    <row r="2371">
      <c r="A2371" s="9" t="inlineStr">
        <is>
          <t>Brock Dilley</t>
        </is>
      </c>
      <c r="B2371" s="9" t="inlineStr">
        <is>
          <t>2/22/26 - 3/21/26</t>
        </is>
      </c>
      <c r="C2371" s="12" t="n">
        <v>1.11</v>
      </c>
      <c r="D2371" s="12" t="n">
        <v>1.03</v>
      </c>
      <c r="E2371" s="12" t="n">
        <v>0.99</v>
      </c>
      <c r="F2371" s="12" t="n">
        <v>0.98</v>
      </c>
      <c r="G2371" s="12" t="n">
        <v>0.89</v>
      </c>
      <c r="H2371" s="9" t="n">
        <v>7</v>
      </c>
      <c r="I2371" s="32" t="inlineStr">
        <is>
          <t>8/10</t>
        </is>
      </c>
      <c r="J2371" s="12" t="n">
        <v>0.8</v>
      </c>
      <c r="K2371" t="inlineStr">
        <is>
          <t>Advanced</t>
        </is>
      </c>
      <c r="L2371" t="inlineStr">
        <is>
          <t>Professional</t>
        </is>
      </c>
      <c r="M2371" t="inlineStr">
        <is>
          <t>Annelies de Groot</t>
        </is>
      </c>
    </row>
    <row r="2372">
      <c r="A2372" s="9" t="inlineStr">
        <is>
          <t>Mariah Lutz</t>
        </is>
      </c>
      <c r="B2372" s="9" t="inlineStr">
        <is>
          <t>2/22/26 - 3/21/26</t>
        </is>
      </c>
      <c r="C2372" s="12" t="n">
        <v>1.03</v>
      </c>
      <c r="D2372" s="12" t="n">
        <v>1.3</v>
      </c>
      <c r="E2372" s="12" t="n">
        <v>1</v>
      </c>
      <c r="F2372" s="12" t="n">
        <v>1</v>
      </c>
      <c r="G2372" s="12" t="n">
        <v>0.33</v>
      </c>
      <c r="H2372" s="9" t="n">
        <v>4</v>
      </c>
      <c r="I2372" s="32" t="inlineStr">
        <is>
          <t>8/10</t>
        </is>
      </c>
      <c r="J2372" s="12" t="n">
        <v>0.8</v>
      </c>
      <c r="K2372" t="inlineStr">
        <is>
          <t>Advanced</t>
        </is>
      </c>
      <c r="L2372" t="inlineStr">
        <is>
          <t xml:space="preserve">Professional </t>
        </is>
      </c>
      <c r="M2372" t="inlineStr">
        <is>
          <t>Ian Plamondon</t>
        </is>
      </c>
    </row>
    <row r="2373">
      <c r="A2373" s="9" t="inlineStr">
        <is>
          <t>Amber Maldonado</t>
        </is>
      </c>
      <c r="B2373" s="9" t="inlineStr">
        <is>
          <t>2/22/26 - 3/21/26</t>
        </is>
      </c>
      <c r="C2373" s="12" t="n">
        <v>0.43</v>
      </c>
      <c r="D2373" s="12" t="n">
        <v>0.74</v>
      </c>
      <c r="E2373" s="12" t="n">
        <v>0.87</v>
      </c>
      <c r="F2373" s="12" t="n">
        <v>0.8100000000000001</v>
      </c>
      <c r="G2373" s="12" t="n">
        <v>1</v>
      </c>
      <c r="H2373" s="9" t="n">
        <v>0</v>
      </c>
      <c r="I2373" s="32" t="inlineStr">
        <is>
          <t>10/12</t>
        </is>
      </c>
      <c r="J2373" s="12" t="n">
        <v>0.8333333333333334</v>
      </c>
      <c r="K2373" t="inlineStr">
        <is>
          <t>Advanced</t>
        </is>
      </c>
      <c r="L2373" t="inlineStr">
        <is>
          <t>Professional</t>
        </is>
      </c>
      <c r="M2373" t="inlineStr">
        <is>
          <t>Annelies de Groot</t>
        </is>
      </c>
    </row>
    <row r="2374">
      <c r="A2374" s="9" t="inlineStr">
        <is>
          <t>Raymond Serrano</t>
        </is>
      </c>
      <c r="B2374" s="9" t="inlineStr">
        <is>
          <t>2/22/26 - 3/21/26</t>
        </is>
      </c>
      <c r="C2374" s="12" t="n">
        <v>0.9399999999999999</v>
      </c>
      <c r="D2374" s="12" t="n">
        <v>1.02</v>
      </c>
      <c r="E2374" s="12" t="n">
        <v>0.96</v>
      </c>
      <c r="F2374" s="12" t="n">
        <v>1</v>
      </c>
      <c r="G2374" s="12" t="n">
        <v>0.95</v>
      </c>
      <c r="H2374" s="9" t="n">
        <v>6</v>
      </c>
      <c r="I2374" s="32" t="inlineStr">
        <is>
          <t>5/6</t>
        </is>
      </c>
      <c r="J2374" s="12" t="n">
        <v>0.8333333333333334</v>
      </c>
      <c r="K2374" t="inlineStr">
        <is>
          <t>Advanced</t>
        </is>
      </c>
      <c r="L2374" t="inlineStr">
        <is>
          <t>Professional</t>
        </is>
      </c>
      <c r="M2374" t="inlineStr">
        <is>
          <t>Kristin Haase-Alvey</t>
        </is>
      </c>
    </row>
    <row r="2375">
      <c r="A2375" s="9" t="inlineStr">
        <is>
          <t>Andrew League</t>
        </is>
      </c>
      <c r="B2375" s="9" t="inlineStr">
        <is>
          <t>2/22/26 - 3/21/26</t>
        </is>
      </c>
      <c r="C2375" s="12" t="n">
        <v>0.62</v>
      </c>
      <c r="D2375" s="12" t="n">
        <v>0.96</v>
      </c>
      <c r="E2375" s="12" t="n">
        <v>1</v>
      </c>
      <c r="F2375" s="12" t="n">
        <v>0.98</v>
      </c>
      <c r="G2375" s="12" t="n">
        <v>0</v>
      </c>
      <c r="H2375" s="9" t="n">
        <v>1</v>
      </c>
      <c r="I2375" s="32" t="inlineStr">
        <is>
          <t>12/13</t>
        </is>
      </c>
      <c r="J2375" s="12" t="n">
        <v>0.9230769230769231</v>
      </c>
      <c r="K2375" t="inlineStr">
        <is>
          <t>Advanced</t>
        </is>
      </c>
      <c r="L2375" t="inlineStr">
        <is>
          <t>Professional</t>
        </is>
      </c>
      <c r="M2375" t="inlineStr">
        <is>
          <t>Ian Plamondon</t>
        </is>
      </c>
    </row>
    <row r="2376">
      <c r="A2376" s="9" t="inlineStr">
        <is>
          <t>Alex Small</t>
        </is>
      </c>
      <c r="B2376" s="9" t="inlineStr">
        <is>
          <t>2/22/26 - 3/21/26</t>
        </is>
      </c>
      <c r="C2376" s="12" t="n">
        <v>1.33</v>
      </c>
      <c r="D2376" s="12" t="n">
        <v>1.29</v>
      </c>
      <c r="E2376" s="12" t="n">
        <v>1</v>
      </c>
      <c r="F2376" s="12" t="n">
        <v>1</v>
      </c>
      <c r="G2376" s="12" t="n">
        <v>0.57</v>
      </c>
      <c r="H2376" s="9" t="n">
        <v>2</v>
      </c>
      <c r="I2376" s="32" t="inlineStr">
        <is>
          <t>1/1</t>
        </is>
      </c>
      <c r="J2376" s="12" t="n">
        <v>1</v>
      </c>
      <c r="K2376" t="inlineStr">
        <is>
          <t>Premium</t>
        </is>
      </c>
      <c r="L2376" t="inlineStr">
        <is>
          <t>Adjunct</t>
        </is>
      </c>
      <c r="M2376" t="inlineStr">
        <is>
          <t>Ela Cross</t>
        </is>
      </c>
    </row>
    <row r="2377">
      <c r="A2377" s="9" t="inlineStr">
        <is>
          <t>Brenna Hubnik</t>
        </is>
      </c>
      <c r="B2377" s="9" t="inlineStr">
        <is>
          <t>2/22/26 - 3/21/26</t>
        </is>
      </c>
      <c r="C2377" s="12" t="n">
        <v>0.98</v>
      </c>
      <c r="D2377" s="12" t="n">
        <v>1.16</v>
      </c>
      <c r="E2377" s="12" t="n">
        <v>1</v>
      </c>
      <c r="F2377" s="12" t="n">
        <v>1</v>
      </c>
      <c r="G2377" s="12" t="n">
        <v>0.8</v>
      </c>
      <c r="H2377" s="9" t="n">
        <v>8</v>
      </c>
      <c r="I2377" s="32" t="inlineStr">
        <is>
          <t>1/1</t>
        </is>
      </c>
      <c r="J2377" s="12" t="n">
        <v>1</v>
      </c>
      <c r="K2377" t="inlineStr">
        <is>
          <t>Advanced</t>
        </is>
      </c>
      <c r="L2377" t="inlineStr">
        <is>
          <t>Adjunct</t>
        </is>
      </c>
      <c r="M2377" t="inlineStr">
        <is>
          <t>Annelies de Groot</t>
        </is>
      </c>
    </row>
    <row r="2378">
      <c r="A2378" s="9" t="inlineStr">
        <is>
          <t>Cait White</t>
        </is>
      </c>
      <c r="B2378" s="9" t="inlineStr">
        <is>
          <t>2/22/26 - 3/21/26</t>
        </is>
      </c>
      <c r="C2378" s="12" t="n">
        <v>0.51</v>
      </c>
      <c r="D2378" s="12" t="n">
        <v>1.12</v>
      </c>
      <c r="E2378" s="12" t="n">
        <v>1</v>
      </c>
      <c r="F2378" s="12" t="n">
        <v>1</v>
      </c>
      <c r="G2378" s="12" t="n">
        <v>0.33</v>
      </c>
      <c r="H2378" s="9" t="n">
        <v>1</v>
      </c>
      <c r="I2378" s="32" t="inlineStr">
        <is>
          <t>1/1</t>
        </is>
      </c>
      <c r="J2378" s="12" t="n">
        <v>1</v>
      </c>
      <c r="K2378" t="inlineStr">
        <is>
          <t>Premium</t>
        </is>
      </c>
      <c r="L2378" t="inlineStr">
        <is>
          <t>Adjunct</t>
        </is>
      </c>
      <c r="M2378" t="inlineStr">
        <is>
          <t>Ela Cross</t>
        </is>
      </c>
    </row>
    <row r="2379">
      <c r="A2379" s="9" t="inlineStr">
        <is>
          <t>Camryn To</t>
        </is>
      </c>
      <c r="B2379" s="9" t="inlineStr">
        <is>
          <t>2/22/26 - 3/21/26</t>
        </is>
      </c>
      <c r="C2379" s="12" t="n">
        <v>1.04</v>
      </c>
      <c r="D2379" s="12" t="n">
        <v>1.12</v>
      </c>
      <c r="E2379" s="12" t="n">
        <v>0.98</v>
      </c>
      <c r="F2379" s="12" t="n">
        <v>1</v>
      </c>
      <c r="G2379" s="12" t="n">
        <v>0.9</v>
      </c>
      <c r="H2379" s="9" t="n">
        <v>2</v>
      </c>
      <c r="I2379" s="32" t="inlineStr">
        <is>
          <t>1/1</t>
        </is>
      </c>
      <c r="J2379" s="12" t="n">
        <v>1</v>
      </c>
      <c r="K2379" t="inlineStr">
        <is>
          <t>Distinguished</t>
        </is>
      </c>
      <c r="L2379" t="inlineStr">
        <is>
          <t>Adjunct</t>
        </is>
      </c>
      <c r="M2379" t="inlineStr">
        <is>
          <t>Kristin Haase-Alvey</t>
        </is>
      </c>
    </row>
    <row r="2380">
      <c r="A2380" s="9" t="inlineStr">
        <is>
          <t>Casey Young</t>
        </is>
      </c>
      <c r="B2380" s="9" t="inlineStr">
        <is>
          <t>2/22/26 - 3/21/26</t>
        </is>
      </c>
      <c r="C2380" s="12" t="n">
        <v>0.98</v>
      </c>
      <c r="D2380" s="12" t="n">
        <v>1.03</v>
      </c>
      <c r="E2380" s="12" t="n">
        <v>0.99</v>
      </c>
      <c r="F2380" s="12" t="n">
        <v>0.98</v>
      </c>
      <c r="G2380" s="12" t="n">
        <v>0.88</v>
      </c>
      <c r="H2380" s="9" t="n">
        <v>13</v>
      </c>
      <c r="I2380" s="32" t="inlineStr">
        <is>
          <t>1/1</t>
        </is>
      </c>
      <c r="J2380" s="12" t="n">
        <v>1</v>
      </c>
      <c r="K2380" t="inlineStr">
        <is>
          <t>Advanced</t>
        </is>
      </c>
      <c r="L2380" t="inlineStr">
        <is>
          <t>Professional</t>
        </is>
      </c>
      <c r="M2380" t="inlineStr">
        <is>
          <t>Ela Cross</t>
        </is>
      </c>
    </row>
    <row r="2381">
      <c r="A2381" s="9" t="inlineStr">
        <is>
          <t>Charlie Anderson</t>
        </is>
      </c>
      <c r="B2381" s="9" t="inlineStr">
        <is>
          <t>2/22/26 - 3/21/26</t>
        </is>
      </c>
      <c r="C2381" s="12" t="n">
        <v>1.46</v>
      </c>
      <c r="D2381" s="12" t="n">
        <v>1.2</v>
      </c>
      <c r="E2381" s="12" t="n">
        <v>0.99</v>
      </c>
      <c r="F2381" s="12" t="n">
        <v>0.97</v>
      </c>
      <c r="G2381" s="12" t="n">
        <v>0.89</v>
      </c>
      <c r="H2381" s="9" t="n">
        <v>19</v>
      </c>
      <c r="I2381" s="32" t="inlineStr">
        <is>
          <t>1/1</t>
        </is>
      </c>
      <c r="J2381" s="12" t="n">
        <v>1</v>
      </c>
      <c r="K2381" t="inlineStr">
        <is>
          <t>Advanced</t>
        </is>
      </c>
      <c r="L2381" t="inlineStr">
        <is>
          <t>Professional</t>
        </is>
      </c>
      <c r="M2381" t="inlineStr">
        <is>
          <t>Annelies de Groot</t>
        </is>
      </c>
    </row>
    <row r="2382">
      <c r="A2382" s="9" t="inlineStr">
        <is>
          <t>Christian Collins</t>
        </is>
      </c>
      <c r="B2382" s="9" t="inlineStr">
        <is>
          <t>2/22/26 - 3/21/26</t>
        </is>
      </c>
      <c r="C2382" s="12" t="n">
        <v>1.03</v>
      </c>
      <c r="D2382" s="12" t="n">
        <v>1.3</v>
      </c>
      <c r="E2382" s="12" t="n">
        <v>1</v>
      </c>
      <c r="F2382" s="12" t="n">
        <v>1</v>
      </c>
      <c r="G2382" s="12" t="n">
        <v>0.96</v>
      </c>
      <c r="H2382" s="9" t="n">
        <v>0</v>
      </c>
      <c r="I2382" s="32" t="inlineStr">
        <is>
          <t>1/1</t>
        </is>
      </c>
      <c r="J2382" s="12" t="n">
        <v>1</v>
      </c>
      <c r="K2382" t="inlineStr">
        <is>
          <t>Premium</t>
        </is>
      </c>
      <c r="L2382" t="inlineStr">
        <is>
          <t>Professional</t>
        </is>
      </c>
      <c r="M2382" t="inlineStr">
        <is>
          <t>Ian Plamondon</t>
        </is>
      </c>
    </row>
    <row r="2383">
      <c r="A2383" s="9" t="inlineStr">
        <is>
          <t>Cristina Ascenzi Pettenuzzo</t>
        </is>
      </c>
      <c r="B2383" s="9" t="inlineStr">
        <is>
          <t>2/22/26 - 3/21/26</t>
        </is>
      </c>
      <c r="C2383" s="12" t="n">
        <v>1.03</v>
      </c>
      <c r="D2383" s="12" t="n">
        <v>0.98</v>
      </c>
      <c r="E2383" s="12" t="n">
        <v>0.98</v>
      </c>
      <c r="F2383" s="12" t="n">
        <v>0.99</v>
      </c>
      <c r="G2383" s="12" t="n">
        <v>0.92</v>
      </c>
      <c r="H2383" s="9" t="n">
        <v>8</v>
      </c>
      <c r="I2383" s="32" t="inlineStr">
        <is>
          <t>1/1</t>
        </is>
      </c>
      <c r="J2383" s="12" t="n">
        <v>1</v>
      </c>
      <c r="K2383" t="inlineStr">
        <is>
          <t>Advanced</t>
        </is>
      </c>
      <c r="L2383" t="inlineStr">
        <is>
          <t>Professional</t>
        </is>
      </c>
      <c r="M2383" t="inlineStr">
        <is>
          <t>Ian Plamondon</t>
        </is>
      </c>
    </row>
    <row r="2384">
      <c r="A2384" s="9" t="inlineStr">
        <is>
          <t>Gigi Glover</t>
        </is>
      </c>
      <c r="B2384" s="9" t="inlineStr">
        <is>
          <t>2/22/26 - 3/21/26</t>
        </is>
      </c>
      <c r="C2384" s="12" t="n">
        <v>1.03</v>
      </c>
      <c r="D2384" s="12" t="n">
        <v>1.13</v>
      </c>
      <c r="E2384" s="12" t="n">
        <v>0.96</v>
      </c>
      <c r="F2384" s="12" t="n">
        <v>0.95</v>
      </c>
      <c r="G2384" s="12" t="n">
        <v>0.53</v>
      </c>
      <c r="H2384" s="9" t="n">
        <v>0</v>
      </c>
      <c r="I2384" s="32" t="inlineStr">
        <is>
          <t>1/1</t>
        </is>
      </c>
      <c r="J2384" s="12" t="n">
        <v>1</v>
      </c>
      <c r="K2384" t="inlineStr">
        <is>
          <t>Distinguished</t>
        </is>
      </c>
      <c r="L2384" t="inlineStr">
        <is>
          <t>Professional</t>
        </is>
      </c>
      <c r="M2384" t="inlineStr">
        <is>
          <t>Ian Plamondon</t>
        </is>
      </c>
    </row>
    <row r="2385">
      <c r="A2385" s="9" t="inlineStr">
        <is>
          <t>Jesse Squires</t>
        </is>
      </c>
      <c r="B2385" s="9" t="inlineStr">
        <is>
          <t>2/22/26 - 3/21/26</t>
        </is>
      </c>
      <c r="C2385" s="12" t="n">
        <v>0.96</v>
      </c>
      <c r="D2385" s="12" t="n">
        <v>0.96</v>
      </c>
      <c r="E2385" s="12" t="n">
        <v>1</v>
      </c>
      <c r="F2385" s="12" t="n">
        <v>0.92</v>
      </c>
      <c r="G2385" s="12" t="n">
        <v>0.93</v>
      </c>
      <c r="H2385" s="9" t="n">
        <v>8</v>
      </c>
      <c r="I2385" s="32" t="inlineStr">
        <is>
          <t>1/1</t>
        </is>
      </c>
      <c r="J2385" s="12" t="n">
        <v>1</v>
      </c>
      <c r="K2385" t="inlineStr">
        <is>
          <t>Advanced</t>
        </is>
      </c>
      <c r="L2385" t="inlineStr">
        <is>
          <t>Professional</t>
        </is>
      </c>
      <c r="M2385" t="inlineStr">
        <is>
          <t>Kristin Haase-Alvey</t>
        </is>
      </c>
    </row>
    <row r="2386">
      <c r="A2386" s="9" t="inlineStr">
        <is>
          <t>Jessica Menkhus</t>
        </is>
      </c>
      <c r="B2386" s="9" t="inlineStr">
        <is>
          <t>2/22/26 - 3/21/26</t>
        </is>
      </c>
      <c r="C2386" s="12" t="n">
        <v>0.95</v>
      </c>
      <c r="D2386" s="12" t="n">
        <v>1.23</v>
      </c>
      <c r="E2386" s="12" t="n">
        <v>0.97</v>
      </c>
      <c r="F2386" s="12" t="n">
        <v>1</v>
      </c>
      <c r="G2386" s="12" t="n">
        <v>1</v>
      </c>
      <c r="H2386" s="9" t="n">
        <v>0</v>
      </c>
      <c r="I2386" s="32" t="inlineStr">
        <is>
          <t>1/1</t>
        </is>
      </c>
      <c r="J2386" s="12" t="n">
        <v>1</v>
      </c>
      <c r="K2386" t="inlineStr">
        <is>
          <t>Premium</t>
        </is>
      </c>
      <c r="L2386" t="inlineStr">
        <is>
          <t>Adjunct</t>
        </is>
      </c>
      <c r="M2386" t="inlineStr">
        <is>
          <t>Ela Cross</t>
        </is>
      </c>
    </row>
    <row r="2387">
      <c r="A2387" s="9" t="inlineStr">
        <is>
          <t>Jessica Peterson</t>
        </is>
      </c>
      <c r="B2387" s="9" t="inlineStr">
        <is>
          <t>2/22/26 - 3/21/26</t>
        </is>
      </c>
      <c r="C2387" s="12" t="n">
        <v>1.21</v>
      </c>
      <c r="D2387" s="12" t="n">
        <v>1.11</v>
      </c>
      <c r="E2387" s="12" t="n">
        <v>1</v>
      </c>
      <c r="F2387" s="12" t="n">
        <v>1</v>
      </c>
      <c r="G2387" s="12" t="n">
        <v>1</v>
      </c>
      <c r="H2387" s="9" t="n">
        <v>0</v>
      </c>
      <c r="I2387" s="32" t="inlineStr">
        <is>
          <t>1/1</t>
        </is>
      </c>
      <c r="J2387" s="12" t="n">
        <v>1</v>
      </c>
      <c r="K2387" t="inlineStr">
        <is>
          <t>Premium</t>
        </is>
      </c>
      <c r="L2387" t="inlineStr">
        <is>
          <t>Adjunct</t>
        </is>
      </c>
      <c r="M2387" t="inlineStr">
        <is>
          <t>Annelies de Groot</t>
        </is>
      </c>
    </row>
    <row r="2388">
      <c r="A2388" s="9" t="inlineStr">
        <is>
          <t>Jimmy Works</t>
        </is>
      </c>
      <c r="B2388" s="9" t="inlineStr">
        <is>
          <t>2/22/26 - 3/21/26</t>
        </is>
      </c>
      <c r="C2388" s="12" t="n">
        <v>1.34</v>
      </c>
      <c r="D2388" s="12" t="n">
        <v>1.28</v>
      </c>
      <c r="E2388" s="12" t="n">
        <v>1</v>
      </c>
      <c r="F2388" s="12" t="n">
        <v>1</v>
      </c>
      <c r="G2388" s="12" t="n">
        <v>0.85</v>
      </c>
      <c r="H2388" s="9" t="n">
        <v>1</v>
      </c>
      <c r="I2388" s="32" t="inlineStr">
        <is>
          <t>1/1</t>
        </is>
      </c>
      <c r="J2388" s="12" t="n">
        <v>1</v>
      </c>
      <c r="K2388" t="inlineStr">
        <is>
          <t>Distinguished</t>
        </is>
      </c>
      <c r="L2388" t="inlineStr">
        <is>
          <t>Adjunct</t>
        </is>
      </c>
      <c r="M2388" t="inlineStr">
        <is>
          <t>Kristin Haase-Alvey</t>
        </is>
      </c>
    </row>
    <row r="2389">
      <c r="A2389" s="9" t="inlineStr">
        <is>
          <t>Katie Lykens</t>
        </is>
      </c>
      <c r="B2389" s="9" t="inlineStr">
        <is>
          <t>2/22/26 - 3/21/26</t>
        </is>
      </c>
      <c r="C2389" s="12" t="n">
        <v>0.82</v>
      </c>
      <c r="D2389" s="12" t="n">
        <v>1.27</v>
      </c>
      <c r="E2389" s="12" t="n">
        <v>0.96</v>
      </c>
      <c r="F2389" s="12" t="n">
        <v>0.96</v>
      </c>
      <c r="G2389" s="12" t="n">
        <v>0.67</v>
      </c>
      <c r="H2389" s="9" t="n">
        <v>0</v>
      </c>
      <c r="I2389" s="32" t="inlineStr">
        <is>
          <t>1/1</t>
        </is>
      </c>
      <c r="J2389" s="12" t="n">
        <v>1</v>
      </c>
      <c r="K2389" t="inlineStr">
        <is>
          <t>Distinguished</t>
        </is>
      </c>
      <c r="L2389" t="inlineStr">
        <is>
          <t>Adjunct</t>
        </is>
      </c>
      <c r="M2389" t="inlineStr">
        <is>
          <t>Annelies de Groot</t>
        </is>
      </c>
    </row>
    <row r="2390">
      <c r="A2390" s="9" t="inlineStr">
        <is>
          <t>Megan Osgood</t>
        </is>
      </c>
      <c r="B2390" s="9" t="inlineStr">
        <is>
          <t>2/22/26 - 3/21/26</t>
        </is>
      </c>
      <c r="C2390" s="12" t="n">
        <v>0.84</v>
      </c>
      <c r="D2390" s="12" t="n">
        <v>0.91</v>
      </c>
      <c r="E2390" s="12" t="n">
        <v>1</v>
      </c>
      <c r="F2390" s="12" t="n">
        <v>0.97</v>
      </c>
      <c r="G2390" s="12" t="n">
        <v>1</v>
      </c>
      <c r="H2390" s="9" t="n">
        <v>2</v>
      </c>
      <c r="I2390" s="32" t="inlineStr">
        <is>
          <t>1/1</t>
        </is>
      </c>
      <c r="J2390" s="12" t="n">
        <v>1</v>
      </c>
      <c r="K2390" t="inlineStr">
        <is>
          <t>Distinguished</t>
        </is>
      </c>
      <c r="L2390" t="inlineStr">
        <is>
          <t>Professional</t>
        </is>
      </c>
      <c r="M2390" t="inlineStr">
        <is>
          <t>Annelies de Groot</t>
        </is>
      </c>
    </row>
    <row r="2391">
      <c r="A2391" s="9" t="inlineStr">
        <is>
          <t>Q. Monét Travis</t>
        </is>
      </c>
      <c r="B2391" s="9" t="inlineStr">
        <is>
          <t>2/22/26 - 3/21/26</t>
        </is>
      </c>
      <c r="C2391" s="12" t="n">
        <v>1.27</v>
      </c>
      <c r="D2391" s="12" t="n">
        <v>1.16</v>
      </c>
      <c r="E2391" s="12" t="n">
        <v>0.99</v>
      </c>
      <c r="F2391" s="12" t="n">
        <v>0.95</v>
      </c>
      <c r="G2391" s="12" t="n">
        <v>0.68</v>
      </c>
      <c r="H2391" s="9" t="n">
        <v>12</v>
      </c>
      <c r="I2391" s="32" t="inlineStr">
        <is>
          <t>1/1</t>
        </is>
      </c>
      <c r="J2391" s="12" t="n">
        <v>1</v>
      </c>
      <c r="K2391" t="inlineStr">
        <is>
          <t>Advanced</t>
        </is>
      </c>
      <c r="L2391" t="inlineStr">
        <is>
          <t>Adjunct</t>
        </is>
      </c>
      <c r="M2391" t="inlineStr">
        <is>
          <t>Ela Cross</t>
        </is>
      </c>
    </row>
    <row r="2392">
      <c r="A2392" s="9" t="inlineStr">
        <is>
          <t>Rachel Daku</t>
        </is>
      </c>
      <c r="B2392" s="9" t="inlineStr">
        <is>
          <t>2/22/26 - 3/21/26</t>
        </is>
      </c>
      <c r="C2392" s="12" t="n">
        <v>1.33</v>
      </c>
      <c r="D2392" s="12" t="n">
        <v>1.93</v>
      </c>
      <c r="E2392" s="12" t="n">
        <v>0.98</v>
      </c>
      <c r="F2392" s="12" t="n">
        <v>0.9</v>
      </c>
      <c r="G2392" s="12" t="n">
        <v>0.22</v>
      </c>
      <c r="H2392" s="9" t="n">
        <v>0</v>
      </c>
      <c r="I2392" s="32" t="inlineStr">
        <is>
          <t>1/1</t>
        </is>
      </c>
      <c r="J2392" s="12" t="n">
        <v>1</v>
      </c>
      <c r="K2392" t="inlineStr">
        <is>
          <t>Distinguished</t>
        </is>
      </c>
      <c r="L2392" t="inlineStr">
        <is>
          <t>Adjunct</t>
        </is>
      </c>
      <c r="M2392" t="inlineStr">
        <is>
          <t>Annelies de Groot</t>
        </is>
      </c>
    </row>
    <row r="2393">
      <c r="A2393" s="9" t="inlineStr">
        <is>
          <t>Samantha Wetz</t>
        </is>
      </c>
      <c r="B2393" s="9" t="inlineStr">
        <is>
          <t>2/22/26 - 3/21/26</t>
        </is>
      </c>
      <c r="C2393" s="12" t="n">
        <v>1.01</v>
      </c>
      <c r="D2393" s="12" t="n">
        <v>1.34</v>
      </c>
      <c r="E2393" s="12" t="n">
        <v>1</v>
      </c>
      <c r="F2393" s="12" t="n">
        <v>1</v>
      </c>
      <c r="G2393" s="12" t="n">
        <v>0.9</v>
      </c>
      <c r="H2393" s="9" t="n">
        <v>2</v>
      </c>
      <c r="I2393" s="32" t="inlineStr">
        <is>
          <t>1/1</t>
        </is>
      </c>
      <c r="J2393" s="12" t="n">
        <v>1</v>
      </c>
      <c r="K2393" t="inlineStr">
        <is>
          <t>Premium</t>
        </is>
      </c>
      <c r="L2393" t="inlineStr">
        <is>
          <t>Professional</t>
        </is>
      </c>
      <c r="M2393" t="inlineStr">
        <is>
          <t>Ian Plamondon</t>
        </is>
      </c>
    </row>
    <row r="2394">
      <c r="A2394" s="9" t="inlineStr">
        <is>
          <t>Sarah Goodstein</t>
        </is>
      </c>
      <c r="B2394" s="9" t="inlineStr">
        <is>
          <t>2/22/26 - 3/21/26</t>
        </is>
      </c>
      <c r="C2394" s="12" t="n">
        <v>1.2</v>
      </c>
      <c r="D2394" s="12" t="n">
        <v>1.08</v>
      </c>
      <c r="E2394" s="12" t="n">
        <v>0.89</v>
      </c>
      <c r="F2394" s="12" t="n">
        <v>0.84</v>
      </c>
      <c r="G2394" s="12" t="n">
        <v>0.67</v>
      </c>
      <c r="H2394" s="9" t="n">
        <v>11</v>
      </c>
      <c r="I2394" s="32" t="inlineStr">
        <is>
          <t>1/1</t>
        </is>
      </c>
      <c r="J2394" s="12" t="n">
        <v>1</v>
      </c>
      <c r="K2394" t="inlineStr">
        <is>
          <t>Advanced</t>
        </is>
      </c>
      <c r="L2394" t="inlineStr">
        <is>
          <t>Professional</t>
        </is>
      </c>
      <c r="M2394" t="inlineStr">
        <is>
          <t>Kristin Haase-Alvey</t>
        </is>
      </c>
    </row>
    <row r="2395">
      <c r="A2395" s="9" t="inlineStr">
        <is>
          <t>Scott Boyd</t>
        </is>
      </c>
      <c r="B2395" s="9" t="inlineStr">
        <is>
          <t>2/22/26 - 3/21/26</t>
        </is>
      </c>
      <c r="C2395" s="12" t="n">
        <v>1.08</v>
      </c>
      <c r="D2395" s="12" t="n">
        <v>1.33</v>
      </c>
      <c r="E2395" s="12" t="n">
        <v>1</v>
      </c>
      <c r="F2395" s="12" t="n">
        <v>1</v>
      </c>
      <c r="G2395" s="12" t="n">
        <v>1</v>
      </c>
      <c r="H2395" s="9" t="n">
        <v>0</v>
      </c>
      <c r="I2395" s="32" t="inlineStr">
        <is>
          <t>1/1</t>
        </is>
      </c>
      <c r="J2395" s="12" t="n">
        <v>1</v>
      </c>
      <c r="K2395" t="inlineStr">
        <is>
          <t>Premium</t>
        </is>
      </c>
      <c r="L2395" t="inlineStr">
        <is>
          <t>Adjunct</t>
        </is>
      </c>
      <c r="M2395" t="inlineStr">
        <is>
          <t>Geoff St. Marie</t>
        </is>
      </c>
    </row>
    <row r="2396">
      <c r="A2396" s="9" t="inlineStr">
        <is>
          <t>Tim Schlotzhauer</t>
        </is>
      </c>
      <c r="B2396" s="9" t="inlineStr">
        <is>
          <t>2/22/26 - 3/21/26</t>
        </is>
      </c>
      <c r="C2396" s="12" t="n">
        <v>0.8100000000000001</v>
      </c>
      <c r="D2396" s="12" t="n">
        <v>1.52</v>
      </c>
      <c r="E2396" s="12" t="n">
        <v>1</v>
      </c>
      <c r="F2396" s="12" t="n">
        <v>1</v>
      </c>
      <c r="G2396" s="12" t="n">
        <v>0.86</v>
      </c>
      <c r="H2396" s="9" t="n">
        <v>3</v>
      </c>
      <c r="I2396" s="32" t="inlineStr">
        <is>
          <t>1/1</t>
        </is>
      </c>
      <c r="J2396" s="12" t="n">
        <v>1</v>
      </c>
      <c r="K2396" t="inlineStr">
        <is>
          <t>Premium</t>
        </is>
      </c>
      <c r="L2396" t="inlineStr">
        <is>
          <t>Professional</t>
        </is>
      </c>
      <c r="M2396" t="inlineStr">
        <is>
          <t>Geoff St. Marie</t>
        </is>
      </c>
    </row>
    <row r="2397">
      <c r="A2397" s="9" t="inlineStr">
        <is>
          <t>Tom Pluth</t>
        </is>
      </c>
      <c r="B2397" s="9" t="inlineStr">
        <is>
          <t>2/22/26 - 3/21/26</t>
        </is>
      </c>
      <c r="C2397" s="12" t="n">
        <v>0.95</v>
      </c>
      <c r="D2397" s="12" t="n">
        <v>1.07</v>
      </c>
      <c r="E2397" s="12" t="n">
        <v>0.99</v>
      </c>
      <c r="F2397" s="12" t="n">
        <v>0.8</v>
      </c>
      <c r="G2397" s="12" t="n">
        <v>0.54</v>
      </c>
      <c r="H2397" s="9" t="n">
        <v>5</v>
      </c>
      <c r="I2397" s="32" t="inlineStr">
        <is>
          <t>1/1</t>
        </is>
      </c>
      <c r="J2397" s="12" t="n">
        <v>1</v>
      </c>
      <c r="K2397" t="inlineStr">
        <is>
          <t>Advanced</t>
        </is>
      </c>
      <c r="L2397" t="inlineStr">
        <is>
          <t>Adjunct</t>
        </is>
      </c>
      <c r="M2397" t="inlineStr">
        <is>
          <t>Ela Cross</t>
        </is>
      </c>
    </row>
    <row r="2398">
      <c r="A2398" s="9" t="inlineStr">
        <is>
          <t>Cheyanne Jones</t>
        </is>
      </c>
      <c r="B2398" s="9" t="inlineStr">
        <is>
          <t>2/22/26 - 3/21/26</t>
        </is>
      </c>
      <c r="C2398" s="12" t="n">
        <v>1.25</v>
      </c>
      <c r="D2398" s="12" t="n">
        <v>1.42</v>
      </c>
      <c r="E2398" s="12" t="n">
        <v>0.99</v>
      </c>
      <c r="F2398" s="12" t="n">
        <v>1</v>
      </c>
      <c r="G2398" s="12" t="n">
        <v>1</v>
      </c>
      <c r="H2398" s="9" t="n">
        <v>2</v>
      </c>
      <c r="I2398" s="32" t="inlineStr">
        <is>
          <t>2/2</t>
        </is>
      </c>
      <c r="J2398" s="12" t="n">
        <v>1</v>
      </c>
      <c r="K2398" t="inlineStr">
        <is>
          <t>Advanced</t>
        </is>
      </c>
      <c r="L2398" t="inlineStr">
        <is>
          <t>Professional</t>
        </is>
      </c>
      <c r="M2398" t="inlineStr">
        <is>
          <t>Kristin Haase-Alvey</t>
        </is>
      </c>
    </row>
    <row r="2399">
      <c r="A2399" s="9" t="inlineStr">
        <is>
          <t>Dorothy McDaniel</t>
        </is>
      </c>
      <c r="B2399" s="9" t="inlineStr">
        <is>
          <t>2/22/26 - 3/21/26</t>
        </is>
      </c>
      <c r="C2399" s="12" t="n">
        <v>0.51</v>
      </c>
      <c r="D2399" s="12" t="n">
        <v>1.2</v>
      </c>
      <c r="E2399" s="12" t="n">
        <v>1</v>
      </c>
      <c r="F2399" s="12" t="n">
        <v>1</v>
      </c>
      <c r="G2399" s="12" t="n">
        <v>1</v>
      </c>
      <c r="H2399" s="9" t="n">
        <v>0</v>
      </c>
      <c r="I2399" s="32" t="inlineStr">
        <is>
          <t>2/2</t>
        </is>
      </c>
      <c r="J2399" s="12" t="n">
        <v>1</v>
      </c>
      <c r="K2399" t="inlineStr">
        <is>
          <t>Premium</t>
        </is>
      </c>
      <c r="L2399" t="inlineStr">
        <is>
          <t>Professional</t>
        </is>
      </c>
      <c r="M2399" t="inlineStr">
        <is>
          <t>Ian Plamondon</t>
        </is>
      </c>
    </row>
    <row r="2400">
      <c r="A2400" s="9" t="inlineStr">
        <is>
          <t>Elizabeth Simons</t>
        </is>
      </c>
      <c r="B2400" s="9" t="inlineStr">
        <is>
          <t>2/22/26 - 3/21/26</t>
        </is>
      </c>
      <c r="C2400" s="12" t="n">
        <v>1.39</v>
      </c>
      <c r="D2400" s="12" t="n">
        <v>1.1</v>
      </c>
      <c r="E2400" s="12" t="n">
        <v>0.98</v>
      </c>
      <c r="F2400" s="12" t="n">
        <v>1</v>
      </c>
      <c r="G2400" s="12" t="n">
        <v>0.57</v>
      </c>
      <c r="H2400" s="9" t="n">
        <v>3</v>
      </c>
      <c r="I2400" s="32" t="inlineStr">
        <is>
          <t>2/2</t>
        </is>
      </c>
      <c r="J2400" s="12" t="n">
        <v>1</v>
      </c>
      <c r="K2400" t="inlineStr">
        <is>
          <t>Advanced</t>
        </is>
      </c>
      <c r="L2400" t="inlineStr">
        <is>
          <t>Adjunct</t>
        </is>
      </c>
      <c r="M2400" t="inlineStr">
        <is>
          <t>Kristin Haase-Alvey</t>
        </is>
      </c>
    </row>
    <row r="2401">
      <c r="A2401" s="9" t="inlineStr">
        <is>
          <t>Faith Rogers</t>
        </is>
      </c>
      <c r="B2401" s="9" t="inlineStr">
        <is>
          <t>2/22/26 - 3/21/26</t>
        </is>
      </c>
      <c r="C2401" s="12" t="n">
        <v>1</v>
      </c>
      <c r="D2401" s="12" t="n">
        <v>0.93</v>
      </c>
      <c r="E2401" s="12" t="n">
        <v>0.99</v>
      </c>
      <c r="F2401" s="12" t="n">
        <v>0.99</v>
      </c>
      <c r="G2401" s="12" t="n">
        <v>0.7</v>
      </c>
      <c r="H2401" s="9" t="n">
        <v>4</v>
      </c>
      <c r="I2401" s="32" t="inlineStr">
        <is>
          <t>2/2</t>
        </is>
      </c>
      <c r="J2401" s="12" t="n">
        <v>1</v>
      </c>
      <c r="K2401" t="inlineStr">
        <is>
          <t>Distinguished</t>
        </is>
      </c>
      <c r="L2401" t="inlineStr">
        <is>
          <t>Professional</t>
        </is>
      </c>
      <c r="M2401" t="inlineStr">
        <is>
          <t>Ian Plamondon</t>
        </is>
      </c>
    </row>
    <row r="2402">
      <c r="A2402" s="9" t="inlineStr">
        <is>
          <t>Jennifer Hernandez</t>
        </is>
      </c>
      <c r="B2402" s="9" t="inlineStr">
        <is>
          <t>2/22/26 - 3/21/26</t>
        </is>
      </c>
      <c r="C2402" s="12" t="n">
        <v>0.8</v>
      </c>
      <c r="D2402" s="12" t="n">
        <v>1.1</v>
      </c>
      <c r="E2402" s="12" t="n">
        <v>1</v>
      </c>
      <c r="F2402" s="12" t="n">
        <v>1</v>
      </c>
      <c r="G2402" s="12" t="n">
        <v>1</v>
      </c>
      <c r="H2402" s="9" t="n">
        <v>2</v>
      </c>
      <c r="I2402" s="32" t="inlineStr">
        <is>
          <t>2/2</t>
        </is>
      </c>
      <c r="J2402" s="12" t="n">
        <v>1</v>
      </c>
      <c r="K2402" t="inlineStr">
        <is>
          <t>Distinguished</t>
        </is>
      </c>
      <c r="L2402" t="inlineStr">
        <is>
          <t>Adjunct</t>
        </is>
      </c>
      <c r="M2402" t="inlineStr">
        <is>
          <t>Kristin Haase-Alvey</t>
        </is>
      </c>
    </row>
    <row r="2403">
      <c r="A2403" s="9" t="inlineStr">
        <is>
          <t>Machaela Verhage</t>
        </is>
      </c>
      <c r="B2403" s="9" t="inlineStr">
        <is>
          <t>2/22/26 - 3/21/26</t>
        </is>
      </c>
      <c r="C2403" s="12" t="n">
        <v>0.84</v>
      </c>
      <c r="D2403" s="12" t="n">
        <v>0.9399999999999999</v>
      </c>
      <c r="E2403" s="12" t="n">
        <v>0.99</v>
      </c>
      <c r="F2403" s="12" t="n">
        <v>1</v>
      </c>
      <c r="G2403" s="12" t="n">
        <v>0.67</v>
      </c>
      <c r="H2403" s="9" t="n">
        <v>0</v>
      </c>
      <c r="I2403" s="32" t="inlineStr">
        <is>
          <t>2/2</t>
        </is>
      </c>
      <c r="J2403" s="12" t="n">
        <v>1</v>
      </c>
      <c r="K2403" t="inlineStr">
        <is>
          <t>Distinguished</t>
        </is>
      </c>
      <c r="L2403" t="inlineStr">
        <is>
          <t>Professional</t>
        </is>
      </c>
      <c r="M2403" t="inlineStr">
        <is>
          <t>Annelies de Groot</t>
        </is>
      </c>
    </row>
    <row r="2404">
      <c r="A2404" s="9" t="inlineStr">
        <is>
          <t>Nayely Rolon-Gomez</t>
        </is>
      </c>
      <c r="B2404" s="9" t="inlineStr">
        <is>
          <t>2/22/26 - 3/21/26</t>
        </is>
      </c>
      <c r="C2404" s="12" t="n">
        <v>1.02</v>
      </c>
      <c r="D2404" s="12" t="n">
        <v>0.98</v>
      </c>
      <c r="E2404" s="12" t="n">
        <v>1</v>
      </c>
      <c r="F2404" s="12" t="n">
        <v>0.96</v>
      </c>
      <c r="G2404" s="12" t="n">
        <v>0.91</v>
      </c>
      <c r="H2404" s="9" t="n">
        <v>17</v>
      </c>
      <c r="I2404" s="32" t="inlineStr">
        <is>
          <t>2/2</t>
        </is>
      </c>
      <c r="J2404" s="12" t="n">
        <v>1</v>
      </c>
      <c r="K2404" t="inlineStr">
        <is>
          <t>Advanced</t>
        </is>
      </c>
      <c r="L2404" t="inlineStr">
        <is>
          <t>Professional</t>
        </is>
      </c>
      <c r="M2404" t="inlineStr">
        <is>
          <t>Ela Cross</t>
        </is>
      </c>
    </row>
    <row r="2405">
      <c r="A2405" s="9" t="inlineStr">
        <is>
          <t>Nicholas Ulfik</t>
        </is>
      </c>
      <c r="B2405" s="9" t="inlineStr">
        <is>
          <t>2/22/26 - 3/21/26</t>
        </is>
      </c>
      <c r="C2405" s="12" t="n">
        <v>1.15</v>
      </c>
      <c r="D2405" s="12" t="n">
        <v>1.29</v>
      </c>
      <c r="E2405" s="12" t="n">
        <v>0.99</v>
      </c>
      <c r="F2405" s="12" t="n">
        <v>0.99</v>
      </c>
      <c r="G2405" s="12" t="n">
        <v>1</v>
      </c>
      <c r="H2405" s="9" t="n">
        <v>5</v>
      </c>
      <c r="I2405" s="32" t="inlineStr">
        <is>
          <t>2/2</t>
        </is>
      </c>
      <c r="J2405" s="12" t="n">
        <v>1</v>
      </c>
      <c r="K2405" t="inlineStr">
        <is>
          <t>Distinguished</t>
        </is>
      </c>
      <c r="L2405" t="inlineStr">
        <is>
          <t>Professional</t>
        </is>
      </c>
      <c r="M2405" t="inlineStr">
        <is>
          <t>Kristin Haase-Alvey</t>
        </is>
      </c>
    </row>
    <row r="2406">
      <c r="A2406" s="9" t="inlineStr">
        <is>
          <t>Nicole Bishop</t>
        </is>
      </c>
      <c r="B2406" s="9" t="inlineStr">
        <is>
          <t>2/22/26 - 3/21/26</t>
        </is>
      </c>
      <c r="C2406" s="12" t="n">
        <v>1.25</v>
      </c>
      <c r="D2406" s="12" t="n">
        <v>1.09</v>
      </c>
      <c r="E2406" s="12" t="n">
        <v>0.95</v>
      </c>
      <c r="F2406" s="12" t="n">
        <v>0.96</v>
      </c>
      <c r="G2406" s="12" t="n">
        <v>0.1</v>
      </c>
      <c r="H2406" s="9" t="n">
        <v>9</v>
      </c>
      <c r="I2406" s="32" t="inlineStr">
        <is>
          <t>2/2</t>
        </is>
      </c>
      <c r="J2406" s="12" t="n">
        <v>1</v>
      </c>
      <c r="K2406" t="inlineStr">
        <is>
          <t>Advanced</t>
        </is>
      </c>
      <c r="L2406" t="inlineStr">
        <is>
          <t>Professional</t>
        </is>
      </c>
      <c r="M2406" t="inlineStr">
        <is>
          <t>Ela Cross</t>
        </is>
      </c>
    </row>
    <row r="2407">
      <c r="A2407" s="9" t="inlineStr">
        <is>
          <t>Raymond Elliot</t>
        </is>
      </c>
      <c r="B2407" s="9" t="inlineStr">
        <is>
          <t>2/22/26 - 3/21/26</t>
        </is>
      </c>
      <c r="C2407" s="12" t="n">
        <v>0.9399999999999999</v>
      </c>
      <c r="D2407" s="12" t="n">
        <v>0.99</v>
      </c>
      <c r="E2407" s="12" t="n">
        <v>1</v>
      </c>
      <c r="F2407" s="12" t="n">
        <v>1</v>
      </c>
      <c r="G2407" s="12" t="n">
        <v>1</v>
      </c>
      <c r="H2407" s="9" t="n">
        <v>6</v>
      </c>
      <c r="I2407" s="32" t="inlineStr">
        <is>
          <t>2/2</t>
        </is>
      </c>
      <c r="J2407" s="12" t="n">
        <v>1</v>
      </c>
      <c r="K2407" t="inlineStr">
        <is>
          <t>Advanced</t>
        </is>
      </c>
      <c r="L2407" t="inlineStr">
        <is>
          <t>Adjunct</t>
        </is>
      </c>
      <c r="M2407" t="inlineStr">
        <is>
          <t>Kristin Haase-Alvey</t>
        </is>
      </c>
    </row>
    <row r="2408">
      <c r="A2408" s="9" t="inlineStr">
        <is>
          <t>Schon Gonzalez</t>
        </is>
      </c>
      <c r="B2408" s="9" t="inlineStr">
        <is>
          <t>2/22/26 - 3/21/26</t>
        </is>
      </c>
      <c r="C2408" s="12" t="n">
        <v>1.23</v>
      </c>
      <c r="D2408" s="12" t="n">
        <v>1.08</v>
      </c>
      <c r="E2408" s="12" t="n">
        <v>0.99</v>
      </c>
      <c r="F2408" s="12" t="n">
        <v>0.98</v>
      </c>
      <c r="G2408" s="12" t="n">
        <v>0.92</v>
      </c>
      <c r="H2408" s="9" t="n">
        <v>5</v>
      </c>
      <c r="I2408" s="32" t="inlineStr">
        <is>
          <t>2/2</t>
        </is>
      </c>
      <c r="J2408" s="12" t="n">
        <v>1</v>
      </c>
      <c r="K2408" t="inlineStr">
        <is>
          <t>Advanced</t>
        </is>
      </c>
      <c r="L2408" t="inlineStr">
        <is>
          <t>Adjunct</t>
        </is>
      </c>
      <c r="M2408" t="inlineStr">
        <is>
          <t>Ela Cross</t>
        </is>
      </c>
    </row>
    <row r="2409">
      <c r="A2409" s="9" t="inlineStr">
        <is>
          <t>Zach McFatridge</t>
        </is>
      </c>
      <c r="B2409" s="9" t="inlineStr">
        <is>
          <t>2/22/26 - 3/21/26</t>
        </is>
      </c>
      <c r="C2409" s="12" t="n">
        <v>1.25</v>
      </c>
      <c r="D2409" s="12" t="n">
        <v>1.09</v>
      </c>
      <c r="E2409" s="12" t="n">
        <v>1</v>
      </c>
      <c r="F2409" s="12" t="n">
        <v>0.97</v>
      </c>
      <c r="G2409" s="12" t="n">
        <v>0.63</v>
      </c>
      <c r="H2409" s="9" t="n">
        <v>14</v>
      </c>
      <c r="I2409" s="32" t="inlineStr">
        <is>
          <t>2/2</t>
        </is>
      </c>
      <c r="J2409" s="12" t="n">
        <v>1</v>
      </c>
      <c r="K2409" t="inlineStr">
        <is>
          <t>Advanced</t>
        </is>
      </c>
      <c r="L2409" t="inlineStr">
        <is>
          <t xml:space="preserve">Professional </t>
        </is>
      </c>
      <c r="M2409" t="inlineStr">
        <is>
          <t>Annelies de Groot</t>
        </is>
      </c>
    </row>
    <row r="2410">
      <c r="A2410" s="9" t="inlineStr">
        <is>
          <t>Blake Maly</t>
        </is>
      </c>
      <c r="B2410" s="9" t="inlineStr">
        <is>
          <t>2/22/26 - 3/21/26</t>
        </is>
      </c>
      <c r="C2410" s="12" t="n">
        <v>0.91</v>
      </c>
      <c r="D2410" s="12" t="n">
        <v>1.03</v>
      </c>
      <c r="E2410" s="12" t="n">
        <v>0.98</v>
      </c>
      <c r="F2410" s="12" t="n">
        <v>1</v>
      </c>
      <c r="G2410" s="12" t="n">
        <v>0.31</v>
      </c>
      <c r="H2410" s="9" t="n">
        <v>9</v>
      </c>
      <c r="I2410" s="32" t="inlineStr">
        <is>
          <t>3/3</t>
        </is>
      </c>
      <c r="J2410" s="12" t="n">
        <v>1</v>
      </c>
      <c r="K2410" t="inlineStr">
        <is>
          <t>Advanced</t>
        </is>
      </c>
      <c r="L2410" t="inlineStr">
        <is>
          <t xml:space="preserve">Professional </t>
        </is>
      </c>
      <c r="M2410" t="inlineStr">
        <is>
          <t>Annelies de Groot</t>
        </is>
      </c>
    </row>
    <row r="2411">
      <c r="A2411" s="9" t="inlineStr">
        <is>
          <t>Daniel Esquivel-Reynoso</t>
        </is>
      </c>
      <c r="B2411" s="9" t="inlineStr">
        <is>
          <t>2/22/26 - 3/21/26</t>
        </is>
      </c>
      <c r="C2411" s="12" t="n">
        <v>0.87</v>
      </c>
      <c r="D2411" s="12" t="n">
        <v>1.07</v>
      </c>
      <c r="E2411" s="12" t="n">
        <v>1</v>
      </c>
      <c r="F2411" s="12" t="n">
        <v>1</v>
      </c>
      <c r="G2411" s="12" t="n">
        <v>0.57</v>
      </c>
      <c r="H2411" s="9" t="n">
        <v>10</v>
      </c>
      <c r="I2411" s="32" t="inlineStr">
        <is>
          <t>3/3</t>
        </is>
      </c>
      <c r="J2411" s="12" t="n">
        <v>1</v>
      </c>
      <c r="K2411" t="inlineStr">
        <is>
          <t>Advanced</t>
        </is>
      </c>
      <c r="L2411" t="inlineStr">
        <is>
          <t>Adjunct</t>
        </is>
      </c>
      <c r="M2411" t="inlineStr">
        <is>
          <t>Annelies de Groot</t>
        </is>
      </c>
    </row>
    <row r="2412">
      <c r="A2412" s="9" t="inlineStr">
        <is>
          <t>Elain Ng</t>
        </is>
      </c>
      <c r="B2412" s="9" t="inlineStr">
        <is>
          <t>2/22/26 - 3/21/26</t>
        </is>
      </c>
      <c r="C2412" s="12" t="n">
        <v>1.19</v>
      </c>
      <c r="D2412" s="12" t="n">
        <v>1.28</v>
      </c>
      <c r="E2412" s="12" t="n">
        <v>0.98</v>
      </c>
      <c r="F2412" s="12" t="n">
        <v>1</v>
      </c>
      <c r="G2412" s="12" t="n">
        <v>0.84</v>
      </c>
      <c r="H2412" s="9" t="n">
        <v>0</v>
      </c>
      <c r="I2412" s="32" t="inlineStr">
        <is>
          <t>3/3</t>
        </is>
      </c>
      <c r="J2412" s="12" t="n">
        <v>1</v>
      </c>
      <c r="K2412" t="inlineStr">
        <is>
          <t>Distinguished</t>
        </is>
      </c>
      <c r="L2412" t="inlineStr">
        <is>
          <t>Adjunct</t>
        </is>
      </c>
      <c r="M2412" t="inlineStr">
        <is>
          <t>Ela Cross</t>
        </is>
      </c>
    </row>
    <row r="2413">
      <c r="A2413" s="9" t="inlineStr">
        <is>
          <t>Karleigh Arrington</t>
        </is>
      </c>
      <c r="B2413" s="9" t="inlineStr">
        <is>
          <t>2/22/26 - 3/21/26</t>
        </is>
      </c>
      <c r="C2413" s="12" t="n">
        <v>1.22</v>
      </c>
      <c r="D2413" s="12" t="n">
        <v>1.06</v>
      </c>
      <c r="E2413" s="12" t="n">
        <v>1</v>
      </c>
      <c r="F2413" s="12" t="n">
        <v>1</v>
      </c>
      <c r="G2413" s="12" t="n">
        <v>0.78</v>
      </c>
      <c r="H2413" s="9" t="n">
        <v>0</v>
      </c>
      <c r="I2413" s="32" t="inlineStr">
        <is>
          <t>3/3</t>
        </is>
      </c>
      <c r="J2413" s="12" t="n">
        <v>1</v>
      </c>
      <c r="K2413" t="inlineStr">
        <is>
          <t>Advanced</t>
        </is>
      </c>
      <c r="L2413" t="inlineStr">
        <is>
          <t>Professional</t>
        </is>
      </c>
      <c r="M2413" t="inlineStr">
        <is>
          <t>Annelies de Groot</t>
        </is>
      </c>
    </row>
    <row r="2414">
      <c r="A2414" s="9" t="inlineStr">
        <is>
          <t>Liz Pirie</t>
        </is>
      </c>
      <c r="B2414" s="9" t="inlineStr">
        <is>
          <t>2/22/26 - 3/21/26</t>
        </is>
      </c>
      <c r="C2414" s="12" t="n">
        <v>0.9399999999999999</v>
      </c>
      <c r="D2414" s="12" t="n">
        <v>1.02</v>
      </c>
      <c r="E2414" s="12" t="n">
        <v>0.99</v>
      </c>
      <c r="F2414" s="12" t="n">
        <v>0.99</v>
      </c>
      <c r="G2414" s="12" t="n">
        <v>0.91</v>
      </c>
      <c r="H2414" s="9" t="n">
        <v>0</v>
      </c>
      <c r="I2414" s="32" t="inlineStr">
        <is>
          <t>3/3</t>
        </is>
      </c>
      <c r="J2414" s="12" t="n">
        <v>1</v>
      </c>
      <c r="K2414" t="inlineStr">
        <is>
          <t>Distinguished</t>
        </is>
      </c>
      <c r="L2414" t="inlineStr">
        <is>
          <t>Professional</t>
        </is>
      </c>
      <c r="M2414" t="inlineStr">
        <is>
          <t>Kristin Haase-Alvey</t>
        </is>
      </c>
    </row>
    <row r="2415">
      <c r="A2415" s="9" t="inlineStr">
        <is>
          <t>Teresa Fuller</t>
        </is>
      </c>
      <c r="B2415" s="9" t="inlineStr">
        <is>
          <t>2/22/26 - 3/21/26</t>
        </is>
      </c>
      <c r="C2415" s="12" t="n">
        <v>0.73</v>
      </c>
      <c r="D2415" s="12" t="n">
        <v>0.9399999999999999</v>
      </c>
      <c r="E2415" s="12" t="n">
        <v>0.97</v>
      </c>
      <c r="F2415" s="12" t="n">
        <v>0.91</v>
      </c>
      <c r="G2415" s="12" t="n">
        <v>0</v>
      </c>
      <c r="H2415" s="9" t="n">
        <v>3</v>
      </c>
      <c r="I2415" s="32" t="inlineStr">
        <is>
          <t>3/3</t>
        </is>
      </c>
      <c r="J2415" s="12" t="n">
        <v>1</v>
      </c>
      <c r="K2415" t="inlineStr">
        <is>
          <t>Advanced</t>
        </is>
      </c>
      <c r="L2415" t="inlineStr">
        <is>
          <t>Adjunct-BUC</t>
        </is>
      </c>
      <c r="M2415" t="inlineStr">
        <is>
          <t>Ela Cross</t>
        </is>
      </c>
    </row>
    <row r="2416">
      <c r="A2416" s="9" t="inlineStr">
        <is>
          <t>Trevor Ferguson</t>
        </is>
      </c>
      <c r="B2416" s="9" t="inlineStr">
        <is>
          <t>2/22/26 - 3/21/26</t>
        </is>
      </c>
      <c r="C2416" s="12" t="n">
        <v>1.05</v>
      </c>
      <c r="D2416" s="12" t="n">
        <v>0.98</v>
      </c>
      <c r="E2416" s="12" t="n">
        <v>1</v>
      </c>
      <c r="F2416" s="12" t="n">
        <v>0.99</v>
      </c>
      <c r="G2416" s="12" t="n">
        <v>0.79</v>
      </c>
      <c r="H2416" s="9" t="n">
        <v>0</v>
      </c>
      <c r="I2416" s="32" t="inlineStr">
        <is>
          <t>3/3</t>
        </is>
      </c>
      <c r="J2416" s="12" t="n">
        <v>1</v>
      </c>
      <c r="K2416" t="inlineStr">
        <is>
          <t>Distinguished</t>
        </is>
      </c>
      <c r="L2416" t="inlineStr">
        <is>
          <t>Professional</t>
        </is>
      </c>
      <c r="M2416" t="inlineStr">
        <is>
          <t>Geoff St. Marie</t>
        </is>
      </c>
    </row>
    <row r="2417">
      <c r="A2417" s="9" t="inlineStr">
        <is>
          <t>Tyler Thornton</t>
        </is>
      </c>
      <c r="B2417" s="9" t="inlineStr">
        <is>
          <t>2/22/26 - 3/21/26</t>
        </is>
      </c>
      <c r="C2417" s="12" t="n">
        <v>1.06</v>
      </c>
      <c r="D2417" s="12" t="n">
        <v>1.1</v>
      </c>
      <c r="E2417" s="12" t="n">
        <v>1</v>
      </c>
      <c r="F2417" s="12" t="n">
        <v>0.91</v>
      </c>
      <c r="G2417" s="12" t="n">
        <v>0.96</v>
      </c>
      <c r="H2417" s="9" t="n">
        <v>12</v>
      </c>
      <c r="I2417" s="32" t="inlineStr">
        <is>
          <t>3/3</t>
        </is>
      </c>
      <c r="J2417" s="12" t="n">
        <v>1</v>
      </c>
      <c r="K2417" t="inlineStr">
        <is>
          <t>Advanced</t>
        </is>
      </c>
      <c r="L2417" t="inlineStr">
        <is>
          <t>Professional</t>
        </is>
      </c>
      <c r="M2417" t="inlineStr">
        <is>
          <t>Kristin Haase-Alvey</t>
        </is>
      </c>
    </row>
    <row r="2418">
      <c r="A2418" s="9" t="inlineStr">
        <is>
          <t>Zack Robertson</t>
        </is>
      </c>
      <c r="B2418" s="9" t="inlineStr">
        <is>
          <t>2/22/26 - 3/21/26</t>
        </is>
      </c>
      <c r="C2418" s="12" t="n">
        <v>0.97</v>
      </c>
      <c r="D2418" s="12" t="n">
        <v>1.04</v>
      </c>
      <c r="E2418" s="12" t="n">
        <v>0.99</v>
      </c>
      <c r="F2418" s="12" t="n">
        <v>0.99</v>
      </c>
      <c r="G2418" s="12" t="n">
        <v>0.88</v>
      </c>
      <c r="H2418" s="9" t="n">
        <v>2</v>
      </c>
      <c r="I2418" s="32" t="inlineStr">
        <is>
          <t>3/3</t>
        </is>
      </c>
      <c r="J2418" s="12" t="n">
        <v>1</v>
      </c>
      <c r="K2418" t="inlineStr">
        <is>
          <t>Distinguished</t>
        </is>
      </c>
      <c r="L2418" t="inlineStr">
        <is>
          <t>Professional</t>
        </is>
      </c>
      <c r="M2418" t="inlineStr">
        <is>
          <t>Kristin Haase-Alvey</t>
        </is>
      </c>
    </row>
    <row r="2419">
      <c r="A2419" s="9" t="inlineStr">
        <is>
          <t>Brian Cohen</t>
        </is>
      </c>
      <c r="B2419" s="9" t="inlineStr">
        <is>
          <t>2/22/26 - 3/21/26</t>
        </is>
      </c>
      <c r="C2419" s="12" t="n">
        <v>0.8100000000000001</v>
      </c>
      <c r="D2419" s="12" t="n">
        <v>1.2</v>
      </c>
      <c r="E2419" s="12" t="n">
        <v>1</v>
      </c>
      <c r="F2419" s="12" t="n">
        <v>0.97</v>
      </c>
      <c r="G2419" s="12" t="n">
        <v>1</v>
      </c>
      <c r="H2419" s="9" t="n">
        <v>0</v>
      </c>
      <c r="I2419" s="32" t="inlineStr">
        <is>
          <t>4/4</t>
        </is>
      </c>
      <c r="J2419" s="12" t="n">
        <v>1</v>
      </c>
      <c r="K2419" t="inlineStr">
        <is>
          <t>Premium</t>
        </is>
      </c>
      <c r="L2419" t="inlineStr">
        <is>
          <t>Adjunct</t>
        </is>
      </c>
      <c r="M2419" t="inlineStr">
        <is>
          <t>Annelies de Groot</t>
        </is>
      </c>
    </row>
    <row r="2420">
      <c r="A2420" s="9" t="inlineStr">
        <is>
          <t>Christelle Rocha</t>
        </is>
      </c>
      <c r="B2420" s="9" t="inlineStr">
        <is>
          <t>2/22/26 - 3/21/26</t>
        </is>
      </c>
      <c r="C2420" s="12" t="n">
        <v>1.08</v>
      </c>
      <c r="D2420" s="12" t="n">
        <v>1.39</v>
      </c>
      <c r="E2420" s="12" t="n">
        <v>1</v>
      </c>
      <c r="F2420" s="12" t="n">
        <v>0.95</v>
      </c>
      <c r="G2420" s="12" t="n">
        <v>0.64</v>
      </c>
      <c r="H2420" s="9" t="n">
        <v>0</v>
      </c>
      <c r="I2420" s="32" t="inlineStr">
        <is>
          <t>4/4</t>
        </is>
      </c>
      <c r="J2420" s="12" t="n">
        <v>1</v>
      </c>
      <c r="K2420" t="inlineStr">
        <is>
          <t>Advanced</t>
        </is>
      </c>
      <c r="L2420" t="inlineStr">
        <is>
          <t>Professional</t>
        </is>
      </c>
      <c r="M2420" t="inlineStr">
        <is>
          <t>Annelies de Groot</t>
        </is>
      </c>
    </row>
    <row r="2421">
      <c r="A2421" s="9" t="inlineStr">
        <is>
          <t>Alexis Boucher</t>
        </is>
      </c>
      <c r="B2421" s="9" t="inlineStr">
        <is>
          <t>2/22/26 - 3/21/26</t>
        </is>
      </c>
      <c r="C2421" s="12" t="n">
        <v>0.93</v>
      </c>
      <c r="D2421" s="12" t="n">
        <v>0.85</v>
      </c>
      <c r="E2421" s="12" t="n">
        <v>0.97</v>
      </c>
      <c r="F2421" s="12" t="n">
        <v>0.91</v>
      </c>
      <c r="G2421" s="12" t="n">
        <v>0.95</v>
      </c>
      <c r="H2421" s="9" t="n">
        <v>0</v>
      </c>
      <c r="I2421" s="32" t="inlineStr">
        <is>
          <t>5/5</t>
        </is>
      </c>
      <c r="J2421" s="12" t="n">
        <v>1</v>
      </c>
      <c r="K2421" t="inlineStr">
        <is>
          <t>Distinguished</t>
        </is>
      </c>
      <c r="L2421" t="inlineStr">
        <is>
          <t>Professional</t>
        </is>
      </c>
      <c r="M2421" t="inlineStr">
        <is>
          <t>Ian Plamondon</t>
        </is>
      </c>
    </row>
    <row r="2422">
      <c r="A2422" s="9" t="inlineStr">
        <is>
          <t>Armand Brouty</t>
        </is>
      </c>
      <c r="B2422" s="9" t="inlineStr">
        <is>
          <t>2/22/26 - 3/21/26</t>
        </is>
      </c>
      <c r="C2422" s="12" t="n">
        <v>1.1</v>
      </c>
      <c r="D2422" s="12" t="n">
        <v>1.64</v>
      </c>
      <c r="E2422" s="12" t="n">
        <v>0.9399999999999999</v>
      </c>
      <c r="F2422" s="12" t="n">
        <v>1</v>
      </c>
      <c r="G2422" s="12" t="n">
        <v>0.88</v>
      </c>
      <c r="H2422" s="9" t="n">
        <v>2</v>
      </c>
      <c r="I2422" s="32" t="inlineStr">
        <is>
          <t>5/5</t>
        </is>
      </c>
      <c r="J2422" s="12" t="n">
        <v>1</v>
      </c>
      <c r="K2422" t="inlineStr">
        <is>
          <t>Distinguished</t>
        </is>
      </c>
      <c r="L2422" t="inlineStr">
        <is>
          <t>Professional</t>
        </is>
      </c>
      <c r="M2422" t="inlineStr">
        <is>
          <t>Ian Plamondon</t>
        </is>
      </c>
    </row>
    <row r="2423">
      <c r="A2423" s="9" t="inlineStr">
        <is>
          <t>Jason Keller</t>
        </is>
      </c>
      <c r="B2423" s="9" t="inlineStr">
        <is>
          <t>2/22/26 - 3/21/26</t>
        </is>
      </c>
      <c r="C2423" s="12" t="n">
        <v>1.01</v>
      </c>
      <c r="D2423" s="12" t="n">
        <v>1.2</v>
      </c>
      <c r="E2423" s="12" t="n">
        <v>0.98</v>
      </c>
      <c r="F2423" s="12" t="n">
        <v>0.99</v>
      </c>
      <c r="G2423" s="12" t="n">
        <v>0.8100000000000001</v>
      </c>
      <c r="H2423" s="9" t="n">
        <v>6</v>
      </c>
      <c r="I2423" s="32" t="inlineStr">
        <is>
          <t>5/5</t>
        </is>
      </c>
      <c r="J2423" s="12" t="n">
        <v>1</v>
      </c>
      <c r="K2423" t="inlineStr">
        <is>
          <t>Premium</t>
        </is>
      </c>
      <c r="L2423" t="inlineStr">
        <is>
          <t>Professional</t>
        </is>
      </c>
      <c r="M2423" t="inlineStr">
        <is>
          <t>Kristin Haase-Alvey</t>
        </is>
      </c>
    </row>
    <row r="2424">
      <c r="A2424" s="9" t="inlineStr">
        <is>
          <t>Silvester Harrison</t>
        </is>
      </c>
      <c r="B2424" s="9" t="inlineStr">
        <is>
          <t>2/22/26 - 3/21/26</t>
        </is>
      </c>
      <c r="C2424" s="12" t="n">
        <v>0.9399999999999999</v>
      </c>
      <c r="D2424" s="12" t="n">
        <v>1.04</v>
      </c>
      <c r="E2424" s="12" t="n">
        <v>1</v>
      </c>
      <c r="F2424" s="12" t="n">
        <v>1</v>
      </c>
      <c r="G2424" s="12" t="n">
        <v>0.39</v>
      </c>
      <c r="H2424" s="9" t="n">
        <v>3</v>
      </c>
      <c r="I2424" s="32" t="inlineStr">
        <is>
          <t>6/6</t>
        </is>
      </c>
      <c r="J2424" s="12" t="n">
        <v>1</v>
      </c>
      <c r="K2424" t="inlineStr">
        <is>
          <t>Advanced</t>
        </is>
      </c>
      <c r="L2424" t="inlineStr">
        <is>
          <t xml:space="preserve">Professional </t>
        </is>
      </c>
      <c r="M2424" t="inlineStr">
        <is>
          <t>Ela Cross</t>
        </is>
      </c>
    </row>
    <row r="2425">
      <c r="A2425" s="9" t="inlineStr">
        <is>
          <t>Jill Watson</t>
        </is>
      </c>
      <c r="B2425" s="9" t="inlineStr">
        <is>
          <t>2/22/26 - 3/21/26</t>
        </is>
      </c>
      <c r="C2425" s="12" t="n">
        <v>1.09</v>
      </c>
      <c r="D2425" s="12" t="n">
        <v>1.11</v>
      </c>
      <c r="E2425" s="12" t="n">
        <v>1</v>
      </c>
      <c r="F2425" s="12" t="n">
        <v>0.96</v>
      </c>
      <c r="G2425" s="12" t="n">
        <v>0.96</v>
      </c>
      <c r="H2425" s="9" t="n">
        <v>11</v>
      </c>
      <c r="I2425" s="32" t="inlineStr">
        <is>
          <t>7/7</t>
        </is>
      </c>
      <c r="J2425" s="12" t="n">
        <v>1</v>
      </c>
      <c r="K2425" t="inlineStr">
        <is>
          <t>Advanced</t>
        </is>
      </c>
      <c r="L2425" t="inlineStr">
        <is>
          <t>Professional</t>
        </is>
      </c>
      <c r="M2425" t="inlineStr">
        <is>
          <t>Ian Plamondon</t>
        </is>
      </c>
    </row>
    <row r="2426">
      <c r="A2426" s="9" t="inlineStr">
        <is>
          <t>Aaron Schneberger</t>
        </is>
      </c>
      <c r="B2426" s="9" t="inlineStr">
        <is>
          <t>3/22/26 - 4/18/26</t>
        </is>
      </c>
      <c r="C2426" s="12" t="n">
        <v>0.5042</v>
      </c>
      <c r="D2426" s="12" t="n">
        <v>0.9440999999999991</v>
      </c>
      <c r="E2426" s="12" t="n">
        <v>1</v>
      </c>
      <c r="F2426" s="12" t="n">
        <v>1</v>
      </c>
      <c r="H2426" s="9" t="n">
        <v>1</v>
      </c>
      <c r="I2426" s="10" t="inlineStr">
        <is>
          <t>11/16</t>
        </is>
      </c>
      <c r="J2426" s="12" t="n">
        <v>0.6899999999999999</v>
      </c>
      <c r="K2426" t="inlineStr">
        <is>
          <t>Distinguished</t>
        </is>
      </c>
      <c r="L2426" t="inlineStr">
        <is>
          <t>Professional</t>
        </is>
      </c>
      <c r="M2426" t="inlineStr">
        <is>
          <t>Ian Plamondon</t>
        </is>
      </c>
    </row>
    <row r="2427">
      <c r="A2427" s="9" t="inlineStr">
        <is>
          <t>Akeema Williams</t>
        </is>
      </c>
      <c r="B2427" s="9" t="inlineStr">
        <is>
          <t>3/22/26 - 4/18/26</t>
        </is>
      </c>
      <c r="C2427" s="9" t="n">
        <v>1</v>
      </c>
      <c r="D2427" s="9" t="n">
        <v>1.0066</v>
      </c>
      <c r="E2427" s="9" t="n">
        <v>0.991150442477876</v>
      </c>
      <c r="F2427" s="12" t="n">
        <v>0.963</v>
      </c>
      <c r="G2427" s="9" t="n">
        <v>0.866666666666666</v>
      </c>
      <c r="H2427" s="9" t="n">
        <v>13</v>
      </c>
      <c r="I2427" s="9" t="inlineStr">
        <is>
          <t>1/2</t>
        </is>
      </c>
      <c r="J2427" s="50" t="n">
        <v>0.5</v>
      </c>
      <c r="K2427" t="inlineStr">
        <is>
          <t>Distinguished</t>
        </is>
      </c>
      <c r="L2427" t="inlineStr">
        <is>
          <t>Professional</t>
        </is>
      </c>
      <c r="M2427" t="inlineStr">
        <is>
          <t>Ian Plamondon</t>
        </is>
      </c>
    </row>
    <row r="2428">
      <c r="A2428" s="9" t="inlineStr">
        <is>
          <t>Akshiv Gulati</t>
        </is>
      </c>
      <c r="B2428" s="9" t="inlineStr">
        <is>
          <t>3/22/26 - 4/18/26</t>
        </is>
      </c>
      <c r="C2428" s="9" t="n">
        <v>0.914299999999999</v>
      </c>
      <c r="D2428" s="9" t="n">
        <v>0.8416</v>
      </c>
      <c r="E2428" s="9" t="n">
        <v>1</v>
      </c>
      <c r="F2428" s="12" t="n">
        <v>0.875</v>
      </c>
      <c r="G2428" s="9" t="n">
        <v>0.7692307692307691</v>
      </c>
      <c r="H2428" s="9" t="n">
        <v>15</v>
      </c>
      <c r="I2428" s="9" t="inlineStr">
        <is>
          <t>2/9</t>
        </is>
      </c>
      <c r="J2428" s="50" t="n">
        <v>0.22</v>
      </c>
      <c r="K2428" t="inlineStr">
        <is>
          <t>Distinguished</t>
        </is>
      </c>
      <c r="L2428" t="inlineStr">
        <is>
          <t>Professional</t>
        </is>
      </c>
      <c r="M2428" t="inlineStr">
        <is>
          <t>Kristin Haase-Alvey</t>
        </is>
      </c>
    </row>
    <row r="2429">
      <c r="A2429" s="9" t="inlineStr">
        <is>
          <t>Alex Small</t>
        </is>
      </c>
      <c r="B2429" s="9" t="inlineStr">
        <is>
          <t>3/22/26 - 4/18/26</t>
        </is>
      </c>
      <c r="C2429" s="9" t="n">
        <v>1.1979</v>
      </c>
      <c r="D2429" s="9" t="n">
        <v>1.3125</v>
      </c>
      <c r="E2429" s="9" t="n">
        <v>1</v>
      </c>
      <c r="F2429" s="12" t="n">
        <v>1</v>
      </c>
      <c r="G2429" s="9" t="n">
        <v>0.222222222222222</v>
      </c>
      <c r="H2429" s="9" t="n">
        <v>3</v>
      </c>
      <c r="J2429" s="50" t="n"/>
      <c r="K2429" t="inlineStr">
        <is>
          <t>Premium</t>
        </is>
      </c>
      <c r="L2429" t="inlineStr">
        <is>
          <t>Adjunct</t>
        </is>
      </c>
      <c r="M2429" t="inlineStr">
        <is>
          <t>Ela Cross</t>
        </is>
      </c>
    </row>
    <row r="2430">
      <c r="A2430" s="9" t="inlineStr">
        <is>
          <t>Alexa Pinera</t>
        </is>
      </c>
      <c r="B2430" s="9" t="inlineStr">
        <is>
          <t>3/22/26 - 4/18/26</t>
        </is>
      </c>
      <c r="C2430" s="9" t="n">
        <v>0.5917</v>
      </c>
      <c r="D2430" s="9" t="n">
        <v>2.6625</v>
      </c>
      <c r="E2430" s="9" t="n">
        <v>1</v>
      </c>
      <c r="F2430" s="12" t="n">
        <v>1</v>
      </c>
      <c r="G2430" s="9" t="n">
        <v>0.916666666666666</v>
      </c>
      <c r="H2430" s="9" t="n">
        <v>3</v>
      </c>
      <c r="I2430" s="9" t="inlineStr">
        <is>
          <t>4/4</t>
        </is>
      </c>
      <c r="J2430" s="50" t="n">
        <v>1</v>
      </c>
      <c r="K2430" t="inlineStr">
        <is>
          <t>Premium</t>
        </is>
      </c>
      <c r="L2430" t="inlineStr">
        <is>
          <t>Professional</t>
        </is>
      </c>
      <c r="M2430" t="inlineStr">
        <is>
          <t>Ian Plamondon</t>
        </is>
      </c>
    </row>
    <row r="2431">
      <c r="A2431" s="9" t="inlineStr">
        <is>
          <t>Alexandra Berrios</t>
        </is>
      </c>
      <c r="B2431" s="9" t="inlineStr">
        <is>
          <t>3/22/26 - 4/18/26</t>
        </is>
      </c>
      <c r="C2431" s="9" t="n">
        <v>1.3542</v>
      </c>
      <c r="D2431" s="9" t="n">
        <v>1.2305</v>
      </c>
      <c r="E2431" s="9" t="n">
        <v>0.985074626865671</v>
      </c>
      <c r="F2431" s="12" t="n">
        <v>1</v>
      </c>
      <c r="G2431" s="9" t="n">
        <v>1</v>
      </c>
      <c r="H2431" s="9" t="n">
        <v>7</v>
      </c>
      <c r="I2431" s="9" t="inlineStr">
        <is>
          <t>1/1</t>
        </is>
      </c>
      <c r="J2431" s="50" t="n">
        <v>1</v>
      </c>
      <c r="K2431" t="inlineStr">
        <is>
          <t>Distinguished</t>
        </is>
      </c>
      <c r="L2431" t="inlineStr">
        <is>
          <t>Adjunct</t>
        </is>
      </c>
      <c r="M2431" t="inlineStr">
        <is>
          <t>Kristin Haase-Alvey</t>
        </is>
      </c>
    </row>
    <row r="2432">
      <c r="A2432" s="9" t="inlineStr">
        <is>
          <t>Alexis Boucher</t>
        </is>
      </c>
      <c r="B2432" s="9" t="inlineStr">
        <is>
          <t>3/22/26 - 4/18/26</t>
        </is>
      </c>
      <c r="C2432" s="9" t="n">
        <v>0.7583</v>
      </c>
      <c r="D2432" s="9" t="n">
        <v>0.9671</v>
      </c>
      <c r="E2432" s="9" t="n">
        <v>0.974358974358974</v>
      </c>
      <c r="F2432" s="12" t="n">
        <v>0.86</v>
      </c>
      <c r="G2432" s="9" t="n">
        <v>0.944444444444444</v>
      </c>
      <c r="H2432" s="9" t="n">
        <v>7</v>
      </c>
      <c r="I2432" s="9" t="inlineStr">
        <is>
          <t>1/2</t>
        </is>
      </c>
      <c r="J2432" s="50" t="n">
        <v>0.5</v>
      </c>
      <c r="K2432" t="inlineStr">
        <is>
          <t>Distinguished</t>
        </is>
      </c>
      <c r="L2432" t="inlineStr">
        <is>
          <t>Professional</t>
        </is>
      </c>
      <c r="M2432" t="inlineStr">
        <is>
          <t>Ian Plamondon</t>
        </is>
      </c>
    </row>
    <row r="2433">
      <c r="A2433" s="9" t="inlineStr">
        <is>
          <t>Alison Trumbull</t>
        </is>
      </c>
      <c r="B2433" s="9" t="inlineStr">
        <is>
          <t>3/22/26 - 4/18/26</t>
        </is>
      </c>
      <c r="C2433" s="9" t="n">
        <v>0.5521</v>
      </c>
      <c r="D2433" s="9" t="n">
        <v>0.882799999999999</v>
      </c>
      <c r="E2433" s="9" t="n">
        <v>1</v>
      </c>
      <c r="F2433" s="12" t="n">
        <v>0.6879999999999999</v>
      </c>
      <c r="G2433" s="9" t="n">
        <v>0.857142857142857</v>
      </c>
      <c r="H2433" s="9" t="n">
        <v>2</v>
      </c>
      <c r="J2433" s="50" t="n"/>
      <c r="K2433" t="inlineStr">
        <is>
          <t>Premium</t>
        </is>
      </c>
      <c r="L2433" t="inlineStr">
        <is>
          <t>Adjunct</t>
        </is>
      </c>
      <c r="M2433" t="inlineStr">
        <is>
          <t>Geoff St. Marie</t>
        </is>
      </c>
    </row>
    <row r="2434">
      <c r="A2434" s="9" t="inlineStr">
        <is>
          <t>Allison Peck</t>
        </is>
      </c>
      <c r="B2434" s="9" t="inlineStr">
        <is>
          <t>3/22/26 - 4/18/26</t>
        </is>
      </c>
      <c r="C2434" s="9" t="n">
        <v>0.5833</v>
      </c>
      <c r="D2434" s="9" t="n">
        <v>0.9102</v>
      </c>
      <c r="E2434" s="9" t="n">
        <v>0.947368421052631</v>
      </c>
      <c r="F2434" s="12" t="n">
        <v>0.571</v>
      </c>
      <c r="G2434" s="9" t="n">
        <v>0.857142857142857</v>
      </c>
      <c r="H2434" s="9" t="n">
        <v>1</v>
      </c>
      <c r="I2434" s="9" t="inlineStr">
        <is>
          <t>0/1</t>
        </is>
      </c>
      <c r="J2434" s="50" t="n">
        <v>0</v>
      </c>
      <c r="K2434" t="inlineStr">
        <is>
          <t>Distinguished</t>
        </is>
      </c>
      <c r="L2434" t="inlineStr">
        <is>
          <t>Adjunct</t>
        </is>
      </c>
      <c r="M2434" t="inlineStr">
        <is>
          <t>Kristin Haase-Alvey</t>
        </is>
      </c>
    </row>
    <row r="2435">
      <c r="A2435" s="9" t="inlineStr">
        <is>
          <t>Amber Maldonado</t>
        </is>
      </c>
      <c r="B2435" s="9" t="inlineStr">
        <is>
          <t>3/22/26 - 4/18/26</t>
        </is>
      </c>
      <c r="C2435" s="9" t="n">
        <v>0.8208</v>
      </c>
      <c r="D2435" s="9" t="n">
        <v>0.9951</v>
      </c>
      <c r="E2435" s="9" t="n">
        <v>0.842857142857142</v>
      </c>
      <c r="F2435" s="12" t="n">
        <v>0.857</v>
      </c>
      <c r="G2435" s="9" t="n">
        <v>0.7692307692307691</v>
      </c>
      <c r="H2435" s="9" t="n">
        <v>9</v>
      </c>
      <c r="I2435" s="9" t="inlineStr">
        <is>
          <t>2/4</t>
        </is>
      </c>
      <c r="J2435" s="50" t="n">
        <v>0.5</v>
      </c>
      <c r="K2435" t="inlineStr">
        <is>
          <t>Distinguished</t>
        </is>
      </c>
      <c r="L2435" t="inlineStr">
        <is>
          <t>Professional</t>
        </is>
      </c>
      <c r="M2435" t="inlineStr">
        <is>
          <t>Annelies de Groot</t>
        </is>
      </c>
    </row>
    <row r="2436">
      <c r="A2436" s="9" t="inlineStr">
        <is>
          <t>Amelia Sain</t>
        </is>
      </c>
      <c r="B2436" s="9" t="inlineStr">
        <is>
          <t>3/22/26 - 4/18/26</t>
        </is>
      </c>
      <c r="C2436" s="9" t="n">
        <v>0.5417</v>
      </c>
      <c r="D2436" s="9" t="n">
        <v>1.15629999999999</v>
      </c>
      <c r="E2436" s="9" t="n">
        <v>1</v>
      </c>
      <c r="F2436" s="12" t="n">
        <v>0.974</v>
      </c>
      <c r="G2436" s="9" t="n">
        <v>0.25</v>
      </c>
      <c r="H2436" s="9" t="n">
        <v>4</v>
      </c>
      <c r="J2436" s="50" t="n"/>
      <c r="K2436" t="inlineStr">
        <is>
          <t>Premium</t>
        </is>
      </c>
      <c r="L2436" t="inlineStr">
        <is>
          <t>Professional</t>
        </is>
      </c>
      <c r="M2436" t="inlineStr">
        <is>
          <t>Geoff St. Marie</t>
        </is>
      </c>
    </row>
    <row r="2437">
      <c r="A2437" s="9" t="inlineStr">
        <is>
          <t>Amy Kim</t>
        </is>
      </c>
      <c r="B2437" s="9" t="inlineStr">
        <is>
          <t>3/22/26 - 4/18/26</t>
        </is>
      </c>
      <c r="C2437" s="9" t="n">
        <v>0.8417</v>
      </c>
      <c r="D2437" s="9" t="n">
        <v>1.0263</v>
      </c>
      <c r="E2437" s="9" t="n">
        <v>0.968421052631578</v>
      </c>
      <c r="F2437" s="12" t="n">
        <v>1</v>
      </c>
      <c r="G2437" s="9" t="n">
        <v>0.235294117647058</v>
      </c>
      <c r="H2437" s="9" t="n">
        <v>3</v>
      </c>
      <c r="I2437" s="9" t="inlineStr">
        <is>
          <t>2/6</t>
        </is>
      </c>
      <c r="J2437" s="50" t="n">
        <v>0.33</v>
      </c>
      <c r="K2437" t="inlineStr">
        <is>
          <t>Distinguished</t>
        </is>
      </c>
      <c r="L2437" t="inlineStr">
        <is>
          <t>Professional</t>
        </is>
      </c>
      <c r="M2437" t="inlineStr">
        <is>
          <t>Ela Cross</t>
        </is>
      </c>
    </row>
    <row r="2438">
      <c r="A2438" s="9" t="inlineStr">
        <is>
          <t>Ana Heiser</t>
        </is>
      </c>
      <c r="B2438" s="9" t="inlineStr">
        <is>
          <t>3/22/26 - 4/18/26</t>
        </is>
      </c>
      <c r="C2438" s="9" t="n">
        <v>0.5083</v>
      </c>
      <c r="D2438" s="9" t="n">
        <v>1.29379999999999</v>
      </c>
      <c r="E2438" s="9" t="n">
        <v>0.949152542372881</v>
      </c>
      <c r="F2438" s="12" t="n">
        <v>0.911</v>
      </c>
      <c r="G2438" s="9" t="n">
        <v>1</v>
      </c>
      <c r="H2438" s="9" t="n">
        <v>4</v>
      </c>
      <c r="J2438" s="50" t="n"/>
      <c r="K2438" t="inlineStr">
        <is>
          <t>Distinguished</t>
        </is>
      </c>
      <c r="L2438" t="inlineStr">
        <is>
          <t>Professional</t>
        </is>
      </c>
      <c r="M2438" t="inlineStr">
        <is>
          <t>Kristin Haase-Alvey</t>
        </is>
      </c>
    </row>
    <row r="2439">
      <c r="A2439" s="9" t="inlineStr">
        <is>
          <t>Andres Jarquin</t>
        </is>
      </c>
      <c r="B2439" s="9" t="inlineStr">
        <is>
          <t>3/22/26 - 4/18/26</t>
        </is>
      </c>
      <c r="C2439" s="9" t="n">
        <v>0.8167</v>
      </c>
      <c r="D2439" s="9" t="n">
        <v>1.028</v>
      </c>
      <c r="E2439" s="9" t="n">
        <v>0.990384615384615</v>
      </c>
      <c r="F2439" s="12" t="n">
        <v>0.969</v>
      </c>
      <c r="G2439" s="9" t="n">
        <v>0.611111111111111</v>
      </c>
      <c r="H2439" s="9" t="n">
        <v>17</v>
      </c>
      <c r="J2439" s="50" t="n"/>
      <c r="K2439" t="inlineStr">
        <is>
          <t>Distinguished</t>
        </is>
      </c>
      <c r="L2439" t="inlineStr">
        <is>
          <t>Professional</t>
        </is>
      </c>
      <c r="M2439" t="inlineStr">
        <is>
          <t>Ian Plamondon</t>
        </is>
      </c>
    </row>
    <row r="2440">
      <c r="A2440" s="9" t="inlineStr">
        <is>
          <t>Andrew Brown</t>
        </is>
      </c>
      <c r="B2440" s="9" t="inlineStr">
        <is>
          <t>3/22/26 - 4/18/26</t>
        </is>
      </c>
      <c r="C2440" s="9" t="n">
        <v>0.8167</v>
      </c>
      <c r="D2440" s="9" t="n">
        <v>1.1349</v>
      </c>
      <c r="E2440" s="9" t="n">
        <v>1</v>
      </c>
      <c r="F2440" s="12" t="n">
        <v>1</v>
      </c>
      <c r="G2440" s="9" t="n">
        <v>0.625</v>
      </c>
      <c r="H2440" s="9" t="n">
        <v>8</v>
      </c>
      <c r="I2440" s="9" t="inlineStr">
        <is>
          <t>0/3</t>
        </is>
      </c>
      <c r="J2440" s="50" t="n">
        <v>0</v>
      </c>
      <c r="K2440" t="inlineStr">
        <is>
          <t>Distinguished</t>
        </is>
      </c>
      <c r="L2440" t="inlineStr">
        <is>
          <t>Professional</t>
        </is>
      </c>
      <c r="M2440" t="inlineStr">
        <is>
          <t>Ian Plamondon</t>
        </is>
      </c>
    </row>
    <row r="2441">
      <c r="A2441" s="9" t="inlineStr">
        <is>
          <t>Andrew Gehlot</t>
        </is>
      </c>
      <c r="B2441" s="9" t="inlineStr">
        <is>
          <t>3/22/26 - 4/18/26</t>
        </is>
      </c>
      <c r="C2441" s="9" t="n">
        <v>0.6375</v>
      </c>
      <c r="D2441" s="9" t="n">
        <v>0.9589</v>
      </c>
      <c r="E2441" s="9" t="n">
        <v>0.9428571428571419</v>
      </c>
      <c r="F2441" s="12" t="n">
        <v>0.5679999999999999</v>
      </c>
      <c r="G2441" s="9" t="n">
        <v>0.846153846153846</v>
      </c>
      <c r="H2441" s="9" t="n">
        <v>8</v>
      </c>
      <c r="J2441" s="50" t="n"/>
      <c r="K2441" t="inlineStr">
        <is>
          <t>Premium</t>
        </is>
      </c>
      <c r="L2441" t="inlineStr">
        <is>
          <t>Professional</t>
        </is>
      </c>
      <c r="M2441" t="inlineStr">
        <is>
          <t>Ela Cross</t>
        </is>
      </c>
    </row>
    <row r="2442">
      <c r="A2442" s="9" t="inlineStr">
        <is>
          <t>Andrew League</t>
        </is>
      </c>
      <c r="B2442" s="9" t="inlineStr">
        <is>
          <t>3/22/26 - 4/18/26</t>
        </is>
      </c>
      <c r="C2442" s="9" t="n">
        <v>0.9375</v>
      </c>
      <c r="D2442" s="9" t="n">
        <v>1.0691</v>
      </c>
      <c r="E2442" s="9" t="n">
        <v>0.990291262135922</v>
      </c>
      <c r="F2442" s="12" t="n">
        <v>0.949</v>
      </c>
      <c r="G2442" s="9" t="n">
        <v>0.538461538461538</v>
      </c>
      <c r="H2442" s="9" t="n">
        <v>3</v>
      </c>
      <c r="I2442" s="9" t="inlineStr">
        <is>
          <t>5/7</t>
        </is>
      </c>
      <c r="J2442" s="50" t="n">
        <v>0.71</v>
      </c>
      <c r="K2442" t="inlineStr">
        <is>
          <t>Distinguished</t>
        </is>
      </c>
      <c r="L2442" t="inlineStr">
        <is>
          <t>Professional</t>
        </is>
      </c>
      <c r="M2442" t="inlineStr">
        <is>
          <t>Ian Plamondon</t>
        </is>
      </c>
    </row>
    <row r="2443">
      <c r="A2443" s="9" t="inlineStr">
        <is>
          <t>Anna Gilbert</t>
        </is>
      </c>
      <c r="B2443" s="9" t="inlineStr">
        <is>
          <t>3/22/26 - 4/18/26</t>
        </is>
      </c>
      <c r="C2443" s="9" t="n">
        <v>0.5313</v>
      </c>
      <c r="D2443" s="9" t="n">
        <v>1</v>
      </c>
      <c r="E2443" s="9" t="n">
        <v>1</v>
      </c>
      <c r="F2443" s="12" t="n">
        <v>1</v>
      </c>
      <c r="G2443" s="9" t="n">
        <v>0.857142857142857</v>
      </c>
      <c r="H2443" s="9" t="n">
        <v>3</v>
      </c>
      <c r="J2443" s="50" t="n"/>
      <c r="K2443" t="inlineStr">
        <is>
          <t>Distinguished</t>
        </is>
      </c>
      <c r="L2443" t="inlineStr">
        <is>
          <t>Adjunct</t>
        </is>
      </c>
      <c r="M2443" t="inlineStr">
        <is>
          <t>Kristin Haase-Alvey</t>
        </is>
      </c>
    </row>
    <row r="2444">
      <c r="A2444" s="9" t="inlineStr">
        <is>
          <t>Anna Jasko</t>
        </is>
      </c>
      <c r="B2444" s="9" t="inlineStr">
        <is>
          <t>3/22/26 - 4/18/26</t>
        </is>
      </c>
      <c r="C2444" s="9" t="n">
        <v>0.8417</v>
      </c>
      <c r="D2444" s="9" t="n">
        <v>1.05759999999999</v>
      </c>
      <c r="E2444" s="9" t="n">
        <v>1</v>
      </c>
      <c r="F2444" s="12" t="n">
        <v>0.956</v>
      </c>
      <c r="G2444" s="9" t="n">
        <v>0</v>
      </c>
      <c r="H2444" s="9" t="n">
        <v>8</v>
      </c>
      <c r="I2444" s="9" t="inlineStr">
        <is>
          <t>16/20</t>
        </is>
      </c>
      <c r="J2444" s="50" t="n">
        <v>0.8</v>
      </c>
      <c r="K2444" t="inlineStr">
        <is>
          <t>Distinguished</t>
        </is>
      </c>
      <c r="L2444" t="inlineStr">
        <is>
          <t>Professional</t>
        </is>
      </c>
      <c r="M2444" t="inlineStr">
        <is>
          <t>Ela Cross</t>
        </is>
      </c>
    </row>
    <row r="2445">
      <c r="A2445" s="9" t="inlineStr">
        <is>
          <t>Annie Sylvester</t>
        </is>
      </c>
      <c r="B2445" s="9" t="inlineStr">
        <is>
          <t>3/22/26 - 4/18/26</t>
        </is>
      </c>
      <c r="C2445" s="9" t="n">
        <v>0.9571</v>
      </c>
      <c r="D2445" s="9" t="n">
        <v>0.8794</v>
      </c>
      <c r="E2445" s="9" t="n">
        <v>0.99236641221374</v>
      </c>
      <c r="F2445" s="12" t="n">
        <v>0.976</v>
      </c>
      <c r="G2445" s="9" t="n">
        <v>0.421052631578947</v>
      </c>
      <c r="H2445" s="9" t="n">
        <v>12</v>
      </c>
      <c r="I2445" s="9" t="inlineStr">
        <is>
          <t>1/1</t>
        </is>
      </c>
      <c r="J2445" s="50" t="n">
        <v>1</v>
      </c>
      <c r="K2445" t="inlineStr">
        <is>
          <t>Distinguished</t>
        </is>
      </c>
      <c r="L2445" t="inlineStr">
        <is>
          <t>Professional</t>
        </is>
      </c>
      <c r="M2445" t="inlineStr">
        <is>
          <t>Ela Cross</t>
        </is>
      </c>
    </row>
    <row r="2446">
      <c r="A2446" s="9" t="inlineStr">
        <is>
          <t>Armand Brouty</t>
        </is>
      </c>
      <c r="B2446" s="9" t="inlineStr">
        <is>
          <t>3/22/26 - 4/18/26</t>
        </is>
      </c>
      <c r="C2446" s="9" t="n">
        <v>0.8333</v>
      </c>
      <c r="D2446" s="9" t="n">
        <v>1.66449999999999</v>
      </c>
      <c r="E2446" s="9" t="n">
        <v>0.988636363636363</v>
      </c>
      <c r="F2446" s="12" t="n">
        <v>1</v>
      </c>
      <c r="G2446" s="9" t="n">
        <v>1</v>
      </c>
      <c r="H2446" s="9" t="n">
        <v>5</v>
      </c>
      <c r="I2446" s="9" t="inlineStr">
        <is>
          <t>3/3</t>
        </is>
      </c>
      <c r="J2446" s="50" t="n">
        <v>1</v>
      </c>
      <c r="K2446" t="inlineStr">
        <is>
          <t>Distinguished</t>
        </is>
      </c>
      <c r="L2446" t="inlineStr">
        <is>
          <t>Professional</t>
        </is>
      </c>
      <c r="M2446" t="inlineStr">
        <is>
          <t>Ian Plamondon</t>
        </is>
      </c>
    </row>
    <row r="2447">
      <c r="A2447" s="9" t="inlineStr">
        <is>
          <t>Ashley Scorsone</t>
        </is>
      </c>
      <c r="B2447" s="9" t="inlineStr">
        <is>
          <t>3/22/26 - 4/18/26</t>
        </is>
      </c>
      <c r="C2447" s="9" t="n">
        <v>0.825</v>
      </c>
      <c r="D2447" s="9" t="n">
        <v>1.468</v>
      </c>
      <c r="E2447" s="9" t="n">
        <v>0.922330097087378</v>
      </c>
      <c r="F2447" s="12" t="n">
        <v>0.873</v>
      </c>
      <c r="G2447" s="9" t="n">
        <v>0.956521739130434</v>
      </c>
      <c r="H2447" s="9" t="n">
        <v>1</v>
      </c>
      <c r="I2447" s="9" t="inlineStr">
        <is>
          <t>2/5</t>
        </is>
      </c>
      <c r="J2447" s="50" t="n">
        <v>0.4</v>
      </c>
      <c r="K2447" t="inlineStr">
        <is>
          <t>Premium</t>
        </is>
      </c>
      <c r="L2447" t="inlineStr">
        <is>
          <t>Professional</t>
        </is>
      </c>
      <c r="M2447" t="inlineStr">
        <is>
          <t>Geoff St. Marie</t>
        </is>
      </c>
    </row>
    <row r="2448">
      <c r="A2448" s="9" t="inlineStr">
        <is>
          <t>Autumn Reed</t>
        </is>
      </c>
      <c r="B2448" s="9" t="inlineStr">
        <is>
          <t>3/22/26 - 4/18/26</t>
        </is>
      </c>
      <c r="C2448" s="9" t="n">
        <v>0.975</v>
      </c>
      <c r="D2448" s="9" t="n">
        <v>1.2891</v>
      </c>
      <c r="E2448" s="9" t="n">
        <v>1</v>
      </c>
      <c r="F2448" s="12" t="n">
        <v>1</v>
      </c>
      <c r="G2448" s="9" t="n">
        <v>0.25</v>
      </c>
      <c r="H2448" s="9" t="n">
        <v>9</v>
      </c>
      <c r="I2448" s="9" t="inlineStr">
        <is>
          <t>2/3</t>
        </is>
      </c>
      <c r="J2448" s="50" t="n">
        <v>0.67</v>
      </c>
      <c r="K2448" t="inlineStr">
        <is>
          <t>Advanced</t>
        </is>
      </c>
      <c r="L2448" t="inlineStr">
        <is>
          <t>Adjunct</t>
        </is>
      </c>
      <c r="M2448" t="inlineStr">
        <is>
          <t>Geoff St. Marie</t>
        </is>
      </c>
    </row>
    <row r="2449">
      <c r="A2449" s="9" t="inlineStr">
        <is>
          <t>Ava Robledo</t>
        </is>
      </c>
      <c r="B2449" s="9" t="inlineStr">
        <is>
          <t>3/22/26 - 4/18/26</t>
        </is>
      </c>
      <c r="C2449" s="9" t="n">
        <v>0.7708</v>
      </c>
      <c r="D2449" s="9" t="n">
        <v>1.0977</v>
      </c>
      <c r="E2449" s="9" t="n">
        <v>0.838709677419354</v>
      </c>
      <c r="F2449" s="12" t="n">
        <v>0.909</v>
      </c>
      <c r="G2449" s="9" t="n">
        <v>0.4</v>
      </c>
      <c r="H2449" s="9" t="n">
        <v>4</v>
      </c>
      <c r="I2449" s="9" t="inlineStr">
        <is>
          <t>0/4</t>
        </is>
      </c>
      <c r="J2449" s="50" t="n">
        <v>0</v>
      </c>
      <c r="K2449" t="inlineStr">
        <is>
          <t>Advanced</t>
        </is>
      </c>
      <c r="L2449" t="inlineStr">
        <is>
          <t>Adjunct</t>
        </is>
      </c>
      <c r="M2449" t="inlineStr">
        <is>
          <t>Ela Cross</t>
        </is>
      </c>
    </row>
    <row r="2450">
      <c r="A2450" s="9" t="inlineStr">
        <is>
          <t>Ayman Smoot</t>
        </is>
      </c>
      <c r="B2450" s="9" t="inlineStr">
        <is>
          <t>3/22/26 - 4/18/26</t>
        </is>
      </c>
      <c r="C2450" s="9" t="n">
        <v>0.9583</v>
      </c>
      <c r="D2450" s="9" t="n">
        <v>1.9297</v>
      </c>
      <c r="E2450" s="9" t="n">
        <v>0.9090909090909089</v>
      </c>
      <c r="F2450" s="12" t="n">
        <v>1</v>
      </c>
      <c r="G2450" s="9" t="n">
        <v>0.727272727272727</v>
      </c>
      <c r="H2450" s="9" t="n">
        <v>5</v>
      </c>
      <c r="J2450" s="50" t="n"/>
      <c r="K2450" t="inlineStr">
        <is>
          <t>Distinguished</t>
        </is>
      </c>
      <c r="L2450" t="inlineStr">
        <is>
          <t>Adjunct</t>
        </is>
      </c>
      <c r="M2450" t="inlineStr">
        <is>
          <t>Annelies de Groot</t>
        </is>
      </c>
    </row>
    <row r="2451">
      <c r="A2451" s="9" t="inlineStr">
        <is>
          <t>Ben Taylor</t>
        </is>
      </c>
      <c r="B2451" s="9" t="inlineStr">
        <is>
          <t>3/22/26 - 4/18/26</t>
        </is>
      </c>
      <c r="C2451" s="9" t="n">
        <v>0.4333</v>
      </c>
      <c r="D2451" s="9" t="n">
        <v>1.1938</v>
      </c>
      <c r="E2451" s="9" t="n">
        <v>1</v>
      </c>
      <c r="F2451" s="12" t="n">
        <v>1</v>
      </c>
      <c r="G2451" s="9" t="n">
        <v>1</v>
      </c>
      <c r="H2451" s="9" t="n">
        <v>1</v>
      </c>
      <c r="I2451" s="9" t="inlineStr">
        <is>
          <t>1/1</t>
        </is>
      </c>
      <c r="J2451" s="50" t="n">
        <v>1</v>
      </c>
      <c r="K2451" t="inlineStr">
        <is>
          <t>Premium</t>
        </is>
      </c>
      <c r="L2451" t="inlineStr">
        <is>
          <t>Professional</t>
        </is>
      </c>
      <c r="M2451" t="inlineStr">
        <is>
          <t>Kristin Haase-Alvey</t>
        </is>
      </c>
    </row>
    <row r="2452">
      <c r="A2452" s="9" t="inlineStr">
        <is>
          <t>Blake Maly</t>
        </is>
      </c>
      <c r="B2452" s="9" t="inlineStr">
        <is>
          <t>3/22/26 - 4/18/26</t>
        </is>
      </c>
      <c r="C2452" s="9" t="n">
        <v>0.9536</v>
      </c>
      <c r="D2452" s="9" t="n">
        <v>0.9898</v>
      </c>
      <c r="E2452" s="9" t="n">
        <v>0.98473282442748</v>
      </c>
      <c r="F2452" s="12" t="n">
        <v>1</v>
      </c>
      <c r="G2452" s="9" t="n">
        <v>0.925925925925925</v>
      </c>
      <c r="H2452" s="9" t="n">
        <v>16</v>
      </c>
      <c r="I2452" s="9" t="inlineStr">
        <is>
          <t>4/5</t>
        </is>
      </c>
      <c r="J2452" s="50" t="n">
        <v>0.8</v>
      </c>
      <c r="K2452" t="inlineStr">
        <is>
          <t>Distinguished</t>
        </is>
      </c>
      <c r="L2452" t="inlineStr">
        <is>
          <t>Professional</t>
        </is>
      </c>
      <c r="M2452" t="inlineStr">
        <is>
          <t>Annelies de Groot</t>
        </is>
      </c>
    </row>
    <row r="2453">
      <c r="A2453" s="9" t="inlineStr">
        <is>
          <t>Brandon Engle</t>
        </is>
      </c>
      <c r="B2453" s="9" t="inlineStr">
        <is>
          <t>3/22/26 - 4/18/26</t>
        </is>
      </c>
      <c r="C2453" s="9" t="n">
        <v>0.9571</v>
      </c>
      <c r="D2453" s="9" t="n">
        <v>1.0785</v>
      </c>
      <c r="E2453" s="9" t="n">
        <v>1</v>
      </c>
      <c r="F2453" s="12" t="n">
        <v>0.944</v>
      </c>
      <c r="G2453" s="9" t="n">
        <v>0.857142857142857</v>
      </c>
      <c r="H2453" s="9" t="n">
        <v>14</v>
      </c>
      <c r="I2453" s="9" t="inlineStr">
        <is>
          <t>1/1</t>
        </is>
      </c>
      <c r="J2453" s="50" t="n">
        <v>1</v>
      </c>
      <c r="K2453" t="inlineStr">
        <is>
          <t>Distinguished</t>
        </is>
      </c>
      <c r="L2453" t="inlineStr">
        <is>
          <t>Professional</t>
        </is>
      </c>
      <c r="M2453" t="inlineStr">
        <is>
          <t>Annelies de Groot</t>
        </is>
      </c>
    </row>
    <row r="2454">
      <c r="A2454" s="9" t="inlineStr">
        <is>
          <t>Brandon Lora</t>
        </is>
      </c>
      <c r="B2454" s="9" t="inlineStr">
        <is>
          <t>3/22/26 - 4/18/26</t>
        </is>
      </c>
      <c r="C2454" s="9" t="n">
        <v>1.1458</v>
      </c>
      <c r="D2454" s="9" t="n">
        <v>1.10859999999999</v>
      </c>
      <c r="E2454" s="9" t="n">
        <v>0.944881889763779</v>
      </c>
      <c r="F2454" s="12" t="n">
        <v>0.826</v>
      </c>
      <c r="G2454" s="9" t="n">
        <v>0.666666666666666</v>
      </c>
      <c r="H2454" s="9" t="n">
        <v>2</v>
      </c>
      <c r="I2454" s="9" t="inlineStr">
        <is>
          <t>5/7</t>
        </is>
      </c>
      <c r="J2454" s="50" t="n">
        <v>0.71</v>
      </c>
      <c r="K2454" t="inlineStr">
        <is>
          <t>Distinguished</t>
        </is>
      </c>
      <c r="L2454" t="inlineStr">
        <is>
          <t>Professional</t>
        </is>
      </c>
      <c r="M2454" t="inlineStr">
        <is>
          <t>Annelies de Groot</t>
        </is>
      </c>
    </row>
    <row r="2455">
      <c r="A2455" s="9" t="inlineStr">
        <is>
          <t>Breanna Lowe</t>
        </is>
      </c>
      <c r="B2455" s="9" t="inlineStr">
        <is>
          <t>3/22/26 - 4/18/26</t>
        </is>
      </c>
      <c r="C2455" s="9" t="n">
        <v>0</v>
      </c>
      <c r="D2455" s="9" t="n">
        <v>0.3333</v>
      </c>
      <c r="E2455" s="9" t="n"/>
      <c r="G2455" s="9" t="n"/>
      <c r="J2455" s="50" t="n"/>
      <c r="K2455" t="inlineStr">
        <is>
          <t>Advanced</t>
        </is>
      </c>
      <c r="L2455" t="inlineStr">
        <is>
          <t>Adjunct</t>
        </is>
      </c>
      <c r="M2455" t="inlineStr">
        <is>
          <t>Katherine Marino</t>
        </is>
      </c>
    </row>
    <row r="2456">
      <c r="A2456" s="9" t="inlineStr">
        <is>
          <t>Brenna Hubnik</t>
        </is>
      </c>
      <c r="B2456" s="9" t="inlineStr">
        <is>
          <t>3/22/26 - 4/18/26</t>
        </is>
      </c>
      <c r="C2456" s="9" t="n">
        <v>1.0208</v>
      </c>
      <c r="D2456" s="9" t="n">
        <v>1.1328</v>
      </c>
      <c r="E2456" s="9" t="n">
        <v>1</v>
      </c>
      <c r="F2456" s="12" t="n">
        <v>1</v>
      </c>
      <c r="G2456" s="9" t="n">
        <v>0.928571428571428</v>
      </c>
      <c r="H2456" s="9" t="n">
        <v>7</v>
      </c>
      <c r="I2456" s="9" t="inlineStr">
        <is>
          <t>1/2</t>
        </is>
      </c>
      <c r="J2456" s="50" t="n">
        <v>0.5</v>
      </c>
      <c r="K2456" t="inlineStr">
        <is>
          <t>Distinguished</t>
        </is>
      </c>
      <c r="L2456" t="inlineStr">
        <is>
          <t>Adjunct</t>
        </is>
      </c>
      <c r="M2456" t="inlineStr">
        <is>
          <t>Annelies de Groot</t>
        </is>
      </c>
    </row>
    <row r="2457">
      <c r="A2457" s="9" t="inlineStr">
        <is>
          <t>Brian Cohen</t>
        </is>
      </c>
      <c r="B2457" s="9" t="inlineStr">
        <is>
          <t>3/22/26 - 4/18/26</t>
        </is>
      </c>
      <c r="C2457" s="9" t="n">
        <v>0.9896</v>
      </c>
      <c r="D2457" s="9" t="n">
        <v>0.9843999999999991</v>
      </c>
      <c r="E2457" s="9" t="n">
        <v>1</v>
      </c>
      <c r="F2457" s="12" t="n">
        <v>1</v>
      </c>
      <c r="G2457" s="9" t="n">
        <v>1</v>
      </c>
      <c r="H2457" s="9" t="n">
        <v>2</v>
      </c>
      <c r="J2457" s="50" t="n"/>
      <c r="K2457" t="inlineStr">
        <is>
          <t>Premium</t>
        </is>
      </c>
      <c r="L2457" t="inlineStr">
        <is>
          <t>Adjunct</t>
        </is>
      </c>
      <c r="M2457" t="inlineStr">
        <is>
          <t>Annelies de Groot</t>
        </is>
      </c>
    </row>
    <row r="2458">
      <c r="A2458" s="9" t="inlineStr">
        <is>
          <t>Brian James</t>
        </is>
      </c>
      <c r="B2458" s="9" t="inlineStr">
        <is>
          <t>3/22/26 - 4/18/26</t>
        </is>
      </c>
      <c r="C2458" s="9" t="n">
        <v>1.175</v>
      </c>
      <c r="D2458" s="9" t="n">
        <v>1.2401</v>
      </c>
      <c r="E2458" s="9" t="n">
        <v>1</v>
      </c>
      <c r="F2458" s="12" t="n">
        <v>0.988</v>
      </c>
      <c r="G2458" s="9" t="n">
        <v>0.925925925925925</v>
      </c>
      <c r="H2458" s="9" t="n">
        <v>16</v>
      </c>
      <c r="I2458" s="9" t="inlineStr">
        <is>
          <t>1/2</t>
        </is>
      </c>
      <c r="J2458" s="50" t="n">
        <v>0.5</v>
      </c>
      <c r="K2458" t="inlineStr">
        <is>
          <t>Distinguished</t>
        </is>
      </c>
      <c r="L2458" t="inlineStr">
        <is>
          <t>Professional</t>
        </is>
      </c>
      <c r="M2458" t="inlineStr">
        <is>
          <t>Annelies de Groot</t>
        </is>
      </c>
    </row>
    <row r="2459">
      <c r="A2459" s="9" t="inlineStr">
        <is>
          <t>Brian Johnson</t>
        </is>
      </c>
      <c r="B2459" s="9" t="inlineStr">
        <is>
          <t>3/22/26 - 4/18/26</t>
        </is>
      </c>
      <c r="C2459" s="9" t="n">
        <v>0.8458</v>
      </c>
      <c r="D2459" s="9" t="n">
        <v>1.09209999999999</v>
      </c>
      <c r="E2459" s="9" t="n">
        <v>1</v>
      </c>
      <c r="F2459" s="12" t="n">
        <v>0.714</v>
      </c>
      <c r="G2459" s="9" t="n">
        <v>0.25</v>
      </c>
      <c r="H2459" s="9" t="n">
        <v>2</v>
      </c>
      <c r="I2459" s="9" t="inlineStr">
        <is>
          <t>3/5</t>
        </is>
      </c>
      <c r="J2459" s="50" t="n">
        <v>0.6</v>
      </c>
      <c r="K2459" t="inlineStr">
        <is>
          <t>Distinguished</t>
        </is>
      </c>
      <c r="L2459" t="inlineStr">
        <is>
          <t>Professional</t>
        </is>
      </c>
      <c r="M2459" t="inlineStr">
        <is>
          <t>Kristin Haase-Alvey</t>
        </is>
      </c>
    </row>
    <row r="2460">
      <c r="A2460" s="9" t="inlineStr">
        <is>
          <t>Brittany Drew</t>
        </is>
      </c>
      <c r="B2460" s="9" t="inlineStr">
        <is>
          <t>3/22/26 - 4/18/26</t>
        </is>
      </c>
      <c r="C2460" s="9" t="n">
        <v>1.0458</v>
      </c>
      <c r="D2460" s="9" t="n">
        <v>1.08219999999999</v>
      </c>
      <c r="E2460" s="9" t="n">
        <v>1</v>
      </c>
      <c r="F2460" s="12" t="n">
        <v>1</v>
      </c>
      <c r="G2460" s="9" t="n">
        <v>0.88235294117647</v>
      </c>
      <c r="H2460" s="9" t="n">
        <v>6</v>
      </c>
      <c r="I2460" s="9" t="inlineStr">
        <is>
          <t>3/4</t>
        </is>
      </c>
      <c r="J2460" s="50" t="n">
        <v>0.75</v>
      </c>
      <c r="K2460" t="inlineStr">
        <is>
          <t>Distinguished</t>
        </is>
      </c>
      <c r="L2460" t="inlineStr">
        <is>
          <t>Professional</t>
        </is>
      </c>
      <c r="M2460" t="inlineStr">
        <is>
          <t>Ela Cross</t>
        </is>
      </c>
    </row>
    <row r="2461">
      <c r="A2461" s="9" t="inlineStr">
        <is>
          <t>Brock Dilley</t>
        </is>
      </c>
      <c r="B2461" s="9" t="inlineStr">
        <is>
          <t>3/22/26 - 4/18/26</t>
        </is>
      </c>
      <c r="C2461" s="9" t="n">
        <v>1</v>
      </c>
      <c r="D2461" s="9" t="n">
        <v>1.2108</v>
      </c>
      <c r="E2461" s="9" t="n">
        <v>0.992957746478873</v>
      </c>
      <c r="F2461" s="12" t="n">
        <v>0.979</v>
      </c>
      <c r="G2461" s="9" t="n">
        <v>0.631578947368421</v>
      </c>
      <c r="H2461" s="9" t="n">
        <v>8</v>
      </c>
      <c r="I2461" s="9" t="inlineStr">
        <is>
          <t>6/10</t>
        </is>
      </c>
      <c r="J2461" s="50" t="n">
        <v>0.6</v>
      </c>
      <c r="K2461" t="inlineStr">
        <is>
          <t>Distinguished</t>
        </is>
      </c>
      <c r="L2461" t="inlineStr">
        <is>
          <t>Professional</t>
        </is>
      </c>
      <c r="M2461" t="inlineStr">
        <is>
          <t>Annelies de Groot</t>
        </is>
      </c>
    </row>
    <row r="2462">
      <c r="A2462" s="9" t="inlineStr">
        <is>
          <t>Bryant Salinas</t>
        </is>
      </c>
      <c r="B2462" s="9" t="inlineStr">
        <is>
          <t>3/22/26 - 4/18/26</t>
        </is>
      </c>
      <c r="C2462" s="9" t="n">
        <v>0.9625</v>
      </c>
      <c r="D2462" s="9" t="n">
        <v>1.097</v>
      </c>
      <c r="E2462" s="9" t="n">
        <v>0.935779816513761</v>
      </c>
      <c r="F2462" s="12" t="n">
        <v>0.974</v>
      </c>
      <c r="G2462" s="9" t="n">
        <v>0.913043478260869</v>
      </c>
      <c r="H2462" s="9" t="n">
        <v>9</v>
      </c>
      <c r="I2462" s="9" t="inlineStr">
        <is>
          <t>1/1</t>
        </is>
      </c>
      <c r="J2462" s="50" t="n">
        <v>1</v>
      </c>
      <c r="K2462" t="inlineStr">
        <is>
          <t>Premium</t>
        </is>
      </c>
      <c r="L2462" t="inlineStr">
        <is>
          <t>Professional</t>
        </is>
      </c>
      <c r="M2462" t="inlineStr">
        <is>
          <t>Geoff St. Marie</t>
        </is>
      </c>
    </row>
    <row r="2463">
      <c r="A2463" s="9" t="inlineStr">
        <is>
          <t>Cadence Liles</t>
        </is>
      </c>
      <c r="B2463" s="9" t="inlineStr">
        <is>
          <t>3/22/26 - 4/18/26</t>
        </is>
      </c>
      <c r="C2463" s="9" t="n">
        <v>0.3375</v>
      </c>
      <c r="D2463" s="9" t="n">
        <v>0.882799999999999</v>
      </c>
      <c r="E2463" s="9" t="n">
        <v>1</v>
      </c>
      <c r="F2463" s="12" t="n">
        <v>0.9409999999999999</v>
      </c>
      <c r="G2463" s="9" t="n">
        <v>0</v>
      </c>
      <c r="I2463" s="9" t="inlineStr">
        <is>
          <t>6/8</t>
        </is>
      </c>
      <c r="J2463" s="50" t="n">
        <v>0.75</v>
      </c>
      <c r="K2463" t="inlineStr">
        <is>
          <t>Advanced</t>
        </is>
      </c>
      <c r="L2463" t="inlineStr">
        <is>
          <t>Adjunct</t>
        </is>
      </c>
      <c r="M2463" t="inlineStr">
        <is>
          <t>Nikki Pencak</t>
        </is>
      </c>
    </row>
    <row r="2464">
      <c r="A2464" s="9" t="inlineStr">
        <is>
          <t>Cait White</t>
        </is>
      </c>
      <c r="B2464" s="9" t="inlineStr">
        <is>
          <t>3/22/26 - 4/18/26</t>
        </is>
      </c>
      <c r="C2464" s="9" t="n">
        <v>0.5208</v>
      </c>
      <c r="D2464" s="9" t="n">
        <v>1.1094</v>
      </c>
      <c r="E2464" s="9" t="n">
        <v>1</v>
      </c>
      <c r="F2464" s="12" t="n">
        <v>1</v>
      </c>
      <c r="G2464" s="9" t="n">
        <v>0.333333333333333</v>
      </c>
      <c r="H2464" s="9" t="n">
        <v>3</v>
      </c>
      <c r="J2464" s="50" t="n"/>
      <c r="K2464" t="inlineStr">
        <is>
          <t>Premium</t>
        </is>
      </c>
      <c r="L2464" t="inlineStr">
        <is>
          <t>Adjunct</t>
        </is>
      </c>
      <c r="M2464" t="inlineStr">
        <is>
          <t>Ela Cross</t>
        </is>
      </c>
    </row>
    <row r="2465">
      <c r="A2465" s="9" t="inlineStr">
        <is>
          <t>Cameron Hojecki</t>
        </is>
      </c>
      <c r="B2465" s="9" t="inlineStr">
        <is>
          <t>3/22/26 - 4/18/26</t>
        </is>
      </c>
      <c r="C2465" s="9" t="n">
        <v>0.7375</v>
      </c>
      <c r="D2465" s="9" t="n">
        <v>1.1849</v>
      </c>
      <c r="E2465" s="9" t="n">
        <v>0.92</v>
      </c>
      <c r="F2465" s="12" t="n">
        <v>0.8110000000000001</v>
      </c>
      <c r="G2465" s="9" t="n">
        <v>0.727272727272727</v>
      </c>
      <c r="H2465" s="9" t="n">
        <v>6</v>
      </c>
      <c r="J2465" s="50" t="n"/>
      <c r="K2465" t="inlineStr">
        <is>
          <t>Advanced</t>
        </is>
      </c>
      <c r="L2465" t="inlineStr">
        <is>
          <t>Adjunct</t>
        </is>
      </c>
      <c r="M2465" t="inlineStr">
        <is>
          <t>Geoff St. Marie</t>
        </is>
      </c>
    </row>
    <row r="2466">
      <c r="A2466" s="9" t="inlineStr">
        <is>
          <t>Camryn To</t>
        </is>
      </c>
      <c r="B2466" s="9" t="inlineStr">
        <is>
          <t>3/22/26 - 4/18/26</t>
        </is>
      </c>
      <c r="C2466" s="9" t="n">
        <v>1.2292</v>
      </c>
      <c r="D2466" s="9" t="n">
        <v>1.0977</v>
      </c>
      <c r="E2466" s="9" t="n">
        <v>1</v>
      </c>
      <c r="F2466" s="12" t="n">
        <v>0.909</v>
      </c>
      <c r="G2466" s="9" t="n">
        <v>0.625</v>
      </c>
      <c r="H2466" s="9" t="n">
        <v>2</v>
      </c>
      <c r="J2466" s="50" t="n"/>
      <c r="K2466" t="inlineStr">
        <is>
          <t>Distinguished</t>
        </is>
      </c>
      <c r="L2466" t="inlineStr">
        <is>
          <t>Adjunct</t>
        </is>
      </c>
      <c r="M2466" t="inlineStr">
        <is>
          <t>Kristin Haase-Alvey</t>
        </is>
      </c>
    </row>
    <row r="2467">
      <c r="A2467" s="9" t="inlineStr">
        <is>
          <t>Cara Rabaev (McLaughlin)</t>
        </is>
      </c>
      <c r="B2467" s="9" t="inlineStr">
        <is>
          <t>3/22/26 - 4/18/26</t>
        </is>
      </c>
      <c r="C2467" s="9" t="n">
        <v>1.0542</v>
      </c>
      <c r="D2467" s="9" t="n">
        <v>1.0674</v>
      </c>
      <c r="E2467" s="9" t="n">
        <v>0.915254237288135</v>
      </c>
      <c r="F2467" s="12" t="n">
        <v>0.87</v>
      </c>
      <c r="G2467" s="9" t="n">
        <v>1</v>
      </c>
      <c r="H2467" s="9" t="n">
        <v>1</v>
      </c>
      <c r="I2467" s="9" t="inlineStr">
        <is>
          <t>0/1</t>
        </is>
      </c>
      <c r="J2467" s="50" t="n">
        <v>0</v>
      </c>
      <c r="K2467" t="inlineStr">
        <is>
          <t>Distinguished</t>
        </is>
      </c>
      <c r="L2467" t="inlineStr">
        <is>
          <t>Professional</t>
        </is>
      </c>
      <c r="M2467" t="inlineStr">
        <is>
          <t>Ian Plamondon</t>
        </is>
      </c>
    </row>
    <row r="2468">
      <c r="A2468" s="9" t="inlineStr">
        <is>
          <t>Carina Shanahan</t>
        </is>
      </c>
      <c r="B2468" s="9" t="inlineStr">
        <is>
          <t>3/22/26 - 4/18/26</t>
        </is>
      </c>
      <c r="C2468" s="9" t="n">
        <v>1.1167</v>
      </c>
      <c r="D2468" s="9" t="n">
        <v>1.04109999999999</v>
      </c>
      <c r="E2468" s="9" t="n">
        <v>0.943089430894308</v>
      </c>
      <c r="F2468" s="12" t="n">
        <v>0.92</v>
      </c>
      <c r="G2468" s="9" t="n">
        <v>0.655172413793103</v>
      </c>
      <c r="H2468" s="9" t="n">
        <v>14</v>
      </c>
      <c r="J2468" s="50" t="n"/>
      <c r="K2468" t="inlineStr">
        <is>
          <t>Distinguished</t>
        </is>
      </c>
      <c r="L2468" t="inlineStr">
        <is>
          <t>Professional</t>
        </is>
      </c>
      <c r="M2468" t="inlineStr">
        <is>
          <t>Kristin Haase-Alvey</t>
        </is>
      </c>
    </row>
    <row r="2469">
      <c r="A2469" s="9" t="inlineStr">
        <is>
          <t>Casey Young</t>
        </is>
      </c>
      <c r="B2469" s="9" t="inlineStr">
        <is>
          <t>3/22/26 - 4/18/26</t>
        </is>
      </c>
      <c r="C2469" s="9" t="n">
        <v>0.7964</v>
      </c>
      <c r="D2469" s="9" t="n">
        <v>1.01739999999999</v>
      </c>
      <c r="E2469" s="9" t="n">
        <v>1</v>
      </c>
      <c r="F2469" s="12" t="n">
        <v>0.989</v>
      </c>
      <c r="G2469" s="9" t="n">
        <v>0.913043478260869</v>
      </c>
      <c r="H2469" s="9" t="n">
        <v>13</v>
      </c>
      <c r="I2469" s="9" t="inlineStr">
        <is>
          <t>5/5</t>
        </is>
      </c>
      <c r="J2469" s="50" t="n">
        <v>1</v>
      </c>
      <c r="K2469" t="inlineStr">
        <is>
          <t>Distinguished</t>
        </is>
      </c>
      <c r="L2469" t="inlineStr">
        <is>
          <t>Professional</t>
        </is>
      </c>
      <c r="M2469" t="inlineStr">
        <is>
          <t>Ela Cross</t>
        </is>
      </c>
    </row>
    <row r="2470">
      <c r="A2470" s="9" t="inlineStr">
        <is>
          <t>Charlie Anderson</t>
        </is>
      </c>
      <c r="B2470" s="9" t="inlineStr">
        <is>
          <t>3/22/26 - 4/18/26</t>
        </is>
      </c>
      <c r="C2470" s="9" t="n">
        <v>0.5292</v>
      </c>
      <c r="D2470" s="9" t="n">
        <v>1.0099</v>
      </c>
      <c r="E2470" s="9" t="n">
        <v>1</v>
      </c>
      <c r="F2470" s="12" t="n">
        <v>0.6899999999999999</v>
      </c>
      <c r="G2470" s="9" t="n">
        <v>0.692307692307692</v>
      </c>
      <c r="H2470" s="9" t="n">
        <v>8</v>
      </c>
      <c r="J2470" s="50" t="n"/>
      <c r="K2470" t="inlineStr">
        <is>
          <t>Distinguished</t>
        </is>
      </c>
      <c r="L2470" t="inlineStr">
        <is>
          <t>Professional</t>
        </is>
      </c>
      <c r="M2470" t="inlineStr">
        <is>
          <t>Annelies de Groot</t>
        </is>
      </c>
    </row>
    <row r="2471">
      <c r="A2471" s="9" t="inlineStr">
        <is>
          <t>Chazlee Myers</t>
        </is>
      </c>
      <c r="B2471" s="9" t="inlineStr">
        <is>
          <t>3/22/26 - 4/18/26</t>
        </is>
      </c>
      <c r="C2471" s="9" t="n">
        <v>1.0167</v>
      </c>
      <c r="D2471" s="9" t="n">
        <v>1.0428</v>
      </c>
      <c r="E2471" s="9" t="n">
        <v>0.9360000000000001</v>
      </c>
      <c r="F2471" s="12" t="n">
        <v>0.966</v>
      </c>
      <c r="G2471" s="9" t="n">
        <v>0.791666666666666</v>
      </c>
      <c r="H2471" s="9" t="n">
        <v>8</v>
      </c>
      <c r="I2471" s="9" t="inlineStr">
        <is>
          <t>0/1</t>
        </is>
      </c>
      <c r="J2471" s="50" t="n">
        <v>0</v>
      </c>
      <c r="K2471" t="inlineStr">
        <is>
          <t>Distinguished</t>
        </is>
      </c>
      <c r="L2471" t="inlineStr">
        <is>
          <t>Professional</t>
        </is>
      </c>
      <c r="M2471" t="inlineStr">
        <is>
          <t>Ian Plamondon</t>
        </is>
      </c>
    </row>
    <row r="2472">
      <c r="A2472" s="9" t="inlineStr">
        <is>
          <t>Chelsea Kobea</t>
        </is>
      </c>
      <c r="B2472" s="9" t="inlineStr">
        <is>
          <t>3/22/26 - 4/18/26</t>
        </is>
      </c>
      <c r="C2472" s="9" t="n">
        <v>0.8083</v>
      </c>
      <c r="D2472" s="9" t="n">
        <v>1.1151</v>
      </c>
      <c r="E2472" s="9" t="n">
        <v>0.807692307692307</v>
      </c>
      <c r="F2472" s="12" t="n">
        <v>0.806</v>
      </c>
      <c r="G2472" s="9" t="n">
        <v>0.75</v>
      </c>
      <c r="H2472" s="9" t="n">
        <v>5</v>
      </c>
      <c r="I2472" s="9" t="inlineStr">
        <is>
          <t>0/14</t>
        </is>
      </c>
      <c r="J2472" s="50" t="n">
        <v>0</v>
      </c>
      <c r="K2472" t="inlineStr">
        <is>
          <t>Distinguished</t>
        </is>
      </c>
      <c r="L2472" t="inlineStr">
        <is>
          <t>Professional</t>
        </is>
      </c>
      <c r="M2472" t="inlineStr">
        <is>
          <t>Kristin Haase-Alvey</t>
        </is>
      </c>
    </row>
    <row r="2473">
      <c r="A2473" s="9" t="inlineStr">
        <is>
          <t>Cheyanne Jones</t>
        </is>
      </c>
      <c r="B2473" s="9" t="inlineStr">
        <is>
          <t>3/22/26 - 4/18/26</t>
        </is>
      </c>
      <c r="C2473" s="9" t="n">
        <v>1.1583</v>
      </c>
      <c r="D2473" s="9" t="n">
        <v>1.074</v>
      </c>
      <c r="E2473" s="9" t="n">
        <v>1</v>
      </c>
      <c r="F2473" s="12" t="n">
        <v>1</v>
      </c>
      <c r="G2473" s="9" t="n">
        <v>1</v>
      </c>
      <c r="H2473" s="9" t="n">
        <v>6</v>
      </c>
      <c r="I2473" s="9" t="inlineStr">
        <is>
          <t>10/11</t>
        </is>
      </c>
      <c r="J2473" s="50" t="n">
        <v>0.91</v>
      </c>
      <c r="K2473" t="inlineStr">
        <is>
          <t>Distinguished</t>
        </is>
      </c>
      <c r="L2473" t="inlineStr">
        <is>
          <t>Professional</t>
        </is>
      </c>
      <c r="M2473" t="inlineStr">
        <is>
          <t>Kristin Haase-Alvey</t>
        </is>
      </c>
    </row>
    <row r="2474">
      <c r="A2474" s="9" t="inlineStr">
        <is>
          <t>Chris Prouty</t>
        </is>
      </c>
      <c r="B2474" s="9" t="inlineStr">
        <is>
          <t>3/22/26 - 4/18/26</t>
        </is>
      </c>
      <c r="C2474" s="9" t="n">
        <v>0.8375</v>
      </c>
      <c r="D2474" s="9" t="n">
        <v>1.1667</v>
      </c>
      <c r="E2474" s="9" t="n">
        <v>0.952380952380952</v>
      </c>
      <c r="F2474" s="12" t="n">
        <v>1</v>
      </c>
      <c r="G2474" s="9" t="n">
        <v>0.9375</v>
      </c>
      <c r="H2474" s="9" t="n">
        <v>5</v>
      </c>
      <c r="J2474" s="50" t="n"/>
      <c r="K2474" t="inlineStr">
        <is>
          <t>Premium</t>
        </is>
      </c>
      <c r="L2474" t="inlineStr">
        <is>
          <t>Adjunct</t>
        </is>
      </c>
      <c r="M2474" t="inlineStr">
        <is>
          <t>Annelies de Groot</t>
        </is>
      </c>
    </row>
    <row r="2475">
      <c r="A2475" s="9" t="inlineStr">
        <is>
          <t>Chris Yoon</t>
        </is>
      </c>
      <c r="B2475" s="9" t="inlineStr">
        <is>
          <t>3/22/26 - 4/18/26</t>
        </is>
      </c>
      <c r="C2475" s="9" t="n">
        <v>0.8417</v>
      </c>
      <c r="D2475" s="9" t="n">
        <v>1.0757</v>
      </c>
      <c r="E2475" s="9" t="n">
        <v>0.9898989898989889</v>
      </c>
      <c r="F2475" s="12" t="n">
        <v>0.986</v>
      </c>
      <c r="G2475" s="9" t="n">
        <v>0</v>
      </c>
      <c r="H2475" s="9" t="n">
        <v>3</v>
      </c>
      <c r="I2475" s="9" t="inlineStr">
        <is>
          <t>1/9</t>
        </is>
      </c>
      <c r="J2475" s="50" t="n">
        <v>0.11</v>
      </c>
      <c r="K2475" t="inlineStr">
        <is>
          <t>Distinguished</t>
        </is>
      </c>
      <c r="L2475" t="inlineStr">
        <is>
          <t>Professional</t>
        </is>
      </c>
      <c r="M2475" t="inlineStr">
        <is>
          <t>Ian Plamondon</t>
        </is>
      </c>
    </row>
    <row r="2476">
      <c r="A2476" s="9" t="inlineStr">
        <is>
          <t>Christelle Rocha</t>
        </is>
      </c>
      <c r="B2476" s="9" t="inlineStr">
        <is>
          <t>3/22/26 - 4/18/26</t>
        </is>
      </c>
      <c r="C2476" s="9" t="n">
        <v>1.125</v>
      </c>
      <c r="D2476" s="9" t="n">
        <v>1.1929</v>
      </c>
      <c r="E2476" s="9" t="n">
        <v>1</v>
      </c>
      <c r="F2476" s="12" t="n">
        <v>0.968</v>
      </c>
      <c r="G2476" s="9" t="n">
        <v>0.444444444444444</v>
      </c>
      <c r="H2476" s="9" t="n">
        <v>7</v>
      </c>
      <c r="I2476" s="9" t="inlineStr">
        <is>
          <t>6/7</t>
        </is>
      </c>
      <c r="J2476" s="50" t="n">
        <v>0.86</v>
      </c>
      <c r="K2476" t="inlineStr">
        <is>
          <t>Distinguished</t>
        </is>
      </c>
      <c r="L2476" t="inlineStr">
        <is>
          <t>Professional</t>
        </is>
      </c>
      <c r="M2476" t="inlineStr">
        <is>
          <t>Annelies de Groot</t>
        </is>
      </c>
    </row>
    <row r="2477">
      <c r="A2477" s="9" t="inlineStr">
        <is>
          <t>Christian Collins</t>
        </is>
      </c>
      <c r="B2477" s="9" t="inlineStr">
        <is>
          <t>3/22/26 - 4/18/26</t>
        </is>
      </c>
      <c r="C2477" s="9" t="n">
        <v>1.0583</v>
      </c>
      <c r="D2477" s="9" t="n">
        <v>1.3191</v>
      </c>
      <c r="E2477" s="9" t="n">
        <v>1</v>
      </c>
      <c r="F2477" s="12" t="n">
        <v>1</v>
      </c>
      <c r="G2477" s="9" t="n">
        <v>0.809523809523809</v>
      </c>
      <c r="H2477" s="9" t="n">
        <v>16</v>
      </c>
      <c r="I2477" s="9" t="inlineStr">
        <is>
          <t>3/3</t>
        </is>
      </c>
      <c r="J2477" s="50" t="n">
        <v>1</v>
      </c>
      <c r="K2477" t="inlineStr">
        <is>
          <t>Premium</t>
        </is>
      </c>
      <c r="L2477" t="inlineStr">
        <is>
          <t>Professional</t>
        </is>
      </c>
      <c r="M2477" t="inlineStr">
        <is>
          <t>Ian Plamondon</t>
        </is>
      </c>
    </row>
    <row r="2478">
      <c r="A2478" s="9" t="inlineStr">
        <is>
          <t>Christian Steiner</t>
        </is>
      </c>
      <c r="B2478" s="9" t="inlineStr">
        <is>
          <t>3/22/26 - 4/18/26</t>
        </is>
      </c>
      <c r="C2478" s="9" t="n">
        <v>0.6458</v>
      </c>
      <c r="D2478" s="9" t="n">
        <v>1.0329</v>
      </c>
      <c r="E2478" s="9" t="n">
        <v>1</v>
      </c>
      <c r="F2478" s="12" t="n">
        <v>0.918</v>
      </c>
      <c r="G2478" s="9" t="n">
        <v>0.916666666666666</v>
      </c>
      <c r="H2478" s="9" t="n">
        <v>7</v>
      </c>
      <c r="I2478" s="9" t="inlineStr">
        <is>
          <t>1/2</t>
        </is>
      </c>
      <c r="J2478" s="50" t="n">
        <v>0.5</v>
      </c>
      <c r="K2478" t="inlineStr">
        <is>
          <t>Distinguished</t>
        </is>
      </c>
      <c r="L2478" t="inlineStr">
        <is>
          <t>Professional</t>
        </is>
      </c>
      <c r="M2478" t="inlineStr">
        <is>
          <t>Kristin Haase-Alvey</t>
        </is>
      </c>
    </row>
    <row r="2479">
      <c r="A2479" s="9" t="inlineStr">
        <is>
          <t>Christine Santos</t>
        </is>
      </c>
      <c r="B2479" s="9" t="inlineStr">
        <is>
          <t>3/22/26 - 4/18/26</t>
        </is>
      </c>
      <c r="C2479" s="9" t="n">
        <v>1.40629999999999</v>
      </c>
      <c r="D2479" s="9" t="n">
        <v>1.71479999999999</v>
      </c>
      <c r="E2479" s="9" t="n">
        <v>0.932203389830508</v>
      </c>
      <c r="F2479" s="12" t="n">
        <v>0.946</v>
      </c>
      <c r="G2479" s="9" t="n">
        <v>0.384615384615384</v>
      </c>
      <c r="H2479" s="9" t="n">
        <v>3</v>
      </c>
      <c r="I2479" s="9" t="inlineStr">
        <is>
          <t>1/2</t>
        </is>
      </c>
      <c r="J2479" s="50" t="n">
        <v>0.5</v>
      </c>
      <c r="K2479" t="inlineStr">
        <is>
          <t>Premium</t>
        </is>
      </c>
      <c r="L2479" t="inlineStr">
        <is>
          <t>Adjunct</t>
        </is>
      </c>
      <c r="M2479" t="inlineStr">
        <is>
          <t>Ela Cross</t>
        </is>
      </c>
    </row>
    <row r="2480">
      <c r="A2480" s="9" t="inlineStr">
        <is>
          <t>Clark Howard</t>
        </is>
      </c>
      <c r="B2480" s="9" t="inlineStr">
        <is>
          <t>3/22/26 - 4/18/26</t>
        </is>
      </c>
      <c r="C2480" s="9" t="n">
        <v>0.891</v>
      </c>
      <c r="D2480" s="9" t="n">
        <v>1.0148</v>
      </c>
      <c r="E2480" s="9" t="n">
        <v>0.963963963963963</v>
      </c>
      <c r="F2480" s="12" t="n">
        <v>0.843</v>
      </c>
      <c r="G2480" s="9" t="n">
        <v>0.64516129032258</v>
      </c>
      <c r="H2480" s="9" t="n">
        <v>12</v>
      </c>
      <c r="J2480" s="50" t="n"/>
      <c r="K2480" t="inlineStr">
        <is>
          <t>Distinguished</t>
        </is>
      </c>
      <c r="L2480" t="inlineStr">
        <is>
          <t>Professional</t>
        </is>
      </c>
      <c r="M2480" t="inlineStr">
        <is>
          <t>Ela Cross</t>
        </is>
      </c>
    </row>
    <row r="2481">
      <c r="A2481" s="9" t="inlineStr">
        <is>
          <t>Colin Cody</t>
        </is>
      </c>
      <c r="B2481" s="9" t="inlineStr">
        <is>
          <t>3/22/26 - 4/18/26</t>
        </is>
      </c>
      <c r="C2481" s="9" t="n">
        <v>0.9875</v>
      </c>
      <c r="D2481" s="9" t="n">
        <v>1.0953</v>
      </c>
      <c r="E2481" s="9" t="n">
        <v>0.953125</v>
      </c>
      <c r="F2481" s="12" t="n">
        <v>1</v>
      </c>
      <c r="G2481" s="9" t="n">
        <v>1</v>
      </c>
      <c r="H2481" s="9" t="n">
        <v>21</v>
      </c>
      <c r="I2481" s="9" t="inlineStr">
        <is>
          <t>1/2</t>
        </is>
      </c>
      <c r="J2481" s="50" t="n">
        <v>0.5</v>
      </c>
      <c r="K2481" t="inlineStr">
        <is>
          <t>Distinguished</t>
        </is>
      </c>
      <c r="L2481" t="inlineStr">
        <is>
          <t>Professional</t>
        </is>
      </c>
      <c r="M2481" t="inlineStr">
        <is>
          <t>Ela Cross</t>
        </is>
      </c>
    </row>
    <row r="2482">
      <c r="A2482" s="9" t="inlineStr">
        <is>
          <t>Craig Street</t>
        </is>
      </c>
      <c r="B2482" s="9" t="inlineStr">
        <is>
          <t>3/22/26 - 4/18/26</t>
        </is>
      </c>
      <c r="C2482" s="9" t="n">
        <v>0.8333</v>
      </c>
      <c r="D2482" s="9" t="n">
        <v>1.1398</v>
      </c>
      <c r="E2482" s="9" t="n">
        <v>0.68</v>
      </c>
      <c r="F2482" s="12" t="n">
        <v>0.455</v>
      </c>
      <c r="G2482" s="9" t="n">
        <v>0.2</v>
      </c>
      <c r="H2482" s="9" t="n">
        <v>7</v>
      </c>
      <c r="I2482" s="9" t="inlineStr">
        <is>
          <t>1/13</t>
        </is>
      </c>
      <c r="J2482" s="50" t="n">
        <v>0.08</v>
      </c>
      <c r="K2482" t="inlineStr">
        <is>
          <t>Distinguished</t>
        </is>
      </c>
      <c r="L2482" t="inlineStr">
        <is>
          <t>Professional</t>
        </is>
      </c>
      <c r="M2482" t="inlineStr">
        <is>
          <t>Annelies de Groot</t>
        </is>
      </c>
    </row>
    <row r="2483">
      <c r="A2483" s="9" t="inlineStr">
        <is>
          <t>Cristina Ascenzi Pettenuzzo</t>
        </is>
      </c>
      <c r="B2483" s="9" t="inlineStr">
        <is>
          <t>3/22/26 - 4/18/26</t>
        </is>
      </c>
      <c r="C2483" s="9" t="n">
        <v>0.9958</v>
      </c>
      <c r="D2483" s="9" t="n">
        <v>1.0148</v>
      </c>
      <c r="E2483" s="9" t="n">
        <v>0.991525423728813</v>
      </c>
      <c r="F2483" s="12" t="n">
        <v>0.975</v>
      </c>
      <c r="G2483" s="9" t="n">
        <v>0.9655172413793101</v>
      </c>
      <c r="H2483" s="9" t="n">
        <v>19</v>
      </c>
      <c r="I2483" s="9" t="inlineStr">
        <is>
          <t>1/1</t>
        </is>
      </c>
      <c r="J2483" s="50" t="n">
        <v>1</v>
      </c>
      <c r="K2483" t="inlineStr">
        <is>
          <t>Distinguished</t>
        </is>
      </c>
      <c r="L2483" t="inlineStr">
        <is>
          <t>Professional</t>
        </is>
      </c>
      <c r="M2483" t="inlineStr">
        <is>
          <t>Ian Plamondon</t>
        </is>
      </c>
    </row>
    <row r="2484">
      <c r="A2484" s="9" t="inlineStr">
        <is>
          <t>Daniel Esquivel-Reynoso</t>
        </is>
      </c>
      <c r="B2484" s="9" t="inlineStr">
        <is>
          <t>3/22/26 - 4/18/26</t>
        </is>
      </c>
      <c r="C2484" s="9" t="n">
        <v>1.025</v>
      </c>
      <c r="D2484" s="9" t="n">
        <v>1.1328</v>
      </c>
      <c r="E2484" s="9" t="n">
        <v>0.987012987012987</v>
      </c>
      <c r="F2484" s="12" t="n">
        <v>1</v>
      </c>
      <c r="G2484" s="9" t="n">
        <v>0.466666666666666</v>
      </c>
      <c r="H2484" s="9" t="n">
        <v>11</v>
      </c>
      <c r="I2484" s="9" t="inlineStr">
        <is>
          <t>0/1</t>
        </is>
      </c>
      <c r="J2484" s="50" t="n">
        <v>0</v>
      </c>
      <c r="K2484" t="inlineStr">
        <is>
          <t>Distinguished</t>
        </is>
      </c>
      <c r="L2484" t="inlineStr">
        <is>
          <t>Adjunct</t>
        </is>
      </c>
      <c r="M2484" t="inlineStr">
        <is>
          <t>Annelies de Groot</t>
        </is>
      </c>
    </row>
    <row r="2485">
      <c r="A2485" s="9" t="inlineStr">
        <is>
          <t>Daniel Olson</t>
        </is>
      </c>
      <c r="B2485" s="9" t="inlineStr">
        <is>
          <t>3/22/26 - 4/18/26</t>
        </is>
      </c>
      <c r="C2485" s="9" t="n">
        <v>0.9667</v>
      </c>
      <c r="D2485" s="9" t="n">
        <v>1.1332</v>
      </c>
      <c r="E2485" s="9" t="n">
        <v>0.982142857142857</v>
      </c>
      <c r="F2485" s="12" t="n">
        <v>0.986</v>
      </c>
      <c r="G2485" s="9" t="n">
        <v>0.44</v>
      </c>
      <c r="H2485" s="9" t="n">
        <v>9</v>
      </c>
      <c r="J2485" s="50" t="n"/>
      <c r="K2485" t="inlineStr">
        <is>
          <t>Distinguished</t>
        </is>
      </c>
      <c r="L2485" t="inlineStr">
        <is>
          <t>Professional</t>
        </is>
      </c>
      <c r="M2485" t="inlineStr">
        <is>
          <t>Annelies de Groot</t>
        </is>
      </c>
    </row>
    <row r="2486">
      <c r="A2486" s="9" t="inlineStr">
        <is>
          <t>Daniel Severance</t>
        </is>
      </c>
      <c r="B2486" s="9" t="inlineStr">
        <is>
          <t>3/22/26 - 4/18/26</t>
        </is>
      </c>
      <c r="C2486" s="9" t="n">
        <v>0.842899999999999</v>
      </c>
      <c r="D2486" s="9" t="n">
        <v>1.4157</v>
      </c>
      <c r="E2486" s="9" t="n">
        <v>0.990291262135922</v>
      </c>
      <c r="F2486" s="12" t="n">
        <v>0.97</v>
      </c>
      <c r="G2486" s="9" t="n">
        <v>0.705882352941176</v>
      </c>
      <c r="H2486" s="9" t="n">
        <v>10</v>
      </c>
      <c r="I2486" s="9" t="inlineStr">
        <is>
          <t>1/1</t>
        </is>
      </c>
      <c r="J2486" s="50" t="n">
        <v>1</v>
      </c>
      <c r="K2486" t="inlineStr">
        <is>
          <t>Premium</t>
        </is>
      </c>
      <c r="L2486" t="inlineStr">
        <is>
          <t>Professional</t>
        </is>
      </c>
      <c r="M2486" t="inlineStr">
        <is>
          <t>Annelies de Groot</t>
        </is>
      </c>
    </row>
    <row r="2487">
      <c r="A2487" s="9" t="inlineStr">
        <is>
          <t>David Alcantara</t>
        </is>
      </c>
      <c r="B2487" s="9" t="inlineStr">
        <is>
          <t>3/22/26 - 4/18/26</t>
        </is>
      </c>
      <c r="C2487" s="9" t="n">
        <v>0.8417</v>
      </c>
      <c r="D2487" s="9" t="n">
        <v>1.0378</v>
      </c>
      <c r="E2487" s="9" t="n">
        <v>1</v>
      </c>
      <c r="F2487" s="12" t="n">
        <v>0.969</v>
      </c>
      <c r="G2487" s="9" t="n">
        <v>0.31578947368421</v>
      </c>
      <c r="H2487" s="9" t="n">
        <v>3</v>
      </c>
      <c r="I2487" s="9" t="inlineStr">
        <is>
          <t>1/1</t>
        </is>
      </c>
      <c r="J2487" s="50" t="n">
        <v>1</v>
      </c>
      <c r="K2487" t="inlineStr">
        <is>
          <t>Distinguished</t>
        </is>
      </c>
      <c r="L2487" t="inlineStr">
        <is>
          <t>Professional</t>
        </is>
      </c>
      <c r="M2487" t="inlineStr">
        <is>
          <t>Ela Cross</t>
        </is>
      </c>
    </row>
    <row r="2488">
      <c r="A2488" s="9" t="inlineStr">
        <is>
          <t>David Keder</t>
        </is>
      </c>
      <c r="B2488" s="9" t="inlineStr">
        <is>
          <t>3/22/26 - 4/18/26</t>
        </is>
      </c>
      <c r="C2488" s="9" t="n">
        <v>0.8125</v>
      </c>
      <c r="D2488" s="9" t="n">
        <v>1.11459999999999</v>
      </c>
      <c r="E2488" s="9" t="n">
        <v>0.9090909090909089</v>
      </c>
      <c r="F2488" s="12" t="n">
        <v>0.87</v>
      </c>
      <c r="G2488" s="9" t="n">
        <v>0.8</v>
      </c>
      <c r="J2488" s="50" t="n"/>
      <c r="K2488" t="inlineStr">
        <is>
          <t>Distinguished</t>
        </is>
      </c>
      <c r="L2488" t="inlineStr">
        <is>
          <t>Adjunct</t>
        </is>
      </c>
      <c r="M2488" t="inlineStr">
        <is>
          <t>Kristin Haase-Alvey</t>
        </is>
      </c>
    </row>
    <row r="2489">
      <c r="A2489" s="9" t="inlineStr">
        <is>
          <t>Dehavion Knight</t>
        </is>
      </c>
      <c r="B2489" s="9" t="inlineStr">
        <is>
          <t>3/22/26 - 4/18/26</t>
        </is>
      </c>
      <c r="C2489" s="9" t="n">
        <v>0.8125</v>
      </c>
      <c r="D2489" s="9" t="n">
        <v>1.26559999999999</v>
      </c>
      <c r="E2489" s="9" t="n">
        <v>0.947368421052631</v>
      </c>
      <c r="F2489" s="12" t="n">
        <v>0.704</v>
      </c>
      <c r="G2489" s="9" t="n">
        <v>1</v>
      </c>
      <c r="H2489" s="9" t="n">
        <v>4</v>
      </c>
      <c r="J2489" s="50" t="n"/>
      <c r="K2489" t="inlineStr">
        <is>
          <t>Distinguished</t>
        </is>
      </c>
      <c r="L2489" t="inlineStr">
        <is>
          <t>Adjunct</t>
        </is>
      </c>
      <c r="M2489" t="inlineStr">
        <is>
          <t>Ela Cross</t>
        </is>
      </c>
    </row>
    <row r="2490">
      <c r="A2490" s="9" t="inlineStr">
        <is>
          <t>Delphine Hintz</t>
        </is>
      </c>
      <c r="B2490" s="9" t="inlineStr">
        <is>
          <t>3/22/26 - 4/18/26</t>
        </is>
      </c>
      <c r="C2490" s="9" t="n">
        <v>0.6875</v>
      </c>
      <c r="D2490" s="9" t="n">
        <v>0.714799999999999</v>
      </c>
      <c r="E2490" s="9" t="n">
        <v>0.970588235294117</v>
      </c>
      <c r="F2490" s="12" t="n">
        <v>0.964</v>
      </c>
      <c r="G2490" s="9" t="n">
        <v>0.888888888888888</v>
      </c>
      <c r="H2490" s="9" t="n">
        <v>4</v>
      </c>
      <c r="J2490" s="50" t="n"/>
      <c r="K2490" t="inlineStr">
        <is>
          <t>Advanced</t>
        </is>
      </c>
      <c r="L2490" t="inlineStr">
        <is>
          <t>Adjunct</t>
        </is>
      </c>
      <c r="M2490" t="inlineStr">
        <is>
          <t>Geoff St. Marie</t>
        </is>
      </c>
    </row>
    <row r="2491">
      <c r="A2491" s="9" t="inlineStr">
        <is>
          <t>Denise Jefferson</t>
        </is>
      </c>
      <c r="B2491" s="9" t="inlineStr">
        <is>
          <t>3/22/26 - 4/18/26</t>
        </is>
      </c>
      <c r="C2491" s="9" t="n">
        <v>0</v>
      </c>
      <c r="D2491" s="9" t="n">
        <v>0.5780999999999999</v>
      </c>
      <c r="E2491" s="9" t="n"/>
      <c r="G2491" s="9" t="n"/>
      <c r="J2491" s="50" t="n"/>
      <c r="K2491" t="inlineStr">
        <is>
          <t>Advanced</t>
        </is>
      </c>
      <c r="L2491" t="inlineStr">
        <is>
          <t>Adjunct</t>
        </is>
      </c>
      <c r="M2491" t="inlineStr">
        <is>
          <t>Katherine Marino</t>
        </is>
      </c>
    </row>
    <row r="2492">
      <c r="A2492" s="9" t="inlineStr">
        <is>
          <t>Derek Fox</t>
        </is>
      </c>
      <c r="B2492" s="9" t="inlineStr">
        <is>
          <t>3/22/26 - 4/18/26</t>
        </is>
      </c>
      <c r="C2492" s="9" t="n">
        <v>1.05209999999999</v>
      </c>
      <c r="D2492" s="9" t="n">
        <v>0.9922</v>
      </c>
      <c r="E2492" s="9" t="n">
        <v>0.958333333333333</v>
      </c>
      <c r="F2492" s="12" t="n">
        <v>1</v>
      </c>
      <c r="G2492" s="9" t="n">
        <v>0.555555555555555</v>
      </c>
      <c r="H2492" s="9" t="n">
        <v>8</v>
      </c>
      <c r="I2492" s="9" t="inlineStr">
        <is>
          <t>1/1</t>
        </is>
      </c>
      <c r="J2492" s="50" t="n">
        <v>1</v>
      </c>
      <c r="K2492" t="inlineStr">
        <is>
          <t>Advanced</t>
        </is>
      </c>
      <c r="L2492" t="inlineStr">
        <is>
          <t>Adjunct</t>
        </is>
      </c>
      <c r="M2492" t="inlineStr">
        <is>
          <t>Geoff St. Marie</t>
        </is>
      </c>
    </row>
    <row r="2493">
      <c r="A2493" s="9" t="inlineStr">
        <is>
          <t>Diamond Anderson</t>
        </is>
      </c>
      <c r="B2493" s="9" t="inlineStr">
        <is>
          <t>3/22/26 - 4/18/26</t>
        </is>
      </c>
      <c r="C2493" s="9" t="n">
        <v>0.8646</v>
      </c>
      <c r="D2493" s="9" t="n">
        <v>1</v>
      </c>
      <c r="E2493" s="9" t="n">
        <v>0.979166666666666</v>
      </c>
      <c r="F2493" s="12" t="n">
        <v>0.844</v>
      </c>
      <c r="G2493" s="9" t="n">
        <v>0.7692307692307691</v>
      </c>
      <c r="H2493" s="9" t="n">
        <v>5</v>
      </c>
      <c r="J2493" s="50" t="n"/>
      <c r="K2493" t="inlineStr">
        <is>
          <t>Distinguished</t>
        </is>
      </c>
      <c r="L2493" t="inlineStr">
        <is>
          <t>Adjunct</t>
        </is>
      </c>
      <c r="M2493" t="inlineStr">
        <is>
          <t>Kristin Haase-Alvey</t>
        </is>
      </c>
    </row>
    <row r="2494">
      <c r="A2494" s="9" t="inlineStr">
        <is>
          <t>Diana Hoyer</t>
        </is>
      </c>
      <c r="B2494" s="9" t="inlineStr">
        <is>
          <t>3/22/26 - 4/18/26</t>
        </is>
      </c>
      <c r="C2494" s="9" t="n">
        <v>0.6179</v>
      </c>
      <c r="D2494" s="9" t="n">
        <v>1.0291</v>
      </c>
      <c r="E2494" s="9" t="n">
        <v>0.962962962962962</v>
      </c>
      <c r="F2494" s="12" t="n">
        <v>0.981</v>
      </c>
      <c r="G2494" s="9" t="n">
        <v>0.933333333333333</v>
      </c>
      <c r="H2494" s="9" t="n">
        <v>7</v>
      </c>
      <c r="I2494" s="9" t="inlineStr">
        <is>
          <t>3/3</t>
        </is>
      </c>
      <c r="J2494" s="50" t="n">
        <v>1</v>
      </c>
      <c r="K2494" t="inlineStr">
        <is>
          <t>Distinguished</t>
        </is>
      </c>
      <c r="L2494" t="inlineStr">
        <is>
          <t>Professional</t>
        </is>
      </c>
      <c r="M2494" t="inlineStr">
        <is>
          <t>Ian Plamondon</t>
        </is>
      </c>
    </row>
    <row r="2495">
      <c r="A2495" s="9" t="inlineStr">
        <is>
          <t>Dorothy McDaniel</t>
        </is>
      </c>
      <c r="B2495" s="9" t="inlineStr">
        <is>
          <t>3/22/26 - 4/18/26</t>
        </is>
      </c>
      <c r="C2495" s="9" t="n">
        <v>0.4042</v>
      </c>
      <c r="D2495" s="9" t="n">
        <v>1.1042</v>
      </c>
      <c r="E2495" s="9" t="n">
        <v>1</v>
      </c>
      <c r="F2495" s="12" t="n">
        <v>1</v>
      </c>
      <c r="G2495" s="9" t="n">
        <v>0.6</v>
      </c>
      <c r="H2495" s="9" t="n">
        <v>1</v>
      </c>
      <c r="I2495" s="9" t="inlineStr">
        <is>
          <t>1/1</t>
        </is>
      </c>
      <c r="J2495" s="50" t="n">
        <v>1</v>
      </c>
      <c r="K2495" t="inlineStr">
        <is>
          <t>Premium</t>
        </is>
      </c>
      <c r="L2495" t="inlineStr">
        <is>
          <t>Professional</t>
        </is>
      </c>
      <c r="M2495" t="inlineStr">
        <is>
          <t>Ian Plamondon</t>
        </is>
      </c>
    </row>
    <row r="2496">
      <c r="A2496" s="9" t="inlineStr">
        <is>
          <t>Eddie Cayia</t>
        </is>
      </c>
      <c r="B2496" s="9" t="inlineStr">
        <is>
          <t>3/22/26 - 4/18/26</t>
        </is>
      </c>
      <c r="C2496" s="9" t="n">
        <v>0.8964</v>
      </c>
      <c r="D2496" s="9" t="n">
        <v>0.9752999999999999</v>
      </c>
      <c r="E2496" s="9" t="n">
        <v>0.95798319327731</v>
      </c>
      <c r="F2496" s="12" t="n">
        <v>0.962</v>
      </c>
      <c r="G2496" s="9" t="n">
        <v>0.739130434782608</v>
      </c>
      <c r="H2496" s="9" t="n">
        <v>9</v>
      </c>
      <c r="I2496" s="9" t="inlineStr">
        <is>
          <t>2/4</t>
        </is>
      </c>
      <c r="J2496" s="50" t="n">
        <v>0.5</v>
      </c>
      <c r="K2496" t="inlineStr">
        <is>
          <t>Distinguished</t>
        </is>
      </c>
      <c r="L2496" t="inlineStr">
        <is>
          <t>Professional</t>
        </is>
      </c>
      <c r="M2496" t="inlineStr">
        <is>
          <t>Annelies de Groot</t>
        </is>
      </c>
    </row>
    <row r="2497">
      <c r="A2497" s="9" t="inlineStr">
        <is>
          <t>Eddie Rodriguez</t>
        </is>
      </c>
      <c r="B2497" s="9" t="inlineStr">
        <is>
          <t>3/22/26 - 4/18/26</t>
        </is>
      </c>
      <c r="C2497" s="9" t="n">
        <v>0.925</v>
      </c>
      <c r="D2497" s="9" t="n">
        <v>1.1497</v>
      </c>
      <c r="E2497" s="9" t="n">
        <v>1</v>
      </c>
      <c r="F2497" s="12" t="n">
        <v>0.987</v>
      </c>
      <c r="G2497" s="9" t="n">
        <v>0.7826086956521729</v>
      </c>
      <c r="H2497" s="9" t="n">
        <v>13</v>
      </c>
      <c r="J2497" s="50" t="n"/>
      <c r="K2497" t="inlineStr">
        <is>
          <t>Distinguished</t>
        </is>
      </c>
      <c r="L2497" t="inlineStr">
        <is>
          <t>Professional</t>
        </is>
      </c>
      <c r="M2497" t="inlineStr">
        <is>
          <t>Ian Plamondon</t>
        </is>
      </c>
    </row>
    <row r="2498">
      <c r="A2498" s="9" t="inlineStr">
        <is>
          <t>Eden Rasmussen</t>
        </is>
      </c>
      <c r="B2498" s="9" t="inlineStr">
        <is>
          <t>3/22/26 - 4/18/26</t>
        </is>
      </c>
      <c r="C2498" s="9" t="n">
        <v>0.7958</v>
      </c>
      <c r="D2498" s="9" t="n">
        <v>0.8092</v>
      </c>
      <c r="E2498" s="9" t="n">
        <v>0.895348837209302</v>
      </c>
      <c r="F2498" s="12" t="n">
        <v>1</v>
      </c>
      <c r="G2498" s="9" t="n">
        <v>0.928571428571428</v>
      </c>
      <c r="H2498" s="9" t="n">
        <v>13</v>
      </c>
      <c r="J2498" s="50" t="n"/>
      <c r="K2498" t="inlineStr">
        <is>
          <t>Distinguished</t>
        </is>
      </c>
      <c r="L2498" t="inlineStr">
        <is>
          <t>Professional</t>
        </is>
      </c>
      <c r="M2498" t="inlineStr">
        <is>
          <t>Ian Plamondon</t>
        </is>
      </c>
    </row>
    <row r="2499">
      <c r="A2499" s="9" t="inlineStr">
        <is>
          <t>Edwin West</t>
        </is>
      </c>
      <c r="B2499" s="9" t="inlineStr">
        <is>
          <t>3/22/26 - 4/18/26</t>
        </is>
      </c>
      <c r="C2499" s="9" t="n">
        <v>0.7813</v>
      </c>
      <c r="D2499" s="9" t="n">
        <v>0.8242</v>
      </c>
      <c r="E2499" s="9" t="n">
        <v>1</v>
      </c>
      <c r="F2499" s="12" t="n">
        <v>1</v>
      </c>
      <c r="G2499" s="9" t="n">
        <v>1</v>
      </c>
      <c r="H2499" s="9" t="n">
        <v>6</v>
      </c>
      <c r="I2499" s="9" t="inlineStr">
        <is>
          <t>2/2</t>
        </is>
      </c>
      <c r="J2499" s="50" t="n">
        <v>1</v>
      </c>
      <c r="K2499" t="inlineStr">
        <is>
          <t>Distinguished</t>
        </is>
      </c>
      <c r="L2499" t="inlineStr">
        <is>
          <t>Adjunct</t>
        </is>
      </c>
      <c r="M2499" t="inlineStr">
        <is>
          <t>Ela Cross</t>
        </is>
      </c>
    </row>
    <row r="2500">
      <c r="A2500" s="9" t="inlineStr">
        <is>
          <t>Elain Ng</t>
        </is>
      </c>
      <c r="B2500" s="9" t="inlineStr">
        <is>
          <t>3/22/26 - 4/18/26</t>
        </is>
      </c>
      <c r="C2500" s="9" t="n">
        <v>0.6688</v>
      </c>
      <c r="D2500" s="9" t="n">
        <v>1.237</v>
      </c>
      <c r="E2500" s="9" t="n">
        <v>0.98</v>
      </c>
      <c r="F2500" s="12" t="n">
        <v>0.732</v>
      </c>
      <c r="G2500" s="9" t="n">
        <v>0.9090909090909089</v>
      </c>
      <c r="H2500" s="9" t="n">
        <v>0</v>
      </c>
      <c r="I2500" s="9" t="inlineStr">
        <is>
          <t>1/2</t>
        </is>
      </c>
      <c r="J2500" s="50" t="n">
        <v>0.5</v>
      </c>
      <c r="K2500" t="inlineStr">
        <is>
          <t>Distinguished</t>
        </is>
      </c>
      <c r="L2500" t="inlineStr">
        <is>
          <t>Adjunct</t>
        </is>
      </c>
      <c r="M2500" t="inlineStr">
        <is>
          <t>Ela Cross</t>
        </is>
      </c>
    </row>
    <row r="2501">
      <c r="A2501" s="9" t="inlineStr">
        <is>
          <t>Elijah Ramirez</t>
        </is>
      </c>
      <c r="B2501" s="9" t="inlineStr">
        <is>
          <t>3/22/26 - 4/18/26</t>
        </is>
      </c>
      <c r="C2501" s="9" t="n">
        <v>0.6917</v>
      </c>
      <c r="D2501" s="9" t="n">
        <v>1.15629999999999</v>
      </c>
      <c r="E2501" s="9" t="n">
        <v>1</v>
      </c>
      <c r="F2501" s="12" t="n">
        <v>0.822</v>
      </c>
      <c r="G2501" s="9" t="n">
        <v>1</v>
      </c>
      <c r="H2501" s="9" t="n">
        <v>5</v>
      </c>
      <c r="I2501" s="9" t="inlineStr">
        <is>
          <t>3/3</t>
        </is>
      </c>
      <c r="J2501" s="50" t="n">
        <v>1</v>
      </c>
      <c r="K2501" t="inlineStr">
        <is>
          <t>Premium</t>
        </is>
      </c>
      <c r="L2501" t="inlineStr">
        <is>
          <t>Professional</t>
        </is>
      </c>
      <c r="M2501" t="inlineStr">
        <is>
          <t>Ian Plamondon</t>
        </is>
      </c>
    </row>
    <row r="2502">
      <c r="A2502" s="9" t="inlineStr">
        <is>
          <t>Elizabeth Simons</t>
        </is>
      </c>
      <c r="B2502" s="9" t="inlineStr">
        <is>
          <t>3/22/26 - 4/18/26</t>
        </is>
      </c>
      <c r="C2502" s="9" t="n">
        <v>0.9792</v>
      </c>
      <c r="D2502" s="9" t="n">
        <v>0.9843999999999991</v>
      </c>
      <c r="E2502" s="9" t="n">
        <v>1</v>
      </c>
      <c r="F2502" s="12" t="n">
        <v>1</v>
      </c>
      <c r="G2502" s="9" t="n">
        <v>0.583333333333333</v>
      </c>
      <c r="H2502" s="9" t="n">
        <v>7</v>
      </c>
      <c r="I2502" s="9" t="inlineStr">
        <is>
          <t>1/1</t>
        </is>
      </c>
      <c r="J2502" s="50" t="n">
        <v>1</v>
      </c>
      <c r="K2502" t="inlineStr">
        <is>
          <t>Distinguished</t>
        </is>
      </c>
      <c r="L2502" t="inlineStr">
        <is>
          <t>Adjunct</t>
        </is>
      </c>
      <c r="M2502" t="inlineStr">
        <is>
          <t>Kristin Haase-Alvey</t>
        </is>
      </c>
    </row>
    <row r="2503">
      <c r="A2503" s="9" t="inlineStr">
        <is>
          <t>Elliot Emadian</t>
        </is>
      </c>
      <c r="B2503" s="9" t="inlineStr">
        <is>
          <t>3/22/26 - 4/18/26</t>
        </is>
      </c>
      <c r="C2503" s="9" t="n">
        <v>0.7833</v>
      </c>
      <c r="D2503" s="9" t="n">
        <v>0.8371999999999989</v>
      </c>
      <c r="E2503" s="9" t="n">
        <v>0.92</v>
      </c>
      <c r="F2503" s="12" t="n">
        <v>0.671</v>
      </c>
      <c r="G2503" s="9" t="n">
        <v>0.565217391304347</v>
      </c>
      <c r="H2503" s="9" t="n">
        <v>6</v>
      </c>
      <c r="I2503" s="9" t="inlineStr">
        <is>
          <t>0/1</t>
        </is>
      </c>
      <c r="J2503" s="50" t="n">
        <v>0</v>
      </c>
      <c r="K2503" t="inlineStr">
        <is>
          <t>Distinguished</t>
        </is>
      </c>
      <c r="L2503" t="inlineStr">
        <is>
          <t>Professional</t>
        </is>
      </c>
      <c r="M2503" t="inlineStr">
        <is>
          <t>Annelies de Groot</t>
        </is>
      </c>
    </row>
    <row r="2504">
      <c r="A2504" s="9" t="inlineStr">
        <is>
          <t>Emma Claire Everett</t>
        </is>
      </c>
      <c r="B2504" s="9" t="inlineStr">
        <is>
          <t>3/22/26 - 4/18/26</t>
        </is>
      </c>
      <c r="C2504" s="9" t="n">
        <v>0</v>
      </c>
      <c r="D2504" s="9" t="n">
        <v>0.375</v>
      </c>
      <c r="E2504" s="9" t="n"/>
      <c r="G2504" s="9" t="n"/>
      <c r="J2504" s="50" t="n"/>
      <c r="K2504" t="inlineStr">
        <is>
          <t>Advanced</t>
        </is>
      </c>
      <c r="L2504" t="inlineStr">
        <is>
          <t>Adjunct</t>
        </is>
      </c>
      <c r="M2504" t="inlineStr">
        <is>
          <t>Nikki Pencak</t>
        </is>
      </c>
    </row>
    <row r="2505">
      <c r="A2505" s="9" t="inlineStr">
        <is>
          <t>Eric Chang</t>
        </is>
      </c>
      <c r="B2505" s="9" t="inlineStr">
        <is>
          <t>3/22/26 - 4/18/26</t>
        </is>
      </c>
      <c r="C2505" s="9" t="n">
        <v>1.0083</v>
      </c>
      <c r="D2505" s="9" t="n">
        <v>0.970399999999999</v>
      </c>
      <c r="E2505" s="9" t="n">
        <v>0.981132075471698</v>
      </c>
      <c r="F2505" s="12" t="n">
        <v>0.9389999999999999</v>
      </c>
      <c r="G2505" s="9" t="n">
        <v>0.518518518518518</v>
      </c>
      <c r="H2505" s="9" t="n">
        <v>8</v>
      </c>
      <c r="I2505" s="9" t="inlineStr">
        <is>
          <t>1/2</t>
        </is>
      </c>
      <c r="J2505" s="50" t="n">
        <v>0.5</v>
      </c>
      <c r="K2505" t="inlineStr">
        <is>
          <t>Distinguished</t>
        </is>
      </c>
      <c r="L2505" t="inlineStr">
        <is>
          <t>Professional</t>
        </is>
      </c>
      <c r="M2505" t="inlineStr">
        <is>
          <t>Annelies de Groot</t>
        </is>
      </c>
    </row>
    <row r="2506">
      <c r="A2506" s="9" t="inlineStr">
        <is>
          <t>Erica Ichikawa</t>
        </is>
      </c>
      <c r="B2506" s="9" t="inlineStr">
        <is>
          <t>3/22/26 - 4/18/26</t>
        </is>
      </c>
      <c r="C2506" s="9" t="n">
        <v>0.8021</v>
      </c>
      <c r="D2506" s="9" t="n">
        <v>0.9530999999999999</v>
      </c>
      <c r="E2506" s="9" t="n">
        <v>1</v>
      </c>
      <c r="F2506" s="12" t="n">
        <v>0.724</v>
      </c>
      <c r="G2506" s="9" t="n">
        <v>0.1</v>
      </c>
      <c r="H2506" s="9" t="n">
        <v>4</v>
      </c>
      <c r="I2506" s="9" t="inlineStr">
        <is>
          <t>0/1</t>
        </is>
      </c>
      <c r="J2506" s="50" t="n">
        <v>0</v>
      </c>
      <c r="K2506" t="inlineStr">
        <is>
          <t>Distinguished</t>
        </is>
      </c>
      <c r="L2506" t="inlineStr">
        <is>
          <t>Adjunct</t>
        </is>
      </c>
      <c r="M2506" t="inlineStr">
        <is>
          <t>Ela Cross</t>
        </is>
      </c>
    </row>
    <row r="2507">
      <c r="A2507" s="9" t="inlineStr">
        <is>
          <t>Ernie Chu</t>
        </is>
      </c>
      <c r="B2507" s="9" t="inlineStr">
        <is>
          <t>3/22/26 - 4/18/26</t>
        </is>
      </c>
      <c r="C2507" s="9" t="n">
        <v>1.25</v>
      </c>
      <c r="D2507" s="9" t="n">
        <v>1.1184</v>
      </c>
      <c r="E2507" s="9" t="n">
        <v>1</v>
      </c>
      <c r="F2507" s="12" t="n">
        <v>0.976</v>
      </c>
      <c r="G2507" s="9" t="n">
        <v>0.923076923076923</v>
      </c>
      <c r="H2507" s="9" t="n">
        <v>11</v>
      </c>
      <c r="I2507" s="9" t="inlineStr">
        <is>
          <t>1/6</t>
        </is>
      </c>
      <c r="J2507" s="50" t="n">
        <v>0.17</v>
      </c>
      <c r="K2507" t="inlineStr">
        <is>
          <t>Distinguished</t>
        </is>
      </c>
      <c r="L2507" t="inlineStr">
        <is>
          <t>Professional</t>
        </is>
      </c>
      <c r="M2507" t="inlineStr">
        <is>
          <t>Geoff St. Marie</t>
        </is>
      </c>
    </row>
    <row r="2508">
      <c r="A2508" s="9" t="inlineStr">
        <is>
          <t>Faith Rogers</t>
        </is>
      </c>
      <c r="B2508" s="9" t="inlineStr">
        <is>
          <t>3/22/26 - 4/18/26</t>
        </is>
      </c>
      <c r="C2508" s="9" t="n">
        <v>0.5375</v>
      </c>
      <c r="D2508" s="9" t="n">
        <v>0.8946999999999991</v>
      </c>
      <c r="E2508" s="9" t="n">
        <v>0.950819672131147</v>
      </c>
      <c r="F2508" s="12" t="n">
        <v>1</v>
      </c>
      <c r="G2508" s="9" t="n">
        <v>0.823529411764705</v>
      </c>
      <c r="H2508" s="9" t="n">
        <v>3</v>
      </c>
      <c r="J2508" s="50" t="n"/>
      <c r="K2508" t="inlineStr">
        <is>
          <t>Distinguished</t>
        </is>
      </c>
      <c r="L2508" t="inlineStr">
        <is>
          <t>Professional</t>
        </is>
      </c>
      <c r="M2508" t="inlineStr">
        <is>
          <t>Ian Plamondon</t>
        </is>
      </c>
    </row>
    <row r="2509">
      <c r="A2509" s="9" t="inlineStr">
        <is>
          <t>Gabriel Saint Cyr</t>
        </is>
      </c>
      <c r="B2509" s="9" t="inlineStr">
        <is>
          <t>3/22/26 - 4/18/26</t>
        </is>
      </c>
      <c r="C2509" s="9" t="n">
        <v>0.6458</v>
      </c>
      <c r="D2509" s="9" t="n">
        <v>1.02729999999999</v>
      </c>
      <c r="E2509" s="9" t="n">
        <v>1</v>
      </c>
      <c r="F2509" s="12" t="n">
        <v>0.905</v>
      </c>
      <c r="G2509" s="9" t="n">
        <v>1</v>
      </c>
      <c r="I2509" s="9" t="inlineStr">
        <is>
          <t>1/2</t>
        </is>
      </c>
      <c r="J2509" s="50" t="n">
        <v>0.5</v>
      </c>
      <c r="K2509" t="inlineStr">
        <is>
          <t>Distinguished</t>
        </is>
      </c>
      <c r="L2509" t="inlineStr">
        <is>
          <t>Adjunct</t>
        </is>
      </c>
      <c r="M2509" t="inlineStr">
        <is>
          <t>Geoff St. Marie</t>
        </is>
      </c>
    </row>
    <row r="2510">
      <c r="A2510" s="9" t="inlineStr">
        <is>
          <t>Gale Hermes</t>
        </is>
      </c>
      <c r="B2510" s="9" t="inlineStr">
        <is>
          <t>3/22/26 - 4/18/26</t>
        </is>
      </c>
      <c r="C2510" s="9" t="n">
        <v>0.75</v>
      </c>
      <c r="D2510" s="9" t="n">
        <v>1.4354</v>
      </c>
      <c r="E2510" s="9" t="n">
        <v>1</v>
      </c>
      <c r="F2510" s="12" t="n">
        <v>0.787</v>
      </c>
      <c r="G2510" s="9" t="n">
        <v>0.875</v>
      </c>
      <c r="H2510" s="9" t="n">
        <v>10</v>
      </c>
      <c r="J2510" s="50" t="n"/>
      <c r="K2510" t="inlineStr">
        <is>
          <t>Premium</t>
        </is>
      </c>
      <c r="L2510" t="inlineStr">
        <is>
          <t>Professional</t>
        </is>
      </c>
      <c r="M2510" t="inlineStr">
        <is>
          <t>Ian Plamondon</t>
        </is>
      </c>
    </row>
    <row r="2511">
      <c r="A2511" s="9" t="inlineStr">
        <is>
          <t>Gene Costa</t>
        </is>
      </c>
      <c r="B2511" s="9" t="inlineStr">
        <is>
          <t>3/22/26 - 4/18/26</t>
        </is>
      </c>
      <c r="C2511" s="9" t="n">
        <v>0.105599999999999</v>
      </c>
      <c r="D2511" s="9" t="n">
        <v>0.5570000000000001</v>
      </c>
      <c r="E2511" s="9" t="n"/>
      <c r="F2511" s="12" t="n">
        <v>0.667</v>
      </c>
      <c r="G2511" s="9" t="n"/>
      <c r="I2511" s="9" t="inlineStr">
        <is>
          <t>4/4</t>
        </is>
      </c>
      <c r="J2511" s="50" t="n">
        <v>1</v>
      </c>
      <c r="K2511" t="inlineStr">
        <is>
          <t>Distinguished</t>
        </is>
      </c>
      <c r="L2511" t="inlineStr">
        <is>
          <t>Professional</t>
        </is>
      </c>
      <c r="M2511" t="inlineStr">
        <is>
          <t>Katherine Marino</t>
        </is>
      </c>
    </row>
    <row r="2512">
      <c r="A2512" s="9" t="inlineStr">
        <is>
          <t>Gigi Glover</t>
        </is>
      </c>
      <c r="B2512" s="9" t="inlineStr">
        <is>
          <t>3/22/26 - 4/18/26</t>
        </is>
      </c>
      <c r="C2512" s="9" t="n">
        <v>0.766699999999999</v>
      </c>
      <c r="D2512" s="9" t="n">
        <v>1.2993</v>
      </c>
      <c r="E2512" s="9" t="n">
        <v>0.921052631578947</v>
      </c>
      <c r="F2512" s="12" t="n">
        <v>0.92</v>
      </c>
      <c r="G2512" s="9" t="n">
        <v>1</v>
      </c>
      <c r="I2512" s="9" t="inlineStr">
        <is>
          <t>1/4</t>
        </is>
      </c>
      <c r="J2512" s="50" t="n">
        <v>0.25</v>
      </c>
      <c r="K2512" t="inlineStr">
        <is>
          <t>Distinguished</t>
        </is>
      </c>
      <c r="L2512" t="inlineStr">
        <is>
          <t>Professional</t>
        </is>
      </c>
      <c r="M2512" t="inlineStr">
        <is>
          <t>Ian Plamondon</t>
        </is>
      </c>
    </row>
    <row r="2513">
      <c r="A2513" s="9" t="inlineStr">
        <is>
          <t>Guha Sriram</t>
        </is>
      </c>
      <c r="B2513" s="9" t="inlineStr">
        <is>
          <t>3/22/26 - 4/18/26</t>
        </is>
      </c>
      <c r="C2513" s="9" t="n">
        <v>0.5625</v>
      </c>
      <c r="D2513" s="9" t="n">
        <v>1.0039</v>
      </c>
      <c r="E2513" s="9" t="n">
        <v>0.8</v>
      </c>
      <c r="F2513" s="12" t="n">
        <v>0.667</v>
      </c>
      <c r="G2513" s="9" t="n"/>
      <c r="H2513" s="9" t="n">
        <v>1</v>
      </c>
      <c r="I2513" s="9" t="inlineStr">
        <is>
          <t>0/4</t>
        </is>
      </c>
      <c r="J2513" s="50" t="n">
        <v>0</v>
      </c>
      <c r="K2513" t="inlineStr">
        <is>
          <t>Advanced</t>
        </is>
      </c>
      <c r="L2513" t="inlineStr">
        <is>
          <t>Adjunct</t>
        </is>
      </c>
      <c r="M2513" t="inlineStr">
        <is>
          <t>Annelies de Groot</t>
        </is>
      </c>
    </row>
    <row r="2514">
      <c r="A2514" s="9" t="inlineStr">
        <is>
          <t>Hannah Duliere</t>
        </is>
      </c>
      <c r="B2514" s="9" t="inlineStr">
        <is>
          <t>3/22/26 - 4/18/26</t>
        </is>
      </c>
      <c r="C2514" s="9" t="n">
        <v>0.9833</v>
      </c>
      <c r="D2514" s="9" t="n">
        <v>1.7167</v>
      </c>
      <c r="E2514" s="9" t="n">
        <v>0.972222222222222</v>
      </c>
      <c r="F2514" s="12" t="n">
        <v>1</v>
      </c>
      <c r="G2514" s="9" t="n">
        <v>0.9411764705882349</v>
      </c>
      <c r="H2514" s="9" t="n">
        <v>3</v>
      </c>
      <c r="J2514" s="50" t="n"/>
      <c r="K2514" t="inlineStr">
        <is>
          <t>Premium</t>
        </is>
      </c>
      <c r="L2514" t="inlineStr">
        <is>
          <t>Professional</t>
        </is>
      </c>
      <c r="M2514" t="inlineStr">
        <is>
          <t>Ela Cross</t>
        </is>
      </c>
    </row>
    <row r="2515">
      <c r="A2515" s="9" t="inlineStr">
        <is>
          <t>Hannah Ervitz</t>
        </is>
      </c>
      <c r="B2515" s="9" t="inlineStr">
        <is>
          <t>3/22/26 - 4/18/26</t>
        </is>
      </c>
      <c r="C2515" s="9" t="n">
        <v>1.0167</v>
      </c>
      <c r="D2515" s="9" t="n">
        <v>0.968799999999999</v>
      </c>
      <c r="E2515" s="9" t="n">
        <v>0.991071428571428</v>
      </c>
      <c r="F2515" s="12" t="n">
        <v>0.973</v>
      </c>
      <c r="G2515" s="9" t="n">
        <v>1</v>
      </c>
      <c r="H2515" s="9" t="n">
        <v>13</v>
      </c>
      <c r="I2515" s="9" t="inlineStr">
        <is>
          <t>0/2</t>
        </is>
      </c>
      <c r="J2515" s="50" t="n">
        <v>0</v>
      </c>
      <c r="K2515" t="inlineStr">
        <is>
          <t>Distinguished</t>
        </is>
      </c>
      <c r="L2515" t="inlineStr">
        <is>
          <t>Professional</t>
        </is>
      </c>
      <c r="M2515" t="inlineStr">
        <is>
          <t>Kristin Haase-Alvey</t>
        </is>
      </c>
    </row>
    <row r="2516">
      <c r="A2516" s="9" t="inlineStr">
        <is>
          <t>Hannah Lodge</t>
        </is>
      </c>
      <c r="B2516" s="9" t="inlineStr">
        <is>
          <t>3/22/26 - 4/18/26</t>
        </is>
      </c>
      <c r="C2516" s="9" t="n">
        <v>1.004</v>
      </c>
      <c r="D2516" s="9" t="n">
        <v>1.4441</v>
      </c>
      <c r="E2516" s="9" t="n">
        <v>0.991596638655462</v>
      </c>
      <c r="F2516" s="12" t="n">
        <v>0.959</v>
      </c>
      <c r="G2516" s="9" t="n">
        <v>0.875</v>
      </c>
      <c r="H2516" s="9" t="n">
        <v>1</v>
      </c>
      <c r="I2516" s="9" t="inlineStr">
        <is>
          <t>1/2</t>
        </is>
      </c>
      <c r="J2516" s="50" t="n">
        <v>0.5</v>
      </c>
      <c r="K2516" t="inlineStr">
        <is>
          <t>Premium</t>
        </is>
      </c>
      <c r="L2516" t="inlineStr">
        <is>
          <t>Professional</t>
        </is>
      </c>
      <c r="M2516" t="inlineStr">
        <is>
          <t>Ian Plamondon</t>
        </is>
      </c>
    </row>
    <row r="2517">
      <c r="A2517" s="9" t="inlineStr">
        <is>
          <t>Heather Tuck</t>
        </is>
      </c>
      <c r="B2517" s="9" t="inlineStr">
        <is>
          <t>3/22/26 - 4/18/26</t>
        </is>
      </c>
      <c r="C2517" s="9" t="n">
        <v>0.75</v>
      </c>
      <c r="D2517" s="9" t="n">
        <v>0.8593999999999991</v>
      </c>
      <c r="E2517" s="9" t="n">
        <v>0.939393939393939</v>
      </c>
      <c r="F2517" s="12" t="n">
        <v>0.852</v>
      </c>
      <c r="G2517" s="9" t="n">
        <v>0.75</v>
      </c>
      <c r="H2517" s="9" t="n">
        <v>5</v>
      </c>
      <c r="J2517" s="50" t="n"/>
      <c r="K2517" t="inlineStr">
        <is>
          <t>Advanced</t>
        </is>
      </c>
      <c r="L2517" t="inlineStr">
        <is>
          <t>Adjunct</t>
        </is>
      </c>
      <c r="M2517" t="inlineStr">
        <is>
          <t>Kristin Haase-Alvey</t>
        </is>
      </c>
    </row>
    <row r="2518">
      <c r="A2518" s="9" t="inlineStr">
        <is>
          <t>Jacey Clifton</t>
        </is>
      </c>
      <c r="B2518" s="9" t="inlineStr">
        <is>
          <t>3/22/26 - 4/18/26</t>
        </is>
      </c>
      <c r="C2518" s="9" t="n">
        <v>0.8646</v>
      </c>
      <c r="D2518" s="9" t="n">
        <v>0.855499999999999</v>
      </c>
      <c r="E2518" s="9" t="n">
        <v>1</v>
      </c>
      <c r="F2518" s="12" t="n">
        <v>1</v>
      </c>
      <c r="G2518" s="9" t="n">
        <v>0.727272727272727</v>
      </c>
      <c r="H2518" s="9" t="n">
        <v>6</v>
      </c>
      <c r="J2518" s="50" t="n"/>
      <c r="K2518" t="inlineStr">
        <is>
          <t>Distinguished</t>
        </is>
      </c>
      <c r="L2518" t="inlineStr">
        <is>
          <t>Adjunct</t>
        </is>
      </c>
      <c r="M2518" t="inlineStr">
        <is>
          <t>Ela Cross</t>
        </is>
      </c>
    </row>
    <row r="2519">
      <c r="A2519" s="9" t="inlineStr">
        <is>
          <t>Jackson Weier</t>
        </is>
      </c>
      <c r="B2519" s="9" t="inlineStr">
        <is>
          <t>3/22/26 - 4/18/26</t>
        </is>
      </c>
      <c r="C2519" s="9" t="n">
        <v>0.291699999999999</v>
      </c>
      <c r="D2519" s="9" t="n">
        <v>1.1823</v>
      </c>
      <c r="E2519" s="9" t="n">
        <v>1</v>
      </c>
      <c r="F2519" s="12" t="n">
        <v>0.9</v>
      </c>
      <c r="G2519" s="9" t="n"/>
      <c r="I2519" s="9" t="inlineStr">
        <is>
          <t>0/6</t>
        </is>
      </c>
      <c r="J2519" s="50" t="n">
        <v>0</v>
      </c>
      <c r="K2519" t="inlineStr">
        <is>
          <t>Advanced</t>
        </is>
      </c>
      <c r="L2519" t="inlineStr">
        <is>
          <t>Adjunct</t>
        </is>
      </c>
      <c r="M2519" t="inlineStr">
        <is>
          <t>Katherine Marino</t>
        </is>
      </c>
    </row>
    <row r="2520">
      <c r="A2520" s="9" t="inlineStr">
        <is>
          <t>Jacob Karn</t>
        </is>
      </c>
      <c r="B2520" s="9" t="inlineStr">
        <is>
          <t>3/22/26 - 4/18/26</t>
        </is>
      </c>
      <c r="C2520" s="9" t="n">
        <v>0.9917</v>
      </c>
      <c r="D2520" s="9" t="n">
        <v>1.0428</v>
      </c>
      <c r="E2520" s="9" t="n">
        <v>0.956896551724137</v>
      </c>
      <c r="F2520" s="12" t="n">
        <v>0.985</v>
      </c>
      <c r="G2520" s="9" t="n">
        <v>0.833333333333333</v>
      </c>
      <c r="H2520" s="9" t="n">
        <v>7</v>
      </c>
      <c r="I2520" s="9" t="inlineStr">
        <is>
          <t>1/1</t>
        </is>
      </c>
      <c r="J2520" s="50" t="n">
        <v>1</v>
      </c>
      <c r="K2520" t="inlineStr">
        <is>
          <t>Distinguished</t>
        </is>
      </c>
      <c r="L2520" t="inlineStr">
        <is>
          <t>Professional</t>
        </is>
      </c>
      <c r="M2520" t="inlineStr">
        <is>
          <t>Ian Plamondon</t>
        </is>
      </c>
    </row>
    <row r="2521">
      <c r="A2521" s="9" t="inlineStr">
        <is>
          <t>Jake Corvino</t>
        </is>
      </c>
      <c r="B2521" s="9" t="inlineStr">
        <is>
          <t>3/22/26 - 4/18/26</t>
        </is>
      </c>
      <c r="C2521" s="9" t="n">
        <v>0.1875</v>
      </c>
      <c r="D2521" s="9" t="n">
        <v>0.6836</v>
      </c>
      <c r="E2521" s="9" t="n">
        <v>1</v>
      </c>
      <c r="F2521" s="12" t="n">
        <v>0.6</v>
      </c>
      <c r="G2521" s="9" t="n">
        <v>0</v>
      </c>
      <c r="H2521" s="9" t="n">
        <v>1</v>
      </c>
      <c r="J2521" s="50" t="n"/>
      <c r="K2521" t="inlineStr">
        <is>
          <t>Distinguished</t>
        </is>
      </c>
      <c r="L2521" t="inlineStr">
        <is>
          <t>Adjunct</t>
        </is>
      </c>
      <c r="M2521" t="inlineStr">
        <is>
          <t>Ela Cross</t>
        </is>
      </c>
    </row>
    <row r="2522">
      <c r="A2522" s="9" t="inlineStr">
        <is>
          <t>Jamaul Pemberton</t>
        </is>
      </c>
      <c r="B2522" s="9" t="inlineStr">
        <is>
          <t>3/22/26 - 4/18/26</t>
        </is>
      </c>
      <c r="C2522" s="9" t="n">
        <v>0.65</v>
      </c>
      <c r="D2522" s="9" t="n">
        <v>1.0082</v>
      </c>
      <c r="E2522" s="9" t="n">
        <v>0.985507246376811</v>
      </c>
      <c r="F2522" s="12" t="n">
        <v>0.889</v>
      </c>
      <c r="G2522" s="9" t="n">
        <v>0.866666666666666</v>
      </c>
      <c r="H2522" s="9" t="n">
        <v>2</v>
      </c>
      <c r="I2522" s="9" t="inlineStr">
        <is>
          <t>1/1</t>
        </is>
      </c>
      <c r="J2522" s="50" t="n">
        <v>1</v>
      </c>
      <c r="K2522" t="inlineStr">
        <is>
          <t>Premium</t>
        </is>
      </c>
      <c r="L2522" t="inlineStr">
        <is>
          <t>Professional</t>
        </is>
      </c>
      <c r="M2522" t="inlineStr">
        <is>
          <t>Ian Plamondon</t>
        </is>
      </c>
    </row>
    <row r="2523">
      <c r="A2523" s="9" t="inlineStr">
        <is>
          <t>James Falconer</t>
        </is>
      </c>
      <c r="B2523" s="9" t="inlineStr">
        <is>
          <t>3/22/26 - 4/18/26</t>
        </is>
      </c>
      <c r="C2523" s="9" t="n">
        <v>1.0607</v>
      </c>
      <c r="D2523" s="9" t="n">
        <v>1.0974</v>
      </c>
      <c r="E2523" s="9" t="n">
        <v>0.986394557823129</v>
      </c>
      <c r="F2523" s="12" t="n">
        <v>0.99</v>
      </c>
      <c r="G2523" s="9" t="n">
        <v>0.916666666666666</v>
      </c>
      <c r="H2523" s="9" t="n">
        <v>23</v>
      </c>
      <c r="J2523" s="50" t="n"/>
      <c r="K2523" t="inlineStr">
        <is>
          <t>Distinguished</t>
        </is>
      </c>
      <c r="L2523" t="inlineStr">
        <is>
          <t>Professional</t>
        </is>
      </c>
      <c r="M2523" t="inlineStr">
        <is>
          <t>Ian Plamondon</t>
        </is>
      </c>
    </row>
    <row r="2524">
      <c r="A2524" s="9" t="inlineStr">
        <is>
          <t>Jason Keller</t>
        </is>
      </c>
      <c r="B2524" s="9" t="inlineStr">
        <is>
          <t>3/22/26 - 4/18/26</t>
        </is>
      </c>
      <c r="C2524" s="9" t="n">
        <v>0.8042</v>
      </c>
      <c r="D2524" s="9" t="n">
        <v>1.0066</v>
      </c>
      <c r="E2524" s="9" t="n">
        <v>0.988636363636363</v>
      </c>
      <c r="F2524" s="12" t="n">
        <v>0.95</v>
      </c>
      <c r="G2524" s="9" t="n">
        <v>0.809523809523809</v>
      </c>
      <c r="H2524" s="9" t="n">
        <v>7</v>
      </c>
      <c r="I2524" s="9" t="inlineStr">
        <is>
          <t>3/3</t>
        </is>
      </c>
      <c r="J2524" s="50" t="n">
        <v>1</v>
      </c>
      <c r="K2524" t="inlineStr">
        <is>
          <t>Premium</t>
        </is>
      </c>
      <c r="L2524" t="inlineStr">
        <is>
          <t>Professional</t>
        </is>
      </c>
      <c r="M2524" t="inlineStr">
        <is>
          <t>Kristin Haase-Alvey</t>
        </is>
      </c>
    </row>
    <row r="2525">
      <c r="A2525" s="9" t="inlineStr">
        <is>
          <t>Jason Noble</t>
        </is>
      </c>
      <c r="B2525" s="9" t="inlineStr">
        <is>
          <t>3/22/26 - 4/18/26</t>
        </is>
      </c>
      <c r="C2525" s="9" t="n">
        <v>0.8958</v>
      </c>
      <c r="D2525" s="9" t="n">
        <v>1.02959999999999</v>
      </c>
      <c r="E2525" s="9" t="n">
        <v>0.933962264150943</v>
      </c>
      <c r="F2525" s="12" t="n">
        <v>0.903</v>
      </c>
      <c r="G2525" s="9" t="n">
        <v>1</v>
      </c>
      <c r="H2525" s="9" t="n">
        <v>9</v>
      </c>
      <c r="I2525" s="9" t="inlineStr">
        <is>
          <t>2/4</t>
        </is>
      </c>
      <c r="J2525" s="50" t="n">
        <v>0.5</v>
      </c>
      <c r="K2525" t="inlineStr">
        <is>
          <t>Distinguished</t>
        </is>
      </c>
      <c r="L2525" t="inlineStr">
        <is>
          <t>Professional</t>
        </is>
      </c>
      <c r="M2525" t="inlineStr">
        <is>
          <t>Kristin Haase-Alvey</t>
        </is>
      </c>
    </row>
    <row r="2526">
      <c r="A2526" s="9" t="inlineStr">
        <is>
          <t>Jason Pranaitis</t>
        </is>
      </c>
      <c r="B2526" s="9" t="inlineStr">
        <is>
          <t>3/22/26 - 4/18/26</t>
        </is>
      </c>
      <c r="C2526" s="9" t="n">
        <v>0</v>
      </c>
      <c r="D2526" s="9" t="n">
        <v>0.5155999999999999</v>
      </c>
      <c r="E2526" s="9" t="n"/>
      <c r="G2526" s="9" t="n"/>
      <c r="J2526" s="50" t="n"/>
      <c r="K2526" t="inlineStr">
        <is>
          <t>Advanced</t>
        </is>
      </c>
      <c r="L2526" t="inlineStr">
        <is>
          <t>Adjunct</t>
        </is>
      </c>
      <c r="M2526" t="inlineStr">
        <is>
          <t>Katherine Marino</t>
        </is>
      </c>
    </row>
    <row r="2527">
      <c r="A2527" s="9" t="inlineStr">
        <is>
          <t>Jayna Boaz</t>
        </is>
      </c>
      <c r="B2527" s="9" t="inlineStr">
        <is>
          <t>3/22/26 - 4/18/26</t>
        </is>
      </c>
      <c r="C2527" s="9" t="n">
        <v>1.0208</v>
      </c>
      <c r="D2527" s="9" t="n">
        <v>1.37109999999999</v>
      </c>
      <c r="E2527" s="9" t="n">
        <v>0.9375</v>
      </c>
      <c r="F2527" s="12" t="n">
        <v>0.793</v>
      </c>
      <c r="G2527" s="9" t="n">
        <v>0.714285714285714</v>
      </c>
      <c r="H2527" s="9" t="n">
        <v>4</v>
      </c>
      <c r="I2527" s="9" t="inlineStr">
        <is>
          <t>1/3</t>
        </is>
      </c>
      <c r="J2527" s="50" t="n">
        <v>0.33</v>
      </c>
      <c r="K2527" t="inlineStr">
        <is>
          <t>Advanced</t>
        </is>
      </c>
      <c r="L2527" t="inlineStr">
        <is>
          <t>Adjunct</t>
        </is>
      </c>
      <c r="M2527" t="inlineStr">
        <is>
          <t>Ela Cross</t>
        </is>
      </c>
    </row>
    <row r="2528">
      <c r="A2528" s="9" t="inlineStr">
        <is>
          <t>Jennifer Hernandez</t>
        </is>
      </c>
      <c r="B2528" s="9" t="inlineStr">
        <is>
          <t>3/22/26 - 4/18/26</t>
        </is>
      </c>
      <c r="C2528" s="9" t="n">
        <v>0.525</v>
      </c>
      <c r="D2528" s="9" t="n">
        <v>1.03129999999999</v>
      </c>
      <c r="E2528" s="9" t="n">
        <v>1</v>
      </c>
      <c r="F2528" s="12" t="n">
        <v>1</v>
      </c>
      <c r="G2528" s="9" t="n">
        <v>0.9</v>
      </c>
      <c r="H2528" s="9" t="n">
        <v>3</v>
      </c>
      <c r="J2528" s="50" t="n"/>
      <c r="K2528" t="inlineStr">
        <is>
          <t>Distinguished</t>
        </is>
      </c>
      <c r="L2528" t="inlineStr">
        <is>
          <t>Adjunct</t>
        </is>
      </c>
      <c r="M2528" t="inlineStr">
        <is>
          <t>Kristin Haase-Alvey</t>
        </is>
      </c>
    </row>
    <row r="2529">
      <c r="A2529" s="9" t="inlineStr">
        <is>
          <t>Jesse Squires</t>
        </is>
      </c>
      <c r="B2529" s="9" t="inlineStr">
        <is>
          <t>3/22/26 - 4/18/26</t>
        </is>
      </c>
      <c r="C2529" s="9" t="n">
        <v>0.7917</v>
      </c>
      <c r="D2529" s="9" t="n">
        <v>0.978599999999999</v>
      </c>
      <c r="E2529" s="9" t="n">
        <v>0.989130434782608</v>
      </c>
      <c r="F2529" s="12" t="n">
        <v>0.972</v>
      </c>
      <c r="G2529" s="9" t="n">
        <v>0.818181818181818</v>
      </c>
      <c r="H2529" s="9" t="n">
        <v>12</v>
      </c>
      <c r="I2529" s="9" t="inlineStr">
        <is>
          <t>1/5</t>
        </is>
      </c>
      <c r="J2529" s="50" t="n">
        <v>0.2</v>
      </c>
      <c r="K2529" t="inlineStr">
        <is>
          <t>Distinguished</t>
        </is>
      </c>
      <c r="L2529" t="inlineStr">
        <is>
          <t>Professional</t>
        </is>
      </c>
      <c r="M2529" t="inlineStr">
        <is>
          <t>Kristin Haase-Alvey</t>
        </is>
      </c>
    </row>
    <row r="2530">
      <c r="A2530" s="9" t="inlineStr">
        <is>
          <t>Jessica Menkhus</t>
        </is>
      </c>
      <c r="B2530" s="9" t="inlineStr">
        <is>
          <t>3/22/26 - 4/18/26</t>
        </is>
      </c>
      <c r="C2530" s="9" t="n">
        <v>0.6979</v>
      </c>
      <c r="D2530" s="9" t="n">
        <v>1.2734</v>
      </c>
      <c r="E2530" s="9" t="n">
        <v>1</v>
      </c>
      <c r="F2530" s="12" t="n">
        <v>0.92</v>
      </c>
      <c r="G2530" s="9" t="n">
        <v>1</v>
      </c>
      <c r="H2530" s="9" t="n">
        <v>1</v>
      </c>
      <c r="I2530" s="9" t="inlineStr">
        <is>
          <t>1/1</t>
        </is>
      </c>
      <c r="J2530" s="50" t="n">
        <v>1</v>
      </c>
      <c r="K2530" t="inlineStr">
        <is>
          <t>Premium</t>
        </is>
      </c>
      <c r="L2530" t="inlineStr">
        <is>
          <t>Adjunct</t>
        </is>
      </c>
      <c r="M2530" t="inlineStr">
        <is>
          <t>Ela Cross</t>
        </is>
      </c>
    </row>
    <row r="2531">
      <c r="A2531" s="9" t="inlineStr">
        <is>
          <t>Jessica Peterson</t>
        </is>
      </c>
      <c r="B2531" s="9" t="inlineStr">
        <is>
          <t>3/22/26 - 4/18/26</t>
        </is>
      </c>
      <c r="C2531" s="9" t="n">
        <v>1.15629999999999</v>
      </c>
      <c r="D2531" s="9" t="n">
        <v>0.9102</v>
      </c>
      <c r="E2531" s="9" t="n">
        <v>0.979166666666666</v>
      </c>
      <c r="F2531" s="12" t="n">
        <v>1</v>
      </c>
      <c r="G2531" s="9" t="n">
        <v>0.8</v>
      </c>
      <c r="H2531" s="9" t="n">
        <v>3</v>
      </c>
      <c r="J2531" s="50" t="n"/>
      <c r="K2531" t="inlineStr">
        <is>
          <t>Premium</t>
        </is>
      </c>
      <c r="L2531" t="inlineStr">
        <is>
          <t>Adjunct</t>
        </is>
      </c>
      <c r="M2531" t="inlineStr">
        <is>
          <t>Annelies de Groot</t>
        </is>
      </c>
    </row>
    <row r="2532">
      <c r="A2532" s="9" t="inlineStr">
        <is>
          <t>Jessica Wall</t>
        </is>
      </c>
      <c r="B2532" s="9" t="inlineStr">
        <is>
          <t>3/22/26 - 4/18/26</t>
        </is>
      </c>
      <c r="C2532" s="9" t="n">
        <v>1.0125</v>
      </c>
      <c r="D2532" s="9" t="n">
        <v>1.0132</v>
      </c>
      <c r="E2532" s="9" t="n">
        <v>0.983471074380165</v>
      </c>
      <c r="F2532" s="12" t="n">
        <v>1</v>
      </c>
      <c r="G2532" s="9" t="n">
        <v>0.625</v>
      </c>
      <c r="H2532" s="9" t="n">
        <v>6</v>
      </c>
      <c r="I2532" s="9" t="inlineStr">
        <is>
          <t>3/4</t>
        </is>
      </c>
      <c r="J2532" s="50" t="n">
        <v>0.75</v>
      </c>
      <c r="K2532" t="inlineStr">
        <is>
          <t>Distinguished</t>
        </is>
      </c>
      <c r="L2532" t="inlineStr">
        <is>
          <t>Professional</t>
        </is>
      </c>
      <c r="M2532" t="inlineStr">
        <is>
          <t>Kristin Haase-Alvey</t>
        </is>
      </c>
    </row>
    <row r="2533">
      <c r="A2533" s="9" t="inlineStr">
        <is>
          <t>Jill Watson</t>
        </is>
      </c>
      <c r="B2533" s="9" t="inlineStr">
        <is>
          <t>3/22/26 - 4/18/26</t>
        </is>
      </c>
      <c r="C2533" s="9" t="n">
        <v>0.9357</v>
      </c>
      <c r="D2533" s="9" t="n">
        <v>1.1453</v>
      </c>
      <c r="E2533" s="9" t="n">
        <v>1</v>
      </c>
      <c r="F2533" s="12" t="n">
        <v>0.953</v>
      </c>
      <c r="G2533" s="9" t="n">
        <v>0.8</v>
      </c>
      <c r="H2533" s="9" t="n">
        <v>17</v>
      </c>
      <c r="I2533" s="9" t="inlineStr">
        <is>
          <t>7/8</t>
        </is>
      </c>
      <c r="J2533" s="50" t="n">
        <v>0.88</v>
      </c>
      <c r="K2533" t="inlineStr">
        <is>
          <t>Distinguished</t>
        </is>
      </c>
      <c r="L2533" t="inlineStr">
        <is>
          <t>Professional</t>
        </is>
      </c>
      <c r="M2533" t="inlineStr">
        <is>
          <t>Ian Plamondon</t>
        </is>
      </c>
    </row>
    <row r="2534">
      <c r="A2534" s="9" t="inlineStr">
        <is>
          <t>Jimmy Works</t>
        </is>
      </c>
      <c r="B2534" s="9" t="inlineStr">
        <is>
          <t>3/22/26 - 4/18/26</t>
        </is>
      </c>
      <c r="C2534" s="9" t="n">
        <v>1.03129999999999</v>
      </c>
      <c r="D2534" s="9" t="n">
        <v>1.07809999999999</v>
      </c>
      <c r="E2534" s="9" t="n">
        <v>1</v>
      </c>
      <c r="F2534" s="12" t="n">
        <v>1</v>
      </c>
      <c r="G2534" s="9" t="n">
        <v>0.928571428571428</v>
      </c>
      <c r="H2534" s="9" t="n">
        <v>5</v>
      </c>
      <c r="J2534" s="50" t="n"/>
      <c r="K2534" t="inlineStr">
        <is>
          <t>Distinguished</t>
        </is>
      </c>
      <c r="L2534" t="inlineStr">
        <is>
          <t>Adjunct</t>
        </is>
      </c>
      <c r="M2534" t="inlineStr">
        <is>
          <t>Kristin Haase-Alvey</t>
        </is>
      </c>
    </row>
    <row r="2535">
      <c r="A2535" s="9" t="inlineStr">
        <is>
          <t>Johan Falconi</t>
        </is>
      </c>
      <c r="B2535" s="9" t="inlineStr">
        <is>
          <t>3/22/26 - 4/18/26</t>
        </is>
      </c>
      <c r="C2535" s="9" t="n">
        <v>0.6125</v>
      </c>
      <c r="D2535" s="9" t="n">
        <v>0.9722</v>
      </c>
      <c r="E2535" s="9" t="n">
        <v>1</v>
      </c>
      <c r="F2535" s="12" t="n">
        <v>0.333</v>
      </c>
      <c r="G2535" s="9" t="n">
        <v>0</v>
      </c>
      <c r="H2535" s="9" t="n">
        <v>3</v>
      </c>
      <c r="I2535" s="9" t="inlineStr">
        <is>
          <t>0/4</t>
        </is>
      </c>
      <c r="J2535" s="50" t="n">
        <v>0</v>
      </c>
      <c r="K2535" t="inlineStr">
        <is>
          <t>Advanced</t>
        </is>
      </c>
      <c r="L2535" t="inlineStr">
        <is>
          <t>Adjunct</t>
        </is>
      </c>
      <c r="M2535" t="inlineStr">
        <is>
          <t>Ela Cross</t>
        </is>
      </c>
    </row>
    <row r="2536">
      <c r="A2536" s="9" t="inlineStr">
        <is>
          <t>John Corbett</t>
        </is>
      </c>
      <c r="B2536" s="9" t="inlineStr">
        <is>
          <t>3/22/26 - 4/18/26</t>
        </is>
      </c>
      <c r="C2536" s="9" t="n">
        <v>0.818799999999999</v>
      </c>
      <c r="D2536" s="9" t="n">
        <v>1.1198</v>
      </c>
      <c r="E2536" s="9" t="n">
        <v>1</v>
      </c>
      <c r="F2536" s="12" t="n">
        <v>1</v>
      </c>
      <c r="G2536" s="9" t="n">
        <v>0.761904761904761</v>
      </c>
      <c r="H2536" s="9" t="n">
        <v>12</v>
      </c>
      <c r="I2536" s="9" t="inlineStr">
        <is>
          <t>0/1</t>
        </is>
      </c>
      <c r="J2536" s="50" t="n">
        <v>0</v>
      </c>
      <c r="K2536" t="inlineStr">
        <is>
          <t>Distinguished</t>
        </is>
      </c>
      <c r="L2536" t="inlineStr">
        <is>
          <t>Adjunct</t>
        </is>
      </c>
      <c r="M2536" t="inlineStr">
        <is>
          <t>Ian Plamondon</t>
        </is>
      </c>
    </row>
    <row r="2537">
      <c r="A2537" s="9" t="inlineStr">
        <is>
          <t>John Licitra</t>
        </is>
      </c>
      <c r="B2537" s="9" t="inlineStr">
        <is>
          <t>3/22/26 - 4/18/26</t>
        </is>
      </c>
      <c r="C2537" s="9" t="n">
        <v>0.8583</v>
      </c>
      <c r="D2537" s="9" t="n">
        <v>1.04109999999999</v>
      </c>
      <c r="E2537" s="9" t="n">
        <v>0.9898989898989889</v>
      </c>
      <c r="F2537" s="12" t="n">
        <v>0.958</v>
      </c>
      <c r="G2537" s="9" t="n">
        <v>0.95</v>
      </c>
      <c r="H2537" s="9" t="n">
        <v>7</v>
      </c>
      <c r="I2537" s="9" t="inlineStr">
        <is>
          <t>1/1</t>
        </is>
      </c>
      <c r="J2537" s="50" t="n">
        <v>1</v>
      </c>
      <c r="K2537" t="inlineStr">
        <is>
          <t>Distinguished</t>
        </is>
      </c>
      <c r="L2537" t="inlineStr">
        <is>
          <t>Professional</t>
        </is>
      </c>
      <c r="M2537" t="inlineStr">
        <is>
          <t>Geoff St. Marie</t>
        </is>
      </c>
    </row>
    <row r="2538">
      <c r="A2538" s="9" t="inlineStr">
        <is>
          <t>John Olmos</t>
        </is>
      </c>
      <c r="B2538" s="9" t="inlineStr">
        <is>
          <t>3/22/26 - 4/18/26</t>
        </is>
      </c>
      <c r="C2538" s="9" t="n">
        <v>0.8542</v>
      </c>
      <c r="D2538" s="9" t="n">
        <v>1.4227</v>
      </c>
      <c r="E2538" s="9" t="n">
        <v>0.989473684210526</v>
      </c>
      <c r="F2538" s="12" t="n">
        <v>0.963</v>
      </c>
      <c r="G2538" s="9" t="n">
        <v>0.705882352941176</v>
      </c>
      <c r="H2538" s="9" t="n">
        <v>1</v>
      </c>
      <c r="I2538" s="9" t="inlineStr">
        <is>
          <t>1/2</t>
        </is>
      </c>
      <c r="J2538" s="50" t="n">
        <v>0.5</v>
      </c>
      <c r="K2538" t="inlineStr">
        <is>
          <t>Distinguished</t>
        </is>
      </c>
      <c r="L2538" t="inlineStr">
        <is>
          <t>Professional</t>
        </is>
      </c>
      <c r="M2538" t="inlineStr">
        <is>
          <t>Ian Plamondon</t>
        </is>
      </c>
    </row>
    <row r="2539">
      <c r="A2539" s="9" t="inlineStr">
        <is>
          <t>John Salcedo</t>
        </is>
      </c>
      <c r="B2539" s="9" t="inlineStr">
        <is>
          <t>3/22/26 - 4/18/26</t>
        </is>
      </c>
      <c r="C2539" s="9" t="n">
        <v>1.0107</v>
      </c>
      <c r="D2539" s="9" t="n">
        <v>1.0945</v>
      </c>
      <c r="E2539" s="9" t="n">
        <v>0.9710144927536229</v>
      </c>
      <c r="F2539" s="12" t="n">
        <v>0.955</v>
      </c>
      <c r="G2539" s="9" t="n">
        <v>0</v>
      </c>
      <c r="H2539" s="9" t="n">
        <v>5</v>
      </c>
      <c r="I2539" s="9" t="inlineStr">
        <is>
          <t>7/20</t>
        </is>
      </c>
      <c r="J2539" s="50" t="n">
        <v>0.35</v>
      </c>
      <c r="K2539" t="inlineStr">
        <is>
          <t>Distinguished</t>
        </is>
      </c>
      <c r="L2539" t="inlineStr">
        <is>
          <t>Professional</t>
        </is>
      </c>
      <c r="M2539" t="inlineStr">
        <is>
          <t>Ela Cross</t>
        </is>
      </c>
    </row>
    <row r="2540">
      <c r="A2540" s="9" t="inlineStr">
        <is>
          <t>Johnny Kaplan</t>
        </is>
      </c>
      <c r="B2540" s="9" t="inlineStr">
        <is>
          <t>3/22/26 - 4/18/26</t>
        </is>
      </c>
      <c r="C2540" s="9" t="n">
        <v>1.0729</v>
      </c>
      <c r="D2540" s="9" t="n">
        <v>1.0703</v>
      </c>
      <c r="E2540" s="9" t="n">
        <v>1</v>
      </c>
      <c r="F2540" s="12" t="n">
        <v>0.912</v>
      </c>
      <c r="G2540" s="9" t="n">
        <v>0</v>
      </c>
      <c r="H2540" s="9" t="n">
        <v>6</v>
      </c>
      <c r="I2540" s="9" t="inlineStr">
        <is>
          <t>1/2</t>
        </is>
      </c>
      <c r="J2540" s="50" t="n">
        <v>0.5</v>
      </c>
      <c r="K2540" t="inlineStr">
        <is>
          <t>Advanced</t>
        </is>
      </c>
      <c r="L2540" t="inlineStr">
        <is>
          <t>Adjunct</t>
        </is>
      </c>
      <c r="M2540" t="inlineStr">
        <is>
          <t>Ian Plamondon</t>
        </is>
      </c>
    </row>
    <row r="2541">
      <c r="A2541" s="9" t="inlineStr">
        <is>
          <t>Jon Cathapermal</t>
        </is>
      </c>
      <c r="B2541" s="9" t="inlineStr">
        <is>
          <t>3/22/26 - 4/18/26</t>
        </is>
      </c>
      <c r="C2541" s="9" t="n">
        <v>0.7571</v>
      </c>
      <c r="D2541" s="9" t="n">
        <v>0.8502999999999999</v>
      </c>
      <c r="E2541" s="9" t="n">
        <v>0.968085106382978</v>
      </c>
      <c r="F2541" s="12" t="n">
        <v>0.923</v>
      </c>
      <c r="G2541" s="9" t="n">
        <v>0.85</v>
      </c>
      <c r="H2541" s="9" t="n">
        <v>7</v>
      </c>
      <c r="I2541" s="9" t="inlineStr">
        <is>
          <t>2/2</t>
        </is>
      </c>
      <c r="J2541" s="50" t="n">
        <v>1</v>
      </c>
      <c r="K2541" t="inlineStr">
        <is>
          <t>Distinguished</t>
        </is>
      </c>
      <c r="L2541" t="inlineStr">
        <is>
          <t>Professional</t>
        </is>
      </c>
      <c r="M2541" t="inlineStr">
        <is>
          <t>Geoff St. Marie</t>
        </is>
      </c>
    </row>
    <row r="2542">
      <c r="A2542" s="9" t="inlineStr">
        <is>
          <t>Jonathan Grams</t>
        </is>
      </c>
      <c r="B2542" s="9" t="inlineStr">
        <is>
          <t>3/22/26 - 4/18/26</t>
        </is>
      </c>
      <c r="C2542" s="9" t="n">
        <v>0.7917</v>
      </c>
      <c r="D2542" s="9" t="n">
        <v>1.0156</v>
      </c>
      <c r="E2542" s="9" t="n">
        <v>1</v>
      </c>
      <c r="F2542" s="12" t="n">
        <v>1</v>
      </c>
      <c r="G2542" s="9" t="n">
        <v>1</v>
      </c>
      <c r="J2542" s="50" t="n"/>
      <c r="K2542" t="inlineStr">
        <is>
          <t>Premium</t>
        </is>
      </c>
      <c r="L2542" t="inlineStr">
        <is>
          <t>Adjunct</t>
        </is>
      </c>
      <c r="M2542" t="inlineStr">
        <is>
          <t>Kristin Haase-Alvey</t>
        </is>
      </c>
    </row>
    <row r="2543">
      <c r="A2543" s="9" t="inlineStr">
        <is>
          <t>Jose Falconi</t>
        </is>
      </c>
      <c r="B2543" s="9" t="inlineStr">
        <is>
          <t>3/22/26 - 4/18/26</t>
        </is>
      </c>
      <c r="C2543" s="9" t="n">
        <v>1.02859999999999</v>
      </c>
      <c r="D2543" s="9" t="n">
        <v>1.0203</v>
      </c>
      <c r="E2543" s="9" t="n">
        <v>0.977611940298507</v>
      </c>
      <c r="F2543" s="12" t="n">
        <v>0.976</v>
      </c>
      <c r="G2543" s="9" t="n">
        <v>0.74074074074074</v>
      </c>
      <c r="H2543" s="9" t="n">
        <v>8</v>
      </c>
      <c r="I2543" s="9" t="inlineStr">
        <is>
          <t>3/7</t>
        </is>
      </c>
      <c r="J2543" s="50" t="n">
        <v>0.43</v>
      </c>
      <c r="K2543" t="inlineStr">
        <is>
          <t>Distinguished</t>
        </is>
      </c>
      <c r="L2543" t="inlineStr">
        <is>
          <t>Professional</t>
        </is>
      </c>
      <c r="M2543" t="inlineStr">
        <is>
          <t>Annelies de Groot</t>
        </is>
      </c>
    </row>
    <row r="2544">
      <c r="A2544" s="9" t="inlineStr">
        <is>
          <t>Joyraj D'souza</t>
        </is>
      </c>
      <c r="B2544" s="9" t="inlineStr">
        <is>
          <t>3/22/26 - 4/18/26</t>
        </is>
      </c>
      <c r="C2544" s="9" t="n">
        <v>1.48959999999999</v>
      </c>
      <c r="D2544" s="9" t="n">
        <v>1.2539</v>
      </c>
      <c r="E2544" s="9" t="n">
        <v>0.985074626865671</v>
      </c>
      <c r="F2544" s="12" t="n">
        <v>1</v>
      </c>
      <c r="G2544" s="9" t="n">
        <v>1</v>
      </c>
      <c r="H2544" s="9" t="n">
        <v>4</v>
      </c>
      <c r="J2544" s="50" t="n"/>
      <c r="K2544" t="inlineStr">
        <is>
          <t>Distinguished</t>
        </is>
      </c>
      <c r="L2544" t="inlineStr">
        <is>
          <t>Adjunct</t>
        </is>
      </c>
      <c r="M2544" t="inlineStr">
        <is>
          <t>Kristin Haase-Alvey</t>
        </is>
      </c>
    </row>
    <row r="2545">
      <c r="A2545" s="9" t="inlineStr">
        <is>
          <t>Juan Nunez</t>
        </is>
      </c>
      <c r="B2545" s="9" t="inlineStr">
        <is>
          <t>3/22/26 - 4/18/26</t>
        </is>
      </c>
      <c r="C2545" s="9" t="n">
        <v>0.9917</v>
      </c>
      <c r="D2545" s="9" t="n">
        <v>1.12009999999999</v>
      </c>
      <c r="E2545" s="9" t="n">
        <v>0.982300884955752</v>
      </c>
      <c r="F2545" s="12" t="n">
        <v>1</v>
      </c>
      <c r="G2545" s="9" t="n">
        <v>0.9090909090909089</v>
      </c>
      <c r="H2545" s="9" t="n">
        <v>6</v>
      </c>
      <c r="I2545" s="9" t="inlineStr">
        <is>
          <t>11/11</t>
        </is>
      </c>
      <c r="J2545" s="50" t="n">
        <v>1</v>
      </c>
      <c r="K2545" t="inlineStr">
        <is>
          <t>Distinguished</t>
        </is>
      </c>
      <c r="L2545" t="inlineStr">
        <is>
          <t>Professional</t>
        </is>
      </c>
      <c r="M2545" t="inlineStr">
        <is>
          <t>Kristin Haase-Alvey</t>
        </is>
      </c>
    </row>
    <row r="2546">
      <c r="A2546" s="9" t="inlineStr">
        <is>
          <t>Judi Abo Hana</t>
        </is>
      </c>
      <c r="B2546" s="9" t="inlineStr">
        <is>
          <t>3/22/26 - 4/18/26</t>
        </is>
      </c>
      <c r="C2546" s="9" t="n">
        <v>1.525</v>
      </c>
      <c r="D2546" s="9" t="n">
        <v>1.6823</v>
      </c>
      <c r="E2546" s="9" t="n">
        <v>1</v>
      </c>
      <c r="F2546" s="12" t="n">
        <v>0.986</v>
      </c>
      <c r="G2546" s="9" t="n">
        <v>0.7692307692307691</v>
      </c>
      <c r="H2546" s="9" t="n">
        <v>13</v>
      </c>
      <c r="I2546" s="9" t="inlineStr">
        <is>
          <t>3/3</t>
        </is>
      </c>
      <c r="J2546" s="50" t="n">
        <v>1</v>
      </c>
      <c r="K2546" t="inlineStr">
        <is>
          <t>Advanced</t>
        </is>
      </c>
      <c r="L2546" t="inlineStr">
        <is>
          <t>Adjunct</t>
        </is>
      </c>
      <c r="M2546" t="inlineStr">
        <is>
          <t>Geoff St. Marie</t>
        </is>
      </c>
    </row>
    <row r="2547">
      <c r="A2547" s="9" t="inlineStr">
        <is>
          <t>Julia Saderholm</t>
        </is>
      </c>
      <c r="B2547" s="9" t="inlineStr">
        <is>
          <t>3/22/26 - 4/18/26</t>
        </is>
      </c>
      <c r="C2547" s="9" t="n">
        <v>0.8208</v>
      </c>
      <c r="D2547" s="9" t="n">
        <v>1.0888</v>
      </c>
      <c r="E2547" s="9" t="n">
        <v>1</v>
      </c>
      <c r="F2547" s="12" t="n">
        <v>0.985</v>
      </c>
      <c r="G2547" s="9" t="n">
        <v>0.31578947368421</v>
      </c>
      <c r="H2547" s="9" t="n">
        <v>9</v>
      </c>
      <c r="I2547" s="9" t="inlineStr">
        <is>
          <t>1/9</t>
        </is>
      </c>
      <c r="J2547" s="50" t="n">
        <v>0.11</v>
      </c>
      <c r="K2547" t="inlineStr">
        <is>
          <t>Distinguished</t>
        </is>
      </c>
      <c r="L2547" t="inlineStr">
        <is>
          <t>Professional</t>
        </is>
      </c>
      <c r="M2547" t="inlineStr">
        <is>
          <t>Ela Cross</t>
        </is>
      </c>
    </row>
    <row r="2548">
      <c r="A2548" s="9" t="inlineStr">
        <is>
          <t>Julie Byrom</t>
        </is>
      </c>
      <c r="B2548" s="9" t="inlineStr">
        <is>
          <t>3/22/26 - 4/18/26</t>
        </is>
      </c>
      <c r="C2548" s="9" t="n">
        <v>0.8833</v>
      </c>
      <c r="D2548" s="9" t="n">
        <v>1.0428</v>
      </c>
      <c r="E2548" s="9" t="n">
        <v>1</v>
      </c>
      <c r="F2548" s="12" t="n">
        <v>1</v>
      </c>
      <c r="G2548" s="9" t="n">
        <v>1</v>
      </c>
      <c r="H2548" s="9" t="n">
        <v>8</v>
      </c>
      <c r="I2548" s="9" t="inlineStr">
        <is>
          <t>1/2</t>
        </is>
      </c>
      <c r="J2548" s="50" t="n">
        <v>0.5</v>
      </c>
      <c r="K2548" t="inlineStr">
        <is>
          <t>Premium</t>
        </is>
      </c>
      <c r="L2548" t="inlineStr">
        <is>
          <t>Professional</t>
        </is>
      </c>
      <c r="M2548" t="inlineStr">
        <is>
          <t>Ela Cross</t>
        </is>
      </c>
    </row>
    <row r="2549">
      <c r="A2549" s="9" t="inlineStr">
        <is>
          <t>Justin Hill</t>
        </is>
      </c>
      <c r="B2549" s="9" t="inlineStr">
        <is>
          <t>3/22/26 - 4/18/26</t>
        </is>
      </c>
      <c r="C2549" s="9" t="n">
        <v>0.6333</v>
      </c>
      <c r="D2549" s="9" t="n">
        <v>0.9375</v>
      </c>
      <c r="E2549" s="9" t="n">
        <v>1</v>
      </c>
      <c r="F2549" s="12" t="n">
        <v>0.944</v>
      </c>
      <c r="G2549" s="9" t="n">
        <v>0</v>
      </c>
      <c r="H2549" s="9" t="n">
        <v>7</v>
      </c>
      <c r="I2549" s="9" t="inlineStr">
        <is>
          <t>2/13</t>
        </is>
      </c>
      <c r="J2549" s="50" t="n">
        <v>0.15</v>
      </c>
      <c r="K2549" t="inlineStr">
        <is>
          <t>Distinguished</t>
        </is>
      </c>
      <c r="L2549" t="inlineStr">
        <is>
          <t>Professional</t>
        </is>
      </c>
      <c r="M2549" t="inlineStr">
        <is>
          <t>Nikki Pencak</t>
        </is>
      </c>
    </row>
    <row r="2550">
      <c r="A2550" s="9" t="inlineStr">
        <is>
          <t>Kai Tsung</t>
        </is>
      </c>
      <c r="B2550" s="9" t="inlineStr">
        <is>
          <t>3/22/26 - 4/18/26</t>
        </is>
      </c>
      <c r="C2550" s="9" t="n">
        <v>1.17709999999999</v>
      </c>
      <c r="D2550" s="9" t="n">
        <v>1.34379999999999</v>
      </c>
      <c r="E2550" s="9" t="n">
        <v>1</v>
      </c>
      <c r="F2550" s="12" t="n">
        <v>0.432</v>
      </c>
      <c r="G2550" s="9" t="n">
        <v>0</v>
      </c>
      <c r="H2550" s="9" t="n">
        <v>8</v>
      </c>
      <c r="I2550" s="9" t="inlineStr">
        <is>
          <t>1/2</t>
        </is>
      </c>
      <c r="J2550" s="50" t="n">
        <v>0.5</v>
      </c>
      <c r="K2550" t="inlineStr">
        <is>
          <t>Advanced</t>
        </is>
      </c>
      <c r="L2550" t="inlineStr">
        <is>
          <t>Adjunct</t>
        </is>
      </c>
      <c r="M2550" t="inlineStr">
        <is>
          <t>Kristin Haase-Alvey</t>
        </is>
      </c>
    </row>
    <row r="2551">
      <c r="A2551" s="9" t="inlineStr">
        <is>
          <t>Kailot Harris</t>
        </is>
      </c>
      <c r="B2551" s="9" t="inlineStr">
        <is>
          <t>3/22/26 - 4/18/26</t>
        </is>
      </c>
      <c r="C2551" s="9" t="n">
        <v>1.1167</v>
      </c>
      <c r="D2551" s="9" t="n">
        <v>1.1349</v>
      </c>
      <c r="E2551" s="9" t="n">
        <v>0.992424242424242</v>
      </c>
      <c r="F2551" s="12" t="n">
        <v>1</v>
      </c>
      <c r="G2551" s="9" t="n">
        <v>0.892857142857142</v>
      </c>
      <c r="H2551" s="9" t="n">
        <v>12</v>
      </c>
      <c r="I2551" s="9" t="inlineStr">
        <is>
          <t>2/4</t>
        </is>
      </c>
      <c r="J2551" s="50" t="n">
        <v>0.5</v>
      </c>
      <c r="K2551" t="inlineStr">
        <is>
          <t>Distinguished</t>
        </is>
      </c>
      <c r="L2551" t="inlineStr">
        <is>
          <t>Professional</t>
        </is>
      </c>
      <c r="M2551" t="inlineStr">
        <is>
          <t>Kristin Haase-Alvey</t>
        </is>
      </c>
    </row>
    <row r="2552">
      <c r="A2552" s="9" t="inlineStr">
        <is>
          <t>Karleigh Arrington</t>
        </is>
      </c>
      <c r="B2552" s="9" t="inlineStr">
        <is>
          <t>3/22/26 - 4/18/26</t>
        </is>
      </c>
      <c r="C2552" s="9" t="n">
        <v>0.9167</v>
      </c>
      <c r="D2552" s="9" t="n">
        <v>0.889799999999999</v>
      </c>
      <c r="E2552" s="9" t="n">
        <v>1</v>
      </c>
      <c r="F2552" s="12" t="n">
        <v>1</v>
      </c>
      <c r="G2552" s="9" t="n">
        <v>0.9090909090909089</v>
      </c>
      <c r="H2552" s="9" t="n">
        <v>7</v>
      </c>
      <c r="I2552" s="9" t="inlineStr">
        <is>
          <t>3/4</t>
        </is>
      </c>
      <c r="J2552" s="50" t="n">
        <v>0.75</v>
      </c>
      <c r="K2552" t="inlineStr">
        <is>
          <t>Distinguished</t>
        </is>
      </c>
      <c r="L2552" t="inlineStr">
        <is>
          <t>Professional</t>
        </is>
      </c>
      <c r="M2552" t="inlineStr">
        <is>
          <t>Annelies de Groot</t>
        </is>
      </c>
    </row>
    <row r="2553">
      <c r="A2553" s="9" t="inlineStr">
        <is>
          <t>Kate Haldeman</t>
        </is>
      </c>
      <c r="B2553" s="9" t="inlineStr">
        <is>
          <t>3/22/26 - 4/18/26</t>
        </is>
      </c>
      <c r="C2553" s="9" t="n">
        <v>0.603599999999999</v>
      </c>
      <c r="D2553" s="9" t="n">
        <v>1.1337</v>
      </c>
      <c r="E2553" s="9" t="n"/>
      <c r="F2553" s="12" t="n">
        <v>0.964</v>
      </c>
      <c r="G2553" s="9" t="n">
        <v>0</v>
      </c>
      <c r="H2553" s="9" t="n">
        <v>6</v>
      </c>
      <c r="I2553" s="9" t="inlineStr">
        <is>
          <t>1/13</t>
        </is>
      </c>
      <c r="J2553" s="50" t="n">
        <v>0.08</v>
      </c>
      <c r="K2553" t="inlineStr">
        <is>
          <t>Advanced</t>
        </is>
      </c>
      <c r="L2553" t="inlineStr">
        <is>
          <t>Professional</t>
        </is>
      </c>
      <c r="M2553" t="inlineStr">
        <is>
          <t>Katherine Marino</t>
        </is>
      </c>
    </row>
    <row r="2554">
      <c r="A2554" s="9" t="inlineStr">
        <is>
          <t>Katherine Clarke</t>
        </is>
      </c>
      <c r="B2554" s="9" t="inlineStr">
        <is>
          <t>3/22/26 - 4/18/26</t>
        </is>
      </c>
      <c r="C2554" s="9" t="n">
        <v>0.8458</v>
      </c>
      <c r="D2554" s="9" t="n">
        <v>0.986799999999999</v>
      </c>
      <c r="E2554" s="9" t="n">
        <v>1</v>
      </c>
      <c r="F2554" s="12" t="n">
        <v>0.895</v>
      </c>
      <c r="G2554" s="9" t="n">
        <v>0.95</v>
      </c>
      <c r="H2554" s="9" t="n">
        <v>2</v>
      </c>
      <c r="I2554" s="9" t="inlineStr">
        <is>
          <t>1/1</t>
        </is>
      </c>
      <c r="J2554" s="50" t="n">
        <v>1</v>
      </c>
      <c r="K2554" t="inlineStr">
        <is>
          <t>Distinguished</t>
        </is>
      </c>
      <c r="L2554" t="inlineStr">
        <is>
          <t>Professional</t>
        </is>
      </c>
      <c r="M2554" t="inlineStr">
        <is>
          <t>Kristin Haase-Alvey</t>
        </is>
      </c>
    </row>
    <row r="2555">
      <c r="A2555" s="9" t="inlineStr">
        <is>
          <t>Katherine Dickerson</t>
        </is>
      </c>
      <c r="B2555" s="9" t="inlineStr">
        <is>
          <t>3/22/26 - 4/18/26</t>
        </is>
      </c>
      <c r="C2555" s="9" t="n">
        <v>0.6107</v>
      </c>
      <c r="D2555" s="9" t="n">
        <v>1.22089999999999</v>
      </c>
      <c r="E2555" s="9" t="n">
        <v>1</v>
      </c>
      <c r="F2555" s="12" t="n">
        <v>0.982</v>
      </c>
      <c r="G2555" s="9" t="n">
        <v>0.4375</v>
      </c>
      <c r="H2555" s="9" t="n">
        <v>10</v>
      </c>
      <c r="I2555" s="9" t="inlineStr">
        <is>
          <t>0/2</t>
        </is>
      </c>
      <c r="J2555" s="50" t="n">
        <v>0</v>
      </c>
      <c r="K2555" t="inlineStr">
        <is>
          <t>Premium</t>
        </is>
      </c>
      <c r="L2555" t="inlineStr">
        <is>
          <t>Professional</t>
        </is>
      </c>
      <c r="M2555" t="inlineStr">
        <is>
          <t>Geoff St. Marie</t>
        </is>
      </c>
    </row>
    <row r="2556">
      <c r="A2556" s="9" t="inlineStr">
        <is>
          <t>Katie Soller</t>
        </is>
      </c>
      <c r="B2556" s="9" t="inlineStr">
        <is>
          <t>3/22/26 - 4/18/26</t>
        </is>
      </c>
      <c r="C2556" s="9" t="n"/>
      <c r="D2556" s="9" t="n"/>
      <c r="E2556" s="9" t="n"/>
      <c r="G2556" s="9" t="n"/>
      <c r="J2556" s="50" t="n"/>
      <c r="K2556" t="inlineStr">
        <is>
          <t>Advanced</t>
        </is>
      </c>
      <c r="L2556" t="inlineStr">
        <is>
          <t>Adjunct</t>
        </is>
      </c>
      <c r="M2556" t="inlineStr">
        <is>
          <t>Nikki Pencak</t>
        </is>
      </c>
    </row>
    <row r="2557">
      <c r="A2557" s="9" t="inlineStr">
        <is>
          <t>Kayleigh Puliafico</t>
        </is>
      </c>
      <c r="B2557" s="9" t="inlineStr">
        <is>
          <t>3/22/26 - 4/18/26</t>
        </is>
      </c>
      <c r="C2557" s="9" t="n">
        <v>0</v>
      </c>
      <c r="D2557" s="9" t="n">
        <v>1.03129999999999</v>
      </c>
      <c r="E2557" s="9" t="n"/>
      <c r="G2557" s="9" t="n"/>
      <c r="J2557" s="50" t="n"/>
      <c r="K2557" t="inlineStr">
        <is>
          <t>Advanced</t>
        </is>
      </c>
      <c r="L2557" t="inlineStr">
        <is>
          <t>Adjunct</t>
        </is>
      </c>
      <c r="M2557" t="inlineStr">
        <is>
          <t>Katherine Marino</t>
        </is>
      </c>
    </row>
    <row r="2558">
      <c r="A2558" s="9" t="inlineStr">
        <is>
          <t>Kiersten Guetlein</t>
        </is>
      </c>
      <c r="B2558" s="9" t="inlineStr">
        <is>
          <t>3/22/26 - 4/18/26</t>
        </is>
      </c>
      <c r="C2558" s="9" t="n">
        <v>0.704199999999999</v>
      </c>
      <c r="D2558" s="9" t="n">
        <v>1.65</v>
      </c>
      <c r="E2558" s="9" t="n">
        <v>0.985507246376811</v>
      </c>
      <c r="F2558" s="12" t="n">
        <v>0.761</v>
      </c>
      <c r="G2558" s="9" t="n">
        <v>0.9411764705882349</v>
      </c>
      <c r="H2558" s="9" t="n">
        <v>9</v>
      </c>
      <c r="I2558" s="9" t="inlineStr">
        <is>
          <t>1/1</t>
        </is>
      </c>
      <c r="J2558" s="50" t="n">
        <v>1</v>
      </c>
      <c r="K2558" t="inlineStr">
        <is>
          <t>Premium</t>
        </is>
      </c>
      <c r="L2558" t="inlineStr">
        <is>
          <t>Professional</t>
        </is>
      </c>
      <c r="M2558" t="inlineStr">
        <is>
          <t>Ela Cross</t>
        </is>
      </c>
    </row>
    <row r="2559">
      <c r="A2559" s="9" t="inlineStr">
        <is>
          <t>Krishna Rastogi</t>
        </is>
      </c>
      <c r="B2559" s="9" t="inlineStr">
        <is>
          <t>3/22/26 - 4/18/26</t>
        </is>
      </c>
      <c r="C2559" s="9" t="n">
        <v>0.9167</v>
      </c>
      <c r="D2559" s="9" t="n">
        <v>1.12109999999999</v>
      </c>
      <c r="E2559" s="9" t="n">
        <v>0.973684210526315</v>
      </c>
      <c r="F2559" s="12" t="n">
        <v>0.786</v>
      </c>
      <c r="G2559" s="9" t="n">
        <v>0.428571428571428</v>
      </c>
      <c r="H2559" s="9" t="n">
        <v>6</v>
      </c>
      <c r="I2559" s="9" t="inlineStr">
        <is>
          <t>0/2</t>
        </is>
      </c>
      <c r="J2559" s="50" t="n">
        <v>0</v>
      </c>
      <c r="K2559" t="inlineStr">
        <is>
          <t>Advanced</t>
        </is>
      </c>
      <c r="L2559" t="inlineStr">
        <is>
          <t>Adjunct</t>
        </is>
      </c>
      <c r="M2559" t="inlineStr">
        <is>
          <t>Ian Plamondon</t>
        </is>
      </c>
    </row>
    <row r="2560">
      <c r="A2560" s="9" t="inlineStr">
        <is>
          <t>Kristen Fox</t>
        </is>
      </c>
      <c r="B2560" s="9" t="inlineStr">
        <is>
          <t>3/22/26 - 4/18/26</t>
        </is>
      </c>
      <c r="C2560" s="9" t="n">
        <v>0.9125</v>
      </c>
      <c r="D2560" s="9" t="n">
        <v>0.875</v>
      </c>
      <c r="E2560" s="9" t="n">
        <v>0.846846846846846</v>
      </c>
      <c r="F2560" s="12" t="n">
        <v>0.959</v>
      </c>
      <c r="G2560" s="9" t="n">
        <v>0.92</v>
      </c>
      <c r="H2560" s="9" t="n">
        <v>13</v>
      </c>
      <c r="I2560" s="9" t="inlineStr">
        <is>
          <t>4/5</t>
        </is>
      </c>
      <c r="J2560" s="50" t="n">
        <v>0.8</v>
      </c>
      <c r="K2560" t="inlineStr">
        <is>
          <t>Distinguished</t>
        </is>
      </c>
      <c r="L2560" t="inlineStr">
        <is>
          <t>Professional</t>
        </is>
      </c>
      <c r="M2560" t="inlineStr">
        <is>
          <t>Kristin Haase-Alvey</t>
        </is>
      </c>
    </row>
    <row r="2561">
      <c r="A2561" s="9" t="inlineStr">
        <is>
          <t>Kristen Luigart</t>
        </is>
      </c>
      <c r="B2561" s="9" t="inlineStr">
        <is>
          <t>3/22/26 - 4/18/26</t>
        </is>
      </c>
      <c r="C2561" s="9" t="n">
        <v>0.4542</v>
      </c>
      <c r="D2561" s="9" t="n">
        <v>1.1234</v>
      </c>
      <c r="E2561" s="9" t="n">
        <v>0.837209302325581</v>
      </c>
      <c r="F2561" s="12" t="n">
        <v>0.767</v>
      </c>
      <c r="G2561" s="9" t="n">
        <v>1</v>
      </c>
      <c r="H2561" s="9" t="n">
        <v>2</v>
      </c>
      <c r="I2561" s="9" t="inlineStr">
        <is>
          <t>3/3</t>
        </is>
      </c>
      <c r="J2561" s="50" t="n">
        <v>1</v>
      </c>
      <c r="K2561" t="inlineStr">
        <is>
          <t>Distinguished</t>
        </is>
      </c>
      <c r="L2561" t="inlineStr">
        <is>
          <t>Professional</t>
        </is>
      </c>
      <c r="M2561" t="inlineStr">
        <is>
          <t>Ian Plamondon</t>
        </is>
      </c>
    </row>
    <row r="2562">
      <c r="A2562" s="9" t="inlineStr">
        <is>
          <t>Lana Kargetta</t>
        </is>
      </c>
      <c r="B2562" s="9" t="inlineStr">
        <is>
          <t>3/22/26 - 4/18/26</t>
        </is>
      </c>
      <c r="C2562" s="9" t="n">
        <v>0.981299999999999</v>
      </c>
      <c r="D2562" s="9" t="n">
        <v>1.0469</v>
      </c>
      <c r="E2562" s="9" t="n">
        <v>0.96875</v>
      </c>
      <c r="F2562" s="12" t="n">
        <v>0.849</v>
      </c>
      <c r="G2562" s="9" t="n">
        <v>0.833333333333333</v>
      </c>
      <c r="H2562" s="9" t="n">
        <v>11</v>
      </c>
      <c r="I2562" s="9" t="inlineStr">
        <is>
          <t>2/4</t>
        </is>
      </c>
      <c r="J2562" s="50" t="n">
        <v>0.5</v>
      </c>
      <c r="K2562" t="inlineStr">
        <is>
          <t>Advanced</t>
        </is>
      </c>
      <c r="L2562" t="inlineStr">
        <is>
          <t>Adjunct</t>
        </is>
      </c>
      <c r="M2562" t="inlineStr">
        <is>
          <t>Geoff St. Marie</t>
        </is>
      </c>
    </row>
    <row r="2563">
      <c r="A2563" s="9" t="inlineStr">
        <is>
          <t>Levi Fox</t>
        </is>
      </c>
      <c r="B2563" s="9" t="inlineStr">
        <is>
          <t>3/22/26 - 4/18/26</t>
        </is>
      </c>
      <c r="C2563" s="9" t="n">
        <v>0.9</v>
      </c>
      <c r="D2563" s="9" t="n">
        <v>0.9984</v>
      </c>
      <c r="E2563" s="9" t="n">
        <v>0.9411764705882349</v>
      </c>
      <c r="F2563" s="12" t="n">
        <v>0.948</v>
      </c>
      <c r="G2563" s="9" t="n">
        <v>0.3125</v>
      </c>
      <c r="H2563" s="9" t="n">
        <v>7</v>
      </c>
      <c r="I2563" s="9" t="inlineStr">
        <is>
          <t>3/3</t>
        </is>
      </c>
      <c r="J2563" s="50" t="n">
        <v>1</v>
      </c>
      <c r="K2563" t="inlineStr">
        <is>
          <t>Premium</t>
        </is>
      </c>
      <c r="L2563" t="inlineStr">
        <is>
          <t>Professional</t>
        </is>
      </c>
      <c r="M2563" t="inlineStr">
        <is>
          <t>Geoff St. Marie</t>
        </is>
      </c>
    </row>
    <row r="2564">
      <c r="A2564" s="9" t="inlineStr">
        <is>
          <t>Lilly Kellogg</t>
        </is>
      </c>
      <c r="B2564" s="9" t="inlineStr">
        <is>
          <t>3/22/26 - 4/18/26</t>
        </is>
      </c>
      <c r="C2564" s="9" t="n">
        <v>0.0833</v>
      </c>
      <c r="D2564" s="9" t="n">
        <v>0.9766</v>
      </c>
      <c r="E2564" s="9" t="n"/>
      <c r="F2564" s="12" t="n">
        <v>1</v>
      </c>
      <c r="G2564" s="9" t="n"/>
      <c r="J2564" s="50" t="n"/>
      <c r="K2564" t="inlineStr">
        <is>
          <t>Advanced</t>
        </is>
      </c>
      <c r="L2564" t="inlineStr">
        <is>
          <t>Adjunct</t>
        </is>
      </c>
      <c r="M2564" t="inlineStr">
        <is>
          <t>Nikki Pencak</t>
        </is>
      </c>
    </row>
    <row r="2565">
      <c r="A2565" s="9" t="inlineStr">
        <is>
          <t>Lisa Bartle</t>
        </is>
      </c>
      <c r="B2565" s="9" t="inlineStr">
        <is>
          <t>3/22/26 - 4/18/26</t>
        </is>
      </c>
      <c r="C2565" s="9" t="n">
        <v>1.82809999999999</v>
      </c>
      <c r="D2565" s="9" t="n">
        <v>1.5117</v>
      </c>
      <c r="E2565" s="9" t="n">
        <v>0.9838709677419351</v>
      </c>
      <c r="F2565" s="12" t="n">
        <v>0.957</v>
      </c>
      <c r="G2565" s="9" t="n">
        <v>1</v>
      </c>
      <c r="H2565" s="9" t="n">
        <v>2</v>
      </c>
      <c r="J2565" s="50" t="n"/>
      <c r="K2565" t="inlineStr">
        <is>
          <t>Premium</t>
        </is>
      </c>
      <c r="L2565" t="inlineStr">
        <is>
          <t>Adjunct</t>
        </is>
      </c>
      <c r="M2565" t="inlineStr">
        <is>
          <t>Annelies de Groot</t>
        </is>
      </c>
    </row>
    <row r="2566">
      <c r="A2566" s="9" t="inlineStr">
        <is>
          <t>Liz Garcia</t>
        </is>
      </c>
      <c r="B2566" s="9" t="inlineStr">
        <is>
          <t>3/22/26 - 4/18/26</t>
        </is>
      </c>
      <c r="C2566" s="9" t="n">
        <v>0.7875</v>
      </c>
      <c r="D2566" s="9" t="n">
        <v>0.9836</v>
      </c>
      <c r="E2566" s="9" t="n">
        <v>0.989247311827956</v>
      </c>
      <c r="F2566" s="12" t="n">
        <v>1</v>
      </c>
      <c r="G2566" s="9" t="n">
        <v>0.842105263157894</v>
      </c>
      <c r="H2566" s="9" t="n">
        <v>10</v>
      </c>
      <c r="I2566" s="9" t="inlineStr">
        <is>
          <t>3/5</t>
        </is>
      </c>
      <c r="J2566" s="50" t="n">
        <v>0.6</v>
      </c>
      <c r="K2566" t="inlineStr">
        <is>
          <t>Distinguished</t>
        </is>
      </c>
      <c r="L2566" t="inlineStr">
        <is>
          <t>Professional</t>
        </is>
      </c>
      <c r="M2566" t="inlineStr">
        <is>
          <t>Ian Plamondon</t>
        </is>
      </c>
    </row>
    <row r="2567">
      <c r="A2567" s="9" t="inlineStr">
        <is>
          <t>Liz Pirie</t>
        </is>
      </c>
      <c r="B2567" s="9" t="inlineStr">
        <is>
          <t>3/22/26 - 4/18/26</t>
        </is>
      </c>
      <c r="C2567" s="9" t="n">
        <v>0.6667</v>
      </c>
      <c r="D2567" s="9" t="n">
        <v>1.01969999999999</v>
      </c>
      <c r="E2567" s="9" t="n">
        <v>1</v>
      </c>
      <c r="F2567" s="12" t="n">
        <v>0.9</v>
      </c>
      <c r="G2567" s="9" t="n">
        <v>0.777777777777777</v>
      </c>
      <c r="H2567" s="9" t="n">
        <v>10</v>
      </c>
      <c r="I2567" s="9" t="inlineStr">
        <is>
          <t>4/4</t>
        </is>
      </c>
      <c r="J2567" s="50" t="n">
        <v>1</v>
      </c>
      <c r="K2567" t="inlineStr">
        <is>
          <t>Distinguished</t>
        </is>
      </c>
      <c r="L2567" t="inlineStr">
        <is>
          <t>Professional</t>
        </is>
      </c>
      <c r="M2567" t="inlineStr">
        <is>
          <t>Kristin Haase-Alvey</t>
        </is>
      </c>
    </row>
    <row r="2568">
      <c r="A2568" s="9" t="inlineStr">
        <is>
          <t>Loren Lijewski</t>
        </is>
      </c>
      <c r="B2568" s="9" t="inlineStr">
        <is>
          <t>3/22/26 - 4/18/26</t>
        </is>
      </c>
      <c r="C2568" s="9" t="n">
        <v>1.0729</v>
      </c>
      <c r="D2568" s="9" t="n">
        <v>1.1641</v>
      </c>
      <c r="E2568" s="9" t="n">
        <v>1</v>
      </c>
      <c r="F2568" s="12" t="n">
        <v>0.914</v>
      </c>
      <c r="G2568" s="9" t="n">
        <v>1</v>
      </c>
      <c r="H2568" s="9" t="n">
        <v>11</v>
      </c>
      <c r="J2568" s="50" t="n"/>
      <c r="K2568" t="inlineStr">
        <is>
          <t>Advanced</t>
        </is>
      </c>
      <c r="L2568" t="inlineStr">
        <is>
          <t>Adjunct</t>
        </is>
      </c>
      <c r="M2568" t="inlineStr">
        <is>
          <t>Annelies de Groot</t>
        </is>
      </c>
    </row>
    <row r="2569">
      <c r="A2569" s="9" t="inlineStr">
        <is>
          <t>Machaela Verhage</t>
        </is>
      </c>
      <c r="B2569" s="9" t="inlineStr">
        <is>
          <t>3/22/26 - 4/18/26</t>
        </is>
      </c>
      <c r="C2569" s="9" t="n">
        <v>0.7083</v>
      </c>
      <c r="D2569" s="9" t="n">
        <v>0.924299999999999</v>
      </c>
      <c r="E2569" s="9" t="n">
        <v>1</v>
      </c>
      <c r="F2569" s="12" t="n">
        <v>0.983</v>
      </c>
      <c r="G2569" s="9" t="n">
        <v>0.571428571428571</v>
      </c>
      <c r="H2569" s="9" t="n">
        <v>3</v>
      </c>
      <c r="I2569" s="9" t="inlineStr">
        <is>
          <t>1/1</t>
        </is>
      </c>
      <c r="J2569" s="50" t="n">
        <v>1</v>
      </c>
      <c r="K2569" t="inlineStr">
        <is>
          <t>Distinguished</t>
        </is>
      </c>
      <c r="L2569" t="inlineStr">
        <is>
          <t>Professional</t>
        </is>
      </c>
      <c r="M2569" t="inlineStr">
        <is>
          <t>Annelies de Groot</t>
        </is>
      </c>
    </row>
    <row r="2570">
      <c r="A2570" s="9" t="inlineStr">
        <is>
          <t>Madia Banda</t>
        </is>
      </c>
      <c r="B2570" s="9" t="inlineStr">
        <is>
          <t>3/22/26 - 4/18/26</t>
        </is>
      </c>
      <c r="C2570" s="9" t="n">
        <v>0.9178999999999991</v>
      </c>
      <c r="D2570" s="9" t="n">
        <v>0.9389999999999999</v>
      </c>
      <c r="E2570" s="9" t="n">
        <v>0.9844961240310069</v>
      </c>
      <c r="F2570" s="12" t="n">
        <v>0.79</v>
      </c>
      <c r="G2570" s="9" t="n">
        <v>1</v>
      </c>
      <c r="H2570" s="9" t="n">
        <v>11</v>
      </c>
      <c r="I2570" s="9" t="inlineStr">
        <is>
          <t>0/2</t>
        </is>
      </c>
      <c r="J2570" s="50" t="n">
        <v>0</v>
      </c>
      <c r="K2570" t="inlineStr">
        <is>
          <t>Advanced</t>
        </is>
      </c>
      <c r="L2570" t="inlineStr">
        <is>
          <t>Professional</t>
        </is>
      </c>
      <c r="M2570" t="inlineStr">
        <is>
          <t>Geoff St. Marie</t>
        </is>
      </c>
    </row>
    <row r="2571">
      <c r="A2571" s="9" t="inlineStr">
        <is>
          <t>Maia Gerlinger</t>
        </is>
      </c>
      <c r="B2571" s="9" t="inlineStr">
        <is>
          <t>3/22/26 - 4/18/26</t>
        </is>
      </c>
      <c r="C2571" s="9" t="n">
        <v>1.1354</v>
      </c>
      <c r="D2571" s="9" t="n">
        <v>1.64059999999999</v>
      </c>
      <c r="E2571" s="9" t="n">
        <v>0.9459459459459451</v>
      </c>
      <c r="F2571" s="12" t="n">
        <v>0.971</v>
      </c>
      <c r="G2571" s="9" t="n">
        <v>1</v>
      </c>
      <c r="H2571" s="9" t="n">
        <v>2</v>
      </c>
      <c r="J2571" s="50" t="n"/>
      <c r="K2571" t="inlineStr">
        <is>
          <t>Distinguished</t>
        </is>
      </c>
      <c r="L2571" t="inlineStr">
        <is>
          <t>Adjunct</t>
        </is>
      </c>
      <c r="M2571" t="inlineStr">
        <is>
          <t>Annelies de Groot</t>
        </is>
      </c>
    </row>
    <row r="2572">
      <c r="A2572" s="9" t="inlineStr">
        <is>
          <t>Margaret Webb</t>
        </is>
      </c>
      <c r="B2572" s="9" t="inlineStr">
        <is>
          <t>3/22/26 - 4/18/26</t>
        </is>
      </c>
      <c r="C2572" s="9" t="n">
        <v>1.5179</v>
      </c>
      <c r="D2572" s="9" t="n">
        <v>1.3517</v>
      </c>
      <c r="E2572" s="9" t="n">
        <v>0.9949748743718591</v>
      </c>
      <c r="F2572" s="12" t="n">
        <v>1</v>
      </c>
      <c r="G2572" s="9" t="n">
        <v>0.958333333333333</v>
      </c>
      <c r="H2572" s="9" t="n">
        <v>20</v>
      </c>
      <c r="I2572" s="9" t="inlineStr">
        <is>
          <t>1/1</t>
        </is>
      </c>
      <c r="J2572" s="50" t="n">
        <v>1</v>
      </c>
      <c r="K2572" t="inlineStr">
        <is>
          <t>Distinguished</t>
        </is>
      </c>
      <c r="L2572" t="inlineStr">
        <is>
          <t>Professional</t>
        </is>
      </c>
      <c r="M2572" t="inlineStr">
        <is>
          <t>Kristin Haase-Alvey</t>
        </is>
      </c>
    </row>
    <row r="2573">
      <c r="A2573" s="9" t="inlineStr">
        <is>
          <t>Mariah Lutz</t>
        </is>
      </c>
      <c r="B2573" s="9" t="inlineStr">
        <is>
          <t>3/22/26 - 4/18/26</t>
        </is>
      </c>
      <c r="C2573" s="9" t="n">
        <v>0.739299999999999</v>
      </c>
      <c r="D2573" s="9" t="n">
        <v>1.1008</v>
      </c>
      <c r="E2573" s="9" t="n">
        <v>1</v>
      </c>
      <c r="F2573" s="12" t="n">
        <v>1</v>
      </c>
      <c r="G2573" s="9" t="n">
        <v>0.666666666666666</v>
      </c>
      <c r="H2573" s="9" t="n">
        <v>7</v>
      </c>
      <c r="I2573" s="9" t="inlineStr">
        <is>
          <t>2/2</t>
        </is>
      </c>
      <c r="J2573" s="50" t="n">
        <v>1</v>
      </c>
      <c r="K2573" t="inlineStr">
        <is>
          <t>Distinguished</t>
        </is>
      </c>
      <c r="L2573" t="inlineStr">
        <is>
          <t>Professional</t>
        </is>
      </c>
      <c r="M2573" t="inlineStr">
        <is>
          <t>Ian Plamondon</t>
        </is>
      </c>
    </row>
    <row r="2574">
      <c r="A2574" s="9" t="inlineStr">
        <is>
          <t>Mark Duncan</t>
        </is>
      </c>
      <c r="B2574" s="9" t="inlineStr">
        <is>
          <t>3/22/26 - 4/18/26</t>
        </is>
      </c>
      <c r="C2574" s="9" t="n">
        <v>0.7083</v>
      </c>
      <c r="D2574" s="9" t="n">
        <v>1.043</v>
      </c>
      <c r="E2574" s="9" t="n">
        <v>1</v>
      </c>
      <c r="F2574" s="12" t="n">
        <v>1</v>
      </c>
      <c r="G2574" s="9" t="n">
        <v>0.9090909090909089</v>
      </c>
      <c r="H2574" s="9" t="n">
        <v>1</v>
      </c>
      <c r="I2574" s="9" t="inlineStr">
        <is>
          <t>0/2</t>
        </is>
      </c>
      <c r="J2574" s="50" t="n">
        <v>0</v>
      </c>
      <c r="K2574" t="inlineStr">
        <is>
          <t>Distinguished</t>
        </is>
      </c>
      <c r="L2574" t="inlineStr">
        <is>
          <t>Adjunct</t>
        </is>
      </c>
      <c r="M2574" t="inlineStr">
        <is>
          <t>Kristin Haase-Alvey</t>
        </is>
      </c>
    </row>
    <row r="2575">
      <c r="A2575" s="9" t="inlineStr">
        <is>
          <t>Mary Felix</t>
        </is>
      </c>
      <c r="B2575" s="9" t="inlineStr">
        <is>
          <t>3/22/26 - 4/18/26</t>
        </is>
      </c>
      <c r="C2575" s="9" t="n">
        <v>0.8958</v>
      </c>
      <c r="D2575" s="9" t="n">
        <v>1.2122</v>
      </c>
      <c r="E2575" s="9" t="n">
        <v>1</v>
      </c>
      <c r="F2575" s="12" t="n">
        <v>0.93</v>
      </c>
      <c r="G2575" s="9" t="n">
        <v>0.7307692307692299</v>
      </c>
      <c r="H2575" s="9" t="n">
        <v>6</v>
      </c>
      <c r="I2575" s="9" t="inlineStr">
        <is>
          <t>0/2</t>
        </is>
      </c>
      <c r="J2575" s="50" t="n">
        <v>0</v>
      </c>
      <c r="K2575" t="inlineStr">
        <is>
          <t>Premium</t>
        </is>
      </c>
      <c r="L2575" t="inlineStr">
        <is>
          <t>Professional</t>
        </is>
      </c>
      <c r="M2575" t="inlineStr">
        <is>
          <t>Ian Plamondon</t>
        </is>
      </c>
    </row>
    <row r="2576">
      <c r="A2576" s="9" t="inlineStr">
        <is>
          <t>Mary Logan</t>
        </is>
      </c>
      <c r="B2576" s="9" t="inlineStr">
        <is>
          <t>3/22/26 - 4/18/26</t>
        </is>
      </c>
      <c r="C2576" s="9" t="n">
        <v>0.975</v>
      </c>
      <c r="D2576" s="9" t="n">
        <v>1.1151</v>
      </c>
      <c r="E2576" s="9" t="n">
        <v>0.992063492063492</v>
      </c>
      <c r="F2576" s="12" t="n">
        <v>0.944</v>
      </c>
      <c r="G2576" s="9" t="n">
        <v>1</v>
      </c>
      <c r="H2576" s="9" t="n">
        <v>6</v>
      </c>
      <c r="J2576" s="50" t="n"/>
      <c r="K2576" t="inlineStr">
        <is>
          <t>Distinguished</t>
        </is>
      </c>
      <c r="L2576" t="inlineStr">
        <is>
          <t>Professional</t>
        </is>
      </c>
      <c r="M2576" t="inlineStr">
        <is>
          <t>Ela Cross</t>
        </is>
      </c>
    </row>
    <row r="2577">
      <c r="A2577" s="9" t="inlineStr">
        <is>
          <t>Matthew Urso</t>
        </is>
      </c>
      <c r="B2577" s="9" t="inlineStr">
        <is>
          <t>3/22/26 - 4/18/26</t>
        </is>
      </c>
      <c r="C2577" s="9" t="n">
        <v>0.7292</v>
      </c>
      <c r="D2577" s="9" t="n">
        <v>0.9539</v>
      </c>
      <c r="E2577" s="9" t="n">
        <v>0.988372093023255</v>
      </c>
      <c r="F2577" s="12" t="n">
        <v>0.983</v>
      </c>
      <c r="G2577" s="9" t="n">
        <v>0.818181818181818</v>
      </c>
      <c r="H2577" s="9" t="n">
        <v>4</v>
      </c>
      <c r="J2577" s="50" t="n"/>
      <c r="K2577" t="inlineStr">
        <is>
          <t>Distinguished</t>
        </is>
      </c>
      <c r="L2577" t="inlineStr">
        <is>
          <t>Professional</t>
        </is>
      </c>
      <c r="M2577" t="inlineStr">
        <is>
          <t>Ian Plamondon</t>
        </is>
      </c>
    </row>
    <row r="2578">
      <c r="A2578" s="9" t="inlineStr">
        <is>
          <t>Matthew Wert</t>
        </is>
      </c>
      <c r="B2578" s="9" t="inlineStr">
        <is>
          <t>3/22/26 - 4/18/26</t>
        </is>
      </c>
      <c r="C2578" s="9" t="n">
        <v>0.9</v>
      </c>
      <c r="D2578" s="9" t="n">
        <v>0.8984</v>
      </c>
      <c r="E2578" s="9" t="n">
        <v>0.924242424242424</v>
      </c>
      <c r="F2578" s="12" t="n">
        <v>0.963</v>
      </c>
      <c r="G2578" s="9" t="n">
        <v>0.714285714285714</v>
      </c>
      <c r="H2578" s="9" t="n">
        <v>11</v>
      </c>
      <c r="I2578" s="9" t="inlineStr">
        <is>
          <t>0/1</t>
        </is>
      </c>
      <c r="J2578" s="50" t="n">
        <v>0</v>
      </c>
      <c r="K2578" t="inlineStr">
        <is>
          <t>Distinguished</t>
        </is>
      </c>
      <c r="L2578" t="inlineStr">
        <is>
          <t>Adjunct</t>
        </is>
      </c>
      <c r="M2578" t="inlineStr">
        <is>
          <t>Geoff St. Marie</t>
        </is>
      </c>
    </row>
    <row r="2579">
      <c r="A2579" s="9" t="inlineStr">
        <is>
          <t>Matty Burge</t>
        </is>
      </c>
      <c r="B2579" s="9" t="inlineStr">
        <is>
          <t>3/22/26 - 4/18/26</t>
        </is>
      </c>
      <c r="C2579" s="9" t="n">
        <v>0.5729</v>
      </c>
      <c r="D2579" s="9" t="n">
        <v>0.777299999999999</v>
      </c>
      <c r="E2579" s="9" t="n">
        <v>1</v>
      </c>
      <c r="F2579" s="12" t="n">
        <v>1</v>
      </c>
      <c r="G2579" s="9" t="n">
        <v>0.6</v>
      </c>
      <c r="H2579" s="9" t="n">
        <v>0</v>
      </c>
      <c r="J2579" s="50" t="n"/>
      <c r="K2579" t="inlineStr">
        <is>
          <t>Distinguished</t>
        </is>
      </c>
      <c r="L2579" t="inlineStr">
        <is>
          <t>Adjunct</t>
        </is>
      </c>
      <c r="M2579" t="inlineStr">
        <is>
          <t>Annelies de Groot</t>
        </is>
      </c>
    </row>
    <row r="2580">
      <c r="A2580" s="9" t="inlineStr">
        <is>
          <t>Maximilian Tsimerman</t>
        </is>
      </c>
      <c r="B2580" s="9" t="inlineStr">
        <is>
          <t>3/22/26 - 4/18/26</t>
        </is>
      </c>
      <c r="C2580" s="9" t="n">
        <v>1.0833</v>
      </c>
      <c r="D2580" s="9" t="n">
        <v>1.10859999999999</v>
      </c>
      <c r="E2580" s="9" t="n">
        <v>0.962686567164179</v>
      </c>
      <c r="F2580" s="12" t="n">
        <v>0.989</v>
      </c>
      <c r="G2580" s="9" t="n">
        <v>0.580645161290322</v>
      </c>
      <c r="H2580" s="9" t="n">
        <v>8</v>
      </c>
      <c r="I2580" s="9" t="inlineStr">
        <is>
          <t>2/4</t>
        </is>
      </c>
      <c r="J2580" s="50" t="n">
        <v>0.5</v>
      </c>
      <c r="K2580" t="inlineStr">
        <is>
          <t>Distinguished</t>
        </is>
      </c>
      <c r="L2580" t="inlineStr">
        <is>
          <t>Professional</t>
        </is>
      </c>
      <c r="M2580" t="inlineStr">
        <is>
          <t>Ian Plamondon</t>
        </is>
      </c>
    </row>
    <row r="2581">
      <c r="A2581" s="9" t="inlineStr">
        <is>
          <t>Megan Hoelting</t>
        </is>
      </c>
      <c r="B2581" s="9" t="inlineStr">
        <is>
          <t>3/22/26 - 4/18/26</t>
        </is>
      </c>
      <c r="C2581" s="9" t="n">
        <v>0.8542</v>
      </c>
      <c r="D2581" s="9" t="n">
        <v>1.1133</v>
      </c>
      <c r="E2581" s="9" t="n">
        <v>0.966666666666666</v>
      </c>
      <c r="F2581" s="12" t="n">
        <v>1</v>
      </c>
      <c r="G2581" s="9" t="n">
        <v>0.333333333333333</v>
      </c>
      <c r="I2581" s="9" t="inlineStr">
        <is>
          <t>0/1</t>
        </is>
      </c>
      <c r="J2581" s="50" t="n">
        <v>0</v>
      </c>
      <c r="K2581" t="inlineStr">
        <is>
          <t>Distinguished</t>
        </is>
      </c>
      <c r="L2581" t="inlineStr">
        <is>
          <t>Adjunct</t>
        </is>
      </c>
      <c r="M2581" t="inlineStr">
        <is>
          <t>Annelies de Groot</t>
        </is>
      </c>
    </row>
    <row r="2582">
      <c r="A2582" s="9" t="inlineStr">
        <is>
          <t>Megan Ingle</t>
        </is>
      </c>
      <c r="B2582" s="9" t="inlineStr">
        <is>
          <t>3/22/26 - 4/18/26</t>
        </is>
      </c>
      <c r="C2582" s="9" t="n">
        <v>0.8542</v>
      </c>
      <c r="D2582" s="9" t="n">
        <v>1.0664</v>
      </c>
      <c r="E2582" s="9" t="n">
        <v>0.95</v>
      </c>
      <c r="F2582" s="12" t="n">
        <v>0.9330000000000001</v>
      </c>
      <c r="G2582" s="9" t="n">
        <v>0</v>
      </c>
      <c r="H2582" s="9" t="n">
        <v>2</v>
      </c>
      <c r="I2582" s="9" t="inlineStr">
        <is>
          <t>3/3</t>
        </is>
      </c>
      <c r="J2582" s="50" t="n">
        <v>1</v>
      </c>
      <c r="K2582" t="inlineStr">
        <is>
          <t>Advanced</t>
        </is>
      </c>
      <c r="L2582" t="inlineStr">
        <is>
          <t>Adjunct</t>
        </is>
      </c>
      <c r="M2582" t="inlineStr">
        <is>
          <t>Geoff St. Marie</t>
        </is>
      </c>
    </row>
    <row r="2583">
      <c r="A2583" s="9" t="inlineStr">
        <is>
          <t>Megan Osgood</t>
        </is>
      </c>
      <c r="B2583" s="9" t="inlineStr">
        <is>
          <t>3/22/26 - 4/18/26</t>
        </is>
      </c>
      <c r="C2583" s="9" t="n">
        <v>0.9396</v>
      </c>
      <c r="D2583" s="9" t="n">
        <v>0.9539</v>
      </c>
      <c r="E2583" s="9" t="n">
        <v>0.99099099099099</v>
      </c>
      <c r="F2583" s="12" t="n">
        <v>0.96</v>
      </c>
      <c r="G2583" s="9" t="n">
        <v>1</v>
      </c>
      <c r="H2583" s="9" t="n">
        <v>7</v>
      </c>
      <c r="I2583" s="9" t="inlineStr">
        <is>
          <t>1/1</t>
        </is>
      </c>
      <c r="J2583" s="50" t="n">
        <v>1</v>
      </c>
      <c r="K2583" t="inlineStr">
        <is>
          <t>Distinguished</t>
        </is>
      </c>
      <c r="L2583" t="inlineStr">
        <is>
          <t>Professional</t>
        </is>
      </c>
      <c r="M2583" t="inlineStr">
        <is>
          <t>Annelies de Groot</t>
        </is>
      </c>
    </row>
    <row r="2584">
      <c r="A2584" s="9" t="inlineStr">
        <is>
          <t>Melanie Leong</t>
        </is>
      </c>
      <c r="B2584" s="9" t="inlineStr">
        <is>
          <t>3/22/26 - 4/18/26</t>
        </is>
      </c>
      <c r="C2584" s="9" t="n">
        <v>0.968799999999999</v>
      </c>
      <c r="D2584" s="9" t="n">
        <v>2.8125</v>
      </c>
      <c r="E2584" s="9" t="n">
        <v>1</v>
      </c>
      <c r="F2584" s="12" t="n">
        <v>1</v>
      </c>
      <c r="G2584" s="9" t="n">
        <v>1</v>
      </c>
      <c r="H2584" s="9" t="n">
        <v>6</v>
      </c>
      <c r="J2584" s="50" t="n"/>
      <c r="K2584" t="inlineStr">
        <is>
          <t>Premium</t>
        </is>
      </c>
      <c r="L2584" t="inlineStr">
        <is>
          <t>Adjunct</t>
        </is>
      </c>
      <c r="M2584" t="inlineStr">
        <is>
          <t>Kristin Haase-Alvey</t>
        </is>
      </c>
    </row>
    <row r="2585">
      <c r="A2585" s="9" t="inlineStr">
        <is>
          <t>Melinda Mergendahl</t>
        </is>
      </c>
      <c r="B2585" s="9" t="inlineStr">
        <is>
          <t>3/22/26 - 4/18/26</t>
        </is>
      </c>
      <c r="C2585" s="9" t="n">
        <v>0.6688</v>
      </c>
      <c r="D2585" s="9" t="n">
        <v>0.9843999999999991</v>
      </c>
      <c r="E2585" s="9" t="n">
        <v>0.981132075471698</v>
      </c>
      <c r="F2585" s="12" t="n">
        <v>0.9379999999999999</v>
      </c>
      <c r="G2585" s="9" t="n">
        <v>0.857142857142857</v>
      </c>
      <c r="H2585" s="9" t="n">
        <v>3</v>
      </c>
      <c r="J2585" s="50" t="n"/>
      <c r="K2585" t="inlineStr">
        <is>
          <t>Distinguished</t>
        </is>
      </c>
      <c r="L2585" t="inlineStr">
        <is>
          <t>Adjunct</t>
        </is>
      </c>
      <c r="M2585" t="inlineStr">
        <is>
          <t>Ian Plamondon</t>
        </is>
      </c>
    </row>
    <row r="2586">
      <c r="A2586" s="42" t="inlineStr">
        <is>
          <t>Michelle Testerman</t>
        </is>
      </c>
      <c r="B2586" s="42" t="inlineStr">
        <is>
          <t>3/22/26 - 4/18/26</t>
        </is>
      </c>
      <c r="C2586" s="42" t="n">
        <v>1.15629999999999</v>
      </c>
      <c r="D2586" s="42" t="n">
        <v>1.0156</v>
      </c>
      <c r="E2586" s="42" t="n">
        <v>1</v>
      </c>
      <c r="F2586" s="41" t="n">
        <v>0.9330000000000001</v>
      </c>
      <c r="G2586" s="42" t="n">
        <v>1</v>
      </c>
      <c r="H2586" s="42" t="n">
        <v>14</v>
      </c>
      <c r="I2586" s="42" t="inlineStr">
        <is>
          <t>2/2</t>
        </is>
      </c>
      <c r="J2586" s="50" t="n">
        <v>1</v>
      </c>
      <c r="K2586" t="inlineStr">
        <is>
          <t>Distinguished</t>
        </is>
      </c>
      <c r="L2586" t="inlineStr">
        <is>
          <t>Adjunct</t>
        </is>
      </c>
      <c r="M2586" t="inlineStr">
        <is>
          <t>Ela Cross</t>
        </is>
      </c>
    </row>
    <row r="2587">
      <c r="A2587" s="42" t="inlineStr">
        <is>
          <t>Miki Cornwell</t>
        </is>
      </c>
      <c r="B2587" s="42" t="inlineStr">
        <is>
          <t>3/22/26 - 4/18/26</t>
        </is>
      </c>
      <c r="C2587" s="42" t="n">
        <v>1.2587</v>
      </c>
      <c r="D2587" s="42" t="n">
        <v>1.1484</v>
      </c>
      <c r="E2587" s="42" t="n">
        <v>0.981481481481481</v>
      </c>
      <c r="F2587" s="41" t="n">
        <v>0.978</v>
      </c>
      <c r="G2587" s="42" t="n">
        <v>0.6</v>
      </c>
      <c r="H2587" s="42" t="n">
        <v>8</v>
      </c>
      <c r="I2587" s="42" t="n"/>
      <c r="J2587" s="50" t="n"/>
      <c r="K2587" t="inlineStr">
        <is>
          <t>Distinguished</t>
        </is>
      </c>
      <c r="L2587" t="inlineStr">
        <is>
          <t>Adjunct</t>
        </is>
      </c>
      <c r="M2587" t="inlineStr">
        <is>
          <t>Ela Cross</t>
        </is>
      </c>
    </row>
    <row r="2588">
      <c r="A2588" s="42" t="inlineStr">
        <is>
          <t>Myles Oldroyd</t>
        </is>
      </c>
      <c r="B2588" s="42" t="inlineStr">
        <is>
          <t>3/22/26 - 4/18/26</t>
        </is>
      </c>
      <c r="C2588" s="42" t="n">
        <v>1.0625</v>
      </c>
      <c r="D2588" s="42" t="n">
        <v>1.6957</v>
      </c>
      <c r="E2588" s="42" t="n">
        <v>1</v>
      </c>
      <c r="F2588" s="41" t="n">
        <v>1</v>
      </c>
      <c r="G2588" s="42" t="n">
        <v>0.964285714285714</v>
      </c>
      <c r="H2588" s="42" t="n">
        <v>1</v>
      </c>
      <c r="I2588" s="42" t="inlineStr">
        <is>
          <t>3/3</t>
        </is>
      </c>
      <c r="J2588" s="50" t="n">
        <v>1</v>
      </c>
      <c r="K2588" t="inlineStr">
        <is>
          <t>Premium</t>
        </is>
      </c>
      <c r="L2588" t="inlineStr">
        <is>
          <t>Professional</t>
        </is>
      </c>
      <c r="M2588" t="inlineStr">
        <is>
          <t>Ian Plamondon</t>
        </is>
      </c>
    </row>
    <row r="2589">
      <c r="A2589" s="42" t="inlineStr">
        <is>
          <t>Naima Chaudhry</t>
        </is>
      </c>
      <c r="B2589" s="42" t="inlineStr">
        <is>
          <t>3/22/26 - 4/18/26</t>
        </is>
      </c>
      <c r="C2589" s="42" t="n">
        <v>0.9375</v>
      </c>
      <c r="D2589" s="42" t="n">
        <v>0.9297</v>
      </c>
      <c r="E2589" s="42" t="n">
        <v>0.976744186046511</v>
      </c>
      <c r="F2589" s="41" t="n">
        <v>1</v>
      </c>
      <c r="G2589" s="42" t="n">
        <v>0.571428571428571</v>
      </c>
      <c r="H2589" s="42" t="n">
        <v>4</v>
      </c>
      <c r="I2589" s="42" t="inlineStr">
        <is>
          <t>0/2</t>
        </is>
      </c>
      <c r="J2589" s="50" t="n">
        <v>0</v>
      </c>
      <c r="K2589" t="inlineStr">
        <is>
          <t>Advanced</t>
        </is>
      </c>
      <c r="L2589" t="inlineStr">
        <is>
          <t>Adjunct</t>
        </is>
      </c>
      <c r="M2589" t="inlineStr">
        <is>
          <t>Kristin Haase-Alvey</t>
        </is>
      </c>
    </row>
    <row r="2590">
      <c r="A2590" s="42" t="inlineStr">
        <is>
          <t>Nando Reyes</t>
        </is>
      </c>
      <c r="B2590" s="42" t="inlineStr">
        <is>
          <t>3/22/26 - 4/18/26</t>
        </is>
      </c>
      <c r="C2590" s="42" t="n">
        <v>0.514299999999999</v>
      </c>
      <c r="D2590" s="42" t="n">
        <v>1.3227</v>
      </c>
      <c r="E2590" s="42" t="n">
        <v>1</v>
      </c>
      <c r="F2590" s="41" t="n">
        <v>1</v>
      </c>
      <c r="G2590" s="42" t="n">
        <v>0.75</v>
      </c>
      <c r="H2590" s="42" t="n">
        <v>1</v>
      </c>
      <c r="I2590" s="42" t="inlineStr">
        <is>
          <t>2/2</t>
        </is>
      </c>
      <c r="J2590" s="50" t="n">
        <v>1</v>
      </c>
      <c r="K2590" t="inlineStr">
        <is>
          <t>Distinguished</t>
        </is>
      </c>
      <c r="L2590" t="inlineStr">
        <is>
          <t>Professional</t>
        </is>
      </c>
      <c r="M2590" t="inlineStr">
        <is>
          <t>Geoff St. Marie</t>
        </is>
      </c>
    </row>
    <row r="2591">
      <c r="A2591" s="42" t="inlineStr">
        <is>
          <t>Nayely Rolon-Gomez</t>
        </is>
      </c>
      <c r="B2591" s="42" t="inlineStr">
        <is>
          <t>3/22/26 - 4/18/26</t>
        </is>
      </c>
      <c r="C2591" s="42" t="n">
        <v>1.15</v>
      </c>
      <c r="D2591" s="42" t="n">
        <v>0.986799999999999</v>
      </c>
      <c r="E2591" s="42" t="n">
        <v>1</v>
      </c>
      <c r="F2591" s="41" t="n">
        <v>0.946</v>
      </c>
      <c r="G2591" s="42" t="n">
        <v>0.75</v>
      </c>
      <c r="H2591" s="42" t="n">
        <v>20</v>
      </c>
      <c r="I2591" s="42" t="inlineStr">
        <is>
          <t>1/1</t>
        </is>
      </c>
      <c r="J2591" s="50" t="n">
        <v>1</v>
      </c>
      <c r="K2591" t="inlineStr">
        <is>
          <t>Distinguished</t>
        </is>
      </c>
      <c r="L2591" t="inlineStr">
        <is>
          <t>Professional</t>
        </is>
      </c>
      <c r="M2591" t="inlineStr">
        <is>
          <t>Ela Cross</t>
        </is>
      </c>
    </row>
    <row r="2592">
      <c r="A2592" s="42" t="inlineStr">
        <is>
          <t>Nicholas Ulfik</t>
        </is>
      </c>
      <c r="B2592" s="42" t="inlineStr">
        <is>
          <t>3/22/26 - 4/18/26</t>
        </is>
      </c>
      <c r="C2592" s="42" t="n">
        <v>1.0083</v>
      </c>
      <c r="D2592" s="42" t="n">
        <v>1.2352</v>
      </c>
      <c r="E2592" s="42" t="n">
        <v>1</v>
      </c>
      <c r="F2592" s="41" t="n">
        <v>0.986</v>
      </c>
      <c r="G2592" s="42" t="n">
        <v>0.916666666666666</v>
      </c>
      <c r="H2592" s="42" t="n">
        <v>8</v>
      </c>
      <c r="I2592" s="42" t="inlineStr">
        <is>
          <t>3/4</t>
        </is>
      </c>
      <c r="J2592" s="50" t="n">
        <v>0.75</v>
      </c>
      <c r="K2592" t="inlineStr">
        <is>
          <t>Distinguished</t>
        </is>
      </c>
      <c r="L2592" t="inlineStr">
        <is>
          <t>Professional</t>
        </is>
      </c>
      <c r="M2592" t="inlineStr">
        <is>
          <t>Kristin Haase-Alvey</t>
        </is>
      </c>
    </row>
    <row r="2593">
      <c r="A2593" s="42" t="inlineStr">
        <is>
          <t>Nick Kocik</t>
        </is>
      </c>
      <c r="B2593" s="42" t="inlineStr">
        <is>
          <t>3/22/26 - 4/18/26</t>
        </is>
      </c>
      <c r="C2593" s="42" t="n">
        <v>1.0417</v>
      </c>
      <c r="D2593" s="42" t="n">
        <v>0.981899999999999</v>
      </c>
      <c r="E2593" s="42" t="n">
        <v>1</v>
      </c>
      <c r="F2593" s="41" t="n">
        <v>0.978</v>
      </c>
      <c r="G2593" s="42" t="n">
        <v>0.388888888888888</v>
      </c>
      <c r="H2593" s="42" t="n">
        <v>10</v>
      </c>
      <c r="I2593" s="42" t="inlineStr">
        <is>
          <t>4/4</t>
        </is>
      </c>
      <c r="J2593" s="50" t="n">
        <v>1</v>
      </c>
      <c r="K2593" t="inlineStr">
        <is>
          <t>Distinguished</t>
        </is>
      </c>
      <c r="L2593" t="inlineStr">
        <is>
          <t>Professional</t>
        </is>
      </c>
      <c r="M2593" t="inlineStr">
        <is>
          <t>Ela Cross</t>
        </is>
      </c>
    </row>
    <row r="2594">
      <c r="A2594" s="42" t="inlineStr">
        <is>
          <t>Nick Lucido</t>
        </is>
      </c>
      <c r="B2594" s="42" t="inlineStr">
        <is>
          <t>3/22/26 - 4/18/26</t>
        </is>
      </c>
      <c r="C2594" s="42" t="n">
        <v>1.0321</v>
      </c>
      <c r="D2594" s="42" t="n">
        <v>1.1105</v>
      </c>
      <c r="E2594" s="42" t="n">
        <v>1</v>
      </c>
      <c r="F2594" s="41" t="n">
        <v>0.967</v>
      </c>
      <c r="G2594" s="42" t="n">
        <v>0.586206896551724</v>
      </c>
      <c r="H2594" s="42" t="n">
        <v>10</v>
      </c>
      <c r="I2594" s="42" t="inlineStr">
        <is>
          <t>0/5</t>
        </is>
      </c>
      <c r="J2594" s="50" t="n">
        <v>0</v>
      </c>
      <c r="K2594" t="inlineStr">
        <is>
          <t>Distinguished</t>
        </is>
      </c>
      <c r="L2594" t="inlineStr">
        <is>
          <t>Professional</t>
        </is>
      </c>
      <c r="M2594" t="inlineStr">
        <is>
          <t>Kristin Haase-Alvey</t>
        </is>
      </c>
    </row>
    <row r="2595">
      <c r="A2595" s="42" t="inlineStr">
        <is>
          <t>Nicole Bishop</t>
        </is>
      </c>
      <c r="B2595" s="42" t="inlineStr">
        <is>
          <t>3/22/26 - 4/18/26</t>
        </is>
      </c>
      <c r="C2595" s="42" t="n">
        <v>1.125</v>
      </c>
      <c r="D2595" s="42" t="n">
        <v>0.9984</v>
      </c>
      <c r="E2595" s="42" t="n">
        <v>0.936170212765957</v>
      </c>
      <c r="F2595" s="41" t="n">
        <v>0.979</v>
      </c>
      <c r="G2595" s="42" t="n">
        <v>0.0689655172413793</v>
      </c>
      <c r="H2595" s="42" t="n">
        <v>10</v>
      </c>
      <c r="I2595" s="42" t="inlineStr">
        <is>
          <t>0/4</t>
        </is>
      </c>
      <c r="J2595" s="50" t="n">
        <v>0</v>
      </c>
      <c r="K2595" t="inlineStr">
        <is>
          <t>Distinguished</t>
        </is>
      </c>
      <c r="L2595" t="inlineStr">
        <is>
          <t>Professional</t>
        </is>
      </c>
      <c r="M2595" t="inlineStr">
        <is>
          <t>Ela Cross</t>
        </is>
      </c>
    </row>
    <row r="2596">
      <c r="A2596" s="42" t="inlineStr">
        <is>
          <t>Nik Kososik</t>
        </is>
      </c>
      <c r="B2596" s="42" t="inlineStr">
        <is>
          <t>3/22/26 - 4/18/26</t>
        </is>
      </c>
      <c r="C2596" s="42" t="n">
        <v>1.0344</v>
      </c>
      <c r="D2596" s="42" t="n">
        <v>1.0729</v>
      </c>
      <c r="E2596" s="42" t="n">
        <v>0.91358024691358</v>
      </c>
      <c r="F2596" s="41" t="n">
        <v>0.966</v>
      </c>
      <c r="G2596" s="42" t="n">
        <v>0.809523809523809</v>
      </c>
      <c r="H2596" s="42" t="n">
        <v>9</v>
      </c>
      <c r="I2596" s="42" t="inlineStr">
        <is>
          <t>1/2</t>
        </is>
      </c>
      <c r="J2596" s="50" t="n">
        <v>0.5</v>
      </c>
      <c r="K2596" t="inlineStr">
        <is>
          <t>Distinguished</t>
        </is>
      </c>
      <c r="L2596" t="inlineStr">
        <is>
          <t>Adjunct</t>
        </is>
      </c>
      <c r="M2596" t="inlineStr">
        <is>
          <t>Geoff St. Marie</t>
        </is>
      </c>
    </row>
    <row r="2597">
      <c r="A2597" s="42" t="inlineStr">
        <is>
          <t>Nisan Hubbard</t>
        </is>
      </c>
      <c r="B2597" s="42" t="inlineStr">
        <is>
          <t>3/22/26 - 4/18/26</t>
        </is>
      </c>
      <c r="C2597" s="42" t="n">
        <v>0.85</v>
      </c>
      <c r="D2597" s="42" t="n">
        <v>0.820299999999999</v>
      </c>
      <c r="E2597" s="42" t="n">
        <v>0.954545454545454</v>
      </c>
      <c r="F2597" s="41" t="n">
        <v>0.979</v>
      </c>
      <c r="G2597" s="42" t="n">
        <v>0.533333333333333</v>
      </c>
      <c r="H2597" s="42" t="n">
        <v>2</v>
      </c>
      <c r="I2597" s="42" t="inlineStr">
        <is>
          <t>2/2</t>
        </is>
      </c>
      <c r="J2597" s="50" t="n">
        <v>1</v>
      </c>
      <c r="K2597" t="inlineStr">
        <is>
          <t>Distinguished</t>
        </is>
      </c>
      <c r="L2597" t="inlineStr">
        <is>
          <t>Adjunct</t>
        </is>
      </c>
      <c r="M2597" t="inlineStr">
        <is>
          <t>Annelies de Groot</t>
        </is>
      </c>
    </row>
    <row r="2598">
      <c r="A2598" s="42" t="inlineStr">
        <is>
          <t>Nisha Fletcher</t>
        </is>
      </c>
      <c r="B2598" s="42" t="inlineStr">
        <is>
          <t>3/22/26 - 4/18/26</t>
        </is>
      </c>
      <c r="C2598" s="42" t="n">
        <v>0.2125</v>
      </c>
      <c r="D2598" s="42" t="n">
        <v>0.8568</v>
      </c>
      <c r="E2598" s="42" t="n">
        <v>1</v>
      </c>
      <c r="F2598" s="41" t="n">
        <v>0.727</v>
      </c>
      <c r="G2598" s="42" t="n"/>
      <c r="H2598" s="42" t="n"/>
      <c r="I2598" s="42" t="inlineStr">
        <is>
          <t>4/6</t>
        </is>
      </c>
      <c r="J2598" s="50" t="n">
        <v>0.67</v>
      </c>
      <c r="K2598" t="inlineStr">
        <is>
          <t>Advanced</t>
        </is>
      </c>
      <c r="L2598" t="inlineStr">
        <is>
          <t>Adjunct</t>
        </is>
      </c>
      <c r="M2598" t="inlineStr">
        <is>
          <t>Katherine Marino</t>
        </is>
      </c>
    </row>
    <row r="2599">
      <c r="A2599" s="42" t="inlineStr">
        <is>
          <t>Ore Williams</t>
        </is>
      </c>
      <c r="B2599" s="9" t="inlineStr">
        <is>
          <t>3/22/26 - 4/18/26</t>
        </is>
      </c>
      <c r="C2599" s="42" t="n">
        <v>0.8333</v>
      </c>
      <c r="D2599" s="42" t="n">
        <v>1.3359</v>
      </c>
      <c r="E2599" s="42" t="n">
        <v>1</v>
      </c>
      <c r="F2599" s="41" t="n">
        <v>1</v>
      </c>
      <c r="G2599" s="42" t="n">
        <v>1</v>
      </c>
      <c r="H2599" s="42" t="n">
        <v>5</v>
      </c>
      <c r="I2599" s="42" t="inlineStr">
        <is>
          <t>0/2</t>
        </is>
      </c>
      <c r="J2599" s="50" t="n">
        <v>0</v>
      </c>
      <c r="K2599" t="inlineStr">
        <is>
          <t>Advanced</t>
        </is>
      </c>
      <c r="L2599" t="inlineStr">
        <is>
          <t>Adjunct</t>
        </is>
      </c>
      <c r="M2599" t="inlineStr">
        <is>
          <t>Ela Cross</t>
        </is>
      </c>
    </row>
    <row r="2600">
      <c r="A2600" s="42" t="inlineStr">
        <is>
          <t>Parthav Elangovan</t>
        </is>
      </c>
      <c r="B2600" s="42" t="inlineStr">
        <is>
          <t>3/22/26 - 4/18/26</t>
        </is>
      </c>
      <c r="C2600" s="42" t="n">
        <v>0.7083</v>
      </c>
      <c r="D2600" s="42" t="n">
        <v>1.45699999999999</v>
      </c>
      <c r="E2600" s="42" t="n">
        <v>1</v>
      </c>
      <c r="F2600" s="41" t="n">
        <v>0.842</v>
      </c>
      <c r="G2600" s="42" t="n">
        <v>0</v>
      </c>
      <c r="H2600" s="42" t="n">
        <v>2</v>
      </c>
      <c r="I2600" s="42" t="inlineStr">
        <is>
          <t>0/6</t>
        </is>
      </c>
      <c r="J2600" s="50" t="n">
        <v>0</v>
      </c>
      <c r="K2600" t="inlineStr">
        <is>
          <t>Advanced</t>
        </is>
      </c>
      <c r="L2600" t="inlineStr">
        <is>
          <t>Adjunct</t>
        </is>
      </c>
      <c r="M2600" t="inlineStr">
        <is>
          <t>Ian Plamondon</t>
        </is>
      </c>
    </row>
    <row r="2601">
      <c r="A2601" s="42" t="inlineStr">
        <is>
          <t>Patricia Flores</t>
        </is>
      </c>
      <c r="B2601" s="42" t="inlineStr">
        <is>
          <t>3/22/26 - 4/18/26</t>
        </is>
      </c>
      <c r="C2601" s="42" t="n">
        <v>0.856299999999999</v>
      </c>
      <c r="D2601" s="42" t="n">
        <v>1.401</v>
      </c>
      <c r="E2601" s="42" t="n">
        <v>0.867647058823529</v>
      </c>
      <c r="F2601" s="41" t="n">
        <v>0.359</v>
      </c>
      <c r="G2601" s="42" t="n">
        <v>1</v>
      </c>
      <c r="H2601" s="42" t="n"/>
      <c r="I2601" s="42" t="inlineStr">
        <is>
          <t>2/3</t>
        </is>
      </c>
      <c r="J2601" s="50" t="n">
        <v>0.67</v>
      </c>
      <c r="K2601" t="inlineStr">
        <is>
          <t>Distinguished</t>
        </is>
      </c>
      <c r="L2601" t="inlineStr">
        <is>
          <t>Adjunct</t>
        </is>
      </c>
      <c r="M2601" t="inlineStr">
        <is>
          <t>Ela Cross</t>
        </is>
      </c>
    </row>
    <row r="2602">
      <c r="A2602" s="42" t="inlineStr">
        <is>
          <t>Penny Russell</t>
        </is>
      </c>
      <c r="B2602" s="42" t="inlineStr">
        <is>
          <t>3/22/26 - 4/18/26</t>
        </is>
      </c>
      <c r="C2602" s="42" t="n">
        <v>1.0625</v>
      </c>
      <c r="D2602" s="42" t="n">
        <v>1.0691</v>
      </c>
      <c r="E2602" s="42" t="n">
        <v>1</v>
      </c>
      <c r="F2602" s="41" t="n">
        <v>0.866</v>
      </c>
      <c r="G2602" s="42" t="n">
        <v>0</v>
      </c>
      <c r="H2602" s="42" t="n">
        <v>3</v>
      </c>
      <c r="I2602" s="42" t="inlineStr">
        <is>
          <t>0/5</t>
        </is>
      </c>
      <c r="J2602" s="50" t="n">
        <v>0</v>
      </c>
      <c r="K2602" t="inlineStr">
        <is>
          <t>Distinguished</t>
        </is>
      </c>
      <c r="L2602" t="inlineStr">
        <is>
          <t>Professional</t>
        </is>
      </c>
      <c r="M2602" t="inlineStr">
        <is>
          <t>Ian Plamondon</t>
        </is>
      </c>
    </row>
    <row r="2603">
      <c r="A2603" s="9" t="inlineStr">
        <is>
          <t>Philip Thomas</t>
        </is>
      </c>
      <c r="B2603" s="9" t="inlineStr">
        <is>
          <t>3/22/26 - 4/18/26</t>
        </is>
      </c>
      <c r="C2603" s="9" t="n">
        <v>0.9042</v>
      </c>
      <c r="D2603" s="9" t="n">
        <v>1.3964</v>
      </c>
      <c r="E2603" s="9" t="n">
        <v>0.524752475247524</v>
      </c>
      <c r="F2603" s="12" t="n">
        <v>0.521</v>
      </c>
      <c r="G2603" s="9" t="n">
        <v>0</v>
      </c>
      <c r="H2603" s="9" t="n">
        <v>5</v>
      </c>
      <c r="I2603" s="9" t="inlineStr">
        <is>
          <t>1/5</t>
        </is>
      </c>
      <c r="J2603" s="50" t="n">
        <v>0.2</v>
      </c>
      <c r="K2603" t="inlineStr">
        <is>
          <t>Premium</t>
        </is>
      </c>
      <c r="L2603" t="inlineStr">
        <is>
          <t>Professional</t>
        </is>
      </c>
      <c r="M2603" t="inlineStr">
        <is>
          <t>Annelies de Groot</t>
        </is>
      </c>
    </row>
    <row r="2604">
      <c r="A2604" s="9" t="inlineStr">
        <is>
          <t>Preston Peoples</t>
        </is>
      </c>
      <c r="B2604" s="9" t="inlineStr">
        <is>
          <t>3/22/26 - 4/18/26</t>
        </is>
      </c>
      <c r="C2604" s="9" t="n">
        <v>0.8625</v>
      </c>
      <c r="D2604" s="9" t="n">
        <v>0.8355</v>
      </c>
      <c r="E2604" s="9" t="n">
        <v>0.968421052631578</v>
      </c>
      <c r="F2604" s="12" t="n">
        <v>0.887</v>
      </c>
      <c r="G2604" s="9" t="n">
        <v>0.833333333333333</v>
      </c>
      <c r="H2604" s="9" t="n">
        <v>6</v>
      </c>
      <c r="I2604" s="9" t="inlineStr">
        <is>
          <t>1/5</t>
        </is>
      </c>
      <c r="J2604" s="50" t="n">
        <v>0.2</v>
      </c>
      <c r="K2604" t="inlineStr">
        <is>
          <t>Distinguished</t>
        </is>
      </c>
      <c r="L2604" t="inlineStr">
        <is>
          <t>Professional</t>
        </is>
      </c>
      <c r="M2604" t="inlineStr">
        <is>
          <t>Annelies de Groot</t>
        </is>
      </c>
    </row>
    <row r="2605">
      <c r="A2605" s="9" t="inlineStr">
        <is>
          <t>Q. Monét Travis</t>
        </is>
      </c>
      <c r="B2605" s="9" t="inlineStr">
        <is>
          <t>3/22/26 - 4/18/26</t>
        </is>
      </c>
      <c r="C2605" s="9" t="n">
        <v>0.918799999999999</v>
      </c>
      <c r="D2605" s="9" t="n">
        <v>0.9167</v>
      </c>
      <c r="E2605" s="9" t="n">
        <v>0.9518072289156621</v>
      </c>
      <c r="F2605" s="12" t="n">
        <v>0.984</v>
      </c>
      <c r="G2605" s="9" t="n">
        <v>0.958333333333333</v>
      </c>
      <c r="H2605" s="9" t="n">
        <v>14</v>
      </c>
      <c r="J2605" s="50" t="n"/>
      <c r="K2605" t="inlineStr">
        <is>
          <t>Distinguished</t>
        </is>
      </c>
      <c r="L2605" t="inlineStr">
        <is>
          <t>Adjunct</t>
        </is>
      </c>
      <c r="M2605" t="inlineStr">
        <is>
          <t>Ela Cross</t>
        </is>
      </c>
    </row>
    <row r="2606">
      <c r="A2606" s="9" t="inlineStr">
        <is>
          <t>Qualondra Kimber</t>
        </is>
      </c>
      <c r="B2606" s="9" t="inlineStr">
        <is>
          <t>3/22/26 - 4/18/26</t>
        </is>
      </c>
      <c r="C2606" s="9" t="n">
        <v>0</v>
      </c>
      <c r="D2606" s="9" t="n">
        <v>0.421899999999999</v>
      </c>
      <c r="E2606" s="9" t="n"/>
      <c r="G2606" s="9" t="n"/>
      <c r="J2606" s="50" t="n"/>
      <c r="K2606" t="inlineStr">
        <is>
          <t>Advanced</t>
        </is>
      </c>
      <c r="L2606" t="inlineStr">
        <is>
          <t>Adjunct</t>
        </is>
      </c>
      <c r="M2606" t="inlineStr">
        <is>
          <t>Katherine Marino</t>
        </is>
      </c>
    </row>
    <row r="2607">
      <c r="A2607" s="9" t="inlineStr">
        <is>
          <t>Rachel Daku</t>
        </is>
      </c>
      <c r="B2607" s="9" t="inlineStr">
        <is>
          <t>3/22/26 - 4/18/26</t>
        </is>
      </c>
      <c r="C2607" s="9" t="n">
        <v>0.9375</v>
      </c>
      <c r="D2607" s="9" t="n">
        <v>1.6328</v>
      </c>
      <c r="E2607" s="9" t="n">
        <v>0.977777777777777</v>
      </c>
      <c r="F2607" s="12" t="n">
        <v>1</v>
      </c>
      <c r="G2607" s="9" t="n">
        <v>0.571428571428571</v>
      </c>
      <c r="J2607" s="50" t="n"/>
      <c r="K2607" t="inlineStr">
        <is>
          <t>Distinguished</t>
        </is>
      </c>
      <c r="L2607" t="inlineStr">
        <is>
          <t>Adjunct</t>
        </is>
      </c>
      <c r="M2607" t="inlineStr">
        <is>
          <t>Annelies de Groot</t>
        </is>
      </c>
    </row>
    <row r="2608">
      <c r="A2608" s="9" t="inlineStr">
        <is>
          <t>Rafi Overton</t>
        </is>
      </c>
      <c r="B2608" s="9" t="inlineStr">
        <is>
          <t>3/22/26 - 4/18/26</t>
        </is>
      </c>
      <c r="C2608" s="9" t="n">
        <v>0.825</v>
      </c>
      <c r="D2608" s="9" t="n">
        <v>0.984</v>
      </c>
      <c r="E2608" s="9" t="n">
        <v>1</v>
      </c>
      <c r="F2608" s="12" t="n">
        <v>0.61</v>
      </c>
      <c r="G2608" s="9" t="n">
        <v>0.0909090909090909</v>
      </c>
      <c r="H2608" s="9" t="n">
        <v>1</v>
      </c>
      <c r="I2608" s="9" t="inlineStr">
        <is>
          <t>2/17</t>
        </is>
      </c>
      <c r="J2608" s="50" t="n">
        <v>0.12</v>
      </c>
      <c r="K2608" t="inlineStr">
        <is>
          <t>Distinguished</t>
        </is>
      </c>
      <c r="L2608" t="inlineStr">
        <is>
          <t>Professional</t>
        </is>
      </c>
      <c r="M2608" t="inlineStr">
        <is>
          <t>Geoff St. Marie</t>
        </is>
      </c>
    </row>
    <row r="2609">
      <c r="A2609" s="9" t="inlineStr">
        <is>
          <t>Rain Real</t>
        </is>
      </c>
      <c r="B2609" s="9" t="inlineStr">
        <is>
          <t>3/22/26 - 4/18/26</t>
        </is>
      </c>
      <c r="C2609" s="9" t="n">
        <v>0.867899999999999</v>
      </c>
      <c r="D2609" s="9" t="n">
        <v>1.1177</v>
      </c>
      <c r="E2609" s="9" t="n">
        <v>1</v>
      </c>
      <c r="F2609" s="12" t="n">
        <v>1</v>
      </c>
      <c r="G2609" s="9" t="n">
        <v>0.588235294117647</v>
      </c>
      <c r="H2609" s="9" t="n">
        <v>2</v>
      </c>
      <c r="I2609" s="9" t="inlineStr">
        <is>
          <t>16/19</t>
        </is>
      </c>
      <c r="J2609" s="50" t="n">
        <v>0.84</v>
      </c>
      <c r="K2609" t="inlineStr">
        <is>
          <t>Distinguished</t>
        </is>
      </c>
      <c r="L2609" t="inlineStr">
        <is>
          <t>Professional</t>
        </is>
      </c>
      <c r="M2609" t="inlineStr">
        <is>
          <t>Annelies de Groot</t>
        </is>
      </c>
    </row>
    <row r="2610">
      <c r="A2610" s="9" t="inlineStr">
        <is>
          <t>Ralph Strope</t>
        </is>
      </c>
      <c r="B2610" s="9" t="inlineStr">
        <is>
          <t>3/22/26 - 4/18/26</t>
        </is>
      </c>
      <c r="C2610" s="9" t="n">
        <v>0.806299999999999</v>
      </c>
      <c r="D2610" s="9" t="n">
        <v>1.0833</v>
      </c>
      <c r="E2610" s="9" t="n">
        <v>1</v>
      </c>
      <c r="F2610" s="12" t="n">
        <v>1</v>
      </c>
      <c r="G2610" s="9" t="n">
        <v>0.764705882352941</v>
      </c>
      <c r="H2610" s="9" t="n">
        <v>8</v>
      </c>
      <c r="I2610" s="9" t="inlineStr">
        <is>
          <t>0/2</t>
        </is>
      </c>
      <c r="J2610" s="50" t="n">
        <v>0</v>
      </c>
      <c r="K2610" t="inlineStr">
        <is>
          <t>Distinguished</t>
        </is>
      </c>
      <c r="L2610" t="inlineStr">
        <is>
          <t>Adjunct</t>
        </is>
      </c>
      <c r="M2610" t="inlineStr">
        <is>
          <t>Ela Cross</t>
        </is>
      </c>
    </row>
    <row r="2611">
      <c r="A2611" s="9" t="inlineStr">
        <is>
          <t>Raymond Elliot</t>
        </is>
      </c>
      <c r="B2611" s="9" t="inlineStr">
        <is>
          <t>3/22/26 - 4/18/26</t>
        </is>
      </c>
      <c r="C2611" s="9" t="n">
        <v>1.0063</v>
      </c>
      <c r="D2611" s="9" t="n">
        <v>1</v>
      </c>
      <c r="E2611" s="9" t="n">
        <v>1</v>
      </c>
      <c r="F2611" s="12" t="n">
        <v>1</v>
      </c>
      <c r="G2611" s="9" t="n">
        <v>1</v>
      </c>
      <c r="H2611" s="9" t="n">
        <v>10</v>
      </c>
      <c r="I2611" s="9" t="inlineStr">
        <is>
          <t>4/5</t>
        </is>
      </c>
      <c r="J2611" s="50" t="n">
        <v>0.8</v>
      </c>
      <c r="K2611" t="inlineStr">
        <is>
          <t>Distinguished</t>
        </is>
      </c>
      <c r="L2611" t="inlineStr">
        <is>
          <t>Adjunct</t>
        </is>
      </c>
      <c r="M2611" t="inlineStr">
        <is>
          <t>Kristin Haase-Alvey</t>
        </is>
      </c>
    </row>
    <row r="2612">
      <c r="A2612" s="9" t="inlineStr">
        <is>
          <t>Raymond Serrano</t>
        </is>
      </c>
      <c r="B2612" s="9" t="inlineStr">
        <is>
          <t>3/22/26 - 4/18/26</t>
        </is>
      </c>
      <c r="C2612" s="9" t="n">
        <v>0.75</v>
      </c>
      <c r="D2612" s="9" t="n">
        <v>0.8882</v>
      </c>
      <c r="E2612" s="9" t="n">
        <v>0.978494623655913</v>
      </c>
      <c r="F2612" s="12" t="n">
        <v>1</v>
      </c>
      <c r="G2612" s="9" t="n">
        <v>0.9375</v>
      </c>
      <c r="H2612" s="9" t="n">
        <v>8</v>
      </c>
      <c r="I2612" s="9" t="inlineStr">
        <is>
          <t>2/2</t>
        </is>
      </c>
      <c r="J2612" s="50" t="n">
        <v>1</v>
      </c>
      <c r="K2612" t="inlineStr">
        <is>
          <t>Distinguished</t>
        </is>
      </c>
      <c r="L2612" t="inlineStr">
        <is>
          <t>Professional</t>
        </is>
      </c>
      <c r="M2612" t="inlineStr">
        <is>
          <t>Kristin Haase-Alvey</t>
        </is>
      </c>
    </row>
    <row r="2613">
      <c r="A2613" s="9" t="inlineStr">
        <is>
          <t>Rebekah Nachian</t>
        </is>
      </c>
      <c r="B2613" s="9" t="inlineStr">
        <is>
          <t>3/22/26 - 4/18/26</t>
        </is>
      </c>
      <c r="C2613" s="9" t="n">
        <v>0.7417</v>
      </c>
      <c r="D2613" s="9" t="n">
        <v>0.9276</v>
      </c>
      <c r="E2613" s="9" t="n">
        <v>0.976744186046511</v>
      </c>
      <c r="F2613" s="12" t="n">
        <v>1</v>
      </c>
      <c r="G2613" s="9" t="n">
        <v>0.636363636363636</v>
      </c>
      <c r="H2613" s="9" t="n">
        <v>3</v>
      </c>
      <c r="I2613" s="9" t="inlineStr">
        <is>
          <t>6/7</t>
        </is>
      </c>
      <c r="J2613" s="50" t="n">
        <v>0.86</v>
      </c>
      <c r="K2613" t="inlineStr">
        <is>
          <t>Distinguished</t>
        </is>
      </c>
      <c r="L2613" t="inlineStr">
        <is>
          <t>Professional</t>
        </is>
      </c>
      <c r="M2613" t="inlineStr">
        <is>
          <t>Annelies de Groot</t>
        </is>
      </c>
    </row>
    <row r="2614">
      <c r="A2614" s="9" t="inlineStr">
        <is>
          <t>Rehan Zaib</t>
        </is>
      </c>
      <c r="B2614" s="9" t="inlineStr">
        <is>
          <t>3/22/26 - 4/18/26</t>
        </is>
      </c>
      <c r="C2614" s="9" t="n">
        <v>1.0583</v>
      </c>
      <c r="D2614" s="9" t="n">
        <v>1.097</v>
      </c>
      <c r="E2614" s="9" t="n">
        <v>0.9140625</v>
      </c>
      <c r="F2614" s="12" t="n">
        <v>0.928</v>
      </c>
      <c r="G2614" s="9" t="n">
        <v>0.708333333333333</v>
      </c>
      <c r="H2614" s="9" t="n">
        <v>24</v>
      </c>
      <c r="I2614" s="9" t="inlineStr">
        <is>
          <t>0/2</t>
        </is>
      </c>
      <c r="J2614" s="50" t="n">
        <v>0</v>
      </c>
      <c r="K2614" t="inlineStr">
        <is>
          <t>Distinguished</t>
        </is>
      </c>
      <c r="L2614" t="inlineStr">
        <is>
          <t>Professional</t>
        </is>
      </c>
      <c r="M2614" t="inlineStr">
        <is>
          <t>Ela Cross</t>
        </is>
      </c>
    </row>
    <row r="2615">
      <c r="A2615" s="9" t="inlineStr">
        <is>
          <t>Richard Kralik</t>
        </is>
      </c>
      <c r="B2615" s="9" t="inlineStr">
        <is>
          <t>3/22/26 - 4/18/26</t>
        </is>
      </c>
      <c r="C2615" s="9" t="n">
        <v>0.853599999999999</v>
      </c>
      <c r="D2615" s="9" t="n">
        <v>1.0029</v>
      </c>
      <c r="E2615" s="9" t="n">
        <v>0.991525423728813</v>
      </c>
      <c r="F2615" s="12" t="n">
        <v>0.975</v>
      </c>
      <c r="G2615" s="9" t="n">
        <v>0.629629629629629</v>
      </c>
      <c r="H2615" s="9" t="n">
        <v>12</v>
      </c>
      <c r="I2615" s="9" t="inlineStr">
        <is>
          <t>1/4</t>
        </is>
      </c>
      <c r="J2615" s="50" t="n">
        <v>0.25</v>
      </c>
      <c r="K2615" t="inlineStr">
        <is>
          <t>Distinguished</t>
        </is>
      </c>
      <c r="L2615" t="inlineStr">
        <is>
          <t>Professional</t>
        </is>
      </c>
      <c r="M2615" t="inlineStr">
        <is>
          <t>Ian Plamondon</t>
        </is>
      </c>
    </row>
    <row r="2616">
      <c r="A2616" s="9" t="inlineStr">
        <is>
          <t>Ries Scerbin</t>
        </is>
      </c>
      <c r="B2616" s="9" t="inlineStr">
        <is>
          <t>3/22/26 - 4/18/26</t>
        </is>
      </c>
      <c r="C2616" s="9" t="n">
        <v>1.05209999999999</v>
      </c>
      <c r="D2616" s="9" t="n">
        <v>1.293</v>
      </c>
      <c r="E2616" s="9" t="n">
        <v>0.959183673469387</v>
      </c>
      <c r="F2616" s="12" t="n">
        <v>0.974</v>
      </c>
      <c r="G2616" s="9" t="n">
        <v>0.9090909090909089</v>
      </c>
      <c r="H2616" s="9" t="n">
        <v>4</v>
      </c>
      <c r="I2616" s="9" t="inlineStr">
        <is>
          <t>3/3</t>
        </is>
      </c>
      <c r="J2616" s="50" t="n">
        <v>1</v>
      </c>
      <c r="K2616" t="inlineStr">
        <is>
          <t>Distinguished</t>
        </is>
      </c>
      <c r="L2616" t="inlineStr">
        <is>
          <t>Adjunct</t>
        </is>
      </c>
      <c r="M2616" t="inlineStr">
        <is>
          <t>Annelies de Groot</t>
        </is>
      </c>
    </row>
    <row r="2617">
      <c r="A2617" s="9" t="inlineStr">
        <is>
          <t>River Nunez</t>
        </is>
      </c>
      <c r="B2617" s="9" t="inlineStr">
        <is>
          <t>3/22/26 - 4/18/26</t>
        </is>
      </c>
      <c r="C2617" s="9" t="n">
        <v>0.9083</v>
      </c>
      <c r="D2617" s="9" t="n">
        <v>1.0477</v>
      </c>
      <c r="E2617" s="9" t="n">
        <v>0.938144329896907</v>
      </c>
      <c r="F2617" s="12" t="n">
        <v>0.75</v>
      </c>
      <c r="G2617" s="9" t="n">
        <v>0.6</v>
      </c>
      <c r="H2617" s="9" t="n">
        <v>5</v>
      </c>
      <c r="I2617" s="9" t="inlineStr">
        <is>
          <t>3/9</t>
        </is>
      </c>
      <c r="J2617" s="50" t="n">
        <v>0.33</v>
      </c>
      <c r="K2617" t="inlineStr">
        <is>
          <t>Distinguished</t>
        </is>
      </c>
      <c r="L2617" t="inlineStr">
        <is>
          <t>Professional</t>
        </is>
      </c>
      <c r="M2617" t="inlineStr">
        <is>
          <t>Annelies de Groot</t>
        </is>
      </c>
    </row>
    <row r="2618">
      <c r="A2618" s="9" t="inlineStr">
        <is>
          <t>Robert Nantze</t>
        </is>
      </c>
      <c r="B2618" s="9" t="inlineStr">
        <is>
          <t>3/22/26 - 4/18/26</t>
        </is>
      </c>
      <c r="C2618" s="9" t="n">
        <v>0.9917</v>
      </c>
      <c r="D2618" s="9" t="n">
        <v>1.0082</v>
      </c>
      <c r="E2618" s="9" t="n">
        <v>0.973214285714285</v>
      </c>
      <c r="F2618" s="12" t="n">
        <v>1</v>
      </c>
      <c r="G2618" s="9" t="n">
        <v>0.923076923076923</v>
      </c>
      <c r="H2618" s="9" t="n">
        <v>13</v>
      </c>
      <c r="I2618" s="9" t="inlineStr">
        <is>
          <t>1/1</t>
        </is>
      </c>
      <c r="J2618" s="50" t="n">
        <v>1</v>
      </c>
      <c r="K2618" t="inlineStr">
        <is>
          <t>Distinguished</t>
        </is>
      </c>
      <c r="L2618" t="inlineStr">
        <is>
          <t>Professional</t>
        </is>
      </c>
      <c r="M2618" t="inlineStr">
        <is>
          <t>Ela Cross</t>
        </is>
      </c>
    </row>
    <row r="2619">
      <c r="A2619" s="9" t="inlineStr">
        <is>
          <t>Saahithi Punnam</t>
        </is>
      </c>
      <c r="B2619" s="9" t="inlineStr">
        <is>
          <t>3/22/26 - 4/18/26</t>
        </is>
      </c>
      <c r="C2619" s="9" t="n">
        <v>0.8333</v>
      </c>
      <c r="D2619" s="9" t="n">
        <v>1.2578</v>
      </c>
      <c r="E2619" s="9" t="n">
        <v>0.973684210526315</v>
      </c>
      <c r="F2619" s="12" t="n">
        <v>1</v>
      </c>
      <c r="G2619" s="9" t="n">
        <v>0.75</v>
      </c>
      <c r="H2619" s="9" t="n">
        <v>2</v>
      </c>
      <c r="I2619" s="9" t="inlineStr">
        <is>
          <t>2/5</t>
        </is>
      </c>
      <c r="J2619" s="50" t="n">
        <v>0.4</v>
      </c>
      <c r="K2619" t="inlineStr">
        <is>
          <t>Advanced</t>
        </is>
      </c>
      <c r="L2619" t="inlineStr">
        <is>
          <t>Adjunct</t>
        </is>
      </c>
      <c r="M2619" t="inlineStr">
        <is>
          <t>Annelies de Groot</t>
        </is>
      </c>
    </row>
    <row r="2620">
      <c r="A2620" s="9" t="inlineStr">
        <is>
          <t>Samantha Wetz</t>
        </is>
      </c>
      <c r="B2620" s="9" t="inlineStr">
        <is>
          <t>3/22/26 - 4/18/26</t>
        </is>
      </c>
      <c r="C2620" s="9" t="n">
        <v>0.9583</v>
      </c>
      <c r="D2620" s="9" t="n">
        <v>1.29609999999999</v>
      </c>
      <c r="E2620" s="9" t="n">
        <v>1</v>
      </c>
      <c r="F2620" s="12" t="n">
        <v>0.986</v>
      </c>
      <c r="G2620" s="9" t="n">
        <v>0.739130434782608</v>
      </c>
      <c r="H2620" s="9" t="n">
        <v>14</v>
      </c>
      <c r="I2620" s="9" t="inlineStr">
        <is>
          <t>0/3</t>
        </is>
      </c>
      <c r="J2620" s="50" t="n">
        <v>0</v>
      </c>
      <c r="K2620" t="inlineStr">
        <is>
          <t>Premium</t>
        </is>
      </c>
      <c r="L2620" t="inlineStr">
        <is>
          <t>Professional</t>
        </is>
      </c>
      <c r="M2620" t="inlineStr">
        <is>
          <t>Ian Plamondon</t>
        </is>
      </c>
    </row>
    <row r="2621">
      <c r="A2621" s="9" t="inlineStr">
        <is>
          <t>Sarah Goodstein</t>
        </is>
      </c>
      <c r="B2621" s="9" t="inlineStr">
        <is>
          <t>3/22/26 - 4/18/26</t>
        </is>
      </c>
      <c r="C2621" s="9" t="n">
        <v>1.0875</v>
      </c>
      <c r="D2621" s="9" t="n">
        <v>0.9605</v>
      </c>
      <c r="E2621" s="9" t="n">
        <v>0.9761904761904761</v>
      </c>
      <c r="F2621" s="12" t="n">
        <v>0.853</v>
      </c>
      <c r="G2621" s="9" t="n">
        <v>0.44</v>
      </c>
      <c r="H2621" s="9" t="n">
        <v>16</v>
      </c>
      <c r="I2621" s="9" t="inlineStr">
        <is>
          <t>1/4</t>
        </is>
      </c>
      <c r="J2621" s="50" t="n">
        <v>0.25</v>
      </c>
      <c r="K2621" t="inlineStr">
        <is>
          <t>Distinguished</t>
        </is>
      </c>
      <c r="L2621" t="inlineStr">
        <is>
          <t>Professional</t>
        </is>
      </c>
      <c r="M2621" t="inlineStr">
        <is>
          <t>Kristin Haase-Alvey</t>
        </is>
      </c>
    </row>
    <row r="2622">
      <c r="A2622" s="9" t="inlineStr">
        <is>
          <t>Savannah Padgett</t>
        </is>
      </c>
      <c r="B2622" s="9" t="inlineStr">
        <is>
          <t>3/22/26 - 4/18/26</t>
        </is>
      </c>
      <c r="C2622" s="9" t="n"/>
      <c r="D2622" s="9" t="n"/>
      <c r="E2622" s="9" t="n"/>
      <c r="G2622" s="9" t="n"/>
      <c r="J2622" s="50" t="n"/>
      <c r="K2622" t="inlineStr">
        <is>
          <t>Distinguished</t>
        </is>
      </c>
      <c r="L2622" t="inlineStr">
        <is>
          <t>Professional</t>
        </is>
      </c>
      <c r="M2622" t="inlineStr">
        <is>
          <t>Katherine Marino</t>
        </is>
      </c>
    </row>
    <row r="2623">
      <c r="A2623" s="9" t="inlineStr">
        <is>
          <t>Scott Boyd</t>
        </is>
      </c>
      <c r="B2623" s="9" t="inlineStr">
        <is>
          <t>3/22/26 - 4/18/26</t>
        </is>
      </c>
      <c r="C2623" s="9" t="n">
        <v>0.4583</v>
      </c>
      <c r="D2623" s="9" t="n">
        <v>1.2734</v>
      </c>
      <c r="E2623" s="9" t="n">
        <v>0.952380952380952</v>
      </c>
      <c r="F2623" s="12" t="n">
        <v>0.6</v>
      </c>
      <c r="G2623" s="9" t="n">
        <v>0.666666666666666</v>
      </c>
      <c r="H2623" s="9" t="n">
        <v>1</v>
      </c>
      <c r="J2623" s="50" t="n"/>
      <c r="K2623" t="inlineStr">
        <is>
          <t>Premium</t>
        </is>
      </c>
      <c r="L2623" t="inlineStr">
        <is>
          <t>Adjunct</t>
        </is>
      </c>
      <c r="M2623" t="inlineStr">
        <is>
          <t>Geoff St. Marie</t>
        </is>
      </c>
    </row>
    <row r="2624">
      <c r="A2624" s="9" t="inlineStr">
        <is>
          <t>Scott Holdcraft</t>
        </is>
      </c>
      <c r="B2624" s="9" t="inlineStr">
        <is>
          <t>3/22/26 - 4/18/26</t>
        </is>
      </c>
      <c r="C2624" s="9" t="n">
        <v>0.9958</v>
      </c>
      <c r="D2624" s="9" t="n">
        <v>1.03949999999999</v>
      </c>
      <c r="E2624" s="9" t="n">
        <v>0.937984496124031</v>
      </c>
      <c r="F2624" s="12" t="n">
        <v>1</v>
      </c>
      <c r="G2624" s="9" t="n">
        <v>0.1</v>
      </c>
      <c r="H2624" s="9" t="n">
        <v>12</v>
      </c>
      <c r="I2624" s="9" t="inlineStr">
        <is>
          <t>5/12</t>
        </is>
      </c>
      <c r="J2624" s="50" t="n">
        <v>0.42</v>
      </c>
      <c r="K2624" t="inlineStr">
        <is>
          <t>Distinguished</t>
        </is>
      </c>
      <c r="L2624" t="inlineStr">
        <is>
          <t>Professional</t>
        </is>
      </c>
      <c r="M2624" t="inlineStr">
        <is>
          <t>Ela Cross</t>
        </is>
      </c>
    </row>
    <row r="2625">
      <c r="A2625" s="9" t="inlineStr">
        <is>
          <t>Sean Ulfik</t>
        </is>
      </c>
      <c r="B2625" s="9" t="inlineStr">
        <is>
          <t>3/22/26 - 4/18/26</t>
        </is>
      </c>
      <c r="C2625" s="9" t="n">
        <v>1.25</v>
      </c>
      <c r="D2625" s="9" t="n">
        <v>1.1381</v>
      </c>
      <c r="E2625" s="9" t="n">
        <v>1</v>
      </c>
      <c r="F2625" s="12" t="n">
        <v>0.931</v>
      </c>
      <c r="G2625" s="9" t="n">
        <v>0.772727272727272</v>
      </c>
      <c r="H2625" s="9" t="n">
        <v>8</v>
      </c>
      <c r="I2625" s="9" t="inlineStr">
        <is>
          <t>2/3</t>
        </is>
      </c>
      <c r="J2625" s="50" t="n">
        <v>0.67</v>
      </c>
      <c r="K2625" t="inlineStr">
        <is>
          <t>Premium</t>
        </is>
      </c>
      <c r="L2625" t="inlineStr">
        <is>
          <t>Professional</t>
        </is>
      </c>
      <c r="M2625" t="inlineStr">
        <is>
          <t>Annelies de Groot</t>
        </is>
      </c>
    </row>
    <row r="2626">
      <c r="A2626" s="9" t="inlineStr">
        <is>
          <t>Shannon Huang</t>
        </is>
      </c>
      <c r="B2626" s="9" t="inlineStr">
        <is>
          <t>3/22/26 - 4/18/26</t>
        </is>
      </c>
      <c r="C2626" s="9" t="n">
        <v>1.0958</v>
      </c>
      <c r="D2626" s="9" t="n">
        <v>1.1316</v>
      </c>
      <c r="E2626" s="9" t="n">
        <v>0.96</v>
      </c>
      <c r="F2626" s="12" t="n">
        <v>0.8179999999999999</v>
      </c>
      <c r="G2626" s="9" t="n">
        <v>0.657142857142857</v>
      </c>
      <c r="H2626" s="9" t="n">
        <v>20</v>
      </c>
      <c r="I2626" s="9" t="inlineStr">
        <is>
          <t>0/1</t>
        </is>
      </c>
      <c r="J2626" s="50" t="n">
        <v>0</v>
      </c>
      <c r="K2626" t="inlineStr">
        <is>
          <t>Distinguished</t>
        </is>
      </c>
      <c r="L2626" t="inlineStr">
        <is>
          <t>Professional</t>
        </is>
      </c>
      <c r="M2626" t="inlineStr">
        <is>
          <t>Ela Cross</t>
        </is>
      </c>
    </row>
    <row r="2627">
      <c r="A2627" s="9" t="inlineStr">
        <is>
          <t>Sharon Vincuilla</t>
        </is>
      </c>
      <c r="B2627" s="9" t="inlineStr">
        <is>
          <t>3/22/26 - 4/18/26</t>
        </is>
      </c>
      <c r="C2627" s="9" t="n">
        <v>1.2083</v>
      </c>
      <c r="D2627" s="9" t="n">
        <v>1.4766</v>
      </c>
      <c r="E2627" s="9" t="n">
        <v>0.981818181818181</v>
      </c>
      <c r="F2627" s="12" t="n">
        <v>1</v>
      </c>
      <c r="G2627" s="9" t="n">
        <v>1</v>
      </c>
      <c r="H2627" s="9" t="n">
        <v>6</v>
      </c>
      <c r="J2627" s="50" t="n"/>
      <c r="K2627" t="inlineStr">
        <is>
          <t>Distinguished</t>
        </is>
      </c>
      <c r="L2627" t="inlineStr">
        <is>
          <t>Adjunct</t>
        </is>
      </c>
      <c r="M2627" t="inlineStr">
        <is>
          <t>Annelies de Groot</t>
        </is>
      </c>
    </row>
    <row r="2628">
      <c r="A2628" s="9" t="inlineStr">
        <is>
          <t>Shaun Leonard</t>
        </is>
      </c>
      <c r="B2628" s="9" t="inlineStr">
        <is>
          <t>3/22/26 - 4/18/26</t>
        </is>
      </c>
      <c r="C2628" s="9" t="n">
        <v>0.9792</v>
      </c>
      <c r="D2628" s="9" t="n">
        <v>0.9297</v>
      </c>
      <c r="E2628" s="9" t="n">
        <v>0.902439024390243</v>
      </c>
      <c r="F2628" s="12" t="n">
        <v>0.9389999999999999</v>
      </c>
      <c r="G2628" s="9" t="n">
        <v>0.7</v>
      </c>
      <c r="H2628" s="9" t="n">
        <v>10</v>
      </c>
      <c r="I2628" s="9" t="inlineStr">
        <is>
          <t>2/2</t>
        </is>
      </c>
      <c r="J2628" s="50" t="n">
        <v>1</v>
      </c>
      <c r="K2628" t="inlineStr">
        <is>
          <t>Distinguished</t>
        </is>
      </c>
      <c r="L2628" t="inlineStr">
        <is>
          <t>Adjunct</t>
        </is>
      </c>
      <c r="M2628" t="inlineStr">
        <is>
          <t>Kristin Haase-Alvey</t>
        </is>
      </c>
    </row>
    <row r="2629">
      <c r="A2629" s="9" t="inlineStr">
        <is>
          <t>Shaun O'Neil</t>
        </is>
      </c>
      <c r="B2629" s="9" t="inlineStr">
        <is>
          <t>3/22/26 - 4/18/26</t>
        </is>
      </c>
      <c r="C2629" s="9" t="n">
        <v>0.5417</v>
      </c>
      <c r="D2629" s="9" t="n">
        <v>0.9621999999999989</v>
      </c>
      <c r="E2629" s="9" t="n">
        <v>0.984126984126984</v>
      </c>
      <c r="F2629" s="12" t="n">
        <v>0.944</v>
      </c>
      <c r="G2629" s="9" t="n">
        <v>0.583333333333333</v>
      </c>
      <c r="I2629" s="9" t="inlineStr">
        <is>
          <t>1/2</t>
        </is>
      </c>
      <c r="J2629" s="50" t="n">
        <v>0.5</v>
      </c>
      <c r="K2629" t="inlineStr">
        <is>
          <t>Distinguished</t>
        </is>
      </c>
      <c r="L2629" t="inlineStr">
        <is>
          <t>Professional</t>
        </is>
      </c>
      <c r="M2629" t="inlineStr">
        <is>
          <t>Ian Plamondon</t>
        </is>
      </c>
    </row>
    <row r="2630">
      <c r="A2630" s="9" t="inlineStr">
        <is>
          <t>Shawn Kane</t>
        </is>
      </c>
      <c r="B2630" s="9" t="inlineStr">
        <is>
          <t>3/22/26 - 4/18/26</t>
        </is>
      </c>
      <c r="C2630" s="9" t="n">
        <v>0.8375</v>
      </c>
      <c r="D2630" s="9" t="n">
        <v>1.1875</v>
      </c>
      <c r="E2630" s="9" t="n">
        <v>1</v>
      </c>
      <c r="F2630" s="12" t="n">
        <v>0.667</v>
      </c>
      <c r="G2630" s="9" t="n">
        <v>0.777777777777777</v>
      </c>
      <c r="H2630" s="9" t="n">
        <v>9</v>
      </c>
      <c r="I2630" s="9" t="inlineStr">
        <is>
          <t>1/1</t>
        </is>
      </c>
      <c r="J2630" s="50" t="n">
        <v>1</v>
      </c>
      <c r="K2630" t="inlineStr">
        <is>
          <t>Premium</t>
        </is>
      </c>
      <c r="L2630" t="inlineStr">
        <is>
          <t>Adjunct</t>
        </is>
      </c>
      <c r="M2630" t="inlineStr">
        <is>
          <t>Ela Cross</t>
        </is>
      </c>
    </row>
    <row r="2631">
      <c r="A2631" s="9" t="inlineStr">
        <is>
          <t>Silvester Harrison</t>
        </is>
      </c>
      <c r="B2631" s="9" t="inlineStr">
        <is>
          <t>3/22/26 - 4/18/26</t>
        </is>
      </c>
      <c r="C2631" s="9" t="n">
        <v>0.939299999999999</v>
      </c>
      <c r="D2631" s="9" t="n">
        <v>1.0654</v>
      </c>
      <c r="E2631" s="9" t="n">
        <v>1</v>
      </c>
      <c r="F2631" s="12" t="n">
        <v>0.99</v>
      </c>
      <c r="G2631" s="9" t="n">
        <v>0.294117647058823</v>
      </c>
      <c r="H2631" s="9" t="n">
        <v>8</v>
      </c>
      <c r="I2631" s="9" t="inlineStr">
        <is>
          <t>2/7</t>
        </is>
      </c>
      <c r="J2631" s="50" t="n">
        <v>0.29</v>
      </c>
      <c r="K2631" t="inlineStr">
        <is>
          <t>Distinguished</t>
        </is>
      </c>
      <c r="L2631" t="inlineStr">
        <is>
          <t>Professional</t>
        </is>
      </c>
      <c r="M2631" t="inlineStr">
        <is>
          <t>Ela Cross</t>
        </is>
      </c>
    </row>
    <row r="2632">
      <c r="A2632" s="9" t="inlineStr">
        <is>
          <t>Skye Silmenna</t>
        </is>
      </c>
      <c r="B2632" s="9" t="inlineStr">
        <is>
          <t>3/22/26 - 4/18/26</t>
        </is>
      </c>
      <c r="C2632" s="9" t="n">
        <v>0.888899999999999</v>
      </c>
      <c r="D2632" s="9" t="n">
        <v>1.0855</v>
      </c>
      <c r="E2632" s="9" t="n">
        <v>0.9411764705882349</v>
      </c>
      <c r="F2632" s="12" t="n">
        <v>0.6929999999999999</v>
      </c>
      <c r="G2632" s="9" t="n">
        <v>0.388888888888888</v>
      </c>
      <c r="H2632" s="9" t="n">
        <v>11</v>
      </c>
      <c r="I2632" s="9" t="inlineStr">
        <is>
          <t>1/6</t>
        </is>
      </c>
      <c r="J2632" s="50" t="n">
        <v>0.17</v>
      </c>
      <c r="K2632" t="inlineStr">
        <is>
          <t>Distinguished</t>
        </is>
      </c>
      <c r="L2632" t="inlineStr">
        <is>
          <t>Professional</t>
        </is>
      </c>
      <c r="M2632" t="inlineStr">
        <is>
          <t>Annelies de Groot</t>
        </is>
      </c>
    </row>
    <row r="2633">
      <c r="A2633" s="9" t="inlineStr">
        <is>
          <t>Sonja Tomasko</t>
        </is>
      </c>
      <c r="B2633" s="9" t="inlineStr">
        <is>
          <t>3/22/26 - 4/18/26</t>
        </is>
      </c>
      <c r="C2633" s="9" t="n">
        <v>0.491699999999999</v>
      </c>
      <c r="D2633" s="9" t="n">
        <v>1.09209999999999</v>
      </c>
      <c r="E2633" s="9" t="n">
        <v>1</v>
      </c>
      <c r="F2633" s="12" t="n">
        <v>0.977</v>
      </c>
      <c r="G2633" s="9" t="n">
        <v>0.7692307692307691</v>
      </c>
      <c r="H2633" s="9" t="n">
        <v>3</v>
      </c>
      <c r="J2633" s="50" t="n"/>
      <c r="K2633" t="inlineStr">
        <is>
          <t>Premium</t>
        </is>
      </c>
      <c r="L2633" t="inlineStr">
        <is>
          <t>Professional</t>
        </is>
      </c>
      <c r="M2633" t="inlineStr">
        <is>
          <t>Ian Plamondon</t>
        </is>
      </c>
    </row>
    <row r="2634">
      <c r="A2634" s="9" t="inlineStr">
        <is>
          <t>Stacey Jones</t>
        </is>
      </c>
      <c r="B2634" s="9" t="inlineStr">
        <is>
          <t>3/22/26 - 4/18/26</t>
        </is>
      </c>
      <c r="C2634" s="9" t="n">
        <v>1.1979</v>
      </c>
      <c r="D2634" s="9" t="n">
        <v>1.21879999999999</v>
      </c>
      <c r="E2634" s="9" t="n">
        <v>1</v>
      </c>
      <c r="F2634" s="12" t="n">
        <v>0.956</v>
      </c>
      <c r="G2634" s="9" t="n">
        <v>0.8125</v>
      </c>
      <c r="H2634" s="9" t="n">
        <v>7</v>
      </c>
      <c r="J2634" s="50" t="n"/>
      <c r="K2634" t="inlineStr">
        <is>
          <t>Distinguished</t>
        </is>
      </c>
      <c r="L2634" t="inlineStr">
        <is>
          <t>Adjunct</t>
        </is>
      </c>
      <c r="M2634" t="inlineStr">
        <is>
          <t>Annelies de Groot</t>
        </is>
      </c>
    </row>
    <row r="2635">
      <c r="A2635" s="9" t="inlineStr">
        <is>
          <t>Steven Colome</t>
        </is>
      </c>
      <c r="B2635" s="9" t="inlineStr">
        <is>
          <t>3/22/26 - 4/18/26</t>
        </is>
      </c>
      <c r="C2635" s="9" t="n">
        <v>0.7708</v>
      </c>
      <c r="D2635" s="9" t="n">
        <v>0.9766</v>
      </c>
      <c r="E2635" s="9" t="n">
        <v>0.921052631578947</v>
      </c>
      <c r="F2635" s="12" t="n">
        <v>0.967</v>
      </c>
      <c r="G2635" s="9" t="n">
        <v>0</v>
      </c>
      <c r="H2635" s="9" t="n">
        <v>5</v>
      </c>
      <c r="I2635" s="9" t="inlineStr">
        <is>
          <t>3/6</t>
        </is>
      </c>
      <c r="J2635" s="50" t="n">
        <v>0.5</v>
      </c>
      <c r="K2635" t="inlineStr">
        <is>
          <t>Distinguished</t>
        </is>
      </c>
      <c r="L2635" t="inlineStr">
        <is>
          <t>Adjunct</t>
        </is>
      </c>
      <c r="M2635" t="inlineStr">
        <is>
          <t>Ela Cross</t>
        </is>
      </c>
    </row>
    <row r="2636">
      <c r="A2636" s="9" t="inlineStr">
        <is>
          <t>Sunho Kum</t>
        </is>
      </c>
      <c r="B2636" s="9" t="inlineStr">
        <is>
          <t>3/22/26 - 4/18/26</t>
        </is>
      </c>
      <c r="C2636" s="9" t="n">
        <v>1.1875</v>
      </c>
      <c r="D2636" s="9" t="n">
        <v>0.9922</v>
      </c>
      <c r="E2636" s="9" t="n">
        <v>1</v>
      </c>
      <c r="F2636" s="12" t="n">
        <v>1</v>
      </c>
      <c r="G2636" s="9" t="n">
        <v>1</v>
      </c>
      <c r="H2636" s="9" t="n">
        <v>5</v>
      </c>
      <c r="J2636" s="50" t="n"/>
      <c r="K2636" t="inlineStr">
        <is>
          <t>Distinguished</t>
        </is>
      </c>
      <c r="L2636" t="inlineStr">
        <is>
          <t>Adjunct</t>
        </is>
      </c>
      <c r="M2636" t="inlineStr">
        <is>
          <t>Ela Cross</t>
        </is>
      </c>
    </row>
    <row r="2637">
      <c r="A2637" s="9" t="inlineStr">
        <is>
          <t>Syrae Jennings</t>
        </is>
      </c>
      <c r="B2637" s="9" t="inlineStr">
        <is>
          <t>3/22/26 - 4/18/26</t>
        </is>
      </c>
      <c r="C2637" s="9" t="n">
        <v>0.9167</v>
      </c>
      <c r="D2637" s="9" t="n">
        <v>1.3516</v>
      </c>
      <c r="E2637" s="9" t="n">
        <v>0.957446808510638</v>
      </c>
      <c r="F2637" s="12" t="n">
        <v>1</v>
      </c>
      <c r="G2637" s="9" t="n">
        <v>0.9</v>
      </c>
      <c r="H2637" s="9" t="n">
        <v>8</v>
      </c>
      <c r="I2637" s="9" t="inlineStr">
        <is>
          <t>1/2</t>
        </is>
      </c>
      <c r="J2637" s="50" t="n">
        <v>0.5</v>
      </c>
      <c r="K2637" t="inlineStr">
        <is>
          <t>Advanced</t>
        </is>
      </c>
      <c r="L2637" t="inlineStr">
        <is>
          <t>Adjunct</t>
        </is>
      </c>
      <c r="M2637" t="inlineStr">
        <is>
          <t>Ian Plamondon</t>
        </is>
      </c>
    </row>
    <row r="2638">
      <c r="A2638" s="9" t="inlineStr">
        <is>
          <t>Taryn Parks</t>
        </is>
      </c>
      <c r="B2638" s="9" t="inlineStr">
        <is>
          <t>3/22/26 - 4/18/26</t>
        </is>
      </c>
      <c r="C2638" s="9" t="n">
        <v>0.9896</v>
      </c>
      <c r="D2638" s="9" t="n">
        <v>1.09379999999999</v>
      </c>
      <c r="E2638" s="9" t="n">
        <v>1</v>
      </c>
      <c r="F2638" s="12" t="n">
        <v>1</v>
      </c>
      <c r="G2638" s="9" t="n">
        <v>0</v>
      </c>
      <c r="H2638" s="9" t="n">
        <v>5</v>
      </c>
      <c r="J2638" s="50" t="n"/>
      <c r="K2638" t="inlineStr">
        <is>
          <t>Advanced</t>
        </is>
      </c>
      <c r="L2638" t="inlineStr">
        <is>
          <t>Adjunct</t>
        </is>
      </c>
      <c r="M2638" t="inlineStr">
        <is>
          <t>Annelies de Groot</t>
        </is>
      </c>
    </row>
    <row r="2639">
      <c r="A2639" s="9" t="inlineStr">
        <is>
          <t>Tea Stewart</t>
        </is>
      </c>
      <c r="B2639" s="9" t="inlineStr">
        <is>
          <t>3/22/26 - 4/18/26</t>
        </is>
      </c>
      <c r="C2639" s="9" t="n">
        <v>0.6146</v>
      </c>
      <c r="D2639" s="9" t="n">
        <v>1.0195</v>
      </c>
      <c r="E2639" s="9" t="n">
        <v>1</v>
      </c>
      <c r="F2639" s="12" t="n">
        <v>0.913</v>
      </c>
      <c r="G2639" s="9" t="n">
        <v>0.875</v>
      </c>
      <c r="H2639" s="9" t="n">
        <v>6</v>
      </c>
      <c r="J2639" s="50" t="n"/>
      <c r="K2639" t="inlineStr">
        <is>
          <t>Distinguished</t>
        </is>
      </c>
      <c r="L2639" t="inlineStr">
        <is>
          <t>Adjunct</t>
        </is>
      </c>
      <c r="M2639" t="inlineStr">
        <is>
          <t>Kristin Haase-Alvey</t>
        </is>
      </c>
    </row>
    <row r="2640">
      <c r="A2640" s="9" t="inlineStr">
        <is>
          <t>Teresa Fuller</t>
        </is>
      </c>
      <c r="B2640" s="9" t="inlineStr">
        <is>
          <t>3/22/26 - 4/18/26</t>
        </is>
      </c>
      <c r="C2640" s="9" t="n">
        <v>1</v>
      </c>
      <c r="D2640" s="9" t="n">
        <v>0.917999999999999</v>
      </c>
      <c r="E2640" s="9" t="n">
        <v>1</v>
      </c>
      <c r="F2640" s="12" t="n">
        <v>1</v>
      </c>
      <c r="G2640" s="9" t="n">
        <v>0</v>
      </c>
      <c r="H2640" s="9" t="n">
        <v>3</v>
      </c>
      <c r="I2640" s="9" t="inlineStr">
        <is>
          <t>3/4</t>
        </is>
      </c>
      <c r="J2640" s="50" t="n">
        <v>0.75</v>
      </c>
      <c r="K2640" t="inlineStr">
        <is>
          <t>Advanced</t>
        </is>
      </c>
      <c r="L2640" t="inlineStr">
        <is>
          <t>Adjunct</t>
        </is>
      </c>
      <c r="M2640" t="inlineStr">
        <is>
          <t>Ela Cross</t>
        </is>
      </c>
    </row>
    <row r="2641">
      <c r="A2641" s="9" t="inlineStr">
        <is>
          <t>Tim Page</t>
        </is>
      </c>
      <c r="B2641" s="9" t="inlineStr">
        <is>
          <t>3/22/26 - 4/18/26</t>
        </is>
      </c>
      <c r="C2641" s="9" t="n">
        <v>0</v>
      </c>
      <c r="D2641" s="9" t="n">
        <v>0.4767</v>
      </c>
      <c r="E2641" s="9" t="n"/>
      <c r="G2641" s="9" t="n"/>
      <c r="J2641" s="50" t="n"/>
      <c r="K2641" t="inlineStr">
        <is>
          <t>Advanced</t>
        </is>
      </c>
      <c r="L2641" t="inlineStr">
        <is>
          <t>Professional</t>
        </is>
      </c>
      <c r="M2641" t="inlineStr">
        <is>
          <t>Nikki Pencak</t>
        </is>
      </c>
    </row>
    <row r="2642">
      <c r="A2642" s="9" t="inlineStr">
        <is>
          <t>Tim Schlotzhauer</t>
        </is>
      </c>
      <c r="B2642" s="9" t="inlineStr">
        <is>
          <t>3/22/26 - 4/18/26</t>
        </is>
      </c>
      <c r="C2642" s="9" t="n">
        <v>0.9</v>
      </c>
      <c r="D2642" s="9" t="n">
        <v>1.4934</v>
      </c>
      <c r="E2642" s="9" t="n">
        <v>0.990196078431372</v>
      </c>
      <c r="F2642" s="12" t="n">
        <v>0.974</v>
      </c>
      <c r="G2642" s="9" t="n">
        <v>1</v>
      </c>
      <c r="H2642" s="9" t="n">
        <v>4</v>
      </c>
      <c r="I2642" s="9" t="inlineStr">
        <is>
          <t>3/3</t>
        </is>
      </c>
      <c r="J2642" s="50" t="n">
        <v>1</v>
      </c>
      <c r="K2642" t="inlineStr">
        <is>
          <t>Premium</t>
        </is>
      </c>
      <c r="L2642" t="inlineStr">
        <is>
          <t>Professional</t>
        </is>
      </c>
      <c r="M2642" t="inlineStr">
        <is>
          <t>Geoff St. Marie</t>
        </is>
      </c>
    </row>
    <row r="2643">
      <c r="A2643" s="9" t="inlineStr">
        <is>
          <t>Tom Pluth</t>
        </is>
      </c>
      <c r="B2643" s="9" t="inlineStr">
        <is>
          <t>3/22/26 - 4/18/26</t>
        </is>
      </c>
      <c r="C2643" s="9" t="n">
        <v>0.6875</v>
      </c>
      <c r="D2643" s="9" t="n">
        <v>0.7655999999999999</v>
      </c>
      <c r="E2643" s="9" t="n">
        <v>0.98</v>
      </c>
      <c r="F2643" s="12" t="n">
        <v>0.879</v>
      </c>
      <c r="G2643" s="9" t="n">
        <v>0.333333333333333</v>
      </c>
      <c r="H2643" s="9" t="n">
        <v>5</v>
      </c>
      <c r="I2643" s="9" t="inlineStr">
        <is>
          <t>1/1</t>
        </is>
      </c>
      <c r="J2643" s="50" t="n">
        <v>1</v>
      </c>
      <c r="K2643" t="inlineStr">
        <is>
          <t>Distinguished</t>
        </is>
      </c>
      <c r="L2643" t="inlineStr">
        <is>
          <t>Adjunct</t>
        </is>
      </c>
      <c r="M2643" t="inlineStr">
        <is>
          <t>Ela Cross</t>
        </is>
      </c>
    </row>
    <row r="2644">
      <c r="A2644" s="9" t="inlineStr">
        <is>
          <t>Tommaso Marsella</t>
        </is>
      </c>
      <c r="B2644" s="9" t="inlineStr">
        <is>
          <t>3/22/26 - 4/18/26</t>
        </is>
      </c>
      <c r="C2644" s="9" t="n">
        <v>0.8854</v>
      </c>
      <c r="D2644" s="9" t="n">
        <v>1.5391</v>
      </c>
      <c r="E2644" s="9" t="n">
        <v>1</v>
      </c>
      <c r="F2644" s="12" t="n">
        <v>1</v>
      </c>
      <c r="G2644" s="9" t="n">
        <v>0.8</v>
      </c>
      <c r="H2644" s="9" t="n">
        <v>4</v>
      </c>
      <c r="I2644" s="9" t="inlineStr">
        <is>
          <t>0/1</t>
        </is>
      </c>
      <c r="J2644" s="50" t="n">
        <v>0</v>
      </c>
      <c r="K2644" t="inlineStr">
        <is>
          <t>Distinguished</t>
        </is>
      </c>
      <c r="L2644" t="inlineStr">
        <is>
          <t>Adjunct</t>
        </is>
      </c>
      <c r="M2644" t="inlineStr">
        <is>
          <t>Ian Plamondon</t>
        </is>
      </c>
    </row>
    <row r="2645">
      <c r="A2645" s="9" t="inlineStr">
        <is>
          <t>Trevor Ferguson</t>
        </is>
      </c>
      <c r="B2645" s="9" t="inlineStr">
        <is>
          <t>3/22/26 - 4/18/26</t>
        </is>
      </c>
      <c r="C2645" s="9" t="n">
        <v>0.9292</v>
      </c>
      <c r="D2645" s="9" t="n">
        <v>1.04109999999999</v>
      </c>
      <c r="E2645" s="9" t="n">
        <v>0.94059405940594</v>
      </c>
      <c r="F2645" s="12" t="n">
        <v>0.972</v>
      </c>
      <c r="G2645" s="9" t="n">
        <v>0.739130434782608</v>
      </c>
      <c r="H2645" s="9" t="n">
        <v>10</v>
      </c>
      <c r="J2645" s="50" t="n"/>
      <c r="K2645" t="inlineStr">
        <is>
          <t>Distinguished</t>
        </is>
      </c>
      <c r="L2645" t="inlineStr">
        <is>
          <t>Professional</t>
        </is>
      </c>
      <c r="M2645" t="inlineStr">
        <is>
          <t>Geoff St. Marie</t>
        </is>
      </c>
    </row>
    <row r="2646">
      <c r="A2646" s="9" t="inlineStr">
        <is>
          <t>Tyler Greer</t>
        </is>
      </c>
      <c r="B2646" s="9" t="inlineStr">
        <is>
          <t>3/22/26 - 4/18/26</t>
        </is>
      </c>
      <c r="C2646" s="9" t="n">
        <v>0.7875</v>
      </c>
      <c r="D2646" s="9" t="n">
        <v>0.7451</v>
      </c>
      <c r="E2646" s="9" t="n">
        <v>0.988505747126436</v>
      </c>
      <c r="F2646" s="12" t="n">
        <v>0.9379999999999999</v>
      </c>
      <c r="G2646" s="9" t="n">
        <v>1</v>
      </c>
      <c r="H2646" s="9" t="n">
        <v>9</v>
      </c>
      <c r="I2646" s="9" t="inlineStr">
        <is>
          <t>2/2</t>
        </is>
      </c>
      <c r="J2646" s="50" t="n">
        <v>1</v>
      </c>
      <c r="K2646" t="inlineStr">
        <is>
          <t>Distinguished</t>
        </is>
      </c>
      <c r="L2646" t="inlineStr">
        <is>
          <t>Professional</t>
        </is>
      </c>
      <c r="M2646" t="inlineStr">
        <is>
          <t>Kristin Haase-Alvey</t>
        </is>
      </c>
    </row>
    <row r="2647">
      <c r="A2647" s="9" t="inlineStr">
        <is>
          <t>Tyler Henry</t>
        </is>
      </c>
      <c r="B2647" s="9" t="inlineStr">
        <is>
          <t>3/22/26 - 4/18/26</t>
        </is>
      </c>
      <c r="C2647" s="9" t="n">
        <v>1.0833</v>
      </c>
      <c r="D2647" s="9" t="n">
        <v>1.1234</v>
      </c>
      <c r="E2647" s="9" t="n">
        <v>0.9145299145299139</v>
      </c>
      <c r="F2647" s="12" t="n">
        <v>1</v>
      </c>
      <c r="G2647" s="9" t="n">
        <v>0.954545454545454</v>
      </c>
      <c r="H2647" s="9" t="n">
        <v>9</v>
      </c>
      <c r="I2647" s="9" t="inlineStr">
        <is>
          <t>6/8</t>
        </is>
      </c>
      <c r="J2647" s="50" t="n">
        <v>0.75</v>
      </c>
      <c r="K2647" t="inlineStr">
        <is>
          <t>Distinguished</t>
        </is>
      </c>
      <c r="L2647" t="inlineStr">
        <is>
          <t>Professional</t>
        </is>
      </c>
      <c r="M2647" t="inlineStr">
        <is>
          <t>Annelies de Groot</t>
        </is>
      </c>
    </row>
    <row r="2648">
      <c r="A2648" s="9" t="inlineStr">
        <is>
          <t>Tyler Thornton</t>
        </is>
      </c>
      <c r="B2648" s="9" t="inlineStr">
        <is>
          <t>3/22/26 - 4/18/26</t>
        </is>
      </c>
      <c r="C2648" s="9" t="n">
        <v>0.9833</v>
      </c>
      <c r="D2648" s="9" t="n">
        <v>1.0641</v>
      </c>
      <c r="E2648" s="9" t="n">
        <v>1</v>
      </c>
      <c r="F2648" s="12" t="n">
        <v>0.953</v>
      </c>
      <c r="G2648" s="9" t="n">
        <v>1</v>
      </c>
      <c r="H2648" s="9" t="n">
        <v>13</v>
      </c>
      <c r="I2648" s="9" t="inlineStr">
        <is>
          <t>2/6</t>
        </is>
      </c>
      <c r="J2648" s="50" t="n">
        <v>0.33</v>
      </c>
      <c r="K2648" t="inlineStr">
        <is>
          <t>Distinguished</t>
        </is>
      </c>
      <c r="L2648" t="inlineStr">
        <is>
          <t>Professional</t>
        </is>
      </c>
      <c r="M2648" t="inlineStr">
        <is>
          <t>Kristin Haase-Alvey</t>
        </is>
      </c>
    </row>
    <row r="2649">
      <c r="A2649" s="9" t="inlineStr">
        <is>
          <t>Valdenis Iancu</t>
        </is>
      </c>
      <c r="B2649" s="9" t="inlineStr">
        <is>
          <t>3/22/26 - 4/18/26</t>
        </is>
      </c>
      <c r="C2649" s="9" t="n">
        <v>0.7833</v>
      </c>
      <c r="D2649" s="9" t="n">
        <v>1.0839</v>
      </c>
      <c r="E2649" s="9" t="n">
        <v>0.989130434782608</v>
      </c>
      <c r="F2649" s="12" t="n">
        <v>0.968</v>
      </c>
      <c r="G2649" s="9" t="n">
        <v>0.764705882352941</v>
      </c>
      <c r="H2649" s="9" t="n">
        <v>5</v>
      </c>
      <c r="I2649" s="9" t="inlineStr">
        <is>
          <t>3/5</t>
        </is>
      </c>
      <c r="J2649" s="50" t="n">
        <v>0.6</v>
      </c>
      <c r="K2649" t="inlineStr">
        <is>
          <t>Premium</t>
        </is>
      </c>
      <c r="L2649" t="inlineStr">
        <is>
          <t>Professional</t>
        </is>
      </c>
      <c r="M2649" t="inlineStr">
        <is>
          <t>Ian Plamondon</t>
        </is>
      </c>
    </row>
    <row r="2650">
      <c r="A2650" s="9" t="inlineStr">
        <is>
          <t>Valerie Duran</t>
        </is>
      </c>
      <c r="B2650" s="9" t="inlineStr">
        <is>
          <t>3/22/26 - 4/18/26</t>
        </is>
      </c>
      <c r="C2650" s="9" t="n">
        <v>1.3125</v>
      </c>
      <c r="D2650" s="9" t="n">
        <v>1.3229</v>
      </c>
      <c r="E2650" s="9" t="n">
        <v>1</v>
      </c>
      <c r="F2650" s="12" t="n">
        <v>0.727</v>
      </c>
      <c r="G2650" s="9" t="n">
        <v>0</v>
      </c>
      <c r="H2650" s="9" t="n">
        <v>12</v>
      </c>
      <c r="I2650" s="9" t="inlineStr">
        <is>
          <t>0/2</t>
        </is>
      </c>
      <c r="J2650" s="50" t="n">
        <v>0</v>
      </c>
      <c r="K2650" t="inlineStr">
        <is>
          <t>Advanced</t>
        </is>
      </c>
      <c r="L2650" t="inlineStr">
        <is>
          <t>Adjunct</t>
        </is>
      </c>
      <c r="M2650" t="inlineStr">
        <is>
          <t>Ela Cross</t>
        </is>
      </c>
    </row>
    <row r="2651">
      <c r="A2651" s="9" t="inlineStr">
        <is>
          <t>Valerie Morris</t>
        </is>
      </c>
      <c r="B2651" s="9" t="inlineStr">
        <is>
          <t>3/22/26 - 4/18/26</t>
        </is>
      </c>
      <c r="C2651" s="9" t="n">
        <v>0.7917</v>
      </c>
      <c r="D2651" s="9" t="n">
        <v>1.03129999999999</v>
      </c>
      <c r="E2651" s="9" t="n">
        <v>1</v>
      </c>
      <c r="F2651" s="12" t="n">
        <v>1</v>
      </c>
      <c r="G2651" s="9" t="n">
        <v>0.5</v>
      </c>
      <c r="H2651" s="9" t="n">
        <v>5</v>
      </c>
      <c r="I2651" s="9" t="inlineStr">
        <is>
          <t>0/3</t>
        </is>
      </c>
      <c r="J2651" s="50" t="n">
        <v>0</v>
      </c>
      <c r="K2651" t="inlineStr">
        <is>
          <t>Advanced</t>
        </is>
      </c>
      <c r="L2651" t="inlineStr">
        <is>
          <t>Adjunct</t>
        </is>
      </c>
      <c r="M2651" t="inlineStr">
        <is>
          <t>Annelies de Groot</t>
        </is>
      </c>
    </row>
    <row r="2652">
      <c r="A2652" s="9" t="inlineStr">
        <is>
          <t>Vincent Cross</t>
        </is>
      </c>
      <c r="B2652" s="9" t="inlineStr">
        <is>
          <t>3/22/26 - 4/18/26</t>
        </is>
      </c>
      <c r="C2652" s="9" t="n">
        <v>0.5542</v>
      </c>
      <c r="D2652" s="9" t="n">
        <v>1.06579999999999</v>
      </c>
      <c r="E2652" s="9" t="n">
        <v>0.950819672131147</v>
      </c>
      <c r="F2652" s="12" t="n">
        <v>0.375</v>
      </c>
      <c r="G2652" s="9" t="n">
        <v>0</v>
      </c>
      <c r="H2652" s="9" t="n">
        <v>1</v>
      </c>
      <c r="I2652" s="9" t="inlineStr">
        <is>
          <t>4/9</t>
        </is>
      </c>
      <c r="J2652" s="50" t="n">
        <v>0.44</v>
      </c>
      <c r="K2652" t="inlineStr">
        <is>
          <t>Distinguished</t>
        </is>
      </c>
      <c r="L2652" t="inlineStr">
        <is>
          <t>Professional</t>
        </is>
      </c>
      <c r="M2652" t="inlineStr">
        <is>
          <t>Katherine Marino</t>
        </is>
      </c>
    </row>
    <row r="2653">
      <c r="A2653" s="9" t="inlineStr">
        <is>
          <t>Yvanna Ramirez</t>
        </is>
      </c>
      <c r="B2653" s="9" t="inlineStr">
        <is>
          <t>3/22/26 - 4/18/26</t>
        </is>
      </c>
      <c r="C2653" s="9" t="n">
        <v>0.7458</v>
      </c>
      <c r="D2653" s="9" t="n">
        <v>0.9621999999999989</v>
      </c>
      <c r="E2653" s="9" t="n">
        <v>1</v>
      </c>
      <c r="F2653" s="12" t="n">
        <v>0.879</v>
      </c>
      <c r="G2653" s="9" t="n">
        <v>0.5</v>
      </c>
      <c r="H2653" s="9" t="n">
        <v>12</v>
      </c>
      <c r="I2653" s="9" t="inlineStr">
        <is>
          <t>0/1</t>
        </is>
      </c>
      <c r="J2653" s="50" t="n">
        <v>0</v>
      </c>
      <c r="K2653" t="inlineStr">
        <is>
          <t>Distinguished</t>
        </is>
      </c>
      <c r="L2653" t="inlineStr">
        <is>
          <t>Professional</t>
        </is>
      </c>
      <c r="M2653" t="inlineStr">
        <is>
          <t>Ela Cross</t>
        </is>
      </c>
    </row>
    <row r="2654">
      <c r="A2654" s="9" t="inlineStr">
        <is>
          <t>Yvrine Nguiwenga-Nketcha</t>
        </is>
      </c>
      <c r="B2654" s="9" t="inlineStr">
        <is>
          <t>3/22/26 - 4/18/26</t>
        </is>
      </c>
      <c r="C2654" s="9" t="n">
        <v>0.875</v>
      </c>
      <c r="D2654" s="9" t="n">
        <v>1.1875</v>
      </c>
      <c r="E2654" s="9" t="n">
        <v>1</v>
      </c>
      <c r="F2654" s="12" t="n">
        <v>1</v>
      </c>
      <c r="G2654" s="9" t="n">
        <v>0.142857142857142</v>
      </c>
      <c r="H2654" s="9" t="n">
        <v>2</v>
      </c>
      <c r="J2654" s="50" t="n"/>
      <c r="K2654" t="inlineStr">
        <is>
          <t>Distinguished</t>
        </is>
      </c>
      <c r="L2654" t="inlineStr">
        <is>
          <t>Adjunct</t>
        </is>
      </c>
      <c r="M2654" t="inlineStr">
        <is>
          <t>Annelies de Groot</t>
        </is>
      </c>
    </row>
    <row r="2655">
      <c r="A2655" s="9" t="inlineStr">
        <is>
          <t>Zach McFatridge</t>
        </is>
      </c>
      <c r="B2655" s="9" t="inlineStr">
        <is>
          <t>3/22/26 - 4/18/26</t>
        </is>
      </c>
      <c r="C2655" s="9" t="n">
        <v>1.15359999999999</v>
      </c>
      <c r="D2655" s="9" t="n">
        <v>1.0291</v>
      </c>
      <c r="E2655" s="9" t="n">
        <v>1</v>
      </c>
      <c r="F2655" s="12" t="n">
        <v>0.91</v>
      </c>
      <c r="G2655" s="9" t="n">
        <v>0.636363636363636</v>
      </c>
      <c r="H2655" s="9" t="n">
        <v>11</v>
      </c>
      <c r="I2655" s="9" t="inlineStr">
        <is>
          <t>0/1</t>
        </is>
      </c>
      <c r="J2655" s="50" t="n">
        <v>0</v>
      </c>
      <c r="K2655" t="inlineStr">
        <is>
          <t>Distinguished</t>
        </is>
      </c>
      <c r="L2655" t="inlineStr">
        <is>
          <t>Professional</t>
        </is>
      </c>
      <c r="M2655" t="inlineStr">
        <is>
          <t>Annelies de Groot</t>
        </is>
      </c>
    </row>
    <row r="2656">
      <c r="A2656" s="9" t="inlineStr">
        <is>
          <t>Zachary Doenges</t>
        </is>
      </c>
      <c r="B2656" s="9" t="inlineStr">
        <is>
          <t>3/22/26 - 4/18/26</t>
        </is>
      </c>
      <c r="C2656" s="9" t="n">
        <v>0.9714</v>
      </c>
      <c r="D2656" s="9" t="n">
        <v>1.1802</v>
      </c>
      <c r="E2656" s="9" t="n">
        <v>1</v>
      </c>
      <c r="F2656" s="12" t="n">
        <v>0.977</v>
      </c>
      <c r="G2656" s="9" t="n">
        <v>0.962962962962962</v>
      </c>
      <c r="H2656" s="9" t="n">
        <v>13</v>
      </c>
      <c r="I2656" s="9" t="inlineStr">
        <is>
          <t>3/4</t>
        </is>
      </c>
      <c r="J2656" s="50" t="n">
        <v>0.75</v>
      </c>
      <c r="K2656" t="inlineStr">
        <is>
          <t>Premium</t>
        </is>
      </c>
      <c r="L2656" t="inlineStr">
        <is>
          <t>Professional</t>
        </is>
      </c>
      <c r="M2656" t="inlineStr">
        <is>
          <t>Ian Plamondon</t>
        </is>
      </c>
    </row>
    <row r="2657">
      <c r="A2657" s="9" t="inlineStr">
        <is>
          <t>Zack Anthony</t>
        </is>
      </c>
      <c r="B2657" s="9" t="inlineStr">
        <is>
          <t>3/22/26 - 4/18/26</t>
        </is>
      </c>
      <c r="C2657" s="9" t="n">
        <v>0.9042</v>
      </c>
      <c r="D2657" s="9" t="n">
        <v>1.0148</v>
      </c>
      <c r="E2657" s="9" t="n">
        <v>0.936170212765957</v>
      </c>
      <c r="F2657" s="12" t="n">
        <v>0.984</v>
      </c>
      <c r="G2657" s="9" t="n">
        <v>0.85</v>
      </c>
      <c r="H2657" s="9" t="n">
        <v>15</v>
      </c>
      <c r="J2657" s="50" t="n"/>
      <c r="K2657" t="inlineStr">
        <is>
          <t>Distinguished</t>
        </is>
      </c>
      <c r="L2657" t="inlineStr">
        <is>
          <t>Professional</t>
        </is>
      </c>
      <c r="M2657" t="inlineStr">
        <is>
          <t>Kristin Haase-Alvey</t>
        </is>
      </c>
    </row>
    <row r="2658">
      <c r="A2658" s="9" t="inlineStr">
        <is>
          <t>Zack Robertson</t>
        </is>
      </c>
      <c r="B2658" s="9" t="inlineStr">
        <is>
          <t>3/22/26 - 4/18/26</t>
        </is>
      </c>
      <c r="C2658" s="9" t="n">
        <v>0.8042</v>
      </c>
      <c r="D2658" s="9" t="n">
        <v>0.9852</v>
      </c>
      <c r="E2658" s="9" t="n">
        <v>1</v>
      </c>
      <c r="F2658" s="12" t="n">
        <v>1</v>
      </c>
      <c r="G2658" s="9" t="n">
        <v>0.772727272727272</v>
      </c>
      <c r="H2658" s="9" t="n">
        <v>2</v>
      </c>
      <c r="I2658" s="9" t="inlineStr">
        <is>
          <t>1/2</t>
        </is>
      </c>
      <c r="J2658" s="50" t="n">
        <v>0.5</v>
      </c>
      <c r="K2658" t="inlineStr">
        <is>
          <t>Distinguished</t>
        </is>
      </c>
      <c r="L2658" t="inlineStr">
        <is>
          <t>Professional</t>
        </is>
      </c>
      <c r="M2658" t="inlineStr">
        <is>
          <t>Kristin Haase-Alvey</t>
        </is>
      </c>
    </row>
    <row r="2659">
      <c r="A2659" s="9" t="inlineStr">
        <is>
          <t>Zoe Shanley</t>
        </is>
      </c>
      <c r="B2659" s="9" t="inlineStr">
        <is>
          <t>3/22/26 - 4/18/26</t>
        </is>
      </c>
      <c r="C2659" s="9" t="n">
        <v>0.9964</v>
      </c>
      <c r="D2659" s="9" t="n">
        <v>1.0029</v>
      </c>
      <c r="E2659" s="9" t="n">
        <v>0.984251968503937</v>
      </c>
      <c r="F2659" s="12" t="n">
        <v>0.989</v>
      </c>
      <c r="G2659" s="9" t="n">
        <v>0.785714285714285</v>
      </c>
      <c r="H2659" s="9" t="n">
        <v>13</v>
      </c>
      <c r="I2659" s="9" t="inlineStr">
        <is>
          <t>4/4</t>
        </is>
      </c>
      <c r="J2659" s="50" t="n">
        <v>1</v>
      </c>
      <c r="K2659" t="inlineStr">
        <is>
          <t>Distinguished</t>
        </is>
      </c>
      <c r="L2659" t="inlineStr">
        <is>
          <t>Professional</t>
        </is>
      </c>
      <c r="M2659" t="inlineStr">
        <is>
          <t>Ian Plamondon</t>
        </is>
      </c>
    </row>
    <row r="2660">
      <c r="A2660" s="9" t="inlineStr">
        <is>
          <t>Alex Small</t>
        </is>
      </c>
      <c r="B2660" s="9" t="inlineStr">
        <is>
          <t>4/19/26 - 5/16/26</t>
        </is>
      </c>
      <c r="C2660" s="12" t="n">
        <v>1.25</v>
      </c>
      <c r="D2660" s="12" t="n">
        <v>1.1484</v>
      </c>
      <c r="E2660" s="12" t="n">
        <v>1</v>
      </c>
      <c r="F2660" s="12" t="n">
        <v>1</v>
      </c>
      <c r="G2660" s="12" t="n">
        <v>0.666666667</v>
      </c>
      <c r="I2660" s="32" t="n"/>
      <c r="K2660" t="inlineStr">
        <is>
          <t>Premium</t>
        </is>
      </c>
      <c r="L2660" t="inlineStr">
        <is>
          <t>Adjunct</t>
        </is>
      </c>
      <c r="M2660" t="inlineStr">
        <is>
          <t>Ela Cross</t>
        </is>
      </c>
    </row>
    <row r="2661">
      <c r="A2661" s="9" t="inlineStr">
        <is>
          <t>Alison Trumbull</t>
        </is>
      </c>
      <c r="B2661" s="9" t="inlineStr">
        <is>
          <t>4/19/26 - 5/16/26</t>
        </is>
      </c>
      <c r="C2661" s="12" t="n">
        <v>0.5417</v>
      </c>
      <c r="D2661" s="12" t="n">
        <v>1.082</v>
      </c>
      <c r="E2661" s="12" t="n">
        <v>0.9523809519999999</v>
      </c>
      <c r="F2661" s="12" t="n">
        <v>0.6919999999999999</v>
      </c>
      <c r="G2661" s="12" t="n">
        <v>0.428571429</v>
      </c>
      <c r="I2661" s="32" t="n"/>
      <c r="K2661" t="inlineStr">
        <is>
          <t>Premium</t>
        </is>
      </c>
      <c r="L2661" t="inlineStr">
        <is>
          <t>Adjunct</t>
        </is>
      </c>
      <c r="M2661" t="inlineStr">
        <is>
          <t>Geoff St. Marie</t>
        </is>
      </c>
    </row>
    <row r="2662">
      <c r="A2662" s="9" t="inlineStr">
        <is>
          <t>Autumn Reed</t>
        </is>
      </c>
      <c r="B2662" s="9" t="inlineStr">
        <is>
          <t>4/19/26 - 5/16/26</t>
        </is>
      </c>
      <c r="C2662" s="12" t="n">
        <v>0.95</v>
      </c>
      <c r="D2662" s="12" t="n">
        <v>1.349</v>
      </c>
      <c r="E2662" s="12" t="n">
        <v>0.9866666670000001</v>
      </c>
      <c r="F2662" s="12" t="n">
        <v>0.793</v>
      </c>
      <c r="G2662" s="12" t="n">
        <v>0.470588235</v>
      </c>
      <c r="I2662" s="32" t="n"/>
      <c r="K2662" t="inlineStr">
        <is>
          <t>Advanced</t>
        </is>
      </c>
      <c r="L2662" t="inlineStr">
        <is>
          <t>Adjunct</t>
        </is>
      </c>
      <c r="M2662" t="inlineStr">
        <is>
          <t>Geoff St. Marie</t>
        </is>
      </c>
    </row>
    <row r="2663">
      <c r="A2663" s="9" t="inlineStr">
        <is>
          <t>Blake Maly</t>
        </is>
      </c>
      <c r="B2663" s="9" t="inlineStr">
        <is>
          <t>4/19/26 - 5/16/26</t>
        </is>
      </c>
      <c r="C2663" s="12" t="n">
        <v>1.0464</v>
      </c>
      <c r="D2663" s="12" t="n">
        <v>0.9433</v>
      </c>
      <c r="E2663" s="12" t="n">
        <v>0.9930069929999999</v>
      </c>
      <c r="F2663" s="12" t="n">
        <v>0.968</v>
      </c>
      <c r="G2663" s="12" t="n">
        <v>0.896551724</v>
      </c>
      <c r="I2663" s="32" t="n"/>
      <c r="K2663" t="inlineStr">
        <is>
          <t>Distinguished</t>
        </is>
      </c>
      <c r="L2663" t="inlineStr">
        <is>
          <t>Professional</t>
        </is>
      </c>
      <c r="M2663" t="inlineStr">
        <is>
          <t>Annelies de Groot</t>
        </is>
      </c>
    </row>
    <row r="2664">
      <c r="A2664" s="9" t="inlineStr">
        <is>
          <t>Brenna Hubnik</t>
        </is>
      </c>
      <c r="B2664" s="9" t="inlineStr">
        <is>
          <t>4/19/26 - 5/16/26</t>
        </is>
      </c>
      <c r="C2664" s="12" t="n">
        <v>0.9479</v>
      </c>
      <c r="D2664" s="12" t="n">
        <v>1.1484</v>
      </c>
      <c r="E2664" s="12" t="n">
        <v>1</v>
      </c>
      <c r="F2664" s="12" t="n">
        <v>1</v>
      </c>
      <c r="G2664" s="12" t="n">
        <v>0.8666666669999999</v>
      </c>
      <c r="I2664" s="32" t="n"/>
      <c r="K2664" t="inlineStr">
        <is>
          <t>Distinguished</t>
        </is>
      </c>
      <c r="L2664" t="inlineStr">
        <is>
          <t>Adjunct</t>
        </is>
      </c>
      <c r="M2664" t="inlineStr">
        <is>
          <t>Annelies de Groot</t>
        </is>
      </c>
    </row>
    <row r="2665">
      <c r="A2665" s="9" t="inlineStr">
        <is>
          <t>Cait White</t>
        </is>
      </c>
      <c r="B2665" s="9" t="inlineStr">
        <is>
          <t>4/19/26 - 5/16/26</t>
        </is>
      </c>
      <c r="C2665" s="12" t="n">
        <v>0.6302</v>
      </c>
      <c r="D2665" s="12" t="n">
        <v>1.0078</v>
      </c>
      <c r="E2665" s="12" t="n">
        <v>1</v>
      </c>
      <c r="F2665" s="12" t="n">
        <v>1</v>
      </c>
      <c r="G2665" s="12" t="n">
        <v>0.833333333</v>
      </c>
      <c r="I2665" s="32" t="n"/>
      <c r="K2665" t="inlineStr">
        <is>
          <t>Premium</t>
        </is>
      </c>
      <c r="L2665" t="inlineStr">
        <is>
          <t>Adjunct</t>
        </is>
      </c>
      <c r="M2665" t="inlineStr">
        <is>
          <t>Ela Cross</t>
        </is>
      </c>
    </row>
    <row r="2666">
      <c r="A2666" s="9" t="inlineStr">
        <is>
          <t>Caitlin Tytler</t>
        </is>
      </c>
      <c r="B2666" s="9" t="inlineStr">
        <is>
          <t>4/19/26 - 5/16/26</t>
        </is>
      </c>
      <c r="C2666" s="12" t="n">
        <v>0.075</v>
      </c>
      <c r="D2666" s="12" t="n">
        <v>0.8125</v>
      </c>
      <c r="F2666" s="12" t="n">
        <v>1</v>
      </c>
      <c r="I2666" s="32" t="n"/>
      <c r="K2666" t="e">
        <v>#N/A</v>
      </c>
      <c r="L2666" t="e">
        <v>#N/A</v>
      </c>
      <c r="M2666" t="e">
        <v>#N/A</v>
      </c>
    </row>
    <row r="2667">
      <c r="A2667" s="9" t="inlineStr">
        <is>
          <t>Camryn To</t>
        </is>
      </c>
      <c r="B2667" s="9" t="inlineStr">
        <is>
          <t>4/19/26 - 5/16/26</t>
        </is>
      </c>
      <c r="C2667" s="12" t="n">
        <v>0.7188</v>
      </c>
      <c r="D2667" s="12" t="n">
        <v>0.6367</v>
      </c>
      <c r="E2667" s="12" t="n">
        <v>1</v>
      </c>
      <c r="F2667" s="12" t="n">
        <v>1</v>
      </c>
      <c r="G2667" s="12" t="n">
        <v>0.4</v>
      </c>
      <c r="I2667" s="32" t="n"/>
      <c r="K2667" t="inlineStr">
        <is>
          <t>Distinguished</t>
        </is>
      </c>
      <c r="L2667" t="inlineStr">
        <is>
          <t>Adjunct</t>
        </is>
      </c>
      <c r="M2667" t="inlineStr">
        <is>
          <t>Kristin Haase-Alvey</t>
        </is>
      </c>
    </row>
    <row r="2668">
      <c r="A2668" s="9" t="inlineStr">
        <is>
          <t>Cara Rabaev (McLaughlin)</t>
        </is>
      </c>
      <c r="B2668" s="9" t="inlineStr">
        <is>
          <t>4/19/26 - 5/16/26</t>
        </is>
      </c>
      <c r="C2668" s="12" t="n">
        <v>1.0542</v>
      </c>
      <c r="D2668" s="12" t="n">
        <v>1.0362</v>
      </c>
      <c r="E2668" s="12" t="n">
        <v>0.936936937</v>
      </c>
      <c r="F2668" s="12" t="n">
        <v>0.9370000000000001</v>
      </c>
      <c r="G2668" s="12" t="n">
        <v>1</v>
      </c>
      <c r="I2668" s="32" t="n"/>
      <c r="K2668" t="inlineStr">
        <is>
          <t>Distinguished</t>
        </is>
      </c>
      <c r="L2668" t="inlineStr">
        <is>
          <t>Professional</t>
        </is>
      </c>
      <c r="M2668" t="inlineStr">
        <is>
          <t>Ian Plamondon</t>
        </is>
      </c>
    </row>
    <row r="2669">
      <c r="A2669" s="9" t="inlineStr">
        <is>
          <t>Charlie Anderson</t>
        </is>
      </c>
      <c r="B2669" s="9" t="inlineStr">
        <is>
          <t>4/19/26 - 5/16/26</t>
        </is>
      </c>
      <c r="C2669" s="12" t="n">
        <v>1.1167</v>
      </c>
      <c r="D2669" s="12" t="n">
        <v>1.0197</v>
      </c>
      <c r="E2669" s="12" t="n">
        <v>1</v>
      </c>
      <c r="F2669" s="12" t="n">
        <v>0.976</v>
      </c>
      <c r="G2669" s="12" t="n">
        <v>0.518518519</v>
      </c>
      <c r="I2669" s="32" t="n"/>
      <c r="J2669" s="15" t="n"/>
      <c r="K2669" t="inlineStr">
        <is>
          <t>Distinguished</t>
        </is>
      </c>
      <c r="L2669" t="inlineStr">
        <is>
          <t>Professional</t>
        </is>
      </c>
      <c r="M2669" t="inlineStr">
        <is>
          <t>Annelies de Groot</t>
        </is>
      </c>
    </row>
    <row r="2670">
      <c r="A2670" s="9" t="inlineStr">
        <is>
          <t>Colin Cody</t>
        </is>
      </c>
      <c r="B2670" s="9" t="inlineStr">
        <is>
          <t>4/19/26 - 5/16/26</t>
        </is>
      </c>
      <c r="C2670" s="12" t="n">
        <v>0.775</v>
      </c>
      <c r="D2670" s="12" t="n">
        <v>1.1333</v>
      </c>
      <c r="E2670" s="12" t="n">
        <v>0.904255319</v>
      </c>
      <c r="F2670" s="12" t="n">
        <v>1</v>
      </c>
      <c r="G2670" s="12" t="n">
        <v>1</v>
      </c>
      <c r="I2670" s="32" t="n"/>
      <c r="K2670" t="inlineStr">
        <is>
          <t>Distinguished</t>
        </is>
      </c>
      <c r="L2670" t="inlineStr">
        <is>
          <t>Professional</t>
        </is>
      </c>
      <c r="M2670" t="inlineStr">
        <is>
          <t>Ela Cross</t>
        </is>
      </c>
    </row>
    <row r="2671">
      <c r="A2671" s="9" t="inlineStr">
        <is>
          <t>Conifer Oâ€™Sullivan</t>
        </is>
      </c>
      <c r="B2671" s="9" t="inlineStr">
        <is>
          <t>4/19/26 - 5/16/26</t>
        </is>
      </c>
      <c r="I2671" s="32" t="n"/>
      <c r="K2671" t="e">
        <v>#N/A</v>
      </c>
      <c r="L2671" t="e">
        <v>#N/A</v>
      </c>
      <c r="M2671" t="e">
        <v>#N/A</v>
      </c>
    </row>
    <row r="2672">
      <c r="A2672" s="9" t="inlineStr">
        <is>
          <t>Daniel Olson</t>
        </is>
      </c>
      <c r="B2672" s="9" t="inlineStr">
        <is>
          <t>4/19/26 - 5/16/26</t>
        </is>
      </c>
      <c r="C2672" s="12" t="n">
        <v>0.0667</v>
      </c>
      <c r="D2672" s="12" t="n">
        <v>0.6382</v>
      </c>
      <c r="E2672" s="12" t="n">
        <v>1</v>
      </c>
      <c r="F2672" s="12" t="n">
        <v>0</v>
      </c>
      <c r="G2672" s="12" t="n">
        <v>0.375</v>
      </c>
      <c r="I2672" s="32" t="n"/>
      <c r="K2672" t="inlineStr">
        <is>
          <t>Distinguished</t>
        </is>
      </c>
      <c r="L2672" t="inlineStr">
        <is>
          <t>Professional</t>
        </is>
      </c>
      <c r="M2672" t="inlineStr">
        <is>
          <t>Annelies de Groot</t>
        </is>
      </c>
    </row>
    <row r="2673">
      <c r="A2673" s="9" t="inlineStr">
        <is>
          <t>Daniel Severance</t>
        </is>
      </c>
      <c r="B2673" s="9" t="inlineStr">
        <is>
          <t>4/19/26 - 5/16/26</t>
        </is>
      </c>
      <c r="C2673" s="12" t="n">
        <v>0.9107</v>
      </c>
      <c r="D2673" s="12" t="n">
        <v>1.2166</v>
      </c>
      <c r="E2673" s="12" t="n">
        <v>1</v>
      </c>
      <c r="F2673" s="12" t="n">
        <v>0.984</v>
      </c>
      <c r="G2673" s="12" t="n">
        <v>0.823529412</v>
      </c>
      <c r="I2673" s="32" t="n"/>
      <c r="K2673" t="inlineStr">
        <is>
          <t>Premium</t>
        </is>
      </c>
      <c r="L2673" t="inlineStr">
        <is>
          <t>Professional</t>
        </is>
      </c>
      <c r="M2673" t="inlineStr">
        <is>
          <t>Annelies de Groot</t>
        </is>
      </c>
    </row>
    <row r="2674">
      <c r="A2674" s="9" t="inlineStr">
        <is>
          <t>Dehavion Knight</t>
        </is>
      </c>
      <c r="B2674" s="9" t="inlineStr">
        <is>
          <t>4/19/26 - 5/16/26</t>
        </is>
      </c>
      <c r="C2674" s="12" t="n">
        <v>0.6979</v>
      </c>
      <c r="D2674" s="12" t="n">
        <v>1.2031</v>
      </c>
      <c r="E2674" s="12" t="n">
        <v>0.933333333</v>
      </c>
      <c r="F2674" s="12" t="n">
        <v>0.571</v>
      </c>
      <c r="G2674" s="12" t="n">
        <v>0.875</v>
      </c>
      <c r="I2674" s="32" t="n"/>
      <c r="K2674" t="inlineStr">
        <is>
          <t>Distinguished</t>
        </is>
      </c>
      <c r="L2674" t="inlineStr">
        <is>
          <t>Adjunct</t>
        </is>
      </c>
      <c r="M2674" t="inlineStr">
        <is>
          <t>Ela Cross</t>
        </is>
      </c>
    </row>
    <row r="2675">
      <c r="A2675" s="9" t="inlineStr">
        <is>
          <t>Derek Fox</t>
        </is>
      </c>
      <c r="B2675" s="9" t="inlineStr">
        <is>
          <t>4/19/26 - 5/16/26</t>
        </is>
      </c>
      <c r="C2675" s="12" t="n">
        <v>0.9792</v>
      </c>
      <c r="D2675" s="12" t="n">
        <v>0.8867</v>
      </c>
      <c r="E2675" s="12" t="n">
        <v>0.976190476</v>
      </c>
      <c r="F2675" s="12" t="n">
        <v>0.741</v>
      </c>
      <c r="G2675" s="12" t="n">
        <v>0.454545455</v>
      </c>
      <c r="I2675" s="32" t="n"/>
      <c r="K2675" t="inlineStr">
        <is>
          <t>Advanced</t>
        </is>
      </c>
      <c r="L2675" t="inlineStr">
        <is>
          <t>Adjunct</t>
        </is>
      </c>
      <c r="M2675" t="inlineStr">
        <is>
          <t>Geoff St. Marie</t>
        </is>
      </c>
    </row>
    <row r="2676">
      <c r="A2676" s="9" t="inlineStr">
        <is>
          <t>Edwin West</t>
        </is>
      </c>
      <c r="B2676" s="9" t="inlineStr">
        <is>
          <t>4/19/26 - 5/16/26</t>
        </is>
      </c>
      <c r="C2676" s="12" t="n">
        <v>0.625</v>
      </c>
      <c r="D2676" s="12" t="n">
        <v>0.7695</v>
      </c>
      <c r="E2676" s="12" t="n">
        <v>1</v>
      </c>
      <c r="F2676" s="12" t="n">
        <v>1</v>
      </c>
      <c r="G2676" s="12" t="n">
        <v>1</v>
      </c>
      <c r="I2676" s="32" t="n"/>
      <c r="K2676" t="inlineStr">
        <is>
          <t>Distinguished</t>
        </is>
      </c>
      <c r="L2676" t="inlineStr">
        <is>
          <t>Adjunct</t>
        </is>
      </c>
      <c r="M2676" t="inlineStr">
        <is>
          <t>Ela Cross</t>
        </is>
      </c>
    </row>
    <row r="2677">
      <c r="A2677" s="9" t="inlineStr">
        <is>
          <t>Elliot Emadian</t>
        </is>
      </c>
      <c r="B2677" s="9" t="inlineStr">
        <is>
          <t>4/19/26 - 5/16/26</t>
        </is>
      </c>
      <c r="C2677" s="12" t="n">
        <v>0.8917</v>
      </c>
      <c r="D2677" s="12" t="n">
        <v>0.9177999999999999</v>
      </c>
      <c r="E2677" s="12" t="n">
        <v>0.966666667</v>
      </c>
      <c r="F2677" s="12" t="n">
        <v>0.765</v>
      </c>
      <c r="G2677" s="12" t="n">
        <v>0.916666667</v>
      </c>
      <c r="I2677" s="32" t="n"/>
      <c r="K2677" t="inlineStr">
        <is>
          <t>Distinguished</t>
        </is>
      </c>
      <c r="L2677" t="inlineStr">
        <is>
          <t>Professional</t>
        </is>
      </c>
      <c r="M2677" t="inlineStr">
        <is>
          <t>Annelies de Groot</t>
        </is>
      </c>
    </row>
    <row r="2678">
      <c r="A2678" s="9" t="inlineStr">
        <is>
          <t>Erica Ichikawa</t>
        </is>
      </c>
      <c r="B2678" s="9" t="inlineStr">
        <is>
          <t>4/19/26 - 5/16/26</t>
        </is>
      </c>
      <c r="C2678" s="12" t="n">
        <v>0.9583</v>
      </c>
      <c r="D2678" s="12" t="n">
        <v>1.0078</v>
      </c>
      <c r="E2678" s="12" t="n">
        <v>1</v>
      </c>
      <c r="F2678" s="12" t="n">
        <v>0.97</v>
      </c>
      <c r="G2678" s="12" t="n">
        <v>0.636363636</v>
      </c>
      <c r="I2678" s="32" t="n"/>
      <c r="K2678" t="inlineStr">
        <is>
          <t>Distinguished</t>
        </is>
      </c>
      <c r="L2678" t="inlineStr">
        <is>
          <t>Adjunct</t>
        </is>
      </c>
      <c r="M2678" t="inlineStr">
        <is>
          <t>Ela Cross</t>
        </is>
      </c>
    </row>
    <row r="2679">
      <c r="A2679" s="9" t="inlineStr">
        <is>
          <t>Hannah Duliere</t>
        </is>
      </c>
      <c r="B2679" s="9" t="inlineStr">
        <is>
          <t>4/19/26 - 5/16/26</t>
        </is>
      </c>
      <c r="C2679" s="12" t="n">
        <v>1.0875</v>
      </c>
      <c r="D2679" s="12" t="n">
        <v>1.5938</v>
      </c>
      <c r="E2679" s="12" t="n">
        <v>1</v>
      </c>
      <c r="F2679" s="12" t="n">
        <v>0.985</v>
      </c>
      <c r="G2679" s="12" t="n">
        <v>0.954545455</v>
      </c>
      <c r="I2679" s="32" t="n"/>
      <c r="K2679" t="inlineStr">
        <is>
          <t>Premium</t>
        </is>
      </c>
      <c r="L2679" t="inlineStr">
        <is>
          <t>Professional</t>
        </is>
      </c>
      <c r="M2679" t="inlineStr">
        <is>
          <t>Ela Cross</t>
        </is>
      </c>
    </row>
    <row r="2680">
      <c r="A2680" s="9" t="inlineStr">
        <is>
          <t>Hannah Ervitz</t>
        </is>
      </c>
      <c r="B2680" s="9" t="inlineStr">
        <is>
          <t>4/19/26 - 5/16/26</t>
        </is>
      </c>
      <c r="C2680" s="12" t="n">
        <v>1.225</v>
      </c>
      <c r="D2680" s="12" t="n">
        <v>1.1406</v>
      </c>
      <c r="E2680" s="12" t="n">
        <v>1</v>
      </c>
      <c r="F2680" s="12" t="n">
        <v>0.955</v>
      </c>
      <c r="G2680" s="12" t="n">
        <v>0.956521739</v>
      </c>
      <c r="I2680" s="32" t="n"/>
      <c r="K2680" t="inlineStr">
        <is>
          <t>Distinguished</t>
        </is>
      </c>
      <c r="L2680" t="inlineStr">
        <is>
          <t>Adjunct</t>
        </is>
      </c>
      <c r="M2680" t="inlineStr">
        <is>
          <t>Kristin Haase-Alvey</t>
        </is>
      </c>
    </row>
    <row r="2681">
      <c r="A2681" s="9" t="inlineStr">
        <is>
          <t>James Falconer</t>
        </is>
      </c>
      <c r="B2681" s="9" t="inlineStr">
        <is>
          <t>4/19/26 - 5/16/26</t>
        </is>
      </c>
      <c r="C2681" s="12" t="n">
        <v>0.9821</v>
      </c>
      <c r="D2681" s="12" t="n">
        <v>1.109</v>
      </c>
      <c r="E2681" s="12" t="n">
        <v>0.99270073</v>
      </c>
      <c r="F2681" s="12" t="n">
        <v>0.979</v>
      </c>
      <c r="G2681" s="12" t="n">
        <v>1</v>
      </c>
      <c r="I2681" s="32" t="n"/>
      <c r="K2681" t="inlineStr">
        <is>
          <t>Distinguished</t>
        </is>
      </c>
      <c r="L2681" t="inlineStr">
        <is>
          <t>Professional</t>
        </is>
      </c>
      <c r="M2681" t="inlineStr">
        <is>
          <t>Ian Plamondon</t>
        </is>
      </c>
    </row>
    <row r="2682">
      <c r="A2682" s="9" t="inlineStr">
        <is>
          <t>Jason Anderson</t>
        </is>
      </c>
      <c r="B2682" s="9" t="inlineStr">
        <is>
          <t>4/19/26 - 5/16/26</t>
        </is>
      </c>
      <c r="C2682" s="12" t="n">
        <v>0.0222</v>
      </c>
      <c r="D2682" s="12" t="n">
        <v>0.5899</v>
      </c>
      <c r="E2682" s="12" t="n">
        <v>1</v>
      </c>
      <c r="F2682" s="12" t="n">
        <v>0</v>
      </c>
      <c r="I2682" s="32" t="n"/>
      <c r="K2682" t="e">
        <v>#N/A</v>
      </c>
      <c r="L2682" t="e">
        <v>#N/A</v>
      </c>
      <c r="M2682" t="e">
        <v>#N/A</v>
      </c>
    </row>
    <row r="2683">
      <c r="A2683" s="9" t="inlineStr">
        <is>
          <t>Jenn Thompson</t>
        </is>
      </c>
      <c r="B2683" s="9" t="inlineStr">
        <is>
          <t>4/19/26 - 5/16/26</t>
        </is>
      </c>
      <c r="I2683" s="32" t="n"/>
      <c r="J2683" s="15" t="n"/>
      <c r="K2683" t="e">
        <v>#N/A</v>
      </c>
      <c r="L2683" t="e">
        <v>#N/A</v>
      </c>
      <c r="M2683" t="e">
        <v>#N/A</v>
      </c>
    </row>
    <row r="2684">
      <c r="A2684" s="9" t="inlineStr">
        <is>
          <t>Jimmy Works</t>
        </is>
      </c>
      <c r="B2684" s="9" t="inlineStr">
        <is>
          <t>4/19/26 - 5/16/26</t>
        </is>
      </c>
      <c r="C2684" s="12" t="n">
        <v>0.8125</v>
      </c>
      <c r="D2684" s="12" t="n">
        <v>1.2396</v>
      </c>
      <c r="E2684" s="12" t="n">
        <v>0.918918919</v>
      </c>
      <c r="F2684" s="12" t="n">
        <v>1</v>
      </c>
      <c r="G2684" s="12" t="n">
        <v>1</v>
      </c>
      <c r="I2684" s="32" t="n"/>
      <c r="J2684" s="15" t="n"/>
      <c r="K2684" t="inlineStr">
        <is>
          <t>Distinguished</t>
        </is>
      </c>
      <c r="L2684" t="inlineStr">
        <is>
          <t>Adjunct</t>
        </is>
      </c>
      <c r="M2684" t="inlineStr">
        <is>
          <t>Kristin Haase-Alvey</t>
        </is>
      </c>
    </row>
    <row r="2685">
      <c r="A2685" s="9" t="inlineStr">
        <is>
          <t>John Corbett</t>
        </is>
      </c>
      <c r="B2685" s="9" t="inlineStr">
        <is>
          <t>4/19/26 - 5/16/26</t>
        </is>
      </c>
      <c r="C2685" s="12" t="n">
        <v>0.8938</v>
      </c>
      <c r="D2685" s="12" t="n">
        <v>1.0651</v>
      </c>
      <c r="E2685" s="12" t="n">
        <v>1</v>
      </c>
      <c r="F2685" s="12" t="n">
        <v>0.981</v>
      </c>
      <c r="G2685" s="12" t="n">
        <v>0.6315789469999999</v>
      </c>
      <c r="I2685" s="32" t="n"/>
      <c r="K2685" t="inlineStr">
        <is>
          <t>Distinguished</t>
        </is>
      </c>
      <c r="L2685" t="inlineStr">
        <is>
          <t>Adjunct</t>
        </is>
      </c>
      <c r="M2685" t="inlineStr">
        <is>
          <t>Geoff St. Marie</t>
        </is>
      </c>
    </row>
    <row r="2686">
      <c r="A2686" s="9" t="inlineStr">
        <is>
          <t>Jonathan Grams</t>
        </is>
      </c>
      <c r="B2686" s="9" t="inlineStr">
        <is>
          <t>4/19/26 - 5/16/26</t>
        </is>
      </c>
      <c r="C2686" s="12" t="n">
        <v>0.6458</v>
      </c>
      <c r="D2686" s="12" t="n">
        <v>1.0625</v>
      </c>
      <c r="E2686" s="12" t="n">
        <v>0.966666667</v>
      </c>
      <c r="F2686" s="12" t="n">
        <v>1</v>
      </c>
      <c r="G2686" s="12" t="n">
        <v>1</v>
      </c>
      <c r="I2686" s="32" t="n"/>
      <c r="K2686" t="inlineStr">
        <is>
          <t>Premium</t>
        </is>
      </c>
      <c r="L2686" t="inlineStr">
        <is>
          <t>Adjunct</t>
        </is>
      </c>
      <c r="M2686" t="inlineStr">
        <is>
          <t>Kristin Haase-Alvey</t>
        </is>
      </c>
    </row>
    <row r="2687">
      <c r="A2687" s="9" t="inlineStr">
        <is>
          <t>Joyraj D'souza</t>
        </is>
      </c>
      <c r="B2687" s="9" t="inlineStr">
        <is>
          <t>4/19/26 - 5/16/26</t>
        </is>
      </c>
      <c r="C2687" s="12" t="n">
        <v>1.5885</v>
      </c>
      <c r="D2687" s="12" t="n">
        <v>1.4102</v>
      </c>
      <c r="E2687" s="12" t="n">
        <v>0.985294118</v>
      </c>
      <c r="F2687" s="12" t="n">
        <v>1</v>
      </c>
      <c r="G2687" s="12" t="n">
        <v>1</v>
      </c>
      <c r="I2687" s="32" t="n"/>
      <c r="K2687" t="inlineStr">
        <is>
          <t>Distinguished</t>
        </is>
      </c>
      <c r="L2687" t="inlineStr">
        <is>
          <t>Adjunct</t>
        </is>
      </c>
      <c r="M2687" t="inlineStr">
        <is>
          <t>Kristin Haase-Alvey</t>
        </is>
      </c>
    </row>
    <row r="2688">
      <c r="A2688" s="9" t="inlineStr">
        <is>
          <t>Julie Byrom</t>
        </is>
      </c>
      <c r="B2688" s="9" t="inlineStr">
        <is>
          <t>4/19/26 - 5/16/26</t>
        </is>
      </c>
      <c r="C2688" s="12" t="n">
        <v>1.0083</v>
      </c>
      <c r="D2688" s="12" t="n">
        <v>1.0592</v>
      </c>
      <c r="E2688" s="12" t="n">
        <v>1</v>
      </c>
      <c r="F2688" s="12" t="n">
        <v>1</v>
      </c>
      <c r="G2688" s="12" t="n">
        <v>0.958333333</v>
      </c>
      <c r="I2688" s="32" t="n"/>
      <c r="K2688" t="inlineStr">
        <is>
          <t>Premium</t>
        </is>
      </c>
      <c r="L2688" t="inlineStr">
        <is>
          <t>Professional</t>
        </is>
      </c>
      <c r="M2688" t="inlineStr">
        <is>
          <t>Ela Cross</t>
        </is>
      </c>
    </row>
    <row r="2689">
      <c r="A2689" s="9" t="inlineStr">
        <is>
          <t>Kiersten Guetlein</t>
        </is>
      </c>
      <c r="B2689" s="9" t="inlineStr">
        <is>
          <t>4/19/26 - 5/16/26</t>
        </is>
      </c>
      <c r="C2689" s="12" t="n">
        <v>0.45</v>
      </c>
      <c r="D2689" s="12" t="n">
        <v>0.9083</v>
      </c>
      <c r="E2689" s="12" t="n">
        <v>1</v>
      </c>
      <c r="F2689" s="12" t="n">
        <v>0.9429999999999999</v>
      </c>
      <c r="G2689" s="12" t="n">
        <v>1</v>
      </c>
      <c r="I2689" s="32" t="n"/>
      <c r="J2689" s="15" t="n"/>
      <c r="K2689" t="inlineStr">
        <is>
          <t>Premium</t>
        </is>
      </c>
      <c r="L2689" t="inlineStr">
        <is>
          <t>Professional</t>
        </is>
      </c>
      <c r="M2689" t="inlineStr">
        <is>
          <t>Ela Cross</t>
        </is>
      </c>
    </row>
    <row r="2690">
      <c r="A2690" s="9" t="inlineStr">
        <is>
          <t>Krishna Rastogi</t>
        </is>
      </c>
      <c r="B2690" s="9" t="inlineStr">
        <is>
          <t>4/19/26 - 5/16/26</t>
        </is>
      </c>
      <c r="C2690" s="12" t="n">
        <v>1.1042</v>
      </c>
      <c r="D2690" s="12" t="n">
        <v>1.1484</v>
      </c>
      <c r="E2690" s="12" t="n">
        <v>0.934782609</v>
      </c>
      <c r="F2690" s="12" t="n">
        <v>1</v>
      </c>
      <c r="G2690" s="12" t="n">
        <v>0.333333333</v>
      </c>
      <c r="I2690" s="32" t="n"/>
      <c r="K2690" t="inlineStr">
        <is>
          <t>Advanced</t>
        </is>
      </c>
      <c r="L2690" t="inlineStr">
        <is>
          <t>Adjunct</t>
        </is>
      </c>
      <c r="M2690" t="inlineStr">
        <is>
          <t>Ian Plamondon</t>
        </is>
      </c>
    </row>
    <row r="2691">
      <c r="A2691" s="9" t="inlineStr">
        <is>
          <t>Lana Kargetta</t>
        </is>
      </c>
      <c r="B2691" s="9" t="inlineStr">
        <is>
          <t>4/19/26 - 5/16/26</t>
        </is>
      </c>
      <c r="C2691" s="12" t="n">
        <v>0.9875</v>
      </c>
      <c r="D2691" s="12" t="n">
        <v>0.9792</v>
      </c>
      <c r="E2691" s="12" t="n">
        <v>0.974025974</v>
      </c>
      <c r="F2691" s="12" t="n">
        <v>0.962</v>
      </c>
      <c r="G2691" s="12" t="n">
        <v>1</v>
      </c>
      <c r="I2691" s="32" t="n"/>
      <c r="K2691" t="inlineStr">
        <is>
          <t>Advanced</t>
        </is>
      </c>
      <c r="L2691" t="inlineStr">
        <is>
          <t>Adjunct</t>
        </is>
      </c>
      <c r="M2691" t="inlineStr">
        <is>
          <t>Geoff St. Marie</t>
        </is>
      </c>
    </row>
    <row r="2692">
      <c r="A2692" s="9" t="inlineStr">
        <is>
          <t>Liz Garcia</t>
        </is>
      </c>
      <c r="B2692" s="9" t="inlineStr">
        <is>
          <t>4/19/26 - 5/16/26</t>
        </is>
      </c>
      <c r="C2692" s="12" t="n">
        <v>0.9083</v>
      </c>
      <c r="D2692" s="12" t="n">
        <v>1.1743</v>
      </c>
      <c r="E2692" s="12" t="n">
        <v>0.9902912619999999</v>
      </c>
      <c r="F2692" s="12" t="n">
        <v>0.986</v>
      </c>
      <c r="G2692" s="12" t="n">
        <v>0.916666667</v>
      </c>
      <c r="I2692" s="32" t="n"/>
      <c r="K2692" t="inlineStr">
        <is>
          <t>Distinguished</t>
        </is>
      </c>
      <c r="L2692" t="inlineStr">
        <is>
          <t>Professional</t>
        </is>
      </c>
      <c r="M2692" t="inlineStr">
        <is>
          <t>Ian Plamondon</t>
        </is>
      </c>
    </row>
    <row r="2693">
      <c r="A2693" s="9" t="inlineStr">
        <is>
          <t>Loren Lijewski</t>
        </is>
      </c>
      <c r="B2693" s="9" t="inlineStr">
        <is>
          <t>4/19/26 - 5/16/26</t>
        </is>
      </c>
      <c r="C2693" s="12" t="n">
        <v>0.8542</v>
      </c>
      <c r="D2693" s="12" t="n">
        <v>1.125</v>
      </c>
      <c r="E2693" s="12" t="n">
        <v>1</v>
      </c>
      <c r="F2693" s="12" t="n">
        <v>0.968</v>
      </c>
      <c r="G2693" s="12" t="n">
        <v>1</v>
      </c>
      <c r="I2693" s="32" t="n"/>
      <c r="K2693" t="inlineStr">
        <is>
          <t>Advanced</t>
        </is>
      </c>
      <c r="L2693" t="inlineStr">
        <is>
          <t>Adjunct</t>
        </is>
      </c>
      <c r="M2693" t="inlineStr">
        <is>
          <t>Annelies de Groot</t>
        </is>
      </c>
    </row>
    <row r="2694">
      <c r="A2694" s="9" t="inlineStr">
        <is>
          <t>Madia Banda</t>
        </is>
      </c>
      <c r="B2694" s="9" t="inlineStr">
        <is>
          <t>4/19/26 - 5/16/26</t>
        </is>
      </c>
      <c r="C2694" s="12" t="n">
        <v>0.8714</v>
      </c>
      <c r="D2694" s="12" t="n">
        <v>1.0131</v>
      </c>
      <c r="E2694" s="12" t="n">
        <v>1</v>
      </c>
      <c r="F2694" s="12" t="n">
        <v>0.928</v>
      </c>
      <c r="G2694" s="12" t="n">
        <v>1</v>
      </c>
      <c r="I2694" s="32" t="n"/>
      <c r="K2694" t="inlineStr">
        <is>
          <t>Advanced</t>
        </is>
      </c>
      <c r="L2694" t="inlineStr">
        <is>
          <t>Professional</t>
        </is>
      </c>
      <c r="M2694" t="inlineStr">
        <is>
          <t>Geoff St. Marie</t>
        </is>
      </c>
    </row>
    <row r="2695">
      <c r="A2695" s="9" t="inlineStr">
        <is>
          <t>Maia Gerlinger</t>
        </is>
      </c>
      <c r="B2695" s="9" t="inlineStr">
        <is>
          <t>4/19/26 - 5/16/26</t>
        </is>
      </c>
      <c r="C2695" s="12" t="n">
        <v>1.0104</v>
      </c>
      <c r="D2695" s="12" t="n">
        <v>1.5547</v>
      </c>
      <c r="E2695" s="12" t="n">
        <v>0.971428571</v>
      </c>
      <c r="F2695" s="12" t="n">
        <v>1</v>
      </c>
      <c r="G2695" s="12" t="n">
        <v>1</v>
      </c>
      <c r="I2695" s="32" t="n"/>
      <c r="K2695" t="inlineStr">
        <is>
          <t>Distinguished</t>
        </is>
      </c>
      <c r="L2695" t="inlineStr">
        <is>
          <t>Adjunct</t>
        </is>
      </c>
      <c r="M2695" t="inlineStr">
        <is>
          <t>Annelies de Groot</t>
        </is>
      </c>
    </row>
    <row r="2696">
      <c r="A2696" s="9" t="inlineStr">
        <is>
          <t>Mary Felix</t>
        </is>
      </c>
      <c r="B2696" s="9" t="inlineStr">
        <is>
          <t>4/19/26 - 5/16/26</t>
        </is>
      </c>
      <c r="C2696" s="12" t="n">
        <v>0.9208</v>
      </c>
      <c r="D2696" s="12" t="n">
        <v>1.0691</v>
      </c>
      <c r="E2696" s="12" t="n">
        <v>0.99</v>
      </c>
      <c r="F2696" s="12" t="n">
        <v>0.957</v>
      </c>
      <c r="G2696" s="12" t="n">
        <v>0.666666667</v>
      </c>
      <c r="I2696" s="32" t="n"/>
      <c r="K2696" t="inlineStr">
        <is>
          <t>Premium</t>
        </is>
      </c>
      <c r="L2696" t="inlineStr">
        <is>
          <t>Professional</t>
        </is>
      </c>
      <c r="M2696" t="inlineStr">
        <is>
          <t>Ian Plamondon</t>
        </is>
      </c>
    </row>
    <row r="2697">
      <c r="A2697" s="9" t="inlineStr">
        <is>
          <t>Mary Logan</t>
        </is>
      </c>
      <c r="B2697" s="9" t="inlineStr">
        <is>
          <t>4/19/26 - 5/16/26</t>
        </is>
      </c>
      <c r="C2697" s="12" t="n">
        <v>0.9333</v>
      </c>
      <c r="D2697" s="12" t="n">
        <v>1.1151</v>
      </c>
      <c r="E2697" s="12" t="n">
        <v>1</v>
      </c>
      <c r="F2697" s="12" t="n">
        <v>0.988</v>
      </c>
      <c r="G2697" s="12" t="n">
        <v>1</v>
      </c>
      <c r="I2697" s="32" t="n"/>
      <c r="K2697" t="inlineStr">
        <is>
          <t>Distinguished</t>
        </is>
      </c>
      <c r="L2697" t="inlineStr">
        <is>
          <t>Professional</t>
        </is>
      </c>
      <c r="M2697" t="inlineStr">
        <is>
          <t>Ela Cross</t>
        </is>
      </c>
    </row>
    <row r="2698">
      <c r="A2698" s="9" t="inlineStr">
        <is>
          <t>Matthew Urso</t>
        </is>
      </c>
      <c r="B2698" s="9" t="inlineStr">
        <is>
          <t>4/19/26 - 5/16/26</t>
        </is>
      </c>
      <c r="C2698" s="12" t="n">
        <v>0.7875</v>
      </c>
      <c r="D2698" s="12" t="n">
        <v>1</v>
      </c>
      <c r="E2698" s="12" t="n">
        <v>1</v>
      </c>
      <c r="F2698" s="12" t="n">
        <v>0.951</v>
      </c>
      <c r="G2698" s="12" t="n">
        <v>0.904761905</v>
      </c>
      <c r="I2698" s="32" t="n"/>
      <c r="K2698" t="inlineStr">
        <is>
          <t>Distinguished</t>
        </is>
      </c>
      <c r="L2698" t="inlineStr">
        <is>
          <t>Professional</t>
        </is>
      </c>
      <c r="M2698" t="inlineStr">
        <is>
          <t>Ian Plamondon</t>
        </is>
      </c>
    </row>
    <row r="2699">
      <c r="A2699" s="9" t="inlineStr">
        <is>
          <t>Matty Burge</t>
        </is>
      </c>
      <c r="B2699" s="9" t="inlineStr">
        <is>
          <t>4/19/26 - 5/16/26</t>
        </is>
      </c>
      <c r="C2699" s="12" t="n">
        <v>1.0313</v>
      </c>
      <c r="D2699" s="12" t="n">
        <v>1.293</v>
      </c>
      <c r="E2699" s="12" t="n">
        <v>1</v>
      </c>
      <c r="F2699" s="12" t="n">
        <v>1</v>
      </c>
      <c r="G2699" s="12" t="n">
        <v>0.25</v>
      </c>
      <c r="I2699" s="32" t="n"/>
      <c r="K2699" t="inlineStr">
        <is>
          <t>Distinguished</t>
        </is>
      </c>
      <c r="L2699" t="inlineStr">
        <is>
          <t>Adjunct</t>
        </is>
      </c>
      <c r="M2699" t="inlineStr">
        <is>
          <t>Annelies de Groot</t>
        </is>
      </c>
    </row>
    <row r="2700">
      <c r="A2700" s="9" t="inlineStr">
        <is>
          <t>Megan Hoelting</t>
        </is>
      </c>
      <c r="B2700" s="9" t="inlineStr">
        <is>
          <t>4/19/26 - 5/16/26</t>
        </is>
      </c>
      <c r="C2700" s="12" t="n">
        <v>1.0417</v>
      </c>
      <c r="D2700" s="12" t="n">
        <v>1.1055</v>
      </c>
      <c r="E2700" s="12" t="n">
        <v>0.90625</v>
      </c>
      <c r="F2700" s="12" t="n">
        <v>1</v>
      </c>
      <c r="G2700" s="12" t="n">
        <v>0.666666667</v>
      </c>
      <c r="I2700" s="32" t="n"/>
      <c r="K2700" t="inlineStr">
        <is>
          <t>Distinguished</t>
        </is>
      </c>
      <c r="L2700" t="inlineStr">
        <is>
          <t>Adjunct</t>
        </is>
      </c>
      <c r="M2700" t="inlineStr">
        <is>
          <t>Annelies de Groot</t>
        </is>
      </c>
    </row>
    <row r="2701">
      <c r="A2701" s="9" t="inlineStr">
        <is>
          <t>Melanie Leong</t>
        </is>
      </c>
      <c r="B2701" s="9" t="inlineStr">
        <is>
          <t>4/19/26 - 5/16/26</t>
        </is>
      </c>
      <c r="C2701" s="12" t="n">
        <v>1.0833</v>
      </c>
      <c r="D2701" s="12" t="n">
        <v>2.7656</v>
      </c>
      <c r="E2701" s="12" t="n">
        <v>1</v>
      </c>
      <c r="F2701" s="12" t="n">
        <v>1</v>
      </c>
      <c r="G2701" s="12" t="n">
        <v>0.857142857</v>
      </c>
      <c r="I2701" s="32" t="n"/>
      <c r="K2701" t="inlineStr">
        <is>
          <t>Premium</t>
        </is>
      </c>
      <c r="L2701" t="inlineStr">
        <is>
          <t>Adjunct</t>
        </is>
      </c>
      <c r="M2701" t="inlineStr">
        <is>
          <t>Kristin Haase-Alvey</t>
        </is>
      </c>
    </row>
    <row r="2702">
      <c r="A2702" s="9" t="inlineStr">
        <is>
          <t>Michelle Testerman</t>
        </is>
      </c>
      <c r="B2702" s="9" t="inlineStr">
        <is>
          <t>4/19/26 - 5/16/26</t>
        </is>
      </c>
      <c r="C2702" s="12" t="n">
        <v>1.125</v>
      </c>
      <c r="D2702" s="12" t="n">
        <v>1.043</v>
      </c>
      <c r="E2702" s="12" t="n">
        <v>0.982758621</v>
      </c>
      <c r="F2702" s="12" t="n">
        <v>0.977</v>
      </c>
      <c r="G2702" s="12" t="n">
        <v>0.933333333</v>
      </c>
      <c r="I2702" s="32" t="n"/>
      <c r="K2702" t="inlineStr">
        <is>
          <t>Distinguished</t>
        </is>
      </c>
      <c r="L2702" t="inlineStr">
        <is>
          <t>Adjunct</t>
        </is>
      </c>
      <c r="M2702" t="inlineStr">
        <is>
          <t>Ela Cross</t>
        </is>
      </c>
    </row>
    <row r="2703">
      <c r="A2703" s="9" t="inlineStr">
        <is>
          <t>Miki Cornwell</t>
        </is>
      </c>
      <c r="B2703" s="9" t="inlineStr">
        <is>
          <t>4/19/26 - 5/16/26</t>
        </is>
      </c>
      <c r="C2703" s="12" t="n">
        <v>0.8333</v>
      </c>
      <c r="D2703" s="12" t="n">
        <v>0.9805</v>
      </c>
      <c r="E2703" s="12" t="n">
        <v>0.942857143</v>
      </c>
      <c r="F2703" s="12" t="n">
        <v>0.906</v>
      </c>
      <c r="G2703" s="12" t="n">
        <v>0.785714286</v>
      </c>
      <c r="I2703" s="32" t="n"/>
      <c r="K2703" t="inlineStr">
        <is>
          <t>Distinguished</t>
        </is>
      </c>
      <c r="L2703" t="inlineStr">
        <is>
          <t>Adjunct</t>
        </is>
      </c>
      <c r="M2703" t="inlineStr">
        <is>
          <t>Ela Cross</t>
        </is>
      </c>
    </row>
    <row r="2704">
      <c r="A2704" s="9" t="inlineStr">
        <is>
          <t>Nayely Rolon-Gomez</t>
        </is>
      </c>
      <c r="B2704" s="9" t="inlineStr">
        <is>
          <t>4/19/26 - 5/16/26</t>
        </is>
      </c>
      <c r="C2704" s="12" t="n">
        <v>1.0625</v>
      </c>
      <c r="D2704" s="12" t="n">
        <v>1.0197</v>
      </c>
      <c r="E2704" s="12" t="n">
        <v>1</v>
      </c>
      <c r="F2704" s="12" t="n">
        <v>0.977</v>
      </c>
      <c r="G2704" s="12" t="n">
        <v>0.730769231</v>
      </c>
      <c r="I2704" s="32" t="n"/>
      <c r="K2704" t="inlineStr">
        <is>
          <t>Distinguished</t>
        </is>
      </c>
      <c r="L2704" t="inlineStr">
        <is>
          <t>Professional</t>
        </is>
      </c>
      <c r="M2704" t="inlineStr">
        <is>
          <t>Ela Cross</t>
        </is>
      </c>
    </row>
    <row r="2705">
      <c r="A2705" s="9" t="inlineStr">
        <is>
          <t>Nicholas Ulfik</t>
        </is>
      </c>
      <c r="B2705" s="9" t="inlineStr">
        <is>
          <t>4/19/26 - 5/16/26</t>
        </is>
      </c>
      <c r="C2705" s="12" t="n">
        <v>1.1625</v>
      </c>
      <c r="D2705" s="12" t="n">
        <v>1.1875</v>
      </c>
      <c r="E2705" s="12" t="n">
        <v>1</v>
      </c>
      <c r="F2705" s="12" t="n">
        <v>1</v>
      </c>
      <c r="G2705" s="12" t="n">
        <v>0.904761905</v>
      </c>
      <c r="I2705" s="32" t="n"/>
      <c r="K2705" t="inlineStr">
        <is>
          <t>Distinguished</t>
        </is>
      </c>
      <c r="L2705" t="inlineStr">
        <is>
          <t>Professional</t>
        </is>
      </c>
      <c r="M2705" t="inlineStr">
        <is>
          <t>Kristin Haase-Alvey</t>
        </is>
      </c>
    </row>
    <row r="2706">
      <c r="A2706" s="9" t="inlineStr">
        <is>
          <t>Q. Monét Travis</t>
        </is>
      </c>
      <c r="B2706" s="9" t="inlineStr">
        <is>
          <t>4/19/26 - 5/16/26</t>
        </is>
      </c>
      <c r="C2706" s="12" t="n">
        <v>1.0125</v>
      </c>
      <c r="D2706" s="12" t="n">
        <v>1.0729</v>
      </c>
      <c r="E2706" s="12" t="n">
        <v>0.948051948</v>
      </c>
      <c r="F2706" s="12" t="n">
        <v>0.75</v>
      </c>
      <c r="G2706" s="12" t="n">
        <v>0.782608696</v>
      </c>
      <c r="I2706" s="32" t="n"/>
      <c r="K2706" t="inlineStr">
        <is>
          <t>Distinguished</t>
        </is>
      </c>
      <c r="L2706" t="inlineStr">
        <is>
          <t>Adjunct</t>
        </is>
      </c>
      <c r="M2706" t="inlineStr">
        <is>
          <t>Ela Cross</t>
        </is>
      </c>
    </row>
    <row r="2707">
      <c r="A2707" s="9" t="inlineStr">
        <is>
          <t>Rachel Daku</t>
        </is>
      </c>
      <c r="B2707" s="9" t="inlineStr">
        <is>
          <t>4/19/26 - 5/16/26</t>
        </is>
      </c>
      <c r="C2707" s="12" t="n">
        <v>1.0417</v>
      </c>
      <c r="D2707" s="12" t="n">
        <v>1.0469</v>
      </c>
      <c r="E2707" s="12" t="n">
        <v>1</v>
      </c>
      <c r="F2707" s="12" t="n">
        <v>0.844</v>
      </c>
      <c r="G2707" s="12" t="n">
        <v>0.333333333</v>
      </c>
      <c r="I2707" s="32" t="n"/>
      <c r="K2707" t="inlineStr">
        <is>
          <t>Distinguished</t>
        </is>
      </c>
      <c r="L2707" t="inlineStr">
        <is>
          <t>Adjunct</t>
        </is>
      </c>
      <c r="M2707" t="inlineStr">
        <is>
          <t>Annelies de Groot</t>
        </is>
      </c>
    </row>
    <row r="2708">
      <c r="A2708" s="9" t="inlineStr">
        <is>
          <t>Raymond Elliot</t>
        </is>
      </c>
      <c r="B2708" s="9" t="inlineStr">
        <is>
          <t>4/19/26 - 5/16/26</t>
        </is>
      </c>
      <c r="C2708" s="12" t="n">
        <v>1.05</v>
      </c>
      <c r="D2708" s="12" t="n">
        <v>1</v>
      </c>
      <c r="E2708" s="12" t="n">
        <v>1</v>
      </c>
      <c r="F2708" s="12" t="n">
        <v>1</v>
      </c>
      <c r="G2708" s="12" t="n">
        <v>0.533333333</v>
      </c>
      <c r="I2708" s="32" t="n"/>
      <c r="K2708" t="inlineStr">
        <is>
          <t>Distinguished</t>
        </is>
      </c>
      <c r="L2708" t="inlineStr">
        <is>
          <t>Adjunct</t>
        </is>
      </c>
      <c r="M2708" t="inlineStr">
        <is>
          <t>Kristin Haase-Alvey</t>
        </is>
      </c>
    </row>
    <row r="2709">
      <c r="A2709" s="9" t="inlineStr">
        <is>
          <t>Raymond Serrano</t>
        </is>
      </c>
      <c r="B2709" s="9" t="inlineStr">
        <is>
          <t>4/19/26 - 5/16/26</t>
        </is>
      </c>
      <c r="C2709" s="12" t="n">
        <v>0.6208</v>
      </c>
      <c r="D2709" s="12" t="n">
        <v>0.8635</v>
      </c>
      <c r="E2709" s="12" t="n">
        <v>0.945945946</v>
      </c>
      <c r="F2709" s="12" t="n">
        <v>1</v>
      </c>
      <c r="G2709" s="12" t="n">
        <v>0.941176471</v>
      </c>
      <c r="I2709" s="32" t="n"/>
      <c r="K2709" t="inlineStr">
        <is>
          <t>Distinguished</t>
        </is>
      </c>
      <c r="L2709" t="inlineStr">
        <is>
          <t>Professional</t>
        </is>
      </c>
      <c r="M2709" t="inlineStr">
        <is>
          <t>Kristin Haase-Alvey</t>
        </is>
      </c>
    </row>
    <row r="2710">
      <c r="A2710" s="9" t="inlineStr">
        <is>
          <t>Saahithi Punnam</t>
        </is>
      </c>
      <c r="B2710" s="9" t="inlineStr">
        <is>
          <t>4/19/26 - 5/16/26</t>
        </is>
      </c>
      <c r="C2710" s="12" t="n">
        <v>0.5208</v>
      </c>
      <c r="D2710" s="12" t="n">
        <v>1.2109</v>
      </c>
      <c r="E2710" s="12" t="n">
        <v>0.9</v>
      </c>
      <c r="F2710" s="12" t="n">
        <v>1</v>
      </c>
      <c r="G2710" s="12" t="n">
        <v>0.333333333</v>
      </c>
      <c r="I2710" s="32" t="n"/>
      <c r="K2710" t="inlineStr">
        <is>
          <t>Advanced</t>
        </is>
      </c>
      <c r="L2710" t="inlineStr">
        <is>
          <t>Adjunct</t>
        </is>
      </c>
      <c r="M2710" t="inlineStr">
        <is>
          <t>Annelies de Groot</t>
        </is>
      </c>
    </row>
    <row r="2711">
      <c r="A2711" s="9" t="inlineStr">
        <is>
          <t>Scott Boyd</t>
        </is>
      </c>
      <c r="B2711" s="9" t="inlineStr">
        <is>
          <t>4/19/26 - 5/16/26</t>
        </is>
      </c>
      <c r="C2711" s="12" t="n">
        <v>0.5</v>
      </c>
      <c r="D2711" s="12" t="n">
        <v>1.2852</v>
      </c>
      <c r="E2711" s="12" t="n">
        <v>1</v>
      </c>
      <c r="F2711" s="12" t="n">
        <v>1</v>
      </c>
      <c r="G2711" s="12" t="n">
        <v>1</v>
      </c>
      <c r="I2711" s="32" t="n"/>
      <c r="K2711" t="inlineStr">
        <is>
          <t>Premium</t>
        </is>
      </c>
      <c r="L2711" t="inlineStr">
        <is>
          <t>Adjunct</t>
        </is>
      </c>
      <c r="M2711" t="inlineStr">
        <is>
          <t>Geoff St. Marie</t>
        </is>
      </c>
    </row>
    <row r="2712">
      <c r="A2712" s="9" t="inlineStr">
        <is>
          <t>Sean Ulfik</t>
        </is>
      </c>
      <c r="B2712" s="9" t="inlineStr">
        <is>
          <t>4/19/26 - 5/16/26</t>
        </is>
      </c>
      <c r="C2712" s="12" t="n">
        <v>0.8643</v>
      </c>
      <c r="D2712" s="12" t="n">
        <v>0.9985000000000001</v>
      </c>
      <c r="E2712" s="12" t="n">
        <v>1</v>
      </c>
      <c r="F2712" s="12" t="n">
        <v>0.923</v>
      </c>
      <c r="G2712" s="12" t="n">
        <v>0.523809524</v>
      </c>
      <c r="I2712" s="32" t="n"/>
      <c r="K2712" t="inlineStr">
        <is>
          <t>Premium</t>
        </is>
      </c>
      <c r="L2712" t="inlineStr">
        <is>
          <t>Professional</t>
        </is>
      </c>
      <c r="M2712" t="inlineStr">
        <is>
          <t>Annelies de Groot</t>
        </is>
      </c>
    </row>
    <row r="2713">
      <c r="A2713" s="9" t="inlineStr">
        <is>
          <t>Sharon Vincuilla</t>
        </is>
      </c>
      <c r="B2713" s="9" t="inlineStr">
        <is>
          <t>4/19/26 - 5/16/26</t>
        </is>
      </c>
      <c r="C2713" s="12" t="n">
        <v>1.2708</v>
      </c>
      <c r="D2713" s="12" t="n">
        <v>1.4805</v>
      </c>
      <c r="E2713" s="12" t="n">
        <v>1</v>
      </c>
      <c r="F2713" s="12" t="n">
        <v>1</v>
      </c>
      <c r="G2713" s="12" t="n">
        <v>1</v>
      </c>
      <c r="I2713" s="32" t="n"/>
      <c r="K2713" t="inlineStr">
        <is>
          <t>Distinguished</t>
        </is>
      </c>
      <c r="L2713" t="inlineStr">
        <is>
          <t>Adjunct</t>
        </is>
      </c>
      <c r="M2713" t="inlineStr">
        <is>
          <t>Annelies de Groot</t>
        </is>
      </c>
    </row>
    <row r="2714">
      <c r="A2714" s="9" t="inlineStr">
        <is>
          <t>Shawn Kane</t>
        </is>
      </c>
      <c r="B2714" s="9" t="inlineStr">
        <is>
          <t>4/19/26 - 5/16/26</t>
        </is>
      </c>
      <c r="C2714" s="12" t="n">
        <v>0.7188</v>
      </c>
      <c r="D2714" s="12" t="n">
        <v>1.0547</v>
      </c>
      <c r="E2714" s="12" t="n">
        <v>1</v>
      </c>
      <c r="F2714" s="12" t="n">
        <v>1</v>
      </c>
      <c r="G2714" s="12" t="n">
        <v>0.666666667</v>
      </c>
      <c r="I2714" s="32" t="n"/>
      <c r="K2714" t="inlineStr">
        <is>
          <t>Premium</t>
        </is>
      </c>
      <c r="L2714" t="inlineStr">
        <is>
          <t>Adjunct</t>
        </is>
      </c>
      <c r="M2714" t="inlineStr">
        <is>
          <t>Ela Cross</t>
        </is>
      </c>
    </row>
    <row r="2715">
      <c r="A2715" s="9" t="inlineStr">
        <is>
          <t>Stacey Jones</t>
        </is>
      </c>
      <c r="B2715" s="9" t="inlineStr">
        <is>
          <t>4/19/26 - 5/16/26</t>
        </is>
      </c>
      <c r="C2715" s="12" t="n">
        <v>1.1979</v>
      </c>
      <c r="D2715" s="12" t="n">
        <v>1.2617</v>
      </c>
      <c r="E2715" s="12" t="n">
        <v>1</v>
      </c>
      <c r="F2715" s="12" t="n">
        <v>1</v>
      </c>
      <c r="G2715" s="12" t="n">
        <v>0.5</v>
      </c>
      <c r="I2715" s="32" t="n"/>
      <c r="K2715" t="inlineStr">
        <is>
          <t>Distinguished</t>
        </is>
      </c>
      <c r="L2715" t="inlineStr">
        <is>
          <t>Adjunct</t>
        </is>
      </c>
      <c r="M2715" t="inlineStr">
        <is>
          <t>Annelies de Groot</t>
        </is>
      </c>
    </row>
    <row r="2716">
      <c r="A2716" s="9" t="inlineStr">
        <is>
          <t>Teresa Fuller</t>
        </is>
      </c>
      <c r="B2716" s="9" t="inlineStr">
        <is>
          <t>4/19/26 - 5/16/26</t>
        </is>
      </c>
      <c r="C2716" s="12" t="n">
        <v>1.0573</v>
      </c>
      <c r="D2716" s="12" t="n">
        <v>0.8867</v>
      </c>
      <c r="E2716" s="12" t="n">
        <v>1</v>
      </c>
      <c r="F2716" s="12" t="n">
        <v>1</v>
      </c>
      <c r="G2716" s="12" t="n">
        <v>0.444444444</v>
      </c>
      <c r="I2716" s="32" t="n"/>
      <c r="K2716" t="inlineStr">
        <is>
          <t>Advanced</t>
        </is>
      </c>
      <c r="L2716" t="inlineStr">
        <is>
          <t>Adjunct</t>
        </is>
      </c>
      <c r="M2716" t="inlineStr">
        <is>
          <t>Ela Cross</t>
        </is>
      </c>
    </row>
    <row r="2717">
      <c r="A2717" s="9" t="inlineStr">
        <is>
          <t>Timothy LeViness</t>
        </is>
      </c>
      <c r="B2717" s="9" t="inlineStr">
        <is>
          <t>4/19/26 - 5/16/26</t>
        </is>
      </c>
      <c r="I2717" s="32" t="n"/>
      <c r="K2717" t="e">
        <v>#N/A</v>
      </c>
      <c r="L2717" t="e">
        <v>#N/A</v>
      </c>
      <c r="M2717" t="e">
        <v>#N/A</v>
      </c>
    </row>
    <row r="2718">
      <c r="A2718" s="9" t="inlineStr">
        <is>
          <t>Yvanna Ramirez</t>
        </is>
      </c>
      <c r="B2718" s="9" t="inlineStr">
        <is>
          <t>4/19/26 - 5/16/26</t>
        </is>
      </c>
      <c r="C2718" s="12" t="n">
        <v>0.8</v>
      </c>
      <c r="D2718" s="12" t="n">
        <v>0.9605</v>
      </c>
      <c r="E2718" s="12" t="n">
        <v>0.967032967</v>
      </c>
      <c r="F2718" s="12" t="n">
        <v>0.911</v>
      </c>
      <c r="G2718" s="12" t="n">
        <v>0.6315789469999999</v>
      </c>
      <c r="I2718" s="32" t="n"/>
      <c r="K2718" t="inlineStr">
        <is>
          <t>Distinguished</t>
        </is>
      </c>
      <c r="L2718" t="inlineStr">
        <is>
          <t>Professional</t>
        </is>
      </c>
      <c r="M2718" t="inlineStr">
        <is>
          <t>Ela Cross</t>
        </is>
      </c>
    </row>
    <row r="2719">
      <c r="A2719" s="9" t="inlineStr">
        <is>
          <t>Zach McFatridge</t>
        </is>
      </c>
      <c r="B2719" s="9" t="inlineStr">
        <is>
          <t>4/19/26 - 5/16/26</t>
        </is>
      </c>
      <c r="C2719" s="12" t="n">
        <v>1.1143</v>
      </c>
      <c r="D2719" s="12" t="n">
        <v>0.9578</v>
      </c>
      <c r="E2719" s="12" t="n">
        <v>1</v>
      </c>
      <c r="F2719" s="12" t="n">
        <v>0.922</v>
      </c>
      <c r="G2719" s="12" t="n">
        <v>0.764705882</v>
      </c>
      <c r="I2719" s="32" t="n"/>
      <c r="K2719" t="inlineStr">
        <is>
          <t>Distinguished</t>
        </is>
      </c>
      <c r="L2719" t="inlineStr">
        <is>
          <t>Professional</t>
        </is>
      </c>
      <c r="M2719" t="inlineStr">
        <is>
          <t>Annelies de Groot</t>
        </is>
      </c>
    </row>
    <row r="2720">
      <c r="A2720" s="9" t="inlineStr">
        <is>
          <t>Akeema Williams</t>
        </is>
      </c>
      <c r="B2720" s="9" t="inlineStr">
        <is>
          <t>4/19/26 - 5/16/26</t>
        </is>
      </c>
      <c r="C2720" s="12" t="n">
        <v>1</v>
      </c>
      <c r="D2720" s="12" t="n">
        <v>1</v>
      </c>
      <c r="E2720" s="12" t="n">
        <v>1</v>
      </c>
      <c r="F2720" s="12" t="n">
        <v>0.974</v>
      </c>
      <c r="G2720" s="12" t="n">
        <v>0.961538462</v>
      </c>
      <c r="I2720" s="32" t="inlineStr">
        <is>
          <t>0/1</t>
        </is>
      </c>
      <c r="J2720" s="14" t="n">
        <v>0</v>
      </c>
      <c r="K2720" t="inlineStr">
        <is>
          <t>Distinguished</t>
        </is>
      </c>
      <c r="L2720" t="inlineStr">
        <is>
          <t>Professional</t>
        </is>
      </c>
      <c r="M2720" t="inlineStr">
        <is>
          <t>Ian Plamondon</t>
        </is>
      </c>
    </row>
    <row r="2721">
      <c r="A2721" s="9" t="inlineStr">
        <is>
          <t>Allison Peck</t>
        </is>
      </c>
      <c r="B2721" s="9" t="inlineStr">
        <is>
          <t>4/19/26 - 5/16/26</t>
        </is>
      </c>
      <c r="C2721" s="12" t="n">
        <v>0.5</v>
      </c>
      <c r="D2721" s="12" t="n">
        <v>0.9922</v>
      </c>
      <c r="E2721" s="12" t="n">
        <v>1</v>
      </c>
      <c r="F2721" s="12" t="n">
        <v>0.944</v>
      </c>
      <c r="G2721" s="12" t="n">
        <v>1</v>
      </c>
      <c r="I2721" s="32" t="inlineStr">
        <is>
          <t>0/1</t>
        </is>
      </c>
      <c r="J2721" s="14" t="n">
        <v>0</v>
      </c>
      <c r="K2721" t="inlineStr">
        <is>
          <t>Distinguished</t>
        </is>
      </c>
      <c r="L2721" t="inlineStr">
        <is>
          <t>Adjunct</t>
        </is>
      </c>
      <c r="M2721" t="inlineStr">
        <is>
          <t>Kristin Haase-Alvey</t>
        </is>
      </c>
    </row>
    <row r="2722">
      <c r="A2722" s="9" t="inlineStr">
        <is>
          <t>Amelia Sain</t>
        </is>
      </c>
      <c r="B2722" s="9" t="inlineStr">
        <is>
          <t>4/19/26 - 5/16/26</t>
        </is>
      </c>
      <c r="C2722" s="12" t="n">
        <v>0.2708</v>
      </c>
      <c r="D2722" s="12" t="n">
        <v>1.193</v>
      </c>
      <c r="E2722" s="12" t="n">
        <v>1</v>
      </c>
      <c r="F2722" s="12" t="n">
        <v>0.952</v>
      </c>
      <c r="G2722" s="12" t="n">
        <v>0.3</v>
      </c>
      <c r="I2722" s="32" t="inlineStr">
        <is>
          <t>0/1</t>
        </is>
      </c>
      <c r="J2722" s="14" t="n">
        <v>0</v>
      </c>
      <c r="K2722" t="inlineStr">
        <is>
          <t>Premium</t>
        </is>
      </c>
      <c r="L2722" t="inlineStr">
        <is>
          <t>Professional</t>
        </is>
      </c>
      <c r="M2722" t="inlineStr">
        <is>
          <t>Geoff St. Marie</t>
        </is>
      </c>
    </row>
    <row r="2723">
      <c r="A2723" s="9" t="inlineStr">
        <is>
          <t>Chazlee Myers</t>
        </is>
      </c>
      <c r="B2723" s="9" t="inlineStr">
        <is>
          <t>4/19/26 - 5/16/26</t>
        </is>
      </c>
      <c r="C2723" s="12" t="n">
        <v>0.8792</v>
      </c>
      <c r="D2723" s="12" t="n">
        <v>0.9802999999999999</v>
      </c>
      <c r="E2723" s="12" t="n">
        <v>0.884615385</v>
      </c>
      <c r="F2723" s="12" t="n">
        <v>0.9379999999999999</v>
      </c>
      <c r="G2723" s="12" t="n">
        <v>0.678571429</v>
      </c>
      <c r="I2723" s="32" t="inlineStr">
        <is>
          <t>0/1</t>
        </is>
      </c>
      <c r="J2723" s="14" t="n">
        <v>0</v>
      </c>
      <c r="K2723" t="inlineStr">
        <is>
          <t>Distinguished</t>
        </is>
      </c>
      <c r="L2723" t="inlineStr">
        <is>
          <t>Professional</t>
        </is>
      </c>
      <c r="M2723" t="inlineStr">
        <is>
          <t>Ian Plamondon</t>
        </is>
      </c>
    </row>
    <row r="2724">
      <c r="A2724" s="9" t="inlineStr">
        <is>
          <t>Dorothy McDaniel</t>
        </is>
      </c>
      <c r="B2724" s="9" t="inlineStr">
        <is>
          <t>4/19/26 - 5/16/26</t>
        </is>
      </c>
      <c r="C2724" s="12" t="n">
        <v>0.375</v>
      </c>
      <c r="D2724" s="12" t="n">
        <v>1.2111</v>
      </c>
      <c r="E2724" s="12" t="n">
        <v>1</v>
      </c>
      <c r="F2724" s="12" t="n">
        <v>0.931</v>
      </c>
      <c r="G2724" s="12" t="n">
        <v>0.545454545</v>
      </c>
      <c r="I2724" s="32" t="inlineStr">
        <is>
          <t>0/1</t>
        </is>
      </c>
      <c r="J2724" s="14" t="n">
        <v>0</v>
      </c>
      <c r="K2724" t="inlineStr">
        <is>
          <t>Premium</t>
        </is>
      </c>
      <c r="L2724" t="inlineStr">
        <is>
          <t>Professional</t>
        </is>
      </c>
      <c r="M2724" t="inlineStr">
        <is>
          <t>Ian Plamondon</t>
        </is>
      </c>
    </row>
    <row r="2725">
      <c r="A2725" s="9" t="inlineStr">
        <is>
          <t>Gale Hermes</t>
        </is>
      </c>
      <c r="B2725" s="9" t="inlineStr">
        <is>
          <t>4/19/26 - 5/16/26</t>
        </is>
      </c>
      <c r="C2725" s="12" t="n">
        <v>0.7354000000000001</v>
      </c>
      <c r="D2725" s="12" t="n">
        <v>1.4417</v>
      </c>
      <c r="E2725" s="12" t="n">
        <v>1</v>
      </c>
      <c r="F2725" s="12" t="n">
        <v>0.8090000000000001</v>
      </c>
      <c r="G2725" s="12" t="n">
        <v>0.8</v>
      </c>
      <c r="I2725" s="32" t="inlineStr">
        <is>
          <t>0/1</t>
        </is>
      </c>
      <c r="J2725" s="14" t="n">
        <v>0</v>
      </c>
      <c r="K2725" t="inlineStr">
        <is>
          <t>Premium</t>
        </is>
      </c>
      <c r="L2725" t="inlineStr">
        <is>
          <t>Professional</t>
        </is>
      </c>
      <c r="M2725" t="inlineStr">
        <is>
          <t>Ian Plamondon</t>
        </is>
      </c>
    </row>
    <row r="2726">
      <c r="A2726" s="9" t="inlineStr">
        <is>
          <t>Jacey Clifton</t>
        </is>
      </c>
      <c r="B2726" s="9" t="inlineStr">
        <is>
          <t>4/19/26 - 5/16/26</t>
        </is>
      </c>
      <c r="C2726" s="12" t="n">
        <v>0.9792</v>
      </c>
      <c r="D2726" s="12" t="n">
        <v>0.7813</v>
      </c>
      <c r="E2726" s="12" t="n">
        <v>1</v>
      </c>
      <c r="F2726" s="12" t="n">
        <v>1</v>
      </c>
      <c r="G2726" s="12" t="n">
        <v>0.6</v>
      </c>
      <c r="I2726" s="32" t="inlineStr">
        <is>
          <t>0/1</t>
        </is>
      </c>
      <c r="J2726" s="14" t="n">
        <v>0</v>
      </c>
      <c r="K2726" t="inlineStr">
        <is>
          <t>Distinguished</t>
        </is>
      </c>
      <c r="L2726" t="inlineStr">
        <is>
          <t>Adjunct</t>
        </is>
      </c>
      <c r="M2726" t="inlineStr">
        <is>
          <t>Ela Cross</t>
        </is>
      </c>
    </row>
    <row r="2727">
      <c r="A2727" s="9" t="inlineStr">
        <is>
          <t>Jackson Weier</t>
        </is>
      </c>
      <c r="B2727" s="9" t="inlineStr">
        <is>
          <t>4/19/26 - 5/16/26</t>
        </is>
      </c>
      <c r="C2727" s="12" t="n">
        <v>0.9375</v>
      </c>
      <c r="D2727" s="12" t="n">
        <v>1.2578</v>
      </c>
      <c r="E2727" s="12" t="n">
        <v>0.923076923</v>
      </c>
      <c r="F2727" s="12" t="n">
        <v>0.968</v>
      </c>
      <c r="G2727" s="12" t="n">
        <v>0.5</v>
      </c>
      <c r="I2727" s="32" t="inlineStr">
        <is>
          <t>0/1</t>
        </is>
      </c>
      <c r="J2727" s="14" t="n">
        <v>0</v>
      </c>
      <c r="K2727" t="inlineStr">
        <is>
          <t>Distinguished</t>
        </is>
      </c>
      <c r="L2727" t="inlineStr">
        <is>
          <t>Adjunct</t>
        </is>
      </c>
      <c r="M2727" t="inlineStr">
        <is>
          <t>Geoff St. Marie</t>
        </is>
      </c>
    </row>
    <row r="2728">
      <c r="A2728" s="9" t="inlineStr">
        <is>
          <t>Jake Corvino</t>
        </is>
      </c>
      <c r="B2728" s="9" t="inlineStr">
        <is>
          <t>4/19/26 - 5/16/26</t>
        </is>
      </c>
      <c r="C2728" s="12" t="n">
        <v>0.3333</v>
      </c>
      <c r="D2728" s="12" t="n">
        <v>1.0703</v>
      </c>
      <c r="E2728" s="12" t="n">
        <v>1</v>
      </c>
      <c r="F2728" s="12" t="n">
        <v>0.6</v>
      </c>
      <c r="G2728" s="12" t="n">
        <v>0</v>
      </c>
      <c r="I2728" s="32" t="inlineStr">
        <is>
          <t>0/1</t>
        </is>
      </c>
      <c r="J2728" s="14" t="n">
        <v>0</v>
      </c>
      <c r="K2728" t="inlineStr">
        <is>
          <t>Distinguished</t>
        </is>
      </c>
      <c r="L2728" t="inlineStr">
        <is>
          <t>Adjunct</t>
        </is>
      </c>
      <c r="M2728" t="inlineStr">
        <is>
          <t>Ela Cross</t>
        </is>
      </c>
    </row>
    <row r="2729">
      <c r="A2729" s="9" t="inlineStr">
        <is>
          <t>Kai Tsung</t>
        </is>
      </c>
      <c r="B2729" s="9" t="inlineStr">
        <is>
          <t>4/19/26 - 5/16/26</t>
        </is>
      </c>
      <c r="C2729" s="12" t="n">
        <v>0.6875</v>
      </c>
      <c r="D2729" s="12" t="n">
        <v>0.7461</v>
      </c>
      <c r="E2729" s="12" t="n">
        <v>1</v>
      </c>
      <c r="F2729" s="12" t="n">
        <v>0.955</v>
      </c>
      <c r="G2729" s="12" t="n">
        <v>0.75</v>
      </c>
      <c r="I2729" s="32" t="inlineStr">
        <is>
          <t>0/1</t>
        </is>
      </c>
      <c r="J2729" s="14" t="n">
        <v>0</v>
      </c>
      <c r="K2729" t="inlineStr">
        <is>
          <t>Advanced</t>
        </is>
      </c>
      <c r="L2729" t="inlineStr">
        <is>
          <t>Adjunct</t>
        </is>
      </c>
      <c r="M2729" t="inlineStr">
        <is>
          <t>Kristin Haase-Alvey</t>
        </is>
      </c>
    </row>
    <row r="2730">
      <c r="A2730" s="9" t="inlineStr">
        <is>
          <t>Margaret Webb</t>
        </is>
      </c>
      <c r="B2730" s="9" t="inlineStr">
        <is>
          <t>4/19/26 - 5/16/26</t>
        </is>
      </c>
      <c r="C2730" s="12" t="n">
        <v>1.3857</v>
      </c>
      <c r="D2730" s="12" t="n">
        <v>1.1279</v>
      </c>
      <c r="E2730" s="12" t="n">
        <v>0.978021978</v>
      </c>
      <c r="F2730" s="12" t="n">
        <v>1</v>
      </c>
      <c r="G2730" s="12" t="n">
        <v>0.9069767439999999</v>
      </c>
      <c r="I2730" s="32" t="inlineStr">
        <is>
          <t>0/1</t>
        </is>
      </c>
      <c r="J2730" s="14" t="n">
        <v>0</v>
      </c>
      <c r="K2730" t="inlineStr">
        <is>
          <t>Distinguished</t>
        </is>
      </c>
      <c r="L2730" t="inlineStr">
        <is>
          <t>Professional</t>
        </is>
      </c>
      <c r="M2730" t="inlineStr">
        <is>
          <t>Kristin Haase-Alvey</t>
        </is>
      </c>
    </row>
    <row r="2731">
      <c r="A2731" s="9" t="inlineStr">
        <is>
          <t>Mark Duncan</t>
        </is>
      </c>
      <c r="B2731" s="9" t="inlineStr">
        <is>
          <t>4/19/26 - 5/16/26</t>
        </is>
      </c>
      <c r="C2731" s="12" t="n">
        <v>0.9375</v>
      </c>
      <c r="D2731" s="12" t="n">
        <v>0.9492</v>
      </c>
      <c r="E2731" s="12" t="n">
        <v>1</v>
      </c>
      <c r="F2731" s="12" t="n">
        <v>1</v>
      </c>
      <c r="G2731" s="12" t="n">
        <v>0.666666667</v>
      </c>
      <c r="I2731" s="32" t="inlineStr">
        <is>
          <t>0/1</t>
        </is>
      </c>
      <c r="J2731" s="14" t="n">
        <v>0</v>
      </c>
      <c r="K2731" t="inlineStr">
        <is>
          <t>Distinguished</t>
        </is>
      </c>
      <c r="L2731" t="inlineStr">
        <is>
          <t>Adjunct</t>
        </is>
      </c>
      <c r="M2731" t="inlineStr">
        <is>
          <t>Kristin Haase-Alvey</t>
        </is>
      </c>
    </row>
    <row r="2732">
      <c r="A2732" s="9" t="inlineStr">
        <is>
          <t>Matthew Wert</t>
        </is>
      </c>
      <c r="B2732" s="9" t="inlineStr">
        <is>
          <t>4/19/26 - 5/16/26</t>
        </is>
      </c>
      <c r="C2732" s="12" t="n">
        <v>0.8938</v>
      </c>
      <c r="D2732" s="12" t="n">
        <v>0.9505</v>
      </c>
      <c r="E2732" s="12" t="n">
        <v>0.96969697</v>
      </c>
      <c r="F2732" s="12" t="n">
        <v>0.895</v>
      </c>
      <c r="G2732" s="12" t="n">
        <v>0.473684211</v>
      </c>
      <c r="I2732" s="32" t="inlineStr">
        <is>
          <t>0/1</t>
        </is>
      </c>
      <c r="J2732" s="14" t="n">
        <v>0</v>
      </c>
      <c r="K2732" t="inlineStr">
        <is>
          <t>Distinguished</t>
        </is>
      </c>
      <c r="L2732" t="inlineStr">
        <is>
          <t>Adjunct</t>
        </is>
      </c>
      <c r="M2732" t="inlineStr">
        <is>
          <t>Geoff St. Marie</t>
        </is>
      </c>
    </row>
    <row r="2733">
      <c r="A2733" s="9" t="inlineStr">
        <is>
          <t>Myles Oldroyd</t>
        </is>
      </c>
      <c r="B2733" s="9" t="inlineStr">
        <is>
          <t>4/19/26 - 5/16/26</t>
        </is>
      </c>
      <c r="C2733" s="12" t="n">
        <v>1.1458</v>
      </c>
      <c r="D2733" s="12" t="n">
        <v>1.7007</v>
      </c>
      <c r="E2733" s="12" t="n">
        <v>0.991869919</v>
      </c>
      <c r="F2733" s="12" t="n">
        <v>0.989</v>
      </c>
      <c r="G2733" s="12" t="n">
        <v>1</v>
      </c>
      <c r="I2733" s="32" t="inlineStr">
        <is>
          <t>0/1</t>
        </is>
      </c>
      <c r="J2733" s="14" t="n">
        <v>0</v>
      </c>
      <c r="K2733" t="inlineStr">
        <is>
          <t>Premium</t>
        </is>
      </c>
      <c r="L2733" t="inlineStr">
        <is>
          <t>Professional</t>
        </is>
      </c>
      <c r="M2733" t="inlineStr">
        <is>
          <t>Ian Plamondon</t>
        </is>
      </c>
    </row>
    <row r="2734">
      <c r="A2734" s="9" t="inlineStr">
        <is>
          <t>Nisan Hubbard</t>
        </is>
      </c>
      <c r="B2734" s="9" t="inlineStr">
        <is>
          <t>4/19/26 - 5/16/26</t>
        </is>
      </c>
      <c r="C2734" s="12" t="n">
        <v>0.775</v>
      </c>
      <c r="D2734" s="12" t="n">
        <v>0.7448</v>
      </c>
      <c r="E2734" s="12" t="n">
        <v>1</v>
      </c>
      <c r="F2734" s="12" t="n">
        <v>0.925</v>
      </c>
      <c r="G2734" s="12" t="n">
        <v>0.875</v>
      </c>
      <c r="I2734" s="32" t="inlineStr">
        <is>
          <t>0/1</t>
        </is>
      </c>
      <c r="J2734" s="14" t="n">
        <v>0</v>
      </c>
      <c r="K2734" t="inlineStr">
        <is>
          <t>Distinguished</t>
        </is>
      </c>
      <c r="L2734" t="inlineStr">
        <is>
          <t>Adjunct</t>
        </is>
      </c>
      <c r="M2734" t="inlineStr">
        <is>
          <t>Annelies de Groot</t>
        </is>
      </c>
    </row>
    <row r="2735">
      <c r="A2735" s="9" t="inlineStr">
        <is>
          <t>Robert Nantze</t>
        </is>
      </c>
      <c r="B2735" s="9" t="inlineStr">
        <is>
          <t>4/19/26 - 5/16/26</t>
        </is>
      </c>
      <c r="C2735" s="12" t="n">
        <v>0.8625</v>
      </c>
      <c r="D2735" s="12" t="n">
        <v>0.8849</v>
      </c>
      <c r="E2735" s="12" t="n">
        <v>1</v>
      </c>
      <c r="F2735" s="12" t="n">
        <v>1</v>
      </c>
      <c r="G2735" s="12" t="n">
        <v>0.92</v>
      </c>
      <c r="I2735" s="32" t="inlineStr">
        <is>
          <t>0/1</t>
        </is>
      </c>
      <c r="J2735" s="14" t="n">
        <v>0</v>
      </c>
      <c r="K2735" t="inlineStr">
        <is>
          <t>Distinguished</t>
        </is>
      </c>
      <c r="L2735" t="inlineStr">
        <is>
          <t>Professional</t>
        </is>
      </c>
      <c r="M2735" t="inlineStr">
        <is>
          <t>Ela Cross</t>
        </is>
      </c>
    </row>
    <row r="2736">
      <c r="A2736" s="9" t="inlineStr">
        <is>
          <t>Shannon Huang</t>
        </is>
      </c>
      <c r="B2736" s="9" t="inlineStr">
        <is>
          <t>4/19/26 - 5/16/26</t>
        </is>
      </c>
      <c r="C2736" s="12" t="n">
        <v>1.1792</v>
      </c>
      <c r="D2736" s="12" t="n">
        <v>1.0921</v>
      </c>
      <c r="E2736" s="12" t="n">
        <v>0.966386555</v>
      </c>
      <c r="F2736" s="12" t="n">
        <v>0.916</v>
      </c>
      <c r="G2736" s="12" t="n">
        <v>0.727272727</v>
      </c>
      <c r="I2736" s="32" t="inlineStr">
        <is>
          <t>0/1</t>
        </is>
      </c>
      <c r="J2736" s="14" t="n">
        <v>0</v>
      </c>
      <c r="K2736" t="inlineStr">
        <is>
          <t>Distinguished</t>
        </is>
      </c>
      <c r="L2736" t="inlineStr">
        <is>
          <t>Professional</t>
        </is>
      </c>
      <c r="M2736" t="inlineStr">
        <is>
          <t>Ela Cross</t>
        </is>
      </c>
    </row>
    <row r="2737">
      <c r="A2737" s="9" t="inlineStr">
        <is>
          <t>Silvester Harrison</t>
        </is>
      </c>
      <c r="B2737" s="9" t="inlineStr">
        <is>
          <t>4/19/26 - 5/16/26</t>
        </is>
      </c>
      <c r="C2737" s="12" t="n">
        <v>0.9964</v>
      </c>
      <c r="D2737" s="12" t="n">
        <v>1.0465</v>
      </c>
      <c r="E2737" s="12" t="n">
        <v>1</v>
      </c>
      <c r="F2737" s="12" t="n">
        <v>0.9409999999999999</v>
      </c>
      <c r="G2737" s="12" t="n">
        <v>0.454545455</v>
      </c>
      <c r="I2737" s="32" t="inlineStr">
        <is>
          <t>0/1</t>
        </is>
      </c>
      <c r="J2737" s="14" t="n">
        <v>0</v>
      </c>
      <c r="K2737" t="inlineStr">
        <is>
          <t>Distinguished</t>
        </is>
      </c>
      <c r="L2737" t="inlineStr">
        <is>
          <t>Professional</t>
        </is>
      </c>
      <c r="M2737" t="inlineStr">
        <is>
          <t>Ela Cross</t>
        </is>
      </c>
    </row>
    <row r="2738">
      <c r="A2738" s="9" t="inlineStr">
        <is>
          <t>Sonja Tomasko</t>
        </is>
      </c>
      <c r="B2738" s="9" t="inlineStr">
        <is>
          <t>4/19/26 - 5/16/26</t>
        </is>
      </c>
      <c r="C2738" s="12" t="n">
        <v>0.4958</v>
      </c>
      <c r="D2738" s="12" t="n">
        <v>1.1168</v>
      </c>
      <c r="E2738" s="12" t="n">
        <v>1</v>
      </c>
      <c r="F2738" s="12" t="n">
        <v>1</v>
      </c>
      <c r="G2738" s="12" t="n">
        <v>0.846153846</v>
      </c>
      <c r="I2738" s="32" t="inlineStr">
        <is>
          <t>0/1</t>
        </is>
      </c>
      <c r="J2738" s="14" t="n">
        <v>0</v>
      </c>
      <c r="K2738" t="inlineStr">
        <is>
          <t>Premium</t>
        </is>
      </c>
      <c r="L2738" t="inlineStr">
        <is>
          <t>Professional</t>
        </is>
      </c>
      <c r="M2738" t="inlineStr">
        <is>
          <t>Ian Plamondon</t>
        </is>
      </c>
    </row>
    <row r="2739">
      <c r="A2739" s="9" t="inlineStr">
        <is>
          <t>Steven Colome</t>
        </is>
      </c>
      <c r="B2739" s="9" t="inlineStr">
        <is>
          <t>4/19/26 - 5/16/26</t>
        </is>
      </c>
      <c r="C2739" s="12" t="n">
        <v>0.7813</v>
      </c>
      <c r="D2739" s="12" t="n">
        <v>0.9883</v>
      </c>
      <c r="E2739" s="12" t="n">
        <v>1</v>
      </c>
      <c r="F2739" s="12" t="n">
        <v>1</v>
      </c>
      <c r="G2739" s="12" t="n">
        <v>0.714285714</v>
      </c>
      <c r="I2739" s="32" t="inlineStr">
        <is>
          <t>0/1</t>
        </is>
      </c>
      <c r="J2739" s="14" t="n">
        <v>0</v>
      </c>
      <c r="K2739" t="inlineStr">
        <is>
          <t>Distinguished</t>
        </is>
      </c>
      <c r="L2739" t="inlineStr">
        <is>
          <t>Adjunct</t>
        </is>
      </c>
      <c r="M2739" t="inlineStr">
        <is>
          <t>Ela Cross</t>
        </is>
      </c>
    </row>
    <row r="2740">
      <c r="A2740" s="9" t="inlineStr">
        <is>
          <t>Tea Stewart</t>
        </is>
      </c>
      <c r="B2740" s="9" t="inlineStr">
        <is>
          <t>4/19/26 - 5/16/26</t>
        </is>
      </c>
      <c r="C2740" s="12" t="n">
        <v>0.7292</v>
      </c>
      <c r="D2740" s="12" t="n">
        <v>0.8828</v>
      </c>
      <c r="E2740" s="12" t="n">
        <v>0.9677419350000001</v>
      </c>
      <c r="F2740" s="12" t="n">
        <v>0.9</v>
      </c>
      <c r="G2740" s="12" t="n">
        <v>0.222222222</v>
      </c>
      <c r="I2740" s="32" t="inlineStr">
        <is>
          <t>0/1</t>
        </is>
      </c>
      <c r="J2740" s="14" t="n">
        <v>0</v>
      </c>
      <c r="K2740" t="inlineStr">
        <is>
          <t>Distinguished</t>
        </is>
      </c>
      <c r="L2740" t="inlineStr">
        <is>
          <t>Adjunct</t>
        </is>
      </c>
      <c r="M2740" t="inlineStr">
        <is>
          <t>Kristin Haase-Alvey</t>
        </is>
      </c>
    </row>
    <row r="2741">
      <c r="A2741" s="9" t="inlineStr">
        <is>
          <t>Tom Pluth</t>
        </is>
      </c>
      <c r="B2741" s="9" t="inlineStr">
        <is>
          <t>4/19/26 - 5/16/26</t>
        </is>
      </c>
      <c r="C2741" s="12" t="n">
        <v>0.9375</v>
      </c>
      <c r="D2741" s="12" t="n">
        <v>1.0117</v>
      </c>
      <c r="E2741" s="12" t="n">
        <v>0.976744186</v>
      </c>
      <c r="F2741" s="12" t="n">
        <v>0.781</v>
      </c>
      <c r="G2741" s="12" t="n">
        <v>0.75</v>
      </c>
      <c r="I2741" s="32" t="inlineStr">
        <is>
          <t>0/1</t>
        </is>
      </c>
      <c r="J2741" s="14" t="n">
        <v>0</v>
      </c>
      <c r="K2741" t="inlineStr">
        <is>
          <t>Distinguished</t>
        </is>
      </c>
      <c r="L2741" t="inlineStr">
        <is>
          <t>Adjunct</t>
        </is>
      </c>
      <c r="M2741" t="inlineStr">
        <is>
          <t>Ela Cross</t>
        </is>
      </c>
    </row>
    <row r="2742">
      <c r="A2742" s="9" t="inlineStr">
        <is>
          <t>Tyler Greer</t>
        </is>
      </c>
      <c r="B2742" s="9" t="inlineStr">
        <is>
          <t>4/19/26 - 5/16/26</t>
        </is>
      </c>
      <c r="C2742" s="12" t="n">
        <v>0.7833</v>
      </c>
      <c r="D2742" s="12" t="n">
        <v>0.7138</v>
      </c>
      <c r="E2742" s="12" t="n">
        <v>1</v>
      </c>
      <c r="F2742" s="12" t="n">
        <v>0.9379999999999999</v>
      </c>
      <c r="G2742" s="12" t="n">
        <v>0.95</v>
      </c>
      <c r="I2742" s="32" t="inlineStr">
        <is>
          <t>0/1</t>
        </is>
      </c>
      <c r="J2742" s="14" t="n">
        <v>0</v>
      </c>
      <c r="K2742" t="inlineStr">
        <is>
          <t>Distinguished</t>
        </is>
      </c>
      <c r="L2742" t="inlineStr">
        <is>
          <t>Professional</t>
        </is>
      </c>
      <c r="M2742" t="inlineStr">
        <is>
          <t>Kristin Haase-Alvey</t>
        </is>
      </c>
    </row>
    <row r="2743">
      <c r="A2743" s="9" t="inlineStr">
        <is>
          <t>Valerie Duran</t>
        </is>
      </c>
      <c r="B2743" s="9" t="inlineStr">
        <is>
          <t>4/19/26 - 5/16/26</t>
        </is>
      </c>
      <c r="C2743" s="12" t="n">
        <v>1.1875</v>
      </c>
      <c r="D2743" s="12" t="n">
        <v>1.1849</v>
      </c>
      <c r="E2743" s="12" t="n">
        <v>0.945652174</v>
      </c>
      <c r="F2743" s="12" t="n">
        <v>0.9340000000000001</v>
      </c>
      <c r="G2743" s="12" t="n">
        <v>0.619047619</v>
      </c>
      <c r="I2743" s="32" t="inlineStr">
        <is>
          <t>0/1</t>
        </is>
      </c>
      <c r="J2743" s="14" t="n">
        <v>0</v>
      </c>
      <c r="K2743" t="inlineStr">
        <is>
          <t>Advanced</t>
        </is>
      </c>
      <c r="L2743" t="inlineStr">
        <is>
          <t>Adjunct</t>
        </is>
      </c>
      <c r="M2743" t="inlineStr">
        <is>
          <t>Ela Cross</t>
        </is>
      </c>
    </row>
    <row r="2744">
      <c r="A2744" s="9" t="inlineStr">
        <is>
          <t>Valerie Morris</t>
        </is>
      </c>
      <c r="B2744" s="9" t="inlineStr">
        <is>
          <t>4/19/26 - 5/16/26</t>
        </is>
      </c>
      <c r="C2744" s="12" t="n">
        <v>0.875</v>
      </c>
      <c r="D2744" s="12" t="n">
        <v>1.0117</v>
      </c>
      <c r="E2744" s="12" t="n">
        <v>1</v>
      </c>
      <c r="F2744" s="12" t="n">
        <v>0.875</v>
      </c>
      <c r="G2744" s="12" t="n">
        <v>0.166666667</v>
      </c>
      <c r="I2744" s="32" t="inlineStr">
        <is>
          <t>0/1</t>
        </is>
      </c>
      <c r="J2744" s="14" t="n">
        <v>0</v>
      </c>
      <c r="K2744" t="inlineStr">
        <is>
          <t>Advanced</t>
        </is>
      </c>
      <c r="L2744" t="inlineStr">
        <is>
          <t>Adjunct</t>
        </is>
      </c>
      <c r="M2744" t="inlineStr">
        <is>
          <t>Annelies de Groot</t>
        </is>
      </c>
    </row>
    <row r="2745">
      <c r="A2745" s="9" t="inlineStr">
        <is>
          <t>Jason Noble</t>
        </is>
      </c>
      <c r="B2745" s="9" t="inlineStr">
        <is>
          <t>4/19/26 - 5/16/26</t>
        </is>
      </c>
      <c r="C2745" s="12" t="n">
        <v>0.85</v>
      </c>
      <c r="D2745" s="12" t="n">
        <v>1.0099</v>
      </c>
      <c r="E2745" s="12" t="n">
        <v>0.878787879</v>
      </c>
      <c r="F2745" s="12" t="n">
        <v>0.779</v>
      </c>
      <c r="G2745" s="12" t="n">
        <v>1</v>
      </c>
      <c r="I2745" s="32" t="inlineStr">
        <is>
          <t>0/2</t>
        </is>
      </c>
      <c r="J2745" s="14" t="n">
        <v>0</v>
      </c>
      <c r="K2745" t="inlineStr">
        <is>
          <t>Distinguished</t>
        </is>
      </c>
      <c r="L2745" t="inlineStr">
        <is>
          <t>Professional</t>
        </is>
      </c>
      <c r="M2745" t="inlineStr">
        <is>
          <t>Kristin Haase-Alvey</t>
        </is>
      </c>
    </row>
    <row r="2746">
      <c r="A2746" s="9" t="inlineStr">
        <is>
          <t>Kate Haldeman</t>
        </is>
      </c>
      <c r="B2746" s="9" t="inlineStr">
        <is>
          <t>4/19/26 - 5/16/26</t>
        </is>
      </c>
      <c r="C2746" s="12" t="n">
        <v>0.7893</v>
      </c>
      <c r="D2746" s="12" t="n">
        <v>0.9593</v>
      </c>
      <c r="E2746" s="12" t="n">
        <v>0.98245614</v>
      </c>
      <c r="F2746" s="12" t="n">
        <v>0.97</v>
      </c>
      <c r="G2746" s="12" t="n">
        <v>0.153846154</v>
      </c>
      <c r="I2746" s="32" t="inlineStr">
        <is>
          <t>0/2</t>
        </is>
      </c>
      <c r="J2746" s="14" t="n">
        <v>0</v>
      </c>
      <c r="K2746" t="inlineStr">
        <is>
          <t>Advanced</t>
        </is>
      </c>
      <c r="L2746" t="inlineStr">
        <is>
          <t>Professional</t>
        </is>
      </c>
      <c r="M2746" t="inlineStr">
        <is>
          <t>Geoff St. Marie</t>
        </is>
      </c>
    </row>
    <row r="2747">
      <c r="A2747" s="9" t="inlineStr">
        <is>
          <t>Maximilian Tsimerman</t>
        </is>
      </c>
      <c r="B2747" s="9" t="inlineStr">
        <is>
          <t>4/19/26 - 5/16/26</t>
        </is>
      </c>
      <c r="C2747" s="12" t="n">
        <v>1.0708</v>
      </c>
      <c r="D2747" s="12" t="n">
        <v>1.0493</v>
      </c>
      <c r="E2747" s="12" t="n">
        <v>0.954545455</v>
      </c>
      <c r="F2747" s="12" t="n">
        <v>0.99</v>
      </c>
      <c r="G2747" s="12" t="n">
        <v>0.322580645</v>
      </c>
      <c r="I2747" s="32" t="inlineStr">
        <is>
          <t>0/2</t>
        </is>
      </c>
      <c r="J2747" s="14" t="n">
        <v>0</v>
      </c>
      <c r="K2747" t="inlineStr">
        <is>
          <t>Distinguished</t>
        </is>
      </c>
      <c r="L2747" t="inlineStr">
        <is>
          <t>Professional</t>
        </is>
      </c>
      <c r="M2747" t="inlineStr">
        <is>
          <t>Ian Plamondon</t>
        </is>
      </c>
    </row>
    <row r="2748">
      <c r="A2748" s="9" t="inlineStr">
        <is>
          <t>Naima Chaudhry</t>
        </is>
      </c>
      <c r="B2748" s="9" t="inlineStr">
        <is>
          <t>4/19/26 - 5/16/26</t>
        </is>
      </c>
      <c r="C2748" s="12" t="n">
        <v>0.8958</v>
      </c>
      <c r="D2748" s="12" t="n">
        <v>1.082</v>
      </c>
      <c r="E2748" s="12" t="n">
        <v>1</v>
      </c>
      <c r="F2748" s="12" t="n">
        <v>1</v>
      </c>
      <c r="G2748" s="12" t="n">
        <v>0.714285714</v>
      </c>
      <c r="I2748" s="32" t="inlineStr">
        <is>
          <t>0/2</t>
        </is>
      </c>
      <c r="J2748" s="14" t="n">
        <v>0</v>
      </c>
      <c r="K2748" t="inlineStr">
        <is>
          <t>Advanced</t>
        </is>
      </c>
      <c r="L2748" t="inlineStr">
        <is>
          <t>Adjunct</t>
        </is>
      </c>
      <c r="M2748" t="inlineStr">
        <is>
          <t>Kristin Haase-Alvey</t>
        </is>
      </c>
    </row>
    <row r="2749">
      <c r="A2749" s="9" t="inlineStr">
        <is>
          <t>Qualondra Kimber</t>
        </is>
      </c>
      <c r="B2749" s="9" t="inlineStr">
        <is>
          <t>4/19/26 - 5/16/26</t>
        </is>
      </c>
      <c r="C2749" s="12" t="n">
        <v>0.2656</v>
      </c>
      <c r="D2749" s="12" t="n">
        <v>1.0833</v>
      </c>
      <c r="E2749" s="12" t="n">
        <v>0.8666666669999999</v>
      </c>
      <c r="F2749" s="12" t="n">
        <v>0.6</v>
      </c>
      <c r="I2749" s="32" t="inlineStr">
        <is>
          <t>0/2</t>
        </is>
      </c>
      <c r="J2749" s="14" t="n">
        <v>0</v>
      </c>
      <c r="K2749" t="e">
        <v>#N/A</v>
      </c>
      <c r="L2749" t="e">
        <v>#N/A</v>
      </c>
      <c r="M2749" t="e">
        <v>#N/A</v>
      </c>
    </row>
    <row r="2750">
      <c r="A2750" s="9" t="inlineStr">
        <is>
          <t>Zack Anthony</t>
        </is>
      </c>
      <c r="B2750" s="9" t="inlineStr">
        <is>
          <t>4/19/26 - 5/16/26</t>
        </is>
      </c>
      <c r="C2750" s="12" t="n">
        <v>0.8917</v>
      </c>
      <c r="D2750" s="12" t="n">
        <v>1.0444</v>
      </c>
      <c r="E2750" s="12" t="n">
        <v>0.931372549</v>
      </c>
      <c r="F2750" s="12" t="n">
        <v>0.986</v>
      </c>
      <c r="G2750" s="12" t="n">
        <v>0.7</v>
      </c>
      <c r="I2750" s="32" t="inlineStr">
        <is>
          <t>0/2</t>
        </is>
      </c>
      <c r="J2750" s="14" t="n">
        <v>0</v>
      </c>
      <c r="K2750" t="inlineStr">
        <is>
          <t>Distinguished</t>
        </is>
      </c>
      <c r="L2750" t="inlineStr">
        <is>
          <t>Professional</t>
        </is>
      </c>
      <c r="M2750" t="inlineStr">
        <is>
          <t>Kristin Haase-Alvey</t>
        </is>
      </c>
    </row>
    <row r="2751">
      <c r="A2751" s="9" t="inlineStr">
        <is>
          <t>Chelsea Kobea</t>
        </is>
      </c>
      <c r="B2751" s="9" t="inlineStr">
        <is>
          <t>4/19/26 - 5/16/26</t>
        </is>
      </c>
      <c r="C2751" s="12" t="n">
        <v>0.8167</v>
      </c>
      <c r="D2751" s="12" t="n">
        <v>1.0066</v>
      </c>
      <c r="E2751" s="12" t="n">
        <v>0.929577465</v>
      </c>
      <c r="F2751" s="12" t="n">
        <v>0.966</v>
      </c>
      <c r="G2751" s="12" t="n">
        <v>1</v>
      </c>
      <c r="I2751" s="32" t="inlineStr">
        <is>
          <t>0/3</t>
        </is>
      </c>
      <c r="J2751" s="14" t="n">
        <v>0</v>
      </c>
      <c r="K2751" t="inlineStr">
        <is>
          <t>Distinguished</t>
        </is>
      </c>
      <c r="L2751" t="inlineStr">
        <is>
          <t>Professional</t>
        </is>
      </c>
      <c r="M2751" t="inlineStr">
        <is>
          <t>Kristin Haase-Alvey</t>
        </is>
      </c>
    </row>
    <row r="2752">
      <c r="A2752" s="9" t="inlineStr">
        <is>
          <t>Johan Falconi</t>
        </is>
      </c>
      <c r="B2752" s="9" t="inlineStr">
        <is>
          <t>4/19/26 - 5/16/26</t>
        </is>
      </c>
      <c r="C2752" s="12" t="n">
        <v>0.7875</v>
      </c>
      <c r="D2752" s="12" t="n">
        <v>0.9479</v>
      </c>
      <c r="E2752" s="12" t="n">
        <v>0.931034483</v>
      </c>
      <c r="F2752" s="12" t="n">
        <v>0.645</v>
      </c>
      <c r="G2752" s="12" t="n">
        <v>0</v>
      </c>
      <c r="I2752" s="32" t="inlineStr">
        <is>
          <t>0/3</t>
        </is>
      </c>
      <c r="J2752" s="14" t="n">
        <v>0</v>
      </c>
      <c r="K2752" t="inlineStr">
        <is>
          <t>Advanced</t>
        </is>
      </c>
      <c r="L2752" t="inlineStr">
        <is>
          <t>Adjunct</t>
        </is>
      </c>
      <c r="M2752" t="inlineStr">
        <is>
          <t>Ela Cross</t>
        </is>
      </c>
    </row>
    <row r="2753">
      <c r="A2753" s="9" t="inlineStr">
        <is>
          <t>Parthav Elangovan</t>
        </is>
      </c>
      <c r="B2753" s="9" t="inlineStr">
        <is>
          <t>4/19/26 - 5/16/26</t>
        </is>
      </c>
      <c r="C2753" s="12" t="n">
        <v>1.0833</v>
      </c>
      <c r="D2753" s="12" t="n">
        <v>1.4102</v>
      </c>
      <c r="E2753" s="12" t="n">
        <v>0.95</v>
      </c>
      <c r="F2753" s="12" t="n">
        <v>0.838</v>
      </c>
      <c r="G2753" s="12" t="n">
        <v>0.25</v>
      </c>
      <c r="I2753" s="32" t="inlineStr">
        <is>
          <t>0/3</t>
        </is>
      </c>
      <c r="J2753" s="14" t="n">
        <v>0</v>
      </c>
      <c r="K2753" t="inlineStr">
        <is>
          <t>Advanced</t>
        </is>
      </c>
      <c r="L2753" t="inlineStr">
        <is>
          <t>Adjunct</t>
        </is>
      </c>
      <c r="M2753" t="inlineStr">
        <is>
          <t>Ian Plamondon</t>
        </is>
      </c>
    </row>
    <row r="2754">
      <c r="A2754" s="9" t="inlineStr">
        <is>
          <t>Penny Russell</t>
        </is>
      </c>
      <c r="B2754" s="9" t="inlineStr">
        <is>
          <t>4/19/26 - 5/16/26</t>
        </is>
      </c>
      <c r="C2754" s="12" t="n">
        <v>1.0708</v>
      </c>
      <c r="D2754" s="12" t="n">
        <v>1.0296</v>
      </c>
      <c r="E2754" s="12" t="n">
        <v>0.982905983</v>
      </c>
      <c r="F2754" s="12" t="n">
        <v>0.986</v>
      </c>
      <c r="G2754" s="12" t="n">
        <v>0</v>
      </c>
      <c r="I2754" s="32" t="inlineStr">
        <is>
          <t>0/3</t>
        </is>
      </c>
      <c r="J2754" s="14" t="n">
        <v>0</v>
      </c>
      <c r="K2754" t="inlineStr">
        <is>
          <t>Distinguished</t>
        </is>
      </c>
      <c r="L2754" t="inlineStr">
        <is>
          <t>Professional</t>
        </is>
      </c>
      <c r="M2754" t="inlineStr">
        <is>
          <t>Ian Plamondon</t>
        </is>
      </c>
    </row>
    <row r="2755">
      <c r="A2755" s="9" t="inlineStr">
        <is>
          <t>Philip Thomas</t>
        </is>
      </c>
      <c r="B2755" s="9" t="inlineStr">
        <is>
          <t>4/19/26 - 5/16/26</t>
        </is>
      </c>
      <c r="C2755" s="12" t="n">
        <v>0.9917</v>
      </c>
      <c r="D2755" s="12" t="n">
        <v>1.3668</v>
      </c>
      <c r="E2755" s="12" t="n">
        <v>0.423076923</v>
      </c>
      <c r="F2755" s="12" t="n">
        <v>0.027</v>
      </c>
      <c r="G2755" s="12" t="n">
        <v>0.25</v>
      </c>
      <c r="I2755" s="32" t="inlineStr">
        <is>
          <t>0/3</t>
        </is>
      </c>
      <c r="J2755" s="14" t="n">
        <v>0</v>
      </c>
      <c r="K2755" t="inlineStr">
        <is>
          <t>Premium</t>
        </is>
      </c>
      <c r="L2755" t="inlineStr">
        <is>
          <t>Professional</t>
        </is>
      </c>
      <c r="M2755" t="inlineStr">
        <is>
          <t>Annelies de Groot</t>
        </is>
      </c>
    </row>
    <row r="2756">
      <c r="A2756" s="9" t="inlineStr">
        <is>
          <t>Chris Yoon</t>
        </is>
      </c>
      <c r="B2756" s="9" t="inlineStr">
        <is>
          <t>4/19/26 - 5/16/26</t>
        </is>
      </c>
      <c r="C2756" s="12" t="n">
        <v>0.8833</v>
      </c>
      <c r="D2756" s="12" t="n">
        <v>1.0592</v>
      </c>
      <c r="E2756" s="12" t="n">
        <v>0.980769231</v>
      </c>
      <c r="F2756" s="12" t="n">
        <v>0.91</v>
      </c>
      <c r="G2756" s="12" t="n">
        <v>0</v>
      </c>
      <c r="I2756" s="32" t="inlineStr">
        <is>
          <t>0/4</t>
        </is>
      </c>
      <c r="J2756" s="14" t="n">
        <v>0</v>
      </c>
      <c r="K2756" t="inlineStr">
        <is>
          <t>Distinguished</t>
        </is>
      </c>
      <c r="L2756" t="inlineStr">
        <is>
          <t>Professional</t>
        </is>
      </c>
      <c r="M2756" t="inlineStr">
        <is>
          <t>Ian Plamondon</t>
        </is>
      </c>
    </row>
    <row r="2757">
      <c r="A2757" s="9" t="inlineStr">
        <is>
          <t>Craig Street</t>
        </is>
      </c>
      <c r="B2757" s="9" t="inlineStr">
        <is>
          <t>4/19/26 - 5/16/26</t>
        </is>
      </c>
      <c r="C2757" s="12" t="n">
        <v>0.825</v>
      </c>
      <c r="D2757" s="12" t="n">
        <v>1.1184</v>
      </c>
      <c r="E2757" s="12" t="n">
        <v>0.864864865</v>
      </c>
      <c r="F2757" s="12" t="n">
        <v>0.063</v>
      </c>
      <c r="G2757" s="12" t="n">
        <v>0.071428571</v>
      </c>
      <c r="I2757" s="32" t="inlineStr">
        <is>
          <t>0/4</t>
        </is>
      </c>
      <c r="J2757" s="14" t="n">
        <v>0</v>
      </c>
      <c r="K2757" t="inlineStr">
        <is>
          <t>Distinguished</t>
        </is>
      </c>
      <c r="L2757" t="inlineStr">
        <is>
          <t>Professional</t>
        </is>
      </c>
      <c r="M2757" t="inlineStr">
        <is>
          <t>Annelies de Groot</t>
        </is>
      </c>
    </row>
    <row r="2758">
      <c r="A2758" s="9" t="inlineStr">
        <is>
          <t>John Salcedo</t>
        </is>
      </c>
      <c r="B2758" s="9" t="inlineStr">
        <is>
          <t>4/19/26 - 5/16/26</t>
        </is>
      </c>
      <c r="C2758" s="12" t="n">
        <v>1.1107</v>
      </c>
      <c r="D2758" s="12" t="n">
        <v>1.061</v>
      </c>
      <c r="E2758" s="12" t="n">
        <v>0.979166667</v>
      </c>
      <c r="F2758" s="12" t="n">
        <v>0.92</v>
      </c>
      <c r="G2758" s="12" t="n">
        <v>0</v>
      </c>
      <c r="I2758" s="32" t="inlineStr">
        <is>
          <t>0/4</t>
        </is>
      </c>
      <c r="J2758" s="14" t="n">
        <v>0</v>
      </c>
      <c r="K2758" t="inlineStr">
        <is>
          <t>Distinguished</t>
        </is>
      </c>
      <c r="L2758" t="inlineStr">
        <is>
          <t>Professional</t>
        </is>
      </c>
      <c r="M2758" t="inlineStr">
        <is>
          <t>Ela Cross</t>
        </is>
      </c>
    </row>
    <row r="2759">
      <c r="A2759" s="9" t="inlineStr">
        <is>
          <t>Ralph Strope</t>
        </is>
      </c>
      <c r="B2759" s="9" t="inlineStr">
        <is>
          <t>4/19/26 - 5/16/26</t>
        </is>
      </c>
      <c r="C2759" s="12" t="n">
        <v>1.0438</v>
      </c>
      <c r="D2759" s="12" t="n">
        <v>1.0833</v>
      </c>
      <c r="E2759" s="12" t="n">
        <v>0.988235294</v>
      </c>
      <c r="F2759" s="12" t="n">
        <v>0.982</v>
      </c>
      <c r="G2759" s="12" t="n">
        <v>0.769230769</v>
      </c>
      <c r="I2759" s="32" t="inlineStr">
        <is>
          <t>0/5</t>
        </is>
      </c>
      <c r="J2759" s="14" t="n">
        <v>0</v>
      </c>
      <c r="K2759" t="inlineStr">
        <is>
          <t>Distinguished</t>
        </is>
      </c>
      <c r="L2759" t="inlineStr">
        <is>
          <t>Adjunct</t>
        </is>
      </c>
      <c r="M2759" t="inlineStr">
        <is>
          <t>Ela Cross</t>
        </is>
      </c>
    </row>
    <row r="2760">
      <c r="A2760" s="9" t="inlineStr">
        <is>
          <t>Rehan Zaib</t>
        </is>
      </c>
      <c r="B2760" s="9" t="inlineStr">
        <is>
          <t>4/19/26 - 5/16/26</t>
        </is>
      </c>
      <c r="C2760" s="12" t="n">
        <v>1.0792</v>
      </c>
      <c r="D2760" s="12" t="n">
        <v>1.102</v>
      </c>
      <c r="E2760" s="12" t="n">
        <v>0.960629921</v>
      </c>
      <c r="F2760" s="12" t="n">
        <v>0.979</v>
      </c>
      <c r="G2760" s="12" t="n">
        <v>0.708333333</v>
      </c>
      <c r="I2760" s="32" t="inlineStr">
        <is>
          <t>0/5</t>
        </is>
      </c>
      <c r="J2760" s="14" t="n">
        <v>0</v>
      </c>
      <c r="K2760" t="inlineStr">
        <is>
          <t>Distinguished</t>
        </is>
      </c>
      <c r="L2760" t="inlineStr">
        <is>
          <t>Professional</t>
        </is>
      </c>
      <c r="M2760" t="inlineStr">
        <is>
          <t>Ela Cross</t>
        </is>
      </c>
    </row>
    <row r="2761">
      <c r="A2761" s="9" t="inlineStr">
        <is>
          <t>Vincent Cross</t>
        </is>
      </c>
      <c r="B2761" s="9" t="inlineStr">
        <is>
          <t>4/19/26 - 5/16/26</t>
        </is>
      </c>
      <c r="C2761" s="12" t="n">
        <v>0.9833</v>
      </c>
      <c r="D2761" s="12" t="n">
        <v>1.0576</v>
      </c>
      <c r="E2761" s="12" t="n">
        <v>0.980952381</v>
      </c>
      <c r="F2761" s="12" t="n">
        <v>0.872</v>
      </c>
      <c r="G2761" s="12" t="n">
        <v>0.545454545</v>
      </c>
      <c r="I2761" s="32" t="inlineStr">
        <is>
          <t>0/5</t>
        </is>
      </c>
      <c r="J2761" s="14" t="n">
        <v>0</v>
      </c>
      <c r="K2761" t="inlineStr">
        <is>
          <t>Distinguished</t>
        </is>
      </c>
      <c r="L2761" t="inlineStr">
        <is>
          <t>Professional</t>
        </is>
      </c>
      <c r="M2761" t="inlineStr">
        <is>
          <t>Kristin Haase-Alvey</t>
        </is>
      </c>
    </row>
    <row r="2762">
      <c r="A2762" s="9" t="inlineStr">
        <is>
          <t>Amy Kim</t>
        </is>
      </c>
      <c r="B2762" s="9" t="inlineStr">
        <is>
          <t>4/19/26 - 5/16/26</t>
        </is>
      </c>
      <c r="C2762" s="12" t="n">
        <v>0.9125</v>
      </c>
      <c r="D2762" s="12" t="n">
        <v>0.9737</v>
      </c>
      <c r="E2762" s="12" t="n">
        <v>0.953703704</v>
      </c>
      <c r="F2762" s="12" t="n">
        <v>0.724</v>
      </c>
      <c r="G2762" s="12" t="n">
        <v>0.5</v>
      </c>
      <c r="I2762" s="32" t="inlineStr">
        <is>
          <t>0/7</t>
        </is>
      </c>
      <c r="J2762" s="14" t="n">
        <v>0</v>
      </c>
      <c r="K2762" t="inlineStr">
        <is>
          <t>Distinguished</t>
        </is>
      </c>
      <c r="L2762" t="inlineStr">
        <is>
          <t>Professional</t>
        </is>
      </c>
      <c r="M2762" t="inlineStr">
        <is>
          <t>Ela Cross</t>
        </is>
      </c>
    </row>
    <row r="2763">
      <c r="A2763" s="9" t="inlineStr">
        <is>
          <t>Andrew Gehlot</t>
        </is>
      </c>
      <c r="B2763" s="9" t="inlineStr">
        <is>
          <t>4/19/26 - 5/16/26</t>
        </is>
      </c>
      <c r="C2763" s="12" t="n">
        <v>0.7042</v>
      </c>
      <c r="D2763" s="12" t="n">
        <v>1.0345</v>
      </c>
      <c r="E2763" s="12" t="n">
        <v>0.87012987</v>
      </c>
      <c r="F2763" s="12" t="n">
        <v>0.864</v>
      </c>
      <c r="G2763" s="12" t="n">
        <v>0.875</v>
      </c>
      <c r="I2763" s="32" t="inlineStr">
        <is>
          <t>1/1</t>
        </is>
      </c>
      <c r="J2763" s="14" t="n">
        <v>1</v>
      </c>
      <c r="K2763" t="inlineStr">
        <is>
          <t>Premium</t>
        </is>
      </c>
      <c r="L2763" t="inlineStr">
        <is>
          <t>Professional</t>
        </is>
      </c>
      <c r="M2763" t="inlineStr">
        <is>
          <t>Ela Cross</t>
        </is>
      </c>
    </row>
    <row r="2764">
      <c r="A2764" s="9" t="inlineStr">
        <is>
          <t>Anna Gilbert</t>
        </is>
      </c>
      <c r="B2764" s="9" t="inlineStr">
        <is>
          <t>4/19/26 - 5/16/26</t>
        </is>
      </c>
      <c r="C2764" s="12" t="n">
        <v>0.6042</v>
      </c>
      <c r="D2764" s="12" t="n">
        <v>0.875</v>
      </c>
      <c r="E2764" s="12" t="n">
        <v>1</v>
      </c>
      <c r="F2764" s="12" t="n">
        <v>1</v>
      </c>
      <c r="G2764" s="12" t="n">
        <v>0.857142857</v>
      </c>
      <c r="I2764" s="32" t="inlineStr">
        <is>
          <t>1/1</t>
        </is>
      </c>
      <c r="J2764" s="14" t="n">
        <v>1</v>
      </c>
      <c r="K2764" t="inlineStr">
        <is>
          <t>Distinguished</t>
        </is>
      </c>
      <c r="L2764" t="inlineStr">
        <is>
          <t>Adjunct</t>
        </is>
      </c>
      <c r="M2764" t="inlineStr">
        <is>
          <t>Kristin Haase-Alvey</t>
        </is>
      </c>
    </row>
    <row r="2765">
      <c r="A2765" s="9" t="inlineStr">
        <is>
          <t>Ashley Scorsone</t>
        </is>
      </c>
      <c r="B2765" s="9" t="inlineStr">
        <is>
          <t>4/19/26 - 5/16/26</t>
        </is>
      </c>
      <c r="C2765" s="12" t="n">
        <v>1.0018</v>
      </c>
      <c r="D2765" s="12" t="n">
        <v>1.4404</v>
      </c>
      <c r="E2765" s="12" t="n">
        <v>0.9398496240000001</v>
      </c>
      <c r="F2765" s="12" t="n">
        <v>0.96</v>
      </c>
      <c r="G2765" s="12" t="n">
        <v>0.92</v>
      </c>
      <c r="I2765" s="32" t="inlineStr">
        <is>
          <t>1/1</t>
        </is>
      </c>
      <c r="J2765" s="14" t="n">
        <v>1</v>
      </c>
      <c r="K2765" t="inlineStr">
        <is>
          <t>Premium</t>
        </is>
      </c>
      <c r="L2765" t="inlineStr">
        <is>
          <t>Professional</t>
        </is>
      </c>
      <c r="M2765" t="inlineStr">
        <is>
          <t>Geoff St. Marie</t>
        </is>
      </c>
    </row>
    <row r="2766">
      <c r="A2766" s="9" t="inlineStr">
        <is>
          <t>Ben Taylor</t>
        </is>
      </c>
      <c r="B2766" s="9" t="inlineStr">
        <is>
          <t>4/19/26 - 5/16/26</t>
        </is>
      </c>
      <c r="C2766" s="12" t="n">
        <v>0.4833</v>
      </c>
      <c r="D2766" s="12" t="n">
        <v>1.4208</v>
      </c>
      <c r="E2766" s="12" t="n">
        <v>1</v>
      </c>
      <c r="F2766" s="12" t="n">
        <v>1</v>
      </c>
      <c r="G2766" s="12" t="n">
        <v>1</v>
      </c>
      <c r="I2766" s="32" t="inlineStr">
        <is>
          <t>1/1</t>
        </is>
      </c>
      <c r="J2766" s="14" t="n">
        <v>1</v>
      </c>
      <c r="K2766" t="inlineStr">
        <is>
          <t>Premium</t>
        </is>
      </c>
      <c r="L2766" t="inlineStr">
        <is>
          <t>Professional</t>
        </is>
      </c>
      <c r="M2766" t="inlineStr">
        <is>
          <t>Kristin Haase-Alvey</t>
        </is>
      </c>
    </row>
    <row r="2767">
      <c r="A2767" s="9" t="inlineStr">
        <is>
          <t>Breanna Lowe</t>
        </is>
      </c>
      <c r="B2767" s="9" t="inlineStr">
        <is>
          <t>4/19/26 - 5/16/26</t>
        </is>
      </c>
      <c r="C2767" s="12" t="n">
        <v>0.0375</v>
      </c>
      <c r="D2767" s="12" t="n">
        <v>0.8229</v>
      </c>
      <c r="E2767" s="12" t="n">
        <v>1</v>
      </c>
      <c r="F2767" s="12" t="n">
        <v>1</v>
      </c>
      <c r="I2767" s="32" t="inlineStr">
        <is>
          <t>1/1</t>
        </is>
      </c>
      <c r="J2767" s="14" t="n">
        <v>1</v>
      </c>
      <c r="K2767" t="e">
        <v>#N/A</v>
      </c>
      <c r="L2767" t="e">
        <v>#N/A</v>
      </c>
      <c r="M2767" t="e">
        <v>#N/A</v>
      </c>
    </row>
    <row r="2768">
      <c r="A2768" s="9" t="inlineStr">
        <is>
          <t>Brian Cohen</t>
        </is>
      </c>
      <c r="B2768" s="9" t="inlineStr">
        <is>
          <t>4/19/26 - 5/16/26</t>
        </is>
      </c>
      <c r="C2768" s="12" t="n">
        <v>0.9688</v>
      </c>
      <c r="D2768" s="12" t="n">
        <v>0.9453</v>
      </c>
      <c r="E2768" s="12" t="n">
        <v>1</v>
      </c>
      <c r="F2768" s="12" t="n">
        <v>0.975</v>
      </c>
      <c r="G2768" s="12" t="n">
        <v>1</v>
      </c>
      <c r="I2768" s="32" t="inlineStr">
        <is>
          <t>1/1</t>
        </is>
      </c>
      <c r="J2768" s="14" t="n">
        <v>1</v>
      </c>
      <c r="K2768" t="inlineStr">
        <is>
          <t>Premium</t>
        </is>
      </c>
      <c r="L2768" t="inlineStr">
        <is>
          <t>Adjunct</t>
        </is>
      </c>
      <c r="M2768" t="inlineStr">
        <is>
          <t>Annelies de Groot</t>
        </is>
      </c>
    </row>
    <row r="2769">
      <c r="A2769" s="9" t="inlineStr">
        <is>
          <t>Cameron Hojecki</t>
        </is>
      </c>
      <c r="B2769" s="9" t="inlineStr">
        <is>
          <t>4/19/26 - 5/16/26</t>
        </is>
      </c>
      <c r="C2769" s="12" t="n">
        <v>0.7125</v>
      </c>
      <c r="D2769" s="12" t="n">
        <v>1.2031</v>
      </c>
      <c r="E2769" s="12" t="n">
        <v>0.914893617</v>
      </c>
      <c r="F2769" s="12" t="n">
        <v>0.707</v>
      </c>
      <c r="G2769" s="12" t="n">
        <v>0.615384615</v>
      </c>
      <c r="I2769" s="32" t="inlineStr">
        <is>
          <t>1/1</t>
        </is>
      </c>
      <c r="J2769" s="14" t="n">
        <v>1</v>
      </c>
      <c r="K2769" t="inlineStr">
        <is>
          <t>Advanced</t>
        </is>
      </c>
      <c r="L2769" t="inlineStr">
        <is>
          <t>Adjunct</t>
        </is>
      </c>
      <c r="M2769" t="inlineStr">
        <is>
          <t>Geoff St. Marie</t>
        </is>
      </c>
    </row>
    <row r="2770">
      <c r="A2770" s="9" t="inlineStr">
        <is>
          <t>Cheyanne Jones</t>
        </is>
      </c>
      <c r="B2770" s="9" t="inlineStr">
        <is>
          <t>4/19/26 - 5/16/26</t>
        </is>
      </c>
      <c r="C2770" s="12" t="n">
        <v>1.0875</v>
      </c>
      <c r="D2770" s="12" t="n">
        <v>1.023</v>
      </c>
      <c r="E2770" s="12" t="n">
        <v>1</v>
      </c>
      <c r="F2770" s="12" t="n">
        <v>1</v>
      </c>
      <c r="G2770" s="12" t="n">
        <v>0.923076923</v>
      </c>
      <c r="I2770" s="32" t="inlineStr">
        <is>
          <t>1/1</t>
        </is>
      </c>
      <c r="J2770" s="14" t="n">
        <v>1</v>
      </c>
      <c r="K2770" t="inlineStr">
        <is>
          <t>Distinguished</t>
        </is>
      </c>
      <c r="L2770" t="inlineStr">
        <is>
          <t>Professional</t>
        </is>
      </c>
      <c r="M2770" t="inlineStr">
        <is>
          <t>Kristin Haase-Alvey</t>
        </is>
      </c>
    </row>
    <row r="2771">
      <c r="A2771" s="9" t="inlineStr">
        <is>
          <t>Chris Prouty</t>
        </is>
      </c>
      <c r="B2771" s="9" t="inlineStr">
        <is>
          <t>4/19/26 - 5/16/26</t>
        </is>
      </c>
      <c r="C2771" s="12" t="n">
        <v>0.9875</v>
      </c>
      <c r="D2771" s="12" t="n">
        <v>1.1458</v>
      </c>
      <c r="E2771" s="12" t="n">
        <v>0.9866666670000001</v>
      </c>
      <c r="F2771" s="12" t="n">
        <v>1</v>
      </c>
      <c r="G2771" s="12" t="n">
        <v>1</v>
      </c>
      <c r="I2771" s="32" t="inlineStr">
        <is>
          <t>1/1</t>
        </is>
      </c>
      <c r="J2771" s="14" t="n">
        <v>1</v>
      </c>
      <c r="K2771" t="inlineStr">
        <is>
          <t>Premium</t>
        </is>
      </c>
      <c r="L2771" t="inlineStr">
        <is>
          <t>Adjunct</t>
        </is>
      </c>
      <c r="M2771" t="inlineStr">
        <is>
          <t>Annelies de Groot</t>
        </is>
      </c>
    </row>
    <row r="2772">
      <c r="A2772" s="9" t="inlineStr">
        <is>
          <t>Christian Steiner</t>
        </is>
      </c>
      <c r="B2772" s="9" t="inlineStr">
        <is>
          <t>4/19/26 - 5/16/26</t>
        </is>
      </c>
      <c r="C2772" s="12" t="n">
        <v>1.075</v>
      </c>
      <c r="D2772" s="12" t="n">
        <v>1.0954</v>
      </c>
      <c r="E2772" s="12" t="n">
        <v>0.936507937</v>
      </c>
      <c r="F2772" s="12" t="n">
        <v>0.972</v>
      </c>
      <c r="G2772" s="12" t="n">
        <v>0.826086957</v>
      </c>
      <c r="I2772" s="32" t="inlineStr">
        <is>
          <t>1/1</t>
        </is>
      </c>
      <c r="J2772" s="14" t="n">
        <v>1</v>
      </c>
      <c r="K2772" t="inlineStr">
        <is>
          <t>Distinguished</t>
        </is>
      </c>
      <c r="L2772" t="inlineStr">
        <is>
          <t>Professional</t>
        </is>
      </c>
      <c r="M2772" t="inlineStr">
        <is>
          <t>Kristin Haase-Alvey</t>
        </is>
      </c>
    </row>
    <row r="2773">
      <c r="A2773" s="9" t="inlineStr">
        <is>
          <t>Denise Jefferson</t>
        </is>
      </c>
      <c r="B2773" s="9" t="inlineStr">
        <is>
          <t>4/19/26 - 5/16/26</t>
        </is>
      </c>
      <c r="C2773" s="12" t="n">
        <v>0.0625</v>
      </c>
      <c r="D2773" s="12" t="n">
        <v>0.9530999999999999</v>
      </c>
      <c r="E2773" s="12" t="n">
        <v>1</v>
      </c>
      <c r="F2773" s="12" t="n">
        <v>0.667</v>
      </c>
      <c r="I2773" s="32" t="inlineStr">
        <is>
          <t>1/1</t>
        </is>
      </c>
      <c r="J2773" s="14" t="n">
        <v>1</v>
      </c>
      <c r="K2773" t="inlineStr">
        <is>
          <t>Distinguished</t>
        </is>
      </c>
      <c r="L2773" t="inlineStr">
        <is>
          <t>Adjunct</t>
        </is>
      </c>
      <c r="M2773" t="inlineStr">
        <is>
          <t>Ela Cross</t>
        </is>
      </c>
    </row>
    <row r="2774">
      <c r="A2774" s="9" t="inlineStr">
        <is>
          <t>Eddie Rodriguez</t>
        </is>
      </c>
      <c r="B2774" s="9" t="inlineStr">
        <is>
          <t>4/19/26 - 5/16/26</t>
        </is>
      </c>
      <c r="C2774" s="12" t="n">
        <v>0.9486</v>
      </c>
      <c r="D2774" s="12" t="n">
        <v>0.9786</v>
      </c>
      <c r="E2774" s="12" t="n">
        <v>1</v>
      </c>
      <c r="F2774" s="12" t="n">
        <v>0.987</v>
      </c>
      <c r="G2774" s="12" t="n">
        <v>0.666666667</v>
      </c>
      <c r="I2774" s="32" t="inlineStr">
        <is>
          <t>1/1</t>
        </is>
      </c>
      <c r="J2774" s="14" t="n">
        <v>1</v>
      </c>
      <c r="K2774" t="inlineStr">
        <is>
          <t>Distinguished</t>
        </is>
      </c>
      <c r="L2774" t="inlineStr">
        <is>
          <t>Professional</t>
        </is>
      </c>
      <c r="M2774" t="inlineStr">
        <is>
          <t>Ian Plamondon</t>
        </is>
      </c>
    </row>
    <row r="2775">
      <c r="A2775" s="9" t="inlineStr">
        <is>
          <t>Elain Ng</t>
        </is>
      </c>
      <c r="B2775" s="9" t="inlineStr">
        <is>
          <t>4/19/26 - 5/16/26</t>
        </is>
      </c>
      <c r="C2775" s="12" t="n">
        <v>1.0813</v>
      </c>
      <c r="D2775" s="12" t="n">
        <v>1.0651</v>
      </c>
      <c r="E2775" s="12" t="n">
        <v>0.975609756</v>
      </c>
      <c r="F2775" s="12" t="n">
        <v>0.984</v>
      </c>
      <c r="G2775" s="12" t="n">
        <v>0.466666667</v>
      </c>
      <c r="I2775" s="32" t="inlineStr">
        <is>
          <t>1/1</t>
        </is>
      </c>
      <c r="J2775" s="14" t="n">
        <v>1</v>
      </c>
      <c r="K2775" t="inlineStr">
        <is>
          <t>Distinguished</t>
        </is>
      </c>
      <c r="L2775" t="inlineStr">
        <is>
          <t>Adjunct</t>
        </is>
      </c>
      <c r="M2775" t="inlineStr">
        <is>
          <t>Ela Cross</t>
        </is>
      </c>
    </row>
    <row r="2776">
      <c r="A2776" s="9" t="inlineStr">
        <is>
          <t>Elizabeth Simons</t>
        </is>
      </c>
      <c r="B2776" s="9" t="inlineStr">
        <is>
          <t>4/19/26 - 5/16/26</t>
        </is>
      </c>
      <c r="C2776" s="12" t="n">
        <v>1.0833</v>
      </c>
      <c r="D2776" s="12" t="n">
        <v>1.0977</v>
      </c>
      <c r="E2776" s="12" t="n">
        <v>1</v>
      </c>
      <c r="F2776" s="12" t="n">
        <v>1</v>
      </c>
      <c r="G2776" s="12" t="n">
        <v>0.909090909</v>
      </c>
      <c r="I2776" s="32" t="inlineStr">
        <is>
          <t>1/1</t>
        </is>
      </c>
      <c r="J2776" s="14" t="n">
        <v>1</v>
      </c>
      <c r="K2776" t="inlineStr">
        <is>
          <t>Distinguished</t>
        </is>
      </c>
      <c r="L2776" t="inlineStr">
        <is>
          <t>Adjunct</t>
        </is>
      </c>
      <c r="M2776" t="inlineStr">
        <is>
          <t>Kristin Haase-Alvey</t>
        </is>
      </c>
    </row>
    <row r="2777">
      <c r="A2777" s="9" t="inlineStr">
        <is>
          <t>Jessica Menkhus</t>
        </is>
      </c>
      <c r="B2777" s="9" t="inlineStr">
        <is>
          <t>4/19/26 - 5/16/26</t>
        </is>
      </c>
      <c r="C2777" s="12" t="n">
        <v>0.9063</v>
      </c>
      <c r="D2777" s="12" t="n">
        <v>1.4102</v>
      </c>
      <c r="E2777" s="12" t="n">
        <v>1</v>
      </c>
      <c r="F2777" s="12" t="n">
        <v>0.969</v>
      </c>
      <c r="G2777" s="12" t="n">
        <v>0.75</v>
      </c>
      <c r="I2777" s="32" t="inlineStr">
        <is>
          <t>1/1</t>
        </is>
      </c>
      <c r="J2777" s="14" t="n">
        <v>1</v>
      </c>
      <c r="K2777" t="inlineStr">
        <is>
          <t>Premium</t>
        </is>
      </c>
      <c r="L2777" t="inlineStr">
        <is>
          <t>Adjunct</t>
        </is>
      </c>
      <c r="M2777" t="inlineStr">
        <is>
          <t>Ela Cross</t>
        </is>
      </c>
    </row>
    <row r="2778">
      <c r="A2778" s="9" t="inlineStr">
        <is>
          <t>Jessica Peterson</t>
        </is>
      </c>
      <c r="B2778" s="9" t="inlineStr">
        <is>
          <t>4/19/26 - 5/16/26</t>
        </is>
      </c>
      <c r="C2778" s="12" t="n">
        <v>0.9688</v>
      </c>
      <c r="D2778" s="12" t="n">
        <v>0.9727</v>
      </c>
      <c r="E2778" s="12" t="n">
        <v>0.95</v>
      </c>
      <c r="F2778" s="12" t="n">
        <v>1</v>
      </c>
      <c r="G2778" s="12" t="n">
        <v>1</v>
      </c>
      <c r="I2778" s="32" t="inlineStr">
        <is>
          <t>1/1</t>
        </is>
      </c>
      <c r="J2778" s="14" t="n">
        <v>1</v>
      </c>
      <c r="K2778" t="inlineStr">
        <is>
          <t>Premium</t>
        </is>
      </c>
      <c r="L2778" t="inlineStr">
        <is>
          <t>Adjunct</t>
        </is>
      </c>
      <c r="M2778" t="inlineStr">
        <is>
          <t>Annelies de Groot</t>
        </is>
      </c>
    </row>
    <row r="2779">
      <c r="A2779" s="9" t="inlineStr">
        <is>
          <t>Johnny Kaplan</t>
        </is>
      </c>
      <c r="B2779" s="9" t="inlineStr">
        <is>
          <t>4/19/26 - 5/16/26</t>
        </is>
      </c>
      <c r="C2779" s="12" t="n">
        <v>0.7604</v>
      </c>
      <c r="D2779" s="12" t="n">
        <v>0.9102</v>
      </c>
      <c r="E2779" s="12" t="n">
        <v>1</v>
      </c>
      <c r="F2779" s="12" t="n">
        <v>1</v>
      </c>
      <c r="G2779" s="12" t="n">
        <v>0.333333333</v>
      </c>
      <c r="I2779" s="32" t="inlineStr">
        <is>
          <t>1/1</t>
        </is>
      </c>
      <c r="J2779" s="14" t="n">
        <v>1</v>
      </c>
      <c r="K2779" t="inlineStr">
        <is>
          <t>Advanced</t>
        </is>
      </c>
      <c r="L2779" t="inlineStr">
        <is>
          <t>Adjunct</t>
        </is>
      </c>
      <c r="M2779" t="inlineStr">
        <is>
          <t>Ian Plamondon</t>
        </is>
      </c>
    </row>
    <row r="2780">
      <c r="A2780" s="9" t="inlineStr">
        <is>
          <t>Justin Hill</t>
        </is>
      </c>
      <c r="B2780" s="9" t="inlineStr">
        <is>
          <t>4/19/26 - 5/16/26</t>
        </is>
      </c>
      <c r="C2780" s="12" t="n">
        <v>0.9</v>
      </c>
      <c r="D2780" s="12" t="n">
        <v>0.9704</v>
      </c>
      <c r="E2780" s="12" t="n">
        <v>1</v>
      </c>
      <c r="F2780" s="12" t="n">
        <v>0.971</v>
      </c>
      <c r="G2780" s="12" t="n">
        <v>1</v>
      </c>
      <c r="I2780" s="32" t="inlineStr">
        <is>
          <t>1/1</t>
        </is>
      </c>
      <c r="J2780" s="14" t="n">
        <v>1</v>
      </c>
      <c r="K2780" t="inlineStr">
        <is>
          <t>Distinguished</t>
        </is>
      </c>
      <c r="L2780" t="inlineStr">
        <is>
          <t>Professional</t>
        </is>
      </c>
      <c r="M2780" t="inlineStr">
        <is>
          <t>Kristin Haase-Alvey</t>
        </is>
      </c>
    </row>
    <row r="2781">
      <c r="A2781" s="9" t="inlineStr">
        <is>
          <t>Kailot Harris</t>
        </is>
      </c>
      <c r="B2781" s="9" t="inlineStr">
        <is>
          <t>4/19/26 - 5/16/26</t>
        </is>
      </c>
      <c r="C2781" s="12" t="n">
        <v>0.9607</v>
      </c>
      <c r="D2781" s="12" t="n">
        <v>1.0174</v>
      </c>
      <c r="E2781" s="12" t="n">
        <v>0.984962406</v>
      </c>
      <c r="F2781" s="12" t="n">
        <v>0.967</v>
      </c>
      <c r="G2781" s="12" t="n">
        <v>0.875</v>
      </c>
      <c r="I2781" s="32" t="inlineStr">
        <is>
          <t>1/1</t>
        </is>
      </c>
      <c r="J2781" s="14" t="n">
        <v>1</v>
      </c>
      <c r="K2781" t="inlineStr">
        <is>
          <t>Distinguished</t>
        </is>
      </c>
      <c r="L2781" t="inlineStr">
        <is>
          <t>Professional</t>
        </is>
      </c>
      <c r="M2781" t="inlineStr">
        <is>
          <t>Kristin Haase-Alvey</t>
        </is>
      </c>
    </row>
    <row r="2782">
      <c r="A2782" s="9" t="inlineStr">
        <is>
          <t>Lisa Bartle</t>
        </is>
      </c>
      <c r="B2782" s="9" t="inlineStr">
        <is>
          <t>4/19/26 - 5/16/26</t>
        </is>
      </c>
      <c r="C2782" s="12" t="n">
        <v>1.3958</v>
      </c>
      <c r="D2782" s="12" t="n">
        <v>1.5039</v>
      </c>
      <c r="E2782" s="12" t="n">
        <v>0.949152542</v>
      </c>
      <c r="F2782" s="12" t="n">
        <v>0.744</v>
      </c>
      <c r="G2782" s="12" t="n">
        <v>0.846153846</v>
      </c>
      <c r="I2782" s="32" t="inlineStr">
        <is>
          <t>1/1</t>
        </is>
      </c>
      <c r="J2782" s="14" t="n">
        <v>1</v>
      </c>
      <c r="K2782" t="inlineStr">
        <is>
          <t>Premium</t>
        </is>
      </c>
      <c r="L2782" t="inlineStr">
        <is>
          <t>Adjunct</t>
        </is>
      </c>
      <c r="M2782" t="inlineStr">
        <is>
          <t>Annelies de Groot</t>
        </is>
      </c>
    </row>
    <row r="2783">
      <c r="A2783" s="9" t="inlineStr">
        <is>
          <t>Melinda Mergendahl</t>
        </is>
      </c>
      <c r="B2783" s="9" t="inlineStr">
        <is>
          <t>4/19/26 - 5/16/26</t>
        </is>
      </c>
      <c r="C2783" s="12" t="n">
        <v>0.7625</v>
      </c>
      <c r="D2783" s="12" t="n">
        <v>1.125</v>
      </c>
      <c r="E2783" s="12" t="n">
        <v>1</v>
      </c>
      <c r="F2783" s="12" t="n">
        <v>0.93</v>
      </c>
      <c r="G2783" s="12" t="n">
        <v>0.9375</v>
      </c>
      <c r="I2783" s="32" t="inlineStr">
        <is>
          <t>1/1</t>
        </is>
      </c>
      <c r="J2783" s="14" t="n">
        <v>1</v>
      </c>
      <c r="K2783" t="inlineStr">
        <is>
          <t>Distinguished</t>
        </is>
      </c>
      <c r="L2783" t="inlineStr">
        <is>
          <t>Adjunct</t>
        </is>
      </c>
      <c r="M2783" t="inlineStr">
        <is>
          <t>Geoff St. Marie</t>
        </is>
      </c>
    </row>
    <row r="2784">
      <c r="A2784" s="9" t="inlineStr">
        <is>
          <t>Ore Williams</t>
        </is>
      </c>
      <c r="B2784" s="9" t="inlineStr">
        <is>
          <t>4/19/26 - 5/16/26</t>
        </is>
      </c>
      <c r="C2784" s="12" t="n">
        <v>0.9583</v>
      </c>
      <c r="D2784" s="12" t="n">
        <v>1.3281</v>
      </c>
      <c r="E2784" s="12" t="n">
        <v>1</v>
      </c>
      <c r="F2784" s="12" t="n">
        <v>1</v>
      </c>
      <c r="G2784" s="12" t="n">
        <v>1</v>
      </c>
      <c r="I2784" s="32" t="inlineStr">
        <is>
          <t>1/1</t>
        </is>
      </c>
      <c r="J2784" s="14" t="n">
        <v>1</v>
      </c>
      <c r="K2784" t="inlineStr">
        <is>
          <t>Advanced</t>
        </is>
      </c>
      <c r="L2784" t="inlineStr">
        <is>
          <t>Adjunct</t>
        </is>
      </c>
      <c r="M2784" t="inlineStr">
        <is>
          <t>Ela Cross</t>
        </is>
      </c>
    </row>
    <row r="2785">
      <c r="A2785" s="9" t="inlineStr">
        <is>
          <t>Patricia Flores</t>
        </is>
      </c>
      <c r="B2785" s="9" t="inlineStr">
        <is>
          <t>4/19/26 - 5/16/26</t>
        </is>
      </c>
      <c r="C2785" s="12" t="n">
        <v>0.8</v>
      </c>
      <c r="D2785" s="12" t="n">
        <v>1.0521</v>
      </c>
      <c r="E2785" s="12" t="n">
        <v>0.916666667</v>
      </c>
      <c r="F2785" s="12" t="n">
        <v>0.829</v>
      </c>
      <c r="G2785" s="12" t="n">
        <v>0.875</v>
      </c>
      <c r="I2785" s="32" t="inlineStr">
        <is>
          <t>1/1</t>
        </is>
      </c>
      <c r="J2785" s="14" t="n">
        <v>1</v>
      </c>
      <c r="K2785" t="inlineStr">
        <is>
          <t>Distinguished</t>
        </is>
      </c>
      <c r="L2785" t="inlineStr">
        <is>
          <t>Adjunct</t>
        </is>
      </c>
      <c r="M2785" t="inlineStr">
        <is>
          <t>Ela Cross</t>
        </is>
      </c>
    </row>
    <row r="2786">
      <c r="A2786" s="9" t="inlineStr">
        <is>
          <t>Syrae Jennings</t>
        </is>
      </c>
      <c r="B2786" s="9" t="inlineStr">
        <is>
          <t>4/19/26 - 5/16/26</t>
        </is>
      </c>
      <c r="C2786" s="12" t="n">
        <v>0.7396</v>
      </c>
      <c r="D2786" s="12" t="n">
        <v>1.4141</v>
      </c>
      <c r="E2786" s="12" t="n">
        <v>1</v>
      </c>
      <c r="F2786" s="12" t="n">
        <v>1</v>
      </c>
      <c r="G2786" s="12" t="n">
        <v>0.909090909</v>
      </c>
      <c r="I2786" s="32" t="inlineStr">
        <is>
          <t>1/1</t>
        </is>
      </c>
      <c r="J2786" s="14" t="n">
        <v>1</v>
      </c>
      <c r="K2786" t="inlineStr">
        <is>
          <t>Advanced</t>
        </is>
      </c>
      <c r="L2786" t="inlineStr">
        <is>
          <t>Adjunct</t>
        </is>
      </c>
      <c r="M2786" t="inlineStr">
        <is>
          <t>Ian Plamondon</t>
        </is>
      </c>
    </row>
    <row r="2787">
      <c r="A2787" s="9" t="inlineStr">
        <is>
          <t>Valdenis Iancu</t>
        </is>
      </c>
      <c r="B2787" s="9" t="inlineStr">
        <is>
          <t>4/19/26 - 5/16/26</t>
        </is>
      </c>
      <c r="C2787" s="12" t="n">
        <v>0.9208</v>
      </c>
      <c r="D2787" s="12" t="n">
        <v>1.0428</v>
      </c>
      <c r="E2787" s="12" t="n">
        <v>0.990740741</v>
      </c>
      <c r="F2787" s="12" t="n">
        <v>1</v>
      </c>
      <c r="G2787" s="12" t="n">
        <v>0.863636364</v>
      </c>
      <c r="I2787" s="32" t="inlineStr">
        <is>
          <t>1/1</t>
        </is>
      </c>
      <c r="J2787" s="14" t="n">
        <v>1</v>
      </c>
      <c r="K2787" t="inlineStr">
        <is>
          <t>Premium</t>
        </is>
      </c>
      <c r="L2787" t="inlineStr">
        <is>
          <t>Professional</t>
        </is>
      </c>
      <c r="M2787" t="inlineStr">
        <is>
          <t>Ian Plamondon</t>
        </is>
      </c>
    </row>
    <row r="2788">
      <c r="A2788" s="9" t="inlineStr">
        <is>
          <t>Zack Robertson</t>
        </is>
      </c>
      <c r="B2788" s="9" t="inlineStr">
        <is>
          <t>4/19/26 - 5/16/26</t>
        </is>
      </c>
      <c r="C2788" s="12" t="n">
        <v>1.0083</v>
      </c>
      <c r="D2788" s="12" t="n">
        <v>1.0724</v>
      </c>
      <c r="E2788" s="12" t="n">
        <v>1</v>
      </c>
      <c r="F2788" s="12" t="n">
        <v>0.952</v>
      </c>
      <c r="G2788" s="12" t="n">
        <v>0.964285714</v>
      </c>
      <c r="I2788" s="32" t="inlineStr">
        <is>
          <t>1/1</t>
        </is>
      </c>
      <c r="J2788" s="14" t="n">
        <v>1</v>
      </c>
      <c r="K2788" t="inlineStr">
        <is>
          <t>Distinguished</t>
        </is>
      </c>
      <c r="L2788" t="inlineStr">
        <is>
          <t>Professional</t>
        </is>
      </c>
      <c r="M2788" t="inlineStr">
        <is>
          <t>Kristin Haase-Alvey</t>
        </is>
      </c>
    </row>
    <row r="2789">
      <c r="A2789" s="9" t="inlineStr">
        <is>
          <t>Ernie Chu</t>
        </is>
      </c>
      <c r="B2789" s="9" t="inlineStr">
        <is>
          <t>4/19/26 - 5/16/26</t>
        </is>
      </c>
      <c r="C2789" s="12" t="n">
        <v>1.3042</v>
      </c>
      <c r="D2789" s="12" t="n">
        <v>1.1414</v>
      </c>
      <c r="E2789" s="12" t="n">
        <v>1</v>
      </c>
      <c r="F2789" s="12" t="n">
        <v>0.963</v>
      </c>
      <c r="G2789" s="12" t="n">
        <v>0.909090909</v>
      </c>
      <c r="I2789" s="32" t="inlineStr">
        <is>
          <t>1/12</t>
        </is>
      </c>
      <c r="J2789" s="14" t="n">
        <v>0.08333333333333333</v>
      </c>
      <c r="K2789" t="inlineStr">
        <is>
          <t>Distinguished</t>
        </is>
      </c>
      <c r="L2789" t="inlineStr">
        <is>
          <t>Professional</t>
        </is>
      </c>
      <c r="M2789" t="inlineStr">
        <is>
          <t>Geoff St. Marie</t>
        </is>
      </c>
    </row>
    <row r="2790">
      <c r="A2790" s="9" t="inlineStr">
        <is>
          <t>Andrew Brown</t>
        </is>
      </c>
      <c r="B2790" s="9" t="inlineStr">
        <is>
          <t>4/19/26 - 5/16/26</t>
        </is>
      </c>
      <c r="C2790" s="12" t="n">
        <v>1.1667</v>
      </c>
      <c r="D2790" s="12" t="n">
        <v>1.2319</v>
      </c>
      <c r="E2790" s="12" t="n">
        <v>0.984962406</v>
      </c>
      <c r="F2790" s="12" t="n">
        <v>0.968</v>
      </c>
      <c r="G2790" s="12" t="n">
        <v>0.64</v>
      </c>
      <c r="I2790" s="32" t="inlineStr">
        <is>
          <t>1/2</t>
        </is>
      </c>
      <c r="J2790" s="14" t="n">
        <v>0.5</v>
      </c>
      <c r="K2790" t="inlineStr">
        <is>
          <t>Distinguished</t>
        </is>
      </c>
      <c r="L2790" t="inlineStr">
        <is>
          <t>Professional</t>
        </is>
      </c>
      <c r="M2790" t="inlineStr">
        <is>
          <t>Ian Plamondon</t>
        </is>
      </c>
    </row>
    <row r="2791">
      <c r="A2791" s="9" t="inlineStr">
        <is>
          <t>Bryant Salinas</t>
        </is>
      </c>
      <c r="B2791" s="9" t="inlineStr">
        <is>
          <t>4/19/26 - 5/16/26</t>
        </is>
      </c>
      <c r="C2791" s="12" t="n">
        <v>1.0333</v>
      </c>
      <c r="D2791" s="12" t="n">
        <v>1.1036</v>
      </c>
      <c r="E2791" s="12" t="n">
        <v>0.9380530969999999</v>
      </c>
      <c r="F2791" s="12" t="n">
        <v>0.9399999999999999</v>
      </c>
      <c r="G2791" s="12" t="n">
        <v>0.96</v>
      </c>
      <c r="I2791" s="32" t="inlineStr">
        <is>
          <t>1/2</t>
        </is>
      </c>
      <c r="J2791" s="14" t="n">
        <v>0.5</v>
      </c>
      <c r="K2791" t="inlineStr">
        <is>
          <t>Premium</t>
        </is>
      </c>
      <c r="L2791" t="inlineStr">
        <is>
          <t>Professional</t>
        </is>
      </c>
      <c r="M2791" t="inlineStr">
        <is>
          <t>Geoff St. Marie</t>
        </is>
      </c>
    </row>
    <row r="2792">
      <c r="A2792" s="9" t="inlineStr">
        <is>
          <t>Carina Shanahan</t>
        </is>
      </c>
      <c r="B2792" s="9" t="inlineStr">
        <is>
          <t>4/19/26 - 5/16/26</t>
        </is>
      </c>
      <c r="C2792" s="12" t="n">
        <v>0.9958</v>
      </c>
      <c r="D2792" s="12" t="n">
        <v>0.9095</v>
      </c>
      <c r="E2792" s="12" t="n">
        <v>0.973214286</v>
      </c>
      <c r="F2792" s="12" t="n">
        <v>0.918</v>
      </c>
      <c r="G2792" s="12" t="n">
        <v>0.6296296300000001</v>
      </c>
      <c r="I2792" s="32" t="inlineStr">
        <is>
          <t>1/2</t>
        </is>
      </c>
      <c r="J2792" s="14" t="n">
        <v>0.5</v>
      </c>
      <c r="K2792" t="inlineStr">
        <is>
          <t>Distinguished</t>
        </is>
      </c>
      <c r="L2792" t="inlineStr">
        <is>
          <t>Professional</t>
        </is>
      </c>
      <c r="M2792" t="inlineStr">
        <is>
          <t>Kristin Haase-Alvey</t>
        </is>
      </c>
    </row>
    <row r="2793">
      <c r="A2793" s="9" t="inlineStr">
        <is>
          <t>Cristina Ascenzi Pettenuzzo</t>
        </is>
      </c>
      <c r="B2793" s="9" t="inlineStr">
        <is>
          <t>4/19/26 - 5/16/26</t>
        </is>
      </c>
      <c r="C2793" s="12" t="n">
        <v>0.9667</v>
      </c>
      <c r="D2793" s="12" t="n">
        <v>1.0905</v>
      </c>
      <c r="E2793" s="12" t="n">
        <v>0.973684211</v>
      </c>
      <c r="F2793" s="12" t="n">
        <v>0.9389999999999999</v>
      </c>
      <c r="G2793" s="12" t="n">
        <v>0.827586207</v>
      </c>
      <c r="I2793" s="32" t="inlineStr">
        <is>
          <t>1/2</t>
        </is>
      </c>
      <c r="J2793" s="14" t="n">
        <v>0.5</v>
      </c>
      <c r="K2793" t="inlineStr">
        <is>
          <t>Distinguished</t>
        </is>
      </c>
      <c r="L2793" t="inlineStr">
        <is>
          <t>Professional</t>
        </is>
      </c>
      <c r="M2793" t="inlineStr">
        <is>
          <t>Ian Plamondon</t>
        </is>
      </c>
    </row>
    <row r="2794">
      <c r="A2794" s="9" t="inlineStr">
        <is>
          <t>Daniel Esquivel-Reynoso</t>
        </is>
      </c>
      <c r="B2794" s="9" t="inlineStr">
        <is>
          <t>4/19/26 - 5/16/26</t>
        </is>
      </c>
      <c r="C2794" s="12" t="n">
        <v>1.0625</v>
      </c>
      <c r="D2794" s="12" t="n">
        <v>1.151</v>
      </c>
      <c r="E2794" s="12" t="n">
        <v>1</v>
      </c>
      <c r="F2794" s="12" t="n">
        <v>0.984</v>
      </c>
      <c r="G2794" s="12" t="n">
        <v>0.5</v>
      </c>
      <c r="I2794" s="32" t="inlineStr">
        <is>
          <t>1/2</t>
        </is>
      </c>
      <c r="J2794" s="14" t="n">
        <v>0.5</v>
      </c>
      <c r="K2794" t="inlineStr">
        <is>
          <t>Distinguished</t>
        </is>
      </c>
      <c r="L2794" t="inlineStr">
        <is>
          <t>Adjunct</t>
        </is>
      </c>
      <c r="M2794" t="inlineStr">
        <is>
          <t>Annelies de Groot</t>
        </is>
      </c>
    </row>
    <row r="2795">
      <c r="A2795" s="9" t="inlineStr">
        <is>
          <t>Gabriel Saint Cyr</t>
        </is>
      </c>
      <c r="B2795" s="9" t="inlineStr">
        <is>
          <t>4/19/26 - 5/16/26</t>
        </is>
      </c>
      <c r="C2795" s="12" t="n">
        <v>0.4583</v>
      </c>
      <c r="D2795" s="12" t="n">
        <v>1.1406</v>
      </c>
      <c r="E2795" s="12" t="n">
        <v>1</v>
      </c>
      <c r="F2795" s="12" t="n">
        <v>1</v>
      </c>
      <c r="G2795" s="12" t="n">
        <v>1</v>
      </c>
      <c r="I2795" s="32" t="inlineStr">
        <is>
          <t>1/2</t>
        </is>
      </c>
      <c r="J2795" s="14" t="n">
        <v>0.5</v>
      </c>
      <c r="K2795" t="inlineStr">
        <is>
          <t>Distinguished</t>
        </is>
      </c>
      <c r="L2795" t="inlineStr">
        <is>
          <t>Adjunct</t>
        </is>
      </c>
      <c r="M2795" t="inlineStr">
        <is>
          <t>Geoff St. Marie</t>
        </is>
      </c>
    </row>
    <row r="2796">
      <c r="A2796" s="9" t="inlineStr">
        <is>
          <t>Guha Sriram</t>
        </is>
      </c>
      <c r="B2796" s="9" t="inlineStr">
        <is>
          <t>4/19/26 - 5/16/26</t>
        </is>
      </c>
      <c r="C2796" s="12" t="n">
        <v>0.7917</v>
      </c>
      <c r="D2796" s="12" t="n">
        <v>1.1914</v>
      </c>
      <c r="E2796" s="12" t="n">
        <v>0.941176471</v>
      </c>
      <c r="F2796" s="12" t="n">
        <v>0.731</v>
      </c>
      <c r="G2796" s="12" t="n">
        <v>0</v>
      </c>
      <c r="I2796" s="32" t="inlineStr">
        <is>
          <t>1/2</t>
        </is>
      </c>
      <c r="J2796" s="14" t="n">
        <v>0.5</v>
      </c>
      <c r="K2796" t="inlineStr">
        <is>
          <t>Advanced</t>
        </is>
      </c>
      <c r="L2796" t="inlineStr">
        <is>
          <t>Adjunct</t>
        </is>
      </c>
      <c r="M2796" t="inlineStr">
        <is>
          <t>Annelies de Groot</t>
        </is>
      </c>
    </row>
    <row r="2797">
      <c r="A2797" s="9" t="inlineStr">
        <is>
          <t>Jamaul Pemberton</t>
        </is>
      </c>
      <c r="B2797" s="9" t="inlineStr">
        <is>
          <t>4/19/26 - 5/16/26</t>
        </is>
      </c>
      <c r="C2797" s="12" t="n">
        <v>0.7667</v>
      </c>
      <c r="D2797" s="12" t="n">
        <v>0.9752999999999999</v>
      </c>
      <c r="E2797" s="12" t="n">
        <v>1</v>
      </c>
      <c r="F2797" s="12" t="n">
        <v>0.952</v>
      </c>
      <c r="G2797" s="12" t="n">
        <v>0.9375</v>
      </c>
      <c r="I2797" s="32" t="inlineStr">
        <is>
          <t>1/2</t>
        </is>
      </c>
      <c r="J2797" s="14" t="n">
        <v>0.5</v>
      </c>
      <c r="K2797" t="inlineStr">
        <is>
          <t>Premium</t>
        </is>
      </c>
      <c r="L2797" t="inlineStr">
        <is>
          <t>Professional</t>
        </is>
      </c>
      <c r="M2797" t="inlineStr">
        <is>
          <t>Ian Plamondon</t>
        </is>
      </c>
    </row>
    <row r="2798">
      <c r="A2798" s="9" t="inlineStr">
        <is>
          <t>Jayna Boaz</t>
        </is>
      </c>
      <c r="B2798" s="9" t="inlineStr">
        <is>
          <t>4/19/26 - 5/16/26</t>
        </is>
      </c>
      <c r="C2798" s="12" t="n">
        <v>0.9375</v>
      </c>
      <c r="D2798" s="12" t="n">
        <v>1.4063</v>
      </c>
      <c r="E2798" s="12" t="n">
        <v>0.954545455</v>
      </c>
      <c r="F2798" s="12" t="n">
        <v>0.889</v>
      </c>
      <c r="G2798" s="12" t="n">
        <v>0.714285714</v>
      </c>
      <c r="I2798" s="32" t="inlineStr">
        <is>
          <t>1/2</t>
        </is>
      </c>
      <c r="J2798" s="14" t="n">
        <v>0.5</v>
      </c>
      <c r="K2798" t="inlineStr">
        <is>
          <t>Advanced</t>
        </is>
      </c>
      <c r="L2798" t="inlineStr">
        <is>
          <t>Adjunct</t>
        </is>
      </c>
      <c r="M2798" t="inlineStr">
        <is>
          <t>Ela Cross</t>
        </is>
      </c>
    </row>
    <row r="2799">
      <c r="A2799" s="9" t="inlineStr">
        <is>
          <t>Jesse Squires</t>
        </is>
      </c>
      <c r="B2799" s="9" t="inlineStr">
        <is>
          <t>4/19/26 - 5/16/26</t>
        </is>
      </c>
      <c r="C2799" s="12" t="n">
        <v>0.8958</v>
      </c>
      <c r="D2799" s="12" t="n">
        <v>1.0592</v>
      </c>
      <c r="E2799" s="12" t="n">
        <v>1</v>
      </c>
      <c r="F2799" s="12" t="n">
        <v>0.987</v>
      </c>
      <c r="G2799" s="12" t="n">
        <v>0.8</v>
      </c>
      <c r="I2799" s="32" t="inlineStr">
        <is>
          <t>1/2</t>
        </is>
      </c>
      <c r="J2799" s="14" t="n">
        <v>0.5</v>
      </c>
      <c r="K2799" t="inlineStr">
        <is>
          <t>Distinguished</t>
        </is>
      </c>
      <c r="L2799" t="inlineStr">
        <is>
          <t>Professional</t>
        </is>
      </c>
      <c r="M2799" t="inlineStr">
        <is>
          <t>Kristin Haase-Alvey</t>
        </is>
      </c>
    </row>
    <row r="2800">
      <c r="A2800" s="9" t="inlineStr">
        <is>
          <t>Katherine Clarke</t>
        </is>
      </c>
      <c r="B2800" s="9" t="inlineStr">
        <is>
          <t>4/19/26 - 5/16/26</t>
        </is>
      </c>
      <c r="C2800" s="12" t="n">
        <v>0.6458</v>
      </c>
      <c r="D2800" s="12" t="n">
        <v>0.7533</v>
      </c>
      <c r="E2800" s="12" t="n">
        <v>1</v>
      </c>
      <c r="F2800" s="12" t="n">
        <v>0.902</v>
      </c>
      <c r="G2800" s="12" t="n">
        <v>0.869565217</v>
      </c>
      <c r="I2800" s="32" t="inlineStr">
        <is>
          <t>1/2</t>
        </is>
      </c>
      <c r="J2800" s="14" t="n">
        <v>0.5</v>
      </c>
      <c r="K2800" t="inlineStr">
        <is>
          <t>Distinguished</t>
        </is>
      </c>
      <c r="L2800" t="inlineStr">
        <is>
          <t>Professional</t>
        </is>
      </c>
      <c r="M2800" t="inlineStr">
        <is>
          <t>Kristin Haase-Alvey</t>
        </is>
      </c>
    </row>
    <row r="2801">
      <c r="A2801" s="9" t="inlineStr">
        <is>
          <t>Katherine Dickerson</t>
        </is>
      </c>
      <c r="B2801" s="9" t="inlineStr">
        <is>
          <t>4/19/26 - 5/16/26</t>
        </is>
      </c>
      <c r="C2801" s="12" t="n">
        <v>0.75</v>
      </c>
      <c r="D2801" s="12" t="n">
        <v>1.3241</v>
      </c>
      <c r="E2801" s="12" t="n">
        <v>1</v>
      </c>
      <c r="F2801" s="12" t="n">
        <v>0.922</v>
      </c>
      <c r="G2801" s="12" t="n">
        <v>0.6</v>
      </c>
      <c r="I2801" s="32" t="inlineStr">
        <is>
          <t>1/2</t>
        </is>
      </c>
      <c r="J2801" s="14" t="n">
        <v>0.5</v>
      </c>
      <c r="K2801" t="inlineStr">
        <is>
          <t>Premium</t>
        </is>
      </c>
      <c r="L2801" t="inlineStr">
        <is>
          <t>Professional</t>
        </is>
      </c>
      <c r="M2801" t="inlineStr">
        <is>
          <t>Geoff St. Marie</t>
        </is>
      </c>
    </row>
    <row r="2802">
      <c r="A2802" s="9" t="inlineStr">
        <is>
          <t>Levi Fox</t>
        </is>
      </c>
      <c r="B2802" s="9" t="inlineStr">
        <is>
          <t>4/19/26 - 5/16/26</t>
        </is>
      </c>
      <c r="C2802" s="12" t="n">
        <v>0.8583</v>
      </c>
      <c r="D2802" s="12" t="n">
        <v>1.097</v>
      </c>
      <c r="E2802" s="12" t="n">
        <v>0.96969697</v>
      </c>
      <c r="F2802" s="12" t="n">
        <v>0.975</v>
      </c>
      <c r="G2802" s="12" t="n">
        <v>0.761904762</v>
      </c>
      <c r="I2802" s="32" t="inlineStr">
        <is>
          <t>1/2</t>
        </is>
      </c>
      <c r="J2802" s="14" t="n">
        <v>0.5</v>
      </c>
      <c r="K2802" t="inlineStr">
        <is>
          <t>Premium</t>
        </is>
      </c>
      <c r="L2802" t="inlineStr">
        <is>
          <t>Professional</t>
        </is>
      </c>
      <c r="M2802" t="inlineStr">
        <is>
          <t>Geoff St. Marie</t>
        </is>
      </c>
    </row>
    <row r="2803">
      <c r="A2803" s="9" t="inlineStr">
        <is>
          <t>Nando Reyes</t>
        </is>
      </c>
      <c r="B2803" s="9" t="inlineStr">
        <is>
          <t>4/19/26 - 5/16/26</t>
        </is>
      </c>
      <c r="C2803" s="12" t="n">
        <v>0.6964</v>
      </c>
      <c r="D2803" s="12" t="n">
        <v>1.2907</v>
      </c>
      <c r="E2803" s="12" t="n">
        <v>1</v>
      </c>
      <c r="F2803" s="12" t="n">
        <v>0.926</v>
      </c>
      <c r="G2803" s="12" t="n">
        <v>0.611111111</v>
      </c>
      <c r="I2803" s="32" t="inlineStr">
        <is>
          <t>1/2</t>
        </is>
      </c>
      <c r="J2803" s="14" t="n">
        <v>0.5</v>
      </c>
      <c r="K2803" t="inlineStr">
        <is>
          <t>Distinguished</t>
        </is>
      </c>
      <c r="L2803" t="inlineStr">
        <is>
          <t>Professional</t>
        </is>
      </c>
      <c r="M2803" t="inlineStr">
        <is>
          <t>Geoff St. Marie</t>
        </is>
      </c>
    </row>
    <row r="2804">
      <c r="A2804" s="9" t="inlineStr">
        <is>
          <t>Nik Kososik</t>
        </is>
      </c>
      <c r="B2804" s="9" t="inlineStr">
        <is>
          <t>4/19/26 - 5/16/26</t>
        </is>
      </c>
      <c r="C2804" s="12" t="n">
        <v>1.0125</v>
      </c>
      <c r="D2804" s="12" t="n">
        <v>1.0573</v>
      </c>
      <c r="E2804" s="12" t="n">
        <v>0.935897436</v>
      </c>
      <c r="F2804" s="12" t="n">
        <v>0.963</v>
      </c>
      <c r="G2804" s="12" t="n">
        <v>0.944444444</v>
      </c>
      <c r="I2804" s="32" t="inlineStr">
        <is>
          <t>1/2</t>
        </is>
      </c>
      <c r="J2804" s="14" t="n">
        <v>0.5</v>
      </c>
      <c r="K2804" t="inlineStr">
        <is>
          <t>Distinguished</t>
        </is>
      </c>
      <c r="L2804" t="inlineStr">
        <is>
          <t>Adjunct</t>
        </is>
      </c>
      <c r="M2804" t="inlineStr">
        <is>
          <t>Geoff St. Marie</t>
        </is>
      </c>
    </row>
    <row r="2805">
      <c r="A2805" s="9" t="inlineStr">
        <is>
          <t>Andres Jarquin</t>
        </is>
      </c>
      <c r="B2805" s="9" t="inlineStr">
        <is>
          <t>4/19/26 - 5/16/26</t>
        </is>
      </c>
      <c r="C2805" s="12" t="n">
        <v>0.9708</v>
      </c>
      <c r="D2805" s="12" t="n">
        <v>1.0724</v>
      </c>
      <c r="E2805" s="12" t="n">
        <v>1</v>
      </c>
      <c r="F2805" s="12" t="n">
        <v>0.923</v>
      </c>
      <c r="G2805" s="12" t="n">
        <v>0.454545455</v>
      </c>
      <c r="I2805" s="32" t="inlineStr">
        <is>
          <t>1/3</t>
        </is>
      </c>
      <c r="J2805" s="14" t="n">
        <v>0.33</v>
      </c>
      <c r="K2805" t="inlineStr">
        <is>
          <t>Distinguished</t>
        </is>
      </c>
      <c r="L2805" t="inlineStr">
        <is>
          <t>Professional</t>
        </is>
      </c>
      <c r="M2805" t="inlineStr">
        <is>
          <t>Ian Plamondon</t>
        </is>
      </c>
    </row>
    <row r="2806">
      <c r="A2806" s="9" t="inlineStr">
        <is>
          <t>Eric Chang</t>
        </is>
      </c>
      <c r="B2806" s="9" t="inlineStr">
        <is>
          <t>4/19/26 - 5/16/26</t>
        </is>
      </c>
      <c r="C2806" s="12" t="n">
        <v>0.9417</v>
      </c>
      <c r="D2806" s="12" t="n">
        <v>0.972</v>
      </c>
      <c r="E2806" s="12" t="n">
        <v>0.990566038</v>
      </c>
      <c r="F2806" s="12" t="n">
        <v>0.963</v>
      </c>
      <c r="G2806" s="12" t="n">
        <v>0.807692308</v>
      </c>
      <c r="I2806" s="32" t="inlineStr">
        <is>
          <t>1/3</t>
        </is>
      </c>
      <c r="J2806" s="14" t="n">
        <v>0.33</v>
      </c>
      <c r="K2806" t="inlineStr">
        <is>
          <t>Distinguished</t>
        </is>
      </c>
      <c r="L2806" t="inlineStr">
        <is>
          <t>Professional</t>
        </is>
      </c>
      <c r="M2806" t="inlineStr">
        <is>
          <t>Annelies de Groot</t>
        </is>
      </c>
    </row>
    <row r="2807">
      <c r="A2807" s="9" t="inlineStr">
        <is>
          <t>Megan Ingle</t>
        </is>
      </c>
      <c r="B2807" s="9" t="inlineStr">
        <is>
          <t>4/19/26 - 5/16/26</t>
        </is>
      </c>
      <c r="C2807" s="12" t="n">
        <v>0.7917</v>
      </c>
      <c r="D2807" s="12" t="n">
        <v>0.9530999999999999</v>
      </c>
      <c r="E2807" s="12" t="n">
        <v>1</v>
      </c>
      <c r="F2807" s="12" t="n">
        <v>0.967</v>
      </c>
      <c r="G2807" s="12" t="n">
        <v>0.5</v>
      </c>
      <c r="I2807" s="32" t="inlineStr">
        <is>
          <t>1/3</t>
        </is>
      </c>
      <c r="J2807" s="14" t="n">
        <v>0.33</v>
      </c>
      <c r="K2807" t="inlineStr">
        <is>
          <t>Advanced</t>
        </is>
      </c>
      <c r="L2807" t="inlineStr">
        <is>
          <t>Adjunct</t>
        </is>
      </c>
      <c r="M2807" t="inlineStr">
        <is>
          <t>Geoff St. Marie</t>
        </is>
      </c>
    </row>
    <row r="2808">
      <c r="A2808" s="9" t="inlineStr">
        <is>
          <t>Tommaso Marsella</t>
        </is>
      </c>
      <c r="B2808" s="9" t="inlineStr">
        <is>
          <t>4/19/26 - 5/16/26</t>
        </is>
      </c>
      <c r="C2808" s="12" t="n">
        <v>1.5521</v>
      </c>
      <c r="D2808" s="12" t="n">
        <v>1.5938</v>
      </c>
      <c r="E2808" s="12" t="n">
        <v>1</v>
      </c>
      <c r="F2808" s="12" t="n">
        <v>1</v>
      </c>
      <c r="G2808" s="12" t="n">
        <v>0.615384615</v>
      </c>
      <c r="I2808" s="32" t="inlineStr">
        <is>
          <t>1/3</t>
        </is>
      </c>
      <c r="J2808" s="14" t="n">
        <v>0.33</v>
      </c>
      <c r="K2808" t="inlineStr">
        <is>
          <t>Distinguished</t>
        </is>
      </c>
      <c r="L2808" t="inlineStr">
        <is>
          <t>Adjunct</t>
        </is>
      </c>
      <c r="M2808" t="inlineStr">
        <is>
          <t>Ian Plamondon</t>
        </is>
      </c>
    </row>
    <row r="2809">
      <c r="A2809" s="9" t="inlineStr">
        <is>
          <t>Alexandra Berrios</t>
        </is>
      </c>
      <c r="B2809" s="9" t="inlineStr">
        <is>
          <t>4/19/26 - 5/16/26</t>
        </is>
      </c>
      <c r="C2809" s="12" t="n">
        <v>1.2708</v>
      </c>
      <c r="D2809" s="12" t="n">
        <v>1.1289</v>
      </c>
      <c r="E2809" s="12" t="n">
        <v>1</v>
      </c>
      <c r="F2809" s="12" t="n">
        <v>0.979</v>
      </c>
      <c r="G2809" s="12" t="n">
        <v>1</v>
      </c>
      <c r="I2809" s="32" t="inlineStr">
        <is>
          <t>1/4</t>
        </is>
      </c>
      <c r="J2809" s="14" t="n">
        <v>0.25</v>
      </c>
      <c r="K2809" t="inlineStr">
        <is>
          <t>Distinguished</t>
        </is>
      </c>
      <c r="L2809" t="inlineStr">
        <is>
          <t>Adjunct</t>
        </is>
      </c>
      <c r="M2809" t="inlineStr">
        <is>
          <t>Kristin Haase-Alvey</t>
        </is>
      </c>
    </row>
    <row r="2810">
      <c r="A2810" s="9" t="inlineStr">
        <is>
          <t>Eden Rasmussen</t>
        </is>
      </c>
      <c r="B2810" s="9" t="inlineStr">
        <is>
          <t>4/19/26 - 5/16/26</t>
        </is>
      </c>
      <c r="C2810" s="12" t="n">
        <v>0.8917</v>
      </c>
      <c r="D2810" s="12" t="n">
        <v>1</v>
      </c>
      <c r="E2810" s="12" t="n">
        <v>0.92</v>
      </c>
      <c r="F2810" s="12" t="n">
        <v>0.986</v>
      </c>
      <c r="G2810" s="12" t="n">
        <v>0.555555556</v>
      </c>
      <c r="I2810" s="32" t="inlineStr">
        <is>
          <t>1/4</t>
        </is>
      </c>
      <c r="J2810" s="14" t="n">
        <v>0.25</v>
      </c>
      <c r="K2810" t="inlineStr">
        <is>
          <t>Distinguished</t>
        </is>
      </c>
      <c r="L2810" t="inlineStr">
        <is>
          <t>Professional</t>
        </is>
      </c>
      <c r="M2810" t="inlineStr">
        <is>
          <t>Ian Plamondon</t>
        </is>
      </c>
    </row>
    <row r="2811">
      <c r="A2811" s="9" t="inlineStr">
        <is>
          <t>Sarah Goodstein</t>
        </is>
      </c>
      <c r="B2811" s="9" t="inlineStr">
        <is>
          <t>4/19/26 - 5/16/26</t>
        </is>
      </c>
      <c r="C2811" s="12" t="n">
        <v>1</v>
      </c>
      <c r="D2811" s="12" t="n">
        <v>0.972</v>
      </c>
      <c r="E2811" s="12" t="n">
        <v>0.9915966389999999</v>
      </c>
      <c r="F2811" s="12" t="n">
        <v>0.659</v>
      </c>
      <c r="G2811" s="12" t="n">
        <v>0.84</v>
      </c>
      <c r="I2811" s="32" t="inlineStr">
        <is>
          <t>1/4</t>
        </is>
      </c>
      <c r="J2811" s="14" t="n">
        <v>0.25</v>
      </c>
      <c r="K2811" t="inlineStr">
        <is>
          <t>Distinguished</t>
        </is>
      </c>
      <c r="L2811" t="inlineStr">
        <is>
          <t>Professional</t>
        </is>
      </c>
      <c r="M2811" t="inlineStr">
        <is>
          <t>Kristin Haase-Alvey</t>
        </is>
      </c>
    </row>
    <row r="2812">
      <c r="A2812" s="9" t="inlineStr">
        <is>
          <t>John Licitra</t>
        </is>
      </c>
      <c r="B2812" s="9" t="inlineStr">
        <is>
          <t>4/19/26 - 5/16/26</t>
        </is>
      </c>
      <c r="C2812" s="12" t="n">
        <v>0.875</v>
      </c>
      <c r="D2812" s="12" t="n">
        <v>1.0559</v>
      </c>
      <c r="E2812" s="12" t="n">
        <v>0.990384615</v>
      </c>
      <c r="F2812" s="12" t="n">
        <v>0.855</v>
      </c>
      <c r="G2812" s="12" t="n">
        <v>0.958333333</v>
      </c>
      <c r="I2812" s="32" t="inlineStr">
        <is>
          <t>1/5</t>
        </is>
      </c>
      <c r="J2812" s="14" t="n">
        <v>0.2</v>
      </c>
      <c r="K2812" t="inlineStr">
        <is>
          <t>Distinguished</t>
        </is>
      </c>
      <c r="L2812" t="inlineStr">
        <is>
          <t>Professional</t>
        </is>
      </c>
      <c r="M2812" t="inlineStr">
        <is>
          <t>Geoff St. Marie</t>
        </is>
      </c>
    </row>
    <row r="2813">
      <c r="A2813" s="9" t="inlineStr">
        <is>
          <t>Rafi Overton</t>
        </is>
      </c>
      <c r="B2813" s="9" t="inlineStr">
        <is>
          <t>4/19/26 - 5/16/26</t>
        </is>
      </c>
      <c r="C2813" s="12" t="n">
        <v>0.9071</v>
      </c>
      <c r="D2813" s="12" t="n">
        <v>1.0116</v>
      </c>
      <c r="E2813" s="12" t="n">
        <v>0.983193277</v>
      </c>
      <c r="F2813" s="12" t="n">
        <v>0.965</v>
      </c>
      <c r="G2813" s="12" t="n">
        <v>0.8823529409999999</v>
      </c>
      <c r="I2813" s="32" t="inlineStr">
        <is>
          <t>1/5</t>
        </is>
      </c>
      <c r="J2813" s="14" t="n">
        <v>0.2</v>
      </c>
      <c r="K2813" t="inlineStr">
        <is>
          <t>Distinguished</t>
        </is>
      </c>
      <c r="L2813" t="inlineStr">
        <is>
          <t>Professional</t>
        </is>
      </c>
      <c r="M2813" t="inlineStr">
        <is>
          <t>Geoff St. Marie</t>
        </is>
      </c>
    </row>
    <row r="2814">
      <c r="A2814" s="9" t="inlineStr">
        <is>
          <t>Savannah Padgett</t>
        </is>
      </c>
      <c r="B2814" s="9" t="inlineStr">
        <is>
          <t>4/19/26 - 5/16/26</t>
        </is>
      </c>
      <c r="C2814" s="12" t="n">
        <v>0.1964</v>
      </c>
      <c r="D2814" s="12" t="n">
        <v>0.5305</v>
      </c>
      <c r="E2814" s="12" t="n">
        <v>1</v>
      </c>
      <c r="F2814" s="12" t="n">
        <v>1</v>
      </c>
      <c r="I2814" s="32" t="inlineStr">
        <is>
          <t>1/8</t>
        </is>
      </c>
      <c r="J2814" s="14" t="n">
        <v>0.125</v>
      </c>
      <c r="K2814" t="e">
        <v>#N/A</v>
      </c>
      <c r="L2814" t="e">
        <v>#N/A</v>
      </c>
      <c r="M2814" t="e">
        <v>#N/A</v>
      </c>
    </row>
    <row r="2815">
      <c r="A2815" s="9" t="inlineStr">
        <is>
          <t>Gene Costa</t>
        </is>
      </c>
      <c r="B2815" s="9" t="inlineStr">
        <is>
          <t>4/19/26 - 5/16/26</t>
        </is>
      </c>
      <c r="C2815" s="12" t="n">
        <v>0.875</v>
      </c>
      <c r="D2815" s="12" t="n">
        <v>1.2138</v>
      </c>
      <c r="E2815" s="12" t="n">
        <v>1</v>
      </c>
      <c r="F2815" s="12" t="n">
        <v>0.97</v>
      </c>
      <c r="G2815" s="12" t="n">
        <v>0.142857143</v>
      </c>
      <c r="I2815" s="32" t="inlineStr">
        <is>
          <t>10/13</t>
        </is>
      </c>
      <c r="J2815" s="14" t="n">
        <v>0.7692307692307693</v>
      </c>
      <c r="K2815" t="inlineStr">
        <is>
          <t>Distinguished</t>
        </is>
      </c>
      <c r="L2815" t="inlineStr">
        <is>
          <t>Professional</t>
        </is>
      </c>
      <c r="M2815" t="inlineStr">
        <is>
          <t>Ela Cross</t>
        </is>
      </c>
    </row>
    <row r="2816">
      <c r="A2816" s="9" t="inlineStr">
        <is>
          <t>Anna Jasko</t>
        </is>
      </c>
      <c r="B2816" s="9" t="inlineStr">
        <is>
          <t>4/19/26 - 5/16/26</t>
        </is>
      </c>
      <c r="C2816" s="12" t="n">
        <v>1.0167</v>
      </c>
      <c r="D2816" s="12" t="n">
        <v>1.1431</v>
      </c>
      <c r="E2816" s="12" t="n">
        <v>0.991525424</v>
      </c>
      <c r="F2816" s="12" t="n">
        <v>0.965</v>
      </c>
      <c r="G2816" s="12" t="n">
        <v>0.461538462</v>
      </c>
      <c r="I2816" s="32" t="inlineStr">
        <is>
          <t>2/2</t>
        </is>
      </c>
      <c r="J2816" s="14" t="n">
        <v>1</v>
      </c>
      <c r="K2816" t="inlineStr">
        <is>
          <t>Distinguished</t>
        </is>
      </c>
      <c r="L2816" t="inlineStr">
        <is>
          <t>Professional</t>
        </is>
      </c>
      <c r="M2816" t="inlineStr">
        <is>
          <t>Ela Cross</t>
        </is>
      </c>
    </row>
    <row r="2817">
      <c r="A2817" s="9" t="inlineStr">
        <is>
          <t>Annie Sylvester</t>
        </is>
      </c>
      <c r="B2817" s="9" t="inlineStr">
        <is>
          <t>4/19/26 - 5/16/26</t>
        </is>
      </c>
      <c r="C2817" s="12" t="n">
        <v>0.9679</v>
      </c>
      <c r="D2817" s="12" t="n">
        <v>0.9404</v>
      </c>
      <c r="E2817" s="12" t="n">
        <v>0.984732824</v>
      </c>
      <c r="F2817" s="12" t="n">
        <v>0.845</v>
      </c>
      <c r="G2817" s="12" t="n">
        <v>0.666666667</v>
      </c>
      <c r="I2817" s="32" t="inlineStr">
        <is>
          <t>2/2</t>
        </is>
      </c>
      <c r="J2817" s="14" t="n">
        <v>1</v>
      </c>
      <c r="K2817" t="inlineStr">
        <is>
          <t>Distinguished</t>
        </is>
      </c>
      <c r="L2817" t="inlineStr">
        <is>
          <t>Professional</t>
        </is>
      </c>
      <c r="M2817" t="inlineStr">
        <is>
          <t>Ela Cross</t>
        </is>
      </c>
    </row>
    <row r="2818">
      <c r="A2818" s="9" t="inlineStr">
        <is>
          <t>Brandon Engle</t>
        </is>
      </c>
      <c r="B2818" s="9" t="inlineStr">
        <is>
          <t>4/19/26 - 5/16/26</t>
        </is>
      </c>
      <c r="C2818" s="12" t="n">
        <v>1.0393</v>
      </c>
      <c r="D2818" s="12" t="n">
        <v>1.0465</v>
      </c>
      <c r="E2818" s="12" t="n">
        <v>1</v>
      </c>
      <c r="F2818" s="12" t="n">
        <v>0.947</v>
      </c>
      <c r="G2818" s="12" t="n">
        <v>0.92</v>
      </c>
      <c r="I2818" s="32" t="inlineStr">
        <is>
          <t>2/2</t>
        </is>
      </c>
      <c r="J2818" s="14" t="n">
        <v>1</v>
      </c>
      <c r="K2818" t="inlineStr">
        <is>
          <t>Distinguished</t>
        </is>
      </c>
      <c r="L2818" t="inlineStr">
        <is>
          <t>Professional</t>
        </is>
      </c>
      <c r="M2818" t="inlineStr">
        <is>
          <t>Annelies de Groot</t>
        </is>
      </c>
    </row>
    <row r="2819">
      <c r="A2819" s="9" t="inlineStr">
        <is>
          <t>Brian James</t>
        </is>
      </c>
      <c r="B2819" s="9" t="inlineStr">
        <is>
          <t>4/19/26 - 5/16/26</t>
        </is>
      </c>
      <c r="C2819" s="12" t="n">
        <v>1.3125</v>
      </c>
      <c r="D2819" s="12" t="n">
        <v>1.1743</v>
      </c>
      <c r="E2819" s="12" t="n">
        <v>0.993197279</v>
      </c>
      <c r="F2819" s="12" t="n">
        <v>0.989</v>
      </c>
      <c r="G2819" s="12" t="n">
        <v>0.821428571</v>
      </c>
      <c r="I2819" s="32" t="inlineStr">
        <is>
          <t>2/2</t>
        </is>
      </c>
      <c r="J2819" s="14" t="n">
        <v>1</v>
      </c>
      <c r="K2819" t="inlineStr">
        <is>
          <t>Distinguished</t>
        </is>
      </c>
      <c r="L2819" t="inlineStr">
        <is>
          <t>Professional</t>
        </is>
      </c>
      <c r="M2819" t="inlineStr">
        <is>
          <t>Annelies de Groot</t>
        </is>
      </c>
    </row>
    <row r="2820">
      <c r="A2820" s="9" t="inlineStr">
        <is>
          <t>Christine Santos</t>
        </is>
      </c>
      <c r="B2820" s="9" t="inlineStr">
        <is>
          <t>4/19/26 - 5/16/26</t>
        </is>
      </c>
      <c r="C2820" s="12" t="n">
        <v>1.4271</v>
      </c>
      <c r="D2820" s="12" t="n">
        <v>1.375</v>
      </c>
      <c r="E2820" s="12" t="n">
        <v>0.877192982</v>
      </c>
      <c r="F2820" s="12" t="n">
        <v>0.806</v>
      </c>
      <c r="G2820" s="12" t="n">
        <v>1</v>
      </c>
      <c r="I2820" s="32" t="inlineStr">
        <is>
          <t>2/2</t>
        </is>
      </c>
      <c r="J2820" s="14" t="n">
        <v>1</v>
      </c>
      <c r="K2820" t="inlineStr">
        <is>
          <t>Premium</t>
        </is>
      </c>
      <c r="L2820" t="inlineStr">
        <is>
          <t>Adjunct</t>
        </is>
      </c>
      <c r="M2820" t="inlineStr">
        <is>
          <t>Ela Cross</t>
        </is>
      </c>
    </row>
    <row r="2821">
      <c r="A2821" s="9" t="inlineStr">
        <is>
          <t>Clark Howard</t>
        </is>
      </c>
      <c r="B2821" s="9" t="inlineStr">
        <is>
          <t>4/19/26 - 5/16/26</t>
        </is>
      </c>
      <c r="C2821" s="12" t="n">
        <v>0.9417</v>
      </c>
      <c r="D2821" s="12" t="n">
        <v>1.0526</v>
      </c>
      <c r="E2821" s="12" t="n">
        <v>0.909090909</v>
      </c>
      <c r="F2821" s="12" t="n">
        <v>0.9330000000000001</v>
      </c>
      <c r="G2821" s="12" t="n">
        <v>0.8</v>
      </c>
      <c r="I2821" s="32" t="inlineStr">
        <is>
          <t>2/2</t>
        </is>
      </c>
      <c r="J2821" s="14" t="n">
        <v>1</v>
      </c>
      <c r="K2821" t="inlineStr">
        <is>
          <t>Distinguished</t>
        </is>
      </c>
      <c r="L2821" t="inlineStr">
        <is>
          <t>Professional</t>
        </is>
      </c>
      <c r="M2821" t="inlineStr">
        <is>
          <t>Ela Cross</t>
        </is>
      </c>
    </row>
    <row r="2822">
      <c r="A2822" s="9" t="inlineStr">
        <is>
          <t>Diana Hoyer</t>
        </is>
      </c>
      <c r="B2822" s="9" t="inlineStr">
        <is>
          <t>4/19/26 - 5/16/26</t>
        </is>
      </c>
      <c r="C2822" s="12" t="n">
        <v>0.7786</v>
      </c>
      <c r="D2822" s="12" t="n">
        <v>1.1294</v>
      </c>
      <c r="E2822" s="12" t="n">
        <v>0.98</v>
      </c>
      <c r="F2822" s="12" t="n">
        <v>1</v>
      </c>
      <c r="G2822" s="12" t="n">
        <v>1</v>
      </c>
      <c r="I2822" s="32" t="inlineStr">
        <is>
          <t>2/2</t>
        </is>
      </c>
      <c r="J2822" s="14" t="n">
        <v>1</v>
      </c>
      <c r="K2822" t="inlineStr">
        <is>
          <t>Distinguished</t>
        </is>
      </c>
      <c r="L2822" t="inlineStr">
        <is>
          <t>Professional</t>
        </is>
      </c>
      <c r="M2822" t="inlineStr">
        <is>
          <t>Ian Plamondon</t>
        </is>
      </c>
    </row>
    <row r="2823">
      <c r="A2823" s="9" t="inlineStr">
        <is>
          <t>Faith Rogers</t>
        </is>
      </c>
      <c r="B2823" s="9" t="inlineStr">
        <is>
          <t>4/19/26 - 5/16/26</t>
        </is>
      </c>
      <c r="C2823" s="12" t="n">
        <v>0.8375</v>
      </c>
      <c r="D2823" s="12" t="n">
        <v>1.0164</v>
      </c>
      <c r="E2823" s="12" t="n">
        <v>0.965517241</v>
      </c>
      <c r="F2823" s="12" t="n">
        <v>0.984</v>
      </c>
      <c r="G2823" s="12" t="n">
        <v>0.8666666669999999</v>
      </c>
      <c r="I2823" s="32" t="inlineStr">
        <is>
          <t>2/2</t>
        </is>
      </c>
      <c r="J2823" s="14" t="n">
        <v>1</v>
      </c>
      <c r="K2823" t="inlineStr">
        <is>
          <t>Distinguished</t>
        </is>
      </c>
      <c r="L2823" t="inlineStr">
        <is>
          <t>Professional</t>
        </is>
      </c>
      <c r="M2823" t="inlineStr">
        <is>
          <t>Ian Plamondon</t>
        </is>
      </c>
    </row>
    <row r="2824">
      <c r="A2824" s="9" t="inlineStr">
        <is>
          <t>Jason Keller</t>
        </is>
      </c>
      <c r="B2824" s="9" t="inlineStr">
        <is>
          <t>4/19/26 - 5/16/26</t>
        </is>
      </c>
      <c r="C2824" s="12" t="n">
        <v>0.9417</v>
      </c>
      <c r="D2824" s="12" t="n">
        <v>1.1184</v>
      </c>
      <c r="E2824" s="12" t="n">
        <v>0.97979798</v>
      </c>
      <c r="F2824" s="12" t="n">
        <v>0.958</v>
      </c>
      <c r="G2824" s="12" t="n">
        <v>0.857142857</v>
      </c>
      <c r="I2824" s="32" t="inlineStr">
        <is>
          <t>2/2</t>
        </is>
      </c>
      <c r="J2824" s="14" t="n">
        <v>1</v>
      </c>
      <c r="K2824" t="inlineStr">
        <is>
          <t>Premium</t>
        </is>
      </c>
      <c r="L2824" t="inlineStr">
        <is>
          <t>Professional</t>
        </is>
      </c>
      <c r="M2824" t="inlineStr">
        <is>
          <t>Kristin Haase-Alvey</t>
        </is>
      </c>
    </row>
    <row r="2825">
      <c r="A2825" s="9" t="inlineStr">
        <is>
          <t>Judi Abo Hana</t>
        </is>
      </c>
      <c r="B2825" s="9" t="inlineStr">
        <is>
          <t>4/19/26 - 5/16/26</t>
        </is>
      </c>
      <c r="C2825" s="12" t="n">
        <v>1.85</v>
      </c>
      <c r="D2825" s="12" t="n">
        <v>1.6875</v>
      </c>
      <c r="E2825" s="12" t="n">
        <v>0.992957746</v>
      </c>
      <c r="F2825" s="12" t="n">
        <v>0.964</v>
      </c>
      <c r="G2825" s="12" t="n">
        <v>0.375</v>
      </c>
      <c r="I2825" s="32" t="inlineStr">
        <is>
          <t>2/2</t>
        </is>
      </c>
      <c r="J2825" s="14" t="n">
        <v>1</v>
      </c>
      <c r="K2825" t="inlineStr">
        <is>
          <t>Advanced</t>
        </is>
      </c>
      <c r="L2825" t="inlineStr">
        <is>
          <t>Adjunct</t>
        </is>
      </c>
      <c r="M2825" t="inlineStr">
        <is>
          <t>Geoff St. Marie</t>
        </is>
      </c>
    </row>
    <row r="2826">
      <c r="A2826" s="9" t="inlineStr">
        <is>
          <t>Kayleigh Puliafico</t>
        </is>
      </c>
      <c r="B2826" s="9" t="inlineStr">
        <is>
          <t>4/19/26 - 5/16/26</t>
        </is>
      </c>
      <c r="C2826" s="12" t="n">
        <v>0.1458</v>
      </c>
      <c r="D2826" s="12" t="n">
        <v>0.9648</v>
      </c>
      <c r="E2826" s="12" t="n">
        <v>1</v>
      </c>
      <c r="F2826" s="12" t="n">
        <v>1</v>
      </c>
      <c r="I2826" s="32" t="inlineStr">
        <is>
          <t>2/2</t>
        </is>
      </c>
      <c r="J2826" s="14" t="n">
        <v>1</v>
      </c>
      <c r="K2826" t="inlineStr">
        <is>
          <t>Distinguished</t>
        </is>
      </c>
      <c r="L2826" t="inlineStr">
        <is>
          <t>Adjunct</t>
        </is>
      </c>
      <c r="M2826" t="inlineStr">
        <is>
          <t>Ela Cross</t>
        </is>
      </c>
    </row>
    <row r="2827">
      <c r="A2827" s="9" t="inlineStr">
        <is>
          <t>Megan Osgood</t>
        </is>
      </c>
      <c r="B2827" s="9" t="inlineStr">
        <is>
          <t>4/19/26 - 5/16/26</t>
        </is>
      </c>
      <c r="C2827" s="12" t="n">
        <v>0.8917</v>
      </c>
      <c r="D2827" s="12" t="n">
        <v>0.8947000000000001</v>
      </c>
      <c r="E2827" s="12" t="n">
        <v>0.980582524</v>
      </c>
      <c r="F2827" s="12" t="n">
        <v>1</v>
      </c>
      <c r="G2827" s="12" t="n">
        <v>0.904761905</v>
      </c>
      <c r="I2827" s="32" t="inlineStr">
        <is>
          <t>2/2</t>
        </is>
      </c>
      <c r="J2827" s="14" t="n">
        <v>1</v>
      </c>
      <c r="K2827" t="inlineStr">
        <is>
          <t>Distinguished</t>
        </is>
      </c>
      <c r="L2827" t="inlineStr">
        <is>
          <t>Professional</t>
        </is>
      </c>
      <c r="M2827" t="inlineStr">
        <is>
          <t>Annelies de Groot</t>
        </is>
      </c>
    </row>
    <row r="2828">
      <c r="A2828" s="9" t="inlineStr">
        <is>
          <t>Taryn Parks</t>
        </is>
      </c>
      <c r="B2828" s="9" t="inlineStr">
        <is>
          <t>4/19/26 - 5/16/26</t>
        </is>
      </c>
      <c r="C2828" s="12" t="n">
        <v>0.6875</v>
      </c>
      <c r="D2828" s="12" t="n">
        <v>0.918</v>
      </c>
      <c r="E2828" s="12" t="n">
        <v>1</v>
      </c>
      <c r="F2828" s="12" t="n">
        <v>1</v>
      </c>
      <c r="G2828" s="12" t="n">
        <v>0.5</v>
      </c>
      <c r="I2828" s="32" t="inlineStr">
        <is>
          <t>2/2</t>
        </is>
      </c>
      <c r="J2828" s="14" t="n">
        <v>1</v>
      </c>
      <c r="K2828" t="inlineStr">
        <is>
          <t>Advanced</t>
        </is>
      </c>
      <c r="L2828" t="inlineStr">
        <is>
          <t>Adjunct</t>
        </is>
      </c>
      <c r="M2828" t="inlineStr">
        <is>
          <t>Annelies de Groot</t>
        </is>
      </c>
    </row>
    <row r="2829">
      <c r="A2829" s="9" t="inlineStr">
        <is>
          <t>Tim Page</t>
        </is>
      </c>
      <c r="B2829" s="9" t="inlineStr">
        <is>
          <t>4/19/26 - 5/16/26</t>
        </is>
      </c>
      <c r="C2829" s="12" t="n">
        <v>0.0429</v>
      </c>
      <c r="D2829" s="12" t="n">
        <v>0.8532</v>
      </c>
      <c r="E2829" s="12" t="n">
        <v>1</v>
      </c>
      <c r="F2829" s="12" t="n">
        <v>1</v>
      </c>
      <c r="I2829" s="32" t="inlineStr">
        <is>
          <t>2/2</t>
        </is>
      </c>
      <c r="J2829" s="14" t="n">
        <v>1</v>
      </c>
      <c r="K2829" t="inlineStr">
        <is>
          <t>Advanced</t>
        </is>
      </c>
      <c r="L2829" t="inlineStr">
        <is>
          <t>Professional</t>
        </is>
      </c>
      <c r="M2829" t="inlineStr">
        <is>
          <t>Annelies de Groot</t>
        </is>
      </c>
    </row>
    <row r="2830">
      <c r="A2830" s="9" t="inlineStr">
        <is>
          <t>Tyler Thornton</t>
        </is>
      </c>
      <c r="B2830" s="9" t="inlineStr">
        <is>
          <t>4/19/26 - 5/16/26</t>
        </is>
      </c>
      <c r="C2830" s="12" t="n">
        <v>0.9292</v>
      </c>
      <c r="D2830" s="12" t="n">
        <v>0.9951</v>
      </c>
      <c r="E2830" s="12" t="n">
        <v>1</v>
      </c>
      <c r="F2830" s="12" t="n">
        <v>0.925</v>
      </c>
      <c r="G2830" s="12" t="n">
        <v>0.75</v>
      </c>
      <c r="I2830" s="32" t="inlineStr">
        <is>
          <t>2/2</t>
        </is>
      </c>
      <c r="J2830" s="14" t="n">
        <v>1</v>
      </c>
      <c r="K2830" t="inlineStr">
        <is>
          <t>Distinguished</t>
        </is>
      </c>
      <c r="L2830" t="inlineStr">
        <is>
          <t>Professional</t>
        </is>
      </c>
      <c r="M2830" t="inlineStr">
        <is>
          <t>Kristin Haase-Alvey</t>
        </is>
      </c>
    </row>
    <row r="2831">
      <c r="A2831" s="9" t="inlineStr">
        <is>
          <t>Brittany Drew</t>
        </is>
      </c>
      <c r="B2831" s="9" t="inlineStr">
        <is>
          <t>4/19/26 - 5/16/26</t>
        </is>
      </c>
      <c r="C2831" s="12" t="n">
        <v>0.9833</v>
      </c>
      <c r="D2831" s="12" t="n">
        <v>1.0099</v>
      </c>
      <c r="E2831" s="12" t="n">
        <v>1</v>
      </c>
      <c r="F2831" s="12" t="n">
        <v>1</v>
      </c>
      <c r="G2831" s="12" t="n">
        <v>0.894736842</v>
      </c>
      <c r="I2831" s="32" t="inlineStr">
        <is>
          <t>2/3</t>
        </is>
      </c>
      <c r="J2831" s="14" t="n">
        <v>0.67</v>
      </c>
      <c r="K2831" t="inlineStr">
        <is>
          <t>Distinguished</t>
        </is>
      </c>
      <c r="L2831" t="inlineStr">
        <is>
          <t>Professional</t>
        </is>
      </c>
      <c r="M2831" t="inlineStr">
        <is>
          <t>Ela Cross</t>
        </is>
      </c>
    </row>
    <row r="2832">
      <c r="A2832" s="9" t="inlineStr">
        <is>
          <t>Christelle Rocha</t>
        </is>
      </c>
      <c r="B2832" s="9" t="inlineStr">
        <is>
          <t>4/19/26 - 5/16/26</t>
        </is>
      </c>
      <c r="C2832" s="12" t="n">
        <v>1</v>
      </c>
      <c r="D2832" s="12" t="n">
        <v>1.1429</v>
      </c>
      <c r="E2832" s="12" t="n">
        <v>1</v>
      </c>
      <c r="F2832" s="12" t="n">
        <v>0.954</v>
      </c>
      <c r="G2832" s="12" t="n">
        <v>0.590909091</v>
      </c>
      <c r="I2832" s="32" t="inlineStr">
        <is>
          <t>2/3</t>
        </is>
      </c>
      <c r="J2832" s="14" t="n">
        <v>0.67</v>
      </c>
      <c r="K2832" t="inlineStr">
        <is>
          <t>Distinguished</t>
        </is>
      </c>
      <c r="L2832" t="inlineStr">
        <is>
          <t>Professional</t>
        </is>
      </c>
      <c r="M2832" t="inlineStr">
        <is>
          <t>Annelies de Groot</t>
        </is>
      </c>
    </row>
    <row r="2833">
      <c r="A2833" s="9" t="inlineStr">
        <is>
          <t>Diamond Anderson</t>
        </is>
      </c>
      <c r="B2833" s="9" t="inlineStr">
        <is>
          <t>4/19/26 - 5/16/26</t>
        </is>
      </c>
      <c r="C2833" s="12" t="n">
        <v>0.8333</v>
      </c>
      <c r="D2833" s="12" t="n">
        <v>0.8633</v>
      </c>
      <c r="E2833" s="12" t="n">
        <v>0.975609756</v>
      </c>
      <c r="F2833" s="12" t="n">
        <v>0.923</v>
      </c>
      <c r="G2833" s="12" t="n">
        <v>0.888888889</v>
      </c>
      <c r="I2833" s="32" t="inlineStr">
        <is>
          <t>2/3</t>
        </is>
      </c>
      <c r="J2833" s="14" t="n">
        <v>0.67</v>
      </c>
      <c r="K2833" t="inlineStr">
        <is>
          <t>Distinguished</t>
        </is>
      </c>
      <c r="L2833" t="inlineStr">
        <is>
          <t>Adjunct</t>
        </is>
      </c>
      <c r="M2833" t="inlineStr">
        <is>
          <t>Kristin Haase-Alvey</t>
        </is>
      </c>
    </row>
    <row r="2834">
      <c r="A2834" s="9" t="inlineStr">
        <is>
          <t>Elijah Ramirez</t>
        </is>
      </c>
      <c r="B2834" s="9" t="inlineStr">
        <is>
          <t>4/19/26 - 5/16/26</t>
        </is>
      </c>
      <c r="C2834" s="12" t="n">
        <v>0.8208</v>
      </c>
      <c r="D2834" s="12" t="n">
        <v>1.1694</v>
      </c>
      <c r="E2834" s="12" t="n">
        <v>1</v>
      </c>
      <c r="F2834" s="12" t="n">
        <v>0.964</v>
      </c>
      <c r="G2834" s="12" t="n">
        <v>1</v>
      </c>
      <c r="I2834" s="32" t="inlineStr">
        <is>
          <t>2/3</t>
        </is>
      </c>
      <c r="J2834" s="14" t="n">
        <v>0.67</v>
      </c>
      <c r="K2834" t="inlineStr">
        <is>
          <t>Premium</t>
        </is>
      </c>
      <c r="L2834" t="inlineStr">
        <is>
          <t>Professional</t>
        </is>
      </c>
      <c r="M2834" t="inlineStr">
        <is>
          <t>Ian Plamondon</t>
        </is>
      </c>
    </row>
    <row r="2835">
      <c r="A2835" s="9" t="inlineStr">
        <is>
          <t>Hannah Lodge</t>
        </is>
      </c>
      <c r="B2835" s="9" t="inlineStr">
        <is>
          <t>4/19/26 - 5/16/26</t>
        </is>
      </c>
      <c r="C2835" s="12" t="n">
        <v>1.0625</v>
      </c>
      <c r="D2835" s="12" t="n">
        <v>1.3997</v>
      </c>
      <c r="E2835" s="12" t="n">
        <v>0.98245614</v>
      </c>
      <c r="F2835" s="12" t="n">
        <v>0.911</v>
      </c>
      <c r="G2835" s="12" t="n">
        <v>0.947368421</v>
      </c>
      <c r="I2835" s="32" t="inlineStr">
        <is>
          <t>2/3</t>
        </is>
      </c>
      <c r="J2835" s="14" t="n">
        <v>0.67</v>
      </c>
      <c r="K2835" t="inlineStr">
        <is>
          <t>Premium</t>
        </is>
      </c>
      <c r="L2835" t="inlineStr">
        <is>
          <t>Professional</t>
        </is>
      </c>
      <c r="M2835" t="inlineStr">
        <is>
          <t>Ian Plamondon</t>
        </is>
      </c>
    </row>
    <row r="2836">
      <c r="A2836" s="9" t="inlineStr">
        <is>
          <t>Jessica Wall</t>
        </is>
      </c>
      <c r="B2836" s="9" t="inlineStr">
        <is>
          <t>4/19/26 - 5/16/26</t>
        </is>
      </c>
      <c r="C2836" s="12" t="n">
        <v>1.025</v>
      </c>
      <c r="D2836" s="12" t="n">
        <v>0.9933999999999999</v>
      </c>
      <c r="E2836" s="12" t="n">
        <v>0.983050847</v>
      </c>
      <c r="F2836" s="12" t="n">
        <v>1</v>
      </c>
      <c r="G2836" s="12" t="n">
        <v>1</v>
      </c>
      <c r="I2836" s="32" t="inlineStr">
        <is>
          <t>2/3</t>
        </is>
      </c>
      <c r="J2836" s="14" t="n">
        <v>0.67</v>
      </c>
      <c r="K2836" t="inlineStr">
        <is>
          <t>Distinguished</t>
        </is>
      </c>
      <c r="L2836" t="inlineStr">
        <is>
          <t>Professional</t>
        </is>
      </c>
      <c r="M2836" t="inlineStr">
        <is>
          <t>Kristin Haase-Alvey</t>
        </is>
      </c>
    </row>
    <row r="2837">
      <c r="A2837" s="9" t="inlineStr">
        <is>
          <t>Kristen Luigart</t>
        </is>
      </c>
      <c r="B2837" s="9" t="inlineStr">
        <is>
          <t>4/19/26 - 5/16/26</t>
        </is>
      </c>
      <c r="C2837" s="12" t="n">
        <v>0.7042</v>
      </c>
      <c r="D2837" s="12" t="n">
        <v>1.148</v>
      </c>
      <c r="E2837" s="12" t="n">
        <v>0.742424242</v>
      </c>
      <c r="F2837" s="12" t="n">
        <v>0.93</v>
      </c>
      <c r="G2837" s="12" t="n">
        <v>0.888888889</v>
      </c>
      <c r="I2837" s="32" t="inlineStr">
        <is>
          <t>2/3</t>
        </is>
      </c>
      <c r="J2837" s="14" t="n">
        <v>0.67</v>
      </c>
      <c r="K2837" t="inlineStr">
        <is>
          <t>Distinguished</t>
        </is>
      </c>
      <c r="L2837" t="inlineStr">
        <is>
          <t>Professional</t>
        </is>
      </c>
      <c r="M2837" t="inlineStr">
        <is>
          <t>Ian Plamondon</t>
        </is>
      </c>
    </row>
    <row r="2838">
      <c r="A2838" s="9" t="inlineStr">
        <is>
          <t>Machaela Verhage</t>
        </is>
      </c>
      <c r="B2838" s="9" t="inlineStr">
        <is>
          <t>4/19/26 - 5/16/26</t>
        </is>
      </c>
      <c r="C2838" s="12" t="n">
        <v>0.85</v>
      </c>
      <c r="D2838" s="12" t="n">
        <v>0.9752999999999999</v>
      </c>
      <c r="E2838" s="12" t="n">
        <v>0.956521739</v>
      </c>
      <c r="F2838" s="12" t="n">
        <v>0.987</v>
      </c>
      <c r="G2838" s="12" t="n">
        <v>0.473684211</v>
      </c>
      <c r="I2838" s="32" t="inlineStr">
        <is>
          <t>2/3</t>
        </is>
      </c>
      <c r="J2838" s="14" t="n">
        <v>0.67</v>
      </c>
      <c r="K2838" t="inlineStr">
        <is>
          <t>Distinguished</t>
        </is>
      </c>
      <c r="L2838" t="inlineStr">
        <is>
          <t>Professional</t>
        </is>
      </c>
      <c r="M2838" t="inlineStr">
        <is>
          <t>Annelies de Groot</t>
        </is>
      </c>
    </row>
    <row r="2839">
      <c r="A2839" s="9" t="inlineStr">
        <is>
          <t>Ries Scerbin</t>
        </is>
      </c>
      <c r="B2839" s="9" t="inlineStr">
        <is>
          <t>4/19/26 - 5/16/26</t>
        </is>
      </c>
      <c r="C2839" s="12" t="n">
        <v>0.7708</v>
      </c>
      <c r="D2839" s="12" t="n">
        <v>0.9922</v>
      </c>
      <c r="E2839" s="12" t="n">
        <v>0.891891892</v>
      </c>
      <c r="F2839" s="12" t="n">
        <v>1</v>
      </c>
      <c r="G2839" s="12" t="n">
        <v>0.375</v>
      </c>
      <c r="I2839" s="32" t="inlineStr">
        <is>
          <t>2/3</t>
        </is>
      </c>
      <c r="J2839" s="14" t="n">
        <v>0.67</v>
      </c>
      <c r="K2839" t="inlineStr">
        <is>
          <t>Distinguished</t>
        </is>
      </c>
      <c r="L2839" t="inlineStr">
        <is>
          <t>Adjunct</t>
        </is>
      </c>
      <c r="M2839" t="inlineStr">
        <is>
          <t>Annelies de Groot</t>
        </is>
      </c>
    </row>
    <row r="2840">
      <c r="A2840" s="9" t="inlineStr">
        <is>
          <t>Samantha Wetz</t>
        </is>
      </c>
      <c r="B2840" s="9" t="inlineStr">
        <is>
          <t>4/19/26 - 5/16/26</t>
        </is>
      </c>
      <c r="C2840" s="12" t="n">
        <v>0.825</v>
      </c>
      <c r="D2840" s="12" t="n">
        <v>1.1991</v>
      </c>
      <c r="E2840" s="12" t="n">
        <v>1</v>
      </c>
      <c r="F2840" s="12" t="n">
        <v>0.973</v>
      </c>
      <c r="G2840" s="12" t="n">
        <v>0.695652174</v>
      </c>
      <c r="I2840" s="32" t="inlineStr">
        <is>
          <t>2/3</t>
        </is>
      </c>
      <c r="J2840" s="14" t="n">
        <v>0.67</v>
      </c>
      <c r="K2840" t="inlineStr">
        <is>
          <t>Premium</t>
        </is>
      </c>
      <c r="L2840" t="inlineStr">
        <is>
          <t>Professional</t>
        </is>
      </c>
      <c r="M2840" t="inlineStr">
        <is>
          <t>Ian Plamondon</t>
        </is>
      </c>
    </row>
    <row r="2841">
      <c r="A2841" s="9" t="inlineStr">
        <is>
          <t>Trevor Ferguson</t>
        </is>
      </c>
      <c r="B2841" s="9" t="inlineStr">
        <is>
          <t>4/19/26 - 5/16/26</t>
        </is>
      </c>
      <c r="C2841" s="12" t="n">
        <v>1.0875</v>
      </c>
      <c r="D2841" s="12" t="n">
        <v>0.9933999999999999</v>
      </c>
      <c r="E2841" s="12" t="n">
        <v>0.93220339</v>
      </c>
      <c r="F2841" s="12" t="n">
        <v>0.975</v>
      </c>
      <c r="G2841" s="12" t="n">
        <v>0.740740741</v>
      </c>
      <c r="I2841" s="32" t="inlineStr">
        <is>
          <t>2/3</t>
        </is>
      </c>
      <c r="J2841" s="14" t="n">
        <v>0.67</v>
      </c>
      <c r="K2841" t="inlineStr">
        <is>
          <t>Distinguished</t>
        </is>
      </c>
      <c r="L2841" t="inlineStr">
        <is>
          <t>Professional</t>
        </is>
      </c>
      <c r="M2841" t="inlineStr">
        <is>
          <t>Geoff St. Marie</t>
        </is>
      </c>
    </row>
    <row r="2842">
      <c r="A2842" s="9" t="inlineStr">
        <is>
          <t>Alexis Boucher</t>
        </is>
      </c>
      <c r="B2842" s="9" t="inlineStr">
        <is>
          <t>4/19/26 - 5/16/26</t>
        </is>
      </c>
      <c r="C2842" s="12" t="n">
        <v>0.7708</v>
      </c>
      <c r="D2842" s="12" t="n">
        <v>0.9063</v>
      </c>
      <c r="E2842" s="12" t="n">
        <v>0.971830986</v>
      </c>
      <c r="F2842" s="12" t="n">
        <v>0.882</v>
      </c>
      <c r="G2842" s="12" t="n">
        <v>0.736842105</v>
      </c>
      <c r="I2842" s="32" t="inlineStr">
        <is>
          <t>2/4</t>
        </is>
      </c>
      <c r="J2842" s="14" t="n">
        <v>0.5</v>
      </c>
      <c r="K2842" t="inlineStr">
        <is>
          <t>Distinguished</t>
        </is>
      </c>
      <c r="L2842" t="inlineStr">
        <is>
          <t>Professional</t>
        </is>
      </c>
      <c r="M2842" t="inlineStr">
        <is>
          <t>Ian Plamondon</t>
        </is>
      </c>
    </row>
    <row r="2843">
      <c r="A2843" s="9" t="inlineStr">
        <is>
          <t>Andrew League</t>
        </is>
      </c>
      <c r="B2843" s="9" t="inlineStr">
        <is>
          <t>4/19/26 - 5/16/26</t>
        </is>
      </c>
      <c r="C2843" s="12" t="n">
        <v>1.0167</v>
      </c>
      <c r="D2843" s="12" t="n">
        <v>1.0707</v>
      </c>
      <c r="E2843" s="12" t="n">
        <v>1</v>
      </c>
      <c r="F2843" s="12" t="n">
        <v>0.966</v>
      </c>
      <c r="G2843" s="12" t="n">
        <v>0.705882353</v>
      </c>
      <c r="I2843" s="32" t="inlineStr">
        <is>
          <t>2/4</t>
        </is>
      </c>
      <c r="J2843" s="14" t="n">
        <v>0.5</v>
      </c>
      <c r="K2843" t="inlineStr">
        <is>
          <t>Distinguished</t>
        </is>
      </c>
      <c r="L2843" t="inlineStr">
        <is>
          <t>Professional</t>
        </is>
      </c>
      <c r="M2843" t="inlineStr">
        <is>
          <t>Ian Plamondon</t>
        </is>
      </c>
    </row>
    <row r="2844">
      <c r="A2844" s="9" t="inlineStr">
        <is>
          <t>Kristen Fox</t>
        </is>
      </c>
      <c r="B2844" s="9" t="inlineStr">
        <is>
          <t>4/19/26 - 5/16/26</t>
        </is>
      </c>
      <c r="C2844" s="12" t="n">
        <v>0.9083</v>
      </c>
      <c r="D2844" s="12" t="n">
        <v>0.8569</v>
      </c>
      <c r="E2844" s="12" t="n">
        <v>0.971698113</v>
      </c>
      <c r="F2844" s="12" t="n">
        <v>0.907</v>
      </c>
      <c r="G2844" s="12" t="n">
        <v>0.947368421</v>
      </c>
      <c r="I2844" s="32" t="inlineStr">
        <is>
          <t>2/4</t>
        </is>
      </c>
      <c r="J2844" s="14" t="n">
        <v>0.5</v>
      </c>
      <c r="K2844" t="inlineStr">
        <is>
          <t>Distinguished</t>
        </is>
      </c>
      <c r="L2844" t="inlineStr">
        <is>
          <t>Professional</t>
        </is>
      </c>
      <c r="M2844" t="inlineStr">
        <is>
          <t>Kristin Haase-Alvey</t>
        </is>
      </c>
    </row>
    <row r="2845">
      <c r="A2845" s="9" t="inlineStr">
        <is>
          <t>Zachary Doenges</t>
        </is>
      </c>
      <c r="B2845" s="9" t="inlineStr">
        <is>
          <t>4/19/26 - 5/16/26</t>
        </is>
      </c>
      <c r="C2845" s="12" t="n">
        <v>1.0679</v>
      </c>
      <c r="D2845" s="12" t="n">
        <v>1.1817</v>
      </c>
      <c r="E2845" s="12" t="n">
        <v>1</v>
      </c>
      <c r="F2845" s="12" t="n">
        <v>0.97</v>
      </c>
      <c r="G2845" s="12" t="n">
        <v>0.965517241</v>
      </c>
      <c r="I2845" s="32" t="inlineStr">
        <is>
          <t>2/4</t>
        </is>
      </c>
      <c r="J2845" s="14" t="n">
        <v>0.5</v>
      </c>
      <c r="K2845" t="inlineStr">
        <is>
          <t>Premium</t>
        </is>
      </c>
      <c r="L2845" t="inlineStr">
        <is>
          <t>Professional</t>
        </is>
      </c>
      <c r="M2845" t="inlineStr">
        <is>
          <t>Ian Plamondon</t>
        </is>
      </c>
    </row>
    <row r="2846">
      <c r="A2846" s="9" t="inlineStr">
        <is>
          <t>Zoe Shanley</t>
        </is>
      </c>
      <c r="B2846" s="9" t="inlineStr">
        <is>
          <t>4/19/26 - 5/16/26</t>
        </is>
      </c>
      <c r="C2846" s="12" t="n">
        <v>1.0893</v>
      </c>
      <c r="D2846" s="12" t="n">
        <v>1.0073</v>
      </c>
      <c r="E2846" s="12" t="n">
        <v>0.962686567</v>
      </c>
      <c r="F2846" s="12" t="n">
        <v>1</v>
      </c>
      <c r="G2846" s="12" t="n">
        <v>0.774193548</v>
      </c>
      <c r="I2846" s="32" t="inlineStr">
        <is>
          <t>2/4</t>
        </is>
      </c>
      <c r="J2846" s="14" t="n">
        <v>0.5</v>
      </c>
      <c r="K2846" t="inlineStr">
        <is>
          <t>Distinguished</t>
        </is>
      </c>
      <c r="L2846" t="inlineStr">
        <is>
          <t>Professional</t>
        </is>
      </c>
      <c r="M2846" t="inlineStr">
        <is>
          <t>Ian Plamondon</t>
        </is>
      </c>
    </row>
    <row r="2847">
      <c r="A2847" s="9" t="inlineStr">
        <is>
          <t>Julia Saderholm</t>
        </is>
      </c>
      <c r="B2847" s="9" t="inlineStr">
        <is>
          <t>4/19/26 - 5/16/26</t>
        </is>
      </c>
      <c r="C2847" s="12" t="n">
        <v>0.8708</v>
      </c>
      <c r="D2847" s="12" t="n">
        <v>1.0066</v>
      </c>
      <c r="E2847" s="12" t="n">
        <v>0.98989899</v>
      </c>
      <c r="F2847" s="12" t="n">
        <v>0.9429999999999999</v>
      </c>
      <c r="G2847" s="12" t="n">
        <v>0.4</v>
      </c>
      <c r="I2847" s="32" t="inlineStr">
        <is>
          <t>2/5</t>
        </is>
      </c>
      <c r="J2847" s="14" t="n">
        <v>0.4</v>
      </c>
      <c r="K2847" t="inlineStr">
        <is>
          <t>Distinguished</t>
        </is>
      </c>
      <c r="L2847" t="inlineStr">
        <is>
          <t>Professional</t>
        </is>
      </c>
      <c r="M2847" t="inlineStr">
        <is>
          <t>Ela Cross</t>
        </is>
      </c>
    </row>
    <row r="2848">
      <c r="A2848" s="9" t="inlineStr">
        <is>
          <t>Richard Kralik</t>
        </is>
      </c>
      <c r="B2848" s="9" t="inlineStr">
        <is>
          <t>4/19/26 - 5/16/26</t>
        </is>
      </c>
      <c r="C2848" s="12" t="n">
        <v>0.6679</v>
      </c>
      <c r="D2848" s="12" t="n">
        <v>1.0155</v>
      </c>
      <c r="E2848" s="12" t="n">
        <v>0.989010989</v>
      </c>
      <c r="F2848" s="12" t="n">
        <v>1</v>
      </c>
      <c r="G2848" s="12" t="n">
        <v>0.388888889</v>
      </c>
      <c r="I2848" s="32" t="inlineStr">
        <is>
          <t>2/5</t>
        </is>
      </c>
      <c r="J2848" s="14" t="n">
        <v>0.4</v>
      </c>
      <c r="K2848" t="inlineStr">
        <is>
          <t>Distinguished</t>
        </is>
      </c>
      <c r="L2848" t="inlineStr">
        <is>
          <t>Professional</t>
        </is>
      </c>
      <c r="M2848" t="inlineStr">
        <is>
          <t>Ian Plamondon</t>
        </is>
      </c>
    </row>
    <row r="2849">
      <c r="A2849" s="9" t="inlineStr">
        <is>
          <t>Skye Silmenna</t>
        </is>
      </c>
      <c r="B2849" s="9" t="inlineStr">
        <is>
          <t>4/19/26 - 5/16/26</t>
        </is>
      </c>
      <c r="C2849" s="12" t="n">
        <v>0.6458</v>
      </c>
      <c r="D2849" s="12" t="n">
        <v>0.699</v>
      </c>
      <c r="E2849" s="12" t="n">
        <v>0.913043478</v>
      </c>
      <c r="F2849" s="12" t="n">
        <v>0.735</v>
      </c>
      <c r="G2849" s="12" t="n">
        <v>0.333333333</v>
      </c>
      <c r="I2849" s="32" t="inlineStr">
        <is>
          <t>2/5</t>
        </is>
      </c>
      <c r="J2849" s="14" t="n">
        <v>0.4</v>
      </c>
      <c r="K2849" t="inlineStr">
        <is>
          <t>Distinguished</t>
        </is>
      </c>
      <c r="L2849" t="inlineStr">
        <is>
          <t>Professional</t>
        </is>
      </c>
      <c r="M2849" t="inlineStr">
        <is>
          <t>Annelies de Groot</t>
        </is>
      </c>
    </row>
    <row r="2850">
      <c r="A2850" s="9" t="inlineStr">
        <is>
          <t>Nisha Fletcher</t>
        </is>
      </c>
      <c r="B2850" s="9" t="inlineStr">
        <is>
          <t>4/19/26 - 5/16/26</t>
        </is>
      </c>
      <c r="C2850" s="12" t="n">
        <v>0.825</v>
      </c>
      <c r="D2850" s="12" t="n">
        <v>1.1823</v>
      </c>
      <c r="E2850" s="12" t="n">
        <v>1</v>
      </c>
      <c r="F2850" s="12" t="n">
        <v>0.868</v>
      </c>
      <c r="G2850" s="12" t="n">
        <v>1</v>
      </c>
      <c r="I2850" s="32" t="inlineStr">
        <is>
          <t>2/6</t>
        </is>
      </c>
      <c r="J2850" s="14" t="n">
        <v>0.33</v>
      </c>
      <c r="K2850" t="inlineStr">
        <is>
          <t>Distinguished</t>
        </is>
      </c>
      <c r="L2850" t="inlineStr">
        <is>
          <t>Adjunct</t>
        </is>
      </c>
      <c r="M2850" t="inlineStr">
        <is>
          <t>Kristin Haase-Alvey</t>
        </is>
      </c>
    </row>
    <row r="2851">
      <c r="A2851" s="9" t="inlineStr">
        <is>
          <t>Armand Brouty</t>
        </is>
      </c>
      <c r="B2851" s="9" t="inlineStr">
        <is>
          <t>4/19/26 - 5/16/26</t>
        </is>
      </c>
      <c r="C2851" s="12" t="n">
        <v>1.1333</v>
      </c>
      <c r="D2851" s="12" t="n">
        <v>1.5263</v>
      </c>
      <c r="E2851" s="12" t="n">
        <v>0.9508196719999999</v>
      </c>
      <c r="F2851" s="12" t="n">
        <v>1</v>
      </c>
      <c r="G2851" s="12" t="n">
        <v>1</v>
      </c>
      <c r="I2851" s="32" t="inlineStr">
        <is>
          <t>3/3</t>
        </is>
      </c>
      <c r="J2851" s="14" t="n">
        <v>1</v>
      </c>
      <c r="K2851" t="inlineStr">
        <is>
          <t>Distinguished</t>
        </is>
      </c>
      <c r="L2851" t="inlineStr">
        <is>
          <t>Professional</t>
        </is>
      </c>
      <c r="M2851" t="inlineStr">
        <is>
          <t>Ian Plamondon</t>
        </is>
      </c>
    </row>
    <row r="2852">
      <c r="A2852" s="9" t="inlineStr">
        <is>
          <t>Christian Collins</t>
        </is>
      </c>
      <c r="B2852" s="9" t="inlineStr">
        <is>
          <t>4/19/26 - 5/16/26</t>
        </is>
      </c>
      <c r="C2852" s="12" t="n">
        <v>1</v>
      </c>
      <c r="D2852" s="12" t="n">
        <v>1.2023</v>
      </c>
      <c r="E2852" s="12" t="n">
        <v>1</v>
      </c>
      <c r="F2852" s="12" t="n">
        <v>0.987</v>
      </c>
      <c r="G2852" s="12" t="n">
        <v>0.85</v>
      </c>
      <c r="I2852" s="32" t="inlineStr">
        <is>
          <t>3/3</t>
        </is>
      </c>
      <c r="J2852" s="14" t="n">
        <v>1</v>
      </c>
      <c r="K2852" t="inlineStr">
        <is>
          <t>Premium</t>
        </is>
      </c>
      <c r="L2852" t="inlineStr">
        <is>
          <t>Professional</t>
        </is>
      </c>
      <c r="M2852" t="inlineStr">
        <is>
          <t>Ian Plamondon</t>
        </is>
      </c>
    </row>
    <row r="2853">
      <c r="A2853" s="9" t="inlineStr">
        <is>
          <t>Juan Nunez</t>
        </is>
      </c>
      <c r="B2853" s="9" t="inlineStr">
        <is>
          <t>4/19/26 - 5/16/26</t>
        </is>
      </c>
      <c r="C2853" s="12" t="n">
        <v>0.95</v>
      </c>
      <c r="D2853" s="12" t="n">
        <v>1.0082</v>
      </c>
      <c r="E2853" s="12" t="n">
        <v>1</v>
      </c>
      <c r="F2853" s="12" t="n">
        <v>1</v>
      </c>
      <c r="G2853" s="12" t="n">
        <v>0.736842105</v>
      </c>
      <c r="I2853" s="32" t="inlineStr">
        <is>
          <t>3/3</t>
        </is>
      </c>
      <c r="J2853" s="14" t="n">
        <v>1</v>
      </c>
      <c r="K2853" t="inlineStr">
        <is>
          <t>Distinguished</t>
        </is>
      </c>
      <c r="L2853" t="inlineStr">
        <is>
          <t>Professional</t>
        </is>
      </c>
      <c r="M2853" t="inlineStr">
        <is>
          <t>Kristin Haase-Alvey</t>
        </is>
      </c>
    </row>
    <row r="2854">
      <c r="A2854" s="9" t="inlineStr">
        <is>
          <t>Liz Pirie</t>
        </is>
      </c>
      <c r="B2854" s="9" t="inlineStr">
        <is>
          <t>4/19/26 - 5/16/26</t>
        </is>
      </c>
      <c r="C2854" s="12" t="n">
        <v>0.9333</v>
      </c>
      <c r="D2854" s="12" t="n">
        <v>1.023</v>
      </c>
      <c r="E2854" s="12" t="n">
        <v>1</v>
      </c>
      <c r="F2854" s="12" t="n">
        <v>0.838</v>
      </c>
      <c r="G2854" s="12" t="n">
        <v>0.8666666669999999</v>
      </c>
      <c r="I2854" s="32" t="inlineStr">
        <is>
          <t>3/3</t>
        </is>
      </c>
      <c r="J2854" s="14" t="n">
        <v>1</v>
      </c>
      <c r="K2854" t="inlineStr">
        <is>
          <t>Distinguished</t>
        </is>
      </c>
      <c r="L2854" t="inlineStr">
        <is>
          <t>Professional</t>
        </is>
      </c>
      <c r="M2854" t="inlineStr">
        <is>
          <t>Kristin Haase-Alvey</t>
        </is>
      </c>
    </row>
    <row r="2855">
      <c r="A2855" s="9" t="inlineStr">
        <is>
          <t>Tim Schlotzhauer</t>
        </is>
      </c>
      <c r="B2855" s="9" t="inlineStr">
        <is>
          <t>4/19/26 - 5/16/26</t>
        </is>
      </c>
      <c r="C2855" s="12" t="n">
        <v>0.8583</v>
      </c>
      <c r="D2855" s="12" t="n">
        <v>1.4868</v>
      </c>
      <c r="E2855" s="12" t="n">
        <v>0.99</v>
      </c>
      <c r="F2855" s="12" t="n">
        <v>1</v>
      </c>
      <c r="G2855" s="12" t="n">
        <v>1</v>
      </c>
      <c r="I2855" s="32" t="inlineStr">
        <is>
          <t>3/3</t>
        </is>
      </c>
      <c r="J2855" s="14" t="n">
        <v>1</v>
      </c>
      <c r="K2855" t="inlineStr">
        <is>
          <t>Premium</t>
        </is>
      </c>
      <c r="L2855" t="inlineStr">
        <is>
          <t>Professional</t>
        </is>
      </c>
      <c r="M2855" t="inlineStr">
        <is>
          <t>Geoff St. Marie</t>
        </is>
      </c>
    </row>
    <row r="2856">
      <c r="A2856" s="9" t="inlineStr">
        <is>
          <t>Jose Falconi</t>
        </is>
      </c>
      <c r="B2856" s="9" t="inlineStr">
        <is>
          <t>4/19/26 - 5/16/26</t>
        </is>
      </c>
      <c r="C2856" s="12" t="n">
        <v>0.9036</v>
      </c>
      <c r="D2856" s="12" t="n">
        <v>0.9666</v>
      </c>
      <c r="E2856" s="12" t="n">
        <v>0.9916666669999999</v>
      </c>
      <c r="F2856" s="12" t="n">
        <v>0.627</v>
      </c>
      <c r="G2856" s="12" t="n">
        <v>0.777777778</v>
      </c>
      <c r="I2856" s="32" t="inlineStr">
        <is>
          <t>3/4</t>
        </is>
      </c>
      <c r="J2856" s="14" t="n">
        <v>0.75</v>
      </c>
      <c r="K2856" t="inlineStr">
        <is>
          <t>Distinguished</t>
        </is>
      </c>
      <c r="L2856" t="inlineStr">
        <is>
          <t>Professional</t>
        </is>
      </c>
      <c r="M2856" t="inlineStr">
        <is>
          <t>Annelies de Groot</t>
        </is>
      </c>
    </row>
    <row r="2857">
      <c r="A2857" s="9" t="inlineStr">
        <is>
          <t>Nick Lucido</t>
        </is>
      </c>
      <c r="B2857" s="9" t="inlineStr">
        <is>
          <t>4/19/26 - 5/16/26</t>
        </is>
      </c>
      <c r="C2857" s="12" t="n">
        <v>0.9786</v>
      </c>
      <c r="D2857" s="12" t="n">
        <v>1.1773</v>
      </c>
      <c r="E2857" s="12" t="n">
        <v>1</v>
      </c>
      <c r="F2857" s="12" t="n">
        <v>0.989</v>
      </c>
      <c r="G2857" s="12" t="n">
        <v>0.678571429</v>
      </c>
      <c r="I2857" s="32" t="inlineStr">
        <is>
          <t>3/4</t>
        </is>
      </c>
      <c r="J2857" s="14" t="n">
        <v>0.75</v>
      </c>
      <c r="K2857" t="inlineStr">
        <is>
          <t>Distinguished</t>
        </is>
      </c>
      <c r="L2857" t="inlineStr">
        <is>
          <t>Professional</t>
        </is>
      </c>
      <c r="M2857" t="inlineStr">
        <is>
          <t>Kristin Haase-Alvey</t>
        </is>
      </c>
    </row>
    <row r="2858">
      <c r="A2858" s="9" t="inlineStr">
        <is>
          <t>Rebekah Nachian</t>
        </is>
      </c>
      <c r="B2858" s="9" t="inlineStr">
        <is>
          <t>4/19/26 - 5/16/26</t>
        </is>
      </c>
      <c r="C2858" s="12" t="n">
        <v>0.9167</v>
      </c>
      <c r="D2858" s="12" t="n">
        <v>1.0872</v>
      </c>
      <c r="E2858" s="12" t="n">
        <v>0.98019802</v>
      </c>
      <c r="F2858" s="12" t="n">
        <v>1</v>
      </c>
      <c r="G2858" s="12" t="n">
        <v>0.571428571</v>
      </c>
      <c r="I2858" s="32" t="inlineStr">
        <is>
          <t>3/4</t>
        </is>
      </c>
      <c r="J2858" s="14" t="n">
        <v>0.75</v>
      </c>
      <c r="K2858" t="inlineStr">
        <is>
          <t>Distinguished</t>
        </is>
      </c>
      <c r="L2858" t="inlineStr">
        <is>
          <t>Professional</t>
        </is>
      </c>
      <c r="M2858" t="inlineStr">
        <is>
          <t>Annelies de Groot</t>
        </is>
      </c>
    </row>
    <row r="2859">
      <c r="A2859" s="9" t="inlineStr">
        <is>
          <t>John Olmos</t>
        </is>
      </c>
      <c r="B2859" s="9" t="inlineStr">
        <is>
          <t>4/19/26 - 5/16/26</t>
        </is>
      </c>
      <c r="C2859" s="12" t="n">
        <v>0.8833</v>
      </c>
      <c r="D2859" s="12" t="n">
        <v>1.449</v>
      </c>
      <c r="E2859" s="12" t="n">
        <v>0.989690722</v>
      </c>
      <c r="F2859" s="12" t="n">
        <v>0.882</v>
      </c>
      <c r="G2859" s="12" t="n">
        <v>0.923076923</v>
      </c>
      <c r="I2859" s="32" t="inlineStr">
        <is>
          <t>3/5</t>
        </is>
      </c>
      <c r="J2859" s="14" t="n">
        <v>0.6</v>
      </c>
      <c r="K2859" t="inlineStr">
        <is>
          <t>Distinguished</t>
        </is>
      </c>
      <c r="L2859" t="inlineStr">
        <is>
          <t>Professional</t>
        </is>
      </c>
      <c r="M2859" t="inlineStr">
        <is>
          <t>Ian Plamondon</t>
        </is>
      </c>
    </row>
    <row r="2860">
      <c r="A2860" s="9" t="inlineStr">
        <is>
          <t>Preston Peoples</t>
        </is>
      </c>
      <c r="B2860" s="9" t="inlineStr">
        <is>
          <t>4/19/26 - 5/16/26</t>
        </is>
      </c>
      <c r="C2860" s="12" t="n">
        <v>0.9458</v>
      </c>
      <c r="D2860" s="12" t="n">
        <v>0.8964</v>
      </c>
      <c r="E2860" s="12" t="n">
        <v>0.895238095</v>
      </c>
      <c r="F2860" s="12" t="n">
        <v>1</v>
      </c>
      <c r="G2860" s="12" t="n">
        <v>0.65</v>
      </c>
      <c r="I2860" s="32" t="inlineStr">
        <is>
          <t>3/5</t>
        </is>
      </c>
      <c r="J2860" s="14" t="n">
        <v>0.6</v>
      </c>
      <c r="K2860" t="inlineStr">
        <is>
          <t>Distinguished</t>
        </is>
      </c>
      <c r="L2860" t="inlineStr">
        <is>
          <t>Professional</t>
        </is>
      </c>
      <c r="M2860" t="inlineStr">
        <is>
          <t>Annelies de Groot</t>
        </is>
      </c>
    </row>
    <row r="2861">
      <c r="A2861" s="9" t="inlineStr">
        <is>
          <t>Shaun Leonard</t>
        </is>
      </c>
      <c r="B2861" s="9" t="inlineStr">
        <is>
          <t>4/19/26 - 5/16/26</t>
        </is>
      </c>
      <c r="C2861" s="12" t="n">
        <v>0.875</v>
      </c>
      <c r="D2861" s="12" t="n">
        <v>0.9844000000000001</v>
      </c>
      <c r="E2861" s="12" t="n">
        <v>0.918918919</v>
      </c>
      <c r="F2861" s="12" t="n">
        <v>0.9409999999999999</v>
      </c>
      <c r="G2861" s="12" t="n">
        <v>1</v>
      </c>
      <c r="I2861" s="32" t="inlineStr">
        <is>
          <t>3/5</t>
        </is>
      </c>
      <c r="J2861" s="14" t="n">
        <v>0.6</v>
      </c>
      <c r="K2861" t="inlineStr">
        <is>
          <t>Distinguished</t>
        </is>
      </c>
      <c r="L2861" t="inlineStr">
        <is>
          <t>Adjunct</t>
        </is>
      </c>
      <c r="M2861" t="inlineStr">
        <is>
          <t>Kristin Haase-Alvey</t>
        </is>
      </c>
    </row>
    <row r="2862">
      <c r="A2862" s="9" t="inlineStr">
        <is>
          <t>Nicole Bishop</t>
        </is>
      </c>
      <c r="B2862" s="9" t="inlineStr">
        <is>
          <t>4/19/26 - 5/16/26</t>
        </is>
      </c>
      <c r="C2862" s="12" t="n">
        <v>1.1417</v>
      </c>
      <c r="D2862" s="12" t="n">
        <v>1.0938</v>
      </c>
      <c r="E2862" s="12" t="n">
        <v>0.923076923</v>
      </c>
      <c r="F2862" s="12" t="n">
        <v>0.988</v>
      </c>
      <c r="G2862" s="12" t="n">
        <v>0.5</v>
      </c>
      <c r="I2862" s="32" t="inlineStr">
        <is>
          <t>3/6</t>
        </is>
      </c>
      <c r="J2862" s="14" t="n">
        <v>0.5</v>
      </c>
      <c r="K2862" t="inlineStr">
        <is>
          <t>Distinguished</t>
        </is>
      </c>
      <c r="L2862" t="inlineStr">
        <is>
          <t>Professional</t>
        </is>
      </c>
      <c r="M2862" t="inlineStr">
        <is>
          <t>Ela Cross</t>
        </is>
      </c>
    </row>
    <row r="2863">
      <c r="A2863" s="9" t="inlineStr">
        <is>
          <t>Aaron Schneberger</t>
        </is>
      </c>
      <c r="B2863" s="9" t="inlineStr">
        <is>
          <t>4/19/26 - 5/16/26</t>
        </is>
      </c>
      <c r="C2863" s="12" t="n">
        <v>0.9292</v>
      </c>
      <c r="D2863" s="12" t="n">
        <v>1.0641</v>
      </c>
      <c r="E2863" s="12" t="n">
        <v>1</v>
      </c>
      <c r="F2863" s="12" t="n">
        <v>1</v>
      </c>
      <c r="G2863" s="12" t="n">
        <v>0.888888889</v>
      </c>
      <c r="I2863" s="32" t="inlineStr">
        <is>
          <t>3/8</t>
        </is>
      </c>
      <c r="J2863" s="14" t="n">
        <v>0.375</v>
      </c>
      <c r="K2863" t="inlineStr">
        <is>
          <t>Distinguished</t>
        </is>
      </c>
      <c r="L2863" t="inlineStr">
        <is>
          <t>Professional</t>
        </is>
      </c>
      <c r="M2863" t="inlineStr">
        <is>
          <t>Ian Plamondon</t>
        </is>
      </c>
    </row>
    <row r="2864">
      <c r="A2864" s="9" t="inlineStr">
        <is>
          <t>Alexa Pinera</t>
        </is>
      </c>
      <c r="B2864" s="9" t="inlineStr">
        <is>
          <t>4/19/26 - 5/16/26</t>
        </is>
      </c>
      <c r="C2864" s="12" t="n">
        <v>0.6292</v>
      </c>
      <c r="D2864" s="12" t="n">
        <v>2.7125</v>
      </c>
      <c r="E2864" s="12" t="n">
        <v>1</v>
      </c>
      <c r="F2864" s="12" t="n">
        <v>1</v>
      </c>
      <c r="G2864" s="12" t="n">
        <v>0.8</v>
      </c>
      <c r="I2864" s="32" t="inlineStr">
        <is>
          <t>4/4</t>
        </is>
      </c>
      <c r="J2864" s="14" t="n">
        <v>1</v>
      </c>
      <c r="K2864" t="inlineStr">
        <is>
          <t>Premium</t>
        </is>
      </c>
      <c r="L2864" t="inlineStr">
        <is>
          <t>Professional</t>
        </is>
      </c>
      <c r="M2864" t="inlineStr">
        <is>
          <t>Ian Plamondon</t>
        </is>
      </c>
    </row>
    <row r="2865">
      <c r="A2865" s="9" t="inlineStr">
        <is>
          <t>Amber Maldonado</t>
        </is>
      </c>
      <c r="B2865" s="9" t="inlineStr">
        <is>
          <t>4/19/26 - 5/16/26</t>
        </is>
      </c>
      <c r="C2865" s="12" t="n">
        <v>0.675</v>
      </c>
      <c r="D2865" s="12" t="n">
        <v>0.8783</v>
      </c>
      <c r="E2865" s="12" t="n">
        <v>0.918032787</v>
      </c>
      <c r="F2865" s="12" t="n">
        <v>0.875</v>
      </c>
      <c r="G2865" s="12" t="n">
        <v>0.857142857</v>
      </c>
      <c r="I2865" s="32" t="inlineStr">
        <is>
          <t>4/4</t>
        </is>
      </c>
      <c r="J2865" s="14" t="n">
        <v>1</v>
      </c>
      <c r="K2865" t="inlineStr">
        <is>
          <t>Distinguished</t>
        </is>
      </c>
      <c r="L2865" t="inlineStr">
        <is>
          <t>Professional</t>
        </is>
      </c>
      <c r="M2865" t="inlineStr">
        <is>
          <t>Annelies de Groot</t>
        </is>
      </c>
    </row>
    <row r="2866">
      <c r="A2866" s="9" t="inlineStr">
        <is>
          <t>Ayman Smoot</t>
        </is>
      </c>
      <c r="B2866" s="9" t="inlineStr">
        <is>
          <t>4/19/26 - 5/16/26</t>
        </is>
      </c>
      <c r="C2866" s="12" t="n">
        <v>1.1042</v>
      </c>
      <c r="D2866" s="12" t="n">
        <v>1.9844</v>
      </c>
      <c r="E2866" s="12" t="n">
        <v>0.93877551</v>
      </c>
      <c r="F2866" s="12" t="n">
        <v>1</v>
      </c>
      <c r="G2866" s="12" t="n">
        <v>0.777777778</v>
      </c>
      <c r="I2866" s="32" t="inlineStr">
        <is>
          <t>4/4</t>
        </is>
      </c>
      <c r="J2866" s="14" t="n">
        <v>1</v>
      </c>
      <c r="K2866" t="inlineStr">
        <is>
          <t>Distinguished</t>
        </is>
      </c>
      <c r="L2866" t="inlineStr">
        <is>
          <t>Adjunct</t>
        </is>
      </c>
      <c r="M2866" t="inlineStr">
        <is>
          <t>Annelies de Groot</t>
        </is>
      </c>
    </row>
    <row r="2867">
      <c r="A2867" s="9" t="inlineStr">
        <is>
          <t>Gigi Glover</t>
        </is>
      </c>
      <c r="B2867" s="9" t="inlineStr">
        <is>
          <t>4/19/26 - 5/16/26</t>
        </is>
      </c>
      <c r="C2867" s="12" t="n">
        <v>0.675</v>
      </c>
      <c r="D2867" s="12" t="n">
        <v>1.1974</v>
      </c>
      <c r="E2867" s="12" t="n">
        <v>0.97260274</v>
      </c>
      <c r="F2867" s="12" t="n">
        <v>1</v>
      </c>
      <c r="G2867" s="12" t="n">
        <v>0.7</v>
      </c>
      <c r="I2867" s="32" t="inlineStr">
        <is>
          <t>4/4</t>
        </is>
      </c>
      <c r="J2867" s="14" t="n">
        <v>1</v>
      </c>
      <c r="K2867" t="inlineStr">
        <is>
          <t>Distinguished</t>
        </is>
      </c>
      <c r="L2867" t="inlineStr">
        <is>
          <t>Professional</t>
        </is>
      </c>
      <c r="M2867" t="inlineStr">
        <is>
          <t>Ian Plamondon</t>
        </is>
      </c>
    </row>
    <row r="2868">
      <c r="A2868" s="9" t="inlineStr">
        <is>
          <t>Jon Cathapermal</t>
        </is>
      </c>
      <c r="B2868" s="9" t="inlineStr">
        <is>
          <t>4/19/26 - 5/16/26</t>
        </is>
      </c>
      <c r="C2868" s="12" t="n">
        <v>0.6786</v>
      </c>
      <c r="D2868" s="12" t="n">
        <v>0.9346</v>
      </c>
      <c r="E2868" s="12" t="n">
        <v>0.95505618</v>
      </c>
      <c r="F2868" s="12" t="n">
        <v>0.9379999999999999</v>
      </c>
      <c r="G2868" s="12" t="n">
        <v>0.736842105</v>
      </c>
      <c r="I2868" s="32" t="inlineStr">
        <is>
          <t>4/4</t>
        </is>
      </c>
      <c r="J2868" s="14" t="n">
        <v>1</v>
      </c>
      <c r="K2868" t="inlineStr">
        <is>
          <t>Distinguished</t>
        </is>
      </c>
      <c r="L2868" t="inlineStr">
        <is>
          <t>Professional</t>
        </is>
      </c>
      <c r="M2868" t="inlineStr">
        <is>
          <t>Geoff St. Marie</t>
        </is>
      </c>
    </row>
    <row r="2869">
      <c r="A2869" s="9" t="inlineStr">
        <is>
          <t>Karleigh Arrington</t>
        </is>
      </c>
      <c r="B2869" s="9" t="inlineStr">
        <is>
          <t>4/19/26 - 5/16/26</t>
        </is>
      </c>
      <c r="C2869" s="12" t="n">
        <v>1.0917</v>
      </c>
      <c r="D2869" s="12" t="n">
        <v>0.9276</v>
      </c>
      <c r="E2869" s="12" t="n">
        <v>1</v>
      </c>
      <c r="F2869" s="12" t="n">
        <v>0.988</v>
      </c>
      <c r="G2869" s="12" t="n">
        <v>0.92</v>
      </c>
      <c r="I2869" s="32" t="inlineStr">
        <is>
          <t>4/4</t>
        </is>
      </c>
      <c r="J2869" s="14" t="n">
        <v>1</v>
      </c>
      <c r="K2869" t="inlineStr">
        <is>
          <t>Distinguished</t>
        </is>
      </c>
      <c r="L2869" t="inlineStr">
        <is>
          <t>Professional</t>
        </is>
      </c>
      <c r="M2869" t="inlineStr">
        <is>
          <t>Annelies de Groot</t>
        </is>
      </c>
    </row>
    <row r="2870">
      <c r="A2870" s="9" t="inlineStr">
        <is>
          <t>Sunho Kum</t>
        </is>
      </c>
      <c r="B2870" s="9" t="inlineStr">
        <is>
          <t>4/19/26 - 5/16/26</t>
        </is>
      </c>
      <c r="C2870" s="12" t="n">
        <v>1.2917</v>
      </c>
      <c r="D2870" s="12" t="n">
        <v>1.25</v>
      </c>
      <c r="E2870" s="12" t="n">
        <v>1</v>
      </c>
      <c r="F2870" s="12" t="n">
        <v>0.978</v>
      </c>
      <c r="G2870" s="12" t="n">
        <v>1</v>
      </c>
      <c r="I2870" s="32" t="inlineStr">
        <is>
          <t>4/4</t>
        </is>
      </c>
      <c r="J2870" s="14" t="n">
        <v>1</v>
      </c>
      <c r="K2870" t="inlineStr">
        <is>
          <t>Distinguished</t>
        </is>
      </c>
      <c r="L2870" t="inlineStr">
        <is>
          <t>Adjunct</t>
        </is>
      </c>
      <c r="M2870" t="inlineStr">
        <is>
          <t>Ela Cross</t>
        </is>
      </c>
    </row>
    <row r="2871">
      <c r="A2871" s="9" t="inlineStr">
        <is>
          <t>Eddie Cayia</t>
        </is>
      </c>
      <c r="B2871" s="9" t="inlineStr">
        <is>
          <t>4/19/26 - 5/16/26</t>
        </is>
      </c>
      <c r="C2871" s="12" t="n">
        <v>0.925</v>
      </c>
      <c r="D2871" s="12" t="n">
        <v>0.9244</v>
      </c>
      <c r="E2871" s="12" t="n">
        <v>0.944444444</v>
      </c>
      <c r="F2871" s="12" t="n">
        <v>0.889</v>
      </c>
      <c r="G2871" s="12" t="n">
        <v>0.72</v>
      </c>
      <c r="I2871" s="32" t="inlineStr">
        <is>
          <t>4/5</t>
        </is>
      </c>
      <c r="J2871" s="14" t="n">
        <v>0.8</v>
      </c>
      <c r="K2871" t="inlineStr">
        <is>
          <t>Distinguished</t>
        </is>
      </c>
      <c r="L2871" t="inlineStr">
        <is>
          <t>Professional</t>
        </is>
      </c>
      <c r="M2871" t="inlineStr">
        <is>
          <t>Annelies de Groot</t>
        </is>
      </c>
    </row>
    <row r="2872">
      <c r="A2872" s="9" t="inlineStr">
        <is>
          <t>Jacob Karn</t>
        </is>
      </c>
      <c r="B2872" s="9" t="inlineStr">
        <is>
          <t>4/19/26 - 5/16/26</t>
        </is>
      </c>
      <c r="C2872" s="12" t="n">
        <v>0.6833</v>
      </c>
      <c r="D2872" s="12" t="n">
        <v>0.8421</v>
      </c>
      <c r="E2872" s="12" t="n">
        <v>0.935897436</v>
      </c>
      <c r="F2872" s="12" t="n">
        <v>0.906</v>
      </c>
      <c r="G2872" s="12" t="n">
        <v>0.863636364</v>
      </c>
      <c r="I2872" s="32" t="inlineStr">
        <is>
          <t>4/5</t>
        </is>
      </c>
      <c r="J2872" s="14" t="n">
        <v>0.8</v>
      </c>
      <c r="K2872" t="inlineStr">
        <is>
          <t>Distinguished</t>
        </is>
      </c>
      <c r="L2872" t="inlineStr">
        <is>
          <t>Professional</t>
        </is>
      </c>
      <c r="M2872" t="inlineStr">
        <is>
          <t>Ian Plamondon</t>
        </is>
      </c>
    </row>
    <row r="2873">
      <c r="A2873" s="9" t="inlineStr">
        <is>
          <t>Mariah Lutz</t>
        </is>
      </c>
      <c r="B2873" s="9" t="inlineStr">
        <is>
          <t>4/19/26 - 5/16/26</t>
        </is>
      </c>
      <c r="C2873" s="12" t="n">
        <v>0.9571</v>
      </c>
      <c r="D2873" s="12" t="n">
        <v>1.0828</v>
      </c>
      <c r="E2873" s="12" t="n">
        <v>1</v>
      </c>
      <c r="F2873" s="12" t="n">
        <v>0.978</v>
      </c>
      <c r="G2873" s="12" t="n">
        <v>0.818181818</v>
      </c>
      <c r="I2873" s="32" t="inlineStr">
        <is>
          <t>4/5</t>
        </is>
      </c>
      <c r="J2873" s="14" t="n">
        <v>0.8</v>
      </c>
      <c r="K2873" t="inlineStr">
        <is>
          <t>Distinguished</t>
        </is>
      </c>
      <c r="L2873" t="inlineStr">
        <is>
          <t>Professional</t>
        </is>
      </c>
      <c r="M2873" t="inlineStr">
        <is>
          <t>Ian Plamondon</t>
        </is>
      </c>
    </row>
    <row r="2874">
      <c r="A2874" s="9" t="inlineStr">
        <is>
          <t>Scott Holdcraft</t>
        </is>
      </c>
      <c r="B2874" s="9" t="inlineStr">
        <is>
          <t>4/19/26 - 5/16/26</t>
        </is>
      </c>
      <c r="C2874" s="12" t="n">
        <v>0.925</v>
      </c>
      <c r="D2874" s="12" t="n">
        <v>1.0428</v>
      </c>
      <c r="E2874" s="12" t="n">
        <v>0.846846847</v>
      </c>
      <c r="F2874" s="12" t="n">
        <v>0.974</v>
      </c>
      <c r="G2874" s="12" t="n">
        <v>0.55</v>
      </c>
      <c r="I2874" s="32" t="inlineStr">
        <is>
          <t>4/5</t>
        </is>
      </c>
      <c r="J2874" s="14" t="n">
        <v>0.8</v>
      </c>
      <c r="K2874" t="inlineStr">
        <is>
          <t>Distinguished</t>
        </is>
      </c>
      <c r="L2874" t="inlineStr">
        <is>
          <t>Professional</t>
        </is>
      </c>
      <c r="M2874" t="inlineStr">
        <is>
          <t>Ela Cross</t>
        </is>
      </c>
    </row>
    <row r="2875">
      <c r="A2875" s="9" t="inlineStr">
        <is>
          <t>Brian Johnson</t>
        </is>
      </c>
      <c r="B2875" s="9" t="inlineStr">
        <is>
          <t>4/19/26 - 5/16/26</t>
        </is>
      </c>
      <c r="C2875" s="12" t="n">
        <v>1.0208</v>
      </c>
      <c r="D2875" s="12" t="n">
        <v>1.1234</v>
      </c>
      <c r="E2875" s="12" t="n">
        <v>1</v>
      </c>
      <c r="F2875" s="12" t="n">
        <v>1</v>
      </c>
      <c r="G2875" s="12" t="n">
        <v>0.916666667</v>
      </c>
      <c r="I2875" s="32" t="inlineStr">
        <is>
          <t>4/6</t>
        </is>
      </c>
      <c r="J2875" s="14" t="n">
        <v>0.67</v>
      </c>
      <c r="K2875" t="inlineStr">
        <is>
          <t>Distinguished</t>
        </is>
      </c>
      <c r="L2875" t="inlineStr">
        <is>
          <t>Professional</t>
        </is>
      </c>
      <c r="M2875" t="inlineStr">
        <is>
          <t>Kristin Haase-Alvey</t>
        </is>
      </c>
    </row>
    <row r="2876">
      <c r="A2876" s="9" t="inlineStr">
        <is>
          <t>Casey Young</t>
        </is>
      </c>
      <c r="B2876" s="9" t="inlineStr">
        <is>
          <t>4/19/26 - 5/16/26</t>
        </is>
      </c>
      <c r="C2876" s="12" t="n">
        <v>0.9429</v>
      </c>
      <c r="D2876" s="12" t="n">
        <v>1.0102</v>
      </c>
      <c r="E2876" s="12" t="n">
        <v>0.9921875</v>
      </c>
      <c r="F2876" s="12" t="n">
        <v>1</v>
      </c>
      <c r="G2876" s="12" t="n">
        <v>0.833333333</v>
      </c>
      <c r="I2876" s="32" t="inlineStr">
        <is>
          <t>4/6</t>
        </is>
      </c>
      <c r="J2876" s="14" t="n">
        <v>0.67</v>
      </c>
      <c r="K2876" t="inlineStr">
        <is>
          <t>Distinguished</t>
        </is>
      </c>
      <c r="L2876" t="inlineStr">
        <is>
          <t>Professional</t>
        </is>
      </c>
      <c r="M2876" t="inlineStr">
        <is>
          <t>Ela Cross</t>
        </is>
      </c>
    </row>
    <row r="2877">
      <c r="A2877" s="9" t="inlineStr">
        <is>
          <t>Ana Heiser</t>
        </is>
      </c>
      <c r="B2877" s="9" t="inlineStr">
        <is>
          <t>4/19/26 - 5/16/26</t>
        </is>
      </c>
      <c r="C2877" s="12" t="n">
        <v>0.5667</v>
      </c>
      <c r="D2877" s="12" t="n">
        <v>1.2563</v>
      </c>
      <c r="E2877" s="12" t="n">
        <v>0.9523809519999999</v>
      </c>
      <c r="F2877" s="12" t="n">
        <v>0.9330000000000001</v>
      </c>
      <c r="G2877" s="12" t="n">
        <v>1</v>
      </c>
      <c r="I2877" s="32" t="inlineStr">
        <is>
          <t>5/5</t>
        </is>
      </c>
      <c r="J2877" s="14" t="n">
        <v>1</v>
      </c>
      <c r="K2877" t="inlineStr">
        <is>
          <t>Distinguished</t>
        </is>
      </c>
      <c r="L2877" t="inlineStr">
        <is>
          <t>Professional</t>
        </is>
      </c>
      <c r="M2877" t="inlineStr">
        <is>
          <t>Kristin Haase-Alvey</t>
        </is>
      </c>
    </row>
    <row r="2878">
      <c r="A2878" s="9" t="inlineStr">
        <is>
          <t>Cadence Liles</t>
        </is>
      </c>
      <c r="B2878" s="9" t="inlineStr">
        <is>
          <t>4/19/26 - 5/16/26</t>
        </is>
      </c>
      <c r="C2878" s="12" t="n">
        <v>0.825</v>
      </c>
      <c r="D2878" s="12" t="n">
        <v>1.099</v>
      </c>
      <c r="E2878" s="12" t="n">
        <v>0.983333333</v>
      </c>
      <c r="F2878" s="12" t="n">
        <v>0.838</v>
      </c>
      <c r="G2878" s="12" t="n">
        <v>0.571428571</v>
      </c>
      <c r="I2878" s="32" t="inlineStr">
        <is>
          <t>5/5</t>
        </is>
      </c>
      <c r="J2878" s="14" t="n">
        <v>1</v>
      </c>
      <c r="K2878" t="inlineStr">
        <is>
          <t>Advanced</t>
        </is>
      </c>
      <c r="L2878" t="inlineStr">
        <is>
          <t>Adjunct</t>
        </is>
      </c>
      <c r="M2878" t="inlineStr">
        <is>
          <t>Geoff St. Marie</t>
        </is>
      </c>
    </row>
    <row r="2879">
      <c r="A2879" s="9" t="inlineStr">
        <is>
          <t>David Alcantara</t>
        </is>
      </c>
      <c r="B2879" s="9" t="inlineStr">
        <is>
          <t>4/19/26 - 5/16/26</t>
        </is>
      </c>
      <c r="C2879" s="12" t="n">
        <v>0.9667</v>
      </c>
      <c r="D2879" s="12" t="n">
        <v>0.9752999999999999</v>
      </c>
      <c r="E2879" s="12" t="n">
        <v>1</v>
      </c>
      <c r="F2879" s="12" t="n">
        <v>0.972</v>
      </c>
      <c r="G2879" s="12" t="n">
        <v>0.736842105</v>
      </c>
      <c r="I2879" s="32" t="inlineStr">
        <is>
          <t>5/5</t>
        </is>
      </c>
      <c r="J2879" s="14" t="n">
        <v>1</v>
      </c>
      <c r="K2879" t="inlineStr">
        <is>
          <t>Distinguished</t>
        </is>
      </c>
      <c r="L2879" t="inlineStr">
        <is>
          <t>Professional</t>
        </is>
      </c>
      <c r="M2879" t="inlineStr">
        <is>
          <t>Ela Cross</t>
        </is>
      </c>
    </row>
    <row r="2880">
      <c r="A2880" s="9" t="inlineStr">
        <is>
          <t>Jennifer Hernandez</t>
        </is>
      </c>
      <c r="B2880" s="9" t="inlineStr">
        <is>
          <t>4/19/26 - 5/16/26</t>
        </is>
      </c>
      <c r="C2880" s="12" t="n">
        <v>0.85</v>
      </c>
      <c r="D2880" s="12" t="n">
        <v>1.1016</v>
      </c>
      <c r="E2880" s="12" t="n">
        <v>1</v>
      </c>
      <c r="F2880" s="12" t="n">
        <v>0.974</v>
      </c>
      <c r="G2880" s="12" t="n">
        <v>1</v>
      </c>
      <c r="I2880" s="32" t="inlineStr">
        <is>
          <t>5/6</t>
        </is>
      </c>
      <c r="J2880" s="14" t="n">
        <v>0.8333333333333334</v>
      </c>
      <c r="K2880" t="inlineStr">
        <is>
          <t>Distinguished</t>
        </is>
      </c>
      <c r="L2880" t="inlineStr">
        <is>
          <t>Adjunct</t>
        </is>
      </c>
      <c r="M2880" t="inlineStr">
        <is>
          <t>Kristin Haase-Alvey</t>
        </is>
      </c>
    </row>
    <row r="2881">
      <c r="A2881" s="9" t="inlineStr">
        <is>
          <t>Tyler Henry</t>
        </is>
      </c>
      <c r="B2881" s="9" t="inlineStr">
        <is>
          <t>4/19/26 - 5/16/26</t>
        </is>
      </c>
      <c r="C2881" s="12" t="n">
        <v>0.9917</v>
      </c>
      <c r="D2881" s="12" t="n">
        <v>1.0789</v>
      </c>
      <c r="E2881" s="12" t="n">
        <v>0.918181818</v>
      </c>
      <c r="F2881" s="12" t="n">
        <v>0.976</v>
      </c>
      <c r="G2881" s="12" t="n">
        <v>0.7</v>
      </c>
      <c r="I2881" s="32" t="inlineStr">
        <is>
          <t>5/6</t>
        </is>
      </c>
      <c r="J2881" s="14" t="n">
        <v>0.8333333333333334</v>
      </c>
      <c r="K2881" t="inlineStr">
        <is>
          <t>Distinguished</t>
        </is>
      </c>
      <c r="L2881" t="inlineStr">
        <is>
          <t>Professional</t>
        </is>
      </c>
      <c r="M2881" t="inlineStr">
        <is>
          <t>Annelies de Groot</t>
        </is>
      </c>
    </row>
    <row r="2882">
      <c r="A2882" s="9" t="inlineStr">
        <is>
          <t>Nick Kocik</t>
        </is>
      </c>
      <c r="B2882" s="9" t="inlineStr">
        <is>
          <t>4/19/26 - 5/16/26</t>
        </is>
      </c>
      <c r="C2882" s="12" t="n">
        <v>1.15</v>
      </c>
      <c r="D2882" s="12" t="n">
        <v>1.0461</v>
      </c>
      <c r="E2882" s="12" t="n">
        <v>0.984251969</v>
      </c>
      <c r="F2882" s="12" t="n">
        <v>0.949</v>
      </c>
      <c r="G2882" s="12" t="n">
        <v>0.545454545</v>
      </c>
      <c r="I2882" s="32" t="inlineStr">
        <is>
          <t>5/9</t>
        </is>
      </c>
      <c r="J2882" s="14" t="n">
        <v>0.5555555555555556</v>
      </c>
      <c r="K2882" t="inlineStr">
        <is>
          <t>Distinguished</t>
        </is>
      </c>
      <c r="L2882" t="inlineStr">
        <is>
          <t>Professional</t>
        </is>
      </c>
      <c r="M2882" t="inlineStr">
        <is>
          <t>Ela Cross</t>
        </is>
      </c>
    </row>
    <row r="2883">
      <c r="A2883" s="9" t="inlineStr">
        <is>
          <t>River Nunez</t>
        </is>
      </c>
      <c r="B2883" s="9" t="inlineStr">
        <is>
          <t>4/19/26 - 5/16/26</t>
        </is>
      </c>
      <c r="C2883" s="12" t="n">
        <v>0.975</v>
      </c>
      <c r="D2883" s="12" t="n">
        <v>1.0559</v>
      </c>
      <c r="E2883" s="12" t="n">
        <v>0.990384615</v>
      </c>
      <c r="F2883" s="12" t="n">
        <v>0.988</v>
      </c>
      <c r="G2883" s="12" t="n">
        <v>0.823529412</v>
      </c>
      <c r="I2883" s="32" t="inlineStr">
        <is>
          <t>6/9</t>
        </is>
      </c>
      <c r="J2883" s="14" t="n">
        <v>0.6666666666666666</v>
      </c>
      <c r="K2883" t="inlineStr">
        <is>
          <t>Distinguished</t>
        </is>
      </c>
      <c r="L2883" t="inlineStr">
        <is>
          <t>Professional</t>
        </is>
      </c>
      <c r="M2883" t="inlineStr">
        <is>
          <t>Annelies de Groot</t>
        </is>
      </c>
    </row>
    <row r="2884">
      <c r="A2884" s="9" t="inlineStr">
        <is>
          <t>Rain Real</t>
        </is>
      </c>
      <c r="B2884" s="9" t="inlineStr">
        <is>
          <t>4/19/26 - 5/16/26</t>
        </is>
      </c>
      <c r="C2884" s="12" t="n">
        <v>1.0792</v>
      </c>
      <c r="D2884" s="12" t="n">
        <v>1.2484</v>
      </c>
      <c r="E2884" s="12" t="n">
        <v>1</v>
      </c>
      <c r="F2884" s="12" t="n">
        <v>1</v>
      </c>
      <c r="G2884" s="12" t="n">
        <v>0.666666667</v>
      </c>
      <c r="I2884" s="32" t="inlineStr">
        <is>
          <t>7/10</t>
        </is>
      </c>
      <c r="J2884" s="14" t="n">
        <v>0.7</v>
      </c>
      <c r="K2884" t="inlineStr">
        <is>
          <t>Distinguished</t>
        </is>
      </c>
      <c r="L2884" t="inlineStr">
        <is>
          <t>Professional</t>
        </is>
      </c>
      <c r="M2884" t="inlineStr">
        <is>
          <t>Annelies de Groot</t>
        </is>
      </c>
    </row>
    <row r="2885">
      <c r="A2885" s="9" t="inlineStr">
        <is>
          <t>Jill Watson</t>
        </is>
      </c>
      <c r="B2885" s="9" t="inlineStr">
        <is>
          <t>4/19/26 - 5/16/26</t>
        </is>
      </c>
      <c r="C2885" s="12" t="n">
        <v>1.0786</v>
      </c>
      <c r="D2885" s="12" t="n">
        <v>1.1206</v>
      </c>
      <c r="E2885" s="12" t="n">
        <v>1</v>
      </c>
      <c r="F2885" s="12" t="n">
        <v>0.96</v>
      </c>
      <c r="G2885" s="12" t="n">
        <v>0.894736842</v>
      </c>
      <c r="I2885" s="32" t="inlineStr">
        <is>
          <t>7/7</t>
        </is>
      </c>
      <c r="J2885" s="14" t="n">
        <v>1</v>
      </c>
      <c r="K2885" t="inlineStr">
        <is>
          <t>Distinguished</t>
        </is>
      </c>
      <c r="L2885" t="inlineStr">
        <is>
          <t>Professional</t>
        </is>
      </c>
      <c r="M2885" t="inlineStr">
        <is>
          <t>Ian Plamondon</t>
        </is>
      </c>
    </row>
    <row r="2886">
      <c r="A2886" s="9" t="inlineStr">
        <is>
          <t>Brock Dilley</t>
        </is>
      </c>
      <c r="B2886" s="9" t="inlineStr">
        <is>
          <t>4/19/26 - 5/16/26</t>
        </is>
      </c>
      <c r="C2886" s="12" t="n">
        <v>1.1786</v>
      </c>
      <c r="D2886" s="12" t="n">
        <v>1.0799</v>
      </c>
      <c r="E2886" s="12" t="n">
        <v>1</v>
      </c>
      <c r="F2886" s="12" t="n">
        <v>0.978</v>
      </c>
      <c r="G2886" s="12" t="n">
        <v>0.789473684</v>
      </c>
      <c r="I2886" s="32" t="inlineStr">
        <is>
          <t>8/11</t>
        </is>
      </c>
      <c r="J2886" s="14" t="n">
        <v>0.7272727272727273</v>
      </c>
      <c r="K2886" t="inlineStr">
        <is>
          <t>Distinguished</t>
        </is>
      </c>
      <c r="L2886" t="inlineStr">
        <is>
          <t>Professional</t>
        </is>
      </c>
      <c r="M2886" t="inlineStr">
        <is>
          <t>Annelies de Groot</t>
        </is>
      </c>
    </row>
    <row r="2887">
      <c r="A2887" s="42" t="inlineStr">
        <is>
          <t>Aaron Schneberger</t>
        </is>
      </c>
      <c r="B2887" s="42" t="inlineStr">
        <is>
          <t>5/17/26 - 6/13/26</t>
        </is>
      </c>
      <c r="C2887" s="41" t="n">
        <v>0.6333</v>
      </c>
      <c r="D2887" s="41" t="n">
        <v>1.0263</v>
      </c>
      <c r="E2887" s="41" t="n">
        <v>0.984848485</v>
      </c>
      <c r="F2887" s="41" t="n">
        <v>1</v>
      </c>
      <c r="G2887" s="41" t="n">
        <v>0.888888889</v>
      </c>
      <c r="H2887" s="42" t="n"/>
      <c r="I2887" s="43" t="inlineStr">
        <is>
          <t>4/7</t>
        </is>
      </c>
      <c r="J2887" s="41">
        <f>4/7</f>
        <v/>
      </c>
      <c r="K2887" s="42" t="inlineStr">
        <is>
          <t>Distinguished</t>
        </is>
      </c>
      <c r="L2887" s="42" t="inlineStr">
        <is>
          <t>Professional</t>
        </is>
      </c>
      <c r="M2887" s="42" t="inlineStr">
        <is>
          <t>Ian Plamondon</t>
        </is>
      </c>
    </row>
    <row r="2888">
      <c r="A2888" s="42" t="inlineStr">
        <is>
          <t>Akeema Williams</t>
        </is>
      </c>
      <c r="B2888" s="42" t="inlineStr">
        <is>
          <t>5/17/26 - 6/13/26</t>
        </is>
      </c>
      <c r="C2888" s="41" t="n">
        <v>0.9333</v>
      </c>
      <c r="D2888" s="41" t="n">
        <v>0.9671</v>
      </c>
      <c r="E2888" s="41" t="n">
        <v>0.969387755</v>
      </c>
      <c r="F2888" s="41" t="n">
        <v>1</v>
      </c>
      <c r="G2888" s="41" t="n">
        <v>0.909090909</v>
      </c>
      <c r="H2888" s="42" t="n"/>
      <c r="I2888" s="43" t="inlineStr">
        <is>
          <t>3/5</t>
        </is>
      </c>
      <c r="J2888" s="41" t="n">
        <v>0.6</v>
      </c>
      <c r="K2888" s="42" t="inlineStr">
        <is>
          <t>Distinguished</t>
        </is>
      </c>
      <c r="L2888" s="42" t="inlineStr">
        <is>
          <t>Professional</t>
        </is>
      </c>
      <c r="M2888" s="42" t="inlineStr">
        <is>
          <t>Geoff St. Marie</t>
        </is>
      </c>
    </row>
    <row r="2889">
      <c r="A2889" s="42" t="inlineStr">
        <is>
          <t>Alex Small</t>
        </is>
      </c>
      <c r="B2889" s="42" t="inlineStr">
        <is>
          <t>5/17/26 - 6/13/26</t>
        </is>
      </c>
      <c r="C2889" s="41" t="n">
        <v>0.3958</v>
      </c>
      <c r="D2889" s="41" t="n">
        <v>1.2813</v>
      </c>
      <c r="E2889" s="41" t="n">
        <v>1</v>
      </c>
      <c r="F2889" s="41" t="n">
        <v>1</v>
      </c>
      <c r="G2889" s="41" t="n">
        <v>1</v>
      </c>
      <c r="H2889" s="42" t="n"/>
      <c r="I2889" s="43" t="inlineStr">
        <is>
          <t>0/1</t>
        </is>
      </c>
      <c r="J2889" s="41" t="n">
        <v>0</v>
      </c>
      <c r="K2889" s="42" t="inlineStr">
        <is>
          <t>Premium</t>
        </is>
      </c>
      <c r="L2889" s="42" t="inlineStr">
        <is>
          <t>Adjunct</t>
        </is>
      </c>
      <c r="M2889" s="42" t="inlineStr">
        <is>
          <t>Ela Cross</t>
        </is>
      </c>
    </row>
    <row r="2890">
      <c r="A2890" s="42" t="inlineStr">
        <is>
          <t>Alexa Pinera</t>
        </is>
      </c>
      <c r="B2890" s="42" t="inlineStr">
        <is>
          <t>5/17/26 - 6/13/26</t>
        </is>
      </c>
      <c r="C2890" s="41" t="n">
        <v>0.5542</v>
      </c>
      <c r="D2890" s="41" t="n">
        <v>2.1146</v>
      </c>
      <c r="E2890" s="41" t="n">
        <v>1</v>
      </c>
      <c r="F2890" s="41" t="n">
        <v>1</v>
      </c>
      <c r="G2890" s="41" t="n">
        <v>0.923076923</v>
      </c>
      <c r="H2890" s="42" t="n"/>
      <c r="I2890" s="43" t="n"/>
      <c r="J2890" s="41" t="n"/>
      <c r="K2890" s="42" t="inlineStr">
        <is>
          <t>Premium</t>
        </is>
      </c>
      <c r="L2890" s="42" t="inlineStr">
        <is>
          <t>Professional</t>
        </is>
      </c>
      <c r="M2890" s="42" t="inlineStr">
        <is>
          <t>Ian Plamondon</t>
        </is>
      </c>
    </row>
    <row r="2891">
      <c r="A2891" s="42" t="inlineStr">
        <is>
          <t>Alexandra Berrios</t>
        </is>
      </c>
      <c r="B2891" s="42" t="inlineStr">
        <is>
          <t>5/17/26 - 6/13/26</t>
        </is>
      </c>
      <c r="C2891" s="41" t="n">
        <v>0.9896</v>
      </c>
      <c r="D2891" s="41" t="n">
        <v>0.918</v>
      </c>
      <c r="E2891" s="41" t="n">
        <v>1</v>
      </c>
      <c r="F2891" s="41" t="n">
        <v>0.9379999999999999</v>
      </c>
      <c r="G2891" s="41" t="n">
        <v>0.75</v>
      </c>
      <c r="H2891" s="42" t="n"/>
      <c r="I2891" s="43" t="inlineStr">
        <is>
          <t>0/1</t>
        </is>
      </c>
      <c r="J2891" s="41" t="n">
        <v>0</v>
      </c>
      <c r="K2891" s="42" t="inlineStr">
        <is>
          <t>Distinguished</t>
        </is>
      </c>
      <c r="L2891" s="42" t="inlineStr">
        <is>
          <t>Adjunct</t>
        </is>
      </c>
      <c r="M2891" s="42" t="inlineStr">
        <is>
          <t>Kristin Haase-Alvey</t>
        </is>
      </c>
    </row>
    <row r="2892">
      <c r="A2892" s="42" t="inlineStr">
        <is>
          <t>Alexis Boucher</t>
        </is>
      </c>
      <c r="B2892" s="42" t="inlineStr">
        <is>
          <t>5/17/26 - 6/13/26</t>
        </is>
      </c>
      <c r="C2892" s="41" t="n">
        <v>0.7583</v>
      </c>
      <c r="D2892" s="41" t="n">
        <v>0.9046</v>
      </c>
      <c r="E2892" s="41" t="n">
        <v>0.9875</v>
      </c>
      <c r="F2892" s="41" t="n">
        <v>0.875</v>
      </c>
      <c r="G2892" s="41" t="n">
        <v>0.9375</v>
      </c>
      <c r="H2892" s="42" t="n"/>
      <c r="I2892" s="43" t="inlineStr">
        <is>
          <t>2/3</t>
        </is>
      </c>
      <c r="J2892" s="41" t="n">
        <v>0.67</v>
      </c>
      <c r="K2892" s="42" t="inlineStr">
        <is>
          <t>Distinguished</t>
        </is>
      </c>
      <c r="L2892" s="42" t="inlineStr">
        <is>
          <t>Professional</t>
        </is>
      </c>
      <c r="M2892" s="42" t="inlineStr">
        <is>
          <t>Geoff St. Marie</t>
        </is>
      </c>
    </row>
    <row r="2893">
      <c r="A2893" s="42" t="inlineStr">
        <is>
          <t>Alison Trumbull</t>
        </is>
      </c>
      <c r="B2893" s="42" t="inlineStr">
        <is>
          <t>5/17/26 - 6/13/26</t>
        </is>
      </c>
      <c r="C2893" s="41" t="n">
        <v>0.4375</v>
      </c>
      <c r="D2893" s="41" t="n">
        <v>1.1406</v>
      </c>
      <c r="E2893" s="41" t="n">
        <v>0.8823529409999999</v>
      </c>
      <c r="F2893" s="41" t="n">
        <v>0.875</v>
      </c>
      <c r="G2893" s="41" t="n">
        <v>0.166666667</v>
      </c>
      <c r="H2893" s="42" t="n"/>
      <c r="I2893" s="43" t="n"/>
      <c r="J2893" s="41" t="n"/>
      <c r="K2893" s="42" t="inlineStr">
        <is>
          <t>Premium</t>
        </is>
      </c>
      <c r="L2893" s="42" t="inlineStr">
        <is>
          <t>Adjunct</t>
        </is>
      </c>
      <c r="M2893" s="42" t="inlineStr">
        <is>
          <t>Geoff St. Marie</t>
        </is>
      </c>
    </row>
    <row r="2894">
      <c r="A2894" s="42" t="inlineStr">
        <is>
          <t>Allison Peck</t>
        </is>
      </c>
      <c r="B2894" s="42" t="inlineStr">
        <is>
          <t>5/17/26 - 6/13/26</t>
        </is>
      </c>
      <c r="C2894" s="41" t="n">
        <v>0.4375</v>
      </c>
      <c r="D2894" s="41" t="n">
        <v>1.1484</v>
      </c>
      <c r="E2894" s="41" t="n">
        <v>1</v>
      </c>
      <c r="F2894" s="41" t="n">
        <v>1</v>
      </c>
      <c r="G2894" s="41" t="n">
        <v>1</v>
      </c>
      <c r="H2894" s="42" t="n"/>
      <c r="I2894" s="43" t="n"/>
      <c r="J2894" s="41" t="n"/>
      <c r="K2894" s="42" t="inlineStr">
        <is>
          <t>Distinguished</t>
        </is>
      </c>
      <c r="L2894" s="42" t="inlineStr">
        <is>
          <t>Adjunct</t>
        </is>
      </c>
      <c r="M2894" s="42" t="inlineStr">
        <is>
          <t>Kristin Haase-Alvey</t>
        </is>
      </c>
    </row>
    <row r="2895">
      <c r="A2895" s="42" t="inlineStr">
        <is>
          <t>Amber Maldonado</t>
        </is>
      </c>
      <c r="B2895" s="42" t="inlineStr">
        <is>
          <t>5/17/26 - 6/13/26</t>
        </is>
      </c>
      <c r="C2895" s="41" t="n">
        <v>0.7833</v>
      </c>
      <c r="D2895" s="41" t="n">
        <v>1.0625</v>
      </c>
      <c r="E2895" s="41" t="n">
        <v>0.902439024</v>
      </c>
      <c r="F2895" s="41" t="n">
        <v>0.875</v>
      </c>
      <c r="G2895" s="41" t="n">
        <v>1</v>
      </c>
      <c r="H2895" s="42" t="n"/>
      <c r="I2895" s="44" t="inlineStr">
        <is>
          <t>0/2</t>
        </is>
      </c>
      <c r="J2895" s="41" t="n">
        <v>0</v>
      </c>
      <c r="K2895" s="42" t="inlineStr">
        <is>
          <t>Distinguished</t>
        </is>
      </c>
      <c r="L2895" s="42" t="inlineStr">
        <is>
          <t>Professional</t>
        </is>
      </c>
      <c r="M2895" s="42" t="inlineStr">
        <is>
          <t>Annelies de Groot</t>
        </is>
      </c>
    </row>
    <row r="2896">
      <c r="A2896" s="42" t="inlineStr">
        <is>
          <t>Amelia Sain</t>
        </is>
      </c>
      <c r="B2896" s="42" t="inlineStr">
        <is>
          <t>5/17/26 - 6/13/26</t>
        </is>
      </c>
      <c r="C2896" s="41" t="n">
        <v>0.3917</v>
      </c>
      <c r="D2896" s="41" t="n">
        <v>1.0757</v>
      </c>
      <c r="E2896" s="41" t="n">
        <v>1</v>
      </c>
      <c r="F2896" s="41" t="n">
        <v>0.789</v>
      </c>
      <c r="G2896" s="41" t="n">
        <v>0.285714286</v>
      </c>
      <c r="H2896" s="42" t="n"/>
      <c r="I2896" s="43" t="inlineStr">
        <is>
          <t>0/2</t>
        </is>
      </c>
      <c r="J2896" s="41" t="n">
        <v>0</v>
      </c>
      <c r="K2896" s="42" t="inlineStr">
        <is>
          <t>Premium</t>
        </is>
      </c>
      <c r="L2896" s="42" t="inlineStr">
        <is>
          <t>Professional</t>
        </is>
      </c>
      <c r="M2896" s="42" t="inlineStr">
        <is>
          <t>Geoff St. Marie</t>
        </is>
      </c>
    </row>
    <row r="2897">
      <c r="A2897" s="42" t="inlineStr">
        <is>
          <t>Amy Kim</t>
        </is>
      </c>
      <c r="B2897" s="42" t="inlineStr">
        <is>
          <t>5/17/26 - 6/13/26</t>
        </is>
      </c>
      <c r="C2897" s="41" t="n">
        <v>0.8542</v>
      </c>
      <c r="D2897" s="41" t="n">
        <v>0.9704</v>
      </c>
      <c r="E2897" s="41" t="n">
        <v>1</v>
      </c>
      <c r="F2897" s="41" t="n">
        <v>0.983</v>
      </c>
      <c r="G2897" s="41" t="n">
        <v>0.6</v>
      </c>
      <c r="H2897" s="42" t="n"/>
      <c r="I2897" s="42" t="inlineStr">
        <is>
          <t>0/4</t>
        </is>
      </c>
      <c r="J2897" s="41" t="n">
        <v>0</v>
      </c>
      <c r="K2897" s="42" t="inlineStr">
        <is>
          <t>Distinguished</t>
        </is>
      </c>
      <c r="L2897" s="42" t="inlineStr">
        <is>
          <t>Professional</t>
        </is>
      </c>
      <c r="M2897" s="42" t="inlineStr">
        <is>
          <t>Ela Cross</t>
        </is>
      </c>
    </row>
    <row r="2898">
      <c r="A2898" s="42" t="inlineStr">
        <is>
          <t>Ana Heiser</t>
        </is>
      </c>
      <c r="B2898" s="42" t="inlineStr">
        <is>
          <t>5/17/26 - 6/13/26</t>
        </is>
      </c>
      <c r="C2898" s="41" t="n">
        <v>0.5583</v>
      </c>
      <c r="D2898" s="41" t="n">
        <v>1.2396</v>
      </c>
      <c r="E2898" s="41" t="n">
        <v>0.968253968</v>
      </c>
      <c r="F2898" s="41" t="n">
        <v>0.957</v>
      </c>
      <c r="G2898" s="41" t="n">
        <v>1</v>
      </c>
      <c r="H2898" s="42" t="n"/>
      <c r="I2898" s="43" t="inlineStr">
        <is>
          <t>2/2</t>
        </is>
      </c>
      <c r="J2898" s="41" t="n">
        <v>1</v>
      </c>
      <c r="K2898" s="42" t="inlineStr">
        <is>
          <t>Distinguished</t>
        </is>
      </c>
      <c r="L2898" s="42" t="inlineStr">
        <is>
          <t>Professional</t>
        </is>
      </c>
      <c r="M2898" s="42" t="inlineStr">
        <is>
          <t>Kristin Haase-Alvey</t>
        </is>
      </c>
    </row>
    <row r="2899">
      <c r="A2899" s="42" t="inlineStr">
        <is>
          <t>Andres Jarquin</t>
        </is>
      </c>
      <c r="B2899" s="42" t="inlineStr">
        <is>
          <t>5/17/26 - 6/13/26</t>
        </is>
      </c>
      <c r="C2899" s="41" t="n">
        <v>0.5917</v>
      </c>
      <c r="D2899" s="41" t="n">
        <v>0.9836</v>
      </c>
      <c r="E2899" s="41" t="n">
        <v>1</v>
      </c>
      <c r="F2899" s="41" t="n">
        <v>0.978</v>
      </c>
      <c r="G2899" s="41" t="n">
        <v>0.363636364</v>
      </c>
      <c r="H2899" s="42" t="n"/>
      <c r="I2899" s="43" t="inlineStr">
        <is>
          <t>0/2</t>
        </is>
      </c>
      <c r="J2899" s="41" t="n">
        <v>0</v>
      </c>
      <c r="K2899" s="42" t="inlineStr">
        <is>
          <t>Distinguished</t>
        </is>
      </c>
      <c r="L2899" s="42" t="inlineStr">
        <is>
          <t>Professional</t>
        </is>
      </c>
      <c r="M2899" s="42" t="inlineStr">
        <is>
          <t>Ian Plamondon</t>
        </is>
      </c>
    </row>
    <row r="2900">
      <c r="A2900" s="42" t="inlineStr">
        <is>
          <t>Andrew Brown</t>
        </is>
      </c>
      <c r="B2900" s="42" t="inlineStr">
        <is>
          <t>5/17/26 - 6/13/26</t>
        </is>
      </c>
      <c r="C2900" s="41" t="n">
        <v>0.9958</v>
      </c>
      <c r="D2900" s="41" t="n">
        <v>1.4178</v>
      </c>
      <c r="E2900" s="41" t="n">
        <v>0.990909091</v>
      </c>
      <c r="F2900" s="41" t="n">
        <v>0.944</v>
      </c>
      <c r="G2900" s="41" t="n">
        <v>0.789473684</v>
      </c>
      <c r="H2900" s="42" t="n"/>
      <c r="I2900" s="43" t="inlineStr">
        <is>
          <t>6/8</t>
        </is>
      </c>
      <c r="J2900" s="41" t="n">
        <v>0.75</v>
      </c>
      <c r="K2900" s="42" t="inlineStr">
        <is>
          <t>Distinguished</t>
        </is>
      </c>
      <c r="L2900" s="42" t="inlineStr">
        <is>
          <t>Professional</t>
        </is>
      </c>
      <c r="M2900" s="42" t="inlineStr">
        <is>
          <t>Geoff St. Marie</t>
        </is>
      </c>
    </row>
    <row r="2901">
      <c r="A2901" s="42" t="inlineStr">
        <is>
          <t>Andrew Gehlot</t>
        </is>
      </c>
      <c r="B2901" s="42" t="inlineStr">
        <is>
          <t>5/17/26 - 6/13/26</t>
        </is>
      </c>
      <c r="C2901" s="41" t="n">
        <v>0.5667</v>
      </c>
      <c r="D2901" s="41" t="n">
        <v>1.0954</v>
      </c>
      <c r="E2901" s="41" t="n">
        <v>0.892307692</v>
      </c>
      <c r="F2901" s="41" t="n">
        <v>0.724</v>
      </c>
      <c r="G2901" s="41" t="n">
        <v>0.7</v>
      </c>
      <c r="H2901" s="42" t="n"/>
      <c r="I2901" s="51" t="inlineStr">
        <is>
          <t>3/6</t>
        </is>
      </c>
      <c r="J2901" s="52" t="n">
        <v>0.5</v>
      </c>
      <c r="K2901" s="42" t="inlineStr">
        <is>
          <t>Premium</t>
        </is>
      </c>
      <c r="L2901" s="42" t="inlineStr">
        <is>
          <t>Professional</t>
        </is>
      </c>
      <c r="M2901" s="42" t="inlineStr">
        <is>
          <t>Ela Cross</t>
        </is>
      </c>
    </row>
    <row r="2902">
      <c r="A2902" s="42" t="inlineStr">
        <is>
          <t>Andrew League</t>
        </is>
      </c>
      <c r="B2902" s="42" t="inlineStr">
        <is>
          <t>5/17/26 - 6/13/26</t>
        </is>
      </c>
      <c r="C2902" s="41" t="n">
        <v>0.8542</v>
      </c>
      <c r="D2902" s="41" t="n">
        <v>1.0806</v>
      </c>
      <c r="E2902" s="41" t="n">
        <v>1</v>
      </c>
      <c r="F2902" s="41" t="n">
        <v>0.967</v>
      </c>
      <c r="G2902" s="41" t="n">
        <v>0.777777778</v>
      </c>
      <c r="H2902" s="42" t="n"/>
      <c r="I2902" s="43" t="n"/>
      <c r="J2902" s="41" t="n"/>
      <c r="K2902" s="42" t="inlineStr">
        <is>
          <t>Distinguished</t>
        </is>
      </c>
      <c r="L2902" s="42" t="inlineStr">
        <is>
          <t>Professional</t>
        </is>
      </c>
      <c r="M2902" s="42" t="inlineStr">
        <is>
          <t>Ian Plamondon</t>
        </is>
      </c>
    </row>
    <row r="2903">
      <c r="A2903" s="42" t="inlineStr">
        <is>
          <t>Anna Jasko</t>
        </is>
      </c>
      <c r="B2903" s="42" t="inlineStr">
        <is>
          <t>5/17/26 - 6/13/26</t>
        </is>
      </c>
      <c r="C2903" s="41" t="n">
        <v>0.8792</v>
      </c>
      <c r="D2903" s="41" t="n">
        <v>1.0888</v>
      </c>
      <c r="E2903" s="41" t="n">
        <v>1</v>
      </c>
      <c r="F2903" s="41" t="n">
        <v>0.986</v>
      </c>
      <c r="G2903" s="41" t="n">
        <v>0.818181818</v>
      </c>
      <c r="H2903" s="42" t="n"/>
      <c r="I2903" s="45" t="inlineStr">
        <is>
          <t>4/5</t>
        </is>
      </c>
      <c r="J2903" s="41" t="n">
        <v>0.8</v>
      </c>
      <c r="K2903" s="42" t="inlineStr">
        <is>
          <t>Distinguished</t>
        </is>
      </c>
      <c r="L2903" s="42" t="inlineStr">
        <is>
          <t>Professional</t>
        </is>
      </c>
      <c r="M2903" s="42" t="inlineStr">
        <is>
          <t>Ela Cross</t>
        </is>
      </c>
    </row>
    <row r="2904">
      <c r="A2904" s="42" t="inlineStr">
        <is>
          <t>Annie Sylvester</t>
        </is>
      </c>
      <c r="B2904" s="42" t="inlineStr">
        <is>
          <t>5/17/26 - 6/13/26</t>
        </is>
      </c>
      <c r="C2904" s="41" t="n">
        <v>1.0036</v>
      </c>
      <c r="D2904" s="41" t="n">
        <v>1.0363</v>
      </c>
      <c r="E2904" s="41" t="n">
        <v>0.98540146</v>
      </c>
      <c r="F2904" s="41" t="n">
        <v>0.973</v>
      </c>
      <c r="G2904" s="41" t="n">
        <v>0.9</v>
      </c>
      <c r="H2904" s="42" t="n"/>
      <c r="I2904" s="43" t="inlineStr">
        <is>
          <t>5/5</t>
        </is>
      </c>
      <c r="J2904" s="41" t="n">
        <v>1</v>
      </c>
      <c r="K2904" s="42" t="inlineStr">
        <is>
          <t>Distinguished</t>
        </is>
      </c>
      <c r="L2904" s="42" t="inlineStr">
        <is>
          <t>Professional</t>
        </is>
      </c>
      <c r="M2904" s="42" t="inlineStr">
        <is>
          <t>Ela Cross</t>
        </is>
      </c>
    </row>
    <row r="2905">
      <c r="A2905" s="42" t="inlineStr">
        <is>
          <t>Armand Brouty</t>
        </is>
      </c>
      <c r="B2905" s="42" t="inlineStr">
        <is>
          <t>5/17/26 - 6/13/26</t>
        </is>
      </c>
      <c r="C2905" s="41" t="n">
        <v>0.8333</v>
      </c>
      <c r="D2905" s="41" t="n">
        <v>1.3766</v>
      </c>
      <c r="E2905" s="41" t="n">
        <v>0.989473684</v>
      </c>
      <c r="F2905" s="41" t="n">
        <v>1</v>
      </c>
      <c r="G2905" s="41" t="n">
        <v>0.916666667</v>
      </c>
      <c r="H2905" s="42" t="n"/>
      <c r="I2905" s="43" t="inlineStr">
        <is>
          <t>7/7</t>
        </is>
      </c>
      <c r="J2905" s="41" t="n">
        <v>1</v>
      </c>
      <c r="K2905" s="42" t="inlineStr">
        <is>
          <t>Distinguished</t>
        </is>
      </c>
      <c r="L2905" s="42" t="inlineStr">
        <is>
          <t>Professional</t>
        </is>
      </c>
      <c r="M2905" s="42" t="inlineStr">
        <is>
          <t>Geoff St. Marie</t>
        </is>
      </c>
    </row>
    <row r="2906">
      <c r="A2906" s="42" t="inlineStr">
        <is>
          <t>Ashley Scorsone</t>
        </is>
      </c>
      <c r="B2906" s="42" t="inlineStr">
        <is>
          <t>5/17/26 - 6/13/26</t>
        </is>
      </c>
      <c r="C2906" s="41" t="n">
        <v>1.075</v>
      </c>
      <c r="D2906" s="41" t="n">
        <v>1.5523</v>
      </c>
      <c r="E2906" s="41" t="n">
        <v>0.944444444</v>
      </c>
      <c r="F2906" s="41" t="n">
        <v>0.708</v>
      </c>
      <c r="G2906" s="41" t="n">
        <v>0.888888889</v>
      </c>
      <c r="H2906" s="42" t="n"/>
      <c r="I2906" s="43" t="inlineStr">
        <is>
          <t>7/8</t>
        </is>
      </c>
      <c r="J2906" s="41">
        <f>7/8</f>
        <v/>
      </c>
      <c r="K2906" s="42" t="inlineStr">
        <is>
          <t>Premium</t>
        </is>
      </c>
      <c r="L2906" s="42" t="inlineStr">
        <is>
          <t>Professional</t>
        </is>
      </c>
      <c r="M2906" s="42" t="inlineStr">
        <is>
          <t>Geoff St. Marie</t>
        </is>
      </c>
    </row>
    <row r="2907">
      <c r="A2907" s="42" t="inlineStr">
        <is>
          <t>Autumn Reed</t>
        </is>
      </c>
      <c r="B2907" s="42" t="inlineStr">
        <is>
          <t>5/17/26 - 6/13/26</t>
        </is>
      </c>
      <c r="C2907" s="41" t="n">
        <v>0.575</v>
      </c>
      <c r="D2907" s="41" t="n">
        <v>1.2474</v>
      </c>
      <c r="E2907" s="41" t="n">
        <v>0.9782608699999999</v>
      </c>
      <c r="F2907" s="41" t="n">
        <v>0.667</v>
      </c>
      <c r="G2907" s="41" t="n">
        <v>0.833333333</v>
      </c>
      <c r="H2907" s="42" t="n"/>
      <c r="I2907" s="43" t="inlineStr">
        <is>
          <t>1/2</t>
        </is>
      </c>
      <c r="J2907" s="41" t="n">
        <v>0.5</v>
      </c>
      <c r="K2907" s="42" t="inlineStr">
        <is>
          <t>Advanced</t>
        </is>
      </c>
      <c r="L2907" s="42" t="inlineStr">
        <is>
          <t>Adjunct</t>
        </is>
      </c>
      <c r="M2907" s="42" t="inlineStr">
        <is>
          <t>Geoff St. Marie</t>
        </is>
      </c>
    </row>
    <row r="2908">
      <c r="A2908" s="42" t="inlineStr">
        <is>
          <t>Ayman Smoot</t>
        </is>
      </c>
      <c r="B2908" s="42" t="inlineStr">
        <is>
          <t>5/17/26 - 6/13/26</t>
        </is>
      </c>
      <c r="C2908" s="41" t="n">
        <v>1</v>
      </c>
      <c r="D2908" s="41" t="n">
        <v>1.9297</v>
      </c>
      <c r="E2908" s="41" t="n">
        <v>0.936170213</v>
      </c>
      <c r="F2908" s="41" t="n">
        <v>0.704</v>
      </c>
      <c r="G2908" s="41" t="n">
        <v>1</v>
      </c>
      <c r="H2908" s="42" t="n"/>
      <c r="I2908" s="43" t="inlineStr">
        <is>
          <t>3/5</t>
        </is>
      </c>
      <c r="J2908" s="41" t="n">
        <v>0.6</v>
      </c>
      <c r="K2908" s="42" t="inlineStr">
        <is>
          <t>Distinguished</t>
        </is>
      </c>
      <c r="L2908" s="42" t="inlineStr">
        <is>
          <t>Adjunct</t>
        </is>
      </c>
      <c r="M2908" s="42" t="inlineStr">
        <is>
          <t>Annelies de Groot</t>
        </is>
      </c>
    </row>
    <row r="2909">
      <c r="A2909" s="42" t="inlineStr">
        <is>
          <t>Ben Taylor</t>
        </is>
      </c>
      <c r="B2909" s="42" t="inlineStr">
        <is>
          <t>5/17/26 - 6/13/26</t>
        </is>
      </c>
      <c r="C2909" s="41" t="n">
        <v>0.325</v>
      </c>
      <c r="D2909" s="41" t="n">
        <v>1.3771</v>
      </c>
      <c r="E2909" s="41" t="n">
        <v>1</v>
      </c>
      <c r="F2909" s="41" t="n">
        <v>1</v>
      </c>
      <c r="G2909" s="41" t="n">
        <v>1</v>
      </c>
      <c r="H2909" s="42" t="n"/>
      <c r="I2909" s="42" t="inlineStr">
        <is>
          <t>1/1</t>
        </is>
      </c>
      <c r="J2909" s="53" t="n">
        <v>1</v>
      </c>
      <c r="K2909" s="42" t="inlineStr">
        <is>
          <t>Premium</t>
        </is>
      </c>
      <c r="L2909" s="42" t="inlineStr">
        <is>
          <t>Professional</t>
        </is>
      </c>
      <c r="M2909" s="42" t="inlineStr">
        <is>
          <t>Kristin Haase-Alvey</t>
        </is>
      </c>
    </row>
    <row r="2910">
      <c r="A2910" s="42" t="inlineStr">
        <is>
          <t>Blake Maly</t>
        </is>
      </c>
      <c r="B2910" s="42" t="inlineStr">
        <is>
          <t>5/17/26 - 6/13/26</t>
        </is>
      </c>
      <c r="C2910" s="41" t="n">
        <v>0.7143</v>
      </c>
      <c r="D2910" s="42" t="n">
        <v>0.9012</v>
      </c>
      <c r="E2910" s="42" t="n">
        <v>0.989361702</v>
      </c>
      <c r="F2910" s="41" t="n">
        <v>1</v>
      </c>
      <c r="G2910" s="42" t="n">
        <v>0.789473684</v>
      </c>
      <c r="H2910" s="42" t="n"/>
      <c r="I2910" s="42" t="inlineStr">
        <is>
          <t>2/2</t>
        </is>
      </c>
      <c r="J2910" s="41" t="n">
        <v>1</v>
      </c>
      <c r="K2910" s="42" t="inlineStr">
        <is>
          <t>Distinguished</t>
        </is>
      </c>
      <c r="L2910" s="42" t="inlineStr">
        <is>
          <t>Professional</t>
        </is>
      </c>
      <c r="M2910" s="42" t="inlineStr">
        <is>
          <t>Annelies de Groot</t>
        </is>
      </c>
    </row>
    <row r="2911">
      <c r="A2911" s="42" t="inlineStr">
        <is>
          <t>Brandon Engle</t>
        </is>
      </c>
      <c r="B2911" s="42" t="inlineStr">
        <is>
          <t>5/17/26 - 6/13/26</t>
        </is>
      </c>
      <c r="C2911" s="41" t="n">
        <v>0.9143</v>
      </c>
      <c r="D2911" s="41" t="n">
        <v>1.0233</v>
      </c>
      <c r="E2911" s="41" t="n">
        <v>1</v>
      </c>
      <c r="F2911" s="41" t="n">
        <v>0.919</v>
      </c>
      <c r="G2911" s="41" t="n">
        <v>1</v>
      </c>
      <c r="H2911" s="42" t="n"/>
      <c r="I2911" s="43" t="inlineStr">
        <is>
          <t>4/4</t>
        </is>
      </c>
      <c r="J2911" s="41" t="n">
        <v>1</v>
      </c>
      <c r="K2911" s="42" t="inlineStr">
        <is>
          <t>Distinguished</t>
        </is>
      </c>
      <c r="L2911" s="42" t="inlineStr">
        <is>
          <t>Professional</t>
        </is>
      </c>
      <c r="M2911" s="42" t="inlineStr">
        <is>
          <t>Annelies de Groot</t>
        </is>
      </c>
    </row>
    <row r="2912">
      <c r="A2912" s="42" t="inlineStr">
        <is>
          <t>Brenda Tuma</t>
        </is>
      </c>
      <c r="B2912" s="42" t="inlineStr">
        <is>
          <t>5/17/26 - 6/13/26</t>
        </is>
      </c>
      <c r="C2912" s="41" t="n">
        <v>0</v>
      </c>
      <c r="D2912" s="41" t="n">
        <v>1.0625</v>
      </c>
      <c r="E2912" s="41" t="n"/>
      <c r="F2912" s="41" t="n"/>
      <c r="G2912" s="41" t="n"/>
      <c r="H2912" s="42" t="n"/>
      <c r="I2912" s="43" t="n"/>
      <c r="J2912" s="41" t="n"/>
      <c r="K2912" s="42" t="e">
        <v>#N/A</v>
      </c>
      <c r="L2912" s="42" t="e">
        <v>#N/A</v>
      </c>
      <c r="M2912" s="42" t="e">
        <v>#N/A</v>
      </c>
    </row>
    <row r="2913">
      <c r="A2913" s="42" t="inlineStr">
        <is>
          <t>Brenna Hubnik</t>
        </is>
      </c>
      <c r="B2913" s="42" t="inlineStr">
        <is>
          <t>5/17/26 - 6/13/26</t>
        </is>
      </c>
      <c r="C2913" s="41" t="n">
        <v>0.5521</v>
      </c>
      <c r="D2913" s="41" t="n">
        <v>1.1354</v>
      </c>
      <c r="E2913" s="41" t="n">
        <v>1</v>
      </c>
      <c r="F2913" s="41" t="n">
        <v>1</v>
      </c>
      <c r="G2913" s="41" t="n">
        <v>1</v>
      </c>
      <c r="H2913" s="42" t="n"/>
      <c r="I2913" s="43" t="n"/>
      <c r="J2913" s="41" t="n"/>
      <c r="K2913" s="42" t="inlineStr">
        <is>
          <t>Distinguished</t>
        </is>
      </c>
      <c r="L2913" s="42" t="inlineStr">
        <is>
          <t>Adjunct</t>
        </is>
      </c>
      <c r="M2913" s="42" t="inlineStr">
        <is>
          <t>Annelies de Groot</t>
        </is>
      </c>
    </row>
    <row r="2914">
      <c r="A2914" s="42" t="inlineStr">
        <is>
          <t>Brian Cohen</t>
        </is>
      </c>
      <c r="B2914" s="42" t="inlineStr">
        <is>
          <t>5/17/26 - 6/13/26</t>
        </is>
      </c>
      <c r="C2914" s="41" t="n">
        <v>0.875</v>
      </c>
      <c r="D2914" s="41" t="n">
        <v>1.1055</v>
      </c>
      <c r="E2914" s="41" t="n">
        <v>1</v>
      </c>
      <c r="F2914" s="41" t="n">
        <v>0.971</v>
      </c>
      <c r="G2914" s="41" t="n">
        <v>1</v>
      </c>
      <c r="H2914" s="42" t="n"/>
      <c r="I2914" s="43" t="inlineStr">
        <is>
          <t>2/2</t>
        </is>
      </c>
      <c r="J2914" s="41" t="n">
        <v>1</v>
      </c>
      <c r="K2914" s="42" t="inlineStr">
        <is>
          <t>Premium</t>
        </is>
      </c>
      <c r="L2914" s="42" t="inlineStr">
        <is>
          <t>Adjunct</t>
        </is>
      </c>
      <c r="M2914" s="42" t="inlineStr">
        <is>
          <t>Annelies de Groot</t>
        </is>
      </c>
    </row>
    <row r="2915">
      <c r="A2915" s="42" t="inlineStr">
        <is>
          <t>Brian James</t>
        </is>
      </c>
      <c r="B2915" s="42" t="inlineStr">
        <is>
          <t>5/17/26 - 6/13/26</t>
        </is>
      </c>
      <c r="C2915" s="41" t="n">
        <v>1.0542</v>
      </c>
      <c r="D2915" s="41" t="n">
        <v>1.0395</v>
      </c>
      <c r="E2915" s="41" t="n">
        <v>0.984</v>
      </c>
      <c r="F2915" s="41" t="n">
        <v>1</v>
      </c>
      <c r="G2915" s="41" t="n">
        <v>0.363636364</v>
      </c>
      <c r="H2915" s="42" t="n"/>
      <c r="I2915" s="45" t="inlineStr">
        <is>
          <t>2/4</t>
        </is>
      </c>
      <c r="J2915" s="41" t="n">
        <v>0.5</v>
      </c>
      <c r="K2915" s="42" t="inlineStr">
        <is>
          <t>Distinguished</t>
        </is>
      </c>
      <c r="L2915" s="42" t="inlineStr">
        <is>
          <t>Professional</t>
        </is>
      </c>
      <c r="M2915" s="42" t="inlineStr">
        <is>
          <t>Annelies de Groot</t>
        </is>
      </c>
    </row>
    <row r="2916">
      <c r="A2916" s="42" t="inlineStr">
        <is>
          <t>Brian Johnson</t>
        </is>
      </c>
      <c r="B2916" s="42" t="inlineStr">
        <is>
          <t>5/17/26 - 6/13/26</t>
        </is>
      </c>
      <c r="C2916" s="41" t="n">
        <v>0.8167</v>
      </c>
      <c r="D2916" s="41" t="n">
        <v>1.1053</v>
      </c>
      <c r="E2916" s="41" t="n">
        <v>0.988235294</v>
      </c>
      <c r="F2916" s="41" t="n">
        <v>1</v>
      </c>
      <c r="G2916" s="41" t="n">
        <v>1</v>
      </c>
      <c r="H2916" s="42" t="n"/>
      <c r="I2916" s="43" t="inlineStr">
        <is>
          <t>3/3</t>
        </is>
      </c>
      <c r="J2916" s="41" t="n">
        <v>1</v>
      </c>
      <c r="K2916" s="42" t="inlineStr">
        <is>
          <t>Distinguished</t>
        </is>
      </c>
      <c r="L2916" s="42" t="inlineStr">
        <is>
          <t>Professional</t>
        </is>
      </c>
      <c r="M2916" s="42" t="inlineStr">
        <is>
          <t>Kristin Haase-Alvey</t>
        </is>
      </c>
    </row>
    <row r="2917">
      <c r="A2917" s="42" t="inlineStr">
        <is>
          <t>Brittany Drew</t>
        </is>
      </c>
      <c r="B2917" s="42" t="inlineStr">
        <is>
          <t>5/17/26 - 6/13/26</t>
        </is>
      </c>
      <c r="C2917" s="41" t="n">
        <v>0.9</v>
      </c>
      <c r="D2917" s="41" t="n">
        <v>0.9441000000000001</v>
      </c>
      <c r="E2917" s="41" t="n">
        <v>1</v>
      </c>
      <c r="F2917" s="41" t="n">
        <v>1</v>
      </c>
      <c r="G2917" s="41" t="n">
        <v>0.875</v>
      </c>
      <c r="H2917" s="42" t="n"/>
      <c r="I2917" s="43" t="inlineStr">
        <is>
          <t>5/6</t>
        </is>
      </c>
      <c r="J2917" s="41">
        <f>5/6</f>
        <v/>
      </c>
      <c r="K2917" s="42" t="inlineStr">
        <is>
          <t>Distinguished</t>
        </is>
      </c>
      <c r="L2917" s="42" t="inlineStr">
        <is>
          <t>Professional</t>
        </is>
      </c>
      <c r="M2917" s="42" t="inlineStr">
        <is>
          <t>Ela Cross</t>
        </is>
      </c>
    </row>
    <row r="2918">
      <c r="A2918" s="42" t="inlineStr">
        <is>
          <t>Brock Dilley</t>
        </is>
      </c>
      <c r="B2918" s="42" t="inlineStr">
        <is>
          <t>5/17/26 - 6/13/26</t>
        </is>
      </c>
      <c r="C2918" s="41" t="n">
        <v>1.0571</v>
      </c>
      <c r="D2918" s="41" t="n">
        <v>1.3576</v>
      </c>
      <c r="E2918" s="41" t="n">
        <v>1</v>
      </c>
      <c r="F2918" s="41" t="n">
        <v>0.928</v>
      </c>
      <c r="G2918" s="41" t="n">
        <v>0.588235294</v>
      </c>
      <c r="H2918" s="42" t="n"/>
      <c r="I2918" s="43" t="inlineStr">
        <is>
          <t>10/15</t>
        </is>
      </c>
      <c r="J2918" s="41">
        <f>10/15</f>
        <v/>
      </c>
      <c r="K2918" s="42" t="inlineStr">
        <is>
          <t>Distinguished</t>
        </is>
      </c>
      <c r="L2918" s="42" t="inlineStr">
        <is>
          <t>Professional</t>
        </is>
      </c>
      <c r="M2918" s="42" t="inlineStr">
        <is>
          <t>Annelies de Groot</t>
        </is>
      </c>
    </row>
    <row r="2919">
      <c r="A2919" s="42" t="inlineStr">
        <is>
          <t>Bryant Salinas</t>
        </is>
      </c>
      <c r="B2919" s="42" t="inlineStr">
        <is>
          <t>5/17/26 - 6/13/26</t>
        </is>
      </c>
      <c r="C2919" s="41" t="n">
        <v>0.4458</v>
      </c>
      <c r="D2919" s="41" t="n">
        <v>0.9013</v>
      </c>
      <c r="E2919" s="41" t="n">
        <v>0.941176471</v>
      </c>
      <c r="F2919" s="41" t="n">
        <v>1</v>
      </c>
      <c r="G2919" s="41" t="n">
        <v>0.769230769</v>
      </c>
      <c r="H2919" s="42" t="n"/>
      <c r="I2919" s="43" t="inlineStr">
        <is>
          <t>6/8</t>
        </is>
      </c>
      <c r="J2919" s="53" t="n">
        <v>0.75</v>
      </c>
      <c r="K2919" s="42" t="inlineStr">
        <is>
          <t>Premium</t>
        </is>
      </c>
      <c r="L2919" s="42" t="inlineStr">
        <is>
          <t>Professional</t>
        </is>
      </c>
      <c r="M2919" s="42" t="inlineStr">
        <is>
          <t>Geoff St. Marie</t>
        </is>
      </c>
    </row>
    <row r="2920">
      <c r="A2920" s="42" t="inlineStr">
        <is>
          <t>Cadence Liles</t>
        </is>
      </c>
      <c r="B2920" s="42" t="inlineStr">
        <is>
          <t>5/17/26 - 6/13/26</t>
        </is>
      </c>
      <c r="C2920" s="41" t="n">
        <v>0.6375</v>
      </c>
      <c r="D2920" s="41" t="n">
        <v>1.0911</v>
      </c>
      <c r="E2920" s="41" t="n">
        <v>1</v>
      </c>
      <c r="F2920" s="41" t="n">
        <v>0.786</v>
      </c>
      <c r="G2920" s="41" t="n">
        <v>0.9</v>
      </c>
      <c r="H2920" s="42" t="n"/>
      <c r="I2920" s="43" t="n"/>
      <c r="J2920" s="41" t="n"/>
      <c r="K2920" s="42" t="inlineStr">
        <is>
          <t>Advanced</t>
        </is>
      </c>
      <c r="L2920" s="42" t="inlineStr">
        <is>
          <t>Adjunct</t>
        </is>
      </c>
      <c r="M2920" s="42" t="inlineStr">
        <is>
          <t>Geoff St. Marie</t>
        </is>
      </c>
    </row>
    <row r="2921">
      <c r="A2921" s="42" t="inlineStr">
        <is>
          <t>Cait White</t>
        </is>
      </c>
      <c r="B2921" s="42" t="inlineStr">
        <is>
          <t>5/17/26 - 6/13/26</t>
        </is>
      </c>
      <c r="C2921" s="41" t="n">
        <v>0.5833</v>
      </c>
      <c r="D2921" s="41" t="n">
        <v>1.0859</v>
      </c>
      <c r="E2921" s="41" t="n">
        <v>1</v>
      </c>
      <c r="F2921" s="41" t="n">
        <v>1</v>
      </c>
      <c r="G2921" s="41" t="n">
        <v>0.5</v>
      </c>
      <c r="H2921" s="42" t="n"/>
      <c r="I2921" s="45" t="n"/>
      <c r="J2921" s="42" t="n"/>
      <c r="K2921" s="42" t="inlineStr">
        <is>
          <t>Premium</t>
        </is>
      </c>
      <c r="L2921" s="42" t="inlineStr">
        <is>
          <t>Adjunct</t>
        </is>
      </c>
      <c r="M2921" s="42" t="inlineStr">
        <is>
          <t>Ela Cross</t>
        </is>
      </c>
    </row>
    <row r="2922">
      <c r="A2922" s="42" t="inlineStr">
        <is>
          <t>Caitlin Tytler</t>
        </is>
      </c>
      <c r="B2922" s="42" t="inlineStr">
        <is>
          <t>5/17/26 - 6/13/26</t>
        </is>
      </c>
      <c r="C2922" s="41" t="n">
        <v>0.425</v>
      </c>
      <c r="D2922" s="41" t="n">
        <v>1.0755</v>
      </c>
      <c r="E2922" s="41" t="n"/>
      <c r="F2922" s="41" t="n">
        <v>1</v>
      </c>
      <c r="G2922" s="41" t="n">
        <v>1</v>
      </c>
      <c r="H2922" s="42" t="n"/>
      <c r="I2922" s="43" t="inlineStr">
        <is>
          <t>0/2</t>
        </is>
      </c>
      <c r="J2922" s="41" t="n">
        <v>0</v>
      </c>
      <c r="K2922" s="42" t="inlineStr">
        <is>
          <t>Advanced</t>
        </is>
      </c>
      <c r="L2922" s="42" t="inlineStr">
        <is>
          <t>Adjunct</t>
        </is>
      </c>
      <c r="M2922" s="42" t="inlineStr">
        <is>
          <t>Annelies de Groot</t>
        </is>
      </c>
    </row>
    <row r="2923">
      <c r="A2923" s="42" t="inlineStr">
        <is>
          <t>Cara Rabaev (McLaughlin)</t>
        </is>
      </c>
      <c r="B2923" s="42" t="inlineStr">
        <is>
          <t>5/17/26 - 6/13/26</t>
        </is>
      </c>
      <c r="C2923" s="41" t="n">
        <v>0.8</v>
      </c>
      <c r="D2923" s="41" t="n">
        <v>1.1086</v>
      </c>
      <c r="E2923" s="41" t="n">
        <v>0.865168539</v>
      </c>
      <c r="F2923" s="41" t="n">
        <v>1</v>
      </c>
      <c r="G2923" s="41" t="n">
        <v>0.956521739</v>
      </c>
      <c r="H2923" s="42" t="n"/>
      <c r="I2923" s="43" t="inlineStr">
        <is>
          <t>1/11</t>
        </is>
      </c>
      <c r="J2923" s="41">
        <f>1/11</f>
        <v/>
      </c>
      <c r="K2923" s="42" t="inlineStr">
        <is>
          <t>Distinguished</t>
        </is>
      </c>
      <c r="L2923" s="42" t="inlineStr">
        <is>
          <t>Professional</t>
        </is>
      </c>
      <c r="M2923" s="42" t="inlineStr">
        <is>
          <t>Ian Plamondon</t>
        </is>
      </c>
    </row>
    <row r="2924">
      <c r="A2924" s="42" t="inlineStr">
        <is>
          <t>Carina Shanahan</t>
        </is>
      </c>
      <c r="B2924" s="42" t="inlineStr">
        <is>
          <t>5/17/26 - 6/13/26</t>
        </is>
      </c>
      <c r="C2924" s="41" t="n">
        <v>0.5667</v>
      </c>
      <c r="D2924" s="41" t="n">
        <v>0.8882</v>
      </c>
      <c r="E2924" s="41" t="n">
        <v>0.983606557</v>
      </c>
      <c r="F2924" s="41" t="n">
        <v>0.889</v>
      </c>
      <c r="G2924" s="41" t="n">
        <v>1</v>
      </c>
      <c r="H2924" s="42" t="n"/>
      <c r="I2924" s="43" t="inlineStr">
        <is>
          <t>1/1</t>
        </is>
      </c>
      <c r="J2924" s="53" t="n">
        <v>1</v>
      </c>
      <c r="K2924" s="42" t="inlineStr">
        <is>
          <t>Distinguished</t>
        </is>
      </c>
      <c r="L2924" s="42" t="inlineStr">
        <is>
          <t>Professional</t>
        </is>
      </c>
      <c r="M2924" s="42" t="inlineStr">
        <is>
          <t>Kristin Haase-Alvey</t>
        </is>
      </c>
    </row>
    <row r="2925">
      <c r="A2925" s="42" t="inlineStr">
        <is>
          <t>Casey Young</t>
        </is>
      </c>
      <c r="B2925" s="42" t="inlineStr">
        <is>
          <t>5/17/26 - 6/13/26</t>
        </is>
      </c>
      <c r="C2925" s="41" t="n">
        <v>0.8036</v>
      </c>
      <c r="D2925" s="41" t="n">
        <v>1.0116</v>
      </c>
      <c r="E2925" s="41" t="n">
        <v>0.981308411</v>
      </c>
      <c r="F2925" s="41" t="n">
        <v>1</v>
      </c>
      <c r="G2925" s="41" t="n">
        <v>0.846153846</v>
      </c>
      <c r="H2925" s="42" t="n"/>
      <c r="I2925" s="43" t="inlineStr">
        <is>
          <t>3/3</t>
        </is>
      </c>
      <c r="J2925" s="41" t="n">
        <v>1</v>
      </c>
      <c r="K2925" s="42" t="inlineStr">
        <is>
          <t>Distinguished</t>
        </is>
      </c>
      <c r="L2925" s="42" t="inlineStr">
        <is>
          <t>Professional</t>
        </is>
      </c>
      <c r="M2925" s="42" t="inlineStr">
        <is>
          <t>Ela Cross</t>
        </is>
      </c>
    </row>
    <row r="2926">
      <c r="A2926" s="42" t="inlineStr">
        <is>
          <t>Charlie Anderson</t>
        </is>
      </c>
      <c r="B2926" s="42" t="inlineStr">
        <is>
          <t>5/17/26 - 6/13/26</t>
        </is>
      </c>
      <c r="C2926" s="41" t="n">
        <v>1.0917</v>
      </c>
      <c r="D2926" s="41" t="n">
        <v>1.0938</v>
      </c>
      <c r="E2926" s="41" t="n">
        <v>1</v>
      </c>
      <c r="F2926" s="41" t="n">
        <v>0.985</v>
      </c>
      <c r="G2926" s="41" t="n">
        <v>0.863636364</v>
      </c>
      <c r="H2926" s="42" t="n"/>
      <c r="I2926" s="43" t="inlineStr">
        <is>
          <t>2/3</t>
        </is>
      </c>
      <c r="J2926" s="41" t="n">
        <v>0.67</v>
      </c>
      <c r="K2926" s="42" t="inlineStr">
        <is>
          <t>Distinguished</t>
        </is>
      </c>
      <c r="L2926" s="42" t="inlineStr">
        <is>
          <t>Professional</t>
        </is>
      </c>
      <c r="M2926" s="42" t="inlineStr">
        <is>
          <t>Annelies de Groot</t>
        </is>
      </c>
    </row>
    <row r="2927">
      <c r="A2927" s="42" t="inlineStr">
        <is>
          <t>Chazlee Myers</t>
        </is>
      </c>
      <c r="B2927" s="42" t="inlineStr">
        <is>
          <t>5/17/26 - 6/13/26</t>
        </is>
      </c>
      <c r="C2927" s="41" t="n">
        <v>0.7</v>
      </c>
      <c r="D2927" s="41" t="n">
        <v>0.9013</v>
      </c>
      <c r="E2927" s="41" t="n">
        <v>0.87804878</v>
      </c>
      <c r="F2927" s="41" t="n">
        <v>0.981</v>
      </c>
      <c r="G2927" s="41" t="n">
        <v>0.857142857</v>
      </c>
      <c r="H2927" s="42" t="n"/>
      <c r="I2927" s="43" t="inlineStr">
        <is>
          <t>4/7</t>
        </is>
      </c>
      <c r="J2927" s="41">
        <f>4/7</f>
        <v/>
      </c>
      <c r="K2927" s="42" t="inlineStr">
        <is>
          <t>Distinguished</t>
        </is>
      </c>
      <c r="L2927" s="42" t="inlineStr">
        <is>
          <t>Professional</t>
        </is>
      </c>
      <c r="M2927" s="42" t="inlineStr">
        <is>
          <t>Geoff St. Marie</t>
        </is>
      </c>
    </row>
    <row r="2928">
      <c r="A2928" s="42" t="inlineStr">
        <is>
          <t>Chelsea Kobea</t>
        </is>
      </c>
      <c r="B2928" s="42" t="inlineStr">
        <is>
          <t>5/17/26 - 6/13/26</t>
        </is>
      </c>
      <c r="C2928" s="41" t="n">
        <v>0.8333</v>
      </c>
      <c r="D2928" s="41" t="n">
        <v>1.1414</v>
      </c>
      <c r="E2928" s="41" t="n">
        <v>0.97752809</v>
      </c>
      <c r="F2928" s="41" t="n">
        <v>0.945</v>
      </c>
      <c r="G2928" s="41" t="n">
        <v>0.818181818</v>
      </c>
      <c r="H2928" s="42" t="n"/>
      <c r="I2928" s="43" t="inlineStr">
        <is>
          <t>3/4</t>
        </is>
      </c>
      <c r="J2928" s="41" t="n">
        <v>0.75</v>
      </c>
      <c r="K2928" s="42" t="inlineStr">
        <is>
          <t>Distinguished</t>
        </is>
      </c>
      <c r="L2928" s="42" t="inlineStr">
        <is>
          <t>Professional</t>
        </is>
      </c>
      <c r="M2928" s="42" t="inlineStr">
        <is>
          <t>Kristin Haase-Alvey</t>
        </is>
      </c>
    </row>
    <row r="2929">
      <c r="A2929" s="42" t="inlineStr">
        <is>
          <t>Cheyanne Jones</t>
        </is>
      </c>
      <c r="B2929" s="42" t="inlineStr">
        <is>
          <t>5/17/26 - 6/13/26</t>
        </is>
      </c>
      <c r="C2929" s="41" t="n">
        <v>1.1354</v>
      </c>
      <c r="D2929" s="41" t="n">
        <v>1.1184</v>
      </c>
      <c r="E2929" s="41" t="n">
        <v>1</v>
      </c>
      <c r="F2929" s="41" t="n">
        <v>0.974</v>
      </c>
      <c r="G2929" s="41" t="n">
        <v>0.892857143</v>
      </c>
      <c r="H2929" s="42" t="n"/>
      <c r="I2929" s="43" t="inlineStr">
        <is>
          <t>1/2</t>
        </is>
      </c>
      <c r="J2929" s="41" t="n">
        <v>0.5</v>
      </c>
      <c r="K2929" s="42" t="inlineStr">
        <is>
          <t>Distinguished</t>
        </is>
      </c>
      <c r="L2929" s="42" t="inlineStr">
        <is>
          <t>Professional</t>
        </is>
      </c>
      <c r="M2929" s="42" t="inlineStr">
        <is>
          <t>Kristin Haase-Alvey</t>
        </is>
      </c>
    </row>
    <row r="2930">
      <c r="A2930" s="42" t="inlineStr">
        <is>
          <t>Chris Prouty</t>
        </is>
      </c>
      <c r="B2930" s="42" t="inlineStr">
        <is>
          <t>5/17/26 - 6/13/26</t>
        </is>
      </c>
      <c r="C2930" s="41" t="n">
        <v>0.8063</v>
      </c>
      <c r="D2930" s="41" t="n">
        <v>1.0703</v>
      </c>
      <c r="E2930" s="41" t="n">
        <v>1</v>
      </c>
      <c r="F2930" s="41" t="n">
        <v>0.975</v>
      </c>
      <c r="G2930" s="41" t="n">
        <v>1</v>
      </c>
      <c r="H2930" s="42" t="n"/>
      <c r="I2930" s="42" t="inlineStr">
        <is>
          <t>2/2</t>
        </is>
      </c>
      <c r="J2930" s="41" t="n">
        <v>1</v>
      </c>
      <c r="K2930" s="42" t="inlineStr">
        <is>
          <t>Premium</t>
        </is>
      </c>
      <c r="L2930" s="42" t="inlineStr">
        <is>
          <t>Adjunct</t>
        </is>
      </c>
      <c r="M2930" s="42" t="inlineStr">
        <is>
          <t>Annelies de Groot</t>
        </is>
      </c>
    </row>
    <row r="2931">
      <c r="A2931" s="42" t="inlineStr">
        <is>
          <t>Chris Yoon</t>
        </is>
      </c>
      <c r="B2931" s="42" t="inlineStr">
        <is>
          <t>5/17/26 - 6/13/26</t>
        </is>
      </c>
      <c r="C2931" s="41" t="n">
        <v>0.8375</v>
      </c>
      <c r="D2931" s="41" t="n">
        <v>1.0526</v>
      </c>
      <c r="E2931" s="41" t="n">
        <v>0.98989899</v>
      </c>
      <c r="F2931" s="41" t="n">
        <v>0.9419999999999999</v>
      </c>
      <c r="G2931" s="41" t="n">
        <v>1</v>
      </c>
      <c r="H2931" s="42" t="n"/>
      <c r="I2931" s="43" t="inlineStr">
        <is>
          <t>1/4</t>
        </is>
      </c>
      <c r="J2931" s="41" t="n">
        <v>0.25</v>
      </c>
      <c r="K2931" s="42" t="inlineStr">
        <is>
          <t>Distinguished</t>
        </is>
      </c>
      <c r="L2931" s="42" t="inlineStr">
        <is>
          <t>Professional</t>
        </is>
      </c>
      <c r="M2931" s="42" t="inlineStr">
        <is>
          <t>Ian Plamondon</t>
        </is>
      </c>
    </row>
    <row r="2932">
      <c r="A2932" s="42" t="inlineStr">
        <is>
          <t>Christelle Rocha</t>
        </is>
      </c>
      <c r="B2932" s="42" t="inlineStr">
        <is>
          <t>5/17/26 - 6/13/26</t>
        </is>
      </c>
      <c r="C2932" s="41" t="n">
        <v>0.8917</v>
      </c>
      <c r="D2932" s="41" t="n">
        <v>1.1446</v>
      </c>
      <c r="E2932" s="41" t="n">
        <v>1</v>
      </c>
      <c r="F2932" s="41" t="n">
        <v>0.879</v>
      </c>
      <c r="G2932" s="41" t="n">
        <v>0.8125</v>
      </c>
      <c r="H2932" s="42" t="n"/>
      <c r="I2932" s="43" t="inlineStr">
        <is>
          <t>5/5</t>
        </is>
      </c>
      <c r="J2932" s="41" t="n">
        <v>1</v>
      </c>
      <c r="K2932" s="42" t="inlineStr">
        <is>
          <t>Distinguished</t>
        </is>
      </c>
      <c r="L2932" s="42" t="inlineStr">
        <is>
          <t>Professional</t>
        </is>
      </c>
      <c r="M2932" s="42" t="inlineStr">
        <is>
          <t>Annelies de Groot</t>
        </is>
      </c>
    </row>
    <row r="2933">
      <c r="A2933" s="42" t="inlineStr">
        <is>
          <t>Christian Collins</t>
        </is>
      </c>
      <c r="B2933" s="42" t="inlineStr">
        <is>
          <t>5/17/26 - 6/13/26</t>
        </is>
      </c>
      <c r="C2933" s="41" t="n">
        <v>0.9083</v>
      </c>
      <c r="D2933" s="41" t="n">
        <v>1.1941</v>
      </c>
      <c r="E2933" s="41" t="n">
        <v>1</v>
      </c>
      <c r="F2933" s="41" t="n">
        <v>1</v>
      </c>
      <c r="G2933" s="41" t="n">
        <v>0.777777778</v>
      </c>
      <c r="H2933" s="42" t="n"/>
      <c r="I2933" s="45" t="inlineStr">
        <is>
          <t>7/7</t>
        </is>
      </c>
      <c r="J2933" s="41" t="n">
        <v>1</v>
      </c>
      <c r="K2933" s="42" t="inlineStr">
        <is>
          <t>Premium</t>
        </is>
      </c>
      <c r="L2933" s="42" t="inlineStr">
        <is>
          <t>Professional</t>
        </is>
      </c>
      <c r="M2933" s="42" t="inlineStr">
        <is>
          <t>Ian Plamondon</t>
        </is>
      </c>
    </row>
    <row r="2934">
      <c r="A2934" s="42" t="inlineStr">
        <is>
          <t>Christian Steiner</t>
        </is>
      </c>
      <c r="B2934" s="42" t="inlineStr">
        <is>
          <t>5/17/26 - 6/13/26</t>
        </is>
      </c>
      <c r="C2934" s="41" t="n">
        <v>0.5583</v>
      </c>
      <c r="D2934" s="41" t="n">
        <v>1.023</v>
      </c>
      <c r="E2934" s="41" t="n">
        <v>0.9523809519999999</v>
      </c>
      <c r="F2934" s="41" t="n">
        <v>1</v>
      </c>
      <c r="G2934" s="41" t="n">
        <v>0.928571429</v>
      </c>
      <c r="H2934" s="42" t="n"/>
      <c r="I2934" s="43" t="inlineStr">
        <is>
          <t>3/3</t>
        </is>
      </c>
      <c r="J2934" s="41" t="n">
        <v>1</v>
      </c>
      <c r="K2934" s="42" t="inlineStr">
        <is>
          <t>Distinguished</t>
        </is>
      </c>
      <c r="L2934" s="42" t="inlineStr">
        <is>
          <t>Professional</t>
        </is>
      </c>
      <c r="M2934" s="42" t="inlineStr">
        <is>
          <t>Kristin Haase-Alvey</t>
        </is>
      </c>
    </row>
    <row r="2935">
      <c r="A2935" s="42" t="inlineStr">
        <is>
          <t>Christine Santos</t>
        </is>
      </c>
      <c r="B2935" s="42" t="inlineStr">
        <is>
          <t>5/17/26 - 6/13/26</t>
        </is>
      </c>
      <c r="C2935" s="41" t="n">
        <v>1.0729</v>
      </c>
      <c r="D2935" s="41" t="n">
        <v>1.5859</v>
      </c>
      <c r="E2935" s="41" t="n">
        <v>0.869565217</v>
      </c>
      <c r="F2935" s="41" t="n">
        <v>0.9350000000000001</v>
      </c>
      <c r="G2935" s="41" t="n">
        <v>1</v>
      </c>
      <c r="H2935" s="42" t="n"/>
      <c r="I2935" s="43" t="inlineStr">
        <is>
          <t>1/2</t>
        </is>
      </c>
      <c r="J2935" s="41" t="n">
        <v>0.5</v>
      </c>
      <c r="K2935" s="42" t="inlineStr">
        <is>
          <t>Premium</t>
        </is>
      </c>
      <c r="L2935" s="42" t="inlineStr">
        <is>
          <t>Adjunct</t>
        </is>
      </c>
      <c r="M2935" s="42" t="inlineStr">
        <is>
          <t>Ela Cross</t>
        </is>
      </c>
    </row>
    <row r="2936">
      <c r="A2936" s="42" t="inlineStr">
        <is>
          <t>Clark Howard</t>
        </is>
      </c>
      <c r="B2936" s="42" t="inlineStr">
        <is>
          <t>5/17/26 - 6/13/26</t>
        </is>
      </c>
      <c r="C2936" s="41" t="n">
        <v>0.575</v>
      </c>
      <c r="D2936" s="41" t="n">
        <v>0.8569</v>
      </c>
      <c r="E2936" s="41" t="n">
        <v>0.940298507</v>
      </c>
      <c r="F2936" s="41" t="n">
        <v>0.776</v>
      </c>
      <c r="G2936" s="41" t="n">
        <v>0.705882353</v>
      </c>
      <c r="H2936" s="42" t="n"/>
      <c r="I2936" s="43" t="inlineStr">
        <is>
          <t>1/3</t>
        </is>
      </c>
      <c r="J2936" s="41" t="n">
        <v>0.33</v>
      </c>
      <c r="K2936" s="42" t="inlineStr">
        <is>
          <t>Distinguished</t>
        </is>
      </c>
      <c r="L2936" s="42" t="inlineStr">
        <is>
          <t>Professional</t>
        </is>
      </c>
      <c r="M2936" s="42" t="inlineStr">
        <is>
          <t>Ela Cross</t>
        </is>
      </c>
    </row>
    <row r="2937">
      <c r="A2937" s="42" t="inlineStr">
        <is>
          <t>Colin Cody</t>
        </is>
      </c>
      <c r="B2937" s="42" t="inlineStr">
        <is>
          <t>5/17/26 - 6/13/26</t>
        </is>
      </c>
      <c r="C2937" s="41" t="n">
        <v>0.825</v>
      </c>
      <c r="D2937" s="41" t="n">
        <v>1.0516</v>
      </c>
      <c r="E2937" s="41" t="n">
        <v>0.927083333</v>
      </c>
      <c r="F2937" s="41" t="n">
        <v>1</v>
      </c>
      <c r="G2937" s="41" t="n">
        <v>1</v>
      </c>
      <c r="H2937" s="42" t="n"/>
      <c r="I2937" s="43" t="inlineStr">
        <is>
          <t>3/6</t>
        </is>
      </c>
      <c r="J2937" s="41" t="n">
        <v>0.5</v>
      </c>
      <c r="K2937" s="42" t="inlineStr">
        <is>
          <t>Distinguished</t>
        </is>
      </c>
      <c r="L2937" s="42" t="inlineStr">
        <is>
          <t>Professional</t>
        </is>
      </c>
      <c r="M2937" s="42" t="inlineStr">
        <is>
          <t>Ela Cross</t>
        </is>
      </c>
    </row>
    <row r="2938">
      <c r="A2938" s="42" t="inlineStr">
        <is>
          <t>Conifer O'Sullivan</t>
        </is>
      </c>
      <c r="B2938" s="42" t="inlineStr">
        <is>
          <t>5/17/26 - 6/13/26</t>
        </is>
      </c>
      <c r="C2938" s="41" t="n">
        <v>0.0444</v>
      </c>
      <c r="D2938" s="41" t="n">
        <v>0.8224</v>
      </c>
      <c r="E2938" s="41" t="n">
        <v>1</v>
      </c>
      <c r="F2938" s="41" t="n">
        <v>1</v>
      </c>
      <c r="G2938" s="41" t="n"/>
      <c r="H2938" s="42" t="n"/>
      <c r="I2938" s="43" t="inlineStr">
        <is>
          <t>0/2</t>
        </is>
      </c>
      <c r="J2938" s="41" t="n">
        <v>0</v>
      </c>
      <c r="K2938" s="42" t="e">
        <v>#N/A</v>
      </c>
      <c r="L2938" s="42" t="e">
        <v>#N/A</v>
      </c>
      <c r="M2938" s="42" t="e">
        <v>#N/A</v>
      </c>
    </row>
    <row r="2939">
      <c r="A2939" s="42" t="inlineStr">
        <is>
          <t>Cristina Ascenzi Pettenuzzo</t>
        </is>
      </c>
      <c r="B2939" s="42" t="inlineStr">
        <is>
          <t>5/17/26 - 6/13/26</t>
        </is>
      </c>
      <c r="C2939" s="41" t="n">
        <v>0.6667</v>
      </c>
      <c r="D2939" s="42" t="n">
        <v>1.0658</v>
      </c>
      <c r="E2939" s="42" t="n">
        <v>0.975</v>
      </c>
      <c r="F2939" s="41" t="n">
        <v>0.93</v>
      </c>
      <c r="G2939" s="42" t="n">
        <v>0.875</v>
      </c>
      <c r="H2939" s="42" t="n"/>
      <c r="I2939" s="42" t="inlineStr">
        <is>
          <t>2/2</t>
        </is>
      </c>
      <c r="J2939" s="41" t="n">
        <v>1</v>
      </c>
      <c r="K2939" s="42" t="inlineStr">
        <is>
          <t>Distinguished</t>
        </is>
      </c>
      <c r="L2939" s="42" t="inlineStr">
        <is>
          <t>Professional</t>
        </is>
      </c>
      <c r="M2939" s="42" t="inlineStr">
        <is>
          <t>Ian Plamondon</t>
        </is>
      </c>
    </row>
    <row r="2940">
      <c r="A2940" s="42" t="inlineStr">
        <is>
          <t>Daniel Esquivel-Reynoso</t>
        </is>
      </c>
      <c r="B2940" s="42" t="inlineStr">
        <is>
          <t>5/17/26 - 6/13/26</t>
        </is>
      </c>
      <c r="C2940" s="41" t="n">
        <v>0.8</v>
      </c>
      <c r="D2940" s="41" t="n">
        <v>1.0781</v>
      </c>
      <c r="E2940" s="41" t="n">
        <v>0.983333333</v>
      </c>
      <c r="F2940" s="41" t="n">
        <v>0.953</v>
      </c>
      <c r="G2940" s="41" t="n">
        <v>0.928571429</v>
      </c>
      <c r="H2940" s="42" t="n"/>
      <c r="I2940" s="43" t="n"/>
      <c r="J2940" s="53" t="n"/>
      <c r="K2940" s="42" t="inlineStr">
        <is>
          <t>Distinguished</t>
        </is>
      </c>
      <c r="L2940" s="42" t="inlineStr">
        <is>
          <t>Adjunct</t>
        </is>
      </c>
      <c r="M2940" s="42" t="inlineStr">
        <is>
          <t>Annelies de Groot</t>
        </is>
      </c>
    </row>
    <row r="2941">
      <c r="A2941" s="42" t="inlineStr">
        <is>
          <t>Daniel Olson</t>
        </is>
      </c>
      <c r="B2941" s="42" t="inlineStr">
        <is>
          <t>5/17/26 - 6/13/26</t>
        </is>
      </c>
      <c r="C2941" s="41" t="n">
        <v>0.3917</v>
      </c>
      <c r="D2941" s="41" t="n">
        <v>0.9013</v>
      </c>
      <c r="E2941" s="41" t="n">
        <v>1</v>
      </c>
      <c r="F2941" s="41" t="n">
        <v>0.846</v>
      </c>
      <c r="G2941" s="41" t="n">
        <v>0</v>
      </c>
      <c r="H2941" s="42" t="n"/>
      <c r="I2941" s="43" t="inlineStr">
        <is>
          <t>0/2</t>
        </is>
      </c>
      <c r="J2941" s="41" t="n">
        <v>0</v>
      </c>
      <c r="K2941" s="42" t="inlineStr">
        <is>
          <t>Distinguished</t>
        </is>
      </c>
      <c r="L2941" s="42" t="inlineStr">
        <is>
          <t>Professional</t>
        </is>
      </c>
      <c r="M2941" s="42" t="inlineStr">
        <is>
          <t>Annelies de Groot</t>
        </is>
      </c>
    </row>
    <row r="2942">
      <c r="A2942" s="42" t="inlineStr">
        <is>
          <t>Daniel Severance</t>
        </is>
      </c>
      <c r="B2942" s="42" t="inlineStr">
        <is>
          <t>5/17/26 - 6/13/26</t>
        </is>
      </c>
      <c r="C2942" s="41" t="n">
        <v>0.4143</v>
      </c>
      <c r="D2942" s="41" t="n">
        <v>1.0959</v>
      </c>
      <c r="E2942" s="41" t="n">
        <v>0.92</v>
      </c>
      <c r="F2942" s="41" t="n">
        <v>0.966</v>
      </c>
      <c r="G2942" s="41" t="n">
        <v>0.8</v>
      </c>
      <c r="H2942" s="42" t="n"/>
      <c r="I2942" s="43" t="inlineStr">
        <is>
          <t>1/1</t>
        </is>
      </c>
      <c r="J2942" s="53" t="n">
        <v>1</v>
      </c>
      <c r="K2942" s="42" t="inlineStr">
        <is>
          <t>Premium</t>
        </is>
      </c>
      <c r="L2942" s="42" t="inlineStr">
        <is>
          <t>Professional</t>
        </is>
      </c>
      <c r="M2942" s="42" t="inlineStr">
        <is>
          <t>Annelies de Groot</t>
        </is>
      </c>
    </row>
    <row r="2943">
      <c r="A2943" s="42" t="inlineStr">
        <is>
          <t>David Alcantara</t>
        </is>
      </c>
      <c r="B2943" s="42" t="inlineStr">
        <is>
          <t>5/17/26 - 6/13/26</t>
        </is>
      </c>
      <c r="C2943" s="41" t="n">
        <v>0.9042</v>
      </c>
      <c r="D2943" s="41" t="n">
        <v>1.0049</v>
      </c>
      <c r="E2943" s="41" t="n">
        <v>1</v>
      </c>
      <c r="F2943" s="41" t="n">
        <v>0.909</v>
      </c>
      <c r="G2943" s="41" t="n">
        <v>0.789473684</v>
      </c>
      <c r="H2943" s="42" t="n"/>
      <c r="I2943" s="45" t="inlineStr">
        <is>
          <t>2/2</t>
        </is>
      </c>
      <c r="J2943" s="41" t="n">
        <v>1</v>
      </c>
      <c r="K2943" s="42" t="inlineStr">
        <is>
          <t>Distinguished</t>
        </is>
      </c>
      <c r="L2943" s="42" t="inlineStr">
        <is>
          <t>Professional</t>
        </is>
      </c>
      <c r="M2943" s="42" t="inlineStr">
        <is>
          <t>Ela Cross</t>
        </is>
      </c>
    </row>
    <row r="2944">
      <c r="A2944" s="42" t="inlineStr">
        <is>
          <t>Dehavion Knight</t>
        </is>
      </c>
      <c r="B2944" s="42" t="inlineStr">
        <is>
          <t>5/17/26 - 6/13/26</t>
        </is>
      </c>
      <c r="C2944" s="41" t="n">
        <v>0.7292</v>
      </c>
      <c r="D2944" s="41" t="n">
        <v>1.3711</v>
      </c>
      <c r="E2944" s="41" t="n">
        <v>0.939393939</v>
      </c>
      <c r="F2944" s="41" t="n">
        <v>0.947</v>
      </c>
      <c r="G2944" s="41" t="n">
        <v>0.8</v>
      </c>
      <c r="H2944" s="42" t="n"/>
      <c r="I2944" s="43" t="inlineStr">
        <is>
          <t>1/4</t>
        </is>
      </c>
      <c r="J2944" s="41" t="n">
        <v>0.25</v>
      </c>
      <c r="K2944" s="42" t="inlineStr">
        <is>
          <t>Distinguished</t>
        </is>
      </c>
      <c r="L2944" s="42" t="inlineStr">
        <is>
          <t>Adjunct</t>
        </is>
      </c>
      <c r="M2944" s="42" t="inlineStr">
        <is>
          <t>Ela Cross</t>
        </is>
      </c>
    </row>
    <row r="2945">
      <c r="A2945" s="42" t="inlineStr">
        <is>
          <t>Denise Jefferson</t>
        </is>
      </c>
      <c r="B2945" s="42" t="inlineStr">
        <is>
          <t>5/17/26 - 6/13/26</t>
        </is>
      </c>
      <c r="C2945" s="41" t="n">
        <v>0.1458</v>
      </c>
      <c r="D2945" s="41" t="n">
        <v>1.0898</v>
      </c>
      <c r="E2945" s="41" t="n">
        <v>1</v>
      </c>
      <c r="F2945" s="41" t="n">
        <v>1</v>
      </c>
      <c r="G2945" s="41" t="n">
        <v>1</v>
      </c>
      <c r="H2945" s="42" t="n"/>
      <c r="I2945" s="43" t="n"/>
      <c r="J2945" s="41" t="n"/>
      <c r="K2945" s="42" t="inlineStr">
        <is>
          <t>Distinguished</t>
        </is>
      </c>
      <c r="L2945" s="42" t="inlineStr">
        <is>
          <t>Adjunct</t>
        </is>
      </c>
      <c r="M2945" s="42" t="inlineStr">
        <is>
          <t>Ela Cross</t>
        </is>
      </c>
    </row>
    <row r="2946">
      <c r="A2946" s="42" t="inlineStr">
        <is>
          <t>Derek Fox</t>
        </is>
      </c>
      <c r="B2946" s="42" t="inlineStr">
        <is>
          <t>5/17/26 - 6/13/26</t>
        </is>
      </c>
      <c r="C2946" s="41" t="n">
        <v>1.0625</v>
      </c>
      <c r="D2946" s="41" t="n">
        <v>0.9609</v>
      </c>
      <c r="E2946" s="41" t="n">
        <v>1</v>
      </c>
      <c r="F2946" s="41" t="n">
        <v>0.967</v>
      </c>
      <c r="G2946" s="41" t="n">
        <v>0.888888889</v>
      </c>
      <c r="H2946" s="42" t="n"/>
      <c r="I2946" s="51" t="n"/>
      <c r="J2946" s="52" t="n"/>
      <c r="K2946" s="42" t="inlineStr">
        <is>
          <t>Advanced</t>
        </is>
      </c>
      <c r="L2946" s="42" t="inlineStr">
        <is>
          <t>Adjunct</t>
        </is>
      </c>
      <c r="M2946" s="42" t="inlineStr">
        <is>
          <t>Geoff St. Marie</t>
        </is>
      </c>
    </row>
    <row r="2947">
      <c r="A2947" s="42" t="inlineStr">
        <is>
          <t>Diamond Anderson</t>
        </is>
      </c>
      <c r="B2947" s="42" t="inlineStr">
        <is>
          <t>5/17/26 - 6/13/26</t>
        </is>
      </c>
      <c r="C2947" s="41" t="n">
        <v>0.6458</v>
      </c>
      <c r="D2947" s="41" t="n">
        <v>1.2344</v>
      </c>
      <c r="E2947" s="41" t="n">
        <v>1</v>
      </c>
      <c r="F2947" s="41" t="n">
        <v>0.842</v>
      </c>
      <c r="G2947" s="41" t="n">
        <v>0.75</v>
      </c>
      <c r="H2947" s="42" t="n"/>
      <c r="I2947" s="43" t="inlineStr">
        <is>
          <t>0/1</t>
        </is>
      </c>
      <c r="J2947" s="41" t="n">
        <v>0</v>
      </c>
      <c r="K2947" s="42" t="inlineStr">
        <is>
          <t>Distinguished</t>
        </is>
      </c>
      <c r="L2947" s="42" t="inlineStr">
        <is>
          <t>Adjunct</t>
        </is>
      </c>
      <c r="M2947" s="42" t="inlineStr">
        <is>
          <t>Kristin Haase-Alvey</t>
        </is>
      </c>
    </row>
    <row r="2948">
      <c r="A2948" s="42" t="inlineStr">
        <is>
          <t>Diana Hoyer</t>
        </is>
      </c>
      <c r="B2948" s="42" t="inlineStr">
        <is>
          <t>5/17/26 - 6/13/26</t>
        </is>
      </c>
      <c r="C2948" s="41" t="n">
        <v>0.875</v>
      </c>
      <c r="D2948" s="41" t="n">
        <v>1.0698</v>
      </c>
      <c r="E2948" s="41" t="n">
        <v>0.957627119</v>
      </c>
      <c r="F2948" s="41" t="n">
        <v>1</v>
      </c>
      <c r="G2948" s="41" t="n">
        <v>1</v>
      </c>
      <c r="H2948" s="42" t="n"/>
      <c r="I2948" s="43" t="inlineStr">
        <is>
          <t>3/4</t>
        </is>
      </c>
      <c r="J2948" s="41" t="n">
        <v>0.75</v>
      </c>
      <c r="K2948" s="42" t="inlineStr">
        <is>
          <t>Distinguished</t>
        </is>
      </c>
      <c r="L2948" s="42" t="inlineStr">
        <is>
          <t>Professional</t>
        </is>
      </c>
      <c r="M2948" s="42" t="inlineStr">
        <is>
          <t>Geoff St. Marie</t>
        </is>
      </c>
    </row>
    <row r="2949">
      <c r="A2949" s="42" t="inlineStr">
        <is>
          <t>Dorothy McDaniel</t>
        </is>
      </c>
      <c r="B2949" s="42" t="inlineStr">
        <is>
          <t>5/17/26 - 6/13/26</t>
        </is>
      </c>
      <c r="C2949" s="41" t="n">
        <v>0.4542</v>
      </c>
      <c r="D2949" s="41" t="n">
        <v>1.2917</v>
      </c>
      <c r="E2949" s="41" t="n">
        <v>1</v>
      </c>
      <c r="F2949" s="41" t="n">
        <v>1</v>
      </c>
      <c r="G2949" s="41" t="n">
        <v>0.8</v>
      </c>
      <c r="H2949" s="42" t="n"/>
      <c r="I2949" s="43" t="inlineStr">
        <is>
          <t>0/1</t>
        </is>
      </c>
      <c r="J2949" s="41" t="n">
        <v>0</v>
      </c>
      <c r="K2949" s="42" t="inlineStr">
        <is>
          <t>Premium</t>
        </is>
      </c>
      <c r="L2949" s="42" t="inlineStr">
        <is>
          <t>Professional</t>
        </is>
      </c>
      <c r="M2949" s="42" t="inlineStr">
        <is>
          <t>Ian Plamondon</t>
        </is>
      </c>
    </row>
    <row r="2950">
      <c r="A2950" s="42" t="inlineStr">
        <is>
          <t>Eddie Cayia</t>
        </is>
      </c>
      <c r="B2950" s="42" t="inlineStr">
        <is>
          <t>5/17/26 - 6/13/26</t>
        </is>
      </c>
      <c r="C2950" s="41" t="n">
        <v>0.95</v>
      </c>
      <c r="D2950" s="41" t="n">
        <v>1.0494</v>
      </c>
      <c r="E2950" s="41" t="n">
        <v>0.957983193</v>
      </c>
      <c r="F2950" s="41" t="n">
        <v>0.92</v>
      </c>
      <c r="G2950" s="41" t="n">
        <v>0.714285714</v>
      </c>
      <c r="H2950" s="42" t="n"/>
      <c r="I2950" s="43" t="inlineStr">
        <is>
          <t>1/2</t>
        </is>
      </c>
      <c r="J2950" s="41" t="n">
        <v>0.5</v>
      </c>
      <c r="K2950" s="42" t="inlineStr">
        <is>
          <t>Distinguished</t>
        </is>
      </c>
      <c r="L2950" s="42" t="inlineStr">
        <is>
          <t>Professional</t>
        </is>
      </c>
      <c r="M2950" s="42" t="inlineStr">
        <is>
          <t>Annelies de Groot</t>
        </is>
      </c>
    </row>
    <row r="2951">
      <c r="A2951" s="42" t="inlineStr">
        <is>
          <t>Eddie Rodriguez</t>
        </is>
      </c>
      <c r="B2951" s="42" t="inlineStr">
        <is>
          <t>5/17/26 - 6/13/26</t>
        </is>
      </c>
      <c r="C2951" s="41" t="n">
        <v>0.8125</v>
      </c>
      <c r="D2951" s="41" t="n">
        <v>0.9276</v>
      </c>
      <c r="E2951" s="41" t="n">
        <v>1</v>
      </c>
      <c r="F2951" s="41" t="n">
        <v>0.979</v>
      </c>
      <c r="G2951" s="41" t="n">
        <v>0.722222222</v>
      </c>
      <c r="H2951" s="42" t="n"/>
      <c r="I2951" s="43" t="inlineStr">
        <is>
          <t>0/1</t>
        </is>
      </c>
      <c r="J2951" s="41" t="n">
        <v>0</v>
      </c>
      <c r="K2951" s="42" t="inlineStr">
        <is>
          <t>Distinguished</t>
        </is>
      </c>
      <c r="L2951" s="42" t="inlineStr">
        <is>
          <t>Professional</t>
        </is>
      </c>
      <c r="M2951" s="42" t="inlineStr">
        <is>
          <t>Ian Plamondon</t>
        </is>
      </c>
    </row>
    <row r="2952">
      <c r="A2952" s="42" t="inlineStr">
        <is>
          <t>Eden Rasmussen</t>
        </is>
      </c>
      <c r="B2952" s="42" t="inlineStr">
        <is>
          <t>5/17/26 - 6/13/26</t>
        </is>
      </c>
      <c r="C2952" s="41" t="n">
        <v>0.675</v>
      </c>
      <c r="D2952" s="41" t="n">
        <v>0.9704</v>
      </c>
      <c r="E2952" s="41" t="n">
        <v>0.8815789469999999</v>
      </c>
      <c r="F2952" s="41" t="n">
        <v>0.979</v>
      </c>
      <c r="G2952" s="41" t="n">
        <v>0.2</v>
      </c>
      <c r="H2952" s="42" t="n"/>
      <c r="I2952" s="51" t="inlineStr">
        <is>
          <t>0/1</t>
        </is>
      </c>
      <c r="J2952" s="41" t="n">
        <v>0</v>
      </c>
      <c r="K2952" s="42" t="inlineStr">
        <is>
          <t>Distinguished</t>
        </is>
      </c>
      <c r="L2952" s="42" t="inlineStr">
        <is>
          <t>Professional</t>
        </is>
      </c>
      <c r="M2952" s="42" t="inlineStr">
        <is>
          <t>Ian Plamondon</t>
        </is>
      </c>
    </row>
    <row r="2953">
      <c r="A2953" s="42" t="inlineStr">
        <is>
          <t>Edwin West</t>
        </is>
      </c>
      <c r="B2953" s="42" t="inlineStr">
        <is>
          <t>5/17/26 - 6/13/26</t>
        </is>
      </c>
      <c r="C2953" s="41" t="n">
        <v>0.7292</v>
      </c>
      <c r="D2953" s="41" t="n">
        <v>1.0391</v>
      </c>
      <c r="E2953" s="41" t="n">
        <v>1</v>
      </c>
      <c r="F2953" s="41" t="n">
        <v>1</v>
      </c>
      <c r="G2953" s="41" t="n">
        <v>1</v>
      </c>
      <c r="H2953" s="42" t="n"/>
      <c r="I2953" s="42" t="inlineStr">
        <is>
          <t>1/1</t>
        </is>
      </c>
      <c r="J2953" s="53" t="n">
        <v>1</v>
      </c>
      <c r="K2953" s="42" t="inlineStr">
        <is>
          <t>Distinguished</t>
        </is>
      </c>
      <c r="L2953" s="42" t="inlineStr">
        <is>
          <t>Adjunct</t>
        </is>
      </c>
      <c r="M2953" s="42" t="inlineStr">
        <is>
          <t>Ela Cross</t>
        </is>
      </c>
    </row>
    <row r="2954">
      <c r="A2954" s="42" t="inlineStr">
        <is>
          <t>Eleanor Mancilla</t>
        </is>
      </c>
      <c r="B2954" s="42" t="inlineStr">
        <is>
          <t>5/17/26 - 6/13/26</t>
        </is>
      </c>
      <c r="C2954" s="41" t="n">
        <v>0</v>
      </c>
      <c r="D2954" s="41" t="n">
        <v>0.2151</v>
      </c>
      <c r="E2954" s="41" t="n"/>
      <c r="F2954" s="41" t="n"/>
      <c r="G2954" s="41" t="n"/>
      <c r="H2954" s="42" t="n"/>
      <c r="I2954" s="43" t="n"/>
      <c r="J2954" s="41" t="n"/>
      <c r="K2954" s="42" t="e">
        <v>#N/A</v>
      </c>
      <c r="L2954" s="42" t="e">
        <v>#N/A</v>
      </c>
      <c r="M2954" s="42" t="e">
        <v>#N/A</v>
      </c>
    </row>
    <row r="2955">
      <c r="A2955" s="42" t="inlineStr">
        <is>
          <t>Elijah Ramirez</t>
        </is>
      </c>
      <c r="B2955" s="42" t="inlineStr">
        <is>
          <t>5/17/26 - 6/13/26</t>
        </is>
      </c>
      <c r="C2955" s="41" t="n">
        <v>0.5458</v>
      </c>
      <c r="D2955" s="41" t="n">
        <v>1.0938</v>
      </c>
      <c r="E2955" s="41" t="n">
        <v>0.98245614</v>
      </c>
      <c r="F2955" s="41" t="n">
        <v>1</v>
      </c>
      <c r="G2955" s="41" t="n">
        <v>0.846153846</v>
      </c>
      <c r="H2955" s="42" t="n"/>
      <c r="I2955" s="45" t="inlineStr">
        <is>
          <t>0/1</t>
        </is>
      </c>
      <c r="J2955" s="41" t="n">
        <v>0</v>
      </c>
      <c r="K2955" s="42" t="inlineStr">
        <is>
          <t>Premium</t>
        </is>
      </c>
      <c r="L2955" s="42" t="inlineStr">
        <is>
          <t>Professional</t>
        </is>
      </c>
      <c r="M2955" s="42" t="inlineStr">
        <is>
          <t>Ian Plamondon</t>
        </is>
      </c>
    </row>
    <row r="2956">
      <c r="A2956" s="42" t="inlineStr">
        <is>
          <t>Elizabeth Simons</t>
        </is>
      </c>
      <c r="B2956" s="42" t="inlineStr">
        <is>
          <t>5/17/26 - 6/13/26</t>
        </is>
      </c>
      <c r="C2956" s="41" t="n">
        <v>1.0625</v>
      </c>
      <c r="D2956" s="41" t="n">
        <v>1.1563</v>
      </c>
      <c r="E2956" s="41" t="n">
        <v>0.96</v>
      </c>
      <c r="F2956" s="41" t="n">
        <v>1</v>
      </c>
      <c r="G2956" s="41" t="n">
        <v>0.75</v>
      </c>
      <c r="H2956" s="42" t="n"/>
      <c r="I2956" s="43" t="inlineStr">
        <is>
          <t>1/2</t>
        </is>
      </c>
      <c r="J2956" s="41" t="n">
        <v>0.5</v>
      </c>
      <c r="K2956" s="42" t="inlineStr">
        <is>
          <t>Distinguished</t>
        </is>
      </c>
      <c r="L2956" s="42" t="inlineStr">
        <is>
          <t>Adjunct</t>
        </is>
      </c>
      <c r="M2956" s="42" t="inlineStr">
        <is>
          <t>Kristin Haase-Alvey</t>
        </is>
      </c>
    </row>
    <row r="2957">
      <c r="A2957" s="42" t="inlineStr">
        <is>
          <t>Elliot Emadian</t>
        </is>
      </c>
      <c r="B2957" s="42" t="inlineStr">
        <is>
          <t>5/17/26 - 6/13/26</t>
        </is>
      </c>
      <c r="C2957" s="41" t="n">
        <v>0.725</v>
      </c>
      <c r="D2957" s="41" t="n">
        <v>1.0247</v>
      </c>
      <c r="E2957" s="41" t="n">
        <v>0.972972973</v>
      </c>
      <c r="F2957" s="41" t="n">
        <v>0.6879999999999999</v>
      </c>
      <c r="G2957" s="41" t="n">
        <v>0.8125</v>
      </c>
      <c r="H2957" s="42" t="n"/>
      <c r="I2957" s="43" t="inlineStr">
        <is>
          <t>1/4</t>
        </is>
      </c>
      <c r="J2957" s="41" t="n">
        <v>0.25</v>
      </c>
      <c r="K2957" s="42" t="inlineStr">
        <is>
          <t>Distinguished</t>
        </is>
      </c>
      <c r="L2957" s="42" t="inlineStr">
        <is>
          <t>Professional</t>
        </is>
      </c>
      <c r="M2957" s="42" t="inlineStr">
        <is>
          <t>Annelies de Groot</t>
        </is>
      </c>
    </row>
    <row r="2958">
      <c r="A2958" s="42" t="inlineStr">
        <is>
          <t>Eric Chang</t>
        </is>
      </c>
      <c r="B2958" s="42" t="inlineStr">
        <is>
          <t>5/17/26 - 6/13/26</t>
        </is>
      </c>
      <c r="C2958" s="41" t="n">
        <v>0.6958</v>
      </c>
      <c r="D2958" s="41" t="n">
        <v>1.0345</v>
      </c>
      <c r="E2958" s="41" t="n">
        <v>1</v>
      </c>
      <c r="F2958" s="41" t="n">
        <v>0.9330000000000001</v>
      </c>
      <c r="G2958" s="41" t="n">
        <v>0.8823529409999999</v>
      </c>
      <c r="H2958" s="42" t="n"/>
      <c r="I2958" s="51" t="inlineStr">
        <is>
          <t>1/2</t>
        </is>
      </c>
      <c r="J2958" s="41" t="n">
        <v>0.5</v>
      </c>
      <c r="K2958" s="42" t="inlineStr">
        <is>
          <t>Distinguished</t>
        </is>
      </c>
      <c r="L2958" s="42" t="inlineStr">
        <is>
          <t>Professional</t>
        </is>
      </c>
      <c r="M2958" s="42" t="inlineStr">
        <is>
          <t>Annelies de Groot</t>
        </is>
      </c>
    </row>
    <row r="2959">
      <c r="A2959" s="42" t="inlineStr">
        <is>
          <t>Ernie Chu</t>
        </is>
      </c>
      <c r="B2959" s="42" t="inlineStr">
        <is>
          <t>5/17/26 - 6/13/26</t>
        </is>
      </c>
      <c r="C2959" s="41" t="n">
        <v>1.2292</v>
      </c>
      <c r="D2959" s="42" t="n">
        <v>1.1118</v>
      </c>
      <c r="E2959" s="42" t="n">
        <v>0.9931034480000001</v>
      </c>
      <c r="F2959" s="41" t="n">
        <v>0.906</v>
      </c>
      <c r="G2959" s="42" t="n">
        <v>0.947368421</v>
      </c>
      <c r="H2959" s="42" t="n"/>
      <c r="I2959" s="42" t="inlineStr">
        <is>
          <t>0/4</t>
        </is>
      </c>
      <c r="J2959" s="41" t="n">
        <v>0</v>
      </c>
      <c r="K2959" s="42" t="inlineStr">
        <is>
          <t>Distinguished</t>
        </is>
      </c>
      <c r="L2959" s="42" t="inlineStr">
        <is>
          <t>Professional</t>
        </is>
      </c>
      <c r="M2959" s="42" t="inlineStr">
        <is>
          <t>Geoff St. Marie</t>
        </is>
      </c>
    </row>
    <row r="2960">
      <c r="A2960" s="42" t="inlineStr">
        <is>
          <t>Eru Kyu</t>
        </is>
      </c>
      <c r="B2960" s="42" t="inlineStr">
        <is>
          <t>5/17/26 - 6/13/26</t>
        </is>
      </c>
      <c r="C2960" s="41" t="n">
        <v>0</v>
      </c>
      <c r="D2960" s="41" t="n">
        <v>0.3388</v>
      </c>
      <c r="E2960" s="41" t="n"/>
      <c r="F2960" s="41" t="n"/>
      <c r="G2960" s="41" t="n"/>
      <c r="H2960" s="42" t="n"/>
      <c r="I2960" s="43" t="n"/>
      <c r="J2960" s="41" t="n"/>
      <c r="K2960" s="42" t="e">
        <v>#N/A</v>
      </c>
      <c r="L2960" s="42" t="e">
        <v>#N/A</v>
      </c>
      <c r="M2960" s="42" t="e">
        <v>#N/A</v>
      </c>
    </row>
    <row r="2961">
      <c r="A2961" s="42" t="inlineStr">
        <is>
          <t>Faith Rogers</t>
        </is>
      </c>
      <c r="B2961" s="42" t="inlineStr">
        <is>
          <t>5/17/26 - 6/13/26</t>
        </is>
      </c>
      <c r="C2961" s="41" t="n">
        <v>0.7375</v>
      </c>
      <c r="D2961" s="41" t="n">
        <v>0.9589</v>
      </c>
      <c r="E2961" s="41" t="n">
        <v>0.987341772</v>
      </c>
      <c r="F2961" s="41" t="n">
        <v>1</v>
      </c>
      <c r="G2961" s="41" t="n">
        <v>0.533333333</v>
      </c>
      <c r="H2961" s="42" t="n"/>
      <c r="I2961" s="43" t="inlineStr">
        <is>
          <t>5/7</t>
        </is>
      </c>
      <c r="J2961" s="41">
        <f>5/7</f>
        <v/>
      </c>
      <c r="K2961" s="42" t="inlineStr">
        <is>
          <t>Distinguished</t>
        </is>
      </c>
      <c r="L2961" s="42" t="inlineStr">
        <is>
          <t>Professional</t>
        </is>
      </c>
      <c r="M2961" s="42" t="inlineStr">
        <is>
          <t>Geoff St. Marie</t>
        </is>
      </c>
    </row>
    <row r="2962">
      <c r="A2962" s="42" t="inlineStr">
        <is>
          <t>Gabriel Saint Cyr</t>
        </is>
      </c>
      <c r="B2962" s="42" t="inlineStr">
        <is>
          <t>5/17/26 - 6/13/26</t>
        </is>
      </c>
      <c r="C2962" s="41" t="n">
        <v>0.4583</v>
      </c>
      <c r="D2962" s="41" t="n">
        <v>1.0469</v>
      </c>
      <c r="E2962" s="41" t="n">
        <v>1</v>
      </c>
      <c r="F2962" s="41" t="n">
        <v>1</v>
      </c>
      <c r="G2962" s="41" t="n">
        <v>1</v>
      </c>
      <c r="H2962" s="42" t="n"/>
      <c r="I2962" s="43" t="n"/>
      <c r="J2962" s="41" t="n"/>
      <c r="K2962" s="42" t="inlineStr">
        <is>
          <t>Distinguished</t>
        </is>
      </c>
      <c r="L2962" s="42" t="inlineStr">
        <is>
          <t>Adjunct</t>
        </is>
      </c>
      <c r="M2962" s="42" t="inlineStr">
        <is>
          <t>Geoff St. Marie</t>
        </is>
      </c>
    </row>
    <row r="2963">
      <c r="A2963" s="42" t="inlineStr">
        <is>
          <t>Gale Hermes</t>
        </is>
      </c>
      <c r="B2963" s="42" t="inlineStr">
        <is>
          <t>5/17/26 - 6/13/26</t>
        </is>
      </c>
      <c r="C2963" s="41" t="n">
        <v>0.5667</v>
      </c>
      <c r="D2963" s="41" t="n">
        <v>1.5479</v>
      </c>
      <c r="E2963" s="41" t="n">
        <v>1</v>
      </c>
      <c r="F2963" s="41" t="n">
        <v>1</v>
      </c>
      <c r="G2963" s="41" t="n">
        <v>0.545454545</v>
      </c>
      <c r="H2963" s="42" t="n"/>
      <c r="I2963" s="43" t="inlineStr">
        <is>
          <t>0/4</t>
        </is>
      </c>
      <c r="J2963" s="41" t="n">
        <v>0</v>
      </c>
      <c r="K2963" s="42" t="inlineStr">
        <is>
          <t>Premium</t>
        </is>
      </c>
      <c r="L2963" s="42" t="inlineStr">
        <is>
          <t>Professional</t>
        </is>
      </c>
      <c r="M2963" s="42" t="inlineStr">
        <is>
          <t>Ian Plamondon</t>
        </is>
      </c>
    </row>
    <row r="2964">
      <c r="A2964" s="42" t="inlineStr">
        <is>
          <t>Gene Costa</t>
        </is>
      </c>
      <c r="B2964" s="42" t="inlineStr">
        <is>
          <t>5/17/26 - 6/13/26</t>
        </is>
      </c>
      <c r="C2964" s="41" t="n">
        <v>1.0333</v>
      </c>
      <c r="D2964" s="41" t="n">
        <v>1.273</v>
      </c>
      <c r="E2964" s="41" t="n">
        <v>0.99122807</v>
      </c>
      <c r="F2964" s="41" t="n">
        <v>0.855</v>
      </c>
      <c r="G2964" s="41" t="n">
        <v>0.125</v>
      </c>
      <c r="H2964" s="42" t="n"/>
      <c r="I2964" s="45" t="inlineStr">
        <is>
          <t>8/8</t>
        </is>
      </c>
      <c r="J2964" s="41" t="n">
        <v>1</v>
      </c>
      <c r="K2964" s="42" t="inlineStr">
        <is>
          <t>Distinguished</t>
        </is>
      </c>
      <c r="L2964" s="42" t="inlineStr">
        <is>
          <t>Professional</t>
        </is>
      </c>
      <c r="M2964" s="42" t="inlineStr">
        <is>
          <t>Ela Cross</t>
        </is>
      </c>
    </row>
    <row r="2965">
      <c r="A2965" s="42" t="inlineStr">
        <is>
          <t>Gigi Glover</t>
        </is>
      </c>
      <c r="B2965" s="42" t="inlineStr">
        <is>
          <t>5/17/26 - 6/13/26</t>
        </is>
      </c>
      <c r="C2965" s="41" t="n">
        <v>0.6833</v>
      </c>
      <c r="D2965" s="41" t="n">
        <v>1.2516</v>
      </c>
      <c r="E2965" s="41" t="n">
        <v>0.875</v>
      </c>
      <c r="F2965" s="41" t="n">
        <v>0.979</v>
      </c>
      <c r="G2965" s="41" t="n">
        <v>0.916666667</v>
      </c>
      <c r="H2965" s="42" t="n"/>
      <c r="I2965" s="43" t="inlineStr">
        <is>
          <t>7/8</t>
        </is>
      </c>
      <c r="J2965" s="41">
        <f>7/8</f>
        <v/>
      </c>
      <c r="K2965" s="42" t="inlineStr">
        <is>
          <t>Distinguished</t>
        </is>
      </c>
      <c r="L2965" s="42" t="inlineStr">
        <is>
          <t>Professional</t>
        </is>
      </c>
      <c r="M2965" s="42" t="inlineStr">
        <is>
          <t>Geoff St. Marie</t>
        </is>
      </c>
    </row>
    <row r="2966">
      <c r="A2966" s="42" t="inlineStr">
        <is>
          <t>Gina Benson</t>
        </is>
      </c>
      <c r="B2966" s="42" t="inlineStr">
        <is>
          <t>5/17/26 - 6/13/26</t>
        </is>
      </c>
      <c r="C2966" s="41" t="n">
        <v>0</v>
      </c>
      <c r="D2966" s="41" t="n">
        <v>0.875</v>
      </c>
      <c r="E2966" s="41" t="n"/>
      <c r="F2966" s="41" t="n"/>
      <c r="G2966" s="41" t="n"/>
      <c r="H2966" s="42" t="n"/>
      <c r="I2966" s="43" t="n"/>
      <c r="J2966" s="41" t="n"/>
      <c r="K2966" s="42" t="e">
        <v>#N/A</v>
      </c>
      <c r="L2966" s="42" t="e">
        <v>#N/A</v>
      </c>
      <c r="M2966" s="42" t="e">
        <v>#N/A</v>
      </c>
    </row>
    <row r="2967">
      <c r="A2967" s="42" t="inlineStr">
        <is>
          <t>Guha Sriram</t>
        </is>
      </c>
      <c r="B2967" s="42" t="inlineStr">
        <is>
          <t>5/17/26 - 6/13/26</t>
        </is>
      </c>
      <c r="C2967" s="41" t="n">
        <v>0.5417</v>
      </c>
      <c r="D2967" s="41" t="n">
        <v>1.1914</v>
      </c>
      <c r="E2967" s="41" t="n">
        <v>0.88</v>
      </c>
      <c r="F2967" s="41" t="n">
        <v>0.727</v>
      </c>
      <c r="G2967" s="41" t="n">
        <v>1</v>
      </c>
      <c r="H2967" s="42" t="n"/>
      <c r="I2967" s="42" t="inlineStr">
        <is>
          <t>0/1</t>
        </is>
      </c>
      <c r="J2967" s="41" t="n">
        <v>0</v>
      </c>
      <c r="K2967" s="42" t="inlineStr">
        <is>
          <t>Advanced</t>
        </is>
      </c>
      <c r="L2967" s="42" t="inlineStr">
        <is>
          <t>Adjunct</t>
        </is>
      </c>
      <c r="M2967" s="42" t="inlineStr">
        <is>
          <t>Annelies de Groot</t>
        </is>
      </c>
    </row>
    <row r="2968">
      <c r="A2968" s="42" t="inlineStr">
        <is>
          <t>Hannah Duliere</t>
        </is>
      </c>
      <c r="B2968" s="42" t="inlineStr">
        <is>
          <t>5/17/26 - 6/13/26</t>
        </is>
      </c>
      <c r="C2968" s="41" t="n">
        <v>0.5</v>
      </c>
      <c r="D2968" s="41" t="n">
        <v>1.8896</v>
      </c>
      <c r="E2968" s="41" t="n">
        <v>0.981818182</v>
      </c>
      <c r="F2968" s="41" t="n">
        <v>0.905</v>
      </c>
      <c r="G2968" s="41" t="n">
        <v>0.818181818</v>
      </c>
      <c r="H2968" s="42" t="n"/>
      <c r="I2968" s="44" t="inlineStr">
        <is>
          <t>2/4</t>
        </is>
      </c>
      <c r="J2968" s="41" t="n">
        <v>0.5</v>
      </c>
      <c r="K2968" s="42" t="inlineStr">
        <is>
          <t>Premium</t>
        </is>
      </c>
      <c r="L2968" s="42" t="inlineStr">
        <is>
          <t>Professional</t>
        </is>
      </c>
      <c r="M2968" s="42" t="inlineStr">
        <is>
          <t>Ela Cross</t>
        </is>
      </c>
    </row>
    <row r="2969">
      <c r="A2969" s="42" t="inlineStr">
        <is>
          <t>Hannah Ervitz</t>
        </is>
      </c>
      <c r="B2969" s="42" t="inlineStr">
        <is>
          <t>5/17/26 - 6/13/26</t>
        </is>
      </c>
      <c r="C2969" s="41" t="n">
        <v>0.9688</v>
      </c>
      <c r="D2969" s="41" t="n">
        <v>0.8385</v>
      </c>
      <c r="E2969" s="41" t="n">
        <v>1</v>
      </c>
      <c r="F2969" s="41" t="n">
        <v>1</v>
      </c>
      <c r="G2969" s="41" t="n">
        <v>0.722222222</v>
      </c>
      <c r="H2969" s="42" t="n"/>
      <c r="I2969" s="43" t="n"/>
      <c r="J2969" s="41" t="n"/>
      <c r="K2969" s="42" t="inlineStr">
        <is>
          <t>Distinguished</t>
        </is>
      </c>
      <c r="L2969" s="42" t="inlineStr">
        <is>
          <t>Adjunct</t>
        </is>
      </c>
      <c r="M2969" s="42" t="inlineStr">
        <is>
          <t>Kristin Haase-Alvey</t>
        </is>
      </c>
    </row>
    <row r="2970">
      <c r="A2970" s="42" t="inlineStr">
        <is>
          <t>Hannah Lodge</t>
        </is>
      </c>
      <c r="B2970" s="42" t="inlineStr">
        <is>
          <t>5/17/26 - 6/13/26</t>
        </is>
      </c>
      <c r="C2970" s="41" t="n">
        <v>0.5417</v>
      </c>
      <c r="D2970" s="41" t="n">
        <v>1.4918</v>
      </c>
      <c r="E2970" s="41" t="n">
        <v>1</v>
      </c>
      <c r="F2970" s="41" t="n">
        <v>0.784</v>
      </c>
      <c r="G2970" s="41" t="n">
        <v>0.923076923</v>
      </c>
      <c r="H2970" s="42" t="n"/>
      <c r="I2970" s="43" t="inlineStr">
        <is>
          <t>5/5</t>
        </is>
      </c>
      <c r="J2970" s="41" t="n">
        <v>1</v>
      </c>
      <c r="K2970" s="42" t="inlineStr">
        <is>
          <t>Premium</t>
        </is>
      </c>
      <c r="L2970" s="42" t="inlineStr">
        <is>
          <t>Professional</t>
        </is>
      </c>
      <c r="M2970" s="42" t="inlineStr">
        <is>
          <t>Ian Plamondon</t>
        </is>
      </c>
    </row>
    <row r="2971">
      <c r="A2971" s="42" t="inlineStr">
        <is>
          <t>Jacey Clifton</t>
        </is>
      </c>
      <c r="B2971" s="42" t="inlineStr">
        <is>
          <t>5/17/26 - 6/13/26</t>
        </is>
      </c>
      <c r="C2971" s="41" t="n">
        <v>0.6823</v>
      </c>
      <c r="D2971" s="41" t="n">
        <v>0.8828</v>
      </c>
      <c r="E2971" s="41" t="n">
        <v>0.970588235</v>
      </c>
      <c r="F2971" s="41" t="n">
        <v>1</v>
      </c>
      <c r="G2971" s="41" t="n">
        <v>0.818181818</v>
      </c>
      <c r="H2971" s="42" t="n"/>
      <c r="I2971" s="43" t="n"/>
      <c r="J2971" s="41" t="n"/>
      <c r="K2971" s="42" t="inlineStr">
        <is>
          <t>Distinguished</t>
        </is>
      </c>
      <c r="L2971" s="42" t="inlineStr">
        <is>
          <t>Adjunct</t>
        </is>
      </c>
      <c r="M2971" s="42" t="inlineStr">
        <is>
          <t>Ela Cross</t>
        </is>
      </c>
    </row>
    <row r="2972">
      <c r="A2972" s="42" t="inlineStr">
        <is>
          <t>Jacob Karn</t>
        </is>
      </c>
      <c r="B2972" s="42" t="inlineStr">
        <is>
          <t>5/17/26 - 6/13/26</t>
        </is>
      </c>
      <c r="C2972" s="41" t="n">
        <v>0.675</v>
      </c>
      <c r="D2972" s="41" t="n">
        <v>1.0658</v>
      </c>
      <c r="E2972" s="41" t="n">
        <v>0.897435897</v>
      </c>
      <c r="F2972" s="41" t="n">
        <v>0.8159999999999999</v>
      </c>
      <c r="G2972" s="41" t="n">
        <v>0.833333333</v>
      </c>
      <c r="H2972" s="42" t="n"/>
      <c r="I2972" s="45" t="inlineStr">
        <is>
          <t>0/1</t>
        </is>
      </c>
      <c r="J2972" s="41" t="n">
        <v>0</v>
      </c>
      <c r="K2972" s="42" t="inlineStr">
        <is>
          <t>Distinguished</t>
        </is>
      </c>
      <c r="L2972" s="42" t="inlineStr">
        <is>
          <t>Professional</t>
        </is>
      </c>
      <c r="M2972" s="42" t="inlineStr">
        <is>
          <t>Ian Plamondon</t>
        </is>
      </c>
    </row>
    <row r="2973">
      <c r="A2973" s="42" t="inlineStr">
        <is>
          <t>Jake Corvino</t>
        </is>
      </c>
      <c r="B2973" s="42" t="inlineStr">
        <is>
          <t>5/17/26 - 6/13/26</t>
        </is>
      </c>
      <c r="C2973" s="41" t="n">
        <v>0.4167</v>
      </c>
      <c r="D2973" s="41" t="n">
        <v>1.1094</v>
      </c>
      <c r="E2973" s="41" t="n">
        <v>1</v>
      </c>
      <c r="F2973" s="41" t="n">
        <v>1</v>
      </c>
      <c r="G2973" s="41" t="n">
        <v>0.666666667</v>
      </c>
      <c r="H2973" s="42" t="n"/>
      <c r="I2973" s="43" t="inlineStr">
        <is>
          <t>0/1</t>
        </is>
      </c>
      <c r="J2973" s="41" t="n">
        <v>0</v>
      </c>
      <c r="K2973" s="42" t="inlineStr">
        <is>
          <t>Distinguished</t>
        </is>
      </c>
      <c r="L2973" s="42" t="inlineStr">
        <is>
          <t>Adjunct</t>
        </is>
      </c>
      <c r="M2973" s="42" t="inlineStr">
        <is>
          <t>Ela Cross</t>
        </is>
      </c>
    </row>
    <row r="2974">
      <c r="A2974" s="42" t="inlineStr">
        <is>
          <t>James Falconer</t>
        </is>
      </c>
      <c r="B2974" s="42" t="inlineStr">
        <is>
          <t>5/17/26 - 6/13/26</t>
        </is>
      </c>
      <c r="C2974" s="41" t="n">
        <v>0.8964</v>
      </c>
      <c r="D2974" s="41" t="n">
        <v>1.093</v>
      </c>
      <c r="E2974" s="41" t="n">
        <v>0.982608696</v>
      </c>
      <c r="F2974" s="41" t="n">
        <v>0.987</v>
      </c>
      <c r="G2974" s="41" t="n">
        <v>1</v>
      </c>
      <c r="H2974" s="42" t="n"/>
      <c r="I2974" s="43" t="inlineStr">
        <is>
          <t>1/1</t>
        </is>
      </c>
      <c r="J2974" s="53" t="n">
        <v>1</v>
      </c>
      <c r="K2974" s="42" t="inlineStr">
        <is>
          <t>Distinguished</t>
        </is>
      </c>
      <c r="L2974" s="42" t="inlineStr">
        <is>
          <t>Professional</t>
        </is>
      </c>
      <c r="M2974" s="42" t="inlineStr">
        <is>
          <t>Geoff St. Marie</t>
        </is>
      </c>
    </row>
    <row r="2975">
      <c r="A2975" s="42" t="inlineStr">
        <is>
          <t>Jason Anderson</t>
        </is>
      </c>
      <c r="B2975" s="42" t="inlineStr">
        <is>
          <t>5/17/26 - 6/13/26</t>
        </is>
      </c>
      <c r="C2975" s="41" t="n">
        <v>0.2708</v>
      </c>
      <c r="D2975" s="41" t="n">
        <v>0.9901</v>
      </c>
      <c r="E2975" s="41" t="n">
        <v>1</v>
      </c>
      <c r="F2975" s="41" t="n">
        <v>0.905</v>
      </c>
      <c r="G2975" s="41" t="n"/>
      <c r="H2975" s="42" t="n"/>
      <c r="I2975" s="43" t="inlineStr">
        <is>
          <t>2/6</t>
        </is>
      </c>
      <c r="J2975" s="41" t="n">
        <v>0.33</v>
      </c>
      <c r="K2975" s="42" t="e">
        <v>#N/A</v>
      </c>
      <c r="L2975" s="42" t="e">
        <v>#N/A</v>
      </c>
      <c r="M2975" s="42" t="e">
        <v>#N/A</v>
      </c>
    </row>
    <row r="2976">
      <c r="A2976" s="42" t="inlineStr">
        <is>
          <t>Jason Keller</t>
        </is>
      </c>
      <c r="B2976" s="42" t="inlineStr">
        <is>
          <t>5/17/26 - 6/13/26</t>
        </is>
      </c>
      <c r="C2976" s="41" t="n">
        <v>0.4583</v>
      </c>
      <c r="D2976" s="41" t="n">
        <v>0.8509</v>
      </c>
      <c r="E2976" s="41" t="n">
        <v>1</v>
      </c>
      <c r="F2976" s="41" t="n">
        <v>0.97</v>
      </c>
      <c r="G2976" s="41" t="n">
        <v>0.411764706</v>
      </c>
      <c r="H2976" s="42" t="n"/>
      <c r="I2976" s="43" t="inlineStr">
        <is>
          <t>4/5</t>
        </is>
      </c>
      <c r="J2976" s="41" t="n">
        <v>0.8</v>
      </c>
      <c r="K2976" s="42" t="inlineStr">
        <is>
          <t>Premium</t>
        </is>
      </c>
      <c r="L2976" s="42" t="inlineStr">
        <is>
          <t>Professional</t>
        </is>
      </c>
      <c r="M2976" s="42" t="inlineStr">
        <is>
          <t>Kristin Haase-Alvey</t>
        </is>
      </c>
    </row>
    <row r="2977">
      <c r="A2977" s="42" t="inlineStr">
        <is>
          <t>Jason Noble</t>
        </is>
      </c>
      <c r="B2977" s="42" t="inlineStr">
        <is>
          <t>5/17/26 - 6/13/26</t>
        </is>
      </c>
      <c r="C2977" s="41" t="n">
        <v>0.7625</v>
      </c>
      <c r="D2977" s="41" t="n">
        <v>1.0263</v>
      </c>
      <c r="E2977" s="41" t="n">
        <v>0.966292135</v>
      </c>
      <c r="F2977" s="41" t="n">
        <v>0.619</v>
      </c>
      <c r="G2977" s="41" t="n">
        <v>0.947368421</v>
      </c>
      <c r="H2977" s="42" t="n"/>
      <c r="I2977" s="43" t="n"/>
      <c r="J2977" s="41" t="n"/>
      <c r="K2977" s="42" t="inlineStr">
        <is>
          <t>Distinguished</t>
        </is>
      </c>
      <c r="L2977" s="42" t="inlineStr">
        <is>
          <t>Professional</t>
        </is>
      </c>
      <c r="M2977" s="42" t="inlineStr">
        <is>
          <t>Kristin Haase-Alvey</t>
        </is>
      </c>
    </row>
    <row r="2978">
      <c r="A2978" s="42" t="inlineStr">
        <is>
          <t>Jayna Boaz</t>
        </is>
      </c>
      <c r="B2978" s="42" t="inlineStr">
        <is>
          <t>5/17/26 - 6/13/26</t>
        </is>
      </c>
      <c r="C2978" s="41" t="n">
        <v>0.9792</v>
      </c>
      <c r="D2978" s="41" t="n">
        <v>1.7969</v>
      </c>
      <c r="E2978" s="41" t="n">
        <v>0.913043478</v>
      </c>
      <c r="F2978" s="41" t="n">
        <v>0.6919999999999999</v>
      </c>
      <c r="G2978" s="41" t="n">
        <v>0.888888889</v>
      </c>
      <c r="H2978" s="42" t="n"/>
      <c r="I2978" s="43" t="inlineStr">
        <is>
          <t>0/1</t>
        </is>
      </c>
      <c r="J2978" s="41" t="n">
        <v>0</v>
      </c>
      <c r="K2978" s="42" t="inlineStr">
        <is>
          <t>Advanced</t>
        </is>
      </c>
      <c r="L2978" s="42" t="inlineStr">
        <is>
          <t>Adjunct</t>
        </is>
      </c>
      <c r="M2978" s="42" t="inlineStr">
        <is>
          <t>Ela Cross</t>
        </is>
      </c>
    </row>
    <row r="2979">
      <c r="A2979" s="42" t="inlineStr">
        <is>
          <t>Jenn Thompson</t>
        </is>
      </c>
      <c r="B2979" s="42" t="inlineStr">
        <is>
          <t>5/17/26 - 6/13/26</t>
        </is>
      </c>
      <c r="C2979" s="41" t="n">
        <v>0.0208</v>
      </c>
      <c r="D2979" s="41" t="n">
        <v>0.7383</v>
      </c>
      <c r="E2979" s="41" t="n">
        <v>1</v>
      </c>
      <c r="F2979" s="41" t="n">
        <v>1</v>
      </c>
      <c r="G2979" s="41" t="n"/>
      <c r="H2979" s="42" t="n"/>
      <c r="I2979" s="42" t="inlineStr">
        <is>
          <t>1/1</t>
        </is>
      </c>
      <c r="J2979" s="53" t="n">
        <v>1</v>
      </c>
      <c r="K2979" s="42" t="e">
        <v>#N/A</v>
      </c>
      <c r="L2979" s="42" t="e">
        <v>#N/A</v>
      </c>
      <c r="M2979" s="42" t="e">
        <v>#N/A</v>
      </c>
    </row>
    <row r="2980">
      <c r="A2980" s="42" t="inlineStr">
        <is>
          <t>Jennifer Hernandez</t>
        </is>
      </c>
      <c r="B2980" s="42" t="inlineStr">
        <is>
          <t>5/17/26 - 6/13/26</t>
        </is>
      </c>
      <c r="C2980" s="41" t="n">
        <v>0.625</v>
      </c>
      <c r="D2980" s="41" t="n">
        <v>1.099</v>
      </c>
      <c r="E2980" s="41" t="n">
        <v>1</v>
      </c>
      <c r="F2980" s="41" t="n">
        <v>0.967</v>
      </c>
      <c r="G2980" s="41" t="n">
        <v>1</v>
      </c>
      <c r="H2980" s="42" t="n"/>
      <c r="I2980" s="44" t="n"/>
      <c r="J2980" s="42" t="n"/>
      <c r="K2980" s="42" t="inlineStr">
        <is>
          <t>Distinguished</t>
        </is>
      </c>
      <c r="L2980" s="42" t="inlineStr">
        <is>
          <t>Adjunct</t>
        </is>
      </c>
      <c r="M2980" s="42" t="inlineStr">
        <is>
          <t>Kristin Haase-Alvey</t>
        </is>
      </c>
    </row>
    <row r="2981">
      <c r="A2981" s="42" t="inlineStr">
        <is>
          <t>Jesse Squires</t>
        </is>
      </c>
      <c r="B2981" s="42" t="inlineStr">
        <is>
          <t>5/17/26 - 6/13/26</t>
        </is>
      </c>
      <c r="C2981" s="41" t="n">
        <v>0.7458</v>
      </c>
      <c r="D2981" s="41" t="n">
        <v>1.0164</v>
      </c>
      <c r="E2981" s="41" t="n">
        <v>1</v>
      </c>
      <c r="F2981" s="41" t="n">
        <v>0.981</v>
      </c>
      <c r="G2981" s="41" t="n">
        <v>0.833333333</v>
      </c>
      <c r="H2981" s="42" t="n"/>
      <c r="I2981" s="43" t="inlineStr">
        <is>
          <t>2/3</t>
        </is>
      </c>
      <c r="J2981" s="41" t="n">
        <v>0.67</v>
      </c>
      <c r="K2981" s="42" t="inlineStr">
        <is>
          <t>Distinguished</t>
        </is>
      </c>
      <c r="L2981" s="42" t="inlineStr">
        <is>
          <t>Professional</t>
        </is>
      </c>
      <c r="M2981" s="42" t="inlineStr">
        <is>
          <t>Kristin Haase-Alvey</t>
        </is>
      </c>
    </row>
    <row r="2982">
      <c r="A2982" s="42" t="inlineStr">
        <is>
          <t>Jessica Menkhus</t>
        </is>
      </c>
      <c r="B2982" s="42" t="inlineStr">
        <is>
          <t>5/17/26 - 6/13/26</t>
        </is>
      </c>
      <c r="C2982" s="41" t="n">
        <v>0.75</v>
      </c>
      <c r="D2982" s="41" t="n">
        <v>2.2266</v>
      </c>
      <c r="E2982" s="41" t="n">
        <v>1</v>
      </c>
      <c r="F2982" s="41" t="n">
        <v>1</v>
      </c>
      <c r="G2982" s="41" t="n">
        <v>1</v>
      </c>
      <c r="H2982" s="42" t="n"/>
      <c r="I2982" s="43" t="inlineStr">
        <is>
          <t>1/2</t>
        </is>
      </c>
      <c r="J2982" s="41" t="n">
        <v>0.5</v>
      </c>
      <c r="K2982" s="42" t="inlineStr">
        <is>
          <t>Premium</t>
        </is>
      </c>
      <c r="L2982" s="42" t="inlineStr">
        <is>
          <t>Adjunct</t>
        </is>
      </c>
      <c r="M2982" s="42" t="inlineStr">
        <is>
          <t>Ela Cross</t>
        </is>
      </c>
    </row>
    <row r="2983">
      <c r="A2983" s="42" t="inlineStr">
        <is>
          <t>Jessica Peterson</t>
        </is>
      </c>
      <c r="B2983" s="42" t="inlineStr">
        <is>
          <t>5/17/26 - 6/13/26</t>
        </is>
      </c>
      <c r="C2983" s="41" t="n">
        <v>0.75</v>
      </c>
      <c r="D2983" s="41" t="n">
        <v>1.5391</v>
      </c>
      <c r="E2983" s="41" t="n">
        <v>0.970588235</v>
      </c>
      <c r="F2983" s="41" t="n">
        <v>1</v>
      </c>
      <c r="G2983" s="41" t="n">
        <v>1</v>
      </c>
      <c r="H2983" s="42" t="n"/>
      <c r="I2983" s="43" t="inlineStr">
        <is>
          <t>3/3</t>
        </is>
      </c>
      <c r="J2983" s="41" t="n">
        <v>1</v>
      </c>
      <c r="K2983" s="42" t="inlineStr">
        <is>
          <t>Premium</t>
        </is>
      </c>
      <c r="L2983" s="42" t="inlineStr">
        <is>
          <t>Adjunct</t>
        </is>
      </c>
      <c r="M2983" s="42" t="inlineStr">
        <is>
          <t>Annelies de Groot</t>
        </is>
      </c>
    </row>
    <row r="2984">
      <c r="A2984" s="42" t="inlineStr">
        <is>
          <t>Jessica Wall</t>
        </is>
      </c>
      <c r="B2984" s="42" t="inlineStr">
        <is>
          <t>5/17/26 - 6/13/26</t>
        </is>
      </c>
      <c r="C2984" s="41" t="n">
        <v>0.8333</v>
      </c>
      <c r="D2984" s="41" t="n">
        <v>1.0543</v>
      </c>
      <c r="E2984" s="41" t="n">
        <v>0.98989899</v>
      </c>
      <c r="F2984" s="41" t="n">
        <v>0.96</v>
      </c>
      <c r="G2984" s="41" t="n">
        <v>0.9375</v>
      </c>
      <c r="H2984" s="42" t="n"/>
      <c r="I2984" s="45" t="inlineStr">
        <is>
          <t>2/4</t>
        </is>
      </c>
      <c r="J2984" s="41" t="n">
        <v>0.5</v>
      </c>
      <c r="K2984" s="42" t="inlineStr">
        <is>
          <t>Distinguished</t>
        </is>
      </c>
      <c r="L2984" s="42" t="inlineStr">
        <is>
          <t>Professional</t>
        </is>
      </c>
      <c r="M2984" s="42" t="inlineStr">
        <is>
          <t>Kristin Haase-Alvey</t>
        </is>
      </c>
    </row>
    <row r="2985">
      <c r="A2985" s="42" t="inlineStr">
        <is>
          <t>Jill Watson</t>
        </is>
      </c>
      <c r="B2985" s="42" t="inlineStr">
        <is>
          <t>5/17/26 - 6/13/26</t>
        </is>
      </c>
      <c r="C2985" s="41" t="n">
        <v>0.9179</v>
      </c>
      <c r="D2985" s="41" t="n">
        <v>1.189</v>
      </c>
      <c r="E2985" s="41" t="n">
        <v>1</v>
      </c>
      <c r="F2985" s="41" t="n">
        <v>0.9379999999999999</v>
      </c>
      <c r="G2985" s="41" t="n">
        <v>0.8</v>
      </c>
      <c r="H2985" s="42" t="n"/>
      <c r="I2985" s="42" t="inlineStr">
        <is>
          <t>6/7</t>
        </is>
      </c>
      <c r="J2985" s="41">
        <f>6/7</f>
        <v/>
      </c>
      <c r="K2985" s="42" t="inlineStr">
        <is>
          <t>Distinguished</t>
        </is>
      </c>
      <c r="L2985" s="42" t="inlineStr">
        <is>
          <t>Professional</t>
        </is>
      </c>
      <c r="M2985" s="42" t="inlineStr">
        <is>
          <t>Ian Plamondon</t>
        </is>
      </c>
    </row>
    <row r="2986">
      <c r="A2986" s="42" t="inlineStr">
        <is>
          <t>Jimmy Works</t>
        </is>
      </c>
      <c r="B2986" s="42" t="inlineStr">
        <is>
          <t>5/17/26 - 6/13/26</t>
        </is>
      </c>
      <c r="C2986" s="41" t="n">
        <v>0.9063</v>
      </c>
      <c r="D2986" s="41" t="n">
        <v>1.1406</v>
      </c>
      <c r="E2986" s="41" t="n">
        <v>0.974358974</v>
      </c>
      <c r="F2986" s="41" t="n">
        <v>0.962</v>
      </c>
      <c r="G2986" s="41" t="n">
        <v>0.916666667</v>
      </c>
      <c r="H2986" s="42" t="n"/>
      <c r="I2986" s="43" t="inlineStr">
        <is>
          <t>1/1</t>
        </is>
      </c>
      <c r="J2986" s="53" t="n">
        <v>1</v>
      </c>
      <c r="K2986" s="42" t="inlineStr">
        <is>
          <t>Distinguished</t>
        </is>
      </c>
      <c r="L2986" s="42" t="inlineStr">
        <is>
          <t>Adjunct</t>
        </is>
      </c>
      <c r="M2986" s="42" t="inlineStr">
        <is>
          <t>Kristin Haase-Alvey</t>
        </is>
      </c>
    </row>
    <row r="2987">
      <c r="A2987" s="42" t="inlineStr">
        <is>
          <t>Johan Falconi</t>
        </is>
      </c>
      <c r="B2987" s="42" t="inlineStr">
        <is>
          <t>5/17/26 - 6/13/26</t>
        </is>
      </c>
      <c r="C2987" s="41" t="n">
        <v>0.575</v>
      </c>
      <c r="D2987" s="41" t="n">
        <v>1</v>
      </c>
      <c r="E2987" s="41" t="n">
        <v>0.954545455</v>
      </c>
      <c r="F2987" s="41" t="n">
        <v>0.85</v>
      </c>
      <c r="G2987" s="41" t="n">
        <v>0.666666667</v>
      </c>
      <c r="H2987" s="42" t="n"/>
      <c r="I2987" s="43" t="n"/>
      <c r="J2987" s="41" t="n"/>
      <c r="K2987" s="42" t="inlineStr">
        <is>
          <t>Advanced</t>
        </is>
      </c>
      <c r="L2987" s="42" t="inlineStr">
        <is>
          <t>Adjunct</t>
        </is>
      </c>
      <c r="M2987" s="42" t="inlineStr">
        <is>
          <t>Ela Cross</t>
        </is>
      </c>
    </row>
    <row r="2988">
      <c r="A2988" s="42" t="inlineStr">
        <is>
          <t>John Corbett</t>
        </is>
      </c>
      <c r="B2988" s="42" t="inlineStr">
        <is>
          <t>5/17/26 - 6/13/26</t>
        </is>
      </c>
      <c r="C2988" s="41" t="n">
        <v>0.8313</v>
      </c>
      <c r="D2988" s="41" t="n">
        <v>1.0313</v>
      </c>
      <c r="E2988" s="41" t="n">
        <v>0.983870968</v>
      </c>
      <c r="F2988" s="41" t="n">
        <v>0.976</v>
      </c>
      <c r="G2988" s="41" t="n">
        <v>0.333333333</v>
      </c>
      <c r="H2988" s="42" t="n"/>
      <c r="I2988" s="43" t="inlineStr">
        <is>
          <t>1/1</t>
        </is>
      </c>
      <c r="J2988" s="53" t="n">
        <v>1</v>
      </c>
      <c r="K2988" s="42" t="inlineStr">
        <is>
          <t>Distinguished</t>
        </is>
      </c>
      <c r="L2988" s="42" t="inlineStr">
        <is>
          <t>Adjunct</t>
        </is>
      </c>
      <c r="M2988" s="42" t="inlineStr">
        <is>
          <t>Geoff St. Marie</t>
        </is>
      </c>
    </row>
    <row r="2989">
      <c r="A2989" s="42" t="inlineStr">
        <is>
          <t>John Licitra</t>
        </is>
      </c>
      <c r="B2989" s="42" t="inlineStr">
        <is>
          <t>5/17/26 - 6/13/26</t>
        </is>
      </c>
      <c r="C2989" s="41" t="n">
        <v>0.4833</v>
      </c>
      <c r="D2989" s="41" t="n">
        <v>0.898</v>
      </c>
      <c r="E2989" s="41" t="n">
        <v>1</v>
      </c>
      <c r="F2989" s="41" t="n">
        <v>1</v>
      </c>
      <c r="G2989" s="41" t="n">
        <v>0.923076923</v>
      </c>
      <c r="H2989" s="42" t="n"/>
      <c r="I2989" s="43" t="inlineStr">
        <is>
          <t>0/1</t>
        </is>
      </c>
      <c r="J2989" s="41" t="n">
        <v>0</v>
      </c>
      <c r="K2989" s="42" t="inlineStr">
        <is>
          <t>Distinguished</t>
        </is>
      </c>
      <c r="L2989" s="42" t="inlineStr">
        <is>
          <t>Professional</t>
        </is>
      </c>
      <c r="M2989" s="42" t="inlineStr">
        <is>
          <t>Geoff St. Marie</t>
        </is>
      </c>
    </row>
    <row r="2990">
      <c r="A2990" s="42" t="inlineStr">
        <is>
          <t>John Olmos</t>
        </is>
      </c>
      <c r="B2990" s="42" t="inlineStr">
        <is>
          <t>5/17/26 - 6/13/26</t>
        </is>
      </c>
      <c r="C2990" s="41" t="n">
        <v>0.9417</v>
      </c>
      <c r="D2990" s="41" t="n">
        <v>1.3355</v>
      </c>
      <c r="E2990" s="41" t="n">
        <v>1</v>
      </c>
      <c r="F2990" s="41" t="n">
        <v>0.966</v>
      </c>
      <c r="G2990" s="41" t="n">
        <v>0.875</v>
      </c>
      <c r="H2990" s="42" t="n"/>
      <c r="I2990" s="45" t="inlineStr">
        <is>
          <t>1/5</t>
        </is>
      </c>
      <c r="J2990" s="41" t="n">
        <v>0.2</v>
      </c>
      <c r="K2990" s="42" t="inlineStr">
        <is>
          <t>Distinguished</t>
        </is>
      </c>
      <c r="L2990" s="42" t="inlineStr">
        <is>
          <t>Professional</t>
        </is>
      </c>
      <c r="M2990" s="42" t="inlineStr">
        <is>
          <t>Geoff St. Marie</t>
        </is>
      </c>
    </row>
    <row r="2991">
      <c r="A2991" s="42" t="inlineStr">
        <is>
          <t>John Salcedo</t>
        </is>
      </c>
      <c r="B2991" s="42" t="inlineStr">
        <is>
          <t>5/17/26 - 6/13/26</t>
        </is>
      </c>
      <c r="C2991" s="41" t="n">
        <v>0.9786</v>
      </c>
      <c r="D2991" s="41" t="n">
        <v>1.0625</v>
      </c>
      <c r="E2991" s="41" t="n">
        <v>0.969924812</v>
      </c>
      <c r="F2991" s="41" t="n">
        <v>0.944</v>
      </c>
      <c r="G2991" s="41" t="n">
        <v>0.238095238</v>
      </c>
      <c r="H2991" s="42" t="n"/>
      <c r="I2991" s="43" t="inlineStr">
        <is>
          <t>0/3</t>
        </is>
      </c>
      <c r="J2991" s="41" t="n">
        <v>0</v>
      </c>
      <c r="K2991" s="42" t="inlineStr">
        <is>
          <t>Distinguished</t>
        </is>
      </c>
      <c r="L2991" s="42" t="inlineStr">
        <is>
          <t>Professional</t>
        </is>
      </c>
      <c r="M2991" s="42" t="inlineStr">
        <is>
          <t>Ela Cross</t>
        </is>
      </c>
    </row>
    <row r="2992">
      <c r="A2992" s="42" t="inlineStr">
        <is>
          <t>Johnny Kaplan</t>
        </is>
      </c>
      <c r="B2992" s="42" t="inlineStr">
        <is>
          <t>5/17/26 - 6/13/26</t>
        </is>
      </c>
      <c r="C2992" s="41" t="n">
        <v>0.4375</v>
      </c>
      <c r="D2992" s="41" t="n">
        <v>0.8867</v>
      </c>
      <c r="E2992" s="41" t="n">
        <v>1</v>
      </c>
      <c r="F2992" s="41" t="n">
        <v>1</v>
      </c>
      <c r="G2992" s="41" t="n">
        <v>0.5</v>
      </c>
      <c r="H2992" s="42" t="n"/>
      <c r="I2992" s="43" t="n"/>
      <c r="J2992" s="41" t="n"/>
      <c r="K2992" s="42" t="inlineStr">
        <is>
          <t>Advanced</t>
        </is>
      </c>
      <c r="L2992" s="42" t="inlineStr">
        <is>
          <t>Adjunct</t>
        </is>
      </c>
      <c r="M2992" s="42" t="inlineStr">
        <is>
          <t>Ian Plamondon</t>
        </is>
      </c>
    </row>
    <row r="2993">
      <c r="A2993" s="42" t="inlineStr">
        <is>
          <t>Jon Cathapermal</t>
        </is>
      </c>
      <c r="B2993" s="42" t="inlineStr">
        <is>
          <t>5/17/26 - 6/13/26</t>
        </is>
      </c>
      <c r="C2993" s="41" t="n">
        <v>0.7929</v>
      </c>
      <c r="D2993" s="41" t="n">
        <v>1.0073</v>
      </c>
      <c r="E2993" s="41" t="n">
        <v>0.971153846</v>
      </c>
      <c r="F2993" s="41" t="n">
        <v>0.9389999999999999</v>
      </c>
      <c r="G2993" s="41" t="n">
        <v>0.4</v>
      </c>
      <c r="H2993" s="42" t="n"/>
      <c r="I2993" s="51" t="inlineStr">
        <is>
          <t>8/9</t>
        </is>
      </c>
      <c r="J2993" s="52">
        <f>8/9</f>
        <v/>
      </c>
      <c r="K2993" s="42" t="inlineStr">
        <is>
          <t>Distinguished</t>
        </is>
      </c>
      <c r="L2993" s="42" t="inlineStr">
        <is>
          <t>Professional</t>
        </is>
      </c>
      <c r="M2993" s="42" t="inlineStr">
        <is>
          <t>Geoff St. Marie</t>
        </is>
      </c>
    </row>
    <row r="2994">
      <c r="A2994" s="42" t="inlineStr">
        <is>
          <t>Jose Falconi</t>
        </is>
      </c>
      <c r="B2994" s="42" t="inlineStr">
        <is>
          <t>5/17/26 - 6/13/26</t>
        </is>
      </c>
      <c r="C2994" s="41" t="n">
        <v>0.8071</v>
      </c>
      <c r="D2994" s="42" t="n">
        <v>0.9491000000000001</v>
      </c>
      <c r="E2994" s="42" t="n">
        <v>0.955752212</v>
      </c>
      <c r="F2994" s="41" t="n">
        <v>0.986</v>
      </c>
      <c r="G2994" s="42" t="n">
        <v>0.458333333</v>
      </c>
      <c r="H2994" s="42" t="n"/>
      <c r="I2994" s="42" t="inlineStr">
        <is>
          <t>8/8</t>
        </is>
      </c>
      <c r="J2994" s="41" t="n">
        <v>1</v>
      </c>
      <c r="K2994" s="42" t="e">
        <v>#N/A</v>
      </c>
      <c r="L2994" s="42" t="e">
        <v>#N/A</v>
      </c>
      <c r="M2994" s="42" t="e">
        <v>#N/A</v>
      </c>
    </row>
    <row r="2995">
      <c r="A2995" s="42" t="inlineStr">
        <is>
          <t>Joyraj D'souza</t>
        </is>
      </c>
      <c r="B2995" s="42" t="inlineStr">
        <is>
          <t>5/17/26 - 6/13/26</t>
        </is>
      </c>
      <c r="C2995" s="41" t="n">
        <v>0.9167</v>
      </c>
      <c r="D2995" s="41" t="n">
        <v>1.1328</v>
      </c>
      <c r="E2995" s="41" t="n">
        <v>0.972972973</v>
      </c>
      <c r="F2995" s="41" t="n">
        <v>1</v>
      </c>
      <c r="G2995" s="41" t="n">
        <v>0.9</v>
      </c>
      <c r="H2995" s="42" t="n"/>
      <c r="I2995" s="42" t="n"/>
      <c r="J2995" s="42" t="n"/>
      <c r="K2995" s="42" t="inlineStr">
        <is>
          <t>Distinguished</t>
        </is>
      </c>
      <c r="L2995" s="42" t="inlineStr">
        <is>
          <t>Adjunct</t>
        </is>
      </c>
      <c r="M2995" s="42" t="inlineStr">
        <is>
          <t>Kristin Haase-Alvey</t>
        </is>
      </c>
    </row>
    <row r="2996">
      <c r="A2996" s="42" t="inlineStr">
        <is>
          <t>Juan Nunez</t>
        </is>
      </c>
      <c r="B2996" s="42" t="inlineStr">
        <is>
          <t>5/17/26 - 6/13/26</t>
        </is>
      </c>
      <c r="C2996" s="41" t="n">
        <v>0.9</v>
      </c>
      <c r="D2996" s="41" t="n">
        <v>1.0444</v>
      </c>
      <c r="E2996" s="41" t="n">
        <v>0.990196078</v>
      </c>
      <c r="F2996" s="41" t="n">
        <v>1</v>
      </c>
      <c r="G2996" s="41" t="n">
        <v>0.523809524</v>
      </c>
      <c r="H2996" s="42" t="n"/>
      <c r="I2996" s="44" t="inlineStr">
        <is>
          <t>1/1</t>
        </is>
      </c>
      <c r="J2996" s="53" t="n">
        <v>1</v>
      </c>
      <c r="K2996" s="42" t="inlineStr">
        <is>
          <t>Distinguished</t>
        </is>
      </c>
      <c r="L2996" s="42" t="inlineStr">
        <is>
          <t>Professional</t>
        </is>
      </c>
      <c r="M2996" s="42" t="inlineStr">
        <is>
          <t>Kristin Haase-Alvey</t>
        </is>
      </c>
    </row>
    <row r="2997">
      <c r="A2997" s="42" t="inlineStr">
        <is>
          <t>Judi Abo Hana</t>
        </is>
      </c>
      <c r="B2997" s="42" t="inlineStr">
        <is>
          <t>5/17/26 - 6/13/26</t>
        </is>
      </c>
      <c r="C2997" s="41" t="n">
        <v>1.5813</v>
      </c>
      <c r="D2997" s="41" t="n">
        <v>1.5547</v>
      </c>
      <c r="E2997" s="41" t="n">
        <v>1</v>
      </c>
      <c r="F2997" s="41" t="n">
        <v>0.93</v>
      </c>
      <c r="G2997" s="41" t="n">
        <v>0.821428571</v>
      </c>
      <c r="H2997" s="42" t="n"/>
      <c r="I2997" s="44" t="n"/>
      <c r="J2997" s="42" t="n"/>
      <c r="K2997" s="42" t="inlineStr">
        <is>
          <t>Advanced</t>
        </is>
      </c>
      <c r="L2997" s="42" t="inlineStr">
        <is>
          <t>Adjunct</t>
        </is>
      </c>
      <c r="M2997" s="42" t="inlineStr">
        <is>
          <t>Geoff St. Marie</t>
        </is>
      </c>
    </row>
    <row r="2998">
      <c r="A2998" s="42" t="inlineStr">
        <is>
          <t>Julia Saderholm</t>
        </is>
      </c>
      <c r="B2998" s="42" t="inlineStr">
        <is>
          <t>5/17/26 - 6/13/26</t>
        </is>
      </c>
      <c r="C2998" s="41" t="n">
        <v>0.8333</v>
      </c>
      <c r="D2998" s="41" t="n">
        <v>1.0181</v>
      </c>
      <c r="E2998" s="41" t="n">
        <v>0.978947368</v>
      </c>
      <c r="F2998" s="41" t="n">
        <v>0.982</v>
      </c>
      <c r="G2998" s="41" t="n">
        <v>0.473684211</v>
      </c>
      <c r="H2998" s="42" t="n"/>
      <c r="I2998" s="43" t="inlineStr">
        <is>
          <t>2/5</t>
        </is>
      </c>
      <c r="J2998" s="41" t="n">
        <v>0.4</v>
      </c>
      <c r="K2998" s="42" t="inlineStr">
        <is>
          <t>Distinguished</t>
        </is>
      </c>
      <c r="L2998" s="42" t="inlineStr">
        <is>
          <t>Professional</t>
        </is>
      </c>
      <c r="M2998" s="42" t="inlineStr">
        <is>
          <t>Ela Cross</t>
        </is>
      </c>
    </row>
    <row r="2999">
      <c r="A2999" s="42" t="inlineStr">
        <is>
          <t>Julie Byrom</t>
        </is>
      </c>
      <c r="B2999" s="42" t="inlineStr">
        <is>
          <t>5/17/26 - 6/13/26</t>
        </is>
      </c>
      <c r="C2999" s="41" t="n">
        <v>0.6917</v>
      </c>
      <c r="D2999" s="41" t="n">
        <v>1.0329</v>
      </c>
      <c r="E2999" s="41" t="n">
        <v>1</v>
      </c>
      <c r="F2999" s="41" t="n">
        <v>1</v>
      </c>
      <c r="G2999" s="41" t="n">
        <v>0.947368421</v>
      </c>
      <c r="H2999" s="42" t="n"/>
      <c r="I2999" s="43" t="inlineStr">
        <is>
          <t>0/1</t>
        </is>
      </c>
      <c r="J2999" s="41" t="n">
        <v>0</v>
      </c>
      <c r="K2999" s="42" t="inlineStr">
        <is>
          <t>Premium</t>
        </is>
      </c>
      <c r="L2999" s="42" t="inlineStr">
        <is>
          <t>Professional</t>
        </is>
      </c>
      <c r="M2999" s="42" t="inlineStr">
        <is>
          <t>Ela Cross</t>
        </is>
      </c>
    </row>
    <row r="3000">
      <c r="A3000" s="42" t="inlineStr">
        <is>
          <t>Justin Hill</t>
        </is>
      </c>
      <c r="B3000" s="42" t="inlineStr">
        <is>
          <t>5/17/26 - 6/13/26</t>
        </is>
      </c>
      <c r="C3000" s="41" t="n">
        <v>0.8083</v>
      </c>
      <c r="D3000" s="41" t="n">
        <v>1.0773</v>
      </c>
      <c r="E3000" s="41" t="n">
        <v>0.989130435</v>
      </c>
      <c r="F3000" s="41" t="n">
        <v>0.952</v>
      </c>
      <c r="G3000" s="41" t="n">
        <v>0.8823529409999999</v>
      </c>
      <c r="H3000" s="42" t="n"/>
      <c r="I3000" s="42" t="inlineStr">
        <is>
          <t>6/6</t>
        </is>
      </c>
      <c r="J3000" s="41" t="n">
        <v>1</v>
      </c>
      <c r="K3000" s="42" t="inlineStr">
        <is>
          <t>Distinguished</t>
        </is>
      </c>
      <c r="L3000" s="42" t="inlineStr">
        <is>
          <t>Professional</t>
        </is>
      </c>
      <c r="M3000" s="42" t="inlineStr">
        <is>
          <t>Kristin Haase-Alvey</t>
        </is>
      </c>
    </row>
    <row r="3001">
      <c r="A3001" s="42" t="inlineStr">
        <is>
          <t>Kai Tsung</t>
        </is>
      </c>
      <c r="B3001" s="42" t="inlineStr">
        <is>
          <t>5/17/26 - 6/13/26</t>
        </is>
      </c>
      <c r="C3001" s="41" t="n">
        <v>0.3333</v>
      </c>
      <c r="D3001" s="41" t="n">
        <v>1.0273</v>
      </c>
      <c r="E3001" s="41" t="n">
        <v>1</v>
      </c>
      <c r="F3001" s="41" t="n">
        <v>1</v>
      </c>
      <c r="G3001" s="41" t="n">
        <v>1</v>
      </c>
      <c r="H3001" s="42" t="n"/>
      <c r="I3001" s="43" t="n"/>
      <c r="J3001" s="41" t="n"/>
      <c r="K3001" s="42" t="inlineStr">
        <is>
          <t>Advanced</t>
        </is>
      </c>
      <c r="L3001" s="42" t="inlineStr">
        <is>
          <t>Adjunct</t>
        </is>
      </c>
      <c r="M3001" s="42" t="inlineStr">
        <is>
          <t>Kristin Haase-Alvey</t>
        </is>
      </c>
    </row>
    <row r="3002">
      <c r="A3002" s="42" t="inlineStr">
        <is>
          <t>Kailot Harris</t>
        </is>
      </c>
      <c r="B3002" s="42" t="inlineStr">
        <is>
          <t>5/17/26 - 6/13/26</t>
        </is>
      </c>
      <c r="C3002" s="41" t="n">
        <v>0.6607</v>
      </c>
      <c r="D3002" s="41" t="n">
        <v>0.7398</v>
      </c>
      <c r="E3002" s="41" t="n">
        <v>1</v>
      </c>
      <c r="F3002" s="41" t="n">
        <v>1</v>
      </c>
      <c r="G3002" s="41" t="n">
        <v>1</v>
      </c>
      <c r="H3002" s="42" t="n"/>
      <c r="I3002" s="42" t="inlineStr">
        <is>
          <t>1/1</t>
        </is>
      </c>
      <c r="J3002" s="53" t="n">
        <v>1</v>
      </c>
      <c r="K3002" s="42" t="inlineStr">
        <is>
          <t>Distinguished</t>
        </is>
      </c>
      <c r="L3002" s="42" t="inlineStr">
        <is>
          <t>Professional</t>
        </is>
      </c>
      <c r="M3002" s="42" t="inlineStr">
        <is>
          <t>Kristin Haase-Alvey</t>
        </is>
      </c>
    </row>
    <row r="3003">
      <c r="A3003" s="42" t="inlineStr">
        <is>
          <t>Karleigh Arrington</t>
        </is>
      </c>
      <c r="B3003" s="42" t="inlineStr">
        <is>
          <t>5/17/26 - 6/13/26</t>
        </is>
      </c>
      <c r="C3003" s="41" t="n">
        <v>1.0083</v>
      </c>
      <c r="D3003" s="41" t="n">
        <v>0.9326</v>
      </c>
      <c r="E3003" s="41" t="n">
        <v>1</v>
      </c>
      <c r="F3003" s="41" t="n">
        <v>1</v>
      </c>
      <c r="G3003" s="41" t="n">
        <v>0.894736842</v>
      </c>
      <c r="H3003" s="42" t="n"/>
      <c r="I3003" s="43" t="inlineStr">
        <is>
          <t>2/2</t>
        </is>
      </c>
      <c r="J3003" s="41" t="n">
        <v>1</v>
      </c>
      <c r="K3003" s="42" t="inlineStr">
        <is>
          <t>Distinguished</t>
        </is>
      </c>
      <c r="L3003" s="42" t="inlineStr">
        <is>
          <t>Professional</t>
        </is>
      </c>
      <c r="M3003" s="42" t="inlineStr">
        <is>
          <t>Annelies de Groot</t>
        </is>
      </c>
    </row>
    <row r="3004">
      <c r="A3004" s="42" t="inlineStr">
        <is>
          <t>Kate Haldeman</t>
        </is>
      </c>
      <c r="B3004" s="42" t="inlineStr">
        <is>
          <t>5/17/26 - 6/13/26</t>
        </is>
      </c>
      <c r="C3004" s="41" t="n">
        <v>0.8571</v>
      </c>
      <c r="D3004" s="41" t="n">
        <v>1.1468</v>
      </c>
      <c r="E3004" s="41" t="n">
        <v>0.990909091</v>
      </c>
      <c r="F3004" s="41" t="n">
        <v>1</v>
      </c>
      <c r="G3004" s="41" t="n">
        <v>0.352941176</v>
      </c>
      <c r="H3004" s="42" t="n"/>
      <c r="I3004" s="42" t="inlineStr">
        <is>
          <t>1/5</t>
        </is>
      </c>
      <c r="J3004" s="41" t="n">
        <v>0.2</v>
      </c>
      <c r="K3004" s="42" t="inlineStr">
        <is>
          <t>Advanced</t>
        </is>
      </c>
      <c r="L3004" s="42" t="inlineStr">
        <is>
          <t>Professional</t>
        </is>
      </c>
      <c r="M3004" s="42" t="inlineStr">
        <is>
          <t>Geoff St. Marie</t>
        </is>
      </c>
    </row>
    <row r="3005">
      <c r="A3005" s="42" t="inlineStr">
        <is>
          <t>Katherine Clarke</t>
        </is>
      </c>
      <c r="B3005" s="42" t="inlineStr">
        <is>
          <t>5/17/26 - 6/13/26</t>
        </is>
      </c>
      <c r="C3005" s="41" t="n">
        <v>0.6292</v>
      </c>
      <c r="D3005" s="41" t="n">
        <v>1.0247</v>
      </c>
      <c r="E3005" s="41" t="n">
        <v>1</v>
      </c>
      <c r="F3005" s="41" t="n">
        <v>0.714</v>
      </c>
      <c r="G3005" s="41" t="n">
        <v>0.8</v>
      </c>
      <c r="H3005" s="42" t="n"/>
      <c r="I3005" s="42" t="inlineStr">
        <is>
          <t>0/2</t>
        </is>
      </c>
      <c r="J3005" s="41" t="n">
        <v>0</v>
      </c>
      <c r="K3005" s="42" t="inlineStr">
        <is>
          <t>Distinguished</t>
        </is>
      </c>
      <c r="L3005" s="42" t="inlineStr">
        <is>
          <t>Professional</t>
        </is>
      </c>
      <c r="M3005" s="42" t="inlineStr">
        <is>
          <t>Kristin Haase-Alvey</t>
        </is>
      </c>
    </row>
    <row r="3006">
      <c r="A3006" s="42" t="inlineStr">
        <is>
          <t>Katherine Dickerson</t>
        </is>
      </c>
      <c r="B3006" s="42" t="inlineStr">
        <is>
          <t>5/17/26 - 6/13/26</t>
        </is>
      </c>
      <c r="C3006" s="41" t="n">
        <v>0.8917</v>
      </c>
      <c r="D3006" s="41" t="n">
        <v>1.5839</v>
      </c>
      <c r="E3006" s="41" t="n">
        <v>1</v>
      </c>
      <c r="F3006" s="41" t="n">
        <v>0.967</v>
      </c>
      <c r="G3006" s="41" t="n">
        <v>0.842105263</v>
      </c>
      <c r="H3006" s="42" t="n"/>
      <c r="I3006" s="42" t="inlineStr">
        <is>
          <t>0/5</t>
        </is>
      </c>
      <c r="J3006" s="41" t="n">
        <v>0</v>
      </c>
      <c r="K3006" s="42" t="inlineStr">
        <is>
          <t>Premium</t>
        </is>
      </c>
      <c r="L3006" s="42" t="inlineStr">
        <is>
          <t>Professional</t>
        </is>
      </c>
      <c r="M3006" s="42" t="inlineStr">
        <is>
          <t>Geoff St. Marie</t>
        </is>
      </c>
    </row>
    <row r="3007">
      <c r="A3007" s="42" t="inlineStr">
        <is>
          <t>Kiersten Guetlein</t>
        </is>
      </c>
      <c r="B3007" s="42" t="inlineStr">
        <is>
          <t>5/17/26 - 6/13/26</t>
        </is>
      </c>
      <c r="C3007" s="41" t="n">
        <v>0.6875</v>
      </c>
      <c r="D3007" s="41" t="n">
        <v>1.7042</v>
      </c>
      <c r="E3007" s="41" t="n">
        <v>1</v>
      </c>
      <c r="F3007" s="41" t="n">
        <v>0.907</v>
      </c>
      <c r="G3007" s="41" t="n">
        <v>0.8125</v>
      </c>
      <c r="H3007" s="42" t="n"/>
      <c r="I3007" s="43" t="inlineStr">
        <is>
          <t>4/5</t>
        </is>
      </c>
      <c r="J3007" s="41" t="n">
        <v>0.8</v>
      </c>
      <c r="K3007" s="42" t="inlineStr">
        <is>
          <t>Premium</t>
        </is>
      </c>
      <c r="L3007" s="42" t="inlineStr">
        <is>
          <t>Professional</t>
        </is>
      </c>
      <c r="M3007" s="42" t="inlineStr">
        <is>
          <t>Ela Cross</t>
        </is>
      </c>
    </row>
    <row r="3008">
      <c r="A3008" s="42" t="inlineStr">
        <is>
          <t>Kristen Fox</t>
        </is>
      </c>
      <c r="B3008" s="42" t="inlineStr">
        <is>
          <t>5/17/26 - 6/13/26</t>
        </is>
      </c>
      <c r="C3008" s="41" t="n">
        <v>0.875</v>
      </c>
      <c r="D3008" s="41" t="n">
        <v>0.8372000000000001</v>
      </c>
      <c r="E3008" s="41" t="n">
        <v>0.895238095</v>
      </c>
      <c r="F3008" s="41" t="n">
        <v>0.9409999999999999</v>
      </c>
      <c r="G3008" s="41" t="n">
        <v>0.909090909</v>
      </c>
      <c r="H3008" s="42" t="n"/>
      <c r="I3008" s="43" t="inlineStr">
        <is>
          <t>4/4</t>
        </is>
      </c>
      <c r="J3008" s="41" t="n">
        <v>1</v>
      </c>
      <c r="K3008" s="42" t="inlineStr">
        <is>
          <t>Distinguished</t>
        </is>
      </c>
      <c r="L3008" s="42" t="inlineStr">
        <is>
          <t>Professional</t>
        </is>
      </c>
      <c r="M3008" s="42" t="inlineStr">
        <is>
          <t>Kristin Haase-Alvey</t>
        </is>
      </c>
    </row>
    <row r="3009">
      <c r="A3009" s="42" t="inlineStr">
        <is>
          <t>Kristen Luigart</t>
        </is>
      </c>
      <c r="B3009" s="42" t="inlineStr">
        <is>
          <t>5/17/26 - 6/13/26</t>
        </is>
      </c>
      <c r="C3009" s="41" t="n">
        <v>0.7125</v>
      </c>
      <c r="D3009" s="41" t="n">
        <v>1.25</v>
      </c>
      <c r="E3009" s="41" t="n">
        <v>0.873417722</v>
      </c>
      <c r="F3009" s="41" t="n">
        <v>0.9350000000000001</v>
      </c>
      <c r="G3009" s="41" t="n">
        <v>0.666666667</v>
      </c>
      <c r="H3009" s="42" t="n"/>
      <c r="I3009" s="43" t="inlineStr">
        <is>
          <t>2/2</t>
        </is>
      </c>
      <c r="J3009" s="41" t="n">
        <v>1</v>
      </c>
      <c r="K3009" s="42" t="inlineStr">
        <is>
          <t>Distinguished</t>
        </is>
      </c>
      <c r="L3009" s="42" t="inlineStr">
        <is>
          <t>Professional</t>
        </is>
      </c>
      <c r="M3009" s="42" t="inlineStr">
        <is>
          <t>Ian Plamondon</t>
        </is>
      </c>
    </row>
    <row r="3010">
      <c r="A3010" s="42" t="inlineStr">
        <is>
          <t>Krystal Ashley</t>
        </is>
      </c>
      <c r="B3010" s="42" t="inlineStr">
        <is>
          <t>5/17/26 - 6/13/26</t>
        </is>
      </c>
      <c r="C3010" s="41" t="n"/>
      <c r="D3010" s="41" t="n"/>
      <c r="E3010" s="41" t="n"/>
      <c r="F3010" s="41" t="n"/>
      <c r="G3010" s="41" t="n"/>
      <c r="H3010" s="42" t="n"/>
      <c r="I3010" s="43" t="n"/>
      <c r="J3010" s="41" t="n"/>
      <c r="K3010" s="42" t="e">
        <v>#N/A</v>
      </c>
      <c r="L3010" s="42" t="e">
        <v>#N/A</v>
      </c>
      <c r="M3010" s="42" t="e">
        <v>#N/A</v>
      </c>
    </row>
    <row r="3011">
      <c r="A3011" s="42" t="inlineStr">
        <is>
          <t>Lana Kargetta</t>
        </is>
      </c>
      <c r="B3011" s="42" t="inlineStr">
        <is>
          <t>5/17/26 - 6/13/26</t>
        </is>
      </c>
      <c r="C3011" s="41" t="n">
        <v>1.1042</v>
      </c>
      <c r="D3011" s="41" t="n">
        <v>1.5156</v>
      </c>
      <c r="E3011" s="41" t="n">
        <v>0.98</v>
      </c>
      <c r="F3011" s="41" t="n">
        <v>0.97</v>
      </c>
      <c r="G3011" s="41" t="n">
        <v>1</v>
      </c>
      <c r="H3011" s="42" t="n"/>
      <c r="I3011" s="43" t="n"/>
      <c r="J3011" s="41" t="n"/>
      <c r="K3011" s="42" t="inlineStr">
        <is>
          <t>Advanced</t>
        </is>
      </c>
      <c r="L3011" s="42" t="inlineStr">
        <is>
          <t>Adjunct</t>
        </is>
      </c>
      <c r="M3011" s="42" t="inlineStr">
        <is>
          <t>Geoff St. Marie</t>
        </is>
      </c>
    </row>
    <row r="3012">
      <c r="A3012" s="42" t="inlineStr">
        <is>
          <t>Levi Fox</t>
        </is>
      </c>
      <c r="B3012" s="42" t="inlineStr">
        <is>
          <t>5/17/26 - 6/13/26</t>
        </is>
      </c>
      <c r="C3012" s="41" t="n">
        <v>0.4583</v>
      </c>
      <c r="D3012" s="41" t="n">
        <v>0.9638</v>
      </c>
      <c r="E3012" s="41" t="n">
        <v>0.959183673</v>
      </c>
      <c r="F3012" s="41" t="n">
        <v>1</v>
      </c>
      <c r="G3012" s="41" t="n">
        <v>0.777777778</v>
      </c>
      <c r="H3012" s="42" t="n"/>
      <c r="I3012" s="43" t="inlineStr">
        <is>
          <t>2/3</t>
        </is>
      </c>
      <c r="J3012" s="41" t="n">
        <v>0.67</v>
      </c>
      <c r="K3012" s="42" t="inlineStr">
        <is>
          <t>Premium</t>
        </is>
      </c>
      <c r="L3012" s="42" t="inlineStr">
        <is>
          <t>Professional</t>
        </is>
      </c>
      <c r="M3012" s="42" t="inlineStr">
        <is>
          <t>Geoff St. Marie</t>
        </is>
      </c>
    </row>
    <row r="3013">
      <c r="A3013" s="42" t="inlineStr">
        <is>
          <t>Lisa Bartle</t>
        </is>
      </c>
      <c r="B3013" s="42" t="inlineStr">
        <is>
          <t>5/17/26 - 6/13/26</t>
        </is>
      </c>
      <c r="C3013" s="41" t="n">
        <v>1.1146</v>
      </c>
      <c r="D3013" s="41" t="n">
        <v>1.3477</v>
      </c>
      <c r="E3013" s="41" t="n">
        <v>0.958333333</v>
      </c>
      <c r="F3013" s="41" t="n">
        <v>0.9409999999999999</v>
      </c>
      <c r="G3013" s="41" t="n">
        <v>1</v>
      </c>
      <c r="H3013" s="42" t="n"/>
      <c r="I3013" s="43" t="inlineStr">
        <is>
          <t>0/2</t>
        </is>
      </c>
      <c r="J3013" s="41" t="n">
        <v>0</v>
      </c>
      <c r="K3013" s="42" t="inlineStr">
        <is>
          <t>Premium</t>
        </is>
      </c>
      <c r="L3013" s="42" t="inlineStr">
        <is>
          <t>Adjunct</t>
        </is>
      </c>
      <c r="M3013" s="42" t="inlineStr">
        <is>
          <t>Annelies de Groot</t>
        </is>
      </c>
    </row>
    <row r="3014">
      <c r="A3014" s="42" t="inlineStr">
        <is>
          <t>Liz Garcia</t>
        </is>
      </c>
      <c r="B3014" s="42" t="inlineStr">
        <is>
          <t>5/17/26 - 6/13/26</t>
        </is>
      </c>
      <c r="C3014" s="41" t="n">
        <v>0.7667</v>
      </c>
      <c r="D3014" s="41" t="n">
        <v>1.1546</v>
      </c>
      <c r="E3014" s="41" t="n">
        <v>1</v>
      </c>
      <c r="F3014" s="41" t="n">
        <v>0.982</v>
      </c>
      <c r="G3014" s="41" t="n">
        <v>0.8</v>
      </c>
      <c r="H3014" s="42" t="n"/>
      <c r="I3014" s="43" t="inlineStr">
        <is>
          <t>6/6</t>
        </is>
      </c>
      <c r="J3014" s="41" t="n">
        <v>1</v>
      </c>
      <c r="K3014" s="42" t="inlineStr">
        <is>
          <t>Distinguished</t>
        </is>
      </c>
      <c r="L3014" s="42" t="inlineStr">
        <is>
          <t>Professional</t>
        </is>
      </c>
      <c r="M3014" s="42" t="inlineStr">
        <is>
          <t>Ian Plamondon</t>
        </is>
      </c>
    </row>
    <row r="3015">
      <c r="A3015" s="42" t="inlineStr">
        <is>
          <t>Liz Pirie</t>
        </is>
      </c>
      <c r="B3015" s="42" t="inlineStr">
        <is>
          <t>5/17/26 - 6/13/26</t>
        </is>
      </c>
      <c r="C3015" s="41" t="n">
        <v>0.7028</v>
      </c>
      <c r="D3015" s="41" t="n">
        <v>1.0493</v>
      </c>
      <c r="E3015" s="41" t="n">
        <v>1</v>
      </c>
      <c r="F3015" s="41" t="n">
        <v>0.833</v>
      </c>
      <c r="G3015" s="41" t="n">
        <v>1</v>
      </c>
      <c r="H3015" s="42" t="n"/>
      <c r="I3015" s="42" t="inlineStr">
        <is>
          <t>1/1</t>
        </is>
      </c>
      <c r="J3015" s="53" t="n">
        <v>1</v>
      </c>
      <c r="K3015" s="42" t="inlineStr">
        <is>
          <t>Distinguished</t>
        </is>
      </c>
      <c r="L3015" s="42" t="inlineStr">
        <is>
          <t>Professional</t>
        </is>
      </c>
      <c r="M3015" s="42" t="inlineStr">
        <is>
          <t>Kristin Haase-Alvey</t>
        </is>
      </c>
    </row>
    <row r="3016">
      <c r="A3016" s="42" t="inlineStr">
        <is>
          <t>Loren Lijewski</t>
        </is>
      </c>
      <c r="B3016" s="42" t="inlineStr">
        <is>
          <t>5/17/26 - 6/13/26</t>
        </is>
      </c>
      <c r="C3016" s="41" t="n">
        <v>0.6875</v>
      </c>
      <c r="D3016" s="41" t="n">
        <v>1.0938</v>
      </c>
      <c r="E3016" s="41" t="n">
        <v>1</v>
      </c>
      <c r="F3016" s="41" t="n">
        <v>0.96</v>
      </c>
      <c r="G3016" s="41" t="n">
        <v>0.666666667</v>
      </c>
      <c r="H3016" s="42" t="n"/>
      <c r="I3016" s="42" t="n"/>
      <c r="J3016" s="41" t="n"/>
      <c r="K3016" s="42" t="inlineStr">
        <is>
          <t>Advanced</t>
        </is>
      </c>
      <c r="L3016" s="42" t="inlineStr">
        <is>
          <t>Adjunct</t>
        </is>
      </c>
      <c r="M3016" s="42" t="inlineStr">
        <is>
          <t>Annelies de Groot</t>
        </is>
      </c>
    </row>
    <row r="3017">
      <c r="A3017" s="42" t="inlineStr">
        <is>
          <t>Machaela Verhage</t>
        </is>
      </c>
      <c r="B3017" s="42" t="inlineStr">
        <is>
          <t>5/17/26 - 6/13/26</t>
        </is>
      </c>
      <c r="C3017" s="41" t="n">
        <v>0.7583</v>
      </c>
      <c r="D3017" s="41" t="n">
        <v>1.0066</v>
      </c>
      <c r="E3017" s="41" t="n">
        <v>0.987951807</v>
      </c>
      <c r="F3017" s="41" t="n">
        <v>1</v>
      </c>
      <c r="G3017" s="41" t="n">
        <v>0.666666667</v>
      </c>
      <c r="H3017" s="42" t="n"/>
      <c r="I3017" s="43" t="n"/>
      <c r="J3017" s="41" t="n"/>
      <c r="K3017" s="42" t="inlineStr">
        <is>
          <t>Distinguished</t>
        </is>
      </c>
      <c r="L3017" s="42" t="inlineStr">
        <is>
          <t>Professional</t>
        </is>
      </c>
      <c r="M3017" s="42" t="inlineStr">
        <is>
          <t>Annelies de Groot</t>
        </is>
      </c>
    </row>
    <row r="3018">
      <c r="A3018" s="42" t="inlineStr">
        <is>
          <t>Madia Banda</t>
        </is>
      </c>
      <c r="B3018" s="42" t="inlineStr">
        <is>
          <t>5/17/26 - 6/13/26</t>
        </is>
      </c>
      <c r="C3018" s="41" t="n">
        <v>0.8571</v>
      </c>
      <c r="D3018" s="41" t="n">
        <v>1.0683</v>
      </c>
      <c r="E3018" s="41" t="n">
        <v>0.9916666669999999</v>
      </c>
      <c r="F3018" s="41" t="n">
        <v>0.959</v>
      </c>
      <c r="G3018" s="41" t="n">
        <v>1</v>
      </c>
      <c r="H3018" s="42" t="n"/>
      <c r="I3018" s="42" t="inlineStr">
        <is>
          <t>1/2</t>
        </is>
      </c>
      <c r="J3018" s="41" t="n">
        <v>0.5</v>
      </c>
      <c r="K3018" s="42" t="inlineStr">
        <is>
          <t>Advanced</t>
        </is>
      </c>
      <c r="L3018" s="42" t="inlineStr">
        <is>
          <t>Professional</t>
        </is>
      </c>
      <c r="M3018" s="42" t="inlineStr">
        <is>
          <t>Geoff St. Marie</t>
        </is>
      </c>
    </row>
    <row r="3019">
      <c r="A3019" s="42" t="inlineStr">
        <is>
          <t>Maia Gerlinger</t>
        </is>
      </c>
      <c r="B3019" s="42" t="inlineStr">
        <is>
          <t>5/17/26 - 6/13/26</t>
        </is>
      </c>
      <c r="C3019" s="41" t="n">
        <v>1.2813</v>
      </c>
      <c r="D3019" s="41" t="n">
        <v>1.4922</v>
      </c>
      <c r="E3019" s="41" t="n">
        <v>0.933333333</v>
      </c>
      <c r="F3019" s="41" t="n">
        <v>0.97</v>
      </c>
      <c r="G3019" s="41" t="n">
        <v>0.777777778</v>
      </c>
      <c r="H3019" s="42" t="n"/>
      <c r="I3019" s="43" t="inlineStr">
        <is>
          <t>0/2</t>
        </is>
      </c>
      <c r="J3019" s="41" t="n">
        <v>0</v>
      </c>
      <c r="K3019" s="42" t="inlineStr">
        <is>
          <t>Distinguished</t>
        </is>
      </c>
      <c r="L3019" s="42" t="inlineStr">
        <is>
          <t>Adjunct</t>
        </is>
      </c>
      <c r="M3019" s="42" t="inlineStr">
        <is>
          <t>Annelies de Groot</t>
        </is>
      </c>
    </row>
    <row r="3020">
      <c r="A3020" s="42" t="inlineStr">
        <is>
          <t>Margaret Webb</t>
        </is>
      </c>
      <c r="B3020" s="42" t="inlineStr">
        <is>
          <t>5/17/26 - 6/13/26</t>
        </is>
      </c>
      <c r="C3020" s="41" t="n">
        <v>1.1286</v>
      </c>
      <c r="D3020" s="41" t="n">
        <v>0.9389999999999999</v>
      </c>
      <c r="E3020" s="41" t="n">
        <v>0.993243243</v>
      </c>
      <c r="F3020" s="41" t="n">
        <v>1</v>
      </c>
      <c r="G3020" s="41" t="n">
        <v>0.885714286</v>
      </c>
      <c r="H3020" s="42" t="n"/>
      <c r="I3020" s="42" t="inlineStr">
        <is>
          <t>1/2</t>
        </is>
      </c>
      <c r="J3020" s="41" t="n">
        <v>0.5</v>
      </c>
      <c r="K3020" s="42" t="inlineStr">
        <is>
          <t>Distinguished</t>
        </is>
      </c>
      <c r="L3020" s="42" t="inlineStr">
        <is>
          <t>Professional</t>
        </is>
      </c>
      <c r="M3020" s="42" t="inlineStr">
        <is>
          <t>Kristin Haase-Alvey</t>
        </is>
      </c>
    </row>
    <row r="3021">
      <c r="A3021" s="42" t="inlineStr">
        <is>
          <t>Mariah Lutz</t>
        </is>
      </c>
      <c r="B3021" s="42" t="inlineStr">
        <is>
          <t>5/17/26 - 6/13/26</t>
        </is>
      </c>
      <c r="C3021" s="41" t="n">
        <v>0.7893</v>
      </c>
      <c r="D3021" s="41" t="n">
        <v>0.859</v>
      </c>
      <c r="E3021" s="41" t="n">
        <v>1</v>
      </c>
      <c r="F3021" s="41" t="n">
        <v>0.985</v>
      </c>
      <c r="G3021" s="41" t="n">
        <v>0.578947368</v>
      </c>
      <c r="H3021" s="42" t="n"/>
      <c r="I3021" s="42" t="inlineStr">
        <is>
          <t>4/4</t>
        </is>
      </c>
      <c r="J3021" s="41" t="n">
        <v>1</v>
      </c>
      <c r="K3021" s="42" t="inlineStr">
        <is>
          <t>Distinguished</t>
        </is>
      </c>
      <c r="L3021" s="42" t="inlineStr">
        <is>
          <t>Professional</t>
        </is>
      </c>
      <c r="M3021" s="42" t="inlineStr">
        <is>
          <t>Ian Plamondon</t>
        </is>
      </c>
    </row>
    <row r="3022">
      <c r="A3022" s="42" t="inlineStr">
        <is>
          <t>Mark Duncan</t>
        </is>
      </c>
      <c r="B3022" s="42" t="inlineStr">
        <is>
          <t>5/17/26 - 6/13/26</t>
        </is>
      </c>
      <c r="C3022" s="41" t="n">
        <v>0.4375</v>
      </c>
      <c r="D3022" s="41" t="n">
        <v>0.9375</v>
      </c>
      <c r="E3022" s="41" t="n">
        <v>1</v>
      </c>
      <c r="F3022" s="41" t="n">
        <v>1</v>
      </c>
      <c r="G3022" s="41" t="n">
        <v>0.857142857</v>
      </c>
      <c r="H3022" s="42" t="n"/>
      <c r="I3022" s="43" t="n"/>
      <c r="J3022" s="41" t="n"/>
      <c r="K3022" s="42" t="inlineStr">
        <is>
          <t>Distinguished</t>
        </is>
      </c>
      <c r="L3022" s="42" t="inlineStr">
        <is>
          <t>Adjunct</t>
        </is>
      </c>
      <c r="M3022" s="42" t="inlineStr">
        <is>
          <t>Kristin Haase-Alvey</t>
        </is>
      </c>
    </row>
    <row r="3023">
      <c r="A3023" s="42" t="inlineStr">
        <is>
          <t>Mary Felix</t>
        </is>
      </c>
      <c r="B3023" s="42" t="inlineStr">
        <is>
          <t>5/17/26 - 6/13/26</t>
        </is>
      </c>
      <c r="C3023" s="41" t="n">
        <v>0.7458</v>
      </c>
      <c r="D3023" s="41" t="n">
        <v>1.1612</v>
      </c>
      <c r="E3023" s="41" t="n">
        <v>0.930232558</v>
      </c>
      <c r="F3023" s="41" t="n">
        <v>0.923</v>
      </c>
      <c r="G3023" s="41" t="n">
        <v>0.523809524</v>
      </c>
      <c r="H3023" s="42" t="n"/>
      <c r="I3023" s="43" t="n"/>
      <c r="J3023" s="41" t="n"/>
      <c r="K3023" s="42" t="inlineStr">
        <is>
          <t>Premium</t>
        </is>
      </c>
      <c r="L3023" s="42" t="inlineStr">
        <is>
          <t>Professional</t>
        </is>
      </c>
      <c r="M3023" s="42" t="inlineStr">
        <is>
          <t>Ian Plamondon</t>
        </is>
      </c>
    </row>
    <row r="3024">
      <c r="A3024" s="42" t="inlineStr">
        <is>
          <t>Mary Logan</t>
        </is>
      </c>
      <c r="B3024" s="42" t="inlineStr">
        <is>
          <t>5/17/26 - 6/13/26</t>
        </is>
      </c>
      <c r="C3024" s="41" t="n">
        <v>0.9917</v>
      </c>
      <c r="D3024" s="41" t="n">
        <v>1.1201</v>
      </c>
      <c r="E3024" s="41" t="n">
        <v>1</v>
      </c>
      <c r="F3024" s="41" t="n">
        <v>0.988</v>
      </c>
      <c r="G3024" s="41" t="n">
        <v>0.95</v>
      </c>
      <c r="H3024" s="42" t="n"/>
      <c r="I3024" s="43" t="inlineStr">
        <is>
          <t>3/5</t>
        </is>
      </c>
      <c r="J3024" s="41" t="n">
        <v>0.6</v>
      </c>
      <c r="K3024" s="42" t="inlineStr">
        <is>
          <t>Distinguished</t>
        </is>
      </c>
      <c r="L3024" s="42" t="inlineStr">
        <is>
          <t>Professional</t>
        </is>
      </c>
      <c r="M3024" s="42" t="inlineStr">
        <is>
          <t>Ela Cross</t>
        </is>
      </c>
    </row>
    <row r="3025">
      <c r="A3025" s="42" t="inlineStr">
        <is>
          <t>Matthew Urso</t>
        </is>
      </c>
      <c r="B3025" s="42" t="inlineStr">
        <is>
          <t>5/17/26 - 6/13/26</t>
        </is>
      </c>
      <c r="C3025" s="41" t="n">
        <v>0.6208</v>
      </c>
      <c r="D3025" s="41" t="n">
        <v>1.0033</v>
      </c>
      <c r="E3025" s="41" t="n">
        <v>1</v>
      </c>
      <c r="F3025" s="41" t="n">
        <v>0.952</v>
      </c>
      <c r="G3025" s="41" t="n">
        <v>0.833333333</v>
      </c>
      <c r="H3025" s="42" t="n"/>
      <c r="I3025" s="42" t="inlineStr">
        <is>
          <t>2/3</t>
        </is>
      </c>
      <c r="J3025" s="41" t="n">
        <v>0.67</v>
      </c>
      <c r="K3025" s="42" t="inlineStr">
        <is>
          <t>Distinguished</t>
        </is>
      </c>
      <c r="L3025" s="42" t="inlineStr">
        <is>
          <t>Professional</t>
        </is>
      </c>
      <c r="M3025" s="42" t="inlineStr">
        <is>
          <t>Geoff St. Marie</t>
        </is>
      </c>
    </row>
    <row r="3026">
      <c r="A3026" s="42" t="inlineStr">
        <is>
          <t>Matthew Wert</t>
        </is>
      </c>
      <c r="B3026" s="42" t="inlineStr">
        <is>
          <t>5/17/26 - 6/13/26</t>
        </is>
      </c>
      <c r="C3026" s="41" t="n">
        <v>0.6875</v>
      </c>
      <c r="D3026" s="41" t="n">
        <v>1.0156</v>
      </c>
      <c r="E3026" s="41" t="n">
        <v>0.961538462</v>
      </c>
      <c r="F3026" s="41" t="n">
        <v>0.923</v>
      </c>
      <c r="G3026" s="41" t="n">
        <v>0.545454545</v>
      </c>
      <c r="H3026" s="42" t="n"/>
      <c r="I3026" s="43" t="n"/>
      <c r="J3026" s="41" t="n"/>
      <c r="K3026" s="42" t="inlineStr">
        <is>
          <t>Distinguished</t>
        </is>
      </c>
      <c r="L3026" s="42" t="inlineStr">
        <is>
          <t>Adjunct</t>
        </is>
      </c>
      <c r="M3026" s="42" t="inlineStr">
        <is>
          <t>Geoff St. Marie</t>
        </is>
      </c>
    </row>
    <row r="3027">
      <c r="A3027" s="42" t="inlineStr">
        <is>
          <t>Matty Burge</t>
        </is>
      </c>
      <c r="B3027" s="42" t="inlineStr">
        <is>
          <t>5/17/26 - 6/13/26</t>
        </is>
      </c>
      <c r="C3027" s="41" t="n">
        <v>0.3646</v>
      </c>
      <c r="D3027" s="41" t="n">
        <v>1.0703</v>
      </c>
      <c r="E3027" s="41" t="n">
        <v>1</v>
      </c>
      <c r="F3027" s="41" t="n">
        <v>1</v>
      </c>
      <c r="G3027" s="41" t="n">
        <v>0.5</v>
      </c>
      <c r="H3027" s="42" t="n"/>
      <c r="I3027" s="42" t="inlineStr">
        <is>
          <t>1/1</t>
        </is>
      </c>
      <c r="J3027" s="53" t="n">
        <v>1</v>
      </c>
      <c r="K3027" s="42" t="inlineStr">
        <is>
          <t>Distinguished</t>
        </is>
      </c>
      <c r="L3027" s="42" t="inlineStr">
        <is>
          <t>Adjunct</t>
        </is>
      </c>
      <c r="M3027" s="42" t="inlineStr">
        <is>
          <t>Annelies de Groot</t>
        </is>
      </c>
    </row>
    <row r="3028">
      <c r="A3028" s="42" t="inlineStr">
        <is>
          <t>Maximilian Tsimerman</t>
        </is>
      </c>
      <c r="B3028" s="42" t="inlineStr">
        <is>
          <t>5/17/26 - 6/13/26</t>
        </is>
      </c>
      <c r="C3028" s="41" t="n">
        <v>0.5625</v>
      </c>
      <c r="D3028" s="41" t="n">
        <v>1.1842</v>
      </c>
      <c r="E3028" s="41" t="n">
        <v>0.911764706</v>
      </c>
      <c r="F3028" s="41" t="n">
        <v>0.979</v>
      </c>
      <c r="G3028" s="41" t="n">
        <v>0.055555556</v>
      </c>
      <c r="H3028" s="42" t="n"/>
      <c r="I3028" s="42" t="inlineStr">
        <is>
          <t>0/1</t>
        </is>
      </c>
      <c r="J3028" s="41" t="n">
        <v>0</v>
      </c>
      <c r="K3028" s="42" t="inlineStr">
        <is>
          <t>Distinguished</t>
        </is>
      </c>
      <c r="L3028" s="42" t="inlineStr">
        <is>
          <t>Professional</t>
        </is>
      </c>
      <c r="M3028" s="42" t="inlineStr">
        <is>
          <t>Geoff St. Marie</t>
        </is>
      </c>
    </row>
    <row r="3029">
      <c r="A3029" s="42" t="inlineStr">
        <is>
          <t>Megan Hoelting</t>
        </is>
      </c>
      <c r="B3029" s="42" t="inlineStr">
        <is>
          <t>5/17/26 - 6/13/26</t>
        </is>
      </c>
      <c r="C3029" s="41" t="n">
        <v>0.8125</v>
      </c>
      <c r="D3029" s="41" t="n">
        <v>0.9883</v>
      </c>
      <c r="E3029" s="41" t="n">
        <v>0.923076923</v>
      </c>
      <c r="F3029" s="41" t="n">
        <v>0.846</v>
      </c>
      <c r="G3029" s="41" t="n">
        <v>0.8</v>
      </c>
      <c r="H3029" s="42" t="n"/>
      <c r="I3029" s="43" t="n"/>
      <c r="J3029" s="41" t="n"/>
      <c r="K3029" s="42" t="inlineStr">
        <is>
          <t>Distinguished</t>
        </is>
      </c>
      <c r="L3029" s="42" t="inlineStr">
        <is>
          <t>Adjunct</t>
        </is>
      </c>
      <c r="M3029" s="42" t="inlineStr">
        <is>
          <t>Annelies de Groot</t>
        </is>
      </c>
    </row>
    <row r="3030">
      <c r="A3030" s="42" t="inlineStr">
        <is>
          <t>Megan Ingle</t>
        </is>
      </c>
      <c r="B3030" s="42" t="inlineStr">
        <is>
          <t>5/17/26 - 6/13/26</t>
        </is>
      </c>
      <c r="C3030" s="41" t="n">
        <v>0.3958</v>
      </c>
      <c r="D3030" s="41" t="n">
        <v>1.0625</v>
      </c>
      <c r="E3030" s="41" t="n">
        <v>1</v>
      </c>
      <c r="F3030" s="41" t="n">
        <v>0.769</v>
      </c>
      <c r="G3030" s="41" t="n">
        <v>0.6</v>
      </c>
      <c r="H3030" s="42" t="n"/>
      <c r="I3030" s="43" t="n"/>
      <c r="J3030" s="41" t="n"/>
      <c r="K3030" s="42" t="inlineStr">
        <is>
          <t>Advanced</t>
        </is>
      </c>
      <c r="L3030" s="42" t="inlineStr">
        <is>
          <t>Adjunct</t>
        </is>
      </c>
      <c r="M3030" s="42" t="inlineStr">
        <is>
          <t>Geoff St. Marie</t>
        </is>
      </c>
    </row>
    <row r="3031">
      <c r="A3031" s="42" t="inlineStr">
        <is>
          <t>Megan Osgood</t>
        </is>
      </c>
      <c r="B3031" s="42" t="inlineStr">
        <is>
          <t>5/17/26 - 6/13/26</t>
        </is>
      </c>
      <c r="C3031" s="41" t="n">
        <v>0.725</v>
      </c>
      <c r="D3031" s="41" t="n">
        <v>1.0395</v>
      </c>
      <c r="E3031" s="41" t="n">
        <v>1</v>
      </c>
      <c r="F3031" s="41" t="n">
        <v>0.929</v>
      </c>
      <c r="G3031" s="41" t="n">
        <v>1</v>
      </c>
      <c r="H3031" s="42" t="n"/>
      <c r="I3031" s="43" t="inlineStr">
        <is>
          <t>1/1</t>
        </is>
      </c>
      <c r="J3031" s="53" t="n">
        <v>1</v>
      </c>
      <c r="K3031" s="42" t="inlineStr">
        <is>
          <t>Distinguished</t>
        </is>
      </c>
      <c r="L3031" s="42" t="inlineStr">
        <is>
          <t>Professional</t>
        </is>
      </c>
      <c r="M3031" s="42" t="inlineStr">
        <is>
          <t>Annelies de Groot</t>
        </is>
      </c>
    </row>
    <row r="3032">
      <c r="A3032" s="42" t="inlineStr">
        <is>
          <t>Melanie Leong</t>
        </is>
      </c>
      <c r="B3032" s="42" t="inlineStr">
        <is>
          <t>5/17/26 - 6/13/26</t>
        </is>
      </c>
      <c r="C3032" s="41" t="n">
        <v>0.5208</v>
      </c>
      <c r="D3032" s="41" t="n">
        <v>2.1445</v>
      </c>
      <c r="E3032" s="41" t="n">
        <v>1</v>
      </c>
      <c r="F3032" s="41" t="n">
        <v>1</v>
      </c>
      <c r="G3032" s="41" t="n">
        <v>1</v>
      </c>
      <c r="H3032" s="42" t="n"/>
      <c r="I3032" s="43" t="n"/>
      <c r="J3032" s="41" t="n"/>
      <c r="K3032" s="42" t="inlineStr">
        <is>
          <t>Premium</t>
        </is>
      </c>
      <c r="L3032" s="42" t="inlineStr">
        <is>
          <t>Adjunct</t>
        </is>
      </c>
      <c r="M3032" s="42" t="inlineStr">
        <is>
          <t>Kristin Haase-Alvey</t>
        </is>
      </c>
    </row>
    <row r="3033">
      <c r="A3033" s="42" t="inlineStr">
        <is>
          <t>Melinda Mergendahl</t>
        </is>
      </c>
      <c r="B3033" s="42" t="inlineStr">
        <is>
          <t>5/17/26 - 6/13/26</t>
        </is>
      </c>
      <c r="C3033" s="41" t="n">
        <v>0.4375</v>
      </c>
      <c r="D3033" s="41" t="n">
        <v>0.9167</v>
      </c>
      <c r="E3033" s="41" t="n">
        <v>1</v>
      </c>
      <c r="F3033" s="41" t="n">
        <v>1</v>
      </c>
      <c r="G3033" s="41" t="n">
        <v>1</v>
      </c>
      <c r="H3033" s="42" t="n"/>
      <c r="I3033" s="43" t="inlineStr">
        <is>
          <t>1/1</t>
        </is>
      </c>
      <c r="J3033" s="53" t="n">
        <v>1</v>
      </c>
      <c r="K3033" s="42" t="inlineStr">
        <is>
          <t>Distinguished</t>
        </is>
      </c>
      <c r="L3033" s="42" t="inlineStr">
        <is>
          <t>Adjunct</t>
        </is>
      </c>
      <c r="M3033" s="42" t="inlineStr">
        <is>
          <t>Geoff St. Marie</t>
        </is>
      </c>
    </row>
    <row r="3034">
      <c r="A3034" s="42" t="inlineStr">
        <is>
          <t>Michelle Testerman</t>
        </is>
      </c>
      <c r="B3034" s="42" t="inlineStr">
        <is>
          <t>5/17/26 - 6/13/26</t>
        </is>
      </c>
      <c r="C3034" s="41" t="n">
        <v>1.2396</v>
      </c>
      <c r="D3034" s="41" t="n">
        <v>1.0938</v>
      </c>
      <c r="E3034" s="41" t="n">
        <v>0.947368421</v>
      </c>
      <c r="F3034" s="41" t="n">
        <v>0.976</v>
      </c>
      <c r="G3034" s="41" t="n">
        <v>1</v>
      </c>
      <c r="H3034" s="42" t="n"/>
      <c r="I3034" s="43" t="n"/>
      <c r="J3034" s="41" t="n"/>
      <c r="K3034" s="42" t="inlineStr">
        <is>
          <t>Distinguished</t>
        </is>
      </c>
      <c r="L3034" s="42" t="inlineStr">
        <is>
          <t>Adjunct</t>
        </is>
      </c>
      <c r="M3034" s="42" t="inlineStr">
        <is>
          <t>Ela Cross</t>
        </is>
      </c>
    </row>
    <row r="3035">
      <c r="A3035" s="42" t="inlineStr">
        <is>
          <t>Miki Cornwell</t>
        </is>
      </c>
      <c r="B3035" s="42" t="inlineStr">
        <is>
          <t>5/17/26 - 6/13/26</t>
        </is>
      </c>
      <c r="C3035" s="41" t="n">
        <v>0.6875</v>
      </c>
      <c r="D3035" s="41" t="n">
        <v>1.0898</v>
      </c>
      <c r="E3035" s="41" t="n">
        <v>1</v>
      </c>
      <c r="F3035" s="41" t="n">
        <v>0.87</v>
      </c>
      <c r="G3035" s="41" t="n">
        <v>0.857142857</v>
      </c>
      <c r="H3035" s="42" t="n"/>
      <c r="I3035" s="43" t="n"/>
      <c r="J3035" s="41" t="n"/>
      <c r="K3035" s="42" t="inlineStr">
        <is>
          <t>Distinguished</t>
        </is>
      </c>
      <c r="L3035" s="42" t="inlineStr">
        <is>
          <t>Adjunct</t>
        </is>
      </c>
      <c r="M3035" s="42" t="inlineStr">
        <is>
          <t>Ela Cross</t>
        </is>
      </c>
    </row>
    <row r="3036">
      <c r="A3036" s="42" t="inlineStr">
        <is>
          <t>Myles Oldroyd</t>
        </is>
      </c>
      <c r="B3036" s="42" t="inlineStr">
        <is>
          <t>5/17/26 - 6/13/26</t>
        </is>
      </c>
      <c r="C3036" s="41" t="n">
        <v>0.8917</v>
      </c>
      <c r="D3036" s="41" t="n">
        <v>1.6135</v>
      </c>
      <c r="E3036" s="41" t="n">
        <v>0.9782608699999999</v>
      </c>
      <c r="F3036" s="41" t="n">
        <v>1</v>
      </c>
      <c r="G3036" s="41" t="n">
        <v>0.764705882</v>
      </c>
      <c r="H3036" s="42" t="n"/>
      <c r="I3036" s="43" t="inlineStr">
        <is>
          <t>9/11</t>
        </is>
      </c>
      <c r="J3036" s="41">
        <f>9/11</f>
        <v/>
      </c>
      <c r="K3036" s="42" t="inlineStr">
        <is>
          <t>Premium</t>
        </is>
      </c>
      <c r="L3036" s="42" t="inlineStr">
        <is>
          <t>Professional</t>
        </is>
      </c>
      <c r="M3036" s="42" t="inlineStr">
        <is>
          <t>Ian Plamondon</t>
        </is>
      </c>
    </row>
    <row r="3037">
      <c r="A3037" s="42" t="inlineStr">
        <is>
          <t>Naima Chaudhry</t>
        </is>
      </c>
      <c r="B3037" s="42" t="inlineStr">
        <is>
          <t>5/17/26 - 6/13/26</t>
        </is>
      </c>
      <c r="C3037" s="41" t="n">
        <v>0.6667</v>
      </c>
      <c r="D3037" s="41" t="n">
        <v>1.0664</v>
      </c>
      <c r="E3037" s="41" t="n">
        <v>1</v>
      </c>
      <c r="F3037" s="41" t="n">
        <v>1</v>
      </c>
      <c r="G3037" s="41" t="n">
        <v>0.714285714</v>
      </c>
      <c r="H3037" s="42" t="n"/>
      <c r="I3037" s="43" t="n"/>
      <c r="J3037" s="41" t="n"/>
      <c r="K3037" s="42" t="inlineStr">
        <is>
          <t>Advanced</t>
        </is>
      </c>
      <c r="L3037" s="42" t="inlineStr">
        <is>
          <t>Adjunct</t>
        </is>
      </c>
      <c r="M3037" s="42" t="inlineStr">
        <is>
          <t>Kristin Haase-Alvey</t>
        </is>
      </c>
    </row>
    <row r="3038">
      <c r="A3038" s="42" t="inlineStr">
        <is>
          <t>Nando Reyes</t>
        </is>
      </c>
      <c r="B3038" s="42" t="inlineStr">
        <is>
          <t>5/17/26 - 6/13/26</t>
        </is>
      </c>
      <c r="C3038" s="41" t="n">
        <v>0.7893</v>
      </c>
      <c r="D3038" s="41" t="n">
        <v>1.282</v>
      </c>
      <c r="E3038" s="41" t="n">
        <v>1</v>
      </c>
      <c r="F3038" s="41" t="n">
        <v>0.963</v>
      </c>
      <c r="G3038" s="41" t="n">
        <v>0.533333333</v>
      </c>
      <c r="H3038" s="42" t="n"/>
      <c r="I3038" s="42" t="inlineStr">
        <is>
          <t>1/7</t>
        </is>
      </c>
      <c r="J3038" s="41">
        <f>1/7</f>
        <v/>
      </c>
      <c r="K3038" s="42" t="inlineStr">
        <is>
          <t>Distinguished</t>
        </is>
      </c>
      <c r="L3038" s="42" t="inlineStr">
        <is>
          <t>Professional</t>
        </is>
      </c>
      <c r="M3038" s="42" t="inlineStr">
        <is>
          <t>Geoff St. Marie</t>
        </is>
      </c>
    </row>
    <row r="3039">
      <c r="A3039" s="42" t="inlineStr">
        <is>
          <t>Nayely Rolon-Gomez</t>
        </is>
      </c>
      <c r="B3039" s="42" t="inlineStr">
        <is>
          <t>5/17/26 - 6/13/26</t>
        </is>
      </c>
      <c r="C3039" s="41" t="n">
        <v>0.75</v>
      </c>
      <c r="D3039" s="41" t="n">
        <v>0.8569</v>
      </c>
      <c r="E3039" s="41" t="n">
        <v>1</v>
      </c>
      <c r="F3039" s="41" t="n">
        <v>0.979</v>
      </c>
      <c r="G3039" s="41" t="n">
        <v>0.6875</v>
      </c>
      <c r="H3039" s="42" t="n"/>
      <c r="I3039" s="43" t="inlineStr">
        <is>
          <t>1/4</t>
        </is>
      </c>
      <c r="J3039" s="41" t="n">
        <v>0.25</v>
      </c>
      <c r="K3039" s="42" t="inlineStr">
        <is>
          <t>Distinguished</t>
        </is>
      </c>
      <c r="L3039" s="42" t="inlineStr">
        <is>
          <t>Professional</t>
        </is>
      </c>
      <c r="M3039" s="42" t="inlineStr">
        <is>
          <t>Ela Cross</t>
        </is>
      </c>
    </row>
    <row r="3040">
      <c r="A3040" s="42" t="inlineStr">
        <is>
          <t>Nicholas Ulfik</t>
        </is>
      </c>
      <c r="B3040" s="42" t="inlineStr">
        <is>
          <t>5/17/26 - 6/13/26</t>
        </is>
      </c>
      <c r="C3040" s="41" t="n">
        <v>0.9583</v>
      </c>
      <c r="D3040" s="41" t="n">
        <v>1.2303</v>
      </c>
      <c r="E3040" s="41" t="n">
        <v>1</v>
      </c>
      <c r="F3040" s="41" t="n">
        <v>0.952</v>
      </c>
      <c r="G3040" s="41" t="n">
        <v>0.590909091</v>
      </c>
      <c r="H3040" s="42" t="n"/>
      <c r="I3040" s="43" t="inlineStr">
        <is>
          <t>9/9</t>
        </is>
      </c>
      <c r="J3040" s="41" t="n">
        <v>1</v>
      </c>
      <c r="K3040" s="42" t="inlineStr">
        <is>
          <t>Distinguished</t>
        </is>
      </c>
      <c r="L3040" s="42" t="inlineStr">
        <is>
          <t>Professional</t>
        </is>
      </c>
      <c r="M3040" s="42" t="inlineStr">
        <is>
          <t>Kristin Haase-Alvey</t>
        </is>
      </c>
    </row>
    <row r="3041">
      <c r="A3041" s="42" t="inlineStr">
        <is>
          <t>Nick Kocik</t>
        </is>
      </c>
      <c r="B3041" s="42" t="inlineStr">
        <is>
          <t>5/17/26 - 6/13/26</t>
        </is>
      </c>
      <c r="C3041" s="41" t="n">
        <v>0.7042</v>
      </c>
      <c r="D3041" s="41" t="n">
        <v>0.7681</v>
      </c>
      <c r="E3041" s="41" t="n">
        <v>0.987179487</v>
      </c>
      <c r="F3041" s="41" t="n">
        <v>0.961</v>
      </c>
      <c r="G3041" s="41" t="n">
        <v>0.647058824</v>
      </c>
      <c r="H3041" s="42" t="n"/>
      <c r="I3041" s="43" t="inlineStr">
        <is>
          <t>0/1</t>
        </is>
      </c>
      <c r="J3041" s="41" t="n">
        <v>0</v>
      </c>
      <c r="K3041" s="42" t="inlineStr">
        <is>
          <t>Distinguished</t>
        </is>
      </c>
      <c r="L3041" s="42" t="inlineStr">
        <is>
          <t>Professional</t>
        </is>
      </c>
      <c r="M3041" s="42" t="inlineStr">
        <is>
          <t>Ela Cross</t>
        </is>
      </c>
    </row>
    <row r="3042">
      <c r="A3042" s="42" t="inlineStr">
        <is>
          <t>Nick Lucido</t>
        </is>
      </c>
      <c r="B3042" s="42" t="inlineStr">
        <is>
          <t>5/17/26 - 6/13/26</t>
        </is>
      </c>
      <c r="C3042" s="41" t="n">
        <v>1.0214</v>
      </c>
      <c r="D3042" s="41" t="n">
        <v>1.1904</v>
      </c>
      <c r="E3042" s="41" t="n">
        <v>1</v>
      </c>
      <c r="F3042" s="41" t="n">
        <v>0.966</v>
      </c>
      <c r="G3042" s="41" t="n">
        <v>0.5600000000000001</v>
      </c>
      <c r="H3042" s="42" t="n"/>
      <c r="I3042" s="43" t="inlineStr">
        <is>
          <t>5/8</t>
        </is>
      </c>
      <c r="J3042" s="41">
        <f>5/8</f>
        <v/>
      </c>
      <c r="K3042" s="42" t="inlineStr">
        <is>
          <t>Distinguished</t>
        </is>
      </c>
      <c r="L3042" s="42" t="inlineStr">
        <is>
          <t>Professional</t>
        </is>
      </c>
      <c r="M3042" s="42" t="inlineStr">
        <is>
          <t>Kristin Haase-Alvey</t>
        </is>
      </c>
    </row>
    <row r="3043">
      <c r="A3043" s="42" t="inlineStr">
        <is>
          <t>Nicole Bishop</t>
        </is>
      </c>
      <c r="B3043" s="42" t="inlineStr">
        <is>
          <t>5/17/26 - 6/13/26</t>
        </is>
      </c>
      <c r="C3043" s="41" t="n">
        <v>1.0167</v>
      </c>
      <c r="D3043" s="41" t="n">
        <v>1.0115</v>
      </c>
      <c r="E3043" s="41" t="n">
        <v>0.9375</v>
      </c>
      <c r="F3043" s="41" t="n">
        <v>0.901</v>
      </c>
      <c r="G3043" s="41" t="n">
        <v>0.6</v>
      </c>
      <c r="H3043" s="42" t="n"/>
      <c r="I3043" s="43" t="inlineStr">
        <is>
          <t>4/4</t>
        </is>
      </c>
      <c r="J3043" s="41" t="n">
        <v>1</v>
      </c>
      <c r="K3043" s="42" t="inlineStr">
        <is>
          <t>Distinguished</t>
        </is>
      </c>
      <c r="L3043" s="42" t="inlineStr">
        <is>
          <t>Professional</t>
        </is>
      </c>
      <c r="M3043" s="42" t="inlineStr">
        <is>
          <t>Ela Cross</t>
        </is>
      </c>
    </row>
    <row r="3044">
      <c r="A3044" s="42" t="inlineStr">
        <is>
          <t>Nik Kososik</t>
        </is>
      </c>
      <c r="B3044" s="42" t="inlineStr">
        <is>
          <t>5/17/26 - 6/13/26</t>
        </is>
      </c>
      <c r="C3044" s="41" t="n">
        <v>0.6375</v>
      </c>
      <c r="D3044" s="41" t="n">
        <v>1.151</v>
      </c>
      <c r="E3044" s="41" t="n">
        <v>0.87755102</v>
      </c>
      <c r="F3044" s="41" t="n">
        <v>0.967</v>
      </c>
      <c r="G3044" s="41" t="n">
        <v>0.923076923</v>
      </c>
      <c r="H3044" s="42" t="n"/>
      <c r="I3044" s="43" t="inlineStr">
        <is>
          <t>1/1</t>
        </is>
      </c>
      <c r="J3044" s="53" t="n">
        <v>1</v>
      </c>
      <c r="K3044" s="42" t="inlineStr">
        <is>
          <t>Distinguished</t>
        </is>
      </c>
      <c r="L3044" s="42" t="inlineStr">
        <is>
          <t>Adjunct</t>
        </is>
      </c>
      <c r="M3044" s="42" t="inlineStr">
        <is>
          <t>Geoff St. Marie</t>
        </is>
      </c>
    </row>
    <row r="3045">
      <c r="A3045" s="42" t="inlineStr">
        <is>
          <t>Nisan Hubbard</t>
        </is>
      </c>
      <c r="B3045" s="42" t="inlineStr">
        <is>
          <t>5/17/26 - 6/13/26</t>
        </is>
      </c>
      <c r="C3045" s="41" t="n">
        <v>0.3</v>
      </c>
      <c r="D3045" s="41" t="n">
        <v>0.9167</v>
      </c>
      <c r="E3045" s="41" t="n">
        <v>0.956521739</v>
      </c>
      <c r="F3045" s="41" t="n">
        <v>1</v>
      </c>
      <c r="G3045" s="41" t="n">
        <v>0.833333333</v>
      </c>
      <c r="H3045" s="42" t="n"/>
      <c r="I3045" s="43" t="n"/>
      <c r="J3045" s="41" t="n"/>
      <c r="K3045" s="42" t="inlineStr">
        <is>
          <t>Distinguished</t>
        </is>
      </c>
      <c r="L3045" s="42" t="inlineStr">
        <is>
          <t>Adjunct</t>
        </is>
      </c>
      <c r="M3045" s="42" t="inlineStr">
        <is>
          <t>Annelies de Groot</t>
        </is>
      </c>
    </row>
    <row r="3046">
      <c r="A3046" s="42" t="inlineStr">
        <is>
          <t>Nisha Fletcher</t>
        </is>
      </c>
      <c r="B3046" s="42" t="inlineStr">
        <is>
          <t>5/17/26 - 6/13/26</t>
        </is>
      </c>
      <c r="C3046" s="41" t="n">
        <v>0.3</v>
      </c>
      <c r="D3046" s="41" t="n">
        <v>0.9323</v>
      </c>
      <c r="E3046" s="41" t="n">
        <v>0.954545455</v>
      </c>
      <c r="F3046" s="41" t="n">
        <v>0.882</v>
      </c>
      <c r="G3046" s="41" t="n">
        <v>0.8</v>
      </c>
      <c r="H3046" s="42" t="n"/>
      <c r="I3046" s="43" t="inlineStr">
        <is>
          <t>0/2</t>
        </is>
      </c>
      <c r="J3046" s="41" t="n">
        <v>0</v>
      </c>
      <c r="K3046" s="42" t="inlineStr">
        <is>
          <t>Distinguished</t>
        </is>
      </c>
      <c r="L3046" s="42" t="inlineStr">
        <is>
          <t>Adjunct</t>
        </is>
      </c>
      <c r="M3046" s="42" t="inlineStr">
        <is>
          <t>Kristin Haase-Alvey</t>
        </is>
      </c>
    </row>
    <row r="3047">
      <c r="A3047" s="42" t="inlineStr">
        <is>
          <t>Ore Williams</t>
        </is>
      </c>
      <c r="B3047" s="42" t="inlineStr">
        <is>
          <t>5/17/26 - 6/13/26</t>
        </is>
      </c>
      <c r="C3047" s="41" t="n">
        <v>0.9583</v>
      </c>
      <c r="D3047" s="41" t="n">
        <v>1.2852</v>
      </c>
      <c r="E3047" s="41" t="n">
        <v>0.974358974</v>
      </c>
      <c r="F3047" s="41" t="n">
        <v>1</v>
      </c>
      <c r="G3047" s="41" t="n">
        <v>1</v>
      </c>
      <c r="H3047" s="42" t="n"/>
      <c r="I3047" s="43" t="n"/>
      <c r="J3047" s="41" t="n"/>
      <c r="K3047" s="42" t="inlineStr">
        <is>
          <t>Advanced</t>
        </is>
      </c>
      <c r="L3047" s="42" t="inlineStr">
        <is>
          <t>Adjunct</t>
        </is>
      </c>
      <c r="M3047" s="42" t="inlineStr">
        <is>
          <t>Ela Cross</t>
        </is>
      </c>
    </row>
    <row r="3048">
      <c r="A3048" s="42" t="inlineStr">
        <is>
          <t>Parthav Elangovan</t>
        </is>
      </c>
      <c r="B3048" s="42" t="inlineStr">
        <is>
          <t>5/17/26 - 6/13/26</t>
        </is>
      </c>
      <c r="C3048" s="41" t="n">
        <v>0.6458</v>
      </c>
      <c r="D3048" s="41" t="n">
        <v>1.2773</v>
      </c>
      <c r="E3048" s="41" t="n">
        <v>0.9523809519999999</v>
      </c>
      <c r="F3048" s="41" t="n">
        <v>0.9</v>
      </c>
      <c r="G3048" s="41" t="n">
        <v>0</v>
      </c>
      <c r="H3048" s="42" t="n"/>
      <c r="I3048" s="42" t="n"/>
      <c r="J3048" s="42" t="n"/>
      <c r="K3048" s="42" t="inlineStr">
        <is>
          <t>Advanced</t>
        </is>
      </c>
      <c r="L3048" s="42" t="inlineStr">
        <is>
          <t>Adjunct</t>
        </is>
      </c>
      <c r="M3048" s="42" t="inlineStr">
        <is>
          <t>Ian Plamondon</t>
        </is>
      </c>
    </row>
    <row r="3049">
      <c r="A3049" s="42" t="inlineStr">
        <is>
          <t>Patricia Flores</t>
        </is>
      </c>
      <c r="B3049" s="42" t="inlineStr">
        <is>
          <t>5/17/26 - 6/13/26</t>
        </is>
      </c>
      <c r="C3049" s="41" t="n">
        <v>0.3688</v>
      </c>
      <c r="D3049" s="41" t="n">
        <v>0.8542</v>
      </c>
      <c r="E3049" s="41" t="n">
        <v>0.916666667</v>
      </c>
      <c r="F3049" s="41" t="n">
        <v>0.75</v>
      </c>
      <c r="G3049" s="41" t="n">
        <v>1</v>
      </c>
      <c r="H3049" s="42" t="n"/>
      <c r="I3049" s="42" t="inlineStr">
        <is>
          <t>1/1</t>
        </is>
      </c>
      <c r="J3049" s="53" t="n">
        <v>1</v>
      </c>
      <c r="K3049" s="42" t="inlineStr">
        <is>
          <t>Distinguished</t>
        </is>
      </c>
      <c r="L3049" s="42" t="inlineStr">
        <is>
          <t>Adjunct</t>
        </is>
      </c>
      <c r="M3049" s="42" t="inlineStr">
        <is>
          <t>Ela Cross</t>
        </is>
      </c>
    </row>
    <row r="3050">
      <c r="A3050" s="42" t="inlineStr">
        <is>
          <t>Penny Russell</t>
        </is>
      </c>
      <c r="B3050" s="42" t="inlineStr">
        <is>
          <t>5/17/26 - 6/13/26</t>
        </is>
      </c>
      <c r="C3050" s="41" t="n">
        <v>0.5625</v>
      </c>
      <c r="D3050" s="41" t="n">
        <v>1.0066</v>
      </c>
      <c r="E3050" s="41" t="n">
        <v>1</v>
      </c>
      <c r="F3050" s="41" t="n">
        <v>1</v>
      </c>
      <c r="G3050" s="41" t="n">
        <v>0.454545455</v>
      </c>
      <c r="H3050" s="42" t="n"/>
      <c r="I3050" s="43" t="inlineStr">
        <is>
          <t>0/2</t>
        </is>
      </c>
      <c r="J3050" s="41" t="n">
        <v>0</v>
      </c>
      <c r="K3050" s="42" t="inlineStr">
        <is>
          <t>Distinguished</t>
        </is>
      </c>
      <c r="L3050" s="42" t="inlineStr">
        <is>
          <t>Professional</t>
        </is>
      </c>
      <c r="M3050" s="42" t="inlineStr">
        <is>
          <t>Ian Plamondon</t>
        </is>
      </c>
    </row>
    <row r="3051">
      <c r="A3051" s="42" t="inlineStr">
        <is>
          <t>Philip Thomas</t>
        </is>
      </c>
      <c r="B3051" s="42" t="inlineStr">
        <is>
          <t>5/17/26 - 6/13/26</t>
        </is>
      </c>
      <c r="C3051" s="41" t="n">
        <v>1.0208</v>
      </c>
      <c r="D3051" s="41" t="n">
        <v>1.3158</v>
      </c>
      <c r="E3051" s="41" t="n">
        <v>0.551020408</v>
      </c>
      <c r="F3051" s="41" t="n">
        <v>0.983</v>
      </c>
      <c r="G3051" s="41" t="n">
        <v>0.363636364</v>
      </c>
      <c r="H3051" s="42" t="n"/>
      <c r="I3051" s="42" t="inlineStr">
        <is>
          <t>1/5</t>
        </is>
      </c>
      <c r="J3051" s="41" t="n">
        <v>0.2</v>
      </c>
      <c r="K3051" s="42" t="inlineStr">
        <is>
          <t>Premium</t>
        </is>
      </c>
      <c r="L3051" s="42" t="inlineStr">
        <is>
          <t>Professional</t>
        </is>
      </c>
      <c r="M3051" s="42" t="inlineStr">
        <is>
          <t>Annelies de Groot</t>
        </is>
      </c>
    </row>
    <row r="3052">
      <c r="A3052" s="42" t="inlineStr">
        <is>
          <t>Preston Peoples</t>
        </is>
      </c>
      <c r="B3052" s="42" t="inlineStr">
        <is>
          <t>5/17/26 - 6/13/26</t>
        </is>
      </c>
      <c r="C3052" s="41" t="n">
        <v>0.6917</v>
      </c>
      <c r="D3052" s="41" t="n">
        <v>1.0559</v>
      </c>
      <c r="E3052" s="41" t="n">
        <v>0.909090909</v>
      </c>
      <c r="F3052" s="41" t="n">
        <v>0.898</v>
      </c>
      <c r="G3052" s="41" t="n">
        <v>0.529411765</v>
      </c>
      <c r="H3052" s="42" t="n"/>
      <c r="I3052" s="43" t="inlineStr">
        <is>
          <t>1/4</t>
        </is>
      </c>
      <c r="J3052" s="41" t="n">
        <v>0.25</v>
      </c>
      <c r="K3052" s="42" t="inlineStr">
        <is>
          <t>Distinguished</t>
        </is>
      </c>
      <c r="L3052" s="42" t="inlineStr">
        <is>
          <t>Professional</t>
        </is>
      </c>
      <c r="M3052" s="42" t="inlineStr">
        <is>
          <t>Annelies de Groot</t>
        </is>
      </c>
    </row>
    <row r="3053">
      <c r="A3053" s="42" t="inlineStr">
        <is>
          <t>Q. Monet Travis</t>
        </is>
      </c>
      <c r="B3053" s="42" t="inlineStr">
        <is>
          <t>5/17/26 - 6/13/26</t>
        </is>
      </c>
      <c r="C3053" s="41" t="n">
        <v>0.7125</v>
      </c>
      <c r="D3053" s="41" t="n">
        <v>1.0208</v>
      </c>
      <c r="E3053" s="41" t="n">
        <v>1</v>
      </c>
      <c r="F3053" s="41" t="n">
        <v>0.761</v>
      </c>
      <c r="G3053" s="41" t="n">
        <v>0.9</v>
      </c>
      <c r="H3053" s="42" t="n"/>
      <c r="I3053" s="43" t="inlineStr">
        <is>
          <t>0/1</t>
        </is>
      </c>
      <c r="J3053" s="41" t="n">
        <v>0</v>
      </c>
      <c r="K3053" s="42" t="inlineStr">
        <is>
          <t>Distinguished</t>
        </is>
      </c>
      <c r="L3053" s="42" t="inlineStr">
        <is>
          <t>Adjunct</t>
        </is>
      </c>
      <c r="M3053" s="42" t="inlineStr">
        <is>
          <t>Ela Cross</t>
        </is>
      </c>
    </row>
    <row r="3054">
      <c r="A3054" s="42" t="inlineStr">
        <is>
          <t>Rachel Daku</t>
        </is>
      </c>
      <c r="B3054" s="42" t="inlineStr">
        <is>
          <t>5/17/26 - 6/13/26</t>
        </is>
      </c>
      <c r="C3054" s="41" t="n">
        <v>0.6563</v>
      </c>
      <c r="D3054" s="41" t="n">
        <v>1.3281</v>
      </c>
      <c r="E3054" s="41" t="n">
        <v>1</v>
      </c>
      <c r="F3054" s="41" t="n">
        <v>0.667</v>
      </c>
      <c r="G3054" s="41" t="n">
        <v>0.285714286</v>
      </c>
      <c r="H3054" s="42" t="n"/>
      <c r="I3054" s="43" t="inlineStr">
        <is>
          <t>0/1</t>
        </is>
      </c>
      <c r="J3054" s="41" t="n">
        <v>0</v>
      </c>
      <c r="K3054" s="42" t="inlineStr">
        <is>
          <t>Distinguished</t>
        </is>
      </c>
      <c r="L3054" s="42" t="inlineStr">
        <is>
          <t>Adjunct</t>
        </is>
      </c>
      <c r="M3054" s="42" t="inlineStr">
        <is>
          <t>Annelies de Groot</t>
        </is>
      </c>
    </row>
    <row r="3055">
      <c r="A3055" s="42" t="inlineStr">
        <is>
          <t>Rafi Overton</t>
        </is>
      </c>
      <c r="B3055" s="42" t="inlineStr">
        <is>
          <t>5/17/26 - 6/13/26</t>
        </is>
      </c>
      <c r="C3055" s="41" t="n">
        <v>0.6321</v>
      </c>
      <c r="D3055" s="41" t="n">
        <v>1.0276</v>
      </c>
      <c r="E3055" s="41" t="n">
        <v>0.9878048780000001</v>
      </c>
      <c r="F3055" s="41" t="n">
        <v>1</v>
      </c>
      <c r="G3055" s="41" t="n">
        <v>0.736842105</v>
      </c>
      <c r="H3055" s="42" t="n"/>
      <c r="I3055" s="42" t="inlineStr">
        <is>
          <t>0/3</t>
        </is>
      </c>
      <c r="J3055" s="41" t="n">
        <v>0</v>
      </c>
      <c r="K3055" s="42" t="inlineStr">
        <is>
          <t>Distinguished</t>
        </is>
      </c>
      <c r="L3055" s="42" t="inlineStr">
        <is>
          <t>Professional</t>
        </is>
      </c>
      <c r="M3055" s="42" t="inlineStr">
        <is>
          <t>Geoff St. Marie</t>
        </is>
      </c>
    </row>
    <row r="3056">
      <c r="A3056" s="42" t="inlineStr">
        <is>
          <t>Rain Real</t>
        </is>
      </c>
      <c r="B3056" s="42" t="inlineStr">
        <is>
          <t>5/17/26 - 6/13/26</t>
        </is>
      </c>
      <c r="C3056" s="41" t="n">
        <v>0.9667</v>
      </c>
      <c r="D3056" s="41" t="n">
        <v>1.1941</v>
      </c>
      <c r="E3056" s="41" t="n">
        <v>1</v>
      </c>
      <c r="F3056" s="41" t="n">
        <v>1</v>
      </c>
      <c r="G3056" s="41" t="n">
        <v>0.85</v>
      </c>
      <c r="H3056" s="42" t="n"/>
      <c r="I3056" s="42" t="inlineStr">
        <is>
          <t>2/4</t>
        </is>
      </c>
      <c r="J3056" s="41" t="n">
        <v>0.5</v>
      </c>
      <c r="K3056" s="42" t="inlineStr">
        <is>
          <t>Distinguished</t>
        </is>
      </c>
      <c r="L3056" s="42" t="inlineStr">
        <is>
          <t>Professional</t>
        </is>
      </c>
      <c r="M3056" s="42" t="inlineStr">
        <is>
          <t>Annelies de Groot</t>
        </is>
      </c>
    </row>
    <row r="3057">
      <c r="A3057" s="42" t="inlineStr">
        <is>
          <t>Ralph Strope</t>
        </is>
      </c>
      <c r="B3057" s="42" t="inlineStr">
        <is>
          <t>5/17/26 - 6/13/26</t>
        </is>
      </c>
      <c r="C3057" s="41" t="n">
        <v>0.775</v>
      </c>
      <c r="D3057" s="41" t="n">
        <v>1.1042</v>
      </c>
      <c r="E3057" s="41" t="n">
        <v>1</v>
      </c>
      <c r="F3057" s="41" t="n">
        <v>1</v>
      </c>
      <c r="G3057" s="41" t="n">
        <v>0.615384615</v>
      </c>
      <c r="H3057" s="42" t="n"/>
      <c r="I3057" s="43" t="inlineStr">
        <is>
          <t>1/4</t>
        </is>
      </c>
      <c r="J3057" s="41" t="n">
        <v>0.25</v>
      </c>
      <c r="K3057" s="42" t="inlineStr">
        <is>
          <t>Distinguished</t>
        </is>
      </c>
      <c r="L3057" s="42" t="inlineStr">
        <is>
          <t>Adjunct</t>
        </is>
      </c>
      <c r="M3057" s="42" t="inlineStr">
        <is>
          <t>Ela Cross</t>
        </is>
      </c>
    </row>
    <row r="3058">
      <c r="A3058" s="42" t="inlineStr">
        <is>
          <t>Raymond Elliot</t>
        </is>
      </c>
      <c r="B3058" s="42" t="inlineStr">
        <is>
          <t>5/17/26 - 6/13/26</t>
        </is>
      </c>
      <c r="C3058" s="41" t="n">
        <v>0.925</v>
      </c>
      <c r="D3058" s="41" t="n">
        <v>0.9271</v>
      </c>
      <c r="E3058" s="41" t="n">
        <v>1</v>
      </c>
      <c r="F3058" s="41" t="n">
        <v>1</v>
      </c>
      <c r="G3058" s="41" t="n">
        <v>0.933333333</v>
      </c>
      <c r="H3058" s="42" t="n"/>
      <c r="I3058" s="43" t="inlineStr">
        <is>
          <t>2/2</t>
        </is>
      </c>
      <c r="J3058" s="41" t="n">
        <v>1</v>
      </c>
      <c r="K3058" s="42" t="inlineStr">
        <is>
          <t>Distinguished</t>
        </is>
      </c>
      <c r="L3058" s="42" t="inlineStr">
        <is>
          <t>Adjunct</t>
        </is>
      </c>
      <c r="M3058" s="42" t="inlineStr">
        <is>
          <t>Kristin Haase-Alvey</t>
        </is>
      </c>
    </row>
    <row r="3059">
      <c r="A3059" s="42" t="inlineStr">
        <is>
          <t>Raymond Serrano</t>
        </is>
      </c>
      <c r="B3059" s="42" t="inlineStr">
        <is>
          <t>5/17/26 - 6/13/26</t>
        </is>
      </c>
      <c r="C3059" s="41" t="n">
        <v>0.6625</v>
      </c>
      <c r="D3059" s="41" t="n">
        <v>0.9868</v>
      </c>
      <c r="E3059" s="41" t="n">
        <v>0.924050633</v>
      </c>
      <c r="F3059" s="41" t="n">
        <v>1</v>
      </c>
      <c r="G3059" s="41" t="n">
        <v>1</v>
      </c>
      <c r="H3059" s="42" t="n"/>
      <c r="I3059" s="43" t="n"/>
      <c r="J3059" s="41" t="n"/>
      <c r="K3059" s="42" t="inlineStr">
        <is>
          <t>Distinguished</t>
        </is>
      </c>
      <c r="L3059" s="42" t="inlineStr">
        <is>
          <t>Professional</t>
        </is>
      </c>
      <c r="M3059" s="42" t="inlineStr">
        <is>
          <t>Kristin Haase-Alvey</t>
        </is>
      </c>
    </row>
    <row r="3060">
      <c r="A3060" s="42" t="inlineStr">
        <is>
          <t>Rebekah Nachian</t>
        </is>
      </c>
      <c r="B3060" s="42" t="inlineStr">
        <is>
          <t>5/17/26 - 6/13/26</t>
        </is>
      </c>
      <c r="C3060" s="41" t="n">
        <v>0.8208</v>
      </c>
      <c r="D3060" s="41" t="n">
        <v>1.0625</v>
      </c>
      <c r="E3060" s="41" t="n">
        <v>0.989130435</v>
      </c>
      <c r="F3060" s="41" t="n">
        <v>0.983</v>
      </c>
      <c r="G3060" s="41" t="n">
        <v>0.65</v>
      </c>
      <c r="H3060" s="42" t="n"/>
      <c r="I3060" s="43" t="inlineStr">
        <is>
          <t>2/3</t>
        </is>
      </c>
      <c r="J3060" s="41" t="n">
        <v>0.67</v>
      </c>
      <c r="K3060" s="42" t="inlineStr">
        <is>
          <t>Distinguished</t>
        </is>
      </c>
      <c r="L3060" s="42" t="inlineStr">
        <is>
          <t>Professional</t>
        </is>
      </c>
      <c r="M3060" s="42" t="inlineStr">
        <is>
          <t>Annelies de Groot</t>
        </is>
      </c>
    </row>
    <row r="3061">
      <c r="A3061" s="42" t="inlineStr">
        <is>
          <t>Rehan Zaib</t>
        </is>
      </c>
      <c r="B3061" s="42" t="inlineStr">
        <is>
          <t>5/17/26 - 6/13/26</t>
        </is>
      </c>
      <c r="C3061" s="41" t="n">
        <v>0.8292</v>
      </c>
      <c r="D3061" s="41" t="n">
        <v>0.9161</v>
      </c>
      <c r="E3061" s="41" t="n">
        <v>0.939393939</v>
      </c>
      <c r="F3061" s="41" t="n">
        <v>0.955</v>
      </c>
      <c r="G3061" s="41" t="n">
        <v>0.9523809519999999</v>
      </c>
      <c r="H3061" s="42" t="n"/>
      <c r="I3061" s="43" t="inlineStr">
        <is>
          <t>1/1</t>
        </is>
      </c>
      <c r="J3061" s="53" t="n">
        <v>1</v>
      </c>
      <c r="K3061" s="42" t="inlineStr">
        <is>
          <t>Distinguished</t>
        </is>
      </c>
      <c r="L3061" s="42" t="inlineStr">
        <is>
          <t>Professional</t>
        </is>
      </c>
      <c r="M3061" s="42" t="inlineStr">
        <is>
          <t>Ela Cross</t>
        </is>
      </c>
    </row>
    <row r="3062">
      <c r="A3062" s="42" t="inlineStr">
        <is>
          <t>Richard Kralik</t>
        </is>
      </c>
      <c r="B3062" s="42" t="inlineStr">
        <is>
          <t>5/17/26 - 6/13/26</t>
        </is>
      </c>
      <c r="C3062" s="41" t="n">
        <v>0.7821</v>
      </c>
      <c r="D3062" s="41" t="n">
        <v>0.9927</v>
      </c>
      <c r="E3062" s="41" t="n">
        <v>1</v>
      </c>
      <c r="F3062" s="41" t="n">
        <v>0.972</v>
      </c>
      <c r="G3062" s="41" t="n">
        <v>0.434782609</v>
      </c>
      <c r="H3062" s="42" t="n"/>
      <c r="I3062" s="42" t="inlineStr">
        <is>
          <t>0/2</t>
        </is>
      </c>
      <c r="J3062" s="41" t="n">
        <v>0</v>
      </c>
      <c r="K3062" s="42" t="inlineStr">
        <is>
          <t>Distinguished</t>
        </is>
      </c>
      <c r="L3062" s="42" t="inlineStr">
        <is>
          <t>Professional</t>
        </is>
      </c>
      <c r="M3062" s="42" t="inlineStr">
        <is>
          <t>Ian Plamondon</t>
        </is>
      </c>
    </row>
    <row r="3063">
      <c r="A3063" s="42" t="inlineStr">
        <is>
          <t>Ries Scerbin</t>
        </is>
      </c>
      <c r="B3063" s="42" t="inlineStr">
        <is>
          <t>5/17/26 - 6/13/26</t>
        </is>
      </c>
      <c r="C3063" s="41" t="n">
        <v>0.7917</v>
      </c>
      <c r="D3063" s="41" t="n">
        <v>1.1641</v>
      </c>
      <c r="E3063" s="41" t="n">
        <v>0.918918919</v>
      </c>
      <c r="F3063" s="41" t="n">
        <v>0.967</v>
      </c>
      <c r="G3063" s="41" t="n">
        <v>0.375</v>
      </c>
      <c r="H3063" s="42" t="n"/>
      <c r="I3063" s="43" t="inlineStr">
        <is>
          <t>0/1</t>
        </is>
      </c>
      <c r="J3063" s="41" t="n">
        <v>0</v>
      </c>
      <c r="K3063" s="42" t="inlineStr">
        <is>
          <t>Distinguished</t>
        </is>
      </c>
      <c r="L3063" s="42" t="inlineStr">
        <is>
          <t>Adjunct</t>
        </is>
      </c>
      <c r="M3063" s="42" t="inlineStr">
        <is>
          <t>Annelies de Groot</t>
        </is>
      </c>
    </row>
    <row r="3064">
      <c r="A3064" s="42" t="inlineStr">
        <is>
          <t>River Nunez</t>
        </is>
      </c>
      <c r="B3064" s="42" t="inlineStr">
        <is>
          <t>5/17/26 - 6/13/26</t>
        </is>
      </c>
      <c r="C3064" s="41" t="n">
        <v>0.85</v>
      </c>
      <c r="D3064" s="41" t="n">
        <v>1.0378</v>
      </c>
      <c r="E3064" s="41" t="n">
        <v>0.93814433</v>
      </c>
      <c r="F3064" s="41" t="n">
        <v>0.884</v>
      </c>
      <c r="G3064" s="41" t="n">
        <v>0.7</v>
      </c>
      <c r="H3064" s="42" t="n"/>
      <c r="I3064" s="42" t="inlineStr">
        <is>
          <t>3/5</t>
        </is>
      </c>
      <c r="J3064" s="42" t="n">
        <v>60</v>
      </c>
      <c r="K3064" s="42" t="inlineStr">
        <is>
          <t>Distinguished</t>
        </is>
      </c>
      <c r="L3064" s="42" t="inlineStr">
        <is>
          <t>Professional</t>
        </is>
      </c>
      <c r="M3064" s="42" t="inlineStr">
        <is>
          <t>Annelies de Groot</t>
        </is>
      </c>
    </row>
    <row r="3065">
      <c r="A3065" s="42" t="inlineStr">
        <is>
          <t>Robert Nantze</t>
        </is>
      </c>
      <c r="B3065" s="42" t="inlineStr">
        <is>
          <t>5/17/26 - 6/13/26</t>
        </is>
      </c>
      <c r="C3065" s="41" t="n">
        <v>0.6792</v>
      </c>
      <c r="D3065" s="41" t="n">
        <v>1.0099</v>
      </c>
      <c r="E3065" s="41" t="n">
        <v>1</v>
      </c>
      <c r="F3065" s="41" t="n">
        <v>0.978</v>
      </c>
      <c r="G3065" s="41" t="n">
        <v>1</v>
      </c>
      <c r="H3065" s="42" t="n"/>
      <c r="I3065" s="43" t="inlineStr">
        <is>
          <t>2/4</t>
        </is>
      </c>
      <c r="J3065" s="41" t="n">
        <v>0.5</v>
      </c>
      <c r="K3065" s="42" t="inlineStr">
        <is>
          <t>Distinguished</t>
        </is>
      </c>
      <c r="L3065" s="42" t="inlineStr">
        <is>
          <t>Professional</t>
        </is>
      </c>
      <c r="M3065" s="42" t="inlineStr">
        <is>
          <t>Ela Cross</t>
        </is>
      </c>
    </row>
    <row r="3066">
      <c r="A3066" s="42" t="inlineStr">
        <is>
          <t>Saahithi Punnam</t>
        </is>
      </c>
      <c r="B3066" s="42" t="inlineStr">
        <is>
          <t>5/17/26 - 6/13/26</t>
        </is>
      </c>
      <c r="C3066" s="41" t="n">
        <v>0.2604</v>
      </c>
      <c r="D3066" s="41" t="n">
        <v>1.2708</v>
      </c>
      <c r="E3066" s="41" t="n">
        <v>1</v>
      </c>
      <c r="F3066" s="41" t="n">
        <v>1</v>
      </c>
      <c r="G3066" s="41" t="n">
        <v>1</v>
      </c>
      <c r="H3066" s="42" t="n"/>
      <c r="I3066" s="43" t="inlineStr">
        <is>
          <t>0/1</t>
        </is>
      </c>
      <c r="J3066" s="41" t="n">
        <v>0</v>
      </c>
      <c r="K3066" s="42" t="inlineStr">
        <is>
          <t>Advanced</t>
        </is>
      </c>
      <c r="L3066" s="42" t="inlineStr">
        <is>
          <t>Adjunct</t>
        </is>
      </c>
      <c r="M3066" s="42" t="inlineStr">
        <is>
          <t>Annelies de Groot</t>
        </is>
      </c>
    </row>
    <row r="3067">
      <c r="A3067" s="42" t="inlineStr">
        <is>
          <t>Samantha Wetz</t>
        </is>
      </c>
      <c r="B3067" s="42" t="inlineStr">
        <is>
          <t>5/17/26 - 6/13/26</t>
        </is>
      </c>
      <c r="C3067" s="41" t="n">
        <v>0.625</v>
      </c>
      <c r="D3067" s="41" t="n">
        <v>1.1163</v>
      </c>
      <c r="E3067" s="41" t="n">
        <v>0.9878048780000001</v>
      </c>
      <c r="F3067" s="41" t="n">
        <v>0.981</v>
      </c>
      <c r="G3067" s="41" t="n">
        <v>0.8</v>
      </c>
      <c r="H3067" s="42" t="n"/>
      <c r="I3067" s="43" t="n"/>
      <c r="J3067" s="41" t="n"/>
      <c r="K3067" s="42" t="inlineStr">
        <is>
          <t>Premium</t>
        </is>
      </c>
      <c r="L3067" s="42" t="inlineStr">
        <is>
          <t>Professional</t>
        </is>
      </c>
      <c r="M3067" s="42" t="inlineStr">
        <is>
          <t>Ian Plamondon</t>
        </is>
      </c>
    </row>
    <row r="3068">
      <c r="A3068" s="42" t="inlineStr">
        <is>
          <t>Sarah Goodstein</t>
        </is>
      </c>
      <c r="B3068" s="42" t="inlineStr">
        <is>
          <t>5/17/26 - 6/13/26</t>
        </is>
      </c>
      <c r="C3068" s="41" t="n">
        <v>0.8917</v>
      </c>
      <c r="D3068" s="41" t="n">
        <v>0.9967</v>
      </c>
      <c r="E3068" s="41" t="n">
        <v>0.942307692</v>
      </c>
      <c r="F3068" s="41" t="n">
        <v>1</v>
      </c>
      <c r="G3068" s="41" t="n">
        <v>0.9</v>
      </c>
      <c r="H3068" s="42" t="n"/>
      <c r="I3068" s="42" t="inlineStr">
        <is>
          <t>0/3</t>
        </is>
      </c>
      <c r="J3068" s="41" t="n">
        <v>0</v>
      </c>
      <c r="K3068" s="42" t="inlineStr">
        <is>
          <t>Distinguished</t>
        </is>
      </c>
      <c r="L3068" s="42" t="inlineStr">
        <is>
          <t>Professional</t>
        </is>
      </c>
      <c r="M3068" s="42" t="inlineStr">
        <is>
          <t>Kristin Haase-Alvey</t>
        </is>
      </c>
    </row>
    <row r="3069">
      <c r="A3069" s="42" t="inlineStr">
        <is>
          <t>Savannah Padgett</t>
        </is>
      </c>
      <c r="B3069" s="42" t="inlineStr">
        <is>
          <t>5/17/26 - 6/13/26</t>
        </is>
      </c>
      <c r="C3069" s="41" t="n">
        <v>0.6964</v>
      </c>
      <c r="D3069" s="41" t="n">
        <v>1.0446</v>
      </c>
      <c r="E3069" s="41" t="n">
        <v>0.988372093</v>
      </c>
      <c r="F3069" s="41" t="n">
        <v>1</v>
      </c>
      <c r="G3069" s="41" t="n">
        <v>1</v>
      </c>
      <c r="H3069" s="42" t="n"/>
      <c r="I3069" s="43" t="inlineStr">
        <is>
          <t>0/7</t>
        </is>
      </c>
      <c r="J3069" s="41" t="n">
        <v>0</v>
      </c>
      <c r="K3069" s="42" t="inlineStr">
        <is>
          <t>Distinguished</t>
        </is>
      </c>
      <c r="L3069" s="42" t="inlineStr">
        <is>
          <t>Professional</t>
        </is>
      </c>
      <c r="M3069" s="42" t="inlineStr">
        <is>
          <t>Kristin Haase-Alvey</t>
        </is>
      </c>
    </row>
    <row r="3070">
      <c r="A3070" s="42" t="inlineStr">
        <is>
          <t>Scott Boyd</t>
        </is>
      </c>
      <c r="B3070" s="42" t="inlineStr">
        <is>
          <t>5/17/26 - 6/13/26</t>
        </is>
      </c>
      <c r="C3070" s="41" t="n">
        <v>0.5729</v>
      </c>
      <c r="D3070" s="41" t="n">
        <v>1.1992</v>
      </c>
      <c r="E3070" s="41" t="n">
        <v>1</v>
      </c>
      <c r="F3070" s="41" t="n">
        <v>1</v>
      </c>
      <c r="G3070" s="41" t="n">
        <v>0.833333333</v>
      </c>
      <c r="H3070" s="42" t="n"/>
      <c r="I3070" s="42" t="n"/>
      <c r="J3070" s="42" t="n"/>
      <c r="K3070" s="42" t="inlineStr">
        <is>
          <t>Premium</t>
        </is>
      </c>
      <c r="L3070" s="42" t="inlineStr">
        <is>
          <t>Adjunct</t>
        </is>
      </c>
      <c r="M3070" s="42" t="inlineStr">
        <is>
          <t>Geoff St. Marie</t>
        </is>
      </c>
    </row>
    <row r="3071">
      <c r="A3071" s="42" t="inlineStr">
        <is>
          <t>Scott Holdcraft</t>
        </is>
      </c>
      <c r="B3071" s="42" t="inlineStr">
        <is>
          <t>5/17/26 - 6/13/26</t>
        </is>
      </c>
      <c r="C3071" s="41" t="n">
        <v>0.5583</v>
      </c>
      <c r="D3071" s="41" t="n">
        <v>0.9308999999999999</v>
      </c>
      <c r="E3071" s="41" t="n">
        <v>0.803030303</v>
      </c>
      <c r="F3071" s="41" t="n">
        <v>0.604</v>
      </c>
      <c r="G3071" s="41" t="n">
        <v>0.5</v>
      </c>
      <c r="H3071" s="42" t="n"/>
      <c r="I3071" s="43" t="inlineStr">
        <is>
          <t>2/3</t>
        </is>
      </c>
      <c r="J3071" s="41" t="n">
        <v>0.67</v>
      </c>
      <c r="K3071" s="42" t="inlineStr">
        <is>
          <t>Distinguished</t>
        </is>
      </c>
      <c r="L3071" s="42" t="inlineStr">
        <is>
          <t>Professional</t>
        </is>
      </c>
      <c r="M3071" s="42" t="inlineStr">
        <is>
          <t>Ela Cross</t>
        </is>
      </c>
    </row>
    <row r="3072">
      <c r="A3072" s="42" t="inlineStr">
        <is>
          <t>Shannon Huang</t>
        </is>
      </c>
      <c r="B3072" s="42" t="inlineStr">
        <is>
          <t>5/17/26 - 6/13/26</t>
        </is>
      </c>
      <c r="C3072" s="41" t="n">
        <v>1.0625</v>
      </c>
      <c r="D3072" s="41" t="n">
        <v>1.1349</v>
      </c>
      <c r="E3072" s="41" t="n">
        <v>0.99047619</v>
      </c>
      <c r="F3072" s="41" t="n">
        <v>0.989</v>
      </c>
      <c r="G3072" s="41" t="n">
        <v>0.846153846</v>
      </c>
      <c r="H3072" s="42" t="n"/>
      <c r="I3072" s="43" t="inlineStr">
        <is>
          <t>4/5</t>
        </is>
      </c>
      <c r="J3072" s="41" t="n">
        <v>0.8</v>
      </c>
      <c r="K3072" s="42" t="inlineStr">
        <is>
          <t>Distinguished</t>
        </is>
      </c>
      <c r="L3072" s="42" t="inlineStr">
        <is>
          <t>Professional</t>
        </is>
      </c>
      <c r="M3072" s="42" t="inlineStr">
        <is>
          <t>Ela Cross</t>
        </is>
      </c>
    </row>
    <row r="3073">
      <c r="A3073" s="42" t="inlineStr">
        <is>
          <t>Sharon Vincuilla</t>
        </is>
      </c>
      <c r="B3073" s="42" t="inlineStr">
        <is>
          <t>5/17/26 - 6/13/26</t>
        </is>
      </c>
      <c r="C3073" s="41" t="n">
        <v>0.8542</v>
      </c>
      <c r="D3073" s="41" t="n">
        <v>1.3242</v>
      </c>
      <c r="E3073" s="41" t="n">
        <v>1</v>
      </c>
      <c r="F3073" s="41" t="n">
        <v>1</v>
      </c>
      <c r="G3073" s="41" t="n">
        <v>1</v>
      </c>
      <c r="H3073" s="42" t="n"/>
      <c r="I3073" s="43" t="n"/>
      <c r="J3073" s="41" t="n"/>
      <c r="K3073" s="42" t="inlineStr">
        <is>
          <t>Distinguished</t>
        </is>
      </c>
      <c r="L3073" s="42" t="inlineStr">
        <is>
          <t>Adjunct</t>
        </is>
      </c>
      <c r="M3073" s="42" t="inlineStr">
        <is>
          <t>Annelies de Groot</t>
        </is>
      </c>
    </row>
    <row r="3074">
      <c r="A3074" s="42" t="inlineStr">
        <is>
          <t>Shaun Leonard</t>
        </is>
      </c>
      <c r="B3074" s="42" t="inlineStr">
        <is>
          <t>5/17/26 - 6/13/26</t>
        </is>
      </c>
      <c r="C3074" s="41" t="n">
        <v>0.7083</v>
      </c>
      <c r="D3074" s="41" t="n">
        <v>1.2188</v>
      </c>
      <c r="E3074" s="41" t="n">
        <v>0.8125</v>
      </c>
      <c r="F3074" s="41" t="n">
        <v>0.923</v>
      </c>
      <c r="G3074" s="41" t="n">
        <v>0.571428571</v>
      </c>
      <c r="H3074" s="42" t="n"/>
      <c r="I3074" s="43" t="inlineStr">
        <is>
          <t>1/1</t>
        </is>
      </c>
      <c r="J3074" s="53" t="n">
        <v>1</v>
      </c>
      <c r="K3074" s="42" t="inlineStr">
        <is>
          <t>Distinguished</t>
        </is>
      </c>
      <c r="L3074" s="42" t="inlineStr">
        <is>
          <t>Adjunct</t>
        </is>
      </c>
      <c r="M3074" s="42" t="inlineStr">
        <is>
          <t>Kristin Haase-Alvey</t>
        </is>
      </c>
    </row>
    <row r="3075">
      <c r="A3075" s="42" t="inlineStr">
        <is>
          <t>Shawn Kane</t>
        </is>
      </c>
      <c r="B3075" s="42" t="inlineStr">
        <is>
          <t>5/17/26 - 6/13/26</t>
        </is>
      </c>
      <c r="C3075" s="41" t="n">
        <v>1.25</v>
      </c>
      <c r="D3075" s="41" t="n">
        <v>1.5898</v>
      </c>
      <c r="E3075" s="41" t="n">
        <v>1</v>
      </c>
      <c r="F3075" s="41" t="n">
        <v>0.87</v>
      </c>
      <c r="G3075" s="41" t="n">
        <v>0.777777778</v>
      </c>
      <c r="H3075" s="42" t="n"/>
      <c r="I3075" s="42" t="n"/>
      <c r="J3075" s="42" t="n"/>
      <c r="K3075" s="42" t="inlineStr">
        <is>
          <t>Premium</t>
        </is>
      </c>
      <c r="L3075" s="42" t="inlineStr">
        <is>
          <t>Adjunct</t>
        </is>
      </c>
      <c r="M3075" s="42" t="inlineStr">
        <is>
          <t>Ela Cross</t>
        </is>
      </c>
    </row>
    <row r="3076">
      <c r="A3076" s="42" t="inlineStr">
        <is>
          <t>Silvester Harrison</t>
        </is>
      </c>
      <c r="B3076" s="42" t="inlineStr">
        <is>
          <t>5/17/26 - 6/13/26</t>
        </is>
      </c>
      <c r="C3076" s="41" t="n">
        <v>0.7857</v>
      </c>
      <c r="D3076" s="41" t="n">
        <v>1.0218</v>
      </c>
      <c r="E3076" s="41" t="n">
        <v>0.980952381</v>
      </c>
      <c r="F3076" s="41" t="n">
        <v>0.923</v>
      </c>
      <c r="G3076" s="41" t="n">
        <v>0.695652174</v>
      </c>
      <c r="H3076" s="42" t="n"/>
      <c r="I3076" s="43" t="inlineStr">
        <is>
          <t>0/2</t>
        </is>
      </c>
      <c r="J3076" s="41" t="n">
        <v>0</v>
      </c>
      <c r="K3076" s="42" t="inlineStr">
        <is>
          <t>Distinguished</t>
        </is>
      </c>
      <c r="L3076" s="42" t="inlineStr">
        <is>
          <t>Professional</t>
        </is>
      </c>
      <c r="M3076" s="42" t="inlineStr">
        <is>
          <t>Ela Cross</t>
        </is>
      </c>
    </row>
    <row r="3077">
      <c r="A3077" s="42" t="inlineStr">
        <is>
          <t>Skye Silmenna</t>
        </is>
      </c>
      <c r="B3077" s="42" t="inlineStr">
        <is>
          <t>5/17/26 - 6/13/26</t>
        </is>
      </c>
      <c r="C3077" s="41" t="n">
        <v>0.5083</v>
      </c>
      <c r="D3077" s="41" t="n">
        <v>0.977</v>
      </c>
      <c r="E3077" s="41" t="n">
        <v>0.966666667</v>
      </c>
      <c r="F3077" s="41" t="n">
        <v>0.487</v>
      </c>
      <c r="G3077" s="41" t="n">
        <v>0.4</v>
      </c>
      <c r="H3077" s="42" t="n"/>
      <c r="I3077" s="43" t="inlineStr">
        <is>
          <t>4/5</t>
        </is>
      </c>
      <c r="J3077" s="41" t="n">
        <v>0.8</v>
      </c>
      <c r="K3077" s="42" t="inlineStr">
        <is>
          <t>Distinguished</t>
        </is>
      </c>
      <c r="L3077" s="42" t="inlineStr">
        <is>
          <t>Professional</t>
        </is>
      </c>
      <c r="M3077" s="42" t="inlineStr">
        <is>
          <t>Annelies de Groot</t>
        </is>
      </c>
    </row>
    <row r="3078">
      <c r="A3078" s="42" t="inlineStr">
        <is>
          <t>Sonja Tomasko</t>
        </is>
      </c>
      <c r="B3078" s="42" t="inlineStr">
        <is>
          <t>5/17/26 - 6/13/26</t>
        </is>
      </c>
      <c r="C3078" s="41" t="n">
        <v>0.3542</v>
      </c>
      <c r="D3078" s="41" t="n">
        <v>1.1086</v>
      </c>
      <c r="E3078" s="41" t="n">
        <v>0.972222222</v>
      </c>
      <c r="F3078" s="41" t="n">
        <v>0.892</v>
      </c>
      <c r="G3078" s="41" t="n">
        <v>0.285714286</v>
      </c>
      <c r="H3078" s="42" t="n"/>
      <c r="I3078" s="43" t="n"/>
      <c r="J3078" s="41" t="n"/>
      <c r="K3078" s="42" t="inlineStr">
        <is>
          <t>Premium</t>
        </is>
      </c>
      <c r="L3078" s="42" t="inlineStr">
        <is>
          <t>Professional</t>
        </is>
      </c>
      <c r="M3078" s="42" t="inlineStr">
        <is>
          <t>Ian Plamondon</t>
        </is>
      </c>
    </row>
    <row r="3079">
      <c r="A3079" s="42" t="inlineStr">
        <is>
          <t>Stacey Jones</t>
        </is>
      </c>
      <c r="B3079" s="42" t="inlineStr">
        <is>
          <t>5/17/26 - 6/13/26</t>
        </is>
      </c>
      <c r="C3079" s="41" t="n">
        <v>0.9583</v>
      </c>
      <c r="D3079" s="41" t="n">
        <v>1.2539</v>
      </c>
      <c r="E3079" s="41" t="n">
        <v>1</v>
      </c>
      <c r="F3079" s="41" t="n">
        <v>0.743</v>
      </c>
      <c r="G3079" s="41" t="n">
        <v>0.545454545</v>
      </c>
      <c r="H3079" s="42" t="n"/>
      <c r="I3079" s="43" t="n"/>
      <c r="J3079" s="41" t="n"/>
      <c r="K3079" s="42" t="inlineStr">
        <is>
          <t>Distinguished</t>
        </is>
      </c>
      <c r="L3079" s="42" t="inlineStr">
        <is>
          <t>Adjunct</t>
        </is>
      </c>
      <c r="M3079" s="42" t="inlineStr">
        <is>
          <t>Annelies de Groot</t>
        </is>
      </c>
    </row>
    <row r="3080">
      <c r="A3080" s="42" t="inlineStr">
        <is>
          <t>Steven Colome</t>
        </is>
      </c>
      <c r="B3080" s="42" t="inlineStr">
        <is>
          <t>5/17/26 - 6/13/26</t>
        </is>
      </c>
      <c r="C3080" s="41" t="n">
        <v>0.6354</v>
      </c>
      <c r="D3080" s="41" t="n">
        <v>0.9609</v>
      </c>
      <c r="E3080" s="41" t="n">
        <v>0.892857143</v>
      </c>
      <c r="F3080" s="41" t="n">
        <v>0.611</v>
      </c>
      <c r="G3080" s="41" t="n">
        <v>0.833333333</v>
      </c>
      <c r="H3080" s="42" t="n"/>
      <c r="I3080" s="43" t="inlineStr">
        <is>
          <t>0/1</t>
        </is>
      </c>
      <c r="J3080" s="41" t="n">
        <v>0</v>
      </c>
      <c r="K3080" s="42" t="inlineStr">
        <is>
          <t>Distinguished</t>
        </is>
      </c>
      <c r="L3080" s="42" t="inlineStr">
        <is>
          <t>Adjunct</t>
        </is>
      </c>
      <c r="M3080" s="42" t="inlineStr">
        <is>
          <t>Ela Cross</t>
        </is>
      </c>
    </row>
    <row r="3081">
      <c r="A3081" s="42" t="inlineStr">
        <is>
          <t>Sunho Kum</t>
        </is>
      </c>
      <c r="B3081" s="42" t="inlineStr">
        <is>
          <t>5/17/26 - 6/13/26</t>
        </is>
      </c>
      <c r="C3081" s="41" t="n">
        <v>1.2292</v>
      </c>
      <c r="D3081" s="41" t="n">
        <v>1.1445</v>
      </c>
      <c r="E3081" s="41" t="n">
        <v>1</v>
      </c>
      <c r="F3081" s="41" t="n">
        <v>1</v>
      </c>
      <c r="G3081" s="41" t="n">
        <v>1</v>
      </c>
      <c r="H3081" s="42" t="n"/>
      <c r="I3081" s="42" t="n"/>
      <c r="J3081" s="42" t="n"/>
      <c r="K3081" s="42" t="inlineStr">
        <is>
          <t>Distinguished</t>
        </is>
      </c>
      <c r="L3081" s="42" t="inlineStr">
        <is>
          <t>Adjunct</t>
        </is>
      </c>
      <c r="M3081" s="42" t="inlineStr">
        <is>
          <t>Ela Cross</t>
        </is>
      </c>
    </row>
    <row r="3082">
      <c r="A3082" s="42" t="inlineStr">
        <is>
          <t>Syrae Jennings</t>
        </is>
      </c>
      <c r="B3082" s="42" t="inlineStr">
        <is>
          <t>5/17/26 - 6/13/26</t>
        </is>
      </c>
      <c r="C3082" s="41" t="n">
        <v>0.75</v>
      </c>
      <c r="D3082" s="41" t="n">
        <v>1.4766</v>
      </c>
      <c r="E3082" s="41" t="n">
        <v>1</v>
      </c>
      <c r="F3082" s="41" t="n">
        <v>1</v>
      </c>
      <c r="G3082" s="41" t="n">
        <v>0.666666667</v>
      </c>
      <c r="H3082" s="42" t="n"/>
      <c r="I3082" s="43" t="inlineStr">
        <is>
          <t>0/1</t>
        </is>
      </c>
      <c r="J3082" s="41" t="n">
        <v>0</v>
      </c>
      <c r="K3082" s="42" t="inlineStr">
        <is>
          <t>Advanced</t>
        </is>
      </c>
      <c r="L3082" s="42" t="inlineStr">
        <is>
          <t>Adjunct</t>
        </is>
      </c>
      <c r="M3082" s="42" t="inlineStr">
        <is>
          <t>Ian Plamondon</t>
        </is>
      </c>
    </row>
    <row r="3083">
      <c r="A3083" s="42" t="inlineStr">
        <is>
          <t>Taryn Parks</t>
        </is>
      </c>
      <c r="B3083" s="42" t="inlineStr">
        <is>
          <t>5/17/26 - 6/13/26</t>
        </is>
      </c>
      <c r="C3083" s="41" t="n">
        <v>0.375</v>
      </c>
      <c r="D3083" s="41" t="n">
        <v>0.8854</v>
      </c>
      <c r="E3083" s="41" t="n">
        <v>1</v>
      </c>
      <c r="F3083" s="41" t="n">
        <v>0.733</v>
      </c>
      <c r="G3083" s="41" t="n">
        <v>0.4</v>
      </c>
      <c r="H3083" s="42" t="n"/>
      <c r="I3083" s="43" t="inlineStr">
        <is>
          <t>1/1</t>
        </is>
      </c>
      <c r="J3083" s="53" t="n">
        <v>1</v>
      </c>
      <c r="K3083" s="42" t="inlineStr">
        <is>
          <t>Advanced</t>
        </is>
      </c>
      <c r="L3083" s="42" t="inlineStr">
        <is>
          <t>Adjunct</t>
        </is>
      </c>
      <c r="M3083" s="42" t="inlineStr">
        <is>
          <t>Annelies de Groot</t>
        </is>
      </c>
    </row>
    <row r="3084">
      <c r="A3084" s="42" t="inlineStr">
        <is>
          <t>Tea Stewart</t>
        </is>
      </c>
      <c r="B3084" s="42" t="inlineStr">
        <is>
          <t>5/17/26 - 6/13/26</t>
        </is>
      </c>
      <c r="C3084" s="41" t="n">
        <v>0.4375</v>
      </c>
      <c r="D3084" s="41" t="n">
        <v>1.0039</v>
      </c>
      <c r="E3084" s="41" t="n">
        <v>0.947368421</v>
      </c>
      <c r="F3084" s="41" t="n">
        <v>0.846</v>
      </c>
      <c r="G3084" s="41" t="n">
        <v>0</v>
      </c>
      <c r="H3084" s="42" t="n"/>
      <c r="I3084" s="42" t="n"/>
      <c r="J3084" s="42" t="n"/>
      <c r="K3084" s="42" t="inlineStr">
        <is>
          <t>Distinguished</t>
        </is>
      </c>
      <c r="L3084" s="42" t="inlineStr">
        <is>
          <t>Adjunct</t>
        </is>
      </c>
      <c r="M3084" s="42" t="inlineStr">
        <is>
          <t>Kristin Haase-Alvey</t>
        </is>
      </c>
    </row>
    <row r="3085">
      <c r="A3085" s="42" t="inlineStr">
        <is>
          <t>Teresa Fuller</t>
        </is>
      </c>
      <c r="B3085" s="42" t="inlineStr">
        <is>
          <t>5/17/26 - 6/13/26</t>
        </is>
      </c>
      <c r="C3085" s="41" t="n">
        <v>0.8542</v>
      </c>
      <c r="D3085" s="41" t="n">
        <v>0.9297</v>
      </c>
      <c r="E3085" s="41" t="n">
        <v>0.973684211</v>
      </c>
      <c r="F3085" s="41" t="n">
        <v>0.8100000000000001</v>
      </c>
      <c r="G3085" s="41" t="n">
        <v>0.777777778</v>
      </c>
      <c r="H3085" s="42" t="n"/>
      <c r="I3085" s="43" t="inlineStr">
        <is>
          <t>1/1</t>
        </is>
      </c>
      <c r="J3085" s="53" t="n">
        <v>1</v>
      </c>
      <c r="K3085" s="42" t="inlineStr">
        <is>
          <t>Advanced</t>
        </is>
      </c>
      <c r="L3085" s="42" t="inlineStr">
        <is>
          <t>Adjunct</t>
        </is>
      </c>
      <c r="M3085" s="42" t="inlineStr">
        <is>
          <t>Ela Cross</t>
        </is>
      </c>
    </row>
    <row r="3086">
      <c r="A3086" s="42" t="inlineStr">
        <is>
          <t>Tim Page</t>
        </is>
      </c>
      <c r="B3086" s="42" t="inlineStr">
        <is>
          <t>5/17/26 - 6/13/26</t>
        </is>
      </c>
      <c r="C3086" s="41" t="n">
        <v>0.2071</v>
      </c>
      <c r="D3086" s="41" t="n">
        <v>1.0945</v>
      </c>
      <c r="E3086" s="41" t="n">
        <v>1</v>
      </c>
      <c r="F3086" s="41" t="n">
        <v>0.786</v>
      </c>
      <c r="G3086" s="41" t="n">
        <v>0</v>
      </c>
      <c r="H3086" s="42" t="n"/>
      <c r="I3086" s="43" t="inlineStr">
        <is>
          <t>1/5</t>
        </is>
      </c>
      <c r="J3086" s="41" t="n">
        <v>0.2</v>
      </c>
      <c r="K3086" s="42" t="inlineStr">
        <is>
          <t>Advanced</t>
        </is>
      </c>
      <c r="L3086" s="42" t="inlineStr">
        <is>
          <t>Professional</t>
        </is>
      </c>
      <c r="M3086" s="42" t="inlineStr">
        <is>
          <t>Annelies de Groot</t>
        </is>
      </c>
    </row>
    <row r="3087">
      <c r="A3087" s="42" t="inlineStr">
        <is>
          <t>Tim Schlotzhauer</t>
        </is>
      </c>
      <c r="B3087" s="42" t="inlineStr">
        <is>
          <t>5/17/26 - 6/13/26</t>
        </is>
      </c>
      <c r="C3087" s="41" t="n">
        <v>0.5958</v>
      </c>
      <c r="D3087" s="41" t="n">
        <v>1.4967</v>
      </c>
      <c r="E3087" s="41" t="n">
        <v>1</v>
      </c>
      <c r="F3087" s="41" t="n">
        <v>0.977</v>
      </c>
      <c r="G3087" s="41" t="n">
        <v>1</v>
      </c>
      <c r="H3087" s="42" t="n"/>
      <c r="I3087" s="43" t="inlineStr">
        <is>
          <t>2/2</t>
        </is>
      </c>
      <c r="J3087" s="41" t="n">
        <v>1</v>
      </c>
      <c r="K3087" s="42" t="inlineStr">
        <is>
          <t>Premium</t>
        </is>
      </c>
      <c r="L3087" s="42" t="inlineStr">
        <is>
          <t>Professional</t>
        </is>
      </c>
      <c r="M3087" s="42" t="inlineStr">
        <is>
          <t>Geoff St. Marie</t>
        </is>
      </c>
    </row>
    <row r="3088">
      <c r="A3088" s="42" t="inlineStr">
        <is>
          <t>Tom Pluth</t>
        </is>
      </c>
      <c r="B3088" s="42" t="inlineStr">
        <is>
          <t>5/17/26 - 6/13/26</t>
        </is>
      </c>
      <c r="C3088" s="41" t="n">
        <v>0.3958</v>
      </c>
      <c r="D3088" s="41" t="n">
        <v>1.1953</v>
      </c>
      <c r="E3088" s="41" t="n">
        <v>0.8823529409999999</v>
      </c>
      <c r="F3088" s="41" t="n">
        <v>1</v>
      </c>
      <c r="G3088" s="41" t="n">
        <v>0.714285714</v>
      </c>
      <c r="H3088" s="42" t="n"/>
      <c r="I3088" s="43" t="n"/>
      <c r="J3088" s="41" t="n"/>
      <c r="K3088" s="42" t="inlineStr">
        <is>
          <t>Distinguished</t>
        </is>
      </c>
      <c r="L3088" s="42" t="inlineStr">
        <is>
          <t>Adjunct</t>
        </is>
      </c>
      <c r="M3088" s="42" t="inlineStr">
        <is>
          <t>Ela Cross</t>
        </is>
      </c>
    </row>
    <row r="3089">
      <c r="A3089" s="42" t="inlineStr">
        <is>
          <t>Tommaso Marsella</t>
        </is>
      </c>
      <c r="B3089" s="42" t="inlineStr">
        <is>
          <t>5/17/26 - 6/13/26</t>
        </is>
      </c>
      <c r="C3089" s="41" t="n">
        <v>0.9792</v>
      </c>
      <c r="D3089" s="41" t="n">
        <v>1.5469</v>
      </c>
      <c r="E3089" s="41" t="n">
        <v>1</v>
      </c>
      <c r="F3089" s="41" t="n">
        <v>0.966</v>
      </c>
      <c r="G3089" s="41" t="n">
        <v>0.777777778</v>
      </c>
      <c r="H3089" s="42" t="n"/>
      <c r="I3089" s="43" t="inlineStr">
        <is>
          <t>1/1</t>
        </is>
      </c>
      <c r="J3089" s="53" t="n">
        <v>1</v>
      </c>
      <c r="K3089" s="42" t="inlineStr">
        <is>
          <t>Distinguished</t>
        </is>
      </c>
      <c r="L3089" s="42" t="inlineStr">
        <is>
          <t>Adjunct</t>
        </is>
      </c>
      <c r="M3089" s="42" t="inlineStr">
        <is>
          <t>Ian Plamondon</t>
        </is>
      </c>
    </row>
    <row r="3090">
      <c r="A3090" s="42" t="inlineStr">
        <is>
          <t>Trevor Ferguson</t>
        </is>
      </c>
      <c r="B3090" s="42" t="inlineStr">
        <is>
          <t>5/17/26 - 6/13/26</t>
        </is>
      </c>
      <c r="C3090" s="41" t="n">
        <v>0.9</v>
      </c>
      <c r="D3090" s="41" t="n">
        <v>1.0329</v>
      </c>
      <c r="E3090" s="41" t="n">
        <v>1</v>
      </c>
      <c r="F3090" s="41" t="n">
        <v>0.981</v>
      </c>
      <c r="G3090" s="41" t="n">
        <v>0.833333333</v>
      </c>
      <c r="H3090" s="42" t="n"/>
      <c r="I3090" s="43" t="inlineStr">
        <is>
          <t>2/2</t>
        </is>
      </c>
      <c r="J3090" s="41" t="n">
        <v>1</v>
      </c>
      <c r="K3090" s="42" t="inlineStr">
        <is>
          <t>Distinguished</t>
        </is>
      </c>
      <c r="L3090" s="42" t="inlineStr">
        <is>
          <t>Professional</t>
        </is>
      </c>
      <c r="M3090" s="42" t="inlineStr">
        <is>
          <t>Geoff St. Marie</t>
        </is>
      </c>
    </row>
    <row r="3091">
      <c r="A3091" s="42" t="inlineStr">
        <is>
          <t>Tyler Greer</t>
        </is>
      </c>
      <c r="B3091" s="42" t="inlineStr">
        <is>
          <t>5/17/26 - 6/13/26</t>
        </is>
      </c>
      <c r="C3091" s="41" t="n">
        <v>0.7417</v>
      </c>
      <c r="D3091" s="41" t="n">
        <v>0.8502999999999999</v>
      </c>
      <c r="E3091" s="41" t="n">
        <v>0.894736842</v>
      </c>
      <c r="F3091" s="41" t="n">
        <v>0.86</v>
      </c>
      <c r="G3091" s="41" t="n">
        <v>1</v>
      </c>
      <c r="H3091" s="42" t="n"/>
      <c r="I3091" s="43" t="inlineStr">
        <is>
          <t>1/1</t>
        </is>
      </c>
      <c r="J3091" s="53" t="n">
        <v>1</v>
      </c>
      <c r="K3091" s="42" t="inlineStr">
        <is>
          <t>Distinguished</t>
        </is>
      </c>
      <c r="L3091" s="42" t="inlineStr">
        <is>
          <t>Professional</t>
        </is>
      </c>
      <c r="M3091" s="42" t="inlineStr">
        <is>
          <t>Kristin Haase-Alvey</t>
        </is>
      </c>
    </row>
    <row r="3092">
      <c r="A3092" s="42" t="inlineStr">
        <is>
          <t>Tyler Henry</t>
        </is>
      </c>
      <c r="B3092" s="42" t="inlineStr">
        <is>
          <t>5/17/26 - 6/13/26</t>
        </is>
      </c>
      <c r="C3092" s="41" t="n">
        <v>0.8917</v>
      </c>
      <c r="D3092" s="41" t="n">
        <v>1.1118</v>
      </c>
      <c r="E3092" s="41" t="n">
        <v>0.98</v>
      </c>
      <c r="F3092" s="41" t="n">
        <v>0.986</v>
      </c>
      <c r="G3092" s="41" t="n">
        <v>0.777777778</v>
      </c>
      <c r="H3092" s="42" t="n"/>
      <c r="I3092" s="43" t="inlineStr">
        <is>
          <t>4/4</t>
        </is>
      </c>
      <c r="J3092" s="41" t="n">
        <v>1</v>
      </c>
      <c r="K3092" s="42" t="inlineStr">
        <is>
          <t>Distinguished</t>
        </is>
      </c>
      <c r="L3092" s="42" t="inlineStr">
        <is>
          <t>Professional</t>
        </is>
      </c>
      <c r="M3092" s="42" t="inlineStr">
        <is>
          <t>Annelies de Groot</t>
        </is>
      </c>
    </row>
    <row r="3093">
      <c r="A3093" s="42" t="inlineStr">
        <is>
          <t>Tyler Thornton</t>
        </is>
      </c>
      <c r="B3093" s="42" t="inlineStr">
        <is>
          <t>5/17/26 - 6/13/26</t>
        </is>
      </c>
      <c r="C3093" s="41" t="n">
        <v>0.8417</v>
      </c>
      <c r="D3093" s="41" t="n">
        <v>1.0329</v>
      </c>
      <c r="E3093" s="41" t="n">
        <v>1</v>
      </c>
      <c r="F3093" s="41" t="n">
        <v>0.9379999999999999</v>
      </c>
      <c r="G3093" s="41" t="n">
        <v>0.666666667</v>
      </c>
      <c r="H3093" s="42" t="n"/>
      <c r="I3093" s="43" t="inlineStr">
        <is>
          <t>1/3</t>
        </is>
      </c>
      <c r="J3093" s="41" t="n">
        <v>0.33</v>
      </c>
      <c r="K3093" s="42" t="inlineStr">
        <is>
          <t>Distinguished</t>
        </is>
      </c>
      <c r="L3093" s="42" t="inlineStr">
        <is>
          <t>Professional</t>
        </is>
      </c>
      <c r="M3093" s="42" t="inlineStr">
        <is>
          <t>Kristin Haase-Alvey</t>
        </is>
      </c>
    </row>
    <row r="3094">
      <c r="A3094" s="42" t="inlineStr">
        <is>
          <t>Valdenis Iancu</t>
        </is>
      </c>
      <c r="B3094" s="42" t="inlineStr">
        <is>
          <t>5/17/26 - 6/13/26</t>
        </is>
      </c>
      <c r="C3094" s="41" t="n">
        <v>0.5583</v>
      </c>
      <c r="D3094" s="41" t="n">
        <v>1.0181</v>
      </c>
      <c r="E3094" s="41" t="n">
        <v>0.984375</v>
      </c>
      <c r="F3094" s="41" t="n">
        <v>1</v>
      </c>
      <c r="G3094" s="41" t="n">
        <v>1</v>
      </c>
      <c r="H3094" s="42" t="n"/>
      <c r="I3094" s="42" t="n"/>
      <c r="J3094" s="42" t="n"/>
      <c r="K3094" s="42" t="inlineStr">
        <is>
          <t>Premium</t>
        </is>
      </c>
      <c r="L3094" s="42" t="inlineStr">
        <is>
          <t>Professional</t>
        </is>
      </c>
      <c r="M3094" s="42" t="inlineStr">
        <is>
          <t>Ian Plamondon</t>
        </is>
      </c>
    </row>
    <row r="3095">
      <c r="A3095" s="42" t="inlineStr">
        <is>
          <t>Valerie Duran</t>
        </is>
      </c>
      <c r="B3095" s="42" t="inlineStr">
        <is>
          <t>5/17/26 - 6/13/26</t>
        </is>
      </c>
      <c r="C3095" s="41" t="n">
        <v>0.8875</v>
      </c>
      <c r="D3095" s="41" t="n">
        <v>1.2083</v>
      </c>
      <c r="E3095" s="41" t="n">
        <v>0.984848485</v>
      </c>
      <c r="F3095" s="41" t="n">
        <v>0.959</v>
      </c>
      <c r="G3095" s="41" t="n">
        <v>0.909090909</v>
      </c>
      <c r="H3095" s="42" t="n"/>
      <c r="I3095" s="43" t="n"/>
      <c r="J3095" s="41" t="n"/>
      <c r="K3095" s="42" t="inlineStr">
        <is>
          <t>Advanced</t>
        </is>
      </c>
      <c r="L3095" s="42" t="inlineStr">
        <is>
          <t>Adjunct</t>
        </is>
      </c>
      <c r="M3095" s="42" t="inlineStr">
        <is>
          <t>Ela Cross</t>
        </is>
      </c>
    </row>
    <row r="3096">
      <c r="A3096" s="42" t="inlineStr">
        <is>
          <t>Vincent Cross</t>
        </is>
      </c>
      <c r="B3096" s="42" t="inlineStr">
        <is>
          <t>5/17/26 - 6/13/26</t>
        </is>
      </c>
      <c r="C3096" s="41" t="n">
        <v>0.7417</v>
      </c>
      <c r="D3096" s="41" t="n">
        <v>1.0428</v>
      </c>
      <c r="E3096" s="41" t="n">
        <v>1</v>
      </c>
      <c r="F3096" s="41" t="n">
        <v>0.8090000000000001</v>
      </c>
      <c r="G3096" s="41" t="n">
        <v>0.5625</v>
      </c>
      <c r="H3096" s="42" t="n"/>
      <c r="I3096" s="43" t="inlineStr">
        <is>
          <t>1/2</t>
        </is>
      </c>
      <c r="J3096" s="41" t="n">
        <v>0.5</v>
      </c>
      <c r="K3096" s="42" t="inlineStr">
        <is>
          <t>Distinguished</t>
        </is>
      </c>
      <c r="L3096" s="42" t="inlineStr">
        <is>
          <t>Professional</t>
        </is>
      </c>
      <c r="M3096" s="42" t="inlineStr">
        <is>
          <t>Kristin Haase-Alvey</t>
        </is>
      </c>
    </row>
    <row r="3097">
      <c r="A3097" s="42" t="inlineStr">
        <is>
          <t>Yvanna Ramirez</t>
        </is>
      </c>
      <c r="B3097" s="42" t="inlineStr">
        <is>
          <t>5/17/26 - 6/13/26</t>
        </is>
      </c>
      <c r="C3097" s="41" t="n">
        <v>0.3333</v>
      </c>
      <c r="D3097" s="41" t="n">
        <v>0.6183999999999999</v>
      </c>
      <c r="E3097" s="41" t="n">
        <v>0.972222222</v>
      </c>
      <c r="F3097" s="41" t="n">
        <v>0.85</v>
      </c>
      <c r="G3097" s="41" t="n">
        <v>0.583333333</v>
      </c>
      <c r="H3097" s="42" t="n"/>
      <c r="I3097" s="43" t="inlineStr">
        <is>
          <t>0/1</t>
        </is>
      </c>
      <c r="J3097" s="41" t="n">
        <v>0</v>
      </c>
      <c r="K3097" s="42" t="inlineStr">
        <is>
          <t>Distinguished</t>
        </is>
      </c>
      <c r="L3097" s="42" t="inlineStr">
        <is>
          <t>Professional</t>
        </is>
      </c>
      <c r="M3097" s="42" t="inlineStr">
        <is>
          <t>Ela Cross</t>
        </is>
      </c>
    </row>
    <row r="3098">
      <c r="A3098" s="42" t="inlineStr">
        <is>
          <t>Zach McFatridge</t>
        </is>
      </c>
      <c r="B3098" s="42" t="inlineStr">
        <is>
          <t>5/17/26 - 6/13/26</t>
        </is>
      </c>
      <c r="C3098" s="41" t="n">
        <v>1.1107</v>
      </c>
      <c r="D3098" s="41" t="n">
        <v>0.9462</v>
      </c>
      <c r="E3098" s="41" t="n">
        <v>0.993243243</v>
      </c>
      <c r="F3098" s="41" t="n">
        <v>0.9429999999999999</v>
      </c>
      <c r="G3098" s="41" t="n">
        <v>0.928571429</v>
      </c>
      <c r="H3098" s="42" t="n"/>
      <c r="I3098" s="43" t="inlineStr">
        <is>
          <t>5/7</t>
        </is>
      </c>
      <c r="J3098" s="41">
        <f>5/7</f>
        <v/>
      </c>
      <c r="K3098" s="42" t="inlineStr">
        <is>
          <t>Distinguished</t>
        </is>
      </c>
      <c r="L3098" s="42" t="inlineStr">
        <is>
          <t>Professional</t>
        </is>
      </c>
      <c r="M3098" s="42" t="inlineStr">
        <is>
          <t>Annelies de Groot</t>
        </is>
      </c>
    </row>
    <row r="3099">
      <c r="A3099" s="42" t="inlineStr">
        <is>
          <t>Zachary Doenges</t>
        </is>
      </c>
      <c r="B3099" s="42" t="inlineStr">
        <is>
          <t>5/17/26 - 6/13/26</t>
        </is>
      </c>
      <c r="C3099" s="41" t="n">
        <v>1.0393</v>
      </c>
      <c r="D3099" s="41" t="n">
        <v>1.3517</v>
      </c>
      <c r="E3099" s="41" t="n">
        <v>1</v>
      </c>
      <c r="F3099" s="41" t="n">
        <v>0.962</v>
      </c>
      <c r="G3099" s="41" t="n">
        <v>1</v>
      </c>
      <c r="H3099" s="42" t="n"/>
      <c r="I3099" s="43" t="inlineStr">
        <is>
          <t>5/5</t>
        </is>
      </c>
      <c r="J3099" s="41" t="n">
        <v>1</v>
      </c>
      <c r="K3099" s="42" t="inlineStr">
        <is>
          <t>Premium</t>
        </is>
      </c>
      <c r="L3099" s="42" t="inlineStr">
        <is>
          <t>Professional</t>
        </is>
      </c>
      <c r="M3099" s="42" t="inlineStr">
        <is>
          <t>Ian Plamondon</t>
        </is>
      </c>
    </row>
    <row r="3100">
      <c r="A3100" s="42" t="inlineStr">
        <is>
          <t>Zack Anthony</t>
        </is>
      </c>
      <c r="B3100" s="42" t="inlineStr">
        <is>
          <t>5/17/26 - 6/13/26</t>
        </is>
      </c>
      <c r="C3100" s="41" t="n">
        <v>0.9333</v>
      </c>
      <c r="D3100" s="41" t="n">
        <v>1.2039</v>
      </c>
      <c r="E3100" s="41" t="n">
        <v>0.951923077</v>
      </c>
      <c r="F3100" s="41" t="n">
        <v>0.969</v>
      </c>
      <c r="G3100" s="41" t="n">
        <v>0.736842105</v>
      </c>
      <c r="H3100" s="42" t="n"/>
      <c r="I3100" s="43" t="inlineStr">
        <is>
          <t>1/1</t>
        </is>
      </c>
      <c r="J3100" s="53" t="n">
        <v>1</v>
      </c>
      <c r="K3100" s="42" t="inlineStr">
        <is>
          <t>Distinguished</t>
        </is>
      </c>
      <c r="L3100" s="42" t="inlineStr">
        <is>
          <t>Professional</t>
        </is>
      </c>
      <c r="M3100" s="42" t="inlineStr">
        <is>
          <t>Kristin Haase-Alvey</t>
        </is>
      </c>
    </row>
    <row r="3101">
      <c r="A3101" s="42" t="inlineStr">
        <is>
          <t>Zack Robertson</t>
        </is>
      </c>
      <c r="B3101" s="42" t="inlineStr">
        <is>
          <t>5/17/26 - 6/13/26</t>
        </is>
      </c>
      <c r="C3101" s="41" t="n">
        <v>0.9583</v>
      </c>
      <c r="D3101" s="41" t="n">
        <v>0.9836</v>
      </c>
      <c r="E3101" s="41" t="n">
        <v>1</v>
      </c>
      <c r="F3101" s="41" t="n">
        <v>0.985</v>
      </c>
      <c r="G3101" s="41" t="n">
        <v>1</v>
      </c>
      <c r="H3101" s="42" t="n"/>
      <c r="I3101" s="43" t="inlineStr">
        <is>
          <t>4/6</t>
        </is>
      </c>
      <c r="J3101" s="41" t="n">
        <v>0.67</v>
      </c>
      <c r="K3101" s="42" t="inlineStr">
        <is>
          <t>Distinguished</t>
        </is>
      </c>
      <c r="L3101" s="42" t="inlineStr">
        <is>
          <t>Professional</t>
        </is>
      </c>
      <c r="M3101" s="42" t="inlineStr">
        <is>
          <t>Kristin Haase-Alvey</t>
        </is>
      </c>
    </row>
    <row r="3102">
      <c r="A3102" s="42" t="inlineStr">
        <is>
          <t>Zoe Shanley</t>
        </is>
      </c>
      <c r="B3102" s="42" t="inlineStr">
        <is>
          <t>5/17/26 - 6/13/26</t>
        </is>
      </c>
      <c r="C3102" s="41" t="n">
        <v>0.9071</v>
      </c>
      <c r="D3102" s="41" t="n">
        <v>0.9724</v>
      </c>
      <c r="E3102" s="41" t="n">
        <v>0.9916666669999999</v>
      </c>
      <c r="F3102" s="41" t="n">
        <v>1</v>
      </c>
      <c r="G3102" s="41" t="n">
        <v>0.863636364</v>
      </c>
      <c r="H3102" s="42" t="n"/>
      <c r="I3102" s="43" t="inlineStr">
        <is>
          <t>7/8</t>
        </is>
      </c>
      <c r="J3102" s="41">
        <f>7/8</f>
        <v/>
      </c>
      <c r="K3102" s="42" t="inlineStr">
        <is>
          <t>Distinguished</t>
        </is>
      </c>
      <c r="L3102" s="42" t="inlineStr">
        <is>
          <t>Professional</t>
        </is>
      </c>
      <c r="M3102" s="42" t="inlineStr">
        <is>
          <t>Ian Plamondon</t>
        </is>
      </c>
    </row>
    <row r="3103">
      <c r="A3103" s="42" t="inlineStr">
        <is>
          <t>Aaron Schneberger</t>
        </is>
      </c>
      <c r="B3103" s="42" t="inlineStr">
        <is>
          <t>6/14/26 - 7/11/26</t>
        </is>
      </c>
      <c r="C3103" s="41" t="n">
        <v>0.4542</v>
      </c>
      <c r="D3103" s="41" t="n">
        <v>0.9211</v>
      </c>
      <c r="E3103" s="41" t="n">
        <v>1</v>
      </c>
      <c r="F3103" s="41" t="n">
        <v>1</v>
      </c>
      <c r="G3103" s="41" t="n">
        <v>1</v>
      </c>
      <c r="H3103" s="42" t="n">
        <v>43</v>
      </c>
      <c r="I3103" s="55" t="inlineStr">
        <is>
          <t>6/9</t>
        </is>
      </c>
      <c r="J3103" s="41" t="n">
        <v>0.666666667</v>
      </c>
      <c r="K3103" s="42" t="inlineStr">
        <is>
          <t>Distinguished</t>
        </is>
      </c>
      <c r="L3103" s="42" t="inlineStr">
        <is>
          <t>Professional</t>
        </is>
      </c>
      <c r="M3103" s="42" t="inlineStr">
        <is>
          <t>Ian Plamondon</t>
        </is>
      </c>
    </row>
    <row r="3104">
      <c r="A3104" s="42" t="inlineStr">
        <is>
          <t>Akeema Williams</t>
        </is>
      </c>
      <c r="B3104" s="42" t="inlineStr">
        <is>
          <t>6/14/26 - 7/11/26</t>
        </is>
      </c>
      <c r="C3104" s="41" t="n">
        <v>0.5917</v>
      </c>
      <c r="D3104" s="41" t="n">
        <v>0.9605</v>
      </c>
      <c r="E3104" s="41" t="n">
        <v>1</v>
      </c>
      <c r="F3104" s="41" t="n">
        <v>1</v>
      </c>
      <c r="G3104" s="41" t="n">
        <v>0.571428571</v>
      </c>
      <c r="H3104" s="42" t="n">
        <v>90</v>
      </c>
      <c r="I3104" s="55" t="inlineStr">
        <is>
          <t>6/9</t>
        </is>
      </c>
      <c r="J3104" s="41" t="n">
        <v>0.666666667</v>
      </c>
      <c r="K3104" s="42" t="inlineStr">
        <is>
          <t>Distinguished</t>
        </is>
      </c>
      <c r="L3104" s="42" t="inlineStr">
        <is>
          <t>Professional</t>
        </is>
      </c>
      <c r="M3104" s="42" t="inlineStr">
        <is>
          <t>Geoff St. Marie</t>
        </is>
      </c>
    </row>
    <row r="3105">
      <c r="A3105" s="42" t="inlineStr">
        <is>
          <t>Alex Small</t>
        </is>
      </c>
      <c r="B3105" s="42" t="inlineStr">
        <is>
          <t>6/14/26 - 7/11/26</t>
        </is>
      </c>
      <c r="C3105" s="41" t="n">
        <v>0.5625</v>
      </c>
      <c r="D3105" s="41" t="n">
        <v>1.4766</v>
      </c>
      <c r="E3105" s="41" t="n">
        <v>1</v>
      </c>
      <c r="F3105" s="41" t="n">
        <v>1</v>
      </c>
      <c r="G3105" s="41" t="n">
        <v>0.333333333</v>
      </c>
      <c r="H3105" s="42" t="n">
        <v>15</v>
      </c>
      <c r="I3105" s="55" t="inlineStr">
        <is>
          <t>2/3</t>
        </is>
      </c>
      <c r="J3105" s="41" t="n">
        <v>0.666666667</v>
      </c>
      <c r="K3105" s="42" t="inlineStr">
        <is>
          <t>Premium</t>
        </is>
      </c>
      <c r="L3105" s="42" t="inlineStr">
        <is>
          <t>Adjunct</t>
        </is>
      </c>
      <c r="M3105" s="42" t="inlineStr">
        <is>
          <t>Ela Cross</t>
        </is>
      </c>
    </row>
    <row r="3106">
      <c r="A3106" s="42" t="inlineStr">
        <is>
          <t>Alexa Pinera</t>
        </is>
      </c>
      <c r="B3106" s="42" t="inlineStr">
        <is>
          <t>6/14/26 - 7/11/26</t>
        </is>
      </c>
      <c r="C3106" s="41" t="n">
        <v>0.4542</v>
      </c>
      <c r="D3106" s="41" t="n">
        <v>2.2083</v>
      </c>
      <c r="E3106" s="41" t="n">
        <v>0.977272727</v>
      </c>
      <c r="F3106" s="41" t="n">
        <v>1</v>
      </c>
      <c r="G3106" s="41" t="n">
        <v>0.75</v>
      </c>
      <c r="H3106" s="42" t="n">
        <v>32</v>
      </c>
      <c r="I3106" s="55" t="inlineStr">
        <is>
          <t>5/5</t>
        </is>
      </c>
      <c r="J3106" s="41" t="n">
        <v>1</v>
      </c>
      <c r="K3106" s="42" t="inlineStr">
        <is>
          <t>Premium</t>
        </is>
      </c>
      <c r="L3106" s="42" t="inlineStr">
        <is>
          <t>Professional</t>
        </is>
      </c>
      <c r="M3106" s="42" t="inlineStr">
        <is>
          <t>Ian Plamondon</t>
        </is>
      </c>
    </row>
    <row r="3107">
      <c r="A3107" s="42" t="inlineStr">
        <is>
          <t>Alexandra Berrios</t>
        </is>
      </c>
      <c r="B3107" s="42" t="inlineStr">
        <is>
          <t>6/14/26 - 7/11/26</t>
        </is>
      </c>
      <c r="C3107" s="41" t="n">
        <v>0.5625</v>
      </c>
      <c r="D3107" s="41" t="n">
        <v>1.1094</v>
      </c>
      <c r="E3107" s="41" t="n">
        <v>1</v>
      </c>
      <c r="F3107" s="41" t="n">
        <v>0.714</v>
      </c>
      <c r="G3107" s="41" t="n">
        <v>1</v>
      </c>
      <c r="H3107" s="42" t="n">
        <v>72</v>
      </c>
      <c r="I3107" s="55" t="inlineStr">
        <is>
          <t>1/4</t>
        </is>
      </c>
      <c r="J3107" s="41" t="n">
        <v>0.25</v>
      </c>
      <c r="K3107" s="42" t="inlineStr">
        <is>
          <t>Distinguished</t>
        </is>
      </c>
      <c r="L3107" s="42" t="inlineStr">
        <is>
          <t>Adjunct</t>
        </is>
      </c>
      <c r="M3107" s="42" t="inlineStr">
        <is>
          <t>Kristin Haase-Alvey</t>
        </is>
      </c>
    </row>
    <row r="3108">
      <c r="A3108" s="42" t="inlineStr">
        <is>
          <t>Alexis Boucher</t>
        </is>
      </c>
      <c r="B3108" s="42" t="inlineStr">
        <is>
          <t>6/14/26 - 7/11/26</t>
        </is>
      </c>
      <c r="C3108" s="41" t="n">
        <v>0.3542</v>
      </c>
      <c r="D3108" s="41" t="n">
        <v>0.8333</v>
      </c>
      <c r="E3108" s="41" t="n">
        <v>0.972222222</v>
      </c>
      <c r="F3108" s="41" t="n">
        <v>0.92</v>
      </c>
      <c r="G3108" s="41" t="n">
        <v>0.5</v>
      </c>
      <c r="H3108" s="42" t="n">
        <v>6</v>
      </c>
      <c r="I3108" s="55" t="inlineStr">
        <is>
          <t>3/4</t>
        </is>
      </c>
      <c r="J3108" s="41" t="n">
        <v>0.75</v>
      </c>
      <c r="K3108" s="42" t="inlineStr">
        <is>
          <t>Distinguished</t>
        </is>
      </c>
      <c r="L3108" s="42" t="inlineStr">
        <is>
          <t>Professional</t>
        </is>
      </c>
      <c r="M3108" s="42" t="inlineStr">
        <is>
          <t>Geoff St. Marie</t>
        </is>
      </c>
    </row>
    <row r="3109">
      <c r="A3109" s="42" t="inlineStr">
        <is>
          <t>Allison Peck</t>
        </is>
      </c>
      <c r="B3109" s="42" t="inlineStr">
        <is>
          <t>6/14/26 - 7/11/26</t>
        </is>
      </c>
      <c r="C3109" s="41" t="n">
        <v>0.4271</v>
      </c>
      <c r="D3109" s="41" t="n">
        <v>1.1094</v>
      </c>
      <c r="E3109" s="41" t="n">
        <v>1</v>
      </c>
      <c r="F3109" s="41" t="n">
        <v>0.875</v>
      </c>
      <c r="G3109" s="41" t="n">
        <v>1</v>
      </c>
      <c r="H3109" s="42" t="n">
        <v>0</v>
      </c>
      <c r="I3109" s="55" t="n"/>
      <c r="J3109" s="41" t="n"/>
      <c r="K3109" s="42" t="inlineStr">
        <is>
          <t>Distinguished</t>
        </is>
      </c>
      <c r="L3109" s="42" t="inlineStr">
        <is>
          <t>Adjunct</t>
        </is>
      </c>
      <c r="M3109" s="42" t="inlineStr">
        <is>
          <t>Kristin Haase-Alvey</t>
        </is>
      </c>
    </row>
    <row r="3110">
      <c r="A3110" s="42" t="inlineStr">
        <is>
          <t>Amber Maldonado</t>
        </is>
      </c>
      <c r="B3110" s="42" t="inlineStr">
        <is>
          <t>6/14/26 - 7/11/26</t>
        </is>
      </c>
      <c r="C3110" s="41" t="n">
        <v>0.3917</v>
      </c>
      <c r="D3110" s="41" t="n">
        <v>0.8174</v>
      </c>
      <c r="E3110" s="41" t="n">
        <v>0.909090909</v>
      </c>
      <c r="F3110" s="41" t="n">
        <v>0.806</v>
      </c>
      <c r="G3110" s="41" t="n">
        <v>1</v>
      </c>
      <c r="H3110" s="42" t="n">
        <v>63</v>
      </c>
      <c r="I3110" s="55" t="inlineStr">
        <is>
          <t>3/7</t>
        </is>
      </c>
      <c r="J3110" s="41" t="n">
        <v>0.428571429</v>
      </c>
      <c r="K3110" s="42" t="inlineStr">
        <is>
          <t>Distinguished</t>
        </is>
      </c>
      <c r="L3110" s="42" t="inlineStr">
        <is>
          <t>Professional</t>
        </is>
      </c>
      <c r="M3110" s="42" t="inlineStr">
        <is>
          <t>Annelies de Groot</t>
        </is>
      </c>
    </row>
    <row r="3111">
      <c r="A3111" s="42" t="inlineStr">
        <is>
          <t>Amelia Sain</t>
        </is>
      </c>
      <c r="B3111" s="42" t="inlineStr">
        <is>
          <t>6/14/26 - 7/11/26</t>
        </is>
      </c>
      <c r="C3111" s="41" t="n">
        <v>0.5417</v>
      </c>
      <c r="D3111" s="41" t="n">
        <v>1.1464</v>
      </c>
      <c r="E3111" s="41" t="n">
        <v>1</v>
      </c>
      <c r="F3111" s="41" t="n">
        <v>0.737</v>
      </c>
      <c r="G3111" s="41" t="n">
        <v>0</v>
      </c>
      <c r="H3111" s="42" t="n">
        <v>154</v>
      </c>
      <c r="I3111" s="55" t="inlineStr">
        <is>
          <t>2/10</t>
        </is>
      </c>
      <c r="J3111" s="41" t="n">
        <v>0.2</v>
      </c>
      <c r="K3111" s="42" t="inlineStr">
        <is>
          <t>Premium</t>
        </is>
      </c>
      <c r="L3111" s="42" t="inlineStr">
        <is>
          <t>Professional</t>
        </is>
      </c>
      <c r="M3111" s="42" t="inlineStr">
        <is>
          <t>Geoff St. Marie</t>
        </is>
      </c>
    </row>
    <row r="3112">
      <c r="A3112" s="42" t="inlineStr">
        <is>
          <t>Ana Heiser</t>
        </is>
      </c>
      <c r="B3112" s="42" t="inlineStr">
        <is>
          <t>6/14/26 - 7/11/26</t>
        </is>
      </c>
      <c r="C3112" s="41" t="n">
        <v>0.5667</v>
      </c>
      <c r="D3112" s="41" t="n">
        <v>1.3229</v>
      </c>
      <c r="E3112" s="41" t="n">
        <v>0.969230769</v>
      </c>
      <c r="F3112" s="41" t="n">
        <v>1</v>
      </c>
      <c r="G3112" s="41" t="n">
        <v>1</v>
      </c>
      <c r="H3112" s="42" t="n">
        <v>92</v>
      </c>
      <c r="I3112" s="55" t="inlineStr">
        <is>
          <t>5/5</t>
        </is>
      </c>
      <c r="J3112" s="41" t="n">
        <v>1</v>
      </c>
      <c r="K3112" s="42" t="inlineStr">
        <is>
          <t>Distinguished</t>
        </is>
      </c>
      <c r="L3112" s="42" t="inlineStr">
        <is>
          <t>Professional</t>
        </is>
      </c>
      <c r="M3112" s="42" t="inlineStr">
        <is>
          <t>Kristin Haase-Alvey</t>
        </is>
      </c>
    </row>
    <row r="3113">
      <c r="A3113" s="42" t="inlineStr">
        <is>
          <t>Andres Jarquin</t>
        </is>
      </c>
      <c r="B3113" s="42" t="inlineStr">
        <is>
          <t>6/14/26 - 7/11/26</t>
        </is>
      </c>
      <c r="C3113" s="41" t="n">
        <v>0.3417</v>
      </c>
      <c r="D3113" s="41" t="n">
        <v>0.8586</v>
      </c>
      <c r="E3113" s="41" t="n">
        <v>1</v>
      </c>
      <c r="F3113" s="41" t="n">
        <v>1</v>
      </c>
      <c r="G3113" s="41" t="n">
        <v>0.6</v>
      </c>
      <c r="H3113" s="42" t="n">
        <v>180</v>
      </c>
      <c r="I3113" s="55" t="inlineStr">
        <is>
          <t>0/3</t>
        </is>
      </c>
      <c r="J3113" s="41" t="n">
        <v>0</v>
      </c>
      <c r="K3113" s="42" t="inlineStr">
        <is>
          <t>Distinguished</t>
        </is>
      </c>
      <c r="L3113" s="42" t="inlineStr">
        <is>
          <t>Professional</t>
        </is>
      </c>
      <c r="M3113" s="42" t="inlineStr">
        <is>
          <t>Ian Plamondon</t>
        </is>
      </c>
    </row>
    <row r="3114">
      <c r="A3114" s="42" t="inlineStr">
        <is>
          <t>Andrew Brown</t>
        </is>
      </c>
      <c r="B3114" s="42" t="inlineStr">
        <is>
          <t>6/14/26 - 7/11/26</t>
        </is>
      </c>
      <c r="C3114" s="41" t="n">
        <v>0.925</v>
      </c>
      <c r="D3114" s="41" t="n">
        <v>1.3651</v>
      </c>
      <c r="E3114" s="41" t="n">
        <v>0.99</v>
      </c>
      <c r="F3114" s="41" t="n">
        <v>0.968</v>
      </c>
      <c r="G3114" s="41" t="n">
        <v>0.375</v>
      </c>
      <c r="H3114" s="42" t="n">
        <v>105.5</v>
      </c>
      <c r="I3114" s="55" t="inlineStr">
        <is>
          <t>9/16</t>
        </is>
      </c>
      <c r="J3114" s="41" t="n">
        <v>0.5625</v>
      </c>
      <c r="K3114" s="42" t="inlineStr">
        <is>
          <t>Distinguished</t>
        </is>
      </c>
      <c r="L3114" s="42" t="inlineStr">
        <is>
          <t>Professional</t>
        </is>
      </c>
      <c r="M3114" s="42" t="inlineStr">
        <is>
          <t>Geoff St. Marie</t>
        </is>
      </c>
    </row>
    <row r="3115">
      <c r="A3115" s="42" t="inlineStr">
        <is>
          <t>Andrew Frohmader</t>
        </is>
      </c>
      <c r="B3115" s="42" t="inlineStr">
        <is>
          <t>6/14/26 - 7/11/26</t>
        </is>
      </c>
      <c r="C3115" s="41" t="n"/>
      <c r="D3115" s="41" t="n"/>
      <c r="E3115" s="41" t="n"/>
      <c r="F3115" s="41" t="n"/>
      <c r="G3115" s="41" t="n"/>
      <c r="H3115" s="42" t="n">
        <v>0</v>
      </c>
      <c r="I3115" s="55" t="n"/>
      <c r="J3115" s="41" t="n"/>
      <c r="K3115" s="42" t="inlineStr">
        <is>
          <t>Distinguished</t>
        </is>
      </c>
      <c r="L3115" s="42" t="inlineStr">
        <is>
          <t>Professional</t>
        </is>
      </c>
      <c r="M3115" s="42" t="inlineStr">
        <is>
          <t>Katherine Marino</t>
        </is>
      </c>
    </row>
    <row r="3116">
      <c r="A3116" s="42" t="inlineStr">
        <is>
          <t>Andrew Gehlot</t>
        </is>
      </c>
      <c r="B3116" s="42" t="inlineStr">
        <is>
          <t>6/14/26 - 7/11/26</t>
        </is>
      </c>
      <c r="C3116" s="41" t="n">
        <v>0.5667</v>
      </c>
      <c r="D3116" s="41" t="n">
        <v>1.0625</v>
      </c>
      <c r="E3116" s="41" t="n">
        <v>0.938461538</v>
      </c>
      <c r="F3116" s="41" t="n">
        <v>0.825</v>
      </c>
      <c r="G3116" s="41" t="n">
        <v>0.444444444</v>
      </c>
      <c r="H3116" s="42" t="n">
        <v>12</v>
      </c>
      <c r="I3116" s="55" t="inlineStr">
        <is>
          <t>7/11</t>
        </is>
      </c>
      <c r="J3116" s="41" t="n">
        <v>0.636363636</v>
      </c>
      <c r="K3116" s="42" t="inlineStr">
        <is>
          <t>Premium</t>
        </is>
      </c>
      <c r="L3116" s="42" t="inlineStr">
        <is>
          <t>Professional</t>
        </is>
      </c>
      <c r="M3116" s="42" t="inlineStr">
        <is>
          <t>Ela Cross</t>
        </is>
      </c>
    </row>
    <row r="3117">
      <c r="A3117" s="42" t="inlineStr">
        <is>
          <t>Andrew League</t>
        </is>
      </c>
      <c r="B3117" s="42" t="inlineStr">
        <is>
          <t>6/14/26 - 7/11/26</t>
        </is>
      </c>
      <c r="C3117" s="41" t="n">
        <v>0.5625</v>
      </c>
      <c r="D3117" s="41" t="n">
        <v>0.9391</v>
      </c>
      <c r="E3117" s="41" t="n">
        <v>0.984375</v>
      </c>
      <c r="F3117" s="41" t="n">
        <v>0.9350000000000001</v>
      </c>
      <c r="G3117" s="41" t="n">
        <v>0.857142857</v>
      </c>
      <c r="H3117" s="42" t="n">
        <v>101</v>
      </c>
      <c r="I3117" s="55" t="inlineStr">
        <is>
          <t>3/3</t>
        </is>
      </c>
      <c r="J3117" s="41" t="n">
        <v>1</v>
      </c>
      <c r="K3117" s="42" t="inlineStr">
        <is>
          <t>Distinguished</t>
        </is>
      </c>
      <c r="L3117" s="42" t="inlineStr">
        <is>
          <t>Professional</t>
        </is>
      </c>
      <c r="M3117" s="42" t="inlineStr">
        <is>
          <t>Ian Plamondon</t>
        </is>
      </c>
    </row>
    <row r="3118">
      <c r="A3118" s="42" t="inlineStr">
        <is>
          <t>Anna Jasko</t>
        </is>
      </c>
      <c r="B3118" s="42" t="inlineStr">
        <is>
          <t>6/14/26 - 7/11/26</t>
        </is>
      </c>
      <c r="C3118" s="41" t="n">
        <v>0.5625</v>
      </c>
      <c r="D3118" s="41" t="n">
        <v>0.9342</v>
      </c>
      <c r="E3118" s="41" t="n">
        <v>1</v>
      </c>
      <c r="F3118" s="41" t="n">
        <v>1</v>
      </c>
      <c r="G3118" s="41" t="n">
        <v>0.818181818</v>
      </c>
      <c r="H3118" s="42" t="n">
        <v>276</v>
      </c>
      <c r="I3118" s="55" t="inlineStr">
        <is>
          <t>10/12</t>
        </is>
      </c>
      <c r="J3118" s="41" t="n">
        <v>0.833333333</v>
      </c>
      <c r="K3118" s="42" t="inlineStr">
        <is>
          <t>Distinguished</t>
        </is>
      </c>
      <c r="L3118" s="42" t="inlineStr">
        <is>
          <t>Professional</t>
        </is>
      </c>
      <c r="M3118" s="42" t="inlineStr">
        <is>
          <t>Ela Cross</t>
        </is>
      </c>
    </row>
    <row r="3119">
      <c r="A3119" s="42" t="inlineStr">
        <is>
          <t>Annie Sylvester</t>
        </is>
      </c>
      <c r="B3119" s="42" t="inlineStr">
        <is>
          <t>6/14/26 - 7/11/26</t>
        </is>
      </c>
      <c r="C3119" s="41" t="n">
        <v>0.6429</v>
      </c>
      <c r="D3119" s="41" t="n">
        <v>0.9593</v>
      </c>
      <c r="E3119" s="41" t="n">
        <v>1</v>
      </c>
      <c r="F3119" s="41" t="n">
        <v>1</v>
      </c>
      <c r="G3119" s="41" t="n">
        <v>0.545454545</v>
      </c>
      <c r="H3119" s="42" t="n">
        <v>143</v>
      </c>
      <c r="I3119" s="55" t="inlineStr">
        <is>
          <t>10/10</t>
        </is>
      </c>
      <c r="J3119" s="41" t="n">
        <v>1</v>
      </c>
      <c r="K3119" s="42" t="inlineStr">
        <is>
          <t>Distinguished</t>
        </is>
      </c>
      <c r="L3119" s="42" t="inlineStr">
        <is>
          <t>Professional</t>
        </is>
      </c>
      <c r="M3119" s="42" t="inlineStr">
        <is>
          <t>Ela Cross</t>
        </is>
      </c>
    </row>
    <row r="3120">
      <c r="A3120" s="42" t="inlineStr">
        <is>
          <t>Armand Brouty</t>
        </is>
      </c>
      <c r="B3120" s="42" t="inlineStr">
        <is>
          <t>6/14/26 - 7/11/26</t>
        </is>
      </c>
      <c r="C3120" s="41" t="n">
        <v>0.7875</v>
      </c>
      <c r="D3120" s="41" t="n">
        <v>1.5296</v>
      </c>
      <c r="E3120" s="41" t="n">
        <v>0.965909091</v>
      </c>
      <c r="F3120" s="41" t="n">
        <v>1</v>
      </c>
      <c r="G3120" s="41" t="n">
        <v>0.75</v>
      </c>
      <c r="H3120" s="42" t="n">
        <v>77</v>
      </c>
      <c r="I3120" s="55" t="inlineStr">
        <is>
          <t>16/16</t>
        </is>
      </c>
      <c r="J3120" s="41" t="n">
        <v>1</v>
      </c>
      <c r="K3120" s="42" t="inlineStr">
        <is>
          <t>Distinguished</t>
        </is>
      </c>
      <c r="L3120" s="42" t="inlineStr">
        <is>
          <t>Professional</t>
        </is>
      </c>
      <c r="M3120" s="42" t="inlineStr">
        <is>
          <t>Geoff St. Marie</t>
        </is>
      </c>
    </row>
    <row r="3121">
      <c r="A3121" s="42" t="inlineStr">
        <is>
          <t>Ashley Scorsone</t>
        </is>
      </c>
      <c r="B3121" s="42" t="inlineStr">
        <is>
          <t>6/14/26 - 7/11/26</t>
        </is>
      </c>
      <c r="C3121" s="41" t="n">
        <v>1.1643</v>
      </c>
      <c r="D3121" s="41" t="n">
        <v>1.2965</v>
      </c>
      <c r="E3121" s="41" t="n">
        <v>0.951724138</v>
      </c>
      <c r="F3121" s="41" t="n">
        <v>0.974</v>
      </c>
      <c r="G3121" s="41" t="n">
        <v>0.958333333</v>
      </c>
      <c r="H3121" s="42" t="n">
        <v>195</v>
      </c>
      <c r="I3121" s="55" t="inlineStr">
        <is>
          <t>9/13</t>
        </is>
      </c>
      <c r="J3121" s="41" t="n">
        <v>0.692307692</v>
      </c>
      <c r="K3121" s="42" t="inlineStr">
        <is>
          <t>Premium</t>
        </is>
      </c>
      <c r="L3121" s="42" t="inlineStr">
        <is>
          <t>Professional</t>
        </is>
      </c>
      <c r="M3121" s="42" t="inlineStr">
        <is>
          <t>Geoff St. Marie</t>
        </is>
      </c>
    </row>
    <row r="3122">
      <c r="A3122" s="42" t="inlineStr">
        <is>
          <t>Autumn Reed</t>
        </is>
      </c>
      <c r="B3122" s="42" t="inlineStr">
        <is>
          <t>6/14/26 - 7/11/26</t>
        </is>
      </c>
      <c r="C3122" s="41" t="n">
        <v>0.4125</v>
      </c>
      <c r="D3122" s="41" t="n">
        <v>1.2734</v>
      </c>
      <c r="E3122" s="41" t="n">
        <v>0.96969697</v>
      </c>
      <c r="F3122" s="41" t="n">
        <v>1</v>
      </c>
      <c r="G3122" s="41" t="n">
        <v>1</v>
      </c>
      <c r="H3122" s="42" t="n">
        <v>120</v>
      </c>
      <c r="I3122" s="55" t="inlineStr">
        <is>
          <t>1/2</t>
        </is>
      </c>
      <c r="J3122" s="41" t="n">
        <v>0.5</v>
      </c>
      <c r="K3122" s="42" t="inlineStr">
        <is>
          <t>Advanced</t>
        </is>
      </c>
      <c r="L3122" s="42" t="inlineStr">
        <is>
          <t>Adjunct</t>
        </is>
      </c>
      <c r="M3122" s="42" t="inlineStr">
        <is>
          <t>Geoff St. Marie</t>
        </is>
      </c>
    </row>
    <row r="3123">
      <c r="A3123" s="42" t="inlineStr">
        <is>
          <t>Ayman Smoot</t>
        </is>
      </c>
      <c r="B3123" s="42" t="inlineStr">
        <is>
          <t>6/14/26 - 7/11/26</t>
        </is>
      </c>
      <c r="C3123" s="41" t="n">
        <v>0.8375</v>
      </c>
      <c r="D3123" s="41" t="n">
        <v>1.3828</v>
      </c>
      <c r="E3123" s="41" t="n">
        <v>1</v>
      </c>
      <c r="F3123" s="41" t="n">
        <v>1</v>
      </c>
      <c r="G3123" s="41" t="n">
        <v>0.833333333</v>
      </c>
      <c r="H3123" s="42" t="n">
        <v>68</v>
      </c>
      <c r="I3123" s="55" t="inlineStr">
        <is>
          <t>7/10</t>
        </is>
      </c>
      <c r="J3123" s="41" t="n">
        <v>0.7</v>
      </c>
      <c r="K3123" s="42" t="inlineStr">
        <is>
          <t>Distinguished</t>
        </is>
      </c>
      <c r="L3123" s="42" t="inlineStr">
        <is>
          <t>Adjunct</t>
        </is>
      </c>
      <c r="M3123" s="42" t="inlineStr">
        <is>
          <t>Annelies de Groot</t>
        </is>
      </c>
    </row>
    <row r="3124">
      <c r="A3124" s="42" t="inlineStr">
        <is>
          <t>Ben Taylor</t>
        </is>
      </c>
      <c r="B3124" s="42" t="inlineStr">
        <is>
          <t>6/14/26 - 7/11/26</t>
        </is>
      </c>
      <c r="C3124" s="41" t="n">
        <v>0.4167</v>
      </c>
      <c r="D3124" s="41" t="n">
        <v>1.3292</v>
      </c>
      <c r="E3124" s="41" t="n">
        <v>1</v>
      </c>
      <c r="F3124" s="41" t="n">
        <v>1</v>
      </c>
      <c r="G3124" s="41" t="n">
        <v>0.5</v>
      </c>
      <c r="H3124" s="42" t="n">
        <v>56.5</v>
      </c>
      <c r="I3124" s="55" t="inlineStr">
        <is>
          <t>5/6</t>
        </is>
      </c>
      <c r="J3124" s="41" t="n">
        <v>0.833333333</v>
      </c>
      <c r="K3124" s="42" t="inlineStr">
        <is>
          <t>Premium</t>
        </is>
      </c>
      <c r="L3124" s="42" t="inlineStr">
        <is>
          <t>Professional</t>
        </is>
      </c>
      <c r="M3124" s="42" t="inlineStr">
        <is>
          <t>Kristin Haase-Alvey</t>
        </is>
      </c>
    </row>
    <row r="3125">
      <c r="A3125" s="42" t="inlineStr">
        <is>
          <t>Brandon Engle</t>
        </is>
      </c>
      <c r="B3125" s="42" t="inlineStr">
        <is>
          <t>6/14/26 - 7/11/26</t>
        </is>
      </c>
      <c r="C3125" s="41" t="n">
        <v>0.4952</v>
      </c>
      <c r="D3125" s="41" t="n">
        <v>1.1381</v>
      </c>
      <c r="E3125" s="41" t="n">
        <v>1</v>
      </c>
      <c r="F3125" s="41" t="n">
        <v>0.977</v>
      </c>
      <c r="G3125" s="41" t="n">
        <v>0.428571429</v>
      </c>
      <c r="H3125" s="42" t="n">
        <v>111</v>
      </c>
      <c r="I3125" s="55" t="inlineStr">
        <is>
          <t>9/10</t>
        </is>
      </c>
      <c r="J3125" s="41" t="n">
        <v>0.9</v>
      </c>
      <c r="K3125" s="42" t="inlineStr">
        <is>
          <t>Distinguished</t>
        </is>
      </c>
      <c r="L3125" s="42" t="inlineStr">
        <is>
          <t>Professional</t>
        </is>
      </c>
      <c r="M3125" s="42" t="inlineStr">
        <is>
          <t>Annelies de Groot</t>
        </is>
      </c>
    </row>
    <row r="3126">
      <c r="A3126" s="42" t="inlineStr">
        <is>
          <t>Breille Duncan</t>
        </is>
      </c>
      <c r="B3126" s="42" t="inlineStr">
        <is>
          <t>6/14/26 - 7/11/26</t>
        </is>
      </c>
      <c r="C3126" s="41" t="n"/>
      <c r="D3126" s="41" t="n"/>
      <c r="E3126" s="41" t="n"/>
      <c r="F3126" s="41" t="n"/>
      <c r="G3126" s="41" t="n"/>
      <c r="H3126" s="42" t="n">
        <v>0</v>
      </c>
      <c r="I3126" s="55" t="n"/>
      <c r="J3126" s="41" t="n"/>
      <c r="K3126" s="42" t="inlineStr">
        <is>
          <t>Distinguished</t>
        </is>
      </c>
      <c r="L3126" s="42" t="inlineStr">
        <is>
          <t>Professional</t>
        </is>
      </c>
      <c r="M3126" s="42" t="inlineStr">
        <is>
          <t>Nikki Pencak</t>
        </is>
      </c>
    </row>
    <row r="3127">
      <c r="A3127" s="42" t="inlineStr">
        <is>
          <t>Brenna Hubnik</t>
        </is>
      </c>
      <c r="B3127" s="42" t="inlineStr">
        <is>
          <t>6/14/26 - 7/11/26</t>
        </is>
      </c>
      <c r="C3127" s="41" t="n">
        <v>0</v>
      </c>
      <c r="D3127" s="41" t="n"/>
      <c r="E3127" s="41" t="n"/>
      <c r="F3127" s="41" t="n"/>
      <c r="G3127" s="41" t="n"/>
      <c r="H3127" s="42" t="n">
        <v>32</v>
      </c>
      <c r="I3127" s="55" t="n"/>
      <c r="J3127" s="41" t="n"/>
      <c r="K3127" s="42" t="inlineStr">
        <is>
          <t>Distinguished</t>
        </is>
      </c>
      <c r="L3127" s="42" t="inlineStr">
        <is>
          <t>Adjunct</t>
        </is>
      </c>
      <c r="M3127" s="42" t="inlineStr">
        <is>
          <t>Annelies de Groot</t>
        </is>
      </c>
    </row>
    <row r="3128">
      <c r="A3128" s="42" t="inlineStr">
        <is>
          <t>Brian Cohen</t>
        </is>
      </c>
      <c r="B3128" s="42" t="inlineStr">
        <is>
          <t>6/14/26 - 7/11/26</t>
        </is>
      </c>
      <c r="C3128" s="41" t="n">
        <v>0.7708</v>
      </c>
      <c r="D3128" s="41" t="n">
        <v>1.0586</v>
      </c>
      <c r="E3128" s="41" t="n">
        <v>1</v>
      </c>
      <c r="F3128" s="41" t="n">
        <v>0.92</v>
      </c>
      <c r="G3128" s="41" t="n">
        <v>0.875</v>
      </c>
      <c r="H3128" s="42" t="n">
        <v>42</v>
      </c>
      <c r="I3128" s="55" t="inlineStr">
        <is>
          <t>4/4</t>
        </is>
      </c>
      <c r="J3128" s="41" t="n">
        <v>1</v>
      </c>
      <c r="K3128" s="42" t="inlineStr">
        <is>
          <t>Premium</t>
        </is>
      </c>
      <c r="L3128" s="42" t="inlineStr">
        <is>
          <t>Adjunct</t>
        </is>
      </c>
      <c r="M3128" s="42" t="inlineStr">
        <is>
          <t>Annelies de Groot</t>
        </is>
      </c>
    </row>
    <row r="3129">
      <c r="A3129" s="42" t="inlineStr">
        <is>
          <t>Brian James</t>
        </is>
      </c>
      <c r="B3129" s="42" t="inlineStr">
        <is>
          <t>6/14/26 - 7/11/26</t>
        </is>
      </c>
      <c r="C3129" s="41" t="n">
        <v>0.6083</v>
      </c>
      <c r="D3129" s="41" t="n">
        <v>0.6776</v>
      </c>
      <c r="E3129" s="41" t="n">
        <v>1</v>
      </c>
      <c r="F3129" s="41" t="n">
        <v>0.735</v>
      </c>
      <c r="G3129" s="41" t="n">
        <v>0.058823529</v>
      </c>
      <c r="H3129" s="42" t="n">
        <v>214.5</v>
      </c>
      <c r="I3129" s="55" t="inlineStr">
        <is>
          <t>5/7</t>
        </is>
      </c>
      <c r="J3129" s="41" t="n">
        <v>0.714285714</v>
      </c>
      <c r="K3129" s="42" t="inlineStr">
        <is>
          <t>Distinguished</t>
        </is>
      </c>
      <c r="L3129" s="42" t="inlineStr">
        <is>
          <t>Professional</t>
        </is>
      </c>
      <c r="M3129" s="42" t="inlineStr">
        <is>
          <t>Annelies de Groot</t>
        </is>
      </c>
    </row>
    <row r="3130">
      <c r="A3130" s="42" t="inlineStr">
        <is>
          <t>Brian Johnson</t>
        </is>
      </c>
      <c r="B3130" s="42" t="inlineStr">
        <is>
          <t>6/14/26 - 7/11/26</t>
        </is>
      </c>
      <c r="C3130" s="41" t="n">
        <v>0.2417</v>
      </c>
      <c r="D3130" s="41" t="n">
        <v>0.5197000000000001</v>
      </c>
      <c r="E3130" s="41" t="n">
        <v>1</v>
      </c>
      <c r="F3130" s="41" t="n">
        <v>1</v>
      </c>
      <c r="G3130" s="41" t="n">
        <v>1</v>
      </c>
      <c r="H3130" s="42" t="n">
        <v>120</v>
      </c>
      <c r="I3130" s="55" t="inlineStr">
        <is>
          <t>8/8</t>
        </is>
      </c>
      <c r="J3130" s="41" t="n">
        <v>1</v>
      </c>
      <c r="K3130" s="42" t="inlineStr">
        <is>
          <t>Distinguished</t>
        </is>
      </c>
      <c r="L3130" s="42" t="inlineStr">
        <is>
          <t>Professional</t>
        </is>
      </c>
      <c r="M3130" s="42" t="inlineStr">
        <is>
          <t>Kristin Haase-Alvey</t>
        </is>
      </c>
    </row>
    <row r="3131">
      <c r="A3131" s="42" t="inlineStr">
        <is>
          <t>Brittany Drew</t>
        </is>
      </c>
      <c r="B3131" s="42" t="inlineStr">
        <is>
          <t>6/14/26 - 7/11/26</t>
        </is>
      </c>
      <c r="C3131" s="41" t="n">
        <v>0.8625</v>
      </c>
      <c r="D3131" s="41" t="n">
        <v>0.9342</v>
      </c>
      <c r="E3131" s="41" t="n">
        <v>1</v>
      </c>
      <c r="F3131" s="41" t="n">
        <v>1</v>
      </c>
      <c r="G3131" s="41" t="n">
        <v>0.583333333</v>
      </c>
      <c r="H3131" s="42" t="n">
        <v>82</v>
      </c>
      <c r="I3131" s="55" t="inlineStr">
        <is>
          <t>8/10</t>
        </is>
      </c>
      <c r="J3131" s="41" t="n">
        <v>0.8</v>
      </c>
      <c r="K3131" s="42" t="inlineStr">
        <is>
          <t>Distinguished</t>
        </is>
      </c>
      <c r="L3131" s="42" t="inlineStr">
        <is>
          <t>Professional</t>
        </is>
      </c>
      <c r="M3131" s="42" t="inlineStr">
        <is>
          <t>Ela Cross</t>
        </is>
      </c>
    </row>
    <row r="3132">
      <c r="A3132" s="42" t="inlineStr">
        <is>
          <t>Brock Dilley</t>
        </is>
      </c>
      <c r="B3132" s="42" t="inlineStr">
        <is>
          <t>6/14/26 - 7/11/26</t>
        </is>
      </c>
      <c r="C3132" s="41" t="n">
        <v>1.0429</v>
      </c>
      <c r="D3132" s="41" t="n">
        <v>1.2456</v>
      </c>
      <c r="E3132" s="41" t="n">
        <v>1</v>
      </c>
      <c r="F3132" s="41" t="n">
        <v>0.959</v>
      </c>
      <c r="G3132" s="41" t="n">
        <v>0.8</v>
      </c>
      <c r="H3132" s="42" t="n">
        <v>240</v>
      </c>
      <c r="I3132" s="55" t="inlineStr">
        <is>
          <t>21/28</t>
        </is>
      </c>
      <c r="J3132" s="41" t="n">
        <v>0.75</v>
      </c>
      <c r="K3132" s="42" t="inlineStr">
        <is>
          <t>Distinguished</t>
        </is>
      </c>
      <c r="L3132" s="42" t="inlineStr">
        <is>
          <t>Professional</t>
        </is>
      </c>
      <c r="M3132" s="42" t="inlineStr">
        <is>
          <t>Annelies de Groot</t>
        </is>
      </c>
    </row>
    <row r="3133">
      <c r="A3133" s="42" t="inlineStr">
        <is>
          <t>Bryant Salinas</t>
        </is>
      </c>
      <c r="B3133" s="42" t="inlineStr">
        <is>
          <t>6/14/26 - 7/11/26</t>
        </is>
      </c>
      <c r="C3133" s="41" t="n">
        <v>0.525</v>
      </c>
      <c r="D3133" s="41" t="n">
        <v>1.1612</v>
      </c>
      <c r="E3133" s="41" t="n">
        <v>0.915254237</v>
      </c>
      <c r="F3133" s="41" t="n">
        <v>1</v>
      </c>
      <c r="G3133" s="41" t="n">
        <v>0.333333333</v>
      </c>
      <c r="H3133" s="42" t="n">
        <v>13</v>
      </c>
      <c r="I3133" s="55" t="inlineStr">
        <is>
          <t>9/14</t>
        </is>
      </c>
      <c r="J3133" s="41" t="n">
        <v>0.642857143</v>
      </c>
      <c r="K3133" s="42" t="inlineStr">
        <is>
          <t>Premium</t>
        </is>
      </c>
      <c r="L3133" s="42" t="inlineStr">
        <is>
          <t>Professional</t>
        </is>
      </c>
      <c r="M3133" s="42" t="inlineStr">
        <is>
          <t>Geoff St. Marie</t>
        </is>
      </c>
    </row>
    <row r="3134">
      <c r="A3134" s="42" t="inlineStr">
        <is>
          <t>Cadence Liles</t>
        </is>
      </c>
      <c r="B3134" s="42" t="inlineStr">
        <is>
          <t>6/14/26 - 7/11/26</t>
        </is>
      </c>
      <c r="C3134" s="41" t="n">
        <v>0.4</v>
      </c>
      <c r="D3134" s="41" t="n">
        <v>1.099</v>
      </c>
      <c r="E3134" s="41" t="n">
        <v>1</v>
      </c>
      <c r="F3134" s="41" t="n">
        <v>1</v>
      </c>
      <c r="G3134" s="41" t="n">
        <v>1</v>
      </c>
      <c r="H3134" s="42" t="n">
        <v>80</v>
      </c>
      <c r="I3134" s="55" t="inlineStr">
        <is>
          <t>3/3</t>
        </is>
      </c>
      <c r="J3134" s="41" t="n">
        <v>1</v>
      </c>
      <c r="K3134" s="42" t="inlineStr">
        <is>
          <t>Advanced</t>
        </is>
      </c>
      <c r="L3134" s="42" t="inlineStr">
        <is>
          <t>Adjunct</t>
        </is>
      </c>
      <c r="M3134" s="42" t="inlineStr">
        <is>
          <t>Geoff St. Marie</t>
        </is>
      </c>
    </row>
    <row r="3135">
      <c r="A3135" s="42" t="inlineStr">
        <is>
          <t>Cait White</t>
        </is>
      </c>
      <c r="B3135" s="42" t="inlineStr">
        <is>
          <t>6/14/26 - 7/11/26</t>
        </is>
      </c>
      <c r="C3135" s="41" t="n">
        <v>0.4271</v>
      </c>
      <c r="D3135" s="41" t="n">
        <v>1.3438</v>
      </c>
      <c r="E3135" s="41" t="n">
        <v>1</v>
      </c>
      <c r="F3135" s="41" t="n">
        <v>1</v>
      </c>
      <c r="G3135" s="41" t="n">
        <v>0.666666667</v>
      </c>
      <c r="H3135" s="42" t="n">
        <v>6</v>
      </c>
      <c r="I3135" s="55" t="inlineStr">
        <is>
          <t>2/2</t>
        </is>
      </c>
      <c r="J3135" s="41" t="n">
        <v>1</v>
      </c>
      <c r="K3135" s="42" t="inlineStr">
        <is>
          <t>Premium</t>
        </is>
      </c>
      <c r="L3135" s="42" t="inlineStr">
        <is>
          <t>Adjunct</t>
        </is>
      </c>
      <c r="M3135" s="42" t="inlineStr">
        <is>
          <t>Ela Cross</t>
        </is>
      </c>
    </row>
    <row r="3136">
      <c r="A3136" s="42" t="inlineStr">
        <is>
          <t>Caitlin Tytler</t>
        </is>
      </c>
      <c r="B3136" s="42" t="inlineStr">
        <is>
          <t>6/14/26 - 7/11/26</t>
        </is>
      </c>
      <c r="C3136" s="41" t="n">
        <v>0.675</v>
      </c>
      <c r="D3136" s="41" t="n">
        <v>1.0625</v>
      </c>
      <c r="E3136" s="41" t="n"/>
      <c r="F3136" s="41" t="n">
        <v>0.971</v>
      </c>
      <c r="G3136" s="41" t="n">
        <v>1</v>
      </c>
      <c r="H3136" s="42" t="n">
        <v>100</v>
      </c>
      <c r="I3136" s="55" t="inlineStr">
        <is>
          <t>5/9</t>
        </is>
      </c>
      <c r="J3136" s="41" t="n">
        <v>0.555555556</v>
      </c>
      <c r="K3136" s="42" t="inlineStr">
        <is>
          <t>Advanced</t>
        </is>
      </c>
      <c r="L3136" s="42" t="inlineStr">
        <is>
          <t>Adjunct</t>
        </is>
      </c>
      <c r="M3136" s="42" t="inlineStr">
        <is>
          <t>Annelies de Groot</t>
        </is>
      </c>
    </row>
    <row r="3137">
      <c r="A3137" s="42" t="inlineStr">
        <is>
          <t>Carina Shanahan</t>
        </is>
      </c>
      <c r="B3137" s="42" t="inlineStr">
        <is>
          <t>6/14/26 - 7/11/26</t>
        </is>
      </c>
      <c r="C3137" s="41" t="n">
        <v>0.5625</v>
      </c>
      <c r="D3137" s="41" t="n">
        <v>0.8405</v>
      </c>
      <c r="E3137" s="41" t="n">
        <v>1</v>
      </c>
      <c r="F3137" s="41" t="n">
        <v>0.8149999999999999</v>
      </c>
      <c r="G3137" s="41" t="n">
        <v>0.9</v>
      </c>
      <c r="H3137" s="42" t="n">
        <v>181.5</v>
      </c>
      <c r="I3137" s="55" t="inlineStr">
        <is>
          <t>1/1</t>
        </is>
      </c>
      <c r="J3137" s="41" t="n">
        <v>1</v>
      </c>
      <c r="K3137" s="42" t="inlineStr">
        <is>
          <t>Distinguished</t>
        </is>
      </c>
      <c r="L3137" s="42" t="inlineStr">
        <is>
          <t>Professional</t>
        </is>
      </c>
      <c r="M3137" s="42" t="inlineStr">
        <is>
          <t>Kristin Haase-Alvey</t>
        </is>
      </c>
    </row>
    <row r="3138">
      <c r="A3138" s="42" t="inlineStr">
        <is>
          <t>Casey Young</t>
        </is>
      </c>
      <c r="B3138" s="42" t="inlineStr">
        <is>
          <t>6/14/26 - 7/11/26</t>
        </is>
      </c>
      <c r="C3138" s="41" t="n">
        <v>0.7357</v>
      </c>
      <c r="D3138" s="41" t="n">
        <v>1.0189</v>
      </c>
      <c r="E3138" s="41" t="n">
        <v>0.969387755</v>
      </c>
      <c r="F3138" s="41" t="n">
        <v>0.986</v>
      </c>
      <c r="G3138" s="41" t="n">
        <v>0.944444444</v>
      </c>
      <c r="H3138" s="42" t="n">
        <v>336</v>
      </c>
      <c r="I3138" s="55" t="inlineStr">
        <is>
          <t>6/7</t>
        </is>
      </c>
      <c r="J3138" s="41" t="n">
        <v>0.857142857</v>
      </c>
      <c r="K3138" s="42" t="inlineStr">
        <is>
          <t>Distinguished</t>
        </is>
      </c>
      <c r="L3138" s="42" t="inlineStr">
        <is>
          <t>Professional</t>
        </is>
      </c>
      <c r="M3138" s="42" t="inlineStr">
        <is>
          <t>Ela Cross</t>
        </is>
      </c>
    </row>
    <row r="3139">
      <c r="A3139" s="42" t="inlineStr">
        <is>
          <t>Charlie Anderson</t>
        </is>
      </c>
      <c r="B3139" s="42" t="inlineStr">
        <is>
          <t>6/14/26 - 7/11/26</t>
        </is>
      </c>
      <c r="C3139" s="41" t="n">
        <v>0.8667</v>
      </c>
      <c r="D3139" s="41" t="n">
        <v>1.0674</v>
      </c>
      <c r="E3139" s="41" t="n">
        <v>1</v>
      </c>
      <c r="F3139" s="41" t="n">
        <v>0.755</v>
      </c>
      <c r="G3139" s="41" t="n">
        <v>0.533333333</v>
      </c>
      <c r="H3139" s="42" t="n">
        <v>298</v>
      </c>
      <c r="I3139" s="55" t="inlineStr">
        <is>
          <t>5/7</t>
        </is>
      </c>
      <c r="J3139" s="41" t="n">
        <v>0.714285714</v>
      </c>
      <c r="K3139" s="42" t="inlineStr">
        <is>
          <t>Distinguished</t>
        </is>
      </c>
      <c r="L3139" s="42" t="inlineStr">
        <is>
          <t>Professional</t>
        </is>
      </c>
      <c r="M3139" s="42" t="inlineStr">
        <is>
          <t>Annelies de Groot</t>
        </is>
      </c>
    </row>
    <row r="3140">
      <c r="A3140" s="42" t="inlineStr">
        <is>
          <t>Chazlee Myers</t>
        </is>
      </c>
      <c r="B3140" s="42" t="inlineStr">
        <is>
          <t>6/14/26 - 7/11/26</t>
        </is>
      </c>
      <c r="C3140" s="41" t="n">
        <v>0.55</v>
      </c>
      <c r="D3140" s="41" t="n">
        <v>0.9474</v>
      </c>
      <c r="E3140" s="41" t="n">
        <v>0.96969697</v>
      </c>
      <c r="F3140" s="41" t="n">
        <v>0.6860000000000001</v>
      </c>
      <c r="G3140" s="41" t="n">
        <v>0.4</v>
      </c>
      <c r="H3140" s="42" t="n">
        <v>84</v>
      </c>
      <c r="I3140" s="55" t="inlineStr">
        <is>
          <t>4/8</t>
        </is>
      </c>
      <c r="J3140" s="41" t="n">
        <v>0.5</v>
      </c>
      <c r="K3140" s="42" t="inlineStr">
        <is>
          <t>Distinguished</t>
        </is>
      </c>
      <c r="L3140" s="42" t="inlineStr">
        <is>
          <t>Professional</t>
        </is>
      </c>
      <c r="M3140" s="42" t="inlineStr">
        <is>
          <t>Geoff St. Marie</t>
        </is>
      </c>
    </row>
    <row r="3141">
      <c r="A3141" s="42" t="inlineStr">
        <is>
          <t>Chelsea Kobea</t>
        </is>
      </c>
      <c r="B3141" s="42" t="inlineStr">
        <is>
          <t>6/14/26 - 7/11/26</t>
        </is>
      </c>
      <c r="C3141" s="41" t="n">
        <v>0.6292</v>
      </c>
      <c r="D3141" s="41" t="n">
        <v>1.1102</v>
      </c>
      <c r="E3141" s="41" t="n">
        <v>0.971014493</v>
      </c>
      <c r="F3141" s="41" t="n">
        <v>0.981</v>
      </c>
      <c r="G3141" s="41" t="n">
        <v>1</v>
      </c>
      <c r="H3141" s="42" t="n">
        <v>88</v>
      </c>
      <c r="I3141" s="55" t="inlineStr">
        <is>
          <t>6/7</t>
        </is>
      </c>
      <c r="J3141" s="41" t="n">
        <v>0.857142857</v>
      </c>
      <c r="K3141" s="42" t="inlineStr">
        <is>
          <t>Distinguished</t>
        </is>
      </c>
      <c r="L3141" s="42" t="inlineStr">
        <is>
          <t>Professional</t>
        </is>
      </c>
      <c r="M3141" s="42" t="inlineStr">
        <is>
          <t>Kristin Haase-Alvey</t>
        </is>
      </c>
    </row>
    <row r="3142">
      <c r="A3142" s="42" t="inlineStr">
        <is>
          <t>Cheyanne Jones</t>
        </is>
      </c>
      <c r="B3142" s="42" t="inlineStr">
        <is>
          <t>6/14/26 - 7/11/26</t>
        </is>
      </c>
      <c r="C3142" s="41" t="n">
        <v>0.8208</v>
      </c>
      <c r="D3142" s="41" t="n">
        <v>0.9918</v>
      </c>
      <c r="E3142" s="41" t="n">
        <v>1</v>
      </c>
      <c r="F3142" s="41" t="n">
        <v>1</v>
      </c>
      <c r="G3142" s="41" t="n">
        <v>0.933333333</v>
      </c>
      <c r="H3142" s="42" t="n">
        <v>126</v>
      </c>
      <c r="I3142" s="55" t="inlineStr">
        <is>
          <t>6/8</t>
        </is>
      </c>
      <c r="J3142" s="41" t="n">
        <v>0.75</v>
      </c>
      <c r="K3142" s="42" t="inlineStr">
        <is>
          <t>Distinguished</t>
        </is>
      </c>
      <c r="L3142" s="42" t="inlineStr">
        <is>
          <t>Professional</t>
        </is>
      </c>
      <c r="M3142" s="42" t="inlineStr">
        <is>
          <t>Kristin Haase-Alvey</t>
        </is>
      </c>
    </row>
    <row r="3143">
      <c r="A3143" s="42" t="inlineStr">
        <is>
          <t>Chris Prouty</t>
        </is>
      </c>
      <c r="B3143" s="42" t="inlineStr">
        <is>
          <t>6/14/26 - 7/11/26</t>
        </is>
      </c>
      <c r="C3143" s="41" t="n">
        <v>0.6875</v>
      </c>
      <c r="D3143" s="41" t="n">
        <v>1.0313</v>
      </c>
      <c r="E3143" s="41" t="n">
        <v>1</v>
      </c>
      <c r="F3143" s="41" t="n">
        <v>1</v>
      </c>
      <c r="G3143" s="41" t="n">
        <v>1</v>
      </c>
      <c r="H3143" s="42" t="n">
        <v>24</v>
      </c>
      <c r="I3143" s="55" t="inlineStr">
        <is>
          <t>3/4</t>
        </is>
      </c>
      <c r="J3143" s="41" t="n">
        <v>0.75</v>
      </c>
      <c r="K3143" s="42" t="inlineStr">
        <is>
          <t>Premium</t>
        </is>
      </c>
      <c r="L3143" s="42" t="inlineStr">
        <is>
          <t>Adjunct</t>
        </is>
      </c>
      <c r="M3143" s="42" t="inlineStr">
        <is>
          <t>Annelies de Groot</t>
        </is>
      </c>
    </row>
    <row r="3144">
      <c r="A3144" s="42" t="inlineStr">
        <is>
          <t>Chris Yoon</t>
        </is>
      </c>
      <c r="B3144" s="42" t="inlineStr">
        <is>
          <t>6/14/26 - 7/11/26</t>
        </is>
      </c>
      <c r="C3144" s="41" t="n">
        <v>0.8167</v>
      </c>
      <c r="D3144" s="41" t="n">
        <v>0.977</v>
      </c>
      <c r="E3144" s="41" t="n">
        <v>0.989361702</v>
      </c>
      <c r="F3144" s="41" t="n">
        <v>0.789</v>
      </c>
      <c r="G3144" s="41" t="n">
        <v>0.769230769</v>
      </c>
      <c r="H3144" s="42" t="n">
        <v>126</v>
      </c>
      <c r="I3144" s="55" t="inlineStr">
        <is>
          <t>2/12</t>
        </is>
      </c>
      <c r="J3144" s="41" t="n">
        <v>0.166666667</v>
      </c>
      <c r="K3144" s="42" t="inlineStr">
        <is>
          <t>Distinguished</t>
        </is>
      </c>
      <c r="L3144" s="42" t="inlineStr">
        <is>
          <t>Professional</t>
        </is>
      </c>
      <c r="M3144" s="42" t="inlineStr">
        <is>
          <t>Ian Plamondon</t>
        </is>
      </c>
    </row>
    <row r="3145">
      <c r="A3145" s="42" t="inlineStr">
        <is>
          <t>Christelle Rocha</t>
        </is>
      </c>
      <c r="B3145" s="42" t="inlineStr">
        <is>
          <t>6/14/26 - 7/11/26</t>
        </is>
      </c>
      <c r="C3145" s="41" t="n">
        <v>0.6917</v>
      </c>
      <c r="D3145" s="41" t="n">
        <v>1.1071</v>
      </c>
      <c r="E3145" s="41" t="n">
        <v>1</v>
      </c>
      <c r="F3145" s="41" t="n">
        <v>1</v>
      </c>
      <c r="G3145" s="41" t="n">
        <v>0.75</v>
      </c>
      <c r="H3145" s="42" t="n">
        <v>126</v>
      </c>
      <c r="I3145" s="55" t="inlineStr">
        <is>
          <t>10/10</t>
        </is>
      </c>
      <c r="J3145" s="41" t="n">
        <v>1</v>
      </c>
      <c r="K3145" s="42" t="inlineStr">
        <is>
          <t>Distinguished</t>
        </is>
      </c>
      <c r="L3145" s="42" t="inlineStr">
        <is>
          <t>Professional</t>
        </is>
      </c>
      <c r="M3145" s="42" t="inlineStr">
        <is>
          <t>Annelies de Groot</t>
        </is>
      </c>
    </row>
    <row r="3146">
      <c r="A3146" s="42" t="inlineStr">
        <is>
          <t>Christian Collins</t>
        </is>
      </c>
      <c r="B3146" s="42" t="inlineStr">
        <is>
          <t>6/14/26 - 7/11/26</t>
        </is>
      </c>
      <c r="C3146" s="41" t="n">
        <v>0.9917</v>
      </c>
      <c r="D3146" s="41" t="n">
        <v>1.0855</v>
      </c>
      <c r="E3146" s="41" t="n">
        <v>1</v>
      </c>
      <c r="F3146" s="41" t="n">
        <v>1</v>
      </c>
      <c r="G3146" s="41" t="n">
        <v>0.777777778</v>
      </c>
      <c r="H3146" s="42" t="n">
        <v>9</v>
      </c>
      <c r="I3146" s="55" t="inlineStr">
        <is>
          <t>10/10</t>
        </is>
      </c>
      <c r="J3146" s="41" t="n">
        <v>1</v>
      </c>
      <c r="K3146" s="42" t="inlineStr">
        <is>
          <t>Premium</t>
        </is>
      </c>
      <c r="L3146" s="42" t="inlineStr">
        <is>
          <t>Professional</t>
        </is>
      </c>
      <c r="M3146" s="42" t="inlineStr">
        <is>
          <t>Ian Plamondon</t>
        </is>
      </c>
    </row>
    <row r="3147">
      <c r="A3147" s="42" t="inlineStr">
        <is>
          <t>Christian Steiner</t>
        </is>
      </c>
      <c r="B3147" s="42" t="inlineStr">
        <is>
          <t>6/14/26 - 7/11/26</t>
        </is>
      </c>
      <c r="C3147" s="41" t="n">
        <v>0.5167</v>
      </c>
      <c r="D3147" s="41" t="n">
        <v>0.9424</v>
      </c>
      <c r="E3147" s="41" t="n">
        <v>0.983870968</v>
      </c>
      <c r="F3147" s="41" t="n">
        <v>0.9429999999999999</v>
      </c>
      <c r="G3147" s="41" t="n">
        <v>0.4</v>
      </c>
      <c r="H3147" s="42" t="n">
        <v>84</v>
      </c>
      <c r="I3147" s="55" t="inlineStr">
        <is>
          <t>5/8</t>
        </is>
      </c>
      <c r="J3147" s="41" t="n">
        <v>0.625</v>
      </c>
      <c r="K3147" s="42" t="inlineStr">
        <is>
          <t>Distinguished</t>
        </is>
      </c>
      <c r="L3147" s="42" t="inlineStr">
        <is>
          <t>Professional</t>
        </is>
      </c>
      <c r="M3147" s="42" t="inlineStr">
        <is>
          <t>Kristin Haase-Alvey</t>
        </is>
      </c>
    </row>
    <row r="3148">
      <c r="A3148" s="42" t="inlineStr">
        <is>
          <t>Christine Santos</t>
        </is>
      </c>
      <c r="B3148" s="42" t="inlineStr">
        <is>
          <t>6/14/26 - 7/11/26</t>
        </is>
      </c>
      <c r="C3148" s="41" t="n">
        <v>1.1458</v>
      </c>
      <c r="D3148" s="41" t="n">
        <v>1.0938</v>
      </c>
      <c r="E3148" s="41" t="n">
        <v>0.907407407</v>
      </c>
      <c r="F3148" s="41" t="n">
        <v>0.829</v>
      </c>
      <c r="G3148" s="41" t="n">
        <v>0.8</v>
      </c>
      <c r="H3148" s="42" t="n">
        <v>1.5</v>
      </c>
      <c r="I3148" s="55" t="inlineStr">
        <is>
          <t>5/6</t>
        </is>
      </c>
      <c r="J3148" s="41" t="n">
        <v>0.833333333</v>
      </c>
      <c r="K3148" s="42" t="inlineStr">
        <is>
          <t>Premium</t>
        </is>
      </c>
      <c r="L3148" s="42" t="inlineStr">
        <is>
          <t>Adjunct</t>
        </is>
      </c>
      <c r="M3148" s="42" t="inlineStr">
        <is>
          <t>Ela Cross</t>
        </is>
      </c>
    </row>
    <row r="3149">
      <c r="A3149" s="42" t="inlineStr">
        <is>
          <t>Clark Howard</t>
        </is>
      </c>
      <c r="B3149" s="42" t="inlineStr">
        <is>
          <t>6/14/26 - 7/11/26</t>
        </is>
      </c>
      <c r="C3149" s="41" t="n">
        <v>0.4458</v>
      </c>
      <c r="D3149" s="41" t="n">
        <v>0.7927999999999999</v>
      </c>
      <c r="E3149" s="41" t="n">
        <v>0.979591837</v>
      </c>
      <c r="F3149" s="41" t="n">
        <v>0.621</v>
      </c>
      <c r="G3149" s="41" t="n">
        <v>0.363636364</v>
      </c>
      <c r="H3149" s="42" t="n">
        <v>100</v>
      </c>
      <c r="I3149" s="55" t="inlineStr">
        <is>
          <t>2/4</t>
        </is>
      </c>
      <c r="J3149" s="41" t="n">
        <v>0.5</v>
      </c>
      <c r="K3149" s="42" t="inlineStr">
        <is>
          <t>Distinguished</t>
        </is>
      </c>
      <c r="L3149" s="42" t="inlineStr">
        <is>
          <t>Professional</t>
        </is>
      </c>
      <c r="M3149" s="42" t="inlineStr">
        <is>
          <t>Ela Cross</t>
        </is>
      </c>
    </row>
    <row r="3150">
      <c r="A3150" s="42" t="inlineStr">
        <is>
          <t>Colin Cody</t>
        </is>
      </c>
      <c r="B3150" s="42" t="inlineStr">
        <is>
          <t>6/14/26 - 7/11/26</t>
        </is>
      </c>
      <c r="C3150" s="41" t="n">
        <v>0.85</v>
      </c>
      <c r="D3150" s="41" t="n">
        <v>1.1125</v>
      </c>
      <c r="E3150" s="41" t="n">
        <v>0.958762887</v>
      </c>
      <c r="F3150" s="41" t="n">
        <v>0.985</v>
      </c>
      <c r="G3150" s="41" t="n">
        <v>0.857142857</v>
      </c>
      <c r="H3150" s="42" t="n">
        <v>200</v>
      </c>
      <c r="I3150" s="55" t="inlineStr">
        <is>
          <t>3/12</t>
        </is>
      </c>
      <c r="J3150" s="41" t="n">
        <v>0.25</v>
      </c>
      <c r="K3150" s="42" t="inlineStr">
        <is>
          <t>Distinguished</t>
        </is>
      </c>
      <c r="L3150" s="42" t="inlineStr">
        <is>
          <t>Professional</t>
        </is>
      </c>
      <c r="M3150" s="42" t="inlineStr">
        <is>
          <t>Ela Cross</t>
        </is>
      </c>
    </row>
    <row r="3151">
      <c r="A3151" s="42" t="inlineStr">
        <is>
          <t>Conifer Oâ€™Sullivan</t>
        </is>
      </c>
      <c r="B3151" s="42" t="inlineStr">
        <is>
          <t>6/14/26 - 7/11/26</t>
        </is>
      </c>
      <c r="C3151" s="41" t="n">
        <v>0.5583</v>
      </c>
      <c r="D3151" s="41" t="n">
        <v>0.9951</v>
      </c>
      <c r="E3151" s="41" t="n">
        <v>1</v>
      </c>
      <c r="F3151" s="41" t="n">
        <v>0.973</v>
      </c>
      <c r="G3151" s="41" t="n">
        <v>0.75</v>
      </c>
      <c r="H3151" s="42" t="n">
        <v>68</v>
      </c>
      <c r="I3151" s="55" t="inlineStr">
        <is>
          <t>8/15</t>
        </is>
      </c>
      <c r="J3151" s="41" t="n">
        <v>0.533333333</v>
      </c>
      <c r="K3151" s="42" t="e">
        <v>#N/A</v>
      </c>
      <c r="L3151" s="42" t="e">
        <v>#N/A</v>
      </c>
      <c r="M3151" s="42" t="e">
        <v>#N/A</v>
      </c>
    </row>
    <row r="3152">
      <c r="A3152" s="42" t="inlineStr">
        <is>
          <t>Cristina Ascenzi Pettenuzzo</t>
        </is>
      </c>
      <c r="B3152" s="42" t="inlineStr">
        <is>
          <t>6/14/26 - 7/11/26</t>
        </is>
      </c>
      <c r="C3152" s="41" t="n">
        <v>0.6833</v>
      </c>
      <c r="D3152" s="41" t="n">
        <v>1.0461</v>
      </c>
      <c r="E3152" s="41" t="n">
        <v>1</v>
      </c>
      <c r="F3152" s="41" t="n">
        <v>0.981</v>
      </c>
      <c r="G3152" s="41" t="n">
        <v>0.785714286</v>
      </c>
      <c r="H3152" s="42" t="n">
        <v>88</v>
      </c>
      <c r="I3152" s="55" t="inlineStr">
        <is>
          <t>5/5</t>
        </is>
      </c>
      <c r="J3152" s="41" t="n">
        <v>1</v>
      </c>
      <c r="K3152" s="42" t="inlineStr">
        <is>
          <t>Distinguished</t>
        </is>
      </c>
      <c r="L3152" s="42" t="inlineStr">
        <is>
          <t>Professional</t>
        </is>
      </c>
      <c r="M3152" s="42" t="inlineStr">
        <is>
          <t>Geoff St. Marie</t>
        </is>
      </c>
    </row>
    <row r="3153">
      <c r="A3153" s="42" t="inlineStr">
        <is>
          <t>Daniel Esquivel-Reynoso</t>
        </is>
      </c>
      <c r="B3153" s="42" t="inlineStr">
        <is>
          <t>6/14/26 - 7/11/26</t>
        </is>
      </c>
      <c r="C3153" s="41" t="n">
        <v>0.525</v>
      </c>
      <c r="D3153" s="41" t="n">
        <v>1.0052</v>
      </c>
      <c r="E3153" s="41" t="n">
        <v>0.976190476</v>
      </c>
      <c r="F3153" s="41" t="n">
        <v>0.889</v>
      </c>
      <c r="G3153" s="41" t="n">
        <v>0.714285714</v>
      </c>
      <c r="H3153" s="42" t="n">
        <v>52</v>
      </c>
      <c r="I3153" s="55" t="inlineStr">
        <is>
          <t>1/2</t>
        </is>
      </c>
      <c r="J3153" s="41" t="n">
        <v>0.5</v>
      </c>
      <c r="K3153" s="42" t="inlineStr">
        <is>
          <t>Distinguished</t>
        </is>
      </c>
      <c r="L3153" s="42" t="inlineStr">
        <is>
          <t>Adjunct</t>
        </is>
      </c>
      <c r="M3153" s="42" t="inlineStr">
        <is>
          <t>Annelies de Groot</t>
        </is>
      </c>
    </row>
    <row r="3154">
      <c r="A3154" s="42" t="inlineStr">
        <is>
          <t>Daniel Olson</t>
        </is>
      </c>
      <c r="B3154" s="42" t="inlineStr">
        <is>
          <t>6/14/26 - 7/11/26</t>
        </is>
      </c>
      <c r="C3154" s="41" t="n">
        <v>0.725</v>
      </c>
      <c r="D3154" s="41" t="n">
        <v>1.0444</v>
      </c>
      <c r="E3154" s="41" t="n">
        <v>1</v>
      </c>
      <c r="F3154" s="41" t="n">
        <v>1</v>
      </c>
      <c r="G3154" s="41" t="n">
        <v>0.571428571</v>
      </c>
      <c r="H3154" s="42" t="n">
        <v>116</v>
      </c>
      <c r="I3154" s="55" t="inlineStr">
        <is>
          <t>4/12</t>
        </is>
      </c>
      <c r="J3154" s="41" t="n">
        <v>0.333333333</v>
      </c>
      <c r="K3154" s="42" t="inlineStr">
        <is>
          <t>Distinguished</t>
        </is>
      </c>
      <c r="L3154" s="42" t="inlineStr">
        <is>
          <t>Professional</t>
        </is>
      </c>
      <c r="M3154" s="42" t="inlineStr">
        <is>
          <t>Annelies de Groot</t>
        </is>
      </c>
    </row>
    <row r="3155">
      <c r="A3155" s="42" t="inlineStr">
        <is>
          <t>Daniel Severance</t>
        </is>
      </c>
      <c r="B3155" s="42" t="inlineStr">
        <is>
          <t>6/14/26 - 7/11/26</t>
        </is>
      </c>
      <c r="C3155" s="41" t="n">
        <v>0.7964</v>
      </c>
      <c r="D3155" s="41" t="n">
        <v>0.9869</v>
      </c>
      <c r="E3155" s="41" t="n">
        <v>0.928571429</v>
      </c>
      <c r="F3155" s="41" t="n">
        <v>0.978</v>
      </c>
      <c r="G3155" s="41" t="n">
        <v>0.3</v>
      </c>
      <c r="H3155" s="42" t="n">
        <v>208</v>
      </c>
      <c r="I3155" s="55" t="inlineStr">
        <is>
          <t>8/9</t>
        </is>
      </c>
      <c r="J3155" s="41" t="n">
        <v>0.888888889</v>
      </c>
      <c r="K3155" s="42" t="inlineStr">
        <is>
          <t>Premium</t>
        </is>
      </c>
      <c r="L3155" s="42" t="inlineStr">
        <is>
          <t>Professional</t>
        </is>
      </c>
      <c r="M3155" s="42" t="inlineStr">
        <is>
          <t>Annelies de Groot</t>
        </is>
      </c>
    </row>
    <row r="3156">
      <c r="A3156" s="42" t="inlineStr">
        <is>
          <t>David Alcantara</t>
        </is>
      </c>
      <c r="B3156" s="42" t="inlineStr">
        <is>
          <t>6/14/26 - 7/11/26</t>
        </is>
      </c>
      <c r="C3156" s="41" t="n">
        <v>0.525</v>
      </c>
      <c r="D3156" s="41" t="n">
        <v>1.0099</v>
      </c>
      <c r="E3156" s="41" t="n">
        <v>1</v>
      </c>
      <c r="F3156" s="41" t="n">
        <v>0.9379999999999999</v>
      </c>
      <c r="G3156" s="41" t="n">
        <v>0.454545455</v>
      </c>
      <c r="H3156" s="42" t="n">
        <v>166</v>
      </c>
      <c r="I3156" s="55" t="inlineStr">
        <is>
          <t>5/5</t>
        </is>
      </c>
      <c r="J3156" s="41" t="n">
        <v>1</v>
      </c>
      <c r="K3156" s="42" t="inlineStr">
        <is>
          <t>Distinguished</t>
        </is>
      </c>
      <c r="L3156" s="42" t="inlineStr">
        <is>
          <t>Professional</t>
        </is>
      </c>
      <c r="M3156" s="42" t="inlineStr">
        <is>
          <t>Ela Cross</t>
        </is>
      </c>
    </row>
    <row r="3157">
      <c r="A3157" s="42" t="inlineStr">
        <is>
          <t>Dehavion Knight</t>
        </is>
      </c>
      <c r="B3157" s="42" t="inlineStr">
        <is>
          <t>6/14/26 - 7/11/26</t>
        </is>
      </c>
      <c r="C3157" s="41" t="n">
        <v>0.625</v>
      </c>
      <c r="D3157" s="41" t="n">
        <v>1.1875</v>
      </c>
      <c r="E3157" s="41" t="n">
        <v>0.931034483</v>
      </c>
      <c r="F3157" s="41" t="n">
        <v>1</v>
      </c>
      <c r="G3157" s="41" t="n">
        <v>0.428571429</v>
      </c>
      <c r="H3157" s="42" t="n">
        <v>60</v>
      </c>
      <c r="I3157" s="55" t="inlineStr">
        <is>
          <t>1/5</t>
        </is>
      </c>
      <c r="J3157" s="41" t="n">
        <v>0.2</v>
      </c>
      <c r="K3157" s="42" t="inlineStr">
        <is>
          <t>Distinguished</t>
        </is>
      </c>
      <c r="L3157" s="42" t="inlineStr">
        <is>
          <t>Adjunct</t>
        </is>
      </c>
      <c r="M3157" s="42" t="inlineStr">
        <is>
          <t>Ela Cross</t>
        </is>
      </c>
    </row>
    <row r="3158">
      <c r="A3158" s="42" t="inlineStr">
        <is>
          <t>Denise Jefferson</t>
        </is>
      </c>
      <c r="B3158" s="42" t="inlineStr">
        <is>
          <t>6/14/26 - 7/11/26</t>
        </is>
      </c>
      <c r="C3158" s="41" t="n">
        <v>0.3125</v>
      </c>
      <c r="D3158" s="41" t="n">
        <v>1.0352</v>
      </c>
      <c r="E3158" s="41" t="n">
        <v>1</v>
      </c>
      <c r="F3158" s="41" t="n">
        <v>0.556</v>
      </c>
      <c r="G3158" s="41" t="n">
        <v>0.5</v>
      </c>
      <c r="H3158" s="42" t="n">
        <v>24</v>
      </c>
      <c r="I3158" s="55" t="inlineStr">
        <is>
          <t>3/3</t>
        </is>
      </c>
      <c r="J3158" s="41" t="n">
        <v>1</v>
      </c>
      <c r="K3158" s="42" t="inlineStr">
        <is>
          <t>Advanced</t>
        </is>
      </c>
      <c r="L3158" s="42" t="inlineStr">
        <is>
          <t>Adjunct</t>
        </is>
      </c>
      <c r="M3158" s="42" t="inlineStr">
        <is>
          <t>Ela Cross</t>
        </is>
      </c>
    </row>
    <row r="3159">
      <c r="A3159" s="42" t="inlineStr">
        <is>
          <t>Derek Fox</t>
        </is>
      </c>
      <c r="B3159" s="42" t="inlineStr">
        <is>
          <t>6/14/26 - 7/11/26</t>
        </is>
      </c>
      <c r="C3159" s="41" t="n">
        <v>0.2917</v>
      </c>
      <c r="D3159" s="41" t="n">
        <v>1.0156</v>
      </c>
      <c r="E3159" s="41" t="n">
        <v>1</v>
      </c>
      <c r="F3159" s="41" t="n">
        <v>0.857</v>
      </c>
      <c r="G3159" s="41" t="n">
        <v>0.8</v>
      </c>
      <c r="H3159" s="42" t="n">
        <v>100</v>
      </c>
      <c r="I3159" s="55" t="inlineStr">
        <is>
          <t>0/1</t>
        </is>
      </c>
      <c r="J3159" s="41" t="n">
        <v>0</v>
      </c>
      <c r="K3159" s="42" t="inlineStr">
        <is>
          <t>Advanced</t>
        </is>
      </c>
      <c r="L3159" s="42" t="inlineStr">
        <is>
          <t>Adjunct</t>
        </is>
      </c>
      <c r="M3159" s="42" t="inlineStr">
        <is>
          <t>Geoff St. Marie</t>
        </is>
      </c>
    </row>
    <row r="3160">
      <c r="A3160" s="42" t="inlineStr">
        <is>
          <t>Diamond Anderson</t>
        </is>
      </c>
      <c r="B3160" s="42" t="inlineStr">
        <is>
          <t>6/14/26 - 7/11/26</t>
        </is>
      </c>
      <c r="C3160" s="41" t="n">
        <v>0.4167</v>
      </c>
      <c r="D3160" s="41" t="n">
        <v>0.9922</v>
      </c>
      <c r="E3160" s="41" t="n">
        <v>1</v>
      </c>
      <c r="F3160" s="41" t="n">
        <v>0.9</v>
      </c>
      <c r="G3160" s="41" t="n">
        <v>0.5</v>
      </c>
      <c r="H3160" s="42" t="n">
        <v>90</v>
      </c>
      <c r="I3160" s="55" t="inlineStr">
        <is>
          <t>0/1</t>
        </is>
      </c>
      <c r="J3160" s="41" t="n">
        <v>0</v>
      </c>
      <c r="K3160" s="42" t="inlineStr">
        <is>
          <t>Distinguished</t>
        </is>
      </c>
      <c r="L3160" s="42" t="inlineStr">
        <is>
          <t>Adjunct</t>
        </is>
      </c>
      <c r="M3160" s="42" t="inlineStr">
        <is>
          <t>Kristin Haase-Alvey</t>
        </is>
      </c>
    </row>
    <row r="3161">
      <c r="A3161" s="42" t="inlineStr">
        <is>
          <t>Diana Hoyer</t>
        </is>
      </c>
      <c r="B3161" s="42" t="inlineStr">
        <is>
          <t>6/14/26 - 7/11/26</t>
        </is>
      </c>
      <c r="C3161" s="41" t="n">
        <v>0.3</v>
      </c>
      <c r="D3161" s="41" t="n">
        <v>1.0504</v>
      </c>
      <c r="E3161" s="41" t="n">
        <v>0.923076923</v>
      </c>
      <c r="F3161" s="41" t="n">
        <v>1</v>
      </c>
      <c r="G3161" s="41" t="n">
        <v>1</v>
      </c>
      <c r="H3161" s="42" t="n">
        <v>18</v>
      </c>
      <c r="I3161" s="55" t="inlineStr">
        <is>
          <t>4/6</t>
        </is>
      </c>
      <c r="J3161" s="41" t="n">
        <v>0.666666667</v>
      </c>
      <c r="K3161" s="42" t="inlineStr">
        <is>
          <t>Distinguished</t>
        </is>
      </c>
      <c r="L3161" s="42" t="inlineStr">
        <is>
          <t>Professional</t>
        </is>
      </c>
      <c r="M3161" s="42" t="inlineStr">
        <is>
          <t>Geoff St. Marie</t>
        </is>
      </c>
    </row>
    <row r="3162">
      <c r="A3162" s="42" t="inlineStr">
        <is>
          <t>Dorothy McDaniel</t>
        </is>
      </c>
      <c r="B3162" s="42" t="inlineStr">
        <is>
          <t>6/14/26 - 7/11/26</t>
        </is>
      </c>
      <c r="C3162" s="41" t="n">
        <v>0.2917</v>
      </c>
      <c r="D3162" s="41" t="n">
        <v>1.5083</v>
      </c>
      <c r="E3162" s="41" t="n">
        <v>1</v>
      </c>
      <c r="F3162" s="41" t="n">
        <v>1</v>
      </c>
      <c r="G3162" s="41" t="n">
        <v>0.666666667</v>
      </c>
      <c r="H3162" s="42" t="n">
        <v>75</v>
      </c>
      <c r="I3162" s="55" t="inlineStr">
        <is>
          <t>0/1</t>
        </is>
      </c>
      <c r="J3162" s="41" t="n">
        <v>0</v>
      </c>
      <c r="K3162" s="42" t="inlineStr">
        <is>
          <t>Premium</t>
        </is>
      </c>
      <c r="L3162" s="42" t="inlineStr">
        <is>
          <t>Professional</t>
        </is>
      </c>
      <c r="M3162" s="42" t="inlineStr">
        <is>
          <t>Ian Plamondon</t>
        </is>
      </c>
    </row>
    <row r="3163">
      <c r="A3163" s="42" t="inlineStr">
        <is>
          <t>Eddie Cayia</t>
        </is>
      </c>
      <c r="B3163" s="42" t="inlineStr">
        <is>
          <t>6/14/26 - 7/11/26</t>
        </is>
      </c>
      <c r="C3163" s="41" t="n">
        <v>0.8214</v>
      </c>
      <c r="D3163" s="41" t="n">
        <v>1.0814</v>
      </c>
      <c r="E3163" s="41" t="n">
        <v>0.9629629629999999</v>
      </c>
      <c r="F3163" s="41" t="n">
        <v>0.9429999999999999</v>
      </c>
      <c r="G3163" s="41" t="n">
        <v>0.916666667</v>
      </c>
      <c r="H3163" s="42" t="n">
        <v>156</v>
      </c>
      <c r="I3163" s="55" t="inlineStr">
        <is>
          <t>4/6</t>
        </is>
      </c>
      <c r="J3163" s="41" t="n">
        <v>0.666666667</v>
      </c>
      <c r="K3163" s="42" t="inlineStr">
        <is>
          <t>Distinguished</t>
        </is>
      </c>
      <c r="L3163" s="42" t="inlineStr">
        <is>
          <t>Professional</t>
        </is>
      </c>
      <c r="M3163" s="42" t="inlineStr">
        <is>
          <t>Annelies de Groot</t>
        </is>
      </c>
    </row>
    <row r="3164">
      <c r="A3164" s="42" t="inlineStr">
        <is>
          <t>Eddie Rodriguez</t>
        </is>
      </c>
      <c r="B3164" s="42" t="inlineStr">
        <is>
          <t>6/14/26 - 7/11/26</t>
        </is>
      </c>
      <c r="C3164" s="41" t="n">
        <v>0.3292</v>
      </c>
      <c r="D3164" s="41" t="n">
        <v>1.1283</v>
      </c>
      <c r="E3164" s="41" t="n">
        <v>1</v>
      </c>
      <c r="F3164" s="41" t="n">
        <v>1</v>
      </c>
      <c r="G3164" s="41" t="n">
        <v>0</v>
      </c>
      <c r="H3164" s="42" t="n">
        <v>12</v>
      </c>
      <c r="I3164" s="55" t="inlineStr">
        <is>
          <t>4/6</t>
        </is>
      </c>
      <c r="J3164" s="41" t="n">
        <v>0.666666667</v>
      </c>
      <c r="K3164" s="42" t="inlineStr">
        <is>
          <t>Distinguished</t>
        </is>
      </c>
      <c r="L3164" s="42" t="inlineStr">
        <is>
          <t>Professional</t>
        </is>
      </c>
      <c r="M3164" s="42" t="inlineStr">
        <is>
          <t>Geoff St. Marie</t>
        </is>
      </c>
    </row>
    <row r="3165">
      <c r="A3165" s="42" t="inlineStr">
        <is>
          <t>Eden Rasmussen</t>
        </is>
      </c>
      <c r="B3165" s="42" t="inlineStr">
        <is>
          <t>6/14/26 - 7/11/26</t>
        </is>
      </c>
      <c r="C3165" s="41" t="n">
        <v>0.5917</v>
      </c>
      <c r="D3165" s="41" t="n">
        <v>0.9474</v>
      </c>
      <c r="E3165" s="41" t="n">
        <v>0.857142857</v>
      </c>
      <c r="F3165" s="41" t="n">
        <v>0.919</v>
      </c>
      <c r="G3165" s="41" t="n">
        <v>0.1</v>
      </c>
      <c r="H3165" s="42" t="n">
        <v>172</v>
      </c>
      <c r="I3165" s="55" t="inlineStr">
        <is>
          <t>0/6</t>
        </is>
      </c>
      <c r="J3165" s="41" t="n">
        <v>0</v>
      </c>
      <c r="K3165" s="42" t="inlineStr">
        <is>
          <t>Distinguished</t>
        </is>
      </c>
      <c r="L3165" s="42" t="inlineStr">
        <is>
          <t>Professional</t>
        </is>
      </c>
      <c r="M3165" s="42" t="inlineStr">
        <is>
          <t>Geoff St. Marie</t>
        </is>
      </c>
    </row>
    <row r="3166">
      <c r="A3166" s="42" t="inlineStr">
        <is>
          <t>Edwin West</t>
        </is>
      </c>
      <c r="B3166" s="42" t="inlineStr">
        <is>
          <t>6/14/26 - 7/11/26</t>
        </is>
      </c>
      <c r="C3166" s="41" t="n">
        <v>0.75</v>
      </c>
      <c r="D3166" s="41" t="n">
        <v>1.0664</v>
      </c>
      <c r="E3166" s="41" t="n">
        <v>1</v>
      </c>
      <c r="F3166" s="41" t="n">
        <v>0.931</v>
      </c>
      <c r="G3166" s="41" t="n">
        <v>1</v>
      </c>
      <c r="H3166" s="42" t="n">
        <v>60</v>
      </c>
      <c r="I3166" s="55" t="inlineStr">
        <is>
          <t>1/2</t>
        </is>
      </c>
      <c r="J3166" s="41" t="n">
        <v>0.5</v>
      </c>
      <c r="K3166" s="42" t="inlineStr">
        <is>
          <t>Distinguished</t>
        </is>
      </c>
      <c r="L3166" s="42" t="inlineStr">
        <is>
          <t>Adjunct</t>
        </is>
      </c>
      <c r="M3166" s="42" t="inlineStr">
        <is>
          <t>Ela Cross</t>
        </is>
      </c>
    </row>
    <row r="3167">
      <c r="A3167" s="42" t="inlineStr">
        <is>
          <t>Eleanor Mancilla</t>
        </is>
      </c>
      <c r="B3167" s="42" t="inlineStr">
        <is>
          <t>6/14/26 - 7/11/26</t>
        </is>
      </c>
      <c r="C3167" s="41" t="n">
        <v>0.625</v>
      </c>
      <c r="D3167" s="41" t="n">
        <v>1.1382</v>
      </c>
      <c r="E3167" s="41" t="n">
        <v>1</v>
      </c>
      <c r="F3167" s="41" t="n">
        <v>0.905</v>
      </c>
      <c r="G3167" s="41" t="n">
        <v>0</v>
      </c>
      <c r="H3167" s="42" t="n">
        <v>12</v>
      </c>
      <c r="I3167" s="55" t="inlineStr">
        <is>
          <t>16/17</t>
        </is>
      </c>
      <c r="J3167" s="41" t="n">
        <v>0.941176471</v>
      </c>
      <c r="K3167" s="42" t="inlineStr">
        <is>
          <t>Distinguished</t>
        </is>
      </c>
      <c r="L3167" s="42" t="inlineStr">
        <is>
          <t>Professional</t>
        </is>
      </c>
      <c r="M3167" s="42" t="inlineStr">
        <is>
          <t>Katherine Marino</t>
        </is>
      </c>
    </row>
    <row r="3168">
      <c r="A3168" s="42" t="inlineStr">
        <is>
          <t>Elijah Ramirez</t>
        </is>
      </c>
      <c r="B3168" s="42" t="inlineStr">
        <is>
          <t>6/14/26 - 7/11/26</t>
        </is>
      </c>
      <c r="C3168" s="41" t="n">
        <v>0.625</v>
      </c>
      <c r="D3168" s="41" t="n">
        <v>1.1069</v>
      </c>
      <c r="E3168" s="41" t="n">
        <v>1</v>
      </c>
      <c r="F3168" s="41" t="n">
        <v>1</v>
      </c>
      <c r="G3168" s="41" t="n">
        <v>1</v>
      </c>
      <c r="H3168" s="42" t="n">
        <v>9</v>
      </c>
      <c r="I3168" s="55" t="inlineStr">
        <is>
          <t>5/6</t>
        </is>
      </c>
      <c r="J3168" s="41" t="n">
        <v>0.833333333</v>
      </c>
      <c r="K3168" s="42" t="inlineStr">
        <is>
          <t>Premium</t>
        </is>
      </c>
      <c r="L3168" s="42" t="inlineStr">
        <is>
          <t>Professional</t>
        </is>
      </c>
      <c r="M3168" s="42" t="inlineStr">
        <is>
          <t>Ian Plamondon</t>
        </is>
      </c>
    </row>
    <row r="3169">
      <c r="A3169" s="42" t="inlineStr">
        <is>
          <t>Elizabeth Simons</t>
        </is>
      </c>
      <c r="B3169" s="42" t="inlineStr">
        <is>
          <t>6/14/26 - 7/11/26</t>
        </is>
      </c>
      <c r="C3169" s="41" t="n">
        <v>0.6875</v>
      </c>
      <c r="D3169" s="41" t="n">
        <v>1.25</v>
      </c>
      <c r="E3169" s="41" t="n">
        <v>1</v>
      </c>
      <c r="F3169" s="41" t="n">
        <v>1</v>
      </c>
      <c r="G3169" s="41" t="n">
        <v>0.714285714</v>
      </c>
      <c r="H3169" s="42" t="n">
        <v>157</v>
      </c>
      <c r="I3169" s="55" t="inlineStr">
        <is>
          <t>2/3</t>
        </is>
      </c>
      <c r="J3169" s="41" t="n">
        <v>0.666666667</v>
      </c>
      <c r="K3169" s="42" t="inlineStr">
        <is>
          <t>Distinguished</t>
        </is>
      </c>
      <c r="L3169" s="42" t="inlineStr">
        <is>
          <t>Adjunct</t>
        </is>
      </c>
      <c r="M3169" s="42" t="inlineStr">
        <is>
          <t>Kristin Haase-Alvey</t>
        </is>
      </c>
    </row>
    <row r="3170">
      <c r="A3170" s="42" t="inlineStr">
        <is>
          <t>Eric Chang</t>
        </is>
      </c>
      <c r="B3170" s="42" t="inlineStr">
        <is>
          <t>6/14/26 - 7/11/26</t>
        </is>
      </c>
      <c r="C3170" s="41" t="n">
        <v>0.75</v>
      </c>
      <c r="D3170" s="41" t="n">
        <v>0.9737</v>
      </c>
      <c r="E3170" s="41" t="n">
        <v>0.977011494</v>
      </c>
      <c r="F3170" s="41" t="n">
        <v>1</v>
      </c>
      <c r="G3170" s="41" t="n">
        <v>0.3125</v>
      </c>
      <c r="H3170" s="42" t="n">
        <v>141</v>
      </c>
      <c r="I3170" s="55" t="inlineStr">
        <is>
          <t>2/4</t>
        </is>
      </c>
      <c r="J3170" s="41" t="n">
        <v>0.5</v>
      </c>
      <c r="K3170" s="42" t="inlineStr">
        <is>
          <t>Distinguished</t>
        </is>
      </c>
      <c r="L3170" s="42" t="inlineStr">
        <is>
          <t>Professional</t>
        </is>
      </c>
      <c r="M3170" s="42" t="inlineStr">
        <is>
          <t>Annelies de Groot</t>
        </is>
      </c>
    </row>
    <row r="3171">
      <c r="A3171" s="42" t="inlineStr">
        <is>
          <t>Ernie Chu</t>
        </is>
      </c>
      <c r="B3171" s="42" t="inlineStr">
        <is>
          <t>6/14/26 - 7/11/26</t>
        </is>
      </c>
      <c r="C3171" s="41" t="n">
        <v>0.85</v>
      </c>
      <c r="D3171" s="41" t="n">
        <v>1.1727</v>
      </c>
      <c r="E3171" s="41" t="n">
        <v>1</v>
      </c>
      <c r="F3171" s="41" t="n">
        <v>0.722</v>
      </c>
      <c r="G3171" s="41" t="n">
        <v>0.615384615</v>
      </c>
      <c r="H3171" s="42" t="n">
        <v>154</v>
      </c>
      <c r="I3171" s="55" t="inlineStr">
        <is>
          <t>1/10</t>
        </is>
      </c>
      <c r="J3171" s="41" t="n">
        <v>0.1</v>
      </c>
      <c r="K3171" s="42" t="inlineStr">
        <is>
          <t>Distinguished</t>
        </is>
      </c>
      <c r="L3171" s="42" t="inlineStr">
        <is>
          <t>Professional</t>
        </is>
      </c>
      <c r="M3171" s="42" t="inlineStr">
        <is>
          <t>Geoff St. Marie</t>
        </is>
      </c>
    </row>
    <row r="3172">
      <c r="A3172" s="42" t="inlineStr">
        <is>
          <t>Eru Kyu</t>
        </is>
      </c>
      <c r="B3172" s="42" t="inlineStr">
        <is>
          <t>6/14/26 - 7/11/26</t>
        </is>
      </c>
      <c r="C3172" s="41" t="n">
        <v>0</v>
      </c>
      <c r="D3172" s="41" t="n">
        <v>0.4424</v>
      </c>
      <c r="E3172" s="41" t="n"/>
      <c r="F3172" s="41" t="n"/>
      <c r="G3172" s="41" t="n"/>
      <c r="H3172" s="42" t="n">
        <v>0</v>
      </c>
      <c r="I3172" s="55" t="n"/>
      <c r="J3172" s="41" t="n"/>
      <c r="K3172" s="42" t="inlineStr">
        <is>
          <t>Distinguished</t>
        </is>
      </c>
      <c r="L3172" s="42" t="inlineStr">
        <is>
          <t>Professional</t>
        </is>
      </c>
      <c r="M3172" s="42" t="inlineStr">
        <is>
          <t>Nikki Pencak</t>
        </is>
      </c>
    </row>
    <row r="3173">
      <c r="A3173" s="42" t="inlineStr">
        <is>
          <t>Faith Rogers</t>
        </is>
      </c>
      <c r="B3173" s="42" t="inlineStr">
        <is>
          <t>6/14/26 - 7/11/26</t>
        </is>
      </c>
      <c r="C3173" s="41" t="n">
        <v>0.8875</v>
      </c>
      <c r="D3173" s="41" t="n">
        <v>0.9752999999999999</v>
      </c>
      <c r="E3173" s="41" t="n">
        <v>0.99</v>
      </c>
      <c r="F3173" s="41" t="n">
        <v>0.983</v>
      </c>
      <c r="G3173" s="41" t="n">
        <v>0.588235294</v>
      </c>
      <c r="H3173" s="42" t="n">
        <v>120</v>
      </c>
      <c r="I3173" s="55" t="inlineStr">
        <is>
          <t>9/12</t>
        </is>
      </c>
      <c r="J3173" s="41" t="n">
        <v>0.75</v>
      </c>
      <c r="K3173" s="42" t="inlineStr">
        <is>
          <t>Distinguished</t>
        </is>
      </c>
      <c r="L3173" s="42" t="inlineStr">
        <is>
          <t>Professional</t>
        </is>
      </c>
      <c r="M3173" s="42" t="inlineStr">
        <is>
          <t>Geoff St. Marie</t>
        </is>
      </c>
    </row>
    <row r="3174">
      <c r="A3174" s="42" t="inlineStr">
        <is>
          <t>Gabriel Saint Cyr</t>
        </is>
      </c>
      <c r="B3174" s="42" t="inlineStr">
        <is>
          <t>6/14/26 - 7/11/26</t>
        </is>
      </c>
      <c r="C3174" s="41" t="n">
        <v>0.2917</v>
      </c>
      <c r="D3174" s="41" t="n">
        <v>0.9297</v>
      </c>
      <c r="E3174" s="41" t="n">
        <v>1</v>
      </c>
      <c r="F3174" s="41" t="n">
        <v>0.667</v>
      </c>
      <c r="G3174" s="41" t="n">
        <v>1</v>
      </c>
      <c r="H3174" s="42" t="n">
        <v>1</v>
      </c>
      <c r="I3174" s="55" t="inlineStr">
        <is>
          <t>1/1</t>
        </is>
      </c>
      <c r="J3174" s="41" t="n">
        <v>1</v>
      </c>
      <c r="K3174" s="42" t="inlineStr">
        <is>
          <t>Distinguished</t>
        </is>
      </c>
      <c r="L3174" s="42" t="inlineStr">
        <is>
          <t>Adjunct</t>
        </is>
      </c>
      <c r="M3174" s="42" t="inlineStr">
        <is>
          <t>Geoff St. Marie</t>
        </is>
      </c>
    </row>
    <row r="3175">
      <c r="A3175" s="42" t="inlineStr">
        <is>
          <t>Gale Hermes</t>
        </is>
      </c>
      <c r="B3175" s="42" t="inlineStr">
        <is>
          <t>6/14/26 - 7/11/26</t>
        </is>
      </c>
      <c r="C3175" s="41" t="n">
        <v>0.4167</v>
      </c>
      <c r="D3175" s="41" t="n">
        <v>1.4854</v>
      </c>
      <c r="E3175" s="41" t="n">
        <v>1</v>
      </c>
      <c r="F3175" s="41" t="n">
        <v>0.897</v>
      </c>
      <c r="G3175" s="41" t="n">
        <v>0.625</v>
      </c>
      <c r="H3175" s="42" t="n">
        <v>51</v>
      </c>
      <c r="I3175" s="55" t="inlineStr">
        <is>
          <t>0/4</t>
        </is>
      </c>
      <c r="J3175" s="41" t="n">
        <v>0</v>
      </c>
      <c r="K3175" s="42" t="inlineStr">
        <is>
          <t>Premium</t>
        </is>
      </c>
      <c r="L3175" s="42" t="inlineStr">
        <is>
          <t>Professional</t>
        </is>
      </c>
      <c r="M3175" s="42" t="inlineStr">
        <is>
          <t>Ian Plamondon</t>
        </is>
      </c>
    </row>
    <row r="3176">
      <c r="A3176" s="42" t="inlineStr">
        <is>
          <t>Gene Costa</t>
        </is>
      </c>
      <c r="B3176" s="42" t="inlineStr">
        <is>
          <t>6/14/26 - 7/11/26</t>
        </is>
      </c>
      <c r="C3176" s="41" t="n">
        <v>0.8083</v>
      </c>
      <c r="D3176" s="41" t="n">
        <v>1.2878</v>
      </c>
      <c r="E3176" s="41" t="n">
        <v>1</v>
      </c>
      <c r="F3176" s="41" t="n">
        <v>1</v>
      </c>
      <c r="G3176" s="41" t="n">
        <v>0.333333333</v>
      </c>
      <c r="H3176" s="42" t="n">
        <v>104</v>
      </c>
      <c r="I3176" s="55" t="inlineStr">
        <is>
          <t>11/13</t>
        </is>
      </c>
      <c r="J3176" s="41" t="n">
        <v>0.846153846</v>
      </c>
      <c r="K3176" s="42" t="inlineStr">
        <is>
          <t>Distinguished</t>
        </is>
      </c>
      <c r="L3176" s="42" t="inlineStr">
        <is>
          <t>Professional</t>
        </is>
      </c>
      <c r="M3176" s="42" t="inlineStr">
        <is>
          <t>Ela Cross</t>
        </is>
      </c>
    </row>
    <row r="3177">
      <c r="A3177" s="42" t="inlineStr">
        <is>
          <t>Gigi Glover</t>
        </is>
      </c>
      <c r="B3177" s="42" t="inlineStr">
        <is>
          <t>6/14/26 - 7/11/26</t>
        </is>
      </c>
      <c r="C3177" s="41" t="n">
        <v>0.5667</v>
      </c>
      <c r="D3177" s="41" t="n">
        <v>1.2138</v>
      </c>
      <c r="E3177" s="41" t="n">
        <v>0.925373134</v>
      </c>
      <c r="F3177" s="41" t="n">
        <v>0.977</v>
      </c>
      <c r="G3177" s="41" t="n">
        <v>0.307692308</v>
      </c>
      <c r="H3177" s="42" t="n">
        <v>15</v>
      </c>
      <c r="I3177" s="55" t="inlineStr">
        <is>
          <t>10/13</t>
        </is>
      </c>
      <c r="J3177" s="41" t="n">
        <v>0.769230769</v>
      </c>
      <c r="K3177" s="42" t="inlineStr">
        <is>
          <t>Distinguished</t>
        </is>
      </c>
      <c r="L3177" s="42" t="inlineStr">
        <is>
          <t>Professional</t>
        </is>
      </c>
      <c r="M3177" s="42" t="inlineStr">
        <is>
          <t>Geoff St. Marie</t>
        </is>
      </c>
    </row>
    <row r="3178">
      <c r="A3178" s="42" t="inlineStr">
        <is>
          <t>Gina Benson</t>
        </is>
      </c>
      <c r="B3178" s="42" t="inlineStr">
        <is>
          <t>6/14/26 - 7/11/26</t>
        </is>
      </c>
      <c r="C3178" s="41" t="n">
        <v>0.4625</v>
      </c>
      <c r="D3178" s="41" t="n">
        <v>1.099</v>
      </c>
      <c r="E3178" s="41" t="n">
        <v>1</v>
      </c>
      <c r="F3178" s="41" t="n">
        <v>0.964</v>
      </c>
      <c r="G3178" s="41" t="n">
        <v>1</v>
      </c>
      <c r="H3178" s="42" t="n">
        <v>44</v>
      </c>
      <c r="I3178" s="55" t="inlineStr">
        <is>
          <t>5/5</t>
        </is>
      </c>
      <c r="J3178" s="41" t="n">
        <v>1</v>
      </c>
      <c r="K3178" s="42" t="inlineStr">
        <is>
          <t>Advanced</t>
        </is>
      </c>
      <c r="L3178" s="42" t="inlineStr">
        <is>
          <t>Adjunct</t>
        </is>
      </c>
      <c r="M3178" s="42" t="inlineStr">
        <is>
          <t>Katherine Marino</t>
        </is>
      </c>
    </row>
    <row r="3179">
      <c r="A3179" s="42" t="inlineStr">
        <is>
          <t>Hannah Ervitz</t>
        </is>
      </c>
      <c r="B3179" s="42" t="inlineStr">
        <is>
          <t>6/14/26 - 7/11/26</t>
        </is>
      </c>
      <c r="C3179" s="41" t="n">
        <v>0.6688</v>
      </c>
      <c r="D3179" s="41" t="n">
        <v>0.625</v>
      </c>
      <c r="E3179" s="41" t="n">
        <v>0.958333333</v>
      </c>
      <c r="F3179" s="41" t="n">
        <v>0.958</v>
      </c>
      <c r="G3179" s="41" t="n">
        <v>0.846153846</v>
      </c>
      <c r="H3179" s="42" t="n">
        <v>234</v>
      </c>
      <c r="I3179" s="55" t="inlineStr">
        <is>
          <t>0/1</t>
        </is>
      </c>
      <c r="J3179" s="41" t="n">
        <v>0</v>
      </c>
      <c r="K3179" s="42" t="inlineStr">
        <is>
          <t>Distinguished</t>
        </is>
      </c>
      <c r="L3179" s="42" t="inlineStr">
        <is>
          <t>Adjunct</t>
        </is>
      </c>
      <c r="M3179" s="42" t="inlineStr">
        <is>
          <t>Kristin Haase-Alvey</t>
        </is>
      </c>
    </row>
    <row r="3180">
      <c r="A3180" s="42" t="inlineStr">
        <is>
          <t>Hannah Lodge</t>
        </is>
      </c>
      <c r="B3180" s="42" t="inlineStr">
        <is>
          <t>6/14/26 - 7/11/26</t>
        </is>
      </c>
      <c r="C3180" s="41" t="n">
        <v>0.8917</v>
      </c>
      <c r="D3180" s="41" t="n">
        <v>1.5954</v>
      </c>
      <c r="E3180" s="41" t="n">
        <v>0.988764045</v>
      </c>
      <c r="F3180" s="41" t="n">
        <v>0.885</v>
      </c>
      <c r="G3180" s="41" t="n">
        <v>0.8666666669999999</v>
      </c>
      <c r="H3180" s="42" t="n">
        <v>72</v>
      </c>
      <c r="I3180" s="55" t="inlineStr">
        <is>
          <t>7/8</t>
        </is>
      </c>
      <c r="J3180" s="41" t="n">
        <v>0.875</v>
      </c>
      <c r="K3180" s="42" t="inlineStr">
        <is>
          <t>Premium</t>
        </is>
      </c>
      <c r="L3180" s="42" t="inlineStr">
        <is>
          <t>Professional</t>
        </is>
      </c>
      <c r="M3180" s="42" t="inlineStr">
        <is>
          <t>Ian Plamondon</t>
        </is>
      </c>
    </row>
    <row r="3181">
      <c r="A3181" s="42" t="inlineStr">
        <is>
          <t>Jacey Clifton</t>
        </is>
      </c>
      <c r="B3181" s="42" t="inlineStr">
        <is>
          <t>6/14/26 - 7/11/26</t>
        </is>
      </c>
      <c r="C3181" s="41" t="n">
        <v>0.5208</v>
      </c>
      <c r="D3181" s="41" t="n">
        <v>0.8359</v>
      </c>
      <c r="E3181" s="41" t="n">
        <v>1</v>
      </c>
      <c r="F3181" s="41" t="n">
        <v>1</v>
      </c>
      <c r="G3181" s="41" t="n">
        <v>0.428571429</v>
      </c>
      <c r="H3181" s="42" t="n">
        <v>84</v>
      </c>
      <c r="I3181" s="55" t="n"/>
      <c r="J3181" s="41" t="n"/>
      <c r="K3181" s="42" t="inlineStr">
        <is>
          <t>Distinguished</t>
        </is>
      </c>
      <c r="L3181" s="42" t="inlineStr">
        <is>
          <t>Adjunct</t>
        </is>
      </c>
      <c r="M3181" s="42" t="inlineStr">
        <is>
          <t>Ela Cross</t>
        </is>
      </c>
    </row>
    <row r="3182">
      <c r="A3182" s="42" t="inlineStr">
        <is>
          <t>Jacob Karn</t>
        </is>
      </c>
      <c r="B3182" s="42" t="inlineStr">
        <is>
          <t>6/14/26 - 7/11/26</t>
        </is>
      </c>
      <c r="C3182" s="41" t="n">
        <v>0.575</v>
      </c>
      <c r="D3182" s="41" t="n">
        <v>1.0214</v>
      </c>
      <c r="E3182" s="41" t="n">
        <v>0.954545455</v>
      </c>
      <c r="F3182" s="41" t="n">
        <v>0.973</v>
      </c>
      <c r="G3182" s="41" t="n">
        <v>0.583333333</v>
      </c>
      <c r="H3182" s="42" t="n">
        <v>158</v>
      </c>
      <c r="I3182" s="55" t="inlineStr">
        <is>
          <t>2/6</t>
        </is>
      </c>
      <c r="J3182" s="41" t="n">
        <v>0.333333333</v>
      </c>
      <c r="K3182" s="42" t="inlineStr">
        <is>
          <t>Distinguished</t>
        </is>
      </c>
      <c r="L3182" s="42" t="inlineStr">
        <is>
          <t>Professional</t>
        </is>
      </c>
      <c r="M3182" s="42" t="inlineStr">
        <is>
          <t>Geoff St. Marie</t>
        </is>
      </c>
    </row>
    <row r="3183">
      <c r="A3183" s="42" t="inlineStr">
        <is>
          <t>Jake Corvino</t>
        </is>
      </c>
      <c r="B3183" s="42" t="inlineStr">
        <is>
          <t>6/14/26 - 7/11/26</t>
        </is>
      </c>
      <c r="C3183" s="41" t="n">
        <v>0.1875</v>
      </c>
      <c r="D3183" s="41" t="n">
        <v>0.9883</v>
      </c>
      <c r="E3183" s="41" t="n">
        <v>1</v>
      </c>
      <c r="F3183" s="41" t="n">
        <v>0.857</v>
      </c>
      <c r="G3183" s="41" t="n">
        <v>0.666666667</v>
      </c>
      <c r="H3183" s="42" t="n">
        <v>72</v>
      </c>
      <c r="I3183" s="55" t="inlineStr">
        <is>
          <t>0/1</t>
        </is>
      </c>
      <c r="J3183" s="41" t="n">
        <v>0</v>
      </c>
      <c r="K3183" s="42" t="inlineStr">
        <is>
          <t>Distinguished</t>
        </is>
      </c>
      <c r="L3183" s="42" t="inlineStr">
        <is>
          <t>Adjunct</t>
        </is>
      </c>
      <c r="M3183" s="42" t="inlineStr">
        <is>
          <t>Ela Cross</t>
        </is>
      </c>
    </row>
    <row r="3184">
      <c r="A3184" s="42" t="inlineStr">
        <is>
          <t>James Falconer</t>
        </is>
      </c>
      <c r="B3184" s="42" t="inlineStr">
        <is>
          <t>6/14/26 - 7/11/26</t>
        </is>
      </c>
      <c r="C3184" s="41" t="n">
        <v>0.6107</v>
      </c>
      <c r="D3184" s="41" t="n">
        <v>1.0276</v>
      </c>
      <c r="E3184" s="41" t="n">
        <v>0.974683544</v>
      </c>
      <c r="F3184" s="41" t="n">
        <v>1</v>
      </c>
      <c r="G3184" s="41" t="n">
        <v>0.894736842</v>
      </c>
      <c r="H3184" s="42" t="n">
        <v>224</v>
      </c>
      <c r="I3184" s="55" t="inlineStr">
        <is>
          <t>5/6</t>
        </is>
      </c>
      <c r="J3184" s="41" t="n">
        <v>0.833333333</v>
      </c>
      <c r="K3184" s="42" t="inlineStr">
        <is>
          <t>Distinguished</t>
        </is>
      </c>
      <c r="L3184" s="42" t="inlineStr">
        <is>
          <t>Professional</t>
        </is>
      </c>
      <c r="M3184" s="42" t="inlineStr">
        <is>
          <t>Geoff St. Marie</t>
        </is>
      </c>
    </row>
    <row r="3185">
      <c r="A3185" s="42" t="inlineStr">
        <is>
          <t>Jason Anderson</t>
        </is>
      </c>
      <c r="B3185" s="42" t="inlineStr">
        <is>
          <t>6/14/26 - 7/11/26</t>
        </is>
      </c>
      <c r="C3185" s="41" t="n">
        <v>0.6917</v>
      </c>
      <c r="D3185" s="41" t="n">
        <v>1.1546</v>
      </c>
      <c r="E3185" s="41" t="n">
        <v>0.987951807</v>
      </c>
      <c r="F3185" s="41" t="n">
        <v>0.979</v>
      </c>
      <c r="G3185" s="41" t="n">
        <v>1</v>
      </c>
      <c r="H3185" s="42" t="n">
        <v>96</v>
      </c>
      <c r="I3185" s="55" t="inlineStr">
        <is>
          <t>6/14</t>
        </is>
      </c>
      <c r="J3185" s="41" t="n">
        <v>0.428571429</v>
      </c>
      <c r="K3185" s="42" t="inlineStr">
        <is>
          <t>Advanced</t>
        </is>
      </c>
      <c r="L3185" s="42" t="inlineStr">
        <is>
          <t>Professional</t>
        </is>
      </c>
      <c r="M3185" s="42" t="inlineStr">
        <is>
          <t>Kristin Haase-Alvey</t>
        </is>
      </c>
    </row>
    <row r="3186">
      <c r="A3186" s="42" t="inlineStr">
        <is>
          <t>Jason Keller</t>
        </is>
      </c>
      <c r="B3186" s="42" t="inlineStr">
        <is>
          <t>6/14/26 - 7/11/26</t>
        </is>
      </c>
      <c r="C3186" s="41" t="n">
        <v>1.025</v>
      </c>
      <c r="D3186" s="41" t="n">
        <v>1.0345</v>
      </c>
      <c r="E3186" s="41" t="n">
        <v>0.982758621</v>
      </c>
      <c r="F3186" s="41" t="n">
        <v>0.948</v>
      </c>
      <c r="G3186" s="41" t="n">
        <v>0.7</v>
      </c>
      <c r="H3186" s="42" t="n">
        <v>12</v>
      </c>
      <c r="I3186" s="55" t="inlineStr">
        <is>
          <t>9/10</t>
        </is>
      </c>
      <c r="J3186" s="41" t="n">
        <v>0.9</v>
      </c>
      <c r="K3186" s="42" t="inlineStr">
        <is>
          <t>Premium</t>
        </is>
      </c>
      <c r="L3186" s="42" t="inlineStr">
        <is>
          <t>Professional</t>
        </is>
      </c>
      <c r="M3186" s="42" t="inlineStr">
        <is>
          <t>Kristin Haase-Alvey</t>
        </is>
      </c>
    </row>
    <row r="3187">
      <c r="A3187" s="42" t="inlineStr">
        <is>
          <t>Jason Noble</t>
        </is>
      </c>
      <c r="B3187" s="42" t="inlineStr">
        <is>
          <t>6/14/26 - 7/11/26</t>
        </is>
      </c>
      <c r="C3187" s="41" t="n">
        <v>0.2583</v>
      </c>
      <c r="D3187" s="41" t="n">
        <v>0.6052999999999999</v>
      </c>
      <c r="E3187" s="41" t="n">
        <v>0.888888889</v>
      </c>
      <c r="F3187" s="41" t="n">
        <v>1</v>
      </c>
      <c r="G3187" s="41" t="n">
        <v>0.818181818</v>
      </c>
      <c r="H3187" s="42" t="n">
        <v>152</v>
      </c>
      <c r="I3187" s="55" t="n"/>
      <c r="J3187" s="41" t="n"/>
      <c r="K3187" s="42" t="inlineStr">
        <is>
          <t>Distinguished</t>
        </is>
      </c>
      <c r="L3187" s="42" t="inlineStr">
        <is>
          <t>Professional</t>
        </is>
      </c>
      <c r="M3187" s="42" t="inlineStr">
        <is>
          <t>Kristin Haase-Alvey</t>
        </is>
      </c>
    </row>
    <row r="3188">
      <c r="A3188" s="42" t="inlineStr">
        <is>
          <t>Jayna Boaz</t>
        </is>
      </c>
      <c r="B3188" s="42" t="inlineStr">
        <is>
          <t>6/14/26 - 7/11/26</t>
        </is>
      </c>
      <c r="C3188" s="41" t="n">
        <v>1</v>
      </c>
      <c r="D3188" s="41" t="n">
        <v>2.1484</v>
      </c>
      <c r="E3188" s="41" t="n">
        <v>0.934782609</v>
      </c>
      <c r="F3188" s="41" t="n">
        <v>1</v>
      </c>
      <c r="G3188" s="41" t="n">
        <v>0.8</v>
      </c>
      <c r="H3188" s="42" t="n">
        <v>68</v>
      </c>
      <c r="I3188" s="55" t="inlineStr">
        <is>
          <t>0/4</t>
        </is>
      </c>
      <c r="J3188" s="41" t="n">
        <v>0</v>
      </c>
      <c r="K3188" s="42" t="inlineStr">
        <is>
          <t>Advanced</t>
        </is>
      </c>
      <c r="L3188" s="42" t="inlineStr">
        <is>
          <t>Adjunct</t>
        </is>
      </c>
      <c r="M3188" s="42" t="inlineStr">
        <is>
          <t>Ela Cross</t>
        </is>
      </c>
    </row>
    <row r="3189">
      <c r="A3189" s="42" t="inlineStr">
        <is>
          <t>Jenn Thompson</t>
        </is>
      </c>
      <c r="B3189" s="42" t="inlineStr">
        <is>
          <t>6/14/26 - 7/11/26</t>
        </is>
      </c>
      <c r="C3189" s="41" t="n">
        <v>0.3542</v>
      </c>
      <c r="D3189" s="41" t="n">
        <v>1.3984</v>
      </c>
      <c r="E3189" s="41" t="n">
        <v>1</v>
      </c>
      <c r="F3189" s="41" t="n">
        <v>0.643</v>
      </c>
      <c r="G3189" s="41" t="n"/>
      <c r="H3189" s="42" t="n">
        <v>0</v>
      </c>
      <c r="I3189" s="55" t="inlineStr">
        <is>
          <t>2/3</t>
        </is>
      </c>
      <c r="J3189" s="41" t="n">
        <v>0.666666667</v>
      </c>
      <c r="K3189" s="42" t="inlineStr">
        <is>
          <t>Advanced</t>
        </is>
      </c>
      <c r="L3189" s="42" t="inlineStr">
        <is>
          <t>Adjunct</t>
        </is>
      </c>
      <c r="M3189" s="42" t="inlineStr">
        <is>
          <t>Kristin Haase-Alvey</t>
        </is>
      </c>
    </row>
    <row r="3190">
      <c r="A3190" s="42" t="inlineStr">
        <is>
          <t>Jennifer Hernandez</t>
        </is>
      </c>
      <c r="B3190" s="42" t="inlineStr">
        <is>
          <t>6/14/26 - 7/11/26</t>
        </is>
      </c>
      <c r="C3190" s="41" t="n">
        <v>0.1875</v>
      </c>
      <c r="D3190" s="41" t="n">
        <v>0.8125</v>
      </c>
      <c r="E3190" s="41" t="n">
        <v>1</v>
      </c>
      <c r="F3190" s="41" t="n">
        <v>1</v>
      </c>
      <c r="G3190" s="41" t="n">
        <v>1</v>
      </c>
      <c r="H3190" s="42" t="n">
        <v>29</v>
      </c>
      <c r="I3190" s="55" t="inlineStr">
        <is>
          <t>1/1</t>
        </is>
      </c>
      <c r="J3190" s="41" t="n">
        <v>1</v>
      </c>
      <c r="K3190" s="42" t="inlineStr">
        <is>
          <t>Distinguished</t>
        </is>
      </c>
      <c r="L3190" s="42" t="inlineStr">
        <is>
          <t>Adjunct</t>
        </is>
      </c>
      <c r="M3190" s="42" t="inlineStr">
        <is>
          <t>Kristin Haase-Alvey</t>
        </is>
      </c>
    </row>
    <row r="3191">
      <c r="A3191" s="42" t="inlineStr">
        <is>
          <t>Jesse Squires</t>
        </is>
      </c>
      <c r="B3191" s="42" t="inlineStr">
        <is>
          <t>6/14/26 - 7/11/26</t>
        </is>
      </c>
      <c r="C3191" s="41" t="n">
        <v>0.5333</v>
      </c>
      <c r="D3191" s="41" t="n">
        <v>1.0181</v>
      </c>
      <c r="E3191" s="41" t="n">
        <v>1</v>
      </c>
      <c r="F3191" s="41" t="n">
        <v>1</v>
      </c>
      <c r="G3191" s="41" t="n">
        <v>0.888888889</v>
      </c>
      <c r="H3191" s="42" t="n">
        <v>158</v>
      </c>
      <c r="I3191" s="55" t="inlineStr">
        <is>
          <t>7/8</t>
        </is>
      </c>
      <c r="J3191" s="41" t="n">
        <v>0.875</v>
      </c>
      <c r="K3191" s="42" t="inlineStr">
        <is>
          <t>Distinguished</t>
        </is>
      </c>
      <c r="L3191" s="42" t="inlineStr">
        <is>
          <t>Professional</t>
        </is>
      </c>
      <c r="M3191" s="42" t="inlineStr">
        <is>
          <t>Kristin Haase-Alvey</t>
        </is>
      </c>
    </row>
    <row r="3192">
      <c r="A3192" s="42" t="inlineStr">
        <is>
          <t>Jessica Menkhus</t>
        </is>
      </c>
      <c r="B3192" s="42" t="inlineStr">
        <is>
          <t>6/14/26 - 7/11/26</t>
        </is>
      </c>
      <c r="C3192" s="41" t="n">
        <v>0.625</v>
      </c>
      <c r="D3192" s="41" t="n">
        <v>2.3516</v>
      </c>
      <c r="E3192" s="41" t="n">
        <v>0.928571429</v>
      </c>
      <c r="F3192" s="41" t="n">
        <v>1</v>
      </c>
      <c r="G3192" s="41" t="n">
        <v>1</v>
      </c>
      <c r="H3192" s="42" t="n">
        <v>22</v>
      </c>
      <c r="I3192" s="55" t="inlineStr">
        <is>
          <t>1/2</t>
        </is>
      </c>
      <c r="J3192" s="41" t="n">
        <v>0.5</v>
      </c>
      <c r="K3192" s="42" t="inlineStr">
        <is>
          <t>Premium</t>
        </is>
      </c>
      <c r="L3192" s="42" t="inlineStr">
        <is>
          <t>Adjunct</t>
        </is>
      </c>
      <c r="M3192" s="42" t="inlineStr">
        <is>
          <t>Ela Cross</t>
        </is>
      </c>
    </row>
    <row r="3193">
      <c r="A3193" s="42" t="inlineStr">
        <is>
          <t>Jessica Peterson</t>
        </is>
      </c>
      <c r="B3193" s="42" t="inlineStr">
        <is>
          <t>6/14/26 - 7/11/26</t>
        </is>
      </c>
      <c r="C3193" s="41" t="n">
        <v>0.4583</v>
      </c>
      <c r="D3193" s="41" t="n">
        <v>1.0469</v>
      </c>
      <c r="E3193" s="41" t="n">
        <v>0.95</v>
      </c>
      <c r="F3193" s="41" t="n">
        <v>1</v>
      </c>
      <c r="G3193" s="41" t="n">
        <v>0.25</v>
      </c>
      <c r="H3193" s="42" t="n">
        <v>12</v>
      </c>
      <c r="I3193" s="55" t="inlineStr">
        <is>
          <t>4/4</t>
        </is>
      </c>
      <c r="J3193" s="41" t="n">
        <v>1</v>
      </c>
      <c r="K3193" s="42" t="inlineStr">
        <is>
          <t>Premium</t>
        </is>
      </c>
      <c r="L3193" s="42" t="inlineStr">
        <is>
          <t>Adjunct</t>
        </is>
      </c>
      <c r="M3193" s="42" t="inlineStr">
        <is>
          <t>Annelies de Groot</t>
        </is>
      </c>
    </row>
    <row r="3194">
      <c r="A3194" s="42" t="inlineStr">
        <is>
          <t>Jessica Wall</t>
        </is>
      </c>
      <c r="B3194" s="42" t="inlineStr">
        <is>
          <t>6/14/26 - 7/11/26</t>
        </is>
      </c>
      <c r="C3194" s="41" t="n">
        <v>0.6417</v>
      </c>
      <c r="D3194" s="41" t="n">
        <v>1.0164</v>
      </c>
      <c r="E3194" s="41" t="n">
        <v>1</v>
      </c>
      <c r="F3194" s="41" t="n">
        <v>1</v>
      </c>
      <c r="G3194" s="41" t="n">
        <v>0.857142857</v>
      </c>
      <c r="H3194" s="42" t="n">
        <v>146</v>
      </c>
      <c r="I3194" s="55" t="inlineStr">
        <is>
          <t>6/9</t>
        </is>
      </c>
      <c r="J3194" s="41" t="n">
        <v>0.666666667</v>
      </c>
      <c r="K3194" s="42" t="inlineStr">
        <is>
          <t>Distinguished</t>
        </is>
      </c>
      <c r="L3194" s="42" t="inlineStr">
        <is>
          <t>Professional</t>
        </is>
      </c>
      <c r="M3194" s="42" t="inlineStr">
        <is>
          <t>Kristin Haase-Alvey</t>
        </is>
      </c>
    </row>
    <row r="3195">
      <c r="A3195" s="42" t="inlineStr">
        <is>
          <t>Jill Watson</t>
        </is>
      </c>
      <c r="B3195" s="42" t="inlineStr">
        <is>
          <t>6/14/26 - 7/11/26</t>
        </is>
      </c>
      <c r="C3195" s="41" t="n">
        <v>0.9607</v>
      </c>
      <c r="D3195" s="41" t="n">
        <v>1.2326</v>
      </c>
      <c r="E3195" s="41" t="n">
        <v>1</v>
      </c>
      <c r="F3195" s="41" t="n">
        <v>0.958</v>
      </c>
      <c r="G3195" s="41" t="n">
        <v>0.6875</v>
      </c>
      <c r="H3195" s="42" t="n">
        <v>271</v>
      </c>
      <c r="I3195" s="55" t="inlineStr">
        <is>
          <t>17/20</t>
        </is>
      </c>
      <c r="J3195" s="41" t="n">
        <v>0.85</v>
      </c>
      <c r="K3195" s="42" t="inlineStr">
        <is>
          <t>Distinguished</t>
        </is>
      </c>
      <c r="L3195" s="42" t="inlineStr">
        <is>
          <t>Professional</t>
        </is>
      </c>
      <c r="M3195" s="42" t="inlineStr">
        <is>
          <t>Ian Plamondon</t>
        </is>
      </c>
    </row>
    <row r="3196">
      <c r="A3196" s="42" t="inlineStr">
        <is>
          <t>Jimmy Works</t>
        </is>
      </c>
      <c r="B3196" s="42" t="inlineStr">
        <is>
          <t>6/14/26 - 7/11/26</t>
        </is>
      </c>
      <c r="C3196" s="41" t="n">
        <v>0.4167</v>
      </c>
      <c r="D3196" s="41" t="n">
        <v>1.1133</v>
      </c>
      <c r="E3196" s="41" t="n">
        <v>0.894736842</v>
      </c>
      <c r="F3196" s="41" t="n">
        <v>0.9330000000000001</v>
      </c>
      <c r="G3196" s="41" t="n">
        <v>0.8</v>
      </c>
      <c r="H3196" s="42" t="n">
        <v>12</v>
      </c>
      <c r="I3196" s="55" t="inlineStr">
        <is>
          <t>1/2</t>
        </is>
      </c>
      <c r="J3196" s="41" t="n">
        <v>0.5</v>
      </c>
      <c r="K3196" s="42" t="inlineStr">
        <is>
          <t>Distinguished</t>
        </is>
      </c>
      <c r="L3196" s="42" t="inlineStr">
        <is>
          <t>Adjunct</t>
        </is>
      </c>
      <c r="M3196" s="42" t="inlineStr">
        <is>
          <t>Kristin Haase-Alvey</t>
        </is>
      </c>
    </row>
    <row r="3197">
      <c r="A3197" s="42" t="inlineStr">
        <is>
          <t>John Corbett</t>
        </is>
      </c>
      <c r="B3197" s="42" t="inlineStr">
        <is>
          <t>6/14/26 - 7/11/26</t>
        </is>
      </c>
      <c r="C3197" s="41" t="n">
        <v>0.4</v>
      </c>
      <c r="D3197" s="41" t="n">
        <v>0.8905999999999999</v>
      </c>
      <c r="E3197" s="41" t="n">
        <v>1</v>
      </c>
      <c r="F3197" s="41" t="n">
        <v>1</v>
      </c>
      <c r="G3197" s="41" t="n">
        <v>0.2</v>
      </c>
      <c r="H3197" s="42" t="n">
        <v>144</v>
      </c>
      <c r="I3197" s="55" t="inlineStr">
        <is>
          <t>1/2</t>
        </is>
      </c>
      <c r="J3197" s="41" t="n">
        <v>0.5</v>
      </c>
      <c r="K3197" s="42" t="inlineStr">
        <is>
          <t>Distinguished</t>
        </is>
      </c>
      <c r="L3197" s="42" t="inlineStr">
        <is>
          <t>Adjunct</t>
        </is>
      </c>
      <c r="M3197" s="42" t="inlineStr">
        <is>
          <t>Geoff St. Marie</t>
        </is>
      </c>
    </row>
    <row r="3198">
      <c r="A3198" s="42" t="inlineStr">
        <is>
          <t>John Licitra</t>
        </is>
      </c>
      <c r="B3198" s="42" t="inlineStr">
        <is>
          <t>6/14/26 - 7/11/26</t>
        </is>
      </c>
      <c r="C3198" s="41" t="n">
        <v>0.2083</v>
      </c>
      <c r="D3198" s="41" t="n">
        <v>1.0345</v>
      </c>
      <c r="E3198" s="41" t="n">
        <v>0.956521739</v>
      </c>
      <c r="F3198" s="41" t="n">
        <v>0.875</v>
      </c>
      <c r="G3198" s="41" t="n">
        <v>0.333333333</v>
      </c>
      <c r="H3198" s="42" t="n">
        <v>100</v>
      </c>
      <c r="I3198" s="55" t="inlineStr">
        <is>
          <t>0/2</t>
        </is>
      </c>
      <c r="J3198" s="41" t="n">
        <v>0</v>
      </c>
      <c r="K3198" s="42" t="inlineStr">
        <is>
          <t>Distinguished</t>
        </is>
      </c>
      <c r="L3198" s="42" t="inlineStr">
        <is>
          <t>Professional</t>
        </is>
      </c>
      <c r="M3198" s="42" t="inlineStr">
        <is>
          <t>Geoff St. Marie</t>
        </is>
      </c>
    </row>
    <row r="3199">
      <c r="A3199" s="42" t="inlineStr">
        <is>
          <t>John Olmos</t>
        </is>
      </c>
      <c r="B3199" s="42" t="inlineStr">
        <is>
          <t>6/14/26 - 7/11/26</t>
        </is>
      </c>
      <c r="C3199" s="41" t="n">
        <v>0.8042</v>
      </c>
      <c r="D3199" s="41" t="n">
        <v>1.1184</v>
      </c>
      <c r="E3199" s="41" t="n">
        <v>1</v>
      </c>
      <c r="F3199" s="41" t="n">
        <v>0.981</v>
      </c>
      <c r="G3199" s="41" t="n">
        <v>0.846153846</v>
      </c>
      <c r="H3199" s="42" t="n">
        <v>20</v>
      </c>
      <c r="I3199" s="55" t="inlineStr">
        <is>
          <t>2/7</t>
        </is>
      </c>
      <c r="J3199" s="41" t="n">
        <v>0.285714286</v>
      </c>
      <c r="K3199" s="42" t="inlineStr">
        <is>
          <t>Distinguished</t>
        </is>
      </c>
      <c r="L3199" s="42" t="inlineStr">
        <is>
          <t>Professional</t>
        </is>
      </c>
      <c r="M3199" s="42" t="inlineStr">
        <is>
          <t>Geoff St. Marie</t>
        </is>
      </c>
    </row>
    <row r="3200">
      <c r="A3200" s="42" t="inlineStr">
        <is>
          <t>John Salcedo</t>
        </is>
      </c>
      <c r="B3200" s="42" t="inlineStr">
        <is>
          <t>6/14/26 - 7/11/26</t>
        </is>
      </c>
      <c r="C3200" s="41" t="n">
        <v>0.6643</v>
      </c>
      <c r="D3200" s="41" t="n">
        <v>1.0843</v>
      </c>
      <c r="E3200" s="41" t="n">
        <v>0.989010989</v>
      </c>
      <c r="F3200" s="41" t="n">
        <v>0.9330000000000001</v>
      </c>
      <c r="G3200" s="41" t="n">
        <v>0.461538462</v>
      </c>
      <c r="H3200" s="42" t="n">
        <v>216</v>
      </c>
      <c r="I3200" s="55" t="inlineStr">
        <is>
          <t>1/9</t>
        </is>
      </c>
      <c r="J3200" s="41" t="n">
        <v>0.111111111</v>
      </c>
      <c r="K3200" s="42" t="inlineStr">
        <is>
          <t>Distinguished</t>
        </is>
      </c>
      <c r="L3200" s="42" t="inlineStr">
        <is>
          <t>Professional</t>
        </is>
      </c>
      <c r="M3200" s="42" t="inlineStr">
        <is>
          <t>Ela Cross</t>
        </is>
      </c>
    </row>
    <row r="3201">
      <c r="A3201" s="42" t="inlineStr">
        <is>
          <t>Johnny Kaplan</t>
        </is>
      </c>
      <c r="B3201" s="42" t="inlineStr">
        <is>
          <t>6/14/26 - 7/11/26</t>
        </is>
      </c>
      <c r="C3201" s="41" t="n">
        <v>0.3125</v>
      </c>
      <c r="D3201" s="41" t="n">
        <v>1</v>
      </c>
      <c r="E3201" s="41" t="n">
        <v>1</v>
      </c>
      <c r="F3201" s="41" t="n">
        <v>1</v>
      </c>
      <c r="G3201" s="41" t="n">
        <v>0.25</v>
      </c>
      <c r="H3201" s="42" t="n">
        <v>36</v>
      </c>
      <c r="I3201" s="55" t="n"/>
      <c r="J3201" s="41" t="n"/>
      <c r="K3201" s="42" t="inlineStr">
        <is>
          <t>Advanced</t>
        </is>
      </c>
      <c r="L3201" s="42" t="inlineStr">
        <is>
          <t>Adjunct</t>
        </is>
      </c>
      <c r="M3201" s="42" t="inlineStr">
        <is>
          <t>Ian Plamondon</t>
        </is>
      </c>
    </row>
    <row r="3202">
      <c r="A3202" s="42" t="inlineStr">
        <is>
          <t>Jon Cathapermal</t>
        </is>
      </c>
      <c r="B3202" s="42" t="inlineStr">
        <is>
          <t>6/14/26 - 7/11/26</t>
        </is>
      </c>
      <c r="C3202" s="41" t="n">
        <v>0.7429</v>
      </c>
      <c r="D3202" s="41" t="n">
        <v>1.0349</v>
      </c>
      <c r="E3202" s="41" t="n">
        <v>0.960784314</v>
      </c>
      <c r="F3202" s="41" t="n">
        <v>0.9340000000000001</v>
      </c>
      <c r="G3202" s="41" t="n">
        <v>0.55</v>
      </c>
      <c r="H3202" s="42" t="n">
        <v>88</v>
      </c>
      <c r="I3202" s="55" t="inlineStr">
        <is>
          <t>10/11</t>
        </is>
      </c>
      <c r="J3202" s="41" t="n">
        <v>0.909090909</v>
      </c>
      <c r="K3202" s="42" t="inlineStr">
        <is>
          <t>Distinguished</t>
        </is>
      </c>
      <c r="L3202" s="42" t="inlineStr">
        <is>
          <t>Professional</t>
        </is>
      </c>
      <c r="M3202" s="42" t="inlineStr">
        <is>
          <t>Geoff St. Marie</t>
        </is>
      </c>
    </row>
    <row r="3203">
      <c r="A3203" s="42" t="inlineStr">
        <is>
          <t>Joyraj D'souza</t>
        </is>
      </c>
      <c r="B3203" s="42" t="inlineStr">
        <is>
          <t>6/14/26 - 7/11/26</t>
        </is>
      </c>
      <c r="C3203" s="41" t="n">
        <v>0.25</v>
      </c>
      <c r="D3203" s="41" t="n">
        <v>1.0234</v>
      </c>
      <c r="E3203" s="41" t="n">
        <v>1</v>
      </c>
      <c r="F3203" s="41" t="n">
        <v>1</v>
      </c>
      <c r="G3203" s="41" t="n">
        <v>1</v>
      </c>
      <c r="H3203" s="42" t="n">
        <v>24</v>
      </c>
      <c r="I3203" s="55" t="n"/>
      <c r="J3203" s="41" t="n"/>
      <c r="K3203" s="42" t="inlineStr">
        <is>
          <t>Distinguished</t>
        </is>
      </c>
      <c r="L3203" s="42" t="inlineStr">
        <is>
          <t>Adjunct</t>
        </is>
      </c>
      <c r="M3203" s="42" t="inlineStr">
        <is>
          <t>Kristin Haase-Alvey</t>
        </is>
      </c>
    </row>
    <row r="3204">
      <c r="A3204" s="42" t="inlineStr">
        <is>
          <t>Juan Nunez</t>
        </is>
      </c>
      <c r="B3204" s="42" t="inlineStr">
        <is>
          <t>6/14/26 - 7/11/26</t>
        </is>
      </c>
      <c r="C3204" s="41" t="n">
        <v>0.7</v>
      </c>
      <c r="D3204" s="41" t="n">
        <v>1.0526</v>
      </c>
      <c r="E3204" s="41" t="n">
        <v>1</v>
      </c>
      <c r="F3204" s="41" t="n">
        <v>1</v>
      </c>
      <c r="G3204" s="41" t="n">
        <v>0.625</v>
      </c>
      <c r="H3204" s="42" t="n">
        <v>234</v>
      </c>
      <c r="I3204" s="55" t="inlineStr">
        <is>
          <t>9/9</t>
        </is>
      </c>
      <c r="J3204" s="41" t="n">
        <v>1</v>
      </c>
      <c r="K3204" s="42" t="inlineStr">
        <is>
          <t>Distinguished</t>
        </is>
      </c>
      <c r="L3204" s="42" t="inlineStr">
        <is>
          <t>Professional</t>
        </is>
      </c>
      <c r="M3204" s="42" t="inlineStr">
        <is>
          <t>Kristin Haase-Alvey</t>
        </is>
      </c>
    </row>
    <row r="3205">
      <c r="A3205" s="42" t="inlineStr">
        <is>
          <t>Judi Abo Hana</t>
        </is>
      </c>
      <c r="B3205" s="42" t="inlineStr">
        <is>
          <t>6/14/26 - 7/11/26</t>
        </is>
      </c>
      <c r="C3205" s="41" t="n">
        <v>1.3625</v>
      </c>
      <c r="D3205" s="41" t="n">
        <v>1.4063</v>
      </c>
      <c r="E3205" s="41" t="n">
        <v>1</v>
      </c>
      <c r="F3205" s="41" t="n">
        <v>0.959</v>
      </c>
      <c r="G3205" s="41" t="n">
        <v>0.695652174</v>
      </c>
      <c r="H3205" s="42" t="n">
        <v>280</v>
      </c>
      <c r="I3205" s="55" t="inlineStr">
        <is>
          <t>2/3</t>
        </is>
      </c>
      <c r="J3205" s="41" t="n">
        <v>0.666666667</v>
      </c>
      <c r="K3205" s="42" t="inlineStr">
        <is>
          <t>Advanced</t>
        </is>
      </c>
      <c r="L3205" s="42" t="inlineStr">
        <is>
          <t>Adjunct</t>
        </is>
      </c>
      <c r="M3205" s="42" t="inlineStr">
        <is>
          <t>Geoff St. Marie</t>
        </is>
      </c>
    </row>
    <row r="3206">
      <c r="A3206" s="42" t="inlineStr">
        <is>
          <t>Julia Saderholm</t>
        </is>
      </c>
      <c r="B3206" s="42" t="inlineStr">
        <is>
          <t>6/14/26 - 7/11/26</t>
        </is>
      </c>
      <c r="C3206" s="41" t="n">
        <v>0.65</v>
      </c>
      <c r="D3206" s="41" t="n">
        <v>1.1563</v>
      </c>
      <c r="E3206" s="41" t="n">
        <v>1</v>
      </c>
      <c r="F3206" s="41" t="n">
        <v>1</v>
      </c>
      <c r="G3206" s="41" t="n">
        <v>0.222222222</v>
      </c>
      <c r="H3206" s="42" t="n">
        <v>180</v>
      </c>
      <c r="I3206" s="55" t="inlineStr">
        <is>
          <t>6/13</t>
        </is>
      </c>
      <c r="J3206" s="41" t="n">
        <v>0.461538462</v>
      </c>
      <c r="K3206" s="42" t="inlineStr">
        <is>
          <t>Distinguished</t>
        </is>
      </c>
      <c r="L3206" s="42" t="inlineStr">
        <is>
          <t>Professional</t>
        </is>
      </c>
      <c r="M3206" s="42" t="inlineStr">
        <is>
          <t>Ela Cross</t>
        </is>
      </c>
    </row>
    <row r="3207">
      <c r="A3207" s="42" t="inlineStr">
        <is>
          <t>Julie Byrom</t>
        </is>
      </c>
      <c r="B3207" s="42" t="inlineStr">
        <is>
          <t>6/14/26 - 7/11/26</t>
        </is>
      </c>
      <c r="C3207" s="41" t="n">
        <v>0.7625</v>
      </c>
      <c r="D3207" s="41" t="n">
        <v>1.0247</v>
      </c>
      <c r="E3207" s="41" t="n">
        <v>1</v>
      </c>
      <c r="F3207" s="41" t="n">
        <v>1</v>
      </c>
      <c r="G3207" s="41" t="n">
        <v>1</v>
      </c>
      <c r="H3207" s="42" t="n">
        <v>65</v>
      </c>
      <c r="I3207" s="55" t="inlineStr">
        <is>
          <t>4/7</t>
        </is>
      </c>
      <c r="J3207" s="41" t="n">
        <v>0.571428571</v>
      </c>
      <c r="K3207" s="42" t="inlineStr">
        <is>
          <t>Premium</t>
        </is>
      </c>
      <c r="L3207" s="42" t="inlineStr">
        <is>
          <t>Professional</t>
        </is>
      </c>
      <c r="M3207" s="42" t="inlineStr">
        <is>
          <t>Ela Cross</t>
        </is>
      </c>
    </row>
    <row r="3208">
      <c r="A3208" s="42" t="inlineStr">
        <is>
          <t>Justin Hill</t>
        </is>
      </c>
      <c r="B3208" s="42" t="inlineStr">
        <is>
          <t>6/14/26 - 7/11/26</t>
        </is>
      </c>
      <c r="C3208" s="41" t="n">
        <v>0.6583</v>
      </c>
      <c r="D3208" s="41" t="n">
        <v>1.0329</v>
      </c>
      <c r="E3208" s="41" t="n">
        <v>1</v>
      </c>
      <c r="F3208" s="41" t="n">
        <v>0.759</v>
      </c>
      <c r="G3208" s="41" t="n">
        <v>1</v>
      </c>
      <c r="H3208" s="42" t="n">
        <v>144</v>
      </c>
      <c r="I3208" s="55" t="inlineStr">
        <is>
          <t>6/8</t>
        </is>
      </c>
      <c r="J3208" s="41" t="n">
        <v>0.75</v>
      </c>
      <c r="K3208" s="42" t="inlineStr">
        <is>
          <t>Distinguished</t>
        </is>
      </c>
      <c r="L3208" s="42" t="inlineStr">
        <is>
          <t>Professional</t>
        </is>
      </c>
      <c r="M3208" s="42" t="inlineStr">
        <is>
          <t>Kristin Haase-Alvey</t>
        </is>
      </c>
    </row>
    <row r="3209">
      <c r="A3209" s="42" t="inlineStr">
        <is>
          <t>Kai Tsung</t>
        </is>
      </c>
      <c r="B3209" s="42" t="inlineStr">
        <is>
          <t>6/14/26 - 7/11/26</t>
        </is>
      </c>
      <c r="C3209" s="41" t="n">
        <v>0.2083</v>
      </c>
      <c r="D3209" s="41" t="n">
        <v>1.0078</v>
      </c>
      <c r="E3209" s="41" t="n">
        <v>1</v>
      </c>
      <c r="F3209" s="41" t="n">
        <v>1</v>
      </c>
      <c r="G3209" s="41" t="n">
        <v>1</v>
      </c>
      <c r="H3209" s="42" t="n">
        <v>28</v>
      </c>
      <c r="I3209" s="55" t="inlineStr">
        <is>
          <t>1/2</t>
        </is>
      </c>
      <c r="J3209" s="41" t="n">
        <v>0.5</v>
      </c>
      <c r="K3209" s="42" t="inlineStr">
        <is>
          <t>Advanced</t>
        </is>
      </c>
      <c r="L3209" s="42" t="inlineStr">
        <is>
          <t>Adjunct</t>
        </is>
      </c>
      <c r="M3209" s="42" t="inlineStr">
        <is>
          <t>Kristin Haase-Alvey</t>
        </is>
      </c>
    </row>
    <row r="3210">
      <c r="A3210" s="42" t="inlineStr">
        <is>
          <t>Kailot Harris</t>
        </is>
      </c>
      <c r="B3210" s="42" t="inlineStr">
        <is>
          <t>6/14/26 - 7/11/26</t>
        </is>
      </c>
      <c r="C3210" s="41" t="n">
        <v>0.5643</v>
      </c>
      <c r="D3210" s="41" t="n">
        <v>0.7907</v>
      </c>
      <c r="E3210" s="41" t="n">
        <v>1</v>
      </c>
      <c r="F3210" s="41" t="n">
        <v>1</v>
      </c>
      <c r="G3210" s="41" t="n">
        <v>1</v>
      </c>
      <c r="H3210" s="42" t="n">
        <v>236</v>
      </c>
      <c r="I3210" s="55" t="inlineStr">
        <is>
          <t>6/8</t>
        </is>
      </c>
      <c r="J3210" s="41" t="n">
        <v>0.75</v>
      </c>
      <c r="K3210" s="42" t="inlineStr">
        <is>
          <t>Distinguished</t>
        </is>
      </c>
      <c r="L3210" s="42" t="inlineStr">
        <is>
          <t>Professional</t>
        </is>
      </c>
      <c r="M3210" s="42" t="inlineStr">
        <is>
          <t>Kristin Haase-Alvey</t>
        </is>
      </c>
    </row>
    <row r="3211">
      <c r="A3211" s="42" t="inlineStr">
        <is>
          <t>Karleigh Arrington</t>
        </is>
      </c>
      <c r="B3211" s="42" t="inlineStr">
        <is>
          <t>6/14/26 - 7/11/26</t>
        </is>
      </c>
      <c r="C3211" s="41" t="n">
        <v>0.9042</v>
      </c>
      <c r="D3211" s="41" t="n">
        <v>0.9441000000000001</v>
      </c>
      <c r="E3211" s="41" t="n">
        <v>1</v>
      </c>
      <c r="F3211" s="41" t="n">
        <v>0.983</v>
      </c>
      <c r="G3211" s="41" t="n">
        <v>0.6315789469999999</v>
      </c>
      <c r="H3211" s="42" t="n">
        <v>138</v>
      </c>
      <c r="I3211" s="55" t="inlineStr">
        <is>
          <t>5/6</t>
        </is>
      </c>
      <c r="J3211" s="41" t="n">
        <v>0.833333333</v>
      </c>
      <c r="K3211" s="42" t="inlineStr">
        <is>
          <t>Distinguished</t>
        </is>
      </c>
      <c r="L3211" s="42" t="inlineStr">
        <is>
          <t>Professional</t>
        </is>
      </c>
      <c r="M3211" s="42" t="inlineStr">
        <is>
          <t>Annelies de Groot</t>
        </is>
      </c>
    </row>
    <row r="3212">
      <c r="A3212" s="42" t="inlineStr">
        <is>
          <t>Kate Haldeman</t>
        </is>
      </c>
      <c r="B3212" s="42" t="inlineStr">
        <is>
          <t>6/14/26 - 7/11/26</t>
        </is>
      </c>
      <c r="C3212" s="41" t="n">
        <v>1.0071</v>
      </c>
      <c r="D3212" s="41" t="n">
        <v>1.0988</v>
      </c>
      <c r="E3212" s="41" t="n">
        <v>0.985294118</v>
      </c>
      <c r="F3212" s="41" t="n">
        <v>0.987</v>
      </c>
      <c r="G3212" s="41" t="n">
        <v>0.869565217</v>
      </c>
      <c r="H3212" s="42" t="n">
        <v>260</v>
      </c>
      <c r="I3212" s="55" t="inlineStr">
        <is>
          <t>1/13</t>
        </is>
      </c>
      <c r="J3212" s="41" t="n">
        <v>0.07692307700000001</v>
      </c>
      <c r="K3212" s="42" t="inlineStr">
        <is>
          <t>Advanced</t>
        </is>
      </c>
      <c r="L3212" s="42" t="inlineStr">
        <is>
          <t>Professional</t>
        </is>
      </c>
      <c r="M3212" s="42" t="inlineStr">
        <is>
          <t>Geoff St. Marie</t>
        </is>
      </c>
    </row>
    <row r="3213">
      <c r="A3213" s="42" t="inlineStr">
        <is>
          <t>Katherine Clarke</t>
        </is>
      </c>
      <c r="B3213" s="42" t="inlineStr">
        <is>
          <t>6/14/26 - 7/11/26</t>
        </is>
      </c>
      <c r="C3213" s="41" t="n">
        <v>0.5292</v>
      </c>
      <c r="D3213" s="41" t="n">
        <v>0.7763</v>
      </c>
      <c r="E3213" s="41" t="n">
        <v>0.984126984</v>
      </c>
      <c r="F3213" s="41" t="n">
        <v>0.805</v>
      </c>
      <c r="G3213" s="41" t="n">
        <v>1</v>
      </c>
      <c r="H3213" s="42" t="n">
        <v>10</v>
      </c>
      <c r="I3213" s="55" t="inlineStr">
        <is>
          <t>1/6</t>
        </is>
      </c>
      <c r="J3213" s="41" t="n">
        <v>0.166666667</v>
      </c>
      <c r="K3213" s="42" t="inlineStr">
        <is>
          <t>Distinguished</t>
        </is>
      </c>
      <c r="L3213" s="42" t="inlineStr">
        <is>
          <t>Professional</t>
        </is>
      </c>
      <c r="M3213" s="42" t="inlineStr">
        <is>
          <t>Kristin Haase-Alvey</t>
        </is>
      </c>
    </row>
    <row r="3214">
      <c r="A3214" s="42" t="inlineStr">
        <is>
          <t>Katherine Dickerson</t>
        </is>
      </c>
      <c r="B3214" s="42" t="inlineStr">
        <is>
          <t>6/14/26 - 7/11/26</t>
        </is>
      </c>
      <c r="C3214" s="41" t="n">
        <v>0.825</v>
      </c>
      <c r="D3214" s="41" t="n">
        <v>1.2418</v>
      </c>
      <c r="E3214" s="41" t="n">
        <v>1</v>
      </c>
      <c r="F3214" s="41" t="n">
        <v>0.906</v>
      </c>
      <c r="G3214" s="41" t="n">
        <v>0.933333333</v>
      </c>
      <c r="H3214" s="42" t="n">
        <v>117</v>
      </c>
      <c r="I3214" s="55" t="inlineStr">
        <is>
          <t>0/8</t>
        </is>
      </c>
      <c r="J3214" s="41" t="n">
        <v>0</v>
      </c>
      <c r="K3214" s="42" t="inlineStr">
        <is>
          <t>Premium</t>
        </is>
      </c>
      <c r="L3214" s="42" t="inlineStr">
        <is>
          <t>Professional</t>
        </is>
      </c>
      <c r="M3214" s="42" t="inlineStr">
        <is>
          <t>Geoff St. Marie</t>
        </is>
      </c>
    </row>
    <row r="3215">
      <c r="A3215" s="42" t="inlineStr">
        <is>
          <t>Kiersten Guetlein</t>
        </is>
      </c>
      <c r="B3215" s="42" t="inlineStr">
        <is>
          <t>6/14/26 - 7/11/26</t>
        </is>
      </c>
      <c r="C3215" s="41" t="n">
        <v>0.9333</v>
      </c>
      <c r="D3215" s="41" t="n">
        <v>1.153</v>
      </c>
      <c r="E3215" s="41" t="n">
        <v>0.979591837</v>
      </c>
      <c r="F3215" s="41" t="n">
        <v>0.9320000000000001</v>
      </c>
      <c r="G3215" s="41" t="n">
        <v>0.666666667</v>
      </c>
      <c r="H3215" s="42" t="n">
        <v>196</v>
      </c>
      <c r="I3215" s="55" t="inlineStr">
        <is>
          <t>7/9</t>
        </is>
      </c>
      <c r="J3215" s="41" t="n">
        <v>0.777777778</v>
      </c>
      <c r="K3215" s="42" t="inlineStr">
        <is>
          <t>Premium</t>
        </is>
      </c>
      <c r="L3215" s="42" t="inlineStr">
        <is>
          <t>Professional</t>
        </is>
      </c>
      <c r="M3215" s="42" t="inlineStr">
        <is>
          <t>Ela Cross</t>
        </is>
      </c>
    </row>
    <row r="3216">
      <c r="A3216" s="42" t="inlineStr">
        <is>
          <t>Kristen Fox</t>
        </is>
      </c>
      <c r="B3216" s="42" t="inlineStr">
        <is>
          <t>6/14/26 - 7/11/26</t>
        </is>
      </c>
      <c r="C3216" s="41" t="n">
        <v>1</v>
      </c>
      <c r="D3216" s="41" t="n">
        <v>0.8816000000000001</v>
      </c>
      <c r="E3216" s="41" t="n">
        <v>0.948275862</v>
      </c>
      <c r="F3216" s="41" t="n">
        <v>0.986</v>
      </c>
      <c r="G3216" s="41" t="n">
        <v>0.961538462</v>
      </c>
      <c r="H3216" s="42" t="n">
        <v>373</v>
      </c>
      <c r="I3216" s="55" t="inlineStr">
        <is>
          <t>8/9</t>
        </is>
      </c>
      <c r="J3216" s="41" t="n">
        <v>0.888888889</v>
      </c>
      <c r="K3216" s="42" t="inlineStr">
        <is>
          <t>Distinguished</t>
        </is>
      </c>
      <c r="L3216" s="42" t="inlineStr">
        <is>
          <t>Professional</t>
        </is>
      </c>
      <c r="M3216" s="42" t="inlineStr">
        <is>
          <t>Kristin Haase-Alvey</t>
        </is>
      </c>
    </row>
    <row r="3217">
      <c r="A3217" s="42" t="inlineStr">
        <is>
          <t>Kristen Luigart</t>
        </is>
      </c>
      <c r="B3217" s="42" t="inlineStr">
        <is>
          <t>6/14/26 - 7/11/26</t>
        </is>
      </c>
      <c r="C3217" s="41" t="n">
        <v>0.3667</v>
      </c>
      <c r="D3217" s="41" t="n">
        <v>0.875</v>
      </c>
      <c r="E3217" s="41" t="n">
        <v>0.789473684</v>
      </c>
      <c r="F3217" s="41" t="n">
        <v>1</v>
      </c>
      <c r="G3217" s="41" t="n">
        <v>0.428571429</v>
      </c>
      <c r="H3217" s="42" t="n">
        <v>78</v>
      </c>
      <c r="I3217" s="55" t="inlineStr">
        <is>
          <t>3/3</t>
        </is>
      </c>
      <c r="J3217" s="41" t="n">
        <v>1</v>
      </c>
      <c r="K3217" s="42" t="inlineStr">
        <is>
          <t>Distinguished</t>
        </is>
      </c>
      <c r="L3217" s="42" t="inlineStr">
        <is>
          <t>Professional</t>
        </is>
      </c>
      <c r="M3217" s="42" t="inlineStr">
        <is>
          <t>Ian Plamondon</t>
        </is>
      </c>
    </row>
    <row r="3218">
      <c r="A3218" s="42" t="inlineStr">
        <is>
          <t>Krystal Ashley</t>
        </is>
      </c>
      <c r="B3218" s="42" t="inlineStr">
        <is>
          <t>6/14/26 - 7/11/26</t>
        </is>
      </c>
      <c r="C3218" s="41" t="n">
        <v>0.25</v>
      </c>
      <c r="D3218" s="41" t="n">
        <v>1.5625</v>
      </c>
      <c r="E3218" s="41" t="n">
        <v>1</v>
      </c>
      <c r="F3218" s="41" t="n">
        <v>0.667</v>
      </c>
      <c r="G3218" s="41" t="n"/>
      <c r="H3218" s="42" t="n">
        <v>0</v>
      </c>
      <c r="I3218" s="55" t="inlineStr">
        <is>
          <t>0/2</t>
        </is>
      </c>
      <c r="J3218" s="41" t="n">
        <v>0</v>
      </c>
      <c r="K3218" s="42" t="inlineStr">
        <is>
          <t>Advanced</t>
        </is>
      </c>
      <c r="L3218" s="42" t="inlineStr">
        <is>
          <t>Adjunct</t>
        </is>
      </c>
      <c r="M3218" s="42" t="inlineStr">
        <is>
          <t>Katherine Marino</t>
        </is>
      </c>
    </row>
    <row r="3219">
      <c r="A3219" s="42" t="inlineStr">
        <is>
          <t>Lana Kargetta</t>
        </is>
      </c>
      <c r="B3219" s="42" t="inlineStr">
        <is>
          <t>6/14/26 - 7/11/26</t>
        </is>
      </c>
      <c r="C3219" s="41" t="n">
        <v>0.5625</v>
      </c>
      <c r="D3219" s="41" t="n">
        <v>1.2578</v>
      </c>
      <c r="E3219" s="41" t="n">
        <v>1</v>
      </c>
      <c r="F3219" s="41" t="n">
        <v>0.706</v>
      </c>
      <c r="G3219" s="41" t="n">
        <v>1</v>
      </c>
      <c r="H3219" s="42" t="n">
        <v>120</v>
      </c>
      <c r="I3219" s="55" t="n"/>
      <c r="J3219" s="41" t="n"/>
      <c r="K3219" s="42" t="inlineStr">
        <is>
          <t>Advanced</t>
        </is>
      </c>
      <c r="L3219" s="42" t="inlineStr">
        <is>
          <t>Adjunct</t>
        </is>
      </c>
      <c r="M3219" s="42" t="inlineStr">
        <is>
          <t>Geoff St. Marie</t>
        </is>
      </c>
    </row>
    <row r="3220">
      <c r="A3220" s="42" t="inlineStr">
        <is>
          <t>Levi Fox</t>
        </is>
      </c>
      <c r="B3220" s="42" t="inlineStr">
        <is>
          <t>6/14/26 - 7/11/26</t>
        </is>
      </c>
      <c r="C3220" s="41" t="n">
        <v>0.4708</v>
      </c>
      <c r="D3220" s="41" t="n">
        <v>0.9326</v>
      </c>
      <c r="E3220" s="41" t="n">
        <v>0.93877551</v>
      </c>
      <c r="F3220" s="41" t="n">
        <v>0.9330000000000001</v>
      </c>
      <c r="G3220" s="41" t="n">
        <v>1</v>
      </c>
      <c r="H3220" s="42" t="n">
        <v>46</v>
      </c>
      <c r="I3220" s="55" t="inlineStr">
        <is>
          <t>3/4</t>
        </is>
      </c>
      <c r="J3220" s="41" t="n">
        <v>0.75</v>
      </c>
      <c r="K3220" s="42" t="inlineStr">
        <is>
          <t>Premium</t>
        </is>
      </c>
      <c r="L3220" s="42" t="inlineStr">
        <is>
          <t>Professional</t>
        </is>
      </c>
      <c r="M3220" s="42" t="inlineStr">
        <is>
          <t>Geoff St. Marie</t>
        </is>
      </c>
    </row>
    <row r="3221">
      <c r="A3221" s="42" t="inlineStr">
        <is>
          <t>Lisa Bartle</t>
        </is>
      </c>
      <c r="B3221" s="42" t="inlineStr">
        <is>
          <t>6/14/26 - 7/11/26</t>
        </is>
      </c>
      <c r="C3221" s="41" t="n">
        <v>1.1979</v>
      </c>
      <c r="D3221" s="41" t="n">
        <v>1.2422</v>
      </c>
      <c r="E3221" s="41" t="n">
        <v>0.962264151</v>
      </c>
      <c r="F3221" s="41" t="n">
        <v>1</v>
      </c>
      <c r="G3221" s="41" t="n">
        <v>1</v>
      </c>
      <c r="H3221" s="42" t="n">
        <v>48</v>
      </c>
      <c r="I3221" s="55" t="inlineStr">
        <is>
          <t>0/2</t>
        </is>
      </c>
      <c r="J3221" s="41" t="n">
        <v>0</v>
      </c>
      <c r="K3221" s="42" t="inlineStr">
        <is>
          <t>Premium</t>
        </is>
      </c>
      <c r="L3221" s="42" t="inlineStr">
        <is>
          <t>Adjunct</t>
        </is>
      </c>
      <c r="M3221" s="42" t="inlineStr">
        <is>
          <t>Annelies de Groot</t>
        </is>
      </c>
    </row>
    <row r="3222">
      <c r="A3222" s="42" t="inlineStr">
        <is>
          <t>Liz Garcia</t>
        </is>
      </c>
      <c r="B3222" s="42" t="inlineStr">
        <is>
          <t>6/14/26 - 7/11/26</t>
        </is>
      </c>
      <c r="C3222" s="41" t="n">
        <v>0.6708</v>
      </c>
      <c r="D3222" s="41" t="n">
        <v>1.0987</v>
      </c>
      <c r="E3222" s="41" t="n">
        <v>0.9875</v>
      </c>
      <c r="F3222" s="41" t="n">
        <v>0.923</v>
      </c>
      <c r="G3222" s="41" t="n">
        <v>0.416666667</v>
      </c>
      <c r="H3222" s="42" t="n">
        <v>218</v>
      </c>
      <c r="I3222" s="55" t="inlineStr">
        <is>
          <t>7/7</t>
        </is>
      </c>
      <c r="J3222" s="41" t="n">
        <v>1</v>
      </c>
      <c r="K3222" s="42" t="inlineStr">
        <is>
          <t>Distinguished</t>
        </is>
      </c>
      <c r="L3222" s="42" t="inlineStr">
        <is>
          <t>Professional</t>
        </is>
      </c>
      <c r="M3222" s="42" t="inlineStr">
        <is>
          <t>Geoff St. Marie</t>
        </is>
      </c>
    </row>
    <row r="3223">
      <c r="A3223" s="42" t="inlineStr">
        <is>
          <t>Liz Pirie</t>
        </is>
      </c>
      <c r="B3223" s="42" t="inlineStr">
        <is>
          <t>6/14/26 - 7/11/26</t>
        </is>
      </c>
      <c r="C3223" s="41" t="n">
        <v>0.5486</v>
      </c>
      <c r="D3223" s="41" t="n">
        <v>0.8454</v>
      </c>
      <c r="E3223" s="41" t="n">
        <v>1</v>
      </c>
      <c r="F3223" s="41" t="n">
        <v>0.974</v>
      </c>
      <c r="G3223" s="41" t="n">
        <v>1</v>
      </c>
      <c r="H3223" s="42" t="n">
        <v>48</v>
      </c>
      <c r="I3223" s="55" t="inlineStr">
        <is>
          <t>4/5</t>
        </is>
      </c>
      <c r="J3223" s="41" t="n">
        <v>0.8</v>
      </c>
      <c r="K3223" s="42" t="inlineStr">
        <is>
          <t>Distinguished</t>
        </is>
      </c>
      <c r="L3223" s="42" t="inlineStr">
        <is>
          <t>Professional</t>
        </is>
      </c>
      <c r="M3223" s="42" t="inlineStr">
        <is>
          <t>Kristin Haase-Alvey</t>
        </is>
      </c>
    </row>
    <row r="3224">
      <c r="A3224" s="42" t="inlineStr">
        <is>
          <t>Loren Lijewski</t>
        </is>
      </c>
      <c r="B3224" s="42" t="inlineStr">
        <is>
          <t>6/14/26 - 7/11/26</t>
        </is>
      </c>
      <c r="C3224" s="41" t="n">
        <v>0.7083</v>
      </c>
      <c r="D3224" s="41" t="n">
        <v>1.1328</v>
      </c>
      <c r="E3224" s="41" t="n">
        <v>1</v>
      </c>
      <c r="F3224" s="41" t="n">
        <v>1</v>
      </c>
      <c r="G3224" s="41" t="n">
        <v>0.666666667</v>
      </c>
      <c r="H3224" s="42" t="n">
        <v>76</v>
      </c>
      <c r="I3224" s="55" t="inlineStr">
        <is>
          <t>0/7</t>
        </is>
      </c>
      <c r="J3224" s="41" t="n">
        <v>0</v>
      </c>
      <c r="K3224" s="42" t="inlineStr">
        <is>
          <t>Advanced</t>
        </is>
      </c>
      <c r="L3224" s="42" t="inlineStr">
        <is>
          <t>Adjunct</t>
        </is>
      </c>
      <c r="M3224" s="42" t="inlineStr">
        <is>
          <t>Annelies de Groot</t>
        </is>
      </c>
    </row>
    <row r="3225">
      <c r="A3225" s="42" t="inlineStr">
        <is>
          <t>Machaela Verhage</t>
        </is>
      </c>
      <c r="B3225" s="42" t="inlineStr">
        <is>
          <t>6/14/26 - 7/11/26</t>
        </is>
      </c>
      <c r="C3225" s="41" t="n">
        <v>0.55</v>
      </c>
      <c r="D3225" s="41" t="n">
        <v>1.0164</v>
      </c>
      <c r="E3225" s="41" t="n">
        <v>1</v>
      </c>
      <c r="F3225" s="41" t="n">
        <v>1</v>
      </c>
      <c r="G3225" s="41" t="n">
        <v>0.857142857</v>
      </c>
      <c r="H3225" s="42" t="n">
        <v>24</v>
      </c>
      <c r="I3225" s="55" t="inlineStr">
        <is>
          <t>4/6</t>
        </is>
      </c>
      <c r="J3225" s="41" t="n">
        <v>0.666666667</v>
      </c>
      <c r="K3225" s="42" t="inlineStr">
        <is>
          <t>Distinguished</t>
        </is>
      </c>
      <c r="L3225" s="42" t="inlineStr">
        <is>
          <t>Professional</t>
        </is>
      </c>
      <c r="M3225" s="42" t="inlineStr">
        <is>
          <t>Annelies de Groot</t>
        </is>
      </c>
    </row>
    <row r="3226">
      <c r="A3226" s="42" t="inlineStr">
        <is>
          <t>Madia Banda</t>
        </is>
      </c>
      <c r="B3226" s="42" t="inlineStr">
        <is>
          <t>6/14/26 - 7/11/26</t>
        </is>
      </c>
      <c r="C3226" s="41" t="n">
        <v>0.6429</v>
      </c>
      <c r="D3226" s="41" t="n">
        <v>1.0654</v>
      </c>
      <c r="E3226" s="41" t="n">
        <v>1</v>
      </c>
      <c r="F3226" s="41" t="n">
        <v>0.873</v>
      </c>
      <c r="G3226" s="41" t="n">
        <v>0.944444444</v>
      </c>
      <c r="H3226" s="42" t="n">
        <v>256</v>
      </c>
      <c r="I3226" s="55" t="inlineStr">
        <is>
          <t>6/8</t>
        </is>
      </c>
      <c r="J3226" s="41" t="n">
        <v>0.75</v>
      </c>
      <c r="K3226" s="42" t="inlineStr">
        <is>
          <t>Advanced</t>
        </is>
      </c>
      <c r="L3226" s="42" t="inlineStr">
        <is>
          <t>Professional</t>
        </is>
      </c>
      <c r="M3226" s="42" t="inlineStr">
        <is>
          <t>Geoff St. Marie</t>
        </is>
      </c>
    </row>
    <row r="3227">
      <c r="A3227" s="42" t="inlineStr">
        <is>
          <t>Maia Gerlinger</t>
        </is>
      </c>
      <c r="B3227" s="42" t="inlineStr">
        <is>
          <t>6/14/26 - 7/11/26</t>
        </is>
      </c>
      <c r="C3227" s="41" t="n">
        <v>1.1146</v>
      </c>
      <c r="D3227" s="41" t="n">
        <v>0.9414</v>
      </c>
      <c r="E3227" s="41" t="n">
        <v>1</v>
      </c>
      <c r="F3227" s="41" t="n">
        <v>0.971</v>
      </c>
      <c r="G3227" s="41" t="n">
        <v>0.7</v>
      </c>
      <c r="H3227" s="42" t="n">
        <v>16</v>
      </c>
      <c r="I3227" s="55" t="inlineStr">
        <is>
          <t>0/5</t>
        </is>
      </c>
      <c r="J3227" s="41" t="n">
        <v>0</v>
      </c>
      <c r="K3227" s="42" t="inlineStr">
        <is>
          <t>Distinguished</t>
        </is>
      </c>
      <c r="L3227" s="42" t="inlineStr">
        <is>
          <t>Adjunct</t>
        </is>
      </c>
      <c r="M3227" s="42" t="inlineStr">
        <is>
          <t>Annelies de Groot</t>
        </is>
      </c>
    </row>
    <row r="3228">
      <c r="A3228" s="42" t="inlineStr">
        <is>
          <t>Margaret Webb</t>
        </is>
      </c>
      <c r="B3228" s="42" t="inlineStr">
        <is>
          <t>6/14/26 - 7/11/26</t>
        </is>
      </c>
      <c r="C3228" s="41" t="n">
        <v>1.1357</v>
      </c>
      <c r="D3228" s="41" t="n">
        <v>0.9462</v>
      </c>
      <c r="E3228" s="41" t="n">
        <v>0.9934210530000001</v>
      </c>
      <c r="F3228" s="41" t="n">
        <v>1</v>
      </c>
      <c r="G3228" s="41" t="n">
        <v>0.931034483</v>
      </c>
      <c r="H3228" s="42" t="n">
        <v>332.5</v>
      </c>
      <c r="I3228" s="55" t="inlineStr">
        <is>
          <t>3/5</t>
        </is>
      </c>
      <c r="J3228" s="41" t="n">
        <v>0.6</v>
      </c>
      <c r="K3228" s="42" t="inlineStr">
        <is>
          <t>Distinguished</t>
        </is>
      </c>
      <c r="L3228" s="42" t="inlineStr">
        <is>
          <t>Professional</t>
        </is>
      </c>
      <c r="M3228" s="42" t="inlineStr">
        <is>
          <t>Kristin Haase-Alvey</t>
        </is>
      </c>
    </row>
    <row r="3229">
      <c r="A3229" s="42" t="inlineStr">
        <is>
          <t>Mary Felix</t>
        </is>
      </c>
      <c r="B3229" s="42" t="inlineStr">
        <is>
          <t>6/14/26 - 7/11/26</t>
        </is>
      </c>
      <c r="C3229" s="41" t="n">
        <v>0.4292</v>
      </c>
      <c r="D3229" s="41" t="n">
        <v>1.2171</v>
      </c>
      <c r="E3229" s="41" t="n">
        <v>0.976190476</v>
      </c>
      <c r="F3229" s="41" t="n">
        <v>0.75</v>
      </c>
      <c r="G3229" s="41" t="n">
        <v>0.75</v>
      </c>
      <c r="H3229" s="42" t="n">
        <v>75</v>
      </c>
      <c r="I3229" s="55" t="inlineStr">
        <is>
          <t>0/5</t>
        </is>
      </c>
      <c r="J3229" s="41" t="n">
        <v>0</v>
      </c>
      <c r="K3229" s="42" t="inlineStr">
        <is>
          <t>Premium</t>
        </is>
      </c>
      <c r="L3229" s="42" t="inlineStr">
        <is>
          <t>Professional</t>
        </is>
      </c>
      <c r="M3229" s="42" t="inlineStr">
        <is>
          <t>Ian Plamondon</t>
        </is>
      </c>
    </row>
    <row r="3230">
      <c r="A3230" s="42" t="inlineStr">
        <is>
          <t>Mary Logan</t>
        </is>
      </c>
      <c r="B3230" s="42" t="inlineStr">
        <is>
          <t>6/14/26 - 7/11/26</t>
        </is>
      </c>
      <c r="C3230" s="41" t="n">
        <v>0.9667</v>
      </c>
      <c r="D3230" s="41" t="n">
        <v>1.0526</v>
      </c>
      <c r="E3230" s="41" t="n">
        <v>1</v>
      </c>
      <c r="F3230" s="41" t="n">
        <v>0.984</v>
      </c>
      <c r="G3230" s="41" t="n">
        <v>0.761904762</v>
      </c>
      <c r="H3230" s="42" t="n">
        <v>218</v>
      </c>
      <c r="I3230" s="55" t="inlineStr">
        <is>
          <t>6/10</t>
        </is>
      </c>
      <c r="J3230" s="41" t="n">
        <v>0.6</v>
      </c>
      <c r="K3230" s="42" t="inlineStr">
        <is>
          <t>Distinguished</t>
        </is>
      </c>
      <c r="L3230" s="42" t="inlineStr">
        <is>
          <t>Professional</t>
        </is>
      </c>
      <c r="M3230" s="42" t="inlineStr">
        <is>
          <t>Ela Cross</t>
        </is>
      </c>
    </row>
    <row r="3231">
      <c r="A3231" s="42" t="inlineStr">
        <is>
          <t>Matthew Urso</t>
        </is>
      </c>
      <c r="B3231" s="42" t="inlineStr">
        <is>
          <t>6/14/26 - 7/11/26</t>
        </is>
      </c>
      <c r="C3231" s="41" t="n">
        <v>0.7542</v>
      </c>
      <c r="D3231" s="41" t="n">
        <v>1.0214</v>
      </c>
      <c r="E3231" s="41" t="n">
        <v>1</v>
      </c>
      <c r="F3231" s="41" t="n">
        <v>1</v>
      </c>
      <c r="G3231" s="41" t="n">
        <v>0.888888889</v>
      </c>
      <c r="H3231" s="42" t="n">
        <v>102</v>
      </c>
      <c r="I3231" s="55" t="inlineStr">
        <is>
          <t>5/12</t>
        </is>
      </c>
      <c r="J3231" s="41" t="n">
        <v>0.416666667</v>
      </c>
      <c r="K3231" s="42" t="inlineStr">
        <is>
          <t>Distinguished</t>
        </is>
      </c>
      <c r="L3231" s="42" t="inlineStr">
        <is>
          <t>Professional</t>
        </is>
      </c>
      <c r="M3231" s="42" t="inlineStr">
        <is>
          <t>Geoff St. Marie</t>
        </is>
      </c>
    </row>
    <row r="3232">
      <c r="A3232" s="42" t="inlineStr">
        <is>
          <t>Matthew Wert</t>
        </is>
      </c>
      <c r="B3232" s="42" t="inlineStr">
        <is>
          <t>6/14/26 - 7/11/26</t>
        </is>
      </c>
      <c r="C3232" s="41" t="n">
        <v>0.6688</v>
      </c>
      <c r="D3232" s="41" t="n">
        <v>1.151</v>
      </c>
      <c r="E3232" s="41" t="n">
        <v>0.979166667</v>
      </c>
      <c r="F3232" s="41" t="n">
        <v>1</v>
      </c>
      <c r="G3232" s="41" t="n">
        <v>0.666666667</v>
      </c>
      <c r="H3232" s="42" t="n">
        <v>20</v>
      </c>
      <c r="I3232" s="55" t="inlineStr">
        <is>
          <t>2/3</t>
        </is>
      </c>
      <c r="J3232" s="41" t="n">
        <v>0.666666667</v>
      </c>
      <c r="K3232" s="42" t="inlineStr">
        <is>
          <t>Distinguished</t>
        </is>
      </c>
      <c r="L3232" s="42" t="inlineStr">
        <is>
          <t>Adjunct</t>
        </is>
      </c>
      <c r="M3232" s="42" t="inlineStr">
        <is>
          <t>Geoff St. Marie</t>
        </is>
      </c>
    </row>
    <row r="3233">
      <c r="A3233" s="42" t="inlineStr">
        <is>
          <t>Matty Burge</t>
        </is>
      </c>
      <c r="B3233" s="42" t="inlineStr">
        <is>
          <t>6/14/26 - 7/11/26</t>
        </is>
      </c>
      <c r="C3233" s="41" t="n">
        <v>0.0833</v>
      </c>
      <c r="D3233" s="41" t="n">
        <v>0.7604</v>
      </c>
      <c r="E3233" s="41" t="n">
        <v>1</v>
      </c>
      <c r="F3233" s="41" t="n">
        <v>1</v>
      </c>
      <c r="G3233" s="41" t="n">
        <v>0.5</v>
      </c>
      <c r="H3233" s="42" t="n">
        <v>15</v>
      </c>
      <c r="I3233" s="55" t="inlineStr">
        <is>
          <t>1/1</t>
        </is>
      </c>
      <c r="J3233" s="41" t="n">
        <v>1</v>
      </c>
      <c r="K3233" s="42" t="inlineStr">
        <is>
          <t>Distinguished</t>
        </is>
      </c>
      <c r="L3233" s="42" t="inlineStr">
        <is>
          <t>Adjunct</t>
        </is>
      </c>
      <c r="M3233" s="42" t="inlineStr">
        <is>
          <t>Annelies de Groot</t>
        </is>
      </c>
    </row>
    <row r="3234">
      <c r="A3234" s="42" t="inlineStr">
        <is>
          <t>Maximilian Tsimerman</t>
        </is>
      </c>
      <c r="B3234" s="42" t="inlineStr">
        <is>
          <t>6/14/26 - 7/11/26</t>
        </is>
      </c>
      <c r="C3234" s="41" t="n">
        <v>0.4333</v>
      </c>
      <c r="D3234" s="41" t="n">
        <v>1.0362</v>
      </c>
      <c r="E3234" s="41" t="n">
        <v>0.92</v>
      </c>
      <c r="F3234" s="41" t="n">
        <v>0.719</v>
      </c>
      <c r="G3234" s="41" t="n">
        <v>0.75</v>
      </c>
      <c r="H3234" s="42" t="n">
        <v>99</v>
      </c>
      <c r="I3234" s="55" t="inlineStr">
        <is>
          <t>0/2</t>
        </is>
      </c>
      <c r="J3234" s="41" t="n">
        <v>0</v>
      </c>
      <c r="K3234" s="42" t="inlineStr">
        <is>
          <t>Distinguished</t>
        </is>
      </c>
      <c r="L3234" s="42" t="inlineStr">
        <is>
          <t>Professional</t>
        </is>
      </c>
      <c r="M3234" s="42" t="inlineStr">
        <is>
          <t>Geoff St. Marie</t>
        </is>
      </c>
    </row>
    <row r="3235">
      <c r="A3235" s="42" t="inlineStr">
        <is>
          <t>Megan Hoelting</t>
        </is>
      </c>
      <c r="B3235" s="42" t="inlineStr">
        <is>
          <t>6/14/26 - 7/11/26</t>
        </is>
      </c>
      <c r="C3235" s="41" t="n">
        <v>0.07290000000000001</v>
      </c>
      <c r="D3235" s="41" t="n">
        <v>0.1563</v>
      </c>
      <c r="E3235" s="41" t="n">
        <v>1</v>
      </c>
      <c r="F3235" s="41" t="n"/>
      <c r="G3235" s="41" t="n"/>
      <c r="H3235" s="42" t="n">
        <v>6</v>
      </c>
      <c r="I3235" s="55" t="n"/>
      <c r="J3235" s="41" t="n"/>
      <c r="K3235" s="42" t="inlineStr">
        <is>
          <t>Distinguished</t>
        </is>
      </c>
      <c r="L3235" s="42" t="inlineStr">
        <is>
          <t>Adjunct</t>
        </is>
      </c>
      <c r="M3235" s="42" t="inlineStr">
        <is>
          <t>Annelies de Groot</t>
        </is>
      </c>
    </row>
    <row r="3236">
      <c r="A3236" s="42" t="inlineStr">
        <is>
          <t>Megan Ingle</t>
        </is>
      </c>
      <c r="B3236" s="42" t="inlineStr">
        <is>
          <t>6/14/26 - 7/11/26</t>
        </is>
      </c>
      <c r="C3236" s="41" t="n">
        <v>0.1667</v>
      </c>
      <c r="D3236" s="41" t="n">
        <v>1.25</v>
      </c>
      <c r="E3236" s="41" t="n">
        <v>0.857142857</v>
      </c>
      <c r="F3236" s="41" t="n">
        <v>0.667</v>
      </c>
      <c r="G3236" s="41" t="n">
        <v>0.333333333</v>
      </c>
      <c r="H3236" s="42" t="n">
        <v>32</v>
      </c>
      <c r="I3236" s="55" t="inlineStr">
        <is>
          <t>0/1</t>
        </is>
      </c>
      <c r="J3236" s="41" t="n">
        <v>0</v>
      </c>
      <c r="K3236" s="42" t="inlineStr">
        <is>
          <t>Advanced</t>
        </is>
      </c>
      <c r="L3236" s="42" t="inlineStr">
        <is>
          <t>Adjunct</t>
        </is>
      </c>
      <c r="M3236" s="42" t="inlineStr">
        <is>
          <t>Geoff St. Marie</t>
        </is>
      </c>
    </row>
    <row r="3237">
      <c r="A3237" s="42" t="inlineStr">
        <is>
          <t>Megan Osgood</t>
        </is>
      </c>
      <c r="B3237" s="42" t="inlineStr">
        <is>
          <t>6/14/26 - 7/11/26</t>
        </is>
      </c>
      <c r="C3237" s="41" t="n">
        <v>0.4208</v>
      </c>
      <c r="D3237" s="41" t="n">
        <v>0.9408</v>
      </c>
      <c r="E3237" s="41" t="n">
        <v>1</v>
      </c>
      <c r="F3237" s="41" t="n">
        <v>1</v>
      </c>
      <c r="G3237" s="41" t="n">
        <v>0.5</v>
      </c>
      <c r="H3237" s="42" t="n">
        <v>14</v>
      </c>
      <c r="I3237" s="55" t="inlineStr">
        <is>
          <t>5/6</t>
        </is>
      </c>
      <c r="J3237" s="41" t="n">
        <v>0.833333333</v>
      </c>
      <c r="K3237" s="42" t="inlineStr">
        <is>
          <t>Distinguished</t>
        </is>
      </c>
      <c r="L3237" s="42" t="inlineStr">
        <is>
          <t>Professional</t>
        </is>
      </c>
      <c r="M3237" s="42" t="inlineStr">
        <is>
          <t>Annelies de Groot</t>
        </is>
      </c>
    </row>
    <row r="3238">
      <c r="A3238" s="42" t="inlineStr">
        <is>
          <t>Melanie Leong</t>
        </is>
      </c>
      <c r="B3238" s="42" t="inlineStr">
        <is>
          <t>6/14/26 - 7/11/26</t>
        </is>
      </c>
      <c r="C3238" s="41" t="n">
        <v>0.8229</v>
      </c>
      <c r="D3238" s="41" t="n">
        <v>2.7031</v>
      </c>
      <c r="E3238" s="41" t="n">
        <v>0.971428571</v>
      </c>
      <c r="F3238" s="41" t="n">
        <v>1</v>
      </c>
      <c r="G3238" s="41" t="n">
        <v>1</v>
      </c>
      <c r="H3238" s="42" t="n">
        <v>0</v>
      </c>
      <c r="I3238" s="55" t="n"/>
      <c r="J3238" s="41" t="n"/>
      <c r="K3238" s="42" t="inlineStr">
        <is>
          <t>Premium</t>
        </is>
      </c>
      <c r="L3238" s="42" t="inlineStr">
        <is>
          <t>Adjunct</t>
        </is>
      </c>
      <c r="M3238" s="42" t="inlineStr">
        <is>
          <t>Kristin Haase-Alvey</t>
        </is>
      </c>
    </row>
    <row r="3239">
      <c r="A3239" s="42" t="inlineStr">
        <is>
          <t>Melinda Mergendahl</t>
        </is>
      </c>
      <c r="B3239" s="42" t="inlineStr">
        <is>
          <t>6/14/26 - 7/11/26</t>
        </is>
      </c>
      <c r="C3239" s="41" t="n">
        <v>0.2</v>
      </c>
      <c r="D3239" s="41" t="n">
        <v>0.9583</v>
      </c>
      <c r="E3239" s="41" t="n">
        <v>1</v>
      </c>
      <c r="F3239" s="41" t="n">
        <v>1</v>
      </c>
      <c r="G3239" s="41" t="n">
        <v>0.833333333</v>
      </c>
      <c r="H3239" s="42" t="n">
        <v>25</v>
      </c>
      <c r="I3239" s="55" t="inlineStr">
        <is>
          <t>2/2</t>
        </is>
      </c>
      <c r="J3239" s="41" t="n">
        <v>1</v>
      </c>
      <c r="K3239" s="42" t="inlineStr">
        <is>
          <t>Distinguished</t>
        </is>
      </c>
      <c r="L3239" s="42" t="inlineStr">
        <is>
          <t>Adjunct</t>
        </is>
      </c>
      <c r="M3239" s="42" t="inlineStr">
        <is>
          <t>Geoff St. Marie</t>
        </is>
      </c>
    </row>
    <row r="3240">
      <c r="A3240" s="42" t="inlineStr">
        <is>
          <t>Michelle Testerman</t>
        </is>
      </c>
      <c r="B3240" s="42" t="inlineStr">
        <is>
          <t>6/14/26 - 7/11/26</t>
        </is>
      </c>
      <c r="C3240" s="41" t="n">
        <v>1.2292</v>
      </c>
      <c r="D3240" s="41" t="n">
        <v>1.1992</v>
      </c>
      <c r="E3240" s="41" t="n">
        <v>1</v>
      </c>
      <c r="F3240" s="41" t="n">
        <v>0.878</v>
      </c>
      <c r="G3240" s="41" t="n">
        <v>1</v>
      </c>
      <c r="H3240" s="42" t="n">
        <v>208</v>
      </c>
      <c r="I3240" s="55" t="inlineStr">
        <is>
          <t>2/2</t>
        </is>
      </c>
      <c r="J3240" s="41" t="n">
        <v>1</v>
      </c>
      <c r="K3240" s="42" t="inlineStr">
        <is>
          <t>Distinguished</t>
        </is>
      </c>
      <c r="L3240" s="42" t="inlineStr">
        <is>
          <t>Adjunct</t>
        </is>
      </c>
      <c r="M3240" s="42" t="inlineStr">
        <is>
          <t>Ela Cross</t>
        </is>
      </c>
    </row>
    <row r="3241">
      <c r="A3241" s="42" t="inlineStr">
        <is>
          <t>Miki Cornwell</t>
        </is>
      </c>
      <c r="B3241" s="42" t="inlineStr">
        <is>
          <t>6/14/26 - 7/11/26</t>
        </is>
      </c>
      <c r="C3241" s="41" t="n">
        <v>0.8854</v>
      </c>
      <c r="D3241" s="41" t="n">
        <v>1.2305</v>
      </c>
      <c r="E3241" s="41" t="n">
        <v>0.885714286</v>
      </c>
      <c r="F3241" s="41" t="n">
        <v>1</v>
      </c>
      <c r="G3241" s="41" t="n">
        <v>0.875</v>
      </c>
      <c r="H3241" s="42" t="n">
        <v>122</v>
      </c>
      <c r="I3241" s="55" t="inlineStr">
        <is>
          <t>0/1</t>
        </is>
      </c>
      <c r="J3241" s="41" t="n">
        <v>0</v>
      </c>
      <c r="K3241" s="42" t="inlineStr">
        <is>
          <t>Distinguished</t>
        </is>
      </c>
      <c r="L3241" s="42" t="inlineStr">
        <is>
          <t>Adjunct</t>
        </is>
      </c>
      <c r="M3241" s="42" t="inlineStr">
        <is>
          <t>Ela Cross</t>
        </is>
      </c>
    </row>
    <row r="3242">
      <c r="A3242" s="42" t="inlineStr">
        <is>
          <t>Myles Oldroyd</t>
        </is>
      </c>
      <c r="B3242" s="42" t="inlineStr">
        <is>
          <t>6/14/26 - 7/11/26</t>
        </is>
      </c>
      <c r="C3242" s="41" t="n">
        <v>1.0625</v>
      </c>
      <c r="D3242" s="41" t="n">
        <v>1.426</v>
      </c>
      <c r="E3242" s="41" t="n">
        <v>1</v>
      </c>
      <c r="F3242" s="41" t="n">
        <v>1</v>
      </c>
      <c r="G3242" s="41" t="n">
        <v>0.583333333</v>
      </c>
      <c r="H3242" s="42" t="n">
        <v>98</v>
      </c>
      <c r="I3242" s="55" t="inlineStr">
        <is>
          <t>10/22</t>
        </is>
      </c>
      <c r="J3242" s="41" t="n">
        <v>0.454545455</v>
      </c>
      <c r="K3242" s="42" t="inlineStr">
        <is>
          <t>Premium</t>
        </is>
      </c>
      <c r="L3242" s="42" t="inlineStr">
        <is>
          <t>Professional</t>
        </is>
      </c>
      <c r="M3242" s="42" t="inlineStr">
        <is>
          <t>Ian Plamondon</t>
        </is>
      </c>
    </row>
    <row r="3243">
      <c r="A3243" s="42" t="inlineStr">
        <is>
          <t>Naima Chaudhry</t>
        </is>
      </c>
      <c r="B3243" s="42" t="inlineStr">
        <is>
          <t>6/14/26 - 7/11/26</t>
        </is>
      </c>
      <c r="C3243" s="41" t="n">
        <v>0.5</v>
      </c>
      <c r="D3243" s="41" t="n">
        <v>1.1055</v>
      </c>
      <c r="E3243" s="41" t="n">
        <v>0.913043478</v>
      </c>
      <c r="F3243" s="41" t="n">
        <v>0.667</v>
      </c>
      <c r="G3243" s="41" t="n">
        <v>0.5</v>
      </c>
      <c r="H3243" s="42" t="n">
        <v>40</v>
      </c>
      <c r="I3243" s="55" t="inlineStr">
        <is>
          <t>1/1</t>
        </is>
      </c>
      <c r="J3243" s="41" t="n">
        <v>1</v>
      </c>
      <c r="K3243" s="42" t="inlineStr">
        <is>
          <t>Advanced</t>
        </is>
      </c>
      <c r="L3243" s="42" t="inlineStr">
        <is>
          <t>Adjunct</t>
        </is>
      </c>
      <c r="M3243" s="42" t="inlineStr">
        <is>
          <t>Kristin Haase-Alvey</t>
        </is>
      </c>
    </row>
    <row r="3244">
      <c r="A3244" s="42" t="inlineStr">
        <is>
          <t>Nando Reyes</t>
        </is>
      </c>
      <c r="B3244" s="42" t="inlineStr">
        <is>
          <t>6/14/26 - 7/11/26</t>
        </is>
      </c>
      <c r="C3244" s="41" t="n">
        <v>0.55</v>
      </c>
      <c r="D3244" s="41" t="n">
        <v>1.1686</v>
      </c>
      <c r="E3244" s="41" t="n">
        <v>1</v>
      </c>
      <c r="F3244" s="41" t="n">
        <v>0.976</v>
      </c>
      <c r="G3244" s="41" t="n">
        <v>0.555555556</v>
      </c>
      <c r="H3244" s="42" t="n">
        <v>18</v>
      </c>
      <c r="I3244" s="55" t="inlineStr">
        <is>
          <t>4/12</t>
        </is>
      </c>
      <c r="J3244" s="41" t="n">
        <v>0.333333333</v>
      </c>
      <c r="K3244" s="42" t="inlineStr">
        <is>
          <t>Distinguished</t>
        </is>
      </c>
      <c r="L3244" s="42" t="inlineStr">
        <is>
          <t>Professional</t>
        </is>
      </c>
      <c r="M3244" s="42" t="inlineStr">
        <is>
          <t>Geoff St. Marie</t>
        </is>
      </c>
    </row>
    <row r="3245">
      <c r="A3245" s="42" t="inlineStr">
        <is>
          <t>Nayely Rolon-Gomez</t>
        </is>
      </c>
      <c r="B3245" s="42" t="inlineStr">
        <is>
          <t>6/14/26 - 7/11/26</t>
        </is>
      </c>
      <c r="C3245" s="41" t="n">
        <v>0.3833</v>
      </c>
      <c r="D3245" s="41" t="n">
        <v>1.0088</v>
      </c>
      <c r="E3245" s="41" t="n">
        <v>1</v>
      </c>
      <c r="F3245" s="41" t="n">
        <v>0.885</v>
      </c>
      <c r="G3245" s="41" t="n">
        <v>0.8</v>
      </c>
      <c r="H3245" s="42" t="n">
        <v>86</v>
      </c>
      <c r="I3245" s="55" t="inlineStr">
        <is>
          <t>3/6</t>
        </is>
      </c>
      <c r="J3245" s="41" t="n">
        <v>0.5</v>
      </c>
      <c r="K3245" s="42" t="inlineStr">
        <is>
          <t>Distinguished</t>
        </is>
      </c>
      <c r="L3245" s="42" t="inlineStr">
        <is>
          <t>Professional</t>
        </is>
      </c>
      <c r="M3245" s="42" t="inlineStr">
        <is>
          <t>Ela Cross</t>
        </is>
      </c>
    </row>
    <row r="3246">
      <c r="A3246" s="42" t="inlineStr">
        <is>
          <t>Nicholas Ulfik</t>
        </is>
      </c>
      <c r="B3246" s="42" t="inlineStr">
        <is>
          <t>6/14/26 - 7/11/26</t>
        </is>
      </c>
      <c r="C3246" s="41" t="n">
        <v>1.0542</v>
      </c>
      <c r="D3246" s="41" t="n">
        <v>1.2072</v>
      </c>
      <c r="E3246" s="41" t="n">
        <v>0.9916666669999999</v>
      </c>
      <c r="F3246" s="41" t="n">
        <v>1</v>
      </c>
      <c r="G3246" s="41" t="n">
        <v>0.85</v>
      </c>
      <c r="H3246" s="42" t="n">
        <v>51</v>
      </c>
      <c r="I3246" s="55" t="inlineStr">
        <is>
          <t>15/15</t>
        </is>
      </c>
      <c r="J3246" s="41" t="n">
        <v>1</v>
      </c>
      <c r="K3246" s="42" t="inlineStr">
        <is>
          <t>Distinguished</t>
        </is>
      </c>
      <c r="L3246" s="42" t="inlineStr">
        <is>
          <t>Professional</t>
        </is>
      </c>
      <c r="M3246" s="42" t="inlineStr">
        <is>
          <t>Kristin Haase-Alvey</t>
        </is>
      </c>
    </row>
    <row r="3247">
      <c r="A3247" s="42" t="inlineStr">
        <is>
          <t>Nick Kocik</t>
        </is>
      </c>
      <c r="B3247" s="42" t="inlineStr">
        <is>
          <t>6/14/26 - 7/11/26</t>
        </is>
      </c>
      <c r="C3247" s="41" t="n">
        <v>0.5917</v>
      </c>
      <c r="D3247" s="41" t="n">
        <v>1.0214</v>
      </c>
      <c r="E3247" s="41" t="n">
        <v>0.983333333</v>
      </c>
      <c r="F3247" s="41" t="n">
        <v>0.9330000000000001</v>
      </c>
      <c r="G3247" s="41" t="n">
        <v>0.444444444</v>
      </c>
      <c r="H3247" s="42" t="n">
        <v>132</v>
      </c>
      <c r="I3247" s="55" t="inlineStr">
        <is>
          <t>5/7</t>
        </is>
      </c>
      <c r="J3247" s="41" t="n">
        <v>0.714285714</v>
      </c>
      <c r="K3247" s="42" t="inlineStr">
        <is>
          <t>Distinguished</t>
        </is>
      </c>
      <c r="L3247" s="42" t="inlineStr">
        <is>
          <t>Professional</t>
        </is>
      </c>
      <c r="M3247" s="42" t="inlineStr">
        <is>
          <t>Ela Cross</t>
        </is>
      </c>
    </row>
    <row r="3248">
      <c r="A3248" s="42" t="inlineStr">
        <is>
          <t>Nick Lucido</t>
        </is>
      </c>
      <c r="B3248" s="42" t="inlineStr">
        <is>
          <t>6/14/26 - 7/11/26</t>
        </is>
      </c>
      <c r="C3248" s="41" t="n">
        <v>0.9357</v>
      </c>
      <c r="D3248" s="41" t="n">
        <v>1.141</v>
      </c>
      <c r="E3248" s="41" t="n">
        <v>0.991525424</v>
      </c>
      <c r="F3248" s="41" t="n">
        <v>0.904</v>
      </c>
      <c r="G3248" s="41" t="n">
        <v>0.739130435</v>
      </c>
      <c r="H3248" s="42" t="n">
        <v>196</v>
      </c>
      <c r="I3248" s="55" t="inlineStr">
        <is>
          <t>6/12</t>
        </is>
      </c>
      <c r="J3248" s="41" t="n">
        <v>0.5</v>
      </c>
      <c r="K3248" s="42" t="inlineStr">
        <is>
          <t>Distinguished</t>
        </is>
      </c>
      <c r="L3248" s="42" t="inlineStr">
        <is>
          <t>Professional</t>
        </is>
      </c>
      <c r="M3248" s="42" t="inlineStr">
        <is>
          <t>Kristin Haase-Alvey</t>
        </is>
      </c>
    </row>
    <row r="3249">
      <c r="A3249" s="42" t="inlineStr">
        <is>
          <t>Nicole Bishop</t>
        </is>
      </c>
      <c r="B3249" s="42" t="inlineStr">
        <is>
          <t>6/14/26 - 7/11/26</t>
        </is>
      </c>
      <c r="C3249" s="41" t="n">
        <v>1.1083</v>
      </c>
      <c r="D3249" s="41" t="n">
        <v>1.1497</v>
      </c>
      <c r="E3249" s="41" t="n">
        <v>0.968253968</v>
      </c>
      <c r="F3249" s="41" t="n">
        <v>0.914</v>
      </c>
      <c r="G3249" s="41" t="n">
        <v>0.526315789</v>
      </c>
      <c r="H3249" s="42" t="n">
        <v>288</v>
      </c>
      <c r="I3249" s="55" t="inlineStr">
        <is>
          <t>4/11</t>
        </is>
      </c>
      <c r="J3249" s="41" t="n">
        <v>0.363636364</v>
      </c>
      <c r="K3249" s="42" t="inlineStr">
        <is>
          <t>Distinguished</t>
        </is>
      </c>
      <c r="L3249" s="42" t="inlineStr">
        <is>
          <t>Professional</t>
        </is>
      </c>
      <c r="M3249" s="42" t="inlineStr">
        <is>
          <t>Ela Cross</t>
        </is>
      </c>
    </row>
    <row r="3250">
      <c r="A3250" s="42" t="inlineStr">
        <is>
          <t>Nik Kososik</t>
        </is>
      </c>
      <c r="B3250" s="42" t="inlineStr">
        <is>
          <t>6/14/26 - 7/11/26</t>
        </is>
      </c>
      <c r="C3250" s="41" t="n">
        <v>0.4</v>
      </c>
      <c r="D3250" s="41" t="n">
        <v>1.151</v>
      </c>
      <c r="E3250" s="41" t="n">
        <v>0.9</v>
      </c>
      <c r="F3250" s="41" t="n">
        <v>0.9</v>
      </c>
      <c r="G3250" s="41" t="n">
        <v>0.625</v>
      </c>
      <c r="H3250" s="42" t="n">
        <v>116</v>
      </c>
      <c r="I3250" s="55" t="inlineStr">
        <is>
          <t>1/1</t>
        </is>
      </c>
      <c r="J3250" s="41" t="n">
        <v>1</v>
      </c>
      <c r="K3250" s="42" t="inlineStr">
        <is>
          <t>Distinguished</t>
        </is>
      </c>
      <c r="L3250" s="42" t="inlineStr">
        <is>
          <t>Adjunct</t>
        </is>
      </c>
      <c r="M3250" s="42" t="inlineStr">
        <is>
          <t>Geoff St. Marie</t>
        </is>
      </c>
    </row>
    <row r="3251">
      <c r="A3251" s="42" t="inlineStr">
        <is>
          <t>Nisan Hubbard</t>
        </is>
      </c>
      <c r="B3251" s="42" t="inlineStr">
        <is>
          <t>6/14/26 - 7/11/26</t>
        </is>
      </c>
      <c r="C3251" s="41" t="n">
        <v>0.25</v>
      </c>
      <c r="D3251" s="41" t="n">
        <v>0.9167</v>
      </c>
      <c r="E3251" s="41" t="n">
        <v>0.875</v>
      </c>
      <c r="F3251" s="41" t="n">
        <v>0.786</v>
      </c>
      <c r="G3251" s="41" t="n">
        <v>0</v>
      </c>
      <c r="H3251" s="42" t="n">
        <v>28</v>
      </c>
      <c r="I3251" s="55" t="inlineStr">
        <is>
          <t>1/2</t>
        </is>
      </c>
      <c r="J3251" s="41" t="n">
        <v>0.5</v>
      </c>
      <c r="K3251" s="42" t="inlineStr">
        <is>
          <t>Distinguished</t>
        </is>
      </c>
      <c r="L3251" s="42" t="inlineStr">
        <is>
          <t>Adjunct</t>
        </is>
      </c>
      <c r="M3251" s="42" t="inlineStr">
        <is>
          <t>Annelies de Groot</t>
        </is>
      </c>
    </row>
    <row r="3252">
      <c r="A3252" s="42" t="inlineStr">
        <is>
          <t>Nisha Fletcher</t>
        </is>
      </c>
      <c r="B3252" s="42" t="inlineStr">
        <is>
          <t>6/14/26 - 7/11/26</t>
        </is>
      </c>
      <c r="C3252" s="41" t="n">
        <v>0.6375</v>
      </c>
      <c r="D3252" s="41" t="n">
        <v>1.276</v>
      </c>
      <c r="E3252" s="41" t="n">
        <v>0.979166667</v>
      </c>
      <c r="F3252" s="41" t="n">
        <v>0.964</v>
      </c>
      <c r="G3252" s="41" t="n">
        <v>1</v>
      </c>
      <c r="H3252" s="42" t="n">
        <v>68</v>
      </c>
      <c r="I3252" s="55" t="inlineStr">
        <is>
          <t>4/9</t>
        </is>
      </c>
      <c r="J3252" s="41" t="n">
        <v>0.444444444</v>
      </c>
      <c r="K3252" s="42" t="inlineStr">
        <is>
          <t>Advanced</t>
        </is>
      </c>
      <c r="L3252" s="42" t="inlineStr">
        <is>
          <t>Adjunct</t>
        </is>
      </c>
      <c r="M3252" s="42" t="inlineStr">
        <is>
          <t>Kristin Haase-Alvey</t>
        </is>
      </c>
    </row>
    <row r="3253">
      <c r="A3253" s="42" t="inlineStr">
        <is>
          <t>Ore Williams</t>
        </is>
      </c>
      <c r="B3253" s="42" t="inlineStr">
        <is>
          <t>6/14/26 - 7/11/26</t>
        </is>
      </c>
      <c r="C3253" s="41" t="n">
        <v>0.0833</v>
      </c>
      <c r="D3253" s="41" t="n">
        <v>1.3789</v>
      </c>
      <c r="E3253" s="41" t="n">
        <v>1</v>
      </c>
      <c r="F3253" s="41" t="n">
        <v>1</v>
      </c>
      <c r="G3253" s="41" t="n">
        <v>1</v>
      </c>
      <c r="H3253" s="42" t="n">
        <v>92</v>
      </c>
      <c r="I3253" s="55" t="inlineStr">
        <is>
          <t>1/1</t>
        </is>
      </c>
      <c r="J3253" s="41" t="n">
        <v>1</v>
      </c>
      <c r="K3253" s="42" t="inlineStr">
        <is>
          <t>Advanced</t>
        </is>
      </c>
      <c r="L3253" s="42" t="inlineStr">
        <is>
          <t>Adjunct</t>
        </is>
      </c>
      <c r="M3253" s="42" t="inlineStr">
        <is>
          <t>Ela Cross</t>
        </is>
      </c>
    </row>
    <row r="3254">
      <c r="A3254" s="42" t="inlineStr">
        <is>
          <t>Parthav Elangovan</t>
        </is>
      </c>
      <c r="B3254" s="42" t="inlineStr">
        <is>
          <t>6/14/26 - 7/11/26</t>
        </is>
      </c>
      <c r="C3254" s="41" t="n">
        <v>0.0625</v>
      </c>
      <c r="D3254" s="41" t="n">
        <v>1.0547</v>
      </c>
      <c r="E3254" s="41" t="n"/>
      <c r="F3254" s="41" t="n">
        <v>1</v>
      </c>
      <c r="G3254" s="41" t="n">
        <v>0</v>
      </c>
      <c r="H3254" s="42" t="n">
        <v>44</v>
      </c>
      <c r="I3254" s="55" t="n"/>
      <c r="J3254" s="41" t="n"/>
      <c r="K3254" s="42" t="inlineStr">
        <is>
          <t>Advanced</t>
        </is>
      </c>
      <c r="L3254" s="42" t="inlineStr">
        <is>
          <t>Adjunct</t>
        </is>
      </c>
      <c r="M3254" s="42" t="inlineStr">
        <is>
          <t>Ian Plamondon</t>
        </is>
      </c>
    </row>
    <row r="3255">
      <c r="A3255" s="42" t="inlineStr">
        <is>
          <t>Patricia Flores</t>
        </is>
      </c>
      <c r="B3255" s="42" t="inlineStr">
        <is>
          <t>6/14/26 - 7/11/26</t>
        </is>
      </c>
      <c r="C3255" s="41" t="n">
        <v>0.4313</v>
      </c>
      <c r="D3255" s="41" t="n">
        <v>1.1875</v>
      </c>
      <c r="E3255" s="41" t="n">
        <v>0.965517241</v>
      </c>
      <c r="F3255" s="41" t="n">
        <v>1</v>
      </c>
      <c r="G3255" s="41" t="n">
        <v>0.5</v>
      </c>
      <c r="H3255" s="42" t="n">
        <v>60</v>
      </c>
      <c r="I3255" s="55" t="inlineStr">
        <is>
          <t>2/2</t>
        </is>
      </c>
      <c r="J3255" s="41" t="n">
        <v>1</v>
      </c>
      <c r="K3255" s="42" t="inlineStr">
        <is>
          <t>Distinguished</t>
        </is>
      </c>
      <c r="L3255" s="42" t="inlineStr">
        <is>
          <t>Adjunct</t>
        </is>
      </c>
      <c r="M3255" s="42" t="inlineStr">
        <is>
          <t>Ela Cross</t>
        </is>
      </c>
    </row>
    <row r="3256">
      <c r="A3256" s="42" t="inlineStr">
        <is>
          <t>Penny Russell</t>
        </is>
      </c>
      <c r="B3256" s="42" t="inlineStr">
        <is>
          <t>6/14/26 - 7/11/26</t>
        </is>
      </c>
      <c r="C3256" s="41" t="n">
        <v>0.425</v>
      </c>
      <c r="D3256" s="41" t="n">
        <v>1.0132</v>
      </c>
      <c r="E3256" s="41" t="n">
        <v>1</v>
      </c>
      <c r="F3256" s="41" t="n">
        <v>0.724</v>
      </c>
      <c r="G3256" s="41" t="n">
        <v>0.285714286</v>
      </c>
      <c r="H3256" s="42" t="n">
        <v>28</v>
      </c>
      <c r="I3256" s="55" t="inlineStr">
        <is>
          <t>0/2</t>
        </is>
      </c>
      <c r="J3256" s="41" t="n">
        <v>0</v>
      </c>
      <c r="K3256" s="42" t="inlineStr">
        <is>
          <t>Distinguished</t>
        </is>
      </c>
      <c r="L3256" s="42" t="inlineStr">
        <is>
          <t>Professional</t>
        </is>
      </c>
      <c r="M3256" s="42" t="inlineStr">
        <is>
          <t>Ian Plamondon</t>
        </is>
      </c>
    </row>
    <row r="3257">
      <c r="A3257" s="42" t="inlineStr">
        <is>
          <t>Philip Thomas</t>
        </is>
      </c>
      <c r="B3257" s="42" t="inlineStr">
        <is>
          <t>6/14/26 - 7/11/26</t>
        </is>
      </c>
      <c r="C3257" s="41" t="n">
        <v>1.1458</v>
      </c>
      <c r="D3257" s="41" t="n">
        <v>1.2632</v>
      </c>
      <c r="E3257" s="41" t="n">
        <v>0.658333333</v>
      </c>
      <c r="F3257" s="41" t="n">
        <v>0.672</v>
      </c>
      <c r="G3257" s="41" t="n">
        <v>0.117647059</v>
      </c>
      <c r="H3257" s="42" t="n">
        <v>150</v>
      </c>
      <c r="I3257" s="55" t="inlineStr">
        <is>
          <t>1/16</t>
        </is>
      </c>
      <c r="J3257" s="41" t="n">
        <v>0.0625</v>
      </c>
      <c r="K3257" s="42" t="inlineStr">
        <is>
          <t>Premium</t>
        </is>
      </c>
      <c r="L3257" s="42" t="inlineStr">
        <is>
          <t>Professional</t>
        </is>
      </c>
      <c r="M3257" s="42" t="inlineStr">
        <is>
          <t>Annelies de Groot</t>
        </is>
      </c>
    </row>
    <row r="3258">
      <c r="A3258" s="42" t="inlineStr">
        <is>
          <t>Preston Peoples</t>
        </is>
      </c>
      <c r="B3258" s="42" t="inlineStr">
        <is>
          <t>6/14/26 - 7/11/26</t>
        </is>
      </c>
      <c r="C3258" s="41" t="n">
        <v>0.6958</v>
      </c>
      <c r="D3258" s="41" t="n">
        <v>1.0674</v>
      </c>
      <c r="E3258" s="41" t="n">
        <v>0.945945946</v>
      </c>
      <c r="F3258" s="41" t="n">
        <v>1</v>
      </c>
      <c r="G3258" s="41" t="n">
        <v>0.444444444</v>
      </c>
      <c r="H3258" s="42" t="n">
        <v>157</v>
      </c>
      <c r="I3258" s="55" t="inlineStr">
        <is>
          <t>8/16</t>
        </is>
      </c>
      <c r="J3258" s="41" t="n">
        <v>0.5</v>
      </c>
      <c r="K3258" s="42" t="inlineStr">
        <is>
          <t>Distinguished</t>
        </is>
      </c>
      <c r="L3258" s="42" t="inlineStr">
        <is>
          <t>Professional</t>
        </is>
      </c>
      <c r="M3258" s="42" t="inlineStr">
        <is>
          <t>Annelies de Groot</t>
        </is>
      </c>
    </row>
    <row r="3259">
      <c r="A3259" s="42" t="inlineStr">
        <is>
          <t>Q. MonÃ©t Travis</t>
        </is>
      </c>
      <c r="B3259" s="42" t="inlineStr">
        <is>
          <t>6/14/26 - 7/11/26</t>
        </is>
      </c>
      <c r="C3259" s="41" t="n">
        <v>0.7375</v>
      </c>
      <c r="D3259" s="41" t="n">
        <v>1.1927</v>
      </c>
      <c r="E3259" s="41" t="n">
        <v>0.963636364</v>
      </c>
      <c r="F3259" s="41" t="n">
        <v>1</v>
      </c>
      <c r="G3259" s="41" t="n">
        <v>1</v>
      </c>
      <c r="H3259" s="42" t="n">
        <v>148</v>
      </c>
      <c r="I3259" s="55" t="inlineStr">
        <is>
          <t>0/1</t>
        </is>
      </c>
      <c r="J3259" s="41" t="n">
        <v>0</v>
      </c>
      <c r="K3259" s="42" t="e">
        <v>#N/A</v>
      </c>
      <c r="L3259" s="42" t="e">
        <v>#N/A</v>
      </c>
      <c r="M3259" s="42" t="e">
        <v>#N/A</v>
      </c>
    </row>
    <row r="3260">
      <c r="A3260" s="42" t="inlineStr">
        <is>
          <t>Rafi Overton</t>
        </is>
      </c>
      <c r="B3260" s="42" t="inlineStr">
        <is>
          <t>6/14/26 - 7/11/26</t>
        </is>
      </c>
      <c r="C3260" s="41" t="n">
        <v>0.8083</v>
      </c>
      <c r="D3260" s="41" t="n">
        <v>1.1842</v>
      </c>
      <c r="E3260" s="41" t="n">
        <v>0.933333333</v>
      </c>
      <c r="F3260" s="41" t="n">
        <v>0.78</v>
      </c>
      <c r="G3260" s="41" t="n">
        <v>0.6</v>
      </c>
      <c r="H3260" s="42" t="n">
        <v>78</v>
      </c>
      <c r="I3260" s="55" t="inlineStr">
        <is>
          <t>0/11</t>
        </is>
      </c>
      <c r="J3260" s="41" t="n">
        <v>0</v>
      </c>
      <c r="K3260" s="42" t="inlineStr">
        <is>
          <t>Distinguished</t>
        </is>
      </c>
      <c r="L3260" s="42" t="inlineStr">
        <is>
          <t>Professional</t>
        </is>
      </c>
      <c r="M3260" s="42" t="inlineStr">
        <is>
          <t>Geoff St. Marie</t>
        </is>
      </c>
    </row>
    <row r="3261">
      <c r="A3261" s="42" t="inlineStr">
        <is>
          <t>Rain Real</t>
        </is>
      </c>
      <c r="B3261" s="42" t="inlineStr">
        <is>
          <t>6/14/26 - 7/11/26</t>
        </is>
      </c>
      <c r="C3261" s="41" t="n">
        <v>0.7</v>
      </c>
      <c r="D3261" s="41" t="n">
        <v>1.1069</v>
      </c>
      <c r="E3261" s="41" t="n">
        <v>1</v>
      </c>
      <c r="F3261" s="41" t="n">
        <v>1</v>
      </c>
      <c r="G3261" s="41" t="n">
        <v>0.727272727</v>
      </c>
      <c r="H3261" s="42" t="n">
        <v>134</v>
      </c>
      <c r="I3261" s="55" t="inlineStr">
        <is>
          <t>5/7</t>
        </is>
      </c>
      <c r="J3261" s="41" t="n">
        <v>0.714285714</v>
      </c>
      <c r="K3261" s="42" t="inlineStr">
        <is>
          <t>Distinguished</t>
        </is>
      </c>
      <c r="L3261" s="42" t="inlineStr">
        <is>
          <t>Professional</t>
        </is>
      </c>
      <c r="M3261" s="42" t="inlineStr">
        <is>
          <t>Annelies de Groot</t>
        </is>
      </c>
    </row>
    <row r="3262">
      <c r="A3262" s="42" t="inlineStr">
        <is>
          <t>Ralph Strope</t>
        </is>
      </c>
      <c r="B3262" s="42" t="inlineStr">
        <is>
          <t>6/14/26 - 7/11/26</t>
        </is>
      </c>
      <c r="C3262" s="41" t="n">
        <v>0.775</v>
      </c>
      <c r="D3262" s="41" t="n">
        <v>1.0729</v>
      </c>
      <c r="E3262" s="41" t="n">
        <v>1</v>
      </c>
      <c r="F3262" s="41" t="n">
        <v>0.968</v>
      </c>
      <c r="G3262" s="41" t="n">
        <v>0.777777778</v>
      </c>
      <c r="H3262" s="42" t="n">
        <v>112</v>
      </c>
      <c r="I3262" s="55" t="inlineStr">
        <is>
          <t>1/6</t>
        </is>
      </c>
      <c r="J3262" s="41" t="n">
        <v>0.166666667</v>
      </c>
      <c r="K3262" s="42" t="inlineStr">
        <is>
          <t>Distinguished</t>
        </is>
      </c>
      <c r="L3262" s="42" t="inlineStr">
        <is>
          <t>Adjunct</t>
        </is>
      </c>
      <c r="M3262" s="42" t="inlineStr">
        <is>
          <t>Ela Cross</t>
        </is>
      </c>
    </row>
    <row r="3263">
      <c r="A3263" s="42" t="inlineStr">
        <is>
          <t>Raymond Elliot</t>
        </is>
      </c>
      <c r="B3263" s="42" t="inlineStr">
        <is>
          <t>6/14/26 - 7/11/26</t>
        </is>
      </c>
      <c r="C3263" s="41" t="n">
        <v>0.775</v>
      </c>
      <c r="D3263" s="41" t="n">
        <v>0.9583</v>
      </c>
      <c r="E3263" s="41" t="n">
        <v>1</v>
      </c>
      <c r="F3263" s="41" t="n">
        <v>1</v>
      </c>
      <c r="G3263" s="41" t="n">
        <v>0.9</v>
      </c>
      <c r="H3263" s="42" t="n">
        <v>220</v>
      </c>
      <c r="I3263" s="55" t="inlineStr">
        <is>
          <t>4/4</t>
        </is>
      </c>
      <c r="J3263" s="41" t="n">
        <v>1</v>
      </c>
      <c r="K3263" s="42" t="inlineStr">
        <is>
          <t>Distinguished</t>
        </is>
      </c>
      <c r="L3263" s="42" t="inlineStr">
        <is>
          <t>Adjunct</t>
        </is>
      </c>
      <c r="M3263" s="42" t="inlineStr">
        <is>
          <t>Kristin Haase-Alvey</t>
        </is>
      </c>
    </row>
    <row r="3264">
      <c r="A3264" s="42" t="inlineStr">
        <is>
          <t>Raymond Serrano</t>
        </is>
      </c>
      <c r="B3264" s="42" t="inlineStr">
        <is>
          <t>6/14/26 - 7/11/26</t>
        </is>
      </c>
      <c r="C3264" s="41" t="n">
        <v>0.3667</v>
      </c>
      <c r="D3264" s="41" t="n">
        <v>0.9967</v>
      </c>
      <c r="E3264" s="41" t="n">
        <v>0.88372093</v>
      </c>
      <c r="F3264" s="41" t="n">
        <v>0.968</v>
      </c>
      <c r="G3264" s="41" t="n">
        <v>1</v>
      </c>
      <c r="H3264" s="42" t="n">
        <v>80</v>
      </c>
      <c r="I3264" s="55" t="inlineStr">
        <is>
          <t>2/3</t>
        </is>
      </c>
      <c r="J3264" s="41" t="n">
        <v>0.666666667</v>
      </c>
      <c r="K3264" s="42" t="inlineStr">
        <is>
          <t>Distinguished</t>
        </is>
      </c>
      <c r="L3264" s="42" t="inlineStr">
        <is>
          <t>Professional</t>
        </is>
      </c>
      <c r="M3264" s="42" t="inlineStr">
        <is>
          <t>Kristin Haase-Alvey</t>
        </is>
      </c>
    </row>
    <row r="3265">
      <c r="A3265" s="42" t="inlineStr">
        <is>
          <t>Rebekah Nachian</t>
        </is>
      </c>
      <c r="B3265" s="42" t="inlineStr">
        <is>
          <t>6/14/26 - 7/11/26</t>
        </is>
      </c>
      <c r="C3265" s="41" t="n">
        <v>0.475</v>
      </c>
      <c r="D3265" s="41" t="n">
        <v>1.0345</v>
      </c>
      <c r="E3265" s="41" t="n">
        <v>1</v>
      </c>
      <c r="F3265" s="41" t="n">
        <v>1</v>
      </c>
      <c r="G3265" s="41" t="n">
        <v>0.875</v>
      </c>
      <c r="H3265" s="42" t="n">
        <v>138</v>
      </c>
      <c r="I3265" s="55" t="inlineStr">
        <is>
          <t>5/6</t>
        </is>
      </c>
      <c r="J3265" s="41" t="n">
        <v>0.833333333</v>
      </c>
      <c r="K3265" s="42" t="inlineStr">
        <is>
          <t>Distinguished</t>
        </is>
      </c>
      <c r="L3265" s="42" t="inlineStr">
        <is>
          <t>Professional</t>
        </is>
      </c>
      <c r="M3265" s="42" t="inlineStr">
        <is>
          <t>Annelies de Groot</t>
        </is>
      </c>
    </row>
    <row r="3266">
      <c r="A3266" s="42" t="inlineStr">
        <is>
          <t>Rehan Zaib</t>
        </is>
      </c>
      <c r="B3266" s="42" t="inlineStr">
        <is>
          <t>6/14/26 - 7/11/26</t>
        </is>
      </c>
      <c r="C3266" s="41" t="n">
        <v>0.9917</v>
      </c>
      <c r="D3266" s="41" t="n">
        <v>1.1053</v>
      </c>
      <c r="E3266" s="41" t="n">
        <v>0.941176471</v>
      </c>
      <c r="F3266" s="41" t="n">
        <v>0.971</v>
      </c>
      <c r="G3266" s="41" t="n">
        <v>0.6</v>
      </c>
      <c r="H3266" s="42" t="n">
        <v>308</v>
      </c>
      <c r="I3266" s="55" t="inlineStr">
        <is>
          <t>1/3</t>
        </is>
      </c>
      <c r="J3266" s="41" t="n">
        <v>0.333333333</v>
      </c>
      <c r="K3266" s="42" t="inlineStr">
        <is>
          <t>Distinguished</t>
        </is>
      </c>
      <c r="L3266" s="42" t="inlineStr">
        <is>
          <t>Professional</t>
        </is>
      </c>
      <c r="M3266" s="42" t="inlineStr">
        <is>
          <t>Ela Cross</t>
        </is>
      </c>
    </row>
    <row r="3267">
      <c r="A3267" s="42" t="inlineStr">
        <is>
          <t>Richard Kralik</t>
        </is>
      </c>
      <c r="B3267" s="42" t="inlineStr">
        <is>
          <t>6/14/26 - 7/11/26</t>
        </is>
      </c>
      <c r="C3267" s="41" t="n">
        <v>0.5571</v>
      </c>
      <c r="D3267" s="41" t="n">
        <v>1.0523</v>
      </c>
      <c r="E3267" s="41" t="n">
        <v>0.986486486</v>
      </c>
      <c r="F3267" s="41" t="n">
        <v>0.981</v>
      </c>
      <c r="G3267" s="41" t="n">
        <v>0.4</v>
      </c>
      <c r="H3267" s="42" t="n">
        <v>284</v>
      </c>
      <c r="I3267" s="55" t="inlineStr">
        <is>
          <t>0/5</t>
        </is>
      </c>
      <c r="J3267" s="41" t="n">
        <v>0</v>
      </c>
      <c r="K3267" s="42" t="inlineStr">
        <is>
          <t>Distinguished</t>
        </is>
      </c>
      <c r="L3267" s="42" t="inlineStr">
        <is>
          <t>Professional</t>
        </is>
      </c>
      <c r="M3267" s="42" t="inlineStr">
        <is>
          <t>Geoff St. Marie</t>
        </is>
      </c>
    </row>
    <row r="3268">
      <c r="A3268" s="42" t="inlineStr">
        <is>
          <t>Ries Scerbin</t>
        </is>
      </c>
      <c r="B3268" s="42" t="inlineStr">
        <is>
          <t>6/14/26 - 7/11/26</t>
        </is>
      </c>
      <c r="C3268" s="41" t="n">
        <v>0.5833</v>
      </c>
      <c r="D3268" s="41" t="n">
        <v>1.2031</v>
      </c>
      <c r="E3268" s="41" t="n">
        <v>0.851851852</v>
      </c>
      <c r="F3268" s="41" t="n">
        <v>1</v>
      </c>
      <c r="G3268" s="41" t="n">
        <v>0.428571429</v>
      </c>
      <c r="H3268" s="42" t="n">
        <v>80</v>
      </c>
      <c r="I3268" s="55" t="inlineStr">
        <is>
          <t>0/1</t>
        </is>
      </c>
      <c r="J3268" s="41" t="n">
        <v>0</v>
      </c>
      <c r="K3268" s="42" t="inlineStr">
        <is>
          <t>Distinguished</t>
        </is>
      </c>
      <c r="L3268" s="42" t="inlineStr">
        <is>
          <t>Adjunct</t>
        </is>
      </c>
      <c r="M3268" s="42" t="inlineStr">
        <is>
          <t>Annelies de Groot</t>
        </is>
      </c>
    </row>
    <row r="3269">
      <c r="A3269" s="42" t="inlineStr">
        <is>
          <t>River Nunez</t>
        </is>
      </c>
      <c r="B3269" s="42" t="inlineStr">
        <is>
          <t>6/14/26 - 7/11/26</t>
        </is>
      </c>
      <c r="C3269" s="41" t="n">
        <v>0.6</v>
      </c>
      <c r="D3269" s="41" t="n">
        <v>1.0345</v>
      </c>
      <c r="E3269" s="41" t="n">
        <v>0.953125</v>
      </c>
      <c r="F3269" s="41" t="n">
        <v>1</v>
      </c>
      <c r="G3269" s="41" t="n">
        <v>0.833333333</v>
      </c>
      <c r="H3269" s="42" t="n">
        <v>112</v>
      </c>
      <c r="I3269" s="55" t="inlineStr">
        <is>
          <t>7/9</t>
        </is>
      </c>
      <c r="J3269" s="41" t="n">
        <v>0.777777778</v>
      </c>
      <c r="K3269" s="42" t="inlineStr">
        <is>
          <t>Distinguished</t>
        </is>
      </c>
      <c r="L3269" s="42" t="inlineStr">
        <is>
          <t>Professional</t>
        </is>
      </c>
      <c r="M3269" s="42" t="inlineStr">
        <is>
          <t>Annelies de Groot</t>
        </is>
      </c>
    </row>
    <row r="3270">
      <c r="A3270" s="42" t="inlineStr">
        <is>
          <t>Robert Nantze</t>
        </is>
      </c>
      <c r="B3270" s="42" t="inlineStr">
        <is>
          <t>6/14/26 - 7/11/26</t>
        </is>
      </c>
      <c r="C3270" s="41" t="n">
        <v>0.6833</v>
      </c>
      <c r="D3270" s="41" t="n">
        <v>1.0855</v>
      </c>
      <c r="E3270" s="41" t="n">
        <v>0.975609756</v>
      </c>
      <c r="F3270" s="41" t="n">
        <v>0.975</v>
      </c>
      <c r="G3270" s="41" t="n">
        <v>0.545454545</v>
      </c>
      <c r="H3270" s="42" t="n">
        <v>112</v>
      </c>
      <c r="I3270" s="55" t="inlineStr">
        <is>
          <t>3/8</t>
        </is>
      </c>
      <c r="J3270" s="41" t="n">
        <v>0.375</v>
      </c>
      <c r="K3270" s="42" t="inlineStr">
        <is>
          <t>Distinguished</t>
        </is>
      </c>
      <c r="L3270" s="42" t="inlineStr">
        <is>
          <t>Professional</t>
        </is>
      </c>
      <c r="M3270" s="42" t="inlineStr">
        <is>
          <t>Ela Cross</t>
        </is>
      </c>
    </row>
    <row r="3271">
      <c r="A3271" s="42" t="inlineStr">
        <is>
          <t>Ruben Dorador</t>
        </is>
      </c>
      <c r="B3271" s="42" t="inlineStr">
        <is>
          <t>6/14/26 - 7/11/26</t>
        </is>
      </c>
      <c r="C3271" s="41" t="n">
        <v>0.0476</v>
      </c>
      <c r="D3271" s="41" t="n">
        <v>0.8110000000000001</v>
      </c>
      <c r="E3271" s="41" t="n">
        <v>1</v>
      </c>
      <c r="F3271" s="41" t="n">
        <v>0</v>
      </c>
      <c r="G3271" s="41" t="n"/>
      <c r="H3271" s="42" t="n">
        <v>4</v>
      </c>
      <c r="I3271" s="55" t="inlineStr">
        <is>
          <t>1/1</t>
        </is>
      </c>
      <c r="J3271" s="41" t="n">
        <v>1</v>
      </c>
      <c r="K3271" s="42" t="inlineStr">
        <is>
          <t>Distinguished</t>
        </is>
      </c>
      <c r="L3271" s="42" t="inlineStr">
        <is>
          <t>Professional</t>
        </is>
      </c>
      <c r="M3271" s="42" t="inlineStr">
        <is>
          <t>Nikki Pencak</t>
        </is>
      </c>
    </row>
    <row r="3272">
      <c r="A3272" s="42" t="inlineStr">
        <is>
          <t>Samantha Wetz</t>
        </is>
      </c>
      <c r="B3272" s="42" t="inlineStr">
        <is>
          <t>6/14/26 - 7/11/26</t>
        </is>
      </c>
      <c r="C3272" s="41" t="n">
        <v>0.575</v>
      </c>
      <c r="D3272" s="41" t="n">
        <v>1.1759</v>
      </c>
      <c r="E3272" s="41" t="n">
        <v>1</v>
      </c>
      <c r="F3272" s="41" t="n">
        <v>1</v>
      </c>
      <c r="G3272" s="41" t="n">
        <v>0.5</v>
      </c>
      <c r="H3272" s="42" t="n">
        <v>58</v>
      </c>
      <c r="I3272" s="55" t="inlineStr">
        <is>
          <t>7/11</t>
        </is>
      </c>
      <c r="J3272" s="41" t="n">
        <v>0.636363636</v>
      </c>
      <c r="K3272" s="42" t="inlineStr">
        <is>
          <t>Premium</t>
        </is>
      </c>
      <c r="L3272" s="42" t="inlineStr">
        <is>
          <t>Professional</t>
        </is>
      </c>
      <c r="M3272" s="42" t="inlineStr">
        <is>
          <t>Ian Plamondon</t>
        </is>
      </c>
    </row>
    <row r="3273">
      <c r="A3273" s="42" t="inlineStr">
        <is>
          <t>Sarah Goodstein</t>
        </is>
      </c>
      <c r="B3273" s="42" t="inlineStr">
        <is>
          <t>6/14/26 - 7/11/26</t>
        </is>
      </c>
      <c r="C3273" s="41" t="n">
        <v>0.95</v>
      </c>
      <c r="D3273" s="41" t="n">
        <v>0.977</v>
      </c>
      <c r="E3273" s="41" t="n">
        <v>0.98</v>
      </c>
      <c r="F3273" s="41" t="n">
        <v>0.9419999999999999</v>
      </c>
      <c r="G3273" s="41" t="n">
        <v>0.714285714</v>
      </c>
      <c r="H3273" s="42" t="n">
        <v>271</v>
      </c>
      <c r="I3273" s="55" t="inlineStr">
        <is>
          <t>0/6</t>
        </is>
      </c>
      <c r="J3273" s="41" t="n">
        <v>0</v>
      </c>
      <c r="K3273" s="42" t="inlineStr">
        <is>
          <t>Distinguished</t>
        </is>
      </c>
      <c r="L3273" s="42" t="inlineStr">
        <is>
          <t>Professional</t>
        </is>
      </c>
      <c r="M3273" s="42" t="inlineStr">
        <is>
          <t>Kristin Haase-Alvey</t>
        </is>
      </c>
    </row>
    <row r="3274">
      <c r="A3274" s="42" t="inlineStr">
        <is>
          <t>Savannah Padgett</t>
        </is>
      </c>
      <c r="B3274" s="42" t="inlineStr">
        <is>
          <t>6/14/26 - 7/11/26</t>
        </is>
      </c>
      <c r="C3274" s="41" t="n">
        <v>0.95</v>
      </c>
      <c r="D3274" s="41" t="n">
        <v>1.1294</v>
      </c>
      <c r="E3274" s="41" t="n">
        <v>0.992248062</v>
      </c>
      <c r="F3274" s="41" t="n">
        <v>0.988</v>
      </c>
      <c r="G3274" s="41" t="n">
        <v>0.769230769</v>
      </c>
      <c r="H3274" s="42" t="n">
        <v>184</v>
      </c>
      <c r="I3274" s="55" t="inlineStr">
        <is>
          <t>5/19</t>
        </is>
      </c>
      <c r="J3274" s="41" t="n">
        <v>0.263157895</v>
      </c>
      <c r="K3274" s="42" t="inlineStr">
        <is>
          <t>Distinguished</t>
        </is>
      </c>
      <c r="L3274" s="42" t="inlineStr">
        <is>
          <t>Professional</t>
        </is>
      </c>
      <c r="M3274" s="42" t="inlineStr">
        <is>
          <t>Kristin Haase-Alvey</t>
        </is>
      </c>
    </row>
    <row r="3275">
      <c r="A3275" s="42" t="inlineStr">
        <is>
          <t>Scott Boyd</t>
        </is>
      </c>
      <c r="B3275" s="42" t="inlineStr">
        <is>
          <t>6/14/26 - 7/11/26</t>
        </is>
      </c>
      <c r="C3275" s="41" t="n">
        <v>0.1771</v>
      </c>
      <c r="D3275" s="41" t="n">
        <v>1.1406</v>
      </c>
      <c r="E3275" s="41" t="n">
        <v>1</v>
      </c>
      <c r="F3275" s="41" t="n">
        <v>1</v>
      </c>
      <c r="G3275" s="41" t="n">
        <v>1</v>
      </c>
      <c r="H3275" s="42" t="n">
        <v>16</v>
      </c>
      <c r="I3275" s="55" t="n"/>
      <c r="J3275" s="41" t="n"/>
      <c r="K3275" s="42" t="inlineStr">
        <is>
          <t>Premium</t>
        </is>
      </c>
      <c r="L3275" s="42" t="inlineStr">
        <is>
          <t>Adjunct</t>
        </is>
      </c>
      <c r="M3275" s="42" t="inlineStr">
        <is>
          <t>Geoff St. Marie</t>
        </is>
      </c>
    </row>
    <row r="3276">
      <c r="A3276" s="42" t="inlineStr">
        <is>
          <t>Scott Holdcraft</t>
        </is>
      </c>
      <c r="B3276" s="42" t="inlineStr">
        <is>
          <t>6/14/26 - 7/11/26</t>
        </is>
      </c>
      <c r="C3276" s="41" t="n">
        <v>0.3917</v>
      </c>
      <c r="D3276" s="41" t="n">
        <v>1.0378</v>
      </c>
      <c r="E3276" s="41" t="n">
        <v>0.955555556</v>
      </c>
      <c r="F3276" s="41" t="n">
        <v>1</v>
      </c>
      <c r="G3276" s="41" t="n">
        <v>0.583333333</v>
      </c>
      <c r="H3276" s="42" t="n">
        <v>64</v>
      </c>
      <c r="I3276" s="55" t="inlineStr">
        <is>
          <t>2/6</t>
        </is>
      </c>
      <c r="J3276" s="41" t="n">
        <v>0.333333333</v>
      </c>
      <c r="K3276" s="42" t="inlineStr">
        <is>
          <t>Distinguished</t>
        </is>
      </c>
      <c r="L3276" s="42" t="inlineStr">
        <is>
          <t>Professional</t>
        </is>
      </c>
      <c r="M3276" s="42" t="inlineStr">
        <is>
          <t>Ela Cross</t>
        </is>
      </c>
    </row>
    <row r="3277">
      <c r="A3277" s="42" t="inlineStr">
        <is>
          <t>Shannon Huang</t>
        </is>
      </c>
      <c r="B3277" s="42" t="inlineStr">
        <is>
          <t>6/14/26 - 7/11/26</t>
        </is>
      </c>
      <c r="C3277" s="41" t="n">
        <v>0.9542</v>
      </c>
      <c r="D3277" s="41" t="n">
        <v>1.0938</v>
      </c>
      <c r="E3277" s="41" t="n">
        <v>0.97752809</v>
      </c>
      <c r="F3277" s="41" t="n">
        <v>0.987</v>
      </c>
      <c r="G3277" s="41" t="n">
        <v>0.869565217</v>
      </c>
      <c r="H3277" s="42" t="n">
        <v>192</v>
      </c>
      <c r="I3277" s="55" t="inlineStr">
        <is>
          <t>6/10</t>
        </is>
      </c>
      <c r="J3277" s="41" t="n">
        <v>0.6</v>
      </c>
      <c r="K3277" s="42" t="inlineStr">
        <is>
          <t>Distinguished</t>
        </is>
      </c>
      <c r="L3277" s="42" t="inlineStr">
        <is>
          <t>Professional</t>
        </is>
      </c>
      <c r="M3277" s="42" t="inlineStr">
        <is>
          <t>Ela Cross</t>
        </is>
      </c>
    </row>
    <row r="3278">
      <c r="A3278" s="42" t="inlineStr">
        <is>
          <t>Sharon Vincuilla</t>
        </is>
      </c>
      <c r="B3278" s="42" t="inlineStr">
        <is>
          <t>6/14/26 - 7/11/26</t>
        </is>
      </c>
      <c r="C3278" s="41" t="n">
        <v>0.7917</v>
      </c>
      <c r="D3278" s="41" t="n">
        <v>1.3008</v>
      </c>
      <c r="E3278" s="41" t="n">
        <v>1</v>
      </c>
      <c r="F3278" s="41" t="n">
        <v>1</v>
      </c>
      <c r="G3278" s="41" t="n">
        <v>1</v>
      </c>
      <c r="H3278" s="42" t="n">
        <v>84</v>
      </c>
      <c r="I3278" s="55" t="inlineStr">
        <is>
          <t>1/1</t>
        </is>
      </c>
      <c r="J3278" s="41" t="n">
        <v>1</v>
      </c>
      <c r="K3278" s="42" t="inlineStr">
        <is>
          <t>Distinguished</t>
        </is>
      </c>
      <c r="L3278" s="42" t="inlineStr">
        <is>
          <t>Adjunct</t>
        </is>
      </c>
      <c r="M3278" s="42" t="inlineStr">
        <is>
          <t>Annelies de Groot</t>
        </is>
      </c>
    </row>
    <row r="3279">
      <c r="A3279" s="42" t="inlineStr">
        <is>
          <t>Shaun Leonard</t>
        </is>
      </c>
      <c r="B3279" s="42" t="inlineStr">
        <is>
          <t>6/14/26 - 7/11/26</t>
        </is>
      </c>
      <c r="C3279" s="41" t="n">
        <v>0.5625</v>
      </c>
      <c r="D3279" s="41" t="n">
        <v>1.0625</v>
      </c>
      <c r="E3279" s="41" t="n">
        <v>0.961538462</v>
      </c>
      <c r="F3279" s="41" t="n">
        <v>1</v>
      </c>
      <c r="G3279" s="41" t="n">
        <v>0.8</v>
      </c>
      <c r="H3279" s="42" t="n">
        <v>72</v>
      </c>
      <c r="I3279" s="55" t="inlineStr">
        <is>
          <t>1/1</t>
        </is>
      </c>
      <c r="J3279" s="41" t="n">
        <v>1</v>
      </c>
      <c r="K3279" s="42" t="inlineStr">
        <is>
          <t>Distinguished</t>
        </is>
      </c>
      <c r="L3279" s="42" t="inlineStr">
        <is>
          <t>Adjunct</t>
        </is>
      </c>
      <c r="M3279" s="42" t="inlineStr">
        <is>
          <t>Kristin Haase-Alvey</t>
        </is>
      </c>
    </row>
    <row r="3280">
      <c r="A3280" s="42" t="inlineStr">
        <is>
          <t>Shawn Kane</t>
        </is>
      </c>
      <c r="B3280" s="42" t="inlineStr">
        <is>
          <t>6/14/26 - 7/11/26</t>
        </is>
      </c>
      <c r="C3280" s="41" t="n">
        <v>1.1771</v>
      </c>
      <c r="D3280" s="41" t="n">
        <v>1.25</v>
      </c>
      <c r="E3280" s="41" t="n">
        <v>1</v>
      </c>
      <c r="F3280" s="41" t="n">
        <v>0.905</v>
      </c>
      <c r="G3280" s="41" t="n">
        <v>0.666666667</v>
      </c>
      <c r="H3280" s="42" t="n">
        <v>36</v>
      </c>
      <c r="I3280" s="55" t="inlineStr">
        <is>
          <t>1/1</t>
        </is>
      </c>
      <c r="J3280" s="41" t="n">
        <v>1</v>
      </c>
      <c r="K3280" s="42" t="inlineStr">
        <is>
          <t>Premium</t>
        </is>
      </c>
      <c r="L3280" s="42" t="inlineStr">
        <is>
          <t>Adjunct</t>
        </is>
      </c>
      <c r="M3280" s="42" t="inlineStr">
        <is>
          <t>Ela Cross</t>
        </is>
      </c>
    </row>
    <row r="3281">
      <c r="A3281" s="42" t="inlineStr">
        <is>
          <t>Silvester Harrison</t>
        </is>
      </c>
      <c r="B3281" s="42" t="inlineStr">
        <is>
          <t>6/14/26 - 7/11/26</t>
        </is>
      </c>
      <c r="C3281" s="41" t="n">
        <v>0.4857</v>
      </c>
      <c r="D3281" s="41" t="n">
        <v>0.984</v>
      </c>
      <c r="E3281" s="41" t="n">
        <v>1</v>
      </c>
      <c r="F3281" s="41" t="n">
        <v>0.972</v>
      </c>
      <c r="G3281" s="41" t="n">
        <v>0.5</v>
      </c>
      <c r="H3281" s="42" t="n">
        <v>118</v>
      </c>
      <c r="I3281" s="55" t="inlineStr">
        <is>
          <t>2/5</t>
        </is>
      </c>
      <c r="J3281" s="41" t="n">
        <v>0.4</v>
      </c>
      <c r="K3281" s="42" t="inlineStr">
        <is>
          <t>Distinguished</t>
        </is>
      </c>
      <c r="L3281" s="42" t="inlineStr">
        <is>
          <t>Professional</t>
        </is>
      </c>
      <c r="M3281" s="42" t="inlineStr">
        <is>
          <t>Ela Cross</t>
        </is>
      </c>
    </row>
    <row r="3282">
      <c r="A3282" s="42" t="inlineStr">
        <is>
          <t>Skye Silmenna</t>
        </is>
      </c>
      <c r="B3282" s="42" t="inlineStr">
        <is>
          <t>6/14/26 - 7/11/26</t>
        </is>
      </c>
      <c r="C3282" s="41" t="n">
        <v>0.575</v>
      </c>
      <c r="D3282" s="41" t="n">
        <v>1.0164</v>
      </c>
      <c r="E3282" s="41" t="n">
        <v>0.955223881</v>
      </c>
      <c r="F3282" s="41" t="n">
        <v>0.7</v>
      </c>
      <c r="G3282" s="41" t="n">
        <v>0.444444444</v>
      </c>
      <c r="H3282" s="42" t="n">
        <v>154</v>
      </c>
      <c r="I3282" s="55" t="inlineStr">
        <is>
          <t>7/9</t>
        </is>
      </c>
      <c r="J3282" s="41" t="n">
        <v>0.777777778</v>
      </c>
      <c r="K3282" s="42" t="inlineStr">
        <is>
          <t>Distinguished</t>
        </is>
      </c>
      <c r="L3282" s="42" t="inlineStr">
        <is>
          <t>Professional</t>
        </is>
      </c>
      <c r="M3282" s="42" t="inlineStr">
        <is>
          <t>Annelies de Groot</t>
        </is>
      </c>
    </row>
    <row r="3283">
      <c r="A3283" s="42" t="inlineStr">
        <is>
          <t>Sonja Tomasko</t>
        </is>
      </c>
      <c r="B3283" s="42" t="inlineStr">
        <is>
          <t>6/14/26 - 7/11/26</t>
        </is>
      </c>
      <c r="C3283" s="41" t="n">
        <v>0.2917</v>
      </c>
      <c r="D3283" s="41" t="n">
        <v>0.8158</v>
      </c>
      <c r="E3283" s="41" t="n">
        <v>0.966666667</v>
      </c>
      <c r="F3283" s="41" t="n">
        <v>1</v>
      </c>
      <c r="G3283" s="41" t="n">
        <v>0</v>
      </c>
      <c r="H3283" s="42" t="n">
        <v>36</v>
      </c>
      <c r="I3283" s="55" t="inlineStr">
        <is>
          <t>0/1</t>
        </is>
      </c>
      <c r="J3283" s="41" t="n">
        <v>0</v>
      </c>
      <c r="K3283" s="42" t="inlineStr">
        <is>
          <t>Premium</t>
        </is>
      </c>
      <c r="L3283" s="42" t="inlineStr">
        <is>
          <t>Professional</t>
        </is>
      </c>
      <c r="M3283" s="42" t="inlineStr">
        <is>
          <t>Ian Plamondon</t>
        </is>
      </c>
    </row>
    <row r="3284">
      <c r="A3284" s="42" t="inlineStr">
        <is>
          <t>Stacey Jones</t>
        </is>
      </c>
      <c r="B3284" s="42" t="inlineStr">
        <is>
          <t>6/14/26 - 7/11/26</t>
        </is>
      </c>
      <c r="C3284" s="41" t="n">
        <v>0.6042</v>
      </c>
      <c r="D3284" s="41" t="n">
        <v>1.1992</v>
      </c>
      <c r="E3284" s="41" t="n">
        <v>1</v>
      </c>
      <c r="F3284" s="41" t="n">
        <v>1</v>
      </c>
      <c r="G3284" s="41" t="n">
        <v>0.875</v>
      </c>
      <c r="H3284" s="42" t="n">
        <v>76</v>
      </c>
      <c r="I3284" s="55" t="n"/>
      <c r="J3284" s="41" t="n"/>
      <c r="K3284" s="42" t="inlineStr">
        <is>
          <t>Distinguished</t>
        </is>
      </c>
      <c r="L3284" s="42" t="inlineStr">
        <is>
          <t>Adjunct</t>
        </is>
      </c>
      <c r="M3284" s="42" t="inlineStr">
        <is>
          <t>Annelies de Groot</t>
        </is>
      </c>
    </row>
    <row r="3285">
      <c r="A3285" s="42" t="inlineStr">
        <is>
          <t>Steven Colome</t>
        </is>
      </c>
      <c r="B3285" s="42" t="inlineStr">
        <is>
          <t>6/14/26 - 7/11/26</t>
        </is>
      </c>
      <c r="C3285" s="41" t="n">
        <v>0.3958</v>
      </c>
      <c r="D3285" s="41" t="n">
        <v>1.082</v>
      </c>
      <c r="E3285" s="41" t="n">
        <v>0.888888889</v>
      </c>
      <c r="F3285" s="41" t="n">
        <v>1</v>
      </c>
      <c r="G3285" s="41" t="n">
        <v>0.666666667</v>
      </c>
      <c r="H3285" s="42" t="n">
        <v>28</v>
      </c>
      <c r="I3285" s="55" t="inlineStr">
        <is>
          <t>0/4</t>
        </is>
      </c>
      <c r="J3285" s="41" t="n">
        <v>0</v>
      </c>
      <c r="K3285" s="42" t="inlineStr">
        <is>
          <t>Distinguished</t>
        </is>
      </c>
      <c r="L3285" s="42" t="inlineStr">
        <is>
          <t>Adjunct</t>
        </is>
      </c>
      <c r="M3285" s="42" t="inlineStr">
        <is>
          <t>Ela Cross</t>
        </is>
      </c>
    </row>
    <row r="3286">
      <c r="A3286" s="42" t="inlineStr">
        <is>
          <t>Sunho Kum</t>
        </is>
      </c>
      <c r="B3286" s="42" t="inlineStr">
        <is>
          <t>6/14/26 - 7/11/26</t>
        </is>
      </c>
      <c r="C3286" s="41" t="n">
        <v>0.8958</v>
      </c>
      <c r="D3286" s="41" t="n">
        <v>1</v>
      </c>
      <c r="E3286" s="41" t="n">
        <v>1</v>
      </c>
      <c r="F3286" s="41" t="n">
        <v>0.97</v>
      </c>
      <c r="G3286" s="41" t="n">
        <v>1</v>
      </c>
      <c r="H3286" s="42" t="n">
        <v>136</v>
      </c>
      <c r="I3286" s="55" t="inlineStr">
        <is>
          <t>2/2</t>
        </is>
      </c>
      <c r="J3286" s="41" t="n">
        <v>1</v>
      </c>
      <c r="K3286" s="42" t="inlineStr">
        <is>
          <t>Distinguished</t>
        </is>
      </c>
      <c r="L3286" s="42" t="inlineStr">
        <is>
          <t>Adjunct</t>
        </is>
      </c>
      <c r="M3286" s="42" t="inlineStr">
        <is>
          <t>Ela Cross</t>
        </is>
      </c>
    </row>
    <row r="3287">
      <c r="A3287" s="42" t="inlineStr">
        <is>
          <t>Syrae Arteaga</t>
        </is>
      </c>
      <c r="B3287" s="42" t="inlineStr">
        <is>
          <t>6/14/26 - 7/11/26</t>
        </is>
      </c>
      <c r="C3287" s="41" t="n">
        <v>0.625</v>
      </c>
      <c r="D3287" s="41" t="n">
        <v>1.6094</v>
      </c>
      <c r="E3287" s="41" t="n">
        <v>1</v>
      </c>
      <c r="F3287" s="41" t="n">
        <v>1</v>
      </c>
      <c r="G3287" s="41" t="n">
        <v>0.6</v>
      </c>
      <c r="H3287" s="42" t="n">
        <v>44</v>
      </c>
      <c r="I3287" s="55" t="inlineStr">
        <is>
          <t>1/2</t>
        </is>
      </c>
      <c r="J3287" s="41" t="n">
        <v>0.5</v>
      </c>
      <c r="K3287" s="42" t="inlineStr">
        <is>
          <t>Advanced</t>
        </is>
      </c>
      <c r="L3287" s="42" t="inlineStr">
        <is>
          <t>Adjunct</t>
        </is>
      </c>
      <c r="M3287" s="42" t="inlineStr">
        <is>
          <t>Ian Plamondon</t>
        </is>
      </c>
    </row>
    <row r="3288">
      <c r="A3288" s="42" t="inlineStr">
        <is>
          <t>Taryn Parks</t>
        </is>
      </c>
      <c r="B3288" s="42" t="inlineStr">
        <is>
          <t>6/14/26 - 7/11/26</t>
        </is>
      </c>
      <c r="C3288" s="41" t="n">
        <v>0.4375</v>
      </c>
      <c r="D3288" s="41" t="n">
        <v>0.9648</v>
      </c>
      <c r="E3288" s="41" t="n">
        <v>1</v>
      </c>
      <c r="F3288" s="41" t="n">
        <v>1</v>
      </c>
      <c r="G3288" s="41" t="n">
        <v>0.666666667</v>
      </c>
      <c r="H3288" s="42" t="n">
        <v>92</v>
      </c>
      <c r="I3288" s="55" t="inlineStr">
        <is>
          <t>3/3</t>
        </is>
      </c>
      <c r="J3288" s="41" t="n">
        <v>1</v>
      </c>
      <c r="K3288" s="42" t="inlineStr">
        <is>
          <t>Advanced</t>
        </is>
      </c>
      <c r="L3288" s="42" t="inlineStr">
        <is>
          <t>Adjunct</t>
        </is>
      </c>
      <c r="M3288" s="42" t="inlineStr">
        <is>
          <t>Annelies de Groot</t>
        </is>
      </c>
    </row>
    <row r="3289">
      <c r="A3289" s="42" t="inlineStr">
        <is>
          <t>Tea Stewart</t>
        </is>
      </c>
      <c r="B3289" s="42" t="inlineStr">
        <is>
          <t>6/14/26 - 7/11/26</t>
        </is>
      </c>
      <c r="C3289" s="41" t="n">
        <v>0.3333</v>
      </c>
      <c r="D3289" s="41" t="n">
        <v>0.8438</v>
      </c>
      <c r="E3289" s="41" t="n">
        <v>1</v>
      </c>
      <c r="F3289" s="41" t="n">
        <v>1</v>
      </c>
      <c r="G3289" s="41" t="n">
        <v>1</v>
      </c>
      <c r="H3289" s="42" t="n">
        <v>48</v>
      </c>
      <c r="I3289" s="55" t="inlineStr">
        <is>
          <t>0/2</t>
        </is>
      </c>
      <c r="J3289" s="41" t="n">
        <v>0</v>
      </c>
      <c r="K3289" s="42" t="inlineStr">
        <is>
          <t>Distinguished</t>
        </is>
      </c>
      <c r="L3289" s="42" t="inlineStr">
        <is>
          <t>Adjunct</t>
        </is>
      </c>
      <c r="M3289" s="42" t="inlineStr">
        <is>
          <t>Kristin Haase-Alvey</t>
        </is>
      </c>
    </row>
    <row r="3290">
      <c r="A3290" s="42" t="inlineStr">
        <is>
          <t>Teresa Fuller</t>
        </is>
      </c>
      <c r="B3290" s="42" t="inlineStr">
        <is>
          <t>6/14/26 - 7/11/26</t>
        </is>
      </c>
      <c r="C3290" s="41" t="n">
        <v>0.625</v>
      </c>
      <c r="D3290" s="41" t="n">
        <v>0.8828</v>
      </c>
      <c r="E3290" s="41" t="n">
        <v>1</v>
      </c>
      <c r="F3290" s="41" t="n">
        <v>0.789</v>
      </c>
      <c r="G3290" s="41" t="n">
        <v>0.75</v>
      </c>
      <c r="H3290" s="42" t="n">
        <v>68</v>
      </c>
      <c r="I3290" s="55" t="inlineStr">
        <is>
          <t>1/1</t>
        </is>
      </c>
      <c r="J3290" s="41" t="n">
        <v>1</v>
      </c>
      <c r="K3290" s="42" t="inlineStr">
        <is>
          <t>Advanced</t>
        </is>
      </c>
      <c r="L3290" s="42" t="inlineStr">
        <is>
          <t>Adjunct</t>
        </is>
      </c>
      <c r="M3290" s="42" t="inlineStr">
        <is>
          <t>Ela Cross</t>
        </is>
      </c>
    </row>
    <row r="3291">
      <c r="A3291" s="42" t="inlineStr">
        <is>
          <t>Tim Page</t>
        </is>
      </c>
      <c r="B3291" s="42" t="inlineStr">
        <is>
          <t>6/14/26 - 7/11/26</t>
        </is>
      </c>
      <c r="C3291" s="41" t="n">
        <v>0.4</v>
      </c>
      <c r="D3291" s="41" t="n">
        <v>1.0567</v>
      </c>
      <c r="E3291" s="41" t="n">
        <v>0.9629629629999999</v>
      </c>
      <c r="F3291" s="41" t="n">
        <v>0.9330000000000001</v>
      </c>
      <c r="G3291" s="41" t="n">
        <v>0.333333333</v>
      </c>
      <c r="H3291" s="42" t="n">
        <v>28</v>
      </c>
      <c r="I3291" s="55" t="inlineStr">
        <is>
          <t>4/15</t>
        </is>
      </c>
      <c r="J3291" s="41" t="n">
        <v>0.266666667</v>
      </c>
      <c r="K3291" s="42" t="inlineStr">
        <is>
          <t>Advanced</t>
        </is>
      </c>
      <c r="L3291" s="42" t="inlineStr">
        <is>
          <t>Professional</t>
        </is>
      </c>
      <c r="M3291" s="42" t="inlineStr">
        <is>
          <t>Annelies de Groot</t>
        </is>
      </c>
    </row>
    <row r="3292">
      <c r="A3292" s="42" t="inlineStr">
        <is>
          <t>Tim Schlotzhauer</t>
        </is>
      </c>
      <c r="B3292" s="42" t="inlineStr">
        <is>
          <t>6/14/26 - 7/11/26</t>
        </is>
      </c>
      <c r="C3292" s="41" t="n">
        <v>0.525</v>
      </c>
      <c r="D3292" s="41" t="n">
        <v>0.9293</v>
      </c>
      <c r="E3292" s="41" t="n">
        <v>1</v>
      </c>
      <c r="F3292" s="41" t="n">
        <v>1</v>
      </c>
      <c r="G3292" s="41" t="n">
        <v>0.75</v>
      </c>
      <c r="H3292" s="42" t="n">
        <v>38</v>
      </c>
      <c r="I3292" s="55" t="inlineStr">
        <is>
          <t>6/6</t>
        </is>
      </c>
      <c r="J3292" s="41" t="n">
        <v>1</v>
      </c>
      <c r="K3292" s="42" t="inlineStr">
        <is>
          <t>Premium</t>
        </is>
      </c>
      <c r="L3292" s="42" t="inlineStr">
        <is>
          <t>Professional</t>
        </is>
      </c>
      <c r="M3292" s="42" t="inlineStr">
        <is>
          <t>Geoff St. Marie</t>
        </is>
      </c>
    </row>
    <row r="3293">
      <c r="A3293" s="42" t="inlineStr">
        <is>
          <t>Tom Pluth</t>
        </is>
      </c>
      <c r="B3293" s="42" t="inlineStr">
        <is>
          <t>6/14/26 - 7/11/26</t>
        </is>
      </c>
      <c r="C3293" s="41" t="n">
        <v>0.1458</v>
      </c>
      <c r="D3293" s="41" t="n">
        <v>1.0273</v>
      </c>
      <c r="E3293" s="41" t="n">
        <v>1</v>
      </c>
      <c r="F3293" s="41" t="n">
        <v>1</v>
      </c>
      <c r="G3293" s="41" t="n">
        <v>1</v>
      </c>
      <c r="H3293" s="42" t="n">
        <v>0</v>
      </c>
      <c r="I3293" s="55" t="n"/>
      <c r="J3293" s="41" t="n"/>
      <c r="K3293" s="42" t="inlineStr">
        <is>
          <t>Distinguished</t>
        </is>
      </c>
      <c r="L3293" s="42" t="inlineStr">
        <is>
          <t>Adjunct</t>
        </is>
      </c>
      <c r="M3293" s="42" t="inlineStr">
        <is>
          <t>Ela Cross</t>
        </is>
      </c>
    </row>
    <row r="3294">
      <c r="A3294" s="42" t="inlineStr">
        <is>
          <t>Tommaso Marsella</t>
        </is>
      </c>
      <c r="B3294" s="42" t="inlineStr">
        <is>
          <t>6/14/26 - 7/11/26</t>
        </is>
      </c>
      <c r="C3294" s="41" t="n">
        <v>0.6042</v>
      </c>
      <c r="D3294" s="41" t="n">
        <v>1.3242</v>
      </c>
      <c r="E3294" s="41" t="n">
        <v>1</v>
      </c>
      <c r="F3294" s="41" t="n">
        <v>0.9379999999999999</v>
      </c>
      <c r="G3294" s="41" t="n">
        <v>1</v>
      </c>
      <c r="H3294" s="42" t="n">
        <v>45</v>
      </c>
      <c r="I3294" s="55" t="inlineStr">
        <is>
          <t>2/2</t>
        </is>
      </c>
      <c r="J3294" s="41" t="n">
        <v>1</v>
      </c>
      <c r="K3294" s="42" t="inlineStr">
        <is>
          <t>Distinguished</t>
        </is>
      </c>
      <c r="L3294" s="42" t="inlineStr">
        <is>
          <t>Adjunct</t>
        </is>
      </c>
      <c r="M3294" s="42" t="inlineStr">
        <is>
          <t>Ian Plamondon</t>
        </is>
      </c>
    </row>
    <row r="3295">
      <c r="A3295" s="42" t="inlineStr">
        <is>
          <t>Trevor Ferguson</t>
        </is>
      </c>
      <c r="B3295" s="42" t="inlineStr">
        <is>
          <t>6/14/26 - 7/11/26</t>
        </is>
      </c>
      <c r="C3295" s="41" t="n">
        <v>0.6375</v>
      </c>
      <c r="D3295" s="41" t="n">
        <v>1.0855</v>
      </c>
      <c r="E3295" s="41" t="n">
        <v>1</v>
      </c>
      <c r="F3295" s="41" t="n">
        <v>0.971</v>
      </c>
      <c r="G3295" s="41" t="n">
        <v>0.555555556</v>
      </c>
      <c r="H3295" s="42" t="n">
        <v>101</v>
      </c>
      <c r="I3295" s="55" t="inlineStr">
        <is>
          <t>5/6</t>
        </is>
      </c>
      <c r="J3295" s="41" t="n">
        <v>0.833333333</v>
      </c>
      <c r="K3295" s="42" t="inlineStr">
        <is>
          <t>Distinguished</t>
        </is>
      </c>
      <c r="L3295" s="42" t="inlineStr">
        <is>
          <t>Professional</t>
        </is>
      </c>
      <c r="M3295" s="42" t="inlineStr">
        <is>
          <t>Geoff St. Marie</t>
        </is>
      </c>
    </row>
    <row r="3296">
      <c r="A3296" s="42" t="inlineStr">
        <is>
          <t>Tyler Greer</t>
        </is>
      </c>
      <c r="B3296" s="42" t="inlineStr">
        <is>
          <t>6/14/26 - 7/11/26</t>
        </is>
      </c>
      <c r="C3296" s="41" t="n">
        <v>0.4875</v>
      </c>
      <c r="D3296" s="41" t="n">
        <v>0.903</v>
      </c>
      <c r="E3296" s="41" t="n">
        <v>0.981481481</v>
      </c>
      <c r="F3296" s="41" t="n">
        <v>0.927</v>
      </c>
      <c r="G3296" s="41" t="n">
        <v>0.923076923</v>
      </c>
      <c r="H3296" s="42" t="n">
        <v>138</v>
      </c>
      <c r="I3296" s="55" t="inlineStr">
        <is>
          <t>5/6</t>
        </is>
      </c>
      <c r="J3296" s="41" t="n">
        <v>0.833333333</v>
      </c>
      <c r="K3296" s="42" t="inlineStr">
        <is>
          <t>Distinguished</t>
        </is>
      </c>
      <c r="L3296" s="42" t="inlineStr">
        <is>
          <t>Professional</t>
        </is>
      </c>
      <c r="M3296" s="42" t="inlineStr">
        <is>
          <t>Kristin Haase-Alvey</t>
        </is>
      </c>
    </row>
    <row r="3297">
      <c r="A3297" s="42" t="inlineStr">
        <is>
          <t>Tyler Henry</t>
        </is>
      </c>
      <c r="B3297" s="42" t="inlineStr">
        <is>
          <t>6/14/26 - 7/11/26</t>
        </is>
      </c>
      <c r="C3297" s="41" t="n">
        <v>0.7417</v>
      </c>
      <c r="D3297" s="41" t="n">
        <v>1.1513</v>
      </c>
      <c r="E3297" s="41" t="n">
        <v>0.987951807</v>
      </c>
      <c r="F3297" s="41" t="n">
        <v>1</v>
      </c>
      <c r="G3297" s="41" t="n">
        <v>0.6</v>
      </c>
      <c r="H3297" s="42" t="n">
        <v>146</v>
      </c>
      <c r="I3297" s="55" t="inlineStr">
        <is>
          <t>11/12</t>
        </is>
      </c>
      <c r="J3297" s="41" t="n">
        <v>0.916666667</v>
      </c>
      <c r="K3297" s="42" t="inlineStr">
        <is>
          <t>Distinguished</t>
        </is>
      </c>
      <c r="L3297" s="42" t="inlineStr">
        <is>
          <t>Professional</t>
        </is>
      </c>
      <c r="M3297" s="42" t="inlineStr">
        <is>
          <t>Annelies de Groot</t>
        </is>
      </c>
    </row>
    <row r="3298">
      <c r="A3298" s="42" t="inlineStr">
        <is>
          <t>Tyler Thornton</t>
        </is>
      </c>
      <c r="B3298" s="42" t="inlineStr">
        <is>
          <t>6/14/26 - 7/11/26</t>
        </is>
      </c>
      <c r="C3298" s="41" t="n">
        <v>0.55</v>
      </c>
      <c r="D3298" s="41" t="n">
        <v>0.653</v>
      </c>
      <c r="E3298" s="41" t="n">
        <v>1</v>
      </c>
      <c r="F3298" s="41" t="n">
        <v>0.913</v>
      </c>
      <c r="G3298" s="41" t="n">
        <v>0.857142857</v>
      </c>
      <c r="H3298" s="42" t="n">
        <v>160</v>
      </c>
      <c r="I3298" s="55" t="inlineStr">
        <is>
          <t>5/9</t>
        </is>
      </c>
      <c r="J3298" s="41" t="n">
        <v>0.555555556</v>
      </c>
      <c r="K3298" s="42" t="inlineStr">
        <is>
          <t>Distinguished</t>
        </is>
      </c>
      <c r="L3298" s="42" t="inlineStr">
        <is>
          <t>Professional</t>
        </is>
      </c>
      <c r="M3298" s="42" t="inlineStr">
        <is>
          <t>Kristin Haase-Alvey</t>
        </is>
      </c>
    </row>
    <row r="3299">
      <c r="A3299" s="42" t="inlineStr">
        <is>
          <t>Valdenis Iancu</t>
        </is>
      </c>
      <c r="B3299" s="42" t="inlineStr">
        <is>
          <t>6/14/26 - 7/11/26</t>
        </is>
      </c>
      <c r="C3299" s="41" t="n">
        <v>0.3792</v>
      </c>
      <c r="D3299" s="41" t="n">
        <v>1.0329</v>
      </c>
      <c r="E3299" s="41" t="n">
        <v>0.9782608699999999</v>
      </c>
      <c r="F3299" s="41" t="n">
        <v>0.967</v>
      </c>
      <c r="G3299" s="41" t="n">
        <v>0.5</v>
      </c>
      <c r="H3299" s="42" t="n">
        <v>53</v>
      </c>
      <c r="I3299" s="55" t="inlineStr">
        <is>
          <t>3/5</t>
        </is>
      </c>
      <c r="J3299" s="41" t="n">
        <v>0.6</v>
      </c>
      <c r="K3299" s="42" t="inlineStr">
        <is>
          <t>Premium</t>
        </is>
      </c>
      <c r="L3299" s="42" t="inlineStr">
        <is>
          <t>Professional</t>
        </is>
      </c>
      <c r="M3299" s="42" t="inlineStr">
        <is>
          <t>Ian Plamondon</t>
        </is>
      </c>
    </row>
    <row r="3300">
      <c r="A3300" s="42" t="inlineStr">
        <is>
          <t>Valerie Duran</t>
        </is>
      </c>
      <c r="B3300" s="42" t="inlineStr">
        <is>
          <t>6/14/26 - 7/11/26</t>
        </is>
      </c>
      <c r="C3300" s="41" t="n">
        <v>1.4625</v>
      </c>
      <c r="D3300" s="41" t="n">
        <v>1.3203</v>
      </c>
      <c r="E3300" s="41" t="n">
        <v>0.991071429</v>
      </c>
      <c r="F3300" s="41" t="n">
        <v>0.905</v>
      </c>
      <c r="G3300" s="41" t="n">
        <v>0.583333333</v>
      </c>
      <c r="H3300" s="42" t="n">
        <v>288</v>
      </c>
      <c r="I3300" s="55" t="inlineStr">
        <is>
          <t>0/3</t>
        </is>
      </c>
      <c r="J3300" s="41" t="n">
        <v>0</v>
      </c>
      <c r="K3300" s="42" t="inlineStr">
        <is>
          <t>Advanced</t>
        </is>
      </c>
      <c r="L3300" s="42" t="inlineStr">
        <is>
          <t>Adjunct</t>
        </is>
      </c>
      <c r="M3300" s="42" t="inlineStr">
        <is>
          <t>Ela Cross</t>
        </is>
      </c>
    </row>
    <row r="3301">
      <c r="A3301" s="42" t="inlineStr">
        <is>
          <t>Vincent Cross</t>
        </is>
      </c>
      <c r="B3301" s="42" t="inlineStr">
        <is>
          <t>6/14/26 - 7/11/26</t>
        </is>
      </c>
      <c r="C3301" s="41" t="n">
        <v>0.4333</v>
      </c>
      <c r="D3301" s="41" t="n">
        <v>1.0066</v>
      </c>
      <c r="E3301" s="41" t="n">
        <v>0.979591837</v>
      </c>
      <c r="F3301" s="41" t="n">
        <v>0.696</v>
      </c>
      <c r="G3301" s="41" t="n">
        <v>1</v>
      </c>
      <c r="H3301" s="42" t="n">
        <v>104</v>
      </c>
      <c r="I3301" s="55" t="inlineStr">
        <is>
          <t>1/2</t>
        </is>
      </c>
      <c r="J3301" s="41" t="n">
        <v>0.5</v>
      </c>
      <c r="K3301" s="42" t="inlineStr">
        <is>
          <t>Distinguished</t>
        </is>
      </c>
      <c r="L3301" s="42" t="inlineStr">
        <is>
          <t>Professional</t>
        </is>
      </c>
      <c r="M3301" s="42" t="inlineStr">
        <is>
          <t>Kristin Haase-Alvey</t>
        </is>
      </c>
    </row>
    <row r="3302">
      <c r="A3302" s="42" t="inlineStr">
        <is>
          <t>Yvanna Ramirez</t>
        </is>
      </c>
      <c r="B3302" s="42" t="inlineStr">
        <is>
          <t>6/14/26 - 7/11/26</t>
        </is>
      </c>
      <c r="C3302" s="41" t="n">
        <v>0.5292</v>
      </c>
      <c r="D3302" s="41" t="n">
        <v>0.7138</v>
      </c>
      <c r="E3302" s="41" t="n">
        <v>0.9677419350000001</v>
      </c>
      <c r="F3302" s="41" t="n">
        <v>0.543</v>
      </c>
      <c r="G3302" s="41" t="n">
        <v>1</v>
      </c>
      <c r="H3302" s="42" t="n">
        <v>78</v>
      </c>
      <c r="I3302" s="55" t="inlineStr">
        <is>
          <t>0/8</t>
        </is>
      </c>
      <c r="J3302" s="41" t="n">
        <v>0</v>
      </c>
      <c r="K3302" s="42" t="inlineStr">
        <is>
          <t>Distinguished</t>
        </is>
      </c>
      <c r="L3302" s="42" t="inlineStr">
        <is>
          <t>Professional</t>
        </is>
      </c>
      <c r="M3302" s="42" t="inlineStr">
        <is>
          <t>Ela Cross</t>
        </is>
      </c>
    </row>
    <row r="3303">
      <c r="A3303" s="42" t="inlineStr">
        <is>
          <t>Zach McFatridge</t>
        </is>
      </c>
      <c r="B3303" s="42" t="inlineStr">
        <is>
          <t>6/14/26 - 7/11/26</t>
        </is>
      </c>
      <c r="C3303" s="41" t="n">
        <v>0.8429</v>
      </c>
      <c r="D3303" s="41" t="n">
        <v>1.061</v>
      </c>
      <c r="E3303" s="41" t="n">
        <v>1</v>
      </c>
      <c r="F3303" s="41" t="n">
        <v>0.847</v>
      </c>
      <c r="G3303" s="41" t="n">
        <v>0.894736842</v>
      </c>
      <c r="H3303" s="42" t="n">
        <v>282</v>
      </c>
      <c r="I3303" s="55" t="inlineStr">
        <is>
          <t>8/10</t>
        </is>
      </c>
      <c r="J3303" s="41" t="n">
        <v>0.8</v>
      </c>
      <c r="K3303" s="42" t="inlineStr">
        <is>
          <t>Distinguished</t>
        </is>
      </c>
      <c r="L3303" s="42" t="inlineStr">
        <is>
          <t>Professional</t>
        </is>
      </c>
      <c r="M3303" s="42" t="inlineStr">
        <is>
          <t>Annelies de Groot</t>
        </is>
      </c>
    </row>
    <row r="3304">
      <c r="A3304" s="42" t="inlineStr">
        <is>
          <t>Zachary Doenges</t>
        </is>
      </c>
      <c r="B3304" s="42" t="inlineStr">
        <is>
          <t>6/14/26 - 7/11/26</t>
        </is>
      </c>
      <c r="C3304" s="41" t="n">
        <v>1.0071</v>
      </c>
      <c r="D3304" s="41" t="n">
        <v>1.5741</v>
      </c>
      <c r="E3304" s="41" t="n">
        <v>1</v>
      </c>
      <c r="F3304" s="41" t="n">
        <v>0.988</v>
      </c>
      <c r="G3304" s="41" t="n">
        <v>0.84</v>
      </c>
      <c r="H3304" s="42" t="n">
        <v>310</v>
      </c>
      <c r="I3304" s="55" t="inlineStr">
        <is>
          <t>11/13</t>
        </is>
      </c>
      <c r="J3304" s="41" t="n">
        <v>0.846153846</v>
      </c>
      <c r="K3304" s="42" t="inlineStr">
        <is>
          <t>Premium</t>
        </is>
      </c>
      <c r="L3304" s="42" t="inlineStr">
        <is>
          <t>Professional</t>
        </is>
      </c>
      <c r="M3304" s="42" t="inlineStr">
        <is>
          <t>Ian Plamondon</t>
        </is>
      </c>
    </row>
    <row r="3305">
      <c r="A3305" s="42" t="inlineStr">
        <is>
          <t>Zack Anthony</t>
        </is>
      </c>
      <c r="B3305" s="42" t="inlineStr">
        <is>
          <t>6/14/26 - 7/11/26</t>
        </is>
      </c>
      <c r="C3305" s="41" t="n">
        <v>0.7375</v>
      </c>
      <c r="D3305" s="41" t="n">
        <v>1.1776</v>
      </c>
      <c r="E3305" s="41" t="n">
        <v>0.974025974</v>
      </c>
      <c r="F3305" s="41" t="n">
        <v>0.98</v>
      </c>
      <c r="G3305" s="41" t="n">
        <v>0.461538462</v>
      </c>
      <c r="H3305" s="42" t="n">
        <v>88</v>
      </c>
      <c r="I3305" s="55" t="inlineStr">
        <is>
          <t>7/9</t>
        </is>
      </c>
      <c r="J3305" s="41" t="n">
        <v>0.777777778</v>
      </c>
      <c r="K3305" s="42" t="inlineStr">
        <is>
          <t>Distinguished</t>
        </is>
      </c>
      <c r="L3305" s="42" t="inlineStr">
        <is>
          <t>Professional</t>
        </is>
      </c>
      <c r="M3305" s="42" t="inlineStr">
        <is>
          <t>Kristin Haase-Alvey</t>
        </is>
      </c>
    </row>
    <row r="3306">
      <c r="A3306" s="42" t="inlineStr">
        <is>
          <t>Zack Robertson</t>
        </is>
      </c>
      <c r="B3306" s="42" t="inlineStr">
        <is>
          <t>6/14/26 - 7/11/26</t>
        </is>
      </c>
      <c r="C3306" s="41" t="n">
        <v>0.1375</v>
      </c>
      <c r="D3306" s="41" t="n">
        <v>0.3783</v>
      </c>
      <c r="E3306" s="41" t="n">
        <v>1</v>
      </c>
      <c r="F3306" s="41" t="n">
        <v>0.9</v>
      </c>
      <c r="G3306" s="41" t="n">
        <v>0.8</v>
      </c>
      <c r="H3306" s="42" t="n">
        <v>77</v>
      </c>
      <c r="I3306" s="55" t="inlineStr">
        <is>
          <t>4/7</t>
        </is>
      </c>
      <c r="J3306" s="41" t="n">
        <v>0.571428571</v>
      </c>
      <c r="K3306" s="42" t="inlineStr">
        <is>
          <t>Distinguished</t>
        </is>
      </c>
      <c r="L3306" s="42" t="inlineStr">
        <is>
          <t>Professional</t>
        </is>
      </c>
      <c r="M3306" s="42" t="inlineStr">
        <is>
          <t>Kristin Haase-Alvey</t>
        </is>
      </c>
    </row>
    <row r="3307">
      <c r="A3307" s="42" t="inlineStr">
        <is>
          <t>Zoe Shanley</t>
        </is>
      </c>
      <c r="B3307" s="42" t="inlineStr">
        <is>
          <t>6/14/26 - 7/11/26</t>
        </is>
      </c>
      <c r="C3307" s="41" t="n">
        <v>0.75</v>
      </c>
      <c r="D3307" s="41" t="n">
        <v>0.9913</v>
      </c>
      <c r="E3307" s="41" t="n">
        <v>0.980582524</v>
      </c>
      <c r="F3307" s="41" t="n">
        <v>1</v>
      </c>
      <c r="G3307" s="41" t="n">
        <v>0.666666667</v>
      </c>
      <c r="H3307" s="42" t="n">
        <v>197</v>
      </c>
      <c r="I3307" s="55" t="inlineStr">
        <is>
          <t>13/15</t>
        </is>
      </c>
      <c r="J3307" s="41" t="n">
        <v>0.8666666669999999</v>
      </c>
      <c r="K3307" s="42" t="inlineStr">
        <is>
          <t>Distinguished</t>
        </is>
      </c>
      <c r="L3307" s="42" t="inlineStr">
        <is>
          <t>Professional</t>
        </is>
      </c>
      <c r="M3307" s="42" t="inlineStr">
        <is>
          <t>Ian Plamondon</t>
        </is>
      </c>
    </row>
    <row r="3308">
      <c r="A3308" t="inlineStr">
        <is>
          <t>Aaron Schneberger</t>
        </is>
      </c>
      <c r="B3308" t="inlineStr">
        <is>
          <t>7/12/26 - 8/8/26</t>
        </is>
      </c>
      <c r="C3308" t="n">
        <v>0.3667</v>
      </c>
      <c r="D3308" t="n">
        <v>0.7681</v>
      </c>
      <c r="E3308" t="n">
        <v>1</v>
      </c>
      <c r="F3308" t="n">
        <v>0.667</v>
      </c>
      <c r="G3308" t="n">
        <v>0.7142857142857143</v>
      </c>
      <c r="H3308" t="n">
        <v>43</v>
      </c>
      <c r="J3308" t="n">
        <v>0</v>
      </c>
      <c r="K3308" t="inlineStr">
        <is>
          <t>Distinguished</t>
        </is>
      </c>
      <c r="M3308" t="inlineStr">
        <is>
          <t>Ian Plamondon</t>
        </is>
      </c>
      <c r="N3308" t="n">
        <v>0.25</v>
      </c>
    </row>
    <row r="3309">
      <c r="A3309" t="inlineStr">
        <is>
          <t>Akeema Williams</t>
        </is>
      </c>
      <c r="B3309" t="inlineStr">
        <is>
          <t>7/12/26 - 8/8/26</t>
        </is>
      </c>
      <c r="C3309" t="n">
        <v>0.8917</v>
      </c>
      <c r="D3309" t="n">
        <v>1</v>
      </c>
      <c r="E3309" t="n">
        <v>0.9896907216494846</v>
      </c>
      <c r="F3309" t="n">
        <v>1</v>
      </c>
      <c r="G3309" t="n">
        <v>0.875</v>
      </c>
      <c r="H3309" t="n">
        <v>148</v>
      </c>
      <c r="K3309" t="inlineStr">
        <is>
          <t>Premium</t>
        </is>
      </c>
      <c r="M3309" t="inlineStr">
        <is>
          <t>Geoff St. Marie</t>
        </is>
      </c>
      <c r="N3309" t="n">
        <v>0.96875</v>
      </c>
      <c r="O3309" t="n">
        <v>9.944444444444445</v>
      </c>
    </row>
    <row r="3310">
      <c r="A3310" t="inlineStr">
        <is>
          <t>Alex Small</t>
        </is>
      </c>
      <c r="B3310" t="inlineStr">
        <is>
          <t>7/12/26 - 8/8/26</t>
        </is>
      </c>
      <c r="C3310" t="n">
        <v>0.8542</v>
      </c>
      <c r="D3310" t="n">
        <v>1.3086</v>
      </c>
      <c r="E3310" t="n">
        <v>1</v>
      </c>
      <c r="F3310" t="n">
        <v>1</v>
      </c>
      <c r="G3310" t="n">
        <v>0.3333333333333333</v>
      </c>
      <c r="H3310" t="n">
        <v>19</v>
      </c>
      <c r="J3310" t="n">
        <v>1</v>
      </c>
      <c r="K3310" t="inlineStr">
        <is>
          <t>Premium</t>
        </is>
      </c>
      <c r="M3310" t="inlineStr">
        <is>
          <t>Ela Cross</t>
        </is>
      </c>
      <c r="N3310" t="n">
        <v>1</v>
      </c>
      <c r="O3310" t="n">
        <v>7</v>
      </c>
    </row>
    <row r="3311">
      <c r="A3311" t="inlineStr">
        <is>
          <t>Alexa Pinera</t>
        </is>
      </c>
      <c r="B3311" t="inlineStr">
        <is>
          <t>7/12/26 - 8/8/26</t>
        </is>
      </c>
      <c r="C3311" t="n">
        <v>0.6</v>
      </c>
      <c r="D3311" t="n">
        <v>1.5833</v>
      </c>
      <c r="E3311" t="n">
        <v>1</v>
      </c>
      <c r="F3311" t="n">
        <v>0.974</v>
      </c>
      <c r="G3311" t="n">
        <v>0.625</v>
      </c>
      <c r="H3311" t="n">
        <v>30</v>
      </c>
      <c r="J3311" t="n">
        <v>1</v>
      </c>
      <c r="K3311" t="inlineStr">
        <is>
          <t>Premium</t>
        </is>
      </c>
      <c r="M3311" t="inlineStr">
        <is>
          <t>Ian Plamondon</t>
        </is>
      </c>
      <c r="N3311" t="n">
        <v>1</v>
      </c>
      <c r="O3311" t="n">
        <v>8</v>
      </c>
    </row>
    <row r="3312">
      <c r="A3312" t="inlineStr">
        <is>
          <t>Alexis Boucher</t>
        </is>
      </c>
      <c r="B3312" t="inlineStr">
        <is>
          <t>7/12/26 - 8/8/26</t>
        </is>
      </c>
      <c r="C3312" t="n">
        <v>0.7042</v>
      </c>
      <c r="D3312" t="n">
        <v>0.9145</v>
      </c>
      <c r="E3312" t="n">
        <v>0.986842105263158</v>
      </c>
      <c r="F3312" t="n">
        <v>0.84</v>
      </c>
      <c r="G3312" t="n">
        <v>0.9090909090909092</v>
      </c>
      <c r="H3312" t="n">
        <v>6</v>
      </c>
      <c r="J3312" t="n">
        <v>0.6666666666666666</v>
      </c>
      <c r="K3312" t="inlineStr">
        <is>
          <t>Distinguished</t>
        </is>
      </c>
      <c r="M3312" t="inlineStr">
        <is>
          <t>Geoff St. Marie</t>
        </is>
      </c>
      <c r="N3312" t="n">
        <v>0.9583333333333334</v>
      </c>
      <c r="O3312" t="n">
        <v>6.5</v>
      </c>
    </row>
    <row r="3313">
      <c r="A3313" t="inlineStr">
        <is>
          <t>Allie Myers Gregory</t>
        </is>
      </c>
      <c r="B3313" t="inlineStr">
        <is>
          <t>7/12/26 - 8/8/26</t>
        </is>
      </c>
      <c r="C3313" t="n">
        <v>0</v>
      </c>
      <c r="D3313" t="n">
        <v>0.6118</v>
      </c>
      <c r="H3313" t="n">
        <v>0</v>
      </c>
      <c r="K3313" t="inlineStr">
        <is>
          <t>Distinguished</t>
        </is>
      </c>
      <c r="M3313" t="inlineStr">
        <is>
          <t>Katherine Marino</t>
        </is>
      </c>
    </row>
    <row r="3314">
      <c r="A3314" t="inlineStr">
        <is>
          <t>Allison Peck</t>
        </is>
      </c>
      <c r="B3314" t="inlineStr">
        <is>
          <t>7/12/26 - 8/8/26</t>
        </is>
      </c>
      <c r="C3314" t="n">
        <v>0.5104</v>
      </c>
      <c r="D3314" t="n">
        <v>0.7969000000000001</v>
      </c>
      <c r="E3314" t="n">
        <v>1</v>
      </c>
      <c r="F3314" t="n">
        <v>1</v>
      </c>
      <c r="G3314" t="n">
        <v>1</v>
      </c>
      <c r="H3314" t="n">
        <v>0</v>
      </c>
      <c r="K3314" t="inlineStr">
        <is>
          <t>Distinguished</t>
        </is>
      </c>
      <c r="M3314" t="inlineStr">
        <is>
          <t>Kristin Haase-Alvey</t>
        </is>
      </c>
      <c r="N3314" t="n">
        <v>1</v>
      </c>
      <c r="O3314" t="n">
        <v>8.5</v>
      </c>
    </row>
    <row r="3315">
      <c r="A3315" t="inlineStr">
        <is>
          <t>Amber Maldonado</t>
        </is>
      </c>
      <c r="B3315" t="inlineStr">
        <is>
          <t>7/12/26 - 8/8/26</t>
        </is>
      </c>
      <c r="C3315" t="n">
        <v>0.9792</v>
      </c>
      <c r="D3315" t="n">
        <v>1.0987</v>
      </c>
      <c r="E3315" t="n">
        <v>0.9032258064516128</v>
      </c>
      <c r="F3315" t="n">
        <v>0.974</v>
      </c>
      <c r="G3315" t="n">
        <v>1</v>
      </c>
      <c r="H3315" t="n">
        <v>68</v>
      </c>
      <c r="J3315" t="n">
        <v>0.7272727272727273</v>
      </c>
      <c r="K3315" t="inlineStr">
        <is>
          <t>Distinguished</t>
        </is>
      </c>
      <c r="M3315" t="inlineStr">
        <is>
          <t>Annelies de Groot</t>
        </is>
      </c>
      <c r="N3315" t="n">
        <v>1</v>
      </c>
      <c r="O3315" t="n">
        <v>6.920634920634921</v>
      </c>
    </row>
    <row r="3316">
      <c r="A3316" t="inlineStr">
        <is>
          <t>Amelia Sain</t>
        </is>
      </c>
      <c r="B3316" t="inlineStr">
        <is>
          <t>7/12/26 - 8/8/26</t>
        </is>
      </c>
      <c r="C3316" t="n">
        <v>0.8083</v>
      </c>
      <c r="D3316" t="n">
        <v>1.1875</v>
      </c>
      <c r="E3316" t="n">
        <v>1</v>
      </c>
      <c r="F3316" t="n">
        <v>0.8149999999999999</v>
      </c>
      <c r="G3316" t="n">
        <v>0.0588235294117647</v>
      </c>
      <c r="H3316" t="n">
        <v>166</v>
      </c>
      <c r="J3316" t="n">
        <v>0</v>
      </c>
      <c r="K3316" t="inlineStr">
        <is>
          <t>Premium</t>
        </is>
      </c>
      <c r="M3316" t="inlineStr">
        <is>
          <t>Geoff St. Marie</t>
        </is>
      </c>
      <c r="N3316" t="n">
        <v>1</v>
      </c>
      <c r="O3316" t="n">
        <v>7</v>
      </c>
    </row>
    <row r="3317">
      <c r="A3317" t="inlineStr">
        <is>
          <t>Ana Heiser</t>
        </is>
      </c>
      <c r="B3317" t="inlineStr">
        <is>
          <t>7/12/26 - 8/8/26</t>
        </is>
      </c>
      <c r="C3317" t="n">
        <v>0.675</v>
      </c>
      <c r="D3317" t="n">
        <v>1.2313</v>
      </c>
      <c r="E3317" t="n">
        <v>0.9733333333333334</v>
      </c>
      <c r="F3317" t="n">
        <v>0.979</v>
      </c>
      <c r="G3317" t="n">
        <v>1</v>
      </c>
      <c r="H3317" t="n">
        <v>92</v>
      </c>
      <c r="J3317" t="n">
        <v>1</v>
      </c>
      <c r="K3317" t="inlineStr">
        <is>
          <t>Distinguished</t>
        </is>
      </c>
      <c r="M3317" t="inlineStr">
        <is>
          <t>Kristin Haase-Alvey</t>
        </is>
      </c>
      <c r="N3317" t="n">
        <v>0.975</v>
      </c>
      <c r="O3317" t="n">
        <v>6.75925925925926</v>
      </c>
    </row>
    <row r="3318">
      <c r="A3318" t="inlineStr">
        <is>
          <t>Andres Jarquin</t>
        </is>
      </c>
      <c r="B3318" t="inlineStr">
        <is>
          <t>7/12/26 - 8/8/26</t>
        </is>
      </c>
      <c r="C3318" t="n">
        <v>0.7</v>
      </c>
      <c r="D3318" t="n">
        <v>1.0362</v>
      </c>
      <c r="E3318" t="n">
        <v>1</v>
      </c>
      <c r="F3318" t="n">
        <v>1</v>
      </c>
      <c r="G3318" t="n">
        <v>0.7142857142857143</v>
      </c>
      <c r="H3318" t="n">
        <v>72</v>
      </c>
      <c r="J3318" t="n">
        <v>0.1428571428571428</v>
      </c>
      <c r="K3318" t="inlineStr">
        <is>
          <t>Distinguished</t>
        </is>
      </c>
      <c r="M3318" t="inlineStr">
        <is>
          <t>Ian Plamondon</t>
        </is>
      </c>
      <c r="N3318" t="n">
        <v>0.9821428571428572</v>
      </c>
    </row>
    <row r="3319">
      <c r="A3319" t="inlineStr">
        <is>
          <t>Andrew Brown</t>
        </is>
      </c>
      <c r="B3319" t="inlineStr">
        <is>
          <t>7/12/26 - 8/8/26</t>
        </is>
      </c>
      <c r="C3319" t="n">
        <v>1.2458</v>
      </c>
      <c r="D3319" t="n">
        <v>1.2533</v>
      </c>
      <c r="E3319" t="n">
        <v>1</v>
      </c>
      <c r="F3319" t="n">
        <v>1</v>
      </c>
      <c r="G3319" t="n">
        <v>0.52</v>
      </c>
      <c r="H3319" t="n">
        <v>130</v>
      </c>
      <c r="J3319" t="n">
        <v>1</v>
      </c>
      <c r="K3319" t="inlineStr">
        <is>
          <t>Distinguished</t>
        </is>
      </c>
      <c r="M3319" t="inlineStr">
        <is>
          <t>Geoff St. Marie</t>
        </is>
      </c>
      <c r="N3319" t="n">
        <v>0.9766304347826088</v>
      </c>
      <c r="O3319" t="n">
        <v>8.041666666666666</v>
      </c>
    </row>
    <row r="3320">
      <c r="A3320" t="inlineStr">
        <is>
          <t>Andrew Frohmader</t>
        </is>
      </c>
      <c r="B3320" t="inlineStr">
        <is>
          <t>7/12/26 - 8/8/26</t>
        </is>
      </c>
      <c r="C3320" t="n">
        <v>0</v>
      </c>
      <c r="D3320" t="n">
        <v>0.3109</v>
      </c>
      <c r="H3320" t="n">
        <v>0</v>
      </c>
      <c r="K3320" t="inlineStr">
        <is>
          <t>Distinguished</t>
        </is>
      </c>
      <c r="M3320" t="inlineStr">
        <is>
          <t>Katherine Marino</t>
        </is>
      </c>
    </row>
    <row r="3321">
      <c r="A3321" t="inlineStr">
        <is>
          <t>Andrew Gehlot</t>
        </is>
      </c>
      <c r="B3321" t="inlineStr">
        <is>
          <t>7/12/26 - 8/8/26</t>
        </is>
      </c>
      <c r="C3321" t="n">
        <v>0.5375</v>
      </c>
      <c r="D3321" t="n">
        <v>0.7484</v>
      </c>
      <c r="E3321" t="n">
        <v>0.9193548387096774</v>
      </c>
      <c r="F3321" t="n">
        <v>0.9429999999999999</v>
      </c>
      <c r="G3321" t="n">
        <v>0.75</v>
      </c>
      <c r="H3321" t="n">
        <v>54</v>
      </c>
      <c r="J3321" t="n">
        <v>0.5</v>
      </c>
      <c r="K3321" t="inlineStr">
        <is>
          <t>Premium</t>
        </is>
      </c>
      <c r="M3321" t="inlineStr">
        <is>
          <t>Ela Cross</t>
        </is>
      </c>
      <c r="N3321" t="n">
        <v>0.9444444444444444</v>
      </c>
      <c r="O3321" t="n">
        <v>5.875</v>
      </c>
    </row>
    <row r="3322">
      <c r="A3322" t="inlineStr">
        <is>
          <t>Andrew League</t>
        </is>
      </c>
      <c r="B3322" t="inlineStr">
        <is>
          <t>7/12/26 - 8/8/26</t>
        </is>
      </c>
      <c r="C3322" t="n">
        <v>0.4833</v>
      </c>
      <c r="D3322" t="n">
        <v>0.7911</v>
      </c>
      <c r="E3322" t="n">
        <v>1</v>
      </c>
      <c r="F3322" t="n">
        <v>0.921</v>
      </c>
      <c r="G3322" t="n">
        <v>0.8823529411764706</v>
      </c>
      <c r="H3322" t="n">
        <v>73</v>
      </c>
      <c r="J3322" t="n">
        <v>0.25</v>
      </c>
      <c r="K3322" t="inlineStr">
        <is>
          <t>Distinguished</t>
        </is>
      </c>
      <c r="M3322" t="inlineStr">
        <is>
          <t>Ian Plamondon</t>
        </is>
      </c>
      <c r="N3322" t="n">
        <v>0.9629629629629628</v>
      </c>
      <c r="O3322" t="n">
        <v>5.333333333333333</v>
      </c>
    </row>
    <row r="3323">
      <c r="A3323" t="inlineStr">
        <is>
          <t>Anna Jasko</t>
        </is>
      </c>
      <c r="B3323" t="inlineStr">
        <is>
          <t>7/12/26 - 8/8/26</t>
        </is>
      </c>
      <c r="C3323" t="n">
        <v>0.95</v>
      </c>
      <c r="D3323" t="n">
        <v>1.0822</v>
      </c>
      <c r="E3323" t="n">
        <v>1</v>
      </c>
      <c r="F3323" t="n">
        <v>0.9320000000000001</v>
      </c>
      <c r="G3323" t="n">
        <v>0.8421052631578947</v>
      </c>
      <c r="H3323" t="n">
        <v>256</v>
      </c>
      <c r="J3323" t="n">
        <v>1</v>
      </c>
      <c r="K3323" t="inlineStr">
        <is>
          <t>Distinguished</t>
        </is>
      </c>
      <c r="M3323" t="inlineStr">
        <is>
          <t>Ela Cross</t>
        </is>
      </c>
      <c r="N3323" t="n">
        <v>0.9791666666666666</v>
      </c>
      <c r="O3323" t="n">
        <v>6.703703703703703</v>
      </c>
    </row>
    <row r="3324">
      <c r="A3324" t="inlineStr">
        <is>
          <t>Annie Sylvester</t>
        </is>
      </c>
      <c r="B3324" t="inlineStr">
        <is>
          <t>7/12/26 - 8/8/26</t>
        </is>
      </c>
      <c r="C3324" t="n">
        <v>0.5607</v>
      </c>
      <c r="D3324" t="n">
        <v>0.6627999999999999</v>
      </c>
      <c r="E3324" t="n">
        <v>1</v>
      </c>
      <c r="F3324" t="n">
        <v>1</v>
      </c>
      <c r="G3324" t="n">
        <v>0.65</v>
      </c>
      <c r="H3324" t="n">
        <v>131</v>
      </c>
      <c r="J3324" t="n">
        <v>1</v>
      </c>
      <c r="K3324" t="inlineStr">
        <is>
          <t>Distinguished</t>
        </is>
      </c>
      <c r="M3324" t="inlineStr">
        <is>
          <t>Ela Cross</t>
        </is>
      </c>
      <c r="N3324" t="n">
        <v>0.9722222222222222</v>
      </c>
      <c r="O3324" t="n">
        <v>3.785714285714286</v>
      </c>
    </row>
    <row r="3325">
      <c r="A3325" t="inlineStr">
        <is>
          <t>Armand Brouty</t>
        </is>
      </c>
      <c r="B3325" t="inlineStr">
        <is>
          <t>7/12/26 - 8/8/26</t>
        </is>
      </c>
      <c r="C3325" t="n">
        <v>1.0792</v>
      </c>
      <c r="D3325" t="n">
        <v>1.3898</v>
      </c>
      <c r="E3325" t="n">
        <v>0.96</v>
      </c>
      <c r="F3325" t="n">
        <v>1</v>
      </c>
      <c r="G3325" t="n">
        <v>1</v>
      </c>
      <c r="H3325" t="n">
        <v>71</v>
      </c>
      <c r="J3325" t="n">
        <v>1</v>
      </c>
      <c r="K3325" t="inlineStr">
        <is>
          <t>Distinguished</t>
        </is>
      </c>
      <c r="M3325" t="inlineStr">
        <is>
          <t>Geoff St. Marie</t>
        </is>
      </c>
      <c r="N3325" t="n">
        <v>1</v>
      </c>
      <c r="O3325" t="n">
        <v>7.116666666666667</v>
      </c>
    </row>
    <row r="3326">
      <c r="A3326" t="inlineStr">
        <is>
          <t>Ashley Richardson</t>
        </is>
      </c>
      <c r="B3326" t="inlineStr">
        <is>
          <t>7/12/26 - 8/8/26</t>
        </is>
      </c>
      <c r="C3326" t="n">
        <v>0</v>
      </c>
      <c r="D3326" t="n">
        <v>0.2384</v>
      </c>
      <c r="H3326" t="n">
        <v>0</v>
      </c>
      <c r="K3326" t="inlineStr">
        <is>
          <t>Distinguished</t>
        </is>
      </c>
      <c r="M3326" t="inlineStr">
        <is>
          <t>Katherine Marino</t>
        </is>
      </c>
    </row>
    <row r="3327">
      <c r="A3327" t="inlineStr">
        <is>
          <t>Ashley Scorsone</t>
        </is>
      </c>
      <c r="B3327" t="inlineStr">
        <is>
          <t>7/12/26 - 8/8/26</t>
        </is>
      </c>
      <c r="C3327" t="n">
        <v>1.125</v>
      </c>
      <c r="D3327" t="n">
        <v>1.0843</v>
      </c>
      <c r="E3327" t="n">
        <v>0.9370629370629372</v>
      </c>
      <c r="F3327" t="n">
        <v>0.9389999999999999</v>
      </c>
      <c r="G3327" t="n">
        <v>1</v>
      </c>
      <c r="H3327" t="n">
        <v>211</v>
      </c>
      <c r="J3327" t="n">
        <v>0.25</v>
      </c>
      <c r="K3327" t="inlineStr">
        <is>
          <t>Premium</t>
        </is>
      </c>
      <c r="M3327" t="inlineStr">
        <is>
          <t>Geoff St. Marie</t>
        </is>
      </c>
      <c r="N3327" t="n">
        <v>0.988095238095238</v>
      </c>
      <c r="O3327" t="n">
        <v>6.701754385964912</v>
      </c>
    </row>
    <row r="3328">
      <c r="A3328" t="inlineStr">
        <is>
          <t>Autumn Reed</t>
        </is>
      </c>
      <c r="B3328" t="inlineStr">
        <is>
          <t>7/12/26 - 8/8/26</t>
        </is>
      </c>
      <c r="C3328" t="n">
        <v>0.4125</v>
      </c>
      <c r="D3328" t="n">
        <v>1.2266</v>
      </c>
      <c r="E3328" t="n">
        <v>1</v>
      </c>
      <c r="F3328" t="n">
        <v>0.955</v>
      </c>
      <c r="G3328" t="n">
        <v>0.8333333333333334</v>
      </c>
      <c r="H3328" t="n">
        <v>72</v>
      </c>
      <c r="J3328" t="n">
        <v>1</v>
      </c>
      <c r="K3328" t="inlineStr">
        <is>
          <t>Advanced</t>
        </is>
      </c>
      <c r="M3328" t="inlineStr">
        <is>
          <t>Geoff St. Marie</t>
        </is>
      </c>
      <c r="N3328" t="n">
        <v>0.95</v>
      </c>
      <c r="O3328" t="n">
        <v>7</v>
      </c>
    </row>
    <row r="3329">
      <c r="A3329" t="inlineStr">
        <is>
          <t>Ayman Smoot</t>
        </is>
      </c>
      <c r="B3329" t="inlineStr">
        <is>
          <t>7/12/26 - 8/8/26</t>
        </is>
      </c>
      <c r="C3329" t="n">
        <v>1.1125</v>
      </c>
      <c r="D3329" t="n">
        <v>1.2526</v>
      </c>
      <c r="E3329" t="n">
        <v>0.9397590361445785</v>
      </c>
      <c r="F3329" t="n">
        <v>0.617</v>
      </c>
      <c r="G3329" t="n">
        <v>0.7857142857142857</v>
      </c>
      <c r="H3329" t="n">
        <v>103</v>
      </c>
      <c r="J3329" t="n">
        <v>1</v>
      </c>
      <c r="K3329" t="inlineStr">
        <is>
          <t>Distinguished</t>
        </is>
      </c>
      <c r="M3329" t="inlineStr">
        <is>
          <t>Annelies de Groot</t>
        </is>
      </c>
      <c r="N3329" t="n">
        <v>0.9393939393939394</v>
      </c>
      <c r="O3329" t="n">
        <v>9.375</v>
      </c>
    </row>
    <row r="3330">
      <c r="A3330" t="inlineStr">
        <is>
          <t>Ben Taylor</t>
        </is>
      </c>
      <c r="B3330" t="inlineStr">
        <is>
          <t>7/12/26 - 8/8/26</t>
        </is>
      </c>
      <c r="C3330" t="n">
        <v>0.8583</v>
      </c>
      <c r="D3330" t="n">
        <v>1.3771</v>
      </c>
      <c r="E3330" t="n">
        <v>1</v>
      </c>
      <c r="F3330" t="n">
        <v>0.982</v>
      </c>
      <c r="G3330" t="n">
        <v>1</v>
      </c>
      <c r="H3330" t="n">
        <v>50.5</v>
      </c>
      <c r="J3330" t="n">
        <v>1</v>
      </c>
      <c r="K3330" t="inlineStr">
        <is>
          <t>Premium</t>
        </is>
      </c>
      <c r="M3330" t="inlineStr">
        <is>
          <t>Kristin Haase-Alvey</t>
        </is>
      </c>
      <c r="N3330" t="n">
        <v>1</v>
      </c>
      <c r="O3330" t="n">
        <v>6.75</v>
      </c>
    </row>
    <row r="3331">
      <c r="A3331" t="inlineStr">
        <is>
          <t>Brandon Engle</t>
        </is>
      </c>
      <c r="B3331" t="inlineStr">
        <is>
          <t>7/12/26 - 8/8/26</t>
        </is>
      </c>
      <c r="C3331" t="n">
        <v>0.8571</v>
      </c>
      <c r="D3331" t="n">
        <v>1.3304</v>
      </c>
      <c r="E3331" t="n">
        <v>1</v>
      </c>
      <c r="F3331" t="n">
        <v>1</v>
      </c>
      <c r="G3331" t="n">
        <v>0.7142857142857143</v>
      </c>
      <c r="H3331" t="n">
        <v>126</v>
      </c>
      <c r="J3331" t="n">
        <v>0.75</v>
      </c>
      <c r="K3331" t="inlineStr">
        <is>
          <t>Distinguished</t>
        </is>
      </c>
      <c r="M3331" t="inlineStr">
        <is>
          <t>Annelies de Groot</t>
        </is>
      </c>
      <c r="N3331" t="n">
        <v>0.9861111111111112</v>
      </c>
      <c r="O3331" t="n">
        <v>9.125</v>
      </c>
    </row>
    <row r="3332">
      <c r="A3332" t="inlineStr">
        <is>
          <t>Brandon Strickland</t>
        </is>
      </c>
      <c r="B3332" t="inlineStr">
        <is>
          <t>7/12/26 - 8/8/26</t>
        </is>
      </c>
      <c r="H3332" t="n">
        <v>0</v>
      </c>
      <c r="K3332" t="inlineStr">
        <is>
          <t>Distinguished</t>
        </is>
      </c>
      <c r="M3332" t="inlineStr">
        <is>
          <t>Katherine Marino</t>
        </is>
      </c>
    </row>
    <row r="3333">
      <c r="A3333" t="inlineStr">
        <is>
          <t>Breille Duncan</t>
        </is>
      </c>
      <c r="B3333" t="inlineStr">
        <is>
          <t>7/12/26 - 8/8/26</t>
        </is>
      </c>
      <c r="C3333" t="n">
        <v>0.2429</v>
      </c>
      <c r="D3333" t="n">
        <v>0.4826</v>
      </c>
      <c r="E3333" t="n">
        <v>0.9393939393939394</v>
      </c>
      <c r="F3333" t="n">
        <v>0.706</v>
      </c>
      <c r="G3333" t="n">
        <v>0</v>
      </c>
      <c r="H3333" t="n">
        <v>12</v>
      </c>
      <c r="J3333" t="n">
        <v>0.8333333333333334</v>
      </c>
      <c r="K3333" t="inlineStr">
        <is>
          <t>Distinguished</t>
        </is>
      </c>
      <c r="M3333" t="inlineStr">
        <is>
          <t>Nikki Pencak</t>
        </is>
      </c>
      <c r="N3333" t="n">
        <v>1</v>
      </c>
    </row>
    <row r="3334">
      <c r="A3334" t="inlineStr">
        <is>
          <t>Brian Cohen</t>
        </is>
      </c>
      <c r="B3334" t="inlineStr">
        <is>
          <t>7/12/26 - 8/8/26</t>
        </is>
      </c>
      <c r="C3334" t="n">
        <v>1</v>
      </c>
      <c r="D3334" t="n">
        <v>0.9609</v>
      </c>
      <c r="E3334" t="n">
        <v>0.9583333333333334</v>
      </c>
      <c r="F3334" t="n">
        <v>0.9389999999999999</v>
      </c>
      <c r="G3334" t="n">
        <v>1</v>
      </c>
      <c r="H3334" t="n">
        <v>42</v>
      </c>
      <c r="K3334" t="inlineStr">
        <is>
          <t>Premium</t>
        </is>
      </c>
      <c r="M3334" t="inlineStr">
        <is>
          <t>Annelies de Groot</t>
        </is>
      </c>
      <c r="N3334" t="n">
        <v>1</v>
      </c>
      <c r="O3334" t="n">
        <v>7.75</v>
      </c>
    </row>
    <row r="3335">
      <c r="A3335" t="inlineStr">
        <is>
          <t>Brian James</t>
        </is>
      </c>
      <c r="B3335" t="inlineStr">
        <is>
          <t>7/12/26 - 8/8/26</t>
        </is>
      </c>
      <c r="C3335" t="n">
        <v>1.0167</v>
      </c>
      <c r="D3335" t="n">
        <v>0.8405</v>
      </c>
      <c r="E3335" t="n">
        <v>1</v>
      </c>
      <c r="F3335" t="n">
        <v>0.986</v>
      </c>
      <c r="G3335" t="n">
        <v>0</v>
      </c>
      <c r="H3335" t="n">
        <v>250.5</v>
      </c>
      <c r="J3335" t="n">
        <v>0</v>
      </c>
      <c r="K3335" t="inlineStr">
        <is>
          <t>Distinguished</t>
        </is>
      </c>
      <c r="M3335" t="inlineStr">
        <is>
          <t>Annelies de Groot</t>
        </is>
      </c>
      <c r="N3335" t="n">
        <v>0.988095238095238</v>
      </c>
    </row>
    <row r="3336">
      <c r="A3336" t="inlineStr">
        <is>
          <t>Brian Johnson</t>
        </is>
      </c>
      <c r="B3336" t="inlineStr">
        <is>
          <t>7/12/26 - 8/8/26</t>
        </is>
      </c>
      <c r="C3336" t="n">
        <v>0.75</v>
      </c>
      <c r="D3336" t="n">
        <v>1.0576</v>
      </c>
      <c r="E3336" t="n">
        <v>0.9873417721518988</v>
      </c>
      <c r="F3336" t="n">
        <v>1</v>
      </c>
      <c r="G3336" t="n">
        <v>1</v>
      </c>
      <c r="H3336" t="n">
        <v>134</v>
      </c>
      <c r="J3336" t="n">
        <v>0.6666666666666666</v>
      </c>
      <c r="K3336" t="inlineStr">
        <is>
          <t>Distinguished</t>
        </is>
      </c>
      <c r="M3336" t="inlineStr">
        <is>
          <t>Kristin Haase-Alvey</t>
        </is>
      </c>
      <c r="N3336" t="n">
        <v>0.962912087912088</v>
      </c>
      <c r="O3336" t="n">
        <v>7</v>
      </c>
    </row>
    <row r="3337">
      <c r="A3337" t="inlineStr">
        <is>
          <t>Brittany Drew</t>
        </is>
      </c>
      <c r="B3337" t="inlineStr">
        <is>
          <t>7/12/26 - 8/8/26</t>
        </is>
      </c>
      <c r="C3337" t="n">
        <v>0.6083</v>
      </c>
      <c r="D3337" t="n">
        <v>0.6711</v>
      </c>
      <c r="E3337" t="n">
        <v>1</v>
      </c>
      <c r="F3337" t="n">
        <v>1</v>
      </c>
      <c r="G3337" t="n">
        <v>0.7</v>
      </c>
      <c r="H3337" t="n">
        <v>118</v>
      </c>
      <c r="J3337" t="n">
        <v>1</v>
      </c>
      <c r="K3337" t="inlineStr">
        <is>
          <t>Distinguished</t>
        </is>
      </c>
      <c r="M3337" t="inlineStr">
        <is>
          <t>Ela Cross</t>
        </is>
      </c>
      <c r="N3337" t="n">
        <v>0.96875</v>
      </c>
      <c r="O3337" t="n">
        <v>9.333333333333332</v>
      </c>
    </row>
    <row r="3338">
      <c r="A3338" t="inlineStr">
        <is>
          <t>Brock Dilley</t>
        </is>
      </c>
      <c r="B3338" t="inlineStr">
        <is>
          <t>7/12/26 - 8/8/26</t>
        </is>
      </c>
      <c r="C3338" t="n">
        <v>1.1036</v>
      </c>
      <c r="D3338" t="n">
        <v>1.0407</v>
      </c>
      <c r="E3338" t="n">
        <v>1</v>
      </c>
      <c r="F3338" t="n">
        <v>0.973</v>
      </c>
      <c r="G3338" t="n">
        <v>0.8333333333333334</v>
      </c>
      <c r="H3338" t="n">
        <v>232</v>
      </c>
      <c r="J3338" t="n">
        <v>0.9</v>
      </c>
      <c r="K3338" t="inlineStr">
        <is>
          <t>Distinguished</t>
        </is>
      </c>
      <c r="M3338" t="inlineStr">
        <is>
          <t>Annelies de Groot</t>
        </is>
      </c>
      <c r="N3338" t="n">
        <v>0.974342105263158</v>
      </c>
      <c r="O3338" t="n">
        <v>7</v>
      </c>
    </row>
    <row r="3339">
      <c r="A3339" t="inlineStr">
        <is>
          <t>Bryant Salinas</t>
        </is>
      </c>
      <c r="B3339" t="inlineStr">
        <is>
          <t>7/12/26 - 8/8/26</t>
        </is>
      </c>
      <c r="C3339" t="n">
        <v>0.8542</v>
      </c>
      <c r="D3339" t="n">
        <v>0.9326</v>
      </c>
      <c r="E3339" t="n">
        <v>0.8842105263157894</v>
      </c>
      <c r="F3339" t="n">
        <v>0.929</v>
      </c>
      <c r="G3339" t="n">
        <v>0.8125</v>
      </c>
      <c r="H3339" t="n">
        <v>39</v>
      </c>
      <c r="J3339" t="n">
        <v>1</v>
      </c>
      <c r="K3339" t="inlineStr">
        <is>
          <t>Premium</t>
        </is>
      </c>
      <c r="M3339" t="inlineStr">
        <is>
          <t>Geoff St. Marie</t>
        </is>
      </c>
      <c r="N3339" t="n">
        <v>0.9791666666666666</v>
      </c>
      <c r="O3339" t="n">
        <v>8.395833333333334</v>
      </c>
    </row>
    <row r="3340">
      <c r="A3340" t="inlineStr">
        <is>
          <t>Cadence Liles</t>
        </is>
      </c>
      <c r="B3340" t="inlineStr">
        <is>
          <t>7/12/26 - 8/8/26</t>
        </is>
      </c>
      <c r="C3340" t="n">
        <v>0.4375</v>
      </c>
      <c r="D3340" t="n">
        <v>0.7655999999999999</v>
      </c>
      <c r="E3340" t="n">
        <v>1</v>
      </c>
      <c r="F3340" t="n">
        <v>0.9409999999999999</v>
      </c>
      <c r="G3340" t="n">
        <v>1</v>
      </c>
      <c r="H3340" t="n">
        <v>84</v>
      </c>
      <c r="J3340" t="n">
        <v>1</v>
      </c>
      <c r="K3340" t="inlineStr">
        <is>
          <t>Advanced</t>
        </is>
      </c>
      <c r="M3340" t="inlineStr">
        <is>
          <t>Geoff St. Marie</t>
        </is>
      </c>
      <c r="N3340" t="n">
        <v>1</v>
      </c>
      <c r="O3340" t="n">
        <v>7.875</v>
      </c>
    </row>
    <row r="3341">
      <c r="A3341" t="inlineStr">
        <is>
          <t>Cait White</t>
        </is>
      </c>
      <c r="B3341" t="inlineStr">
        <is>
          <t>7/12/26 - 8/8/26</t>
        </is>
      </c>
      <c r="C3341" t="n">
        <v>0.724</v>
      </c>
      <c r="D3341" t="n">
        <v>1.2383</v>
      </c>
      <c r="E3341" t="n">
        <v>1</v>
      </c>
      <c r="F3341" t="n">
        <v>1</v>
      </c>
      <c r="G3341" t="n">
        <v>0.4</v>
      </c>
      <c r="H3341" t="n">
        <v>13</v>
      </c>
      <c r="K3341" t="inlineStr">
        <is>
          <t>Premium</t>
        </is>
      </c>
      <c r="M3341" t="inlineStr">
        <is>
          <t>Ela Cross</t>
        </is>
      </c>
      <c r="N3341" t="n">
        <v>1</v>
      </c>
    </row>
    <row r="3342">
      <c r="A3342" t="inlineStr">
        <is>
          <t>Caitlin Tytler</t>
        </is>
      </c>
      <c r="B3342" t="inlineStr">
        <is>
          <t>7/12/26 - 8/8/26</t>
        </is>
      </c>
      <c r="C3342" t="n">
        <v>0.9625</v>
      </c>
      <c r="D3342" t="n">
        <v>1.0703</v>
      </c>
      <c r="E3342" t="n">
        <v>1</v>
      </c>
      <c r="F3342" t="n">
        <v>0.98</v>
      </c>
      <c r="G3342" t="n">
        <v>0.8181818181818182</v>
      </c>
      <c r="H3342" t="n">
        <v>180</v>
      </c>
      <c r="J3342" t="n">
        <v>1</v>
      </c>
      <c r="K3342" t="inlineStr">
        <is>
          <t>Advanced</t>
        </is>
      </c>
      <c r="M3342" t="inlineStr">
        <is>
          <t>Annelies de Groot</t>
        </is>
      </c>
      <c r="N3342" t="n">
        <v>1</v>
      </c>
      <c r="O3342" t="n">
        <v>9.666666666666668</v>
      </c>
    </row>
    <row r="3343">
      <c r="A3343" t="inlineStr">
        <is>
          <t>Carina Shanahan</t>
        </is>
      </c>
      <c r="B3343" t="inlineStr">
        <is>
          <t>7/12/26 - 8/8/26</t>
        </is>
      </c>
      <c r="C3343" t="n">
        <v>0.7125</v>
      </c>
      <c r="D3343" t="n">
        <v>1.0345</v>
      </c>
      <c r="E3343" t="n">
        <v>0.948051948051948</v>
      </c>
      <c r="F3343" t="n">
        <v>0.98</v>
      </c>
      <c r="G3343" t="n">
        <v>1</v>
      </c>
      <c r="H3343" t="n">
        <v>139.5</v>
      </c>
      <c r="J3343" t="n">
        <v>1</v>
      </c>
      <c r="K3343" t="inlineStr">
        <is>
          <t>Distinguished</t>
        </is>
      </c>
      <c r="M3343" t="inlineStr">
        <is>
          <t>Kristin Haase-Alvey</t>
        </is>
      </c>
      <c r="N3343" t="n">
        <v>0.861033411033411</v>
      </c>
      <c r="O3343" t="n">
        <v>7.277777777777778</v>
      </c>
    </row>
    <row r="3344">
      <c r="A3344" t="inlineStr">
        <is>
          <t>Casey Young</t>
        </is>
      </c>
      <c r="B3344" t="inlineStr">
        <is>
          <t>7/12/26 - 8/8/26</t>
        </is>
      </c>
      <c r="C3344" t="n">
        <v>0.9321</v>
      </c>
      <c r="D3344" t="n">
        <v>1.0727</v>
      </c>
      <c r="E3344" t="n">
        <v>1</v>
      </c>
      <c r="F3344" t="n">
        <v>1</v>
      </c>
      <c r="G3344" t="n">
        <v>0.7777777777777778</v>
      </c>
      <c r="H3344" t="n">
        <v>304</v>
      </c>
      <c r="J3344" t="n">
        <v>0.8</v>
      </c>
      <c r="K3344" t="inlineStr">
        <is>
          <t>Distinguished</t>
        </is>
      </c>
      <c r="M3344" t="inlineStr">
        <is>
          <t>Ela Cross</t>
        </is>
      </c>
      <c r="N3344" t="n">
        <v>0.6543144546147979</v>
      </c>
      <c r="O3344" t="n">
        <v>7.583333333333334</v>
      </c>
    </row>
    <row r="3345">
      <c r="A3345" t="inlineStr">
        <is>
          <t>Charlie Anderson</t>
        </is>
      </c>
      <c r="B3345" t="inlineStr">
        <is>
          <t>7/12/26 - 8/8/26</t>
        </is>
      </c>
      <c r="C3345" t="n">
        <v>1.175</v>
      </c>
      <c r="D3345" t="n">
        <v>1.2303</v>
      </c>
      <c r="E3345" t="n">
        <v>1</v>
      </c>
      <c r="F3345" t="n">
        <v>1</v>
      </c>
      <c r="G3345" t="n">
        <v>0.8076923076923077</v>
      </c>
      <c r="H3345" t="n">
        <v>266</v>
      </c>
      <c r="J3345" t="n">
        <v>0.6666666666666666</v>
      </c>
      <c r="K3345" t="inlineStr">
        <is>
          <t>Distinguished</t>
        </is>
      </c>
      <c r="M3345" t="inlineStr">
        <is>
          <t>Annelies de Groot</t>
        </is>
      </c>
      <c r="N3345" t="n">
        <v>0.9838709677419356</v>
      </c>
      <c r="O3345" t="n">
        <v>8</v>
      </c>
    </row>
    <row r="3346">
      <c r="A3346" t="inlineStr">
        <is>
          <t>Chazlee Myers</t>
        </is>
      </c>
      <c r="B3346" t="inlineStr">
        <is>
          <t>7/12/26 - 8/8/26</t>
        </is>
      </c>
      <c r="C3346" t="n">
        <v>0.975</v>
      </c>
      <c r="D3346" t="n">
        <v>0.9836</v>
      </c>
      <c r="E3346" t="n">
        <v>0.9482758620689656</v>
      </c>
      <c r="F3346" t="n">
        <v>0.915</v>
      </c>
      <c r="G3346" t="n">
        <v>0.9090909090909092</v>
      </c>
      <c r="H3346" t="n">
        <v>92</v>
      </c>
      <c r="J3346" t="n">
        <v>0.6666666666666666</v>
      </c>
      <c r="K3346" t="inlineStr">
        <is>
          <t>Distinguished</t>
        </is>
      </c>
      <c r="M3346" t="inlineStr">
        <is>
          <t>Geoff St. Marie</t>
        </is>
      </c>
      <c r="N3346" t="n">
        <v>1</v>
      </c>
      <c r="O3346" t="n">
        <v>6.916666666666667</v>
      </c>
    </row>
    <row r="3347">
      <c r="A3347" t="inlineStr">
        <is>
          <t>Chelsea Kobea</t>
        </is>
      </c>
      <c r="B3347" t="inlineStr">
        <is>
          <t>7/12/26 - 8/8/26</t>
        </is>
      </c>
      <c r="C3347" t="n">
        <v>0.8583</v>
      </c>
      <c r="D3347" t="n">
        <v>1.0477</v>
      </c>
      <c r="E3347" t="n">
        <v>0.9901960784313726</v>
      </c>
      <c r="F3347" t="n">
        <v>0.969</v>
      </c>
      <c r="G3347" t="n">
        <v>0.8333333333333334</v>
      </c>
      <c r="H3347" t="n">
        <v>156</v>
      </c>
      <c r="J3347" t="n">
        <v>1</v>
      </c>
      <c r="K3347" t="inlineStr">
        <is>
          <t>Distinguished</t>
        </is>
      </c>
      <c r="M3347" t="inlineStr">
        <is>
          <t>Kristin Haase-Alvey</t>
        </is>
      </c>
      <c r="N3347" t="n">
        <v>0.8888574660633484</v>
      </c>
      <c r="O3347" t="n">
        <v>3.45</v>
      </c>
    </row>
    <row r="3348">
      <c r="A3348" t="inlineStr">
        <is>
          <t>Cheyanne Jones</t>
        </is>
      </c>
      <c r="B3348" t="inlineStr">
        <is>
          <t>7/12/26 - 8/8/26</t>
        </is>
      </c>
      <c r="C3348" t="n">
        <v>1.0625</v>
      </c>
      <c r="D3348" t="n">
        <v>0.9605</v>
      </c>
      <c r="E3348" t="n">
        <v>1</v>
      </c>
      <c r="F3348" t="n">
        <v>0.986</v>
      </c>
      <c r="G3348" t="n">
        <v>0.9090909090909092</v>
      </c>
      <c r="H3348" t="n">
        <v>104</v>
      </c>
      <c r="J3348" t="n">
        <v>1</v>
      </c>
      <c r="K3348" t="inlineStr">
        <is>
          <t>Distinguished</t>
        </is>
      </c>
      <c r="M3348" t="inlineStr">
        <is>
          <t>Kristin Haase-Alvey</t>
        </is>
      </c>
      <c r="N3348" t="n">
        <v>1</v>
      </c>
      <c r="O3348" t="n">
        <v>7.5</v>
      </c>
    </row>
    <row r="3349">
      <c r="A3349" t="inlineStr">
        <is>
          <t>Chris Prouty</t>
        </is>
      </c>
      <c r="B3349" t="inlineStr">
        <is>
          <t>7/12/26 - 8/8/26</t>
        </is>
      </c>
      <c r="C3349" t="n">
        <v>0.7688</v>
      </c>
      <c r="D3349" t="n">
        <v>1.0677</v>
      </c>
      <c r="E3349" t="n">
        <v>0.9661016949152542</v>
      </c>
      <c r="F3349" t="n">
        <v>1</v>
      </c>
      <c r="G3349" t="n">
        <v>1</v>
      </c>
      <c r="H3349" t="n">
        <v>24</v>
      </c>
      <c r="J3349" t="n">
        <v>0.5</v>
      </c>
      <c r="K3349" t="inlineStr">
        <is>
          <t>Premium</t>
        </is>
      </c>
      <c r="M3349" t="inlineStr">
        <is>
          <t>Annelies de Groot</t>
        </is>
      </c>
      <c r="N3349" t="n">
        <v>0.9642857142857144</v>
      </c>
    </row>
    <row r="3350">
      <c r="A3350" t="inlineStr">
        <is>
          <t>Chris Yoon</t>
        </is>
      </c>
      <c r="B3350" t="inlineStr">
        <is>
          <t>7/12/26 - 8/8/26</t>
        </is>
      </c>
      <c r="C3350" t="n">
        <v>0.9458</v>
      </c>
      <c r="D3350" t="n">
        <v>0.8174</v>
      </c>
      <c r="E3350" t="n">
        <v>0.9642857142857144</v>
      </c>
      <c r="F3350" t="n">
        <v>1</v>
      </c>
      <c r="G3350" t="n">
        <v>0.6190476190476191</v>
      </c>
      <c r="H3350" t="n">
        <v>120</v>
      </c>
      <c r="J3350" t="n">
        <v>0</v>
      </c>
      <c r="K3350" t="inlineStr">
        <is>
          <t>Distinguished</t>
        </is>
      </c>
      <c r="M3350" t="inlineStr">
        <is>
          <t>Ian Plamondon</t>
        </is>
      </c>
      <c r="N3350" t="n">
        <v>0.9861111111111112</v>
      </c>
      <c r="O3350" t="n">
        <v>5.444444444444445</v>
      </c>
    </row>
    <row r="3351">
      <c r="A3351" t="inlineStr">
        <is>
          <t>Christelle Rocha</t>
        </is>
      </c>
      <c r="B3351" t="inlineStr">
        <is>
          <t>7/12/26 - 8/8/26</t>
        </is>
      </c>
      <c r="C3351" t="n">
        <v>0.8542</v>
      </c>
      <c r="D3351" t="n">
        <v>1.0345</v>
      </c>
      <c r="E3351" t="n">
        <v>0.9893617021276596</v>
      </c>
      <c r="F3351" t="n">
        <v>0.966</v>
      </c>
      <c r="G3351" t="n">
        <v>0.7647058823529412</v>
      </c>
      <c r="H3351" t="n">
        <v>142</v>
      </c>
      <c r="J3351" t="n">
        <v>1</v>
      </c>
      <c r="K3351" t="inlineStr">
        <is>
          <t>Distinguished</t>
        </is>
      </c>
      <c r="M3351" t="inlineStr">
        <is>
          <t>Annelies de Groot</t>
        </is>
      </c>
      <c r="N3351" t="n">
        <v>1</v>
      </c>
      <c r="O3351" t="n">
        <v>7.125</v>
      </c>
    </row>
    <row r="3352">
      <c r="A3352" t="inlineStr">
        <is>
          <t>Christian Collins</t>
        </is>
      </c>
      <c r="B3352" t="inlineStr">
        <is>
          <t>7/12/26 - 8/8/26</t>
        </is>
      </c>
      <c r="C3352" t="n">
        <v>1.2</v>
      </c>
      <c r="D3352" t="n">
        <v>1.1283</v>
      </c>
      <c r="E3352" t="n">
        <v>1</v>
      </c>
      <c r="F3352" t="n">
        <v>1</v>
      </c>
      <c r="G3352" t="n">
        <v>0.9642857142857144</v>
      </c>
      <c r="H3352" t="n">
        <v>153</v>
      </c>
      <c r="K3352" t="inlineStr">
        <is>
          <t>Premium</t>
        </is>
      </c>
      <c r="M3352" t="inlineStr">
        <is>
          <t>Ian Plamondon</t>
        </is>
      </c>
      <c r="N3352" t="n">
        <v>1</v>
      </c>
      <c r="O3352" t="n">
        <v>7.5625</v>
      </c>
    </row>
    <row r="3353">
      <c r="A3353" t="inlineStr">
        <is>
          <t>Christian Steiner</t>
        </is>
      </c>
      <c r="B3353" t="inlineStr">
        <is>
          <t>7/12/26 - 8/8/26</t>
        </is>
      </c>
      <c r="C3353" t="n">
        <v>0.775</v>
      </c>
      <c r="D3353" t="n">
        <v>0.9868</v>
      </c>
      <c r="E3353" t="n">
        <v>0.9523809523809524</v>
      </c>
      <c r="F3353" t="n">
        <v>0.981</v>
      </c>
      <c r="G3353" t="n">
        <v>0.6428571428571429</v>
      </c>
      <c r="H3353" t="n">
        <v>156</v>
      </c>
      <c r="J3353" t="n">
        <v>1</v>
      </c>
      <c r="K3353" t="inlineStr">
        <is>
          <t>Distinguished</t>
        </is>
      </c>
      <c r="M3353" t="inlineStr">
        <is>
          <t>Kristin Haase-Alvey</t>
        </is>
      </c>
      <c r="N3353" t="n">
        <v>0.9852941176470588</v>
      </c>
      <c r="O3353" t="n">
        <v>7</v>
      </c>
    </row>
    <row r="3354">
      <c r="A3354" t="inlineStr">
        <is>
          <t>Christine Santos</t>
        </is>
      </c>
      <c r="B3354" t="inlineStr">
        <is>
          <t>7/12/26 - 8/8/26</t>
        </is>
      </c>
      <c r="C3354" t="n">
        <v>1.25</v>
      </c>
      <c r="D3354" t="n">
        <v>1.1914</v>
      </c>
      <c r="E3354" t="n">
        <v>0.8035714285714286</v>
      </c>
      <c r="F3354" t="n">
        <v>0.865</v>
      </c>
      <c r="G3354" t="n">
        <v>0.9090909090909092</v>
      </c>
      <c r="H3354" t="n">
        <v>49.5</v>
      </c>
      <c r="J3354" t="n">
        <v>1</v>
      </c>
      <c r="K3354" t="inlineStr">
        <is>
          <t>Premium</t>
        </is>
      </c>
      <c r="M3354" t="inlineStr">
        <is>
          <t>Ela Cross</t>
        </is>
      </c>
      <c r="N3354" t="n">
        <v>0.9583333333333334</v>
      </c>
      <c r="O3354" t="n">
        <v>7</v>
      </c>
    </row>
    <row r="3355">
      <c r="A3355" t="inlineStr">
        <is>
          <t>Clark Howard</t>
        </is>
      </c>
      <c r="B3355" t="inlineStr">
        <is>
          <t>7/12/26 - 8/8/26</t>
        </is>
      </c>
      <c r="C3355" t="n">
        <v>1.2813</v>
      </c>
      <c r="D3355" t="n">
        <v>1.6745</v>
      </c>
      <c r="E3355" t="n">
        <v>0.9399999999999999</v>
      </c>
      <c r="F3355" t="n">
        <v>0.6840000000000001</v>
      </c>
      <c r="G3355" t="n">
        <v>0.5</v>
      </c>
      <c r="H3355" t="n">
        <v>128</v>
      </c>
      <c r="J3355" t="n">
        <v>1</v>
      </c>
      <c r="K3355" t="inlineStr">
        <is>
          <t>Distinguished</t>
        </is>
      </c>
      <c r="M3355" t="inlineStr">
        <is>
          <t>Ela Cross</t>
        </is>
      </c>
      <c r="N3355" t="n">
        <v>0.9116809116809116</v>
      </c>
      <c r="O3355" t="n">
        <v>7.1</v>
      </c>
    </row>
    <row r="3356">
      <c r="A3356" t="inlineStr">
        <is>
          <t>Colin Cody</t>
        </is>
      </c>
      <c r="B3356" t="inlineStr">
        <is>
          <t>7/12/26 - 8/8/26</t>
        </is>
      </c>
      <c r="C3356" t="n">
        <v>1.0083</v>
      </c>
      <c r="D3356" t="n">
        <v>1.1645</v>
      </c>
      <c r="E3356" t="n">
        <v>0.9652173913043478</v>
      </c>
      <c r="F3356" t="n">
        <v>1</v>
      </c>
      <c r="G3356" t="n">
        <v>0.9166666666666666</v>
      </c>
      <c r="H3356" t="n">
        <v>224</v>
      </c>
      <c r="J3356" t="n">
        <v>0.4</v>
      </c>
      <c r="K3356" t="inlineStr">
        <is>
          <t>Distinguished</t>
        </is>
      </c>
      <c r="M3356" t="inlineStr">
        <is>
          <t>Ela Cross</t>
        </is>
      </c>
      <c r="N3356" t="n">
        <v>0.9197916666666668</v>
      </c>
      <c r="O3356" t="n">
        <v>7.083333333333333</v>
      </c>
    </row>
    <row r="3357">
      <c r="A3357" t="inlineStr">
        <is>
          <t>Conifer O’Sullivan</t>
        </is>
      </c>
      <c r="B3357" t="inlineStr">
        <is>
          <t>7/12/26 - 8/8/26</t>
        </is>
      </c>
      <c r="C3357" t="n">
        <v>0.9125</v>
      </c>
      <c r="D3357" t="n">
        <v>1.0773</v>
      </c>
      <c r="E3357" t="n">
        <v>0.9898989898989899</v>
      </c>
      <c r="F3357" t="n">
        <v>0.984</v>
      </c>
      <c r="G3357" t="n">
        <v>0.6923076923076923</v>
      </c>
      <c r="H3357" t="n">
        <v>88</v>
      </c>
      <c r="J3357" t="n">
        <v>0.8181818181818182</v>
      </c>
      <c r="K3357" t="inlineStr">
        <is>
          <t>Distinguished</t>
        </is>
      </c>
      <c r="M3357" t="inlineStr">
        <is>
          <t>Annelies de Groot</t>
        </is>
      </c>
      <c r="N3357" t="n">
        <v>0.9432692307692307</v>
      </c>
      <c r="O3357" t="n">
        <v>3</v>
      </c>
    </row>
    <row r="3358">
      <c r="A3358" t="inlineStr">
        <is>
          <t>Cristina Ascenzi Pettenuzzo</t>
        </is>
      </c>
      <c r="B3358" t="inlineStr">
        <is>
          <t>7/12/26 - 8/8/26</t>
        </is>
      </c>
      <c r="C3358" t="n">
        <v>0.725</v>
      </c>
      <c r="D3358" t="n">
        <v>1.0428</v>
      </c>
      <c r="E3358" t="n">
        <v>1</v>
      </c>
      <c r="F3358" t="n">
        <v>1</v>
      </c>
      <c r="G3358" t="n">
        <v>0.8095238095238095</v>
      </c>
      <c r="H3358" t="n">
        <v>120</v>
      </c>
      <c r="J3358" t="n">
        <v>0.75</v>
      </c>
      <c r="K3358" t="inlineStr">
        <is>
          <t>Distinguished</t>
        </is>
      </c>
      <c r="M3358" t="inlineStr">
        <is>
          <t>Geoff St. Marie</t>
        </is>
      </c>
      <c r="N3358" t="n">
        <v>1</v>
      </c>
      <c r="O3358" t="n">
        <v>10</v>
      </c>
    </row>
    <row r="3359">
      <c r="A3359" t="inlineStr">
        <is>
          <t>Daniel Esquivel-Reynoso</t>
        </is>
      </c>
      <c r="B3359" t="inlineStr">
        <is>
          <t>7/12/26 - 8/8/26</t>
        </is>
      </c>
      <c r="C3359" t="n">
        <v>0.575</v>
      </c>
      <c r="D3359" t="n">
        <v>1.0573</v>
      </c>
      <c r="E3359" t="n">
        <v>1</v>
      </c>
      <c r="F3359" t="n">
        <v>1</v>
      </c>
      <c r="G3359" t="n">
        <v>0.9</v>
      </c>
      <c r="H3359" t="n">
        <v>48</v>
      </c>
      <c r="K3359" t="inlineStr">
        <is>
          <t>Distinguished</t>
        </is>
      </c>
      <c r="M3359" t="inlineStr">
        <is>
          <t>Annelies de Groot</t>
        </is>
      </c>
      <c r="N3359" t="n">
        <v>1</v>
      </c>
      <c r="O3359" t="n">
        <v>9.25</v>
      </c>
    </row>
    <row r="3360">
      <c r="A3360" t="inlineStr">
        <is>
          <t>Daniel Olson</t>
        </is>
      </c>
      <c r="B3360" t="inlineStr">
        <is>
          <t>7/12/26 - 8/8/26</t>
        </is>
      </c>
      <c r="C3360" t="n">
        <v>0.8417</v>
      </c>
      <c r="D3360" t="n">
        <v>0.9638</v>
      </c>
      <c r="E3360" t="n">
        <v>1</v>
      </c>
      <c r="F3360" t="n">
        <v>0.8100000000000001</v>
      </c>
      <c r="G3360" t="n">
        <v>0.5882352941176471</v>
      </c>
      <c r="H3360" t="n">
        <v>152</v>
      </c>
      <c r="J3360" t="n">
        <v>0.7142857142857143</v>
      </c>
      <c r="K3360" t="inlineStr">
        <is>
          <t>Distinguished</t>
        </is>
      </c>
      <c r="M3360" t="inlineStr">
        <is>
          <t>Annelies de Groot</t>
        </is>
      </c>
      <c r="N3360" t="n">
        <v>0.9487179487179488</v>
      </c>
      <c r="O3360" t="n">
        <v>4.6</v>
      </c>
    </row>
    <row r="3361">
      <c r="A3361" t="inlineStr">
        <is>
          <t>Daniel Severance</t>
        </is>
      </c>
      <c r="B3361" t="inlineStr">
        <is>
          <t>7/12/26 - 8/8/26</t>
        </is>
      </c>
      <c r="C3361" t="n">
        <v>0.95</v>
      </c>
      <c r="D3361" t="n">
        <v>1.1119</v>
      </c>
      <c r="E3361" t="n">
        <v>0.9747899159663864</v>
      </c>
      <c r="F3361" t="n">
        <v>1</v>
      </c>
      <c r="G3361" t="n">
        <v>0.6111111111111112</v>
      </c>
      <c r="H3361" t="n">
        <v>138</v>
      </c>
      <c r="J3361" t="n">
        <v>0.3333333333333333</v>
      </c>
      <c r="K3361" t="inlineStr">
        <is>
          <t>Premium</t>
        </is>
      </c>
      <c r="M3361" t="inlineStr">
        <is>
          <t>Annelies de Groot</t>
        </is>
      </c>
      <c r="N3361" t="n">
        <v>0.8516025641025641</v>
      </c>
      <c r="O3361" t="n">
        <v>7</v>
      </c>
    </row>
    <row r="3362">
      <c r="A3362" t="inlineStr">
        <is>
          <t>David Alcantara</t>
        </is>
      </c>
      <c r="B3362" t="inlineStr">
        <is>
          <t>7/12/26 - 8/8/26</t>
        </is>
      </c>
      <c r="C3362" t="n">
        <v>0.65</v>
      </c>
      <c r="D3362" t="n">
        <v>0.9063</v>
      </c>
      <c r="E3362" t="n">
        <v>1</v>
      </c>
      <c r="F3362" t="n">
        <v>0.919</v>
      </c>
      <c r="G3362" t="n">
        <v>0.4</v>
      </c>
      <c r="H3362" t="n">
        <v>0</v>
      </c>
      <c r="J3362" t="n">
        <v>1</v>
      </c>
      <c r="K3362" t="inlineStr">
        <is>
          <t>Distinguished</t>
        </is>
      </c>
      <c r="M3362" t="inlineStr">
        <is>
          <t>Ela Cross</t>
        </is>
      </c>
      <c r="N3362" t="n">
        <v>0.5119047619047619</v>
      </c>
      <c r="O3362" t="n">
        <v>7</v>
      </c>
    </row>
    <row r="3363">
      <c r="A3363" t="inlineStr">
        <is>
          <t>Dehavion Knight</t>
        </is>
      </c>
      <c r="B3363" t="inlineStr">
        <is>
          <t>7/12/26 - 8/8/26</t>
        </is>
      </c>
      <c r="C3363" t="n">
        <v>0.4583</v>
      </c>
      <c r="D3363" t="n">
        <v>0.8905999999999999</v>
      </c>
      <c r="E3363" t="n">
        <v>1</v>
      </c>
      <c r="F3363" t="n">
        <v>0.588</v>
      </c>
      <c r="G3363" t="n">
        <v>0.4285714285714286</v>
      </c>
      <c r="H3363" t="n">
        <v>56</v>
      </c>
      <c r="J3363" t="n">
        <v>1</v>
      </c>
      <c r="K3363" t="inlineStr">
        <is>
          <t>Distinguished</t>
        </is>
      </c>
      <c r="M3363" t="inlineStr">
        <is>
          <t>Ela Cross</t>
        </is>
      </c>
      <c r="N3363" t="n">
        <v>1</v>
      </c>
    </row>
    <row r="3364">
      <c r="A3364" t="inlineStr">
        <is>
          <t>Denise Jefferson</t>
        </is>
      </c>
      <c r="B3364" t="inlineStr">
        <is>
          <t>7/12/26 - 8/8/26</t>
        </is>
      </c>
      <c r="C3364" t="n">
        <v>0.1875</v>
      </c>
      <c r="D3364" t="n">
        <v>0.7852</v>
      </c>
      <c r="E3364" t="n">
        <v>1</v>
      </c>
      <c r="F3364" t="n">
        <v>0.857</v>
      </c>
      <c r="G3364" t="n">
        <v>1</v>
      </c>
      <c r="H3364" t="n">
        <v>28</v>
      </c>
      <c r="J3364" t="n">
        <v>1</v>
      </c>
      <c r="K3364" t="inlineStr">
        <is>
          <t>Advanced</t>
        </is>
      </c>
      <c r="M3364" t="inlineStr">
        <is>
          <t>Ela Cross</t>
        </is>
      </c>
      <c r="N3364" t="n">
        <v>1</v>
      </c>
      <c r="O3364" t="n">
        <v>5.5</v>
      </c>
    </row>
    <row r="3365">
      <c r="A3365" t="inlineStr">
        <is>
          <t>Derek Fox</t>
        </is>
      </c>
      <c r="B3365" t="inlineStr">
        <is>
          <t>7/12/26 - 8/8/26</t>
        </is>
      </c>
      <c r="C3365" t="n">
        <v>0.5833</v>
      </c>
      <c r="D3365" t="n">
        <v>1.0156</v>
      </c>
      <c r="E3365" t="n">
        <v>1</v>
      </c>
      <c r="F3365" t="n">
        <v>0.833</v>
      </c>
      <c r="G3365" t="n">
        <v>0.875</v>
      </c>
      <c r="H3365" t="n">
        <v>64</v>
      </c>
      <c r="J3365" t="n">
        <v>1</v>
      </c>
      <c r="K3365" t="inlineStr">
        <is>
          <t>Advanced</t>
        </is>
      </c>
      <c r="M3365" t="inlineStr">
        <is>
          <t>Geoff St. Marie</t>
        </is>
      </c>
      <c r="N3365" t="n">
        <v>1</v>
      </c>
      <c r="O3365" t="n">
        <v>7.25</v>
      </c>
    </row>
    <row r="3366">
      <c r="A3366" t="inlineStr">
        <is>
          <t>Diamond Anderson</t>
        </is>
      </c>
      <c r="B3366" t="inlineStr">
        <is>
          <t>7/12/26 - 8/8/26</t>
        </is>
      </c>
      <c r="C3366" t="n">
        <v>0.7083</v>
      </c>
      <c r="D3366" t="n">
        <v>1.1563</v>
      </c>
      <c r="E3366" t="n">
        <v>0.967741935483871</v>
      </c>
      <c r="F3366" t="n">
        <v>1</v>
      </c>
      <c r="G3366" t="n">
        <v>0.4444444444444445</v>
      </c>
      <c r="H3366" t="n">
        <v>74</v>
      </c>
      <c r="J3366" t="n">
        <v>0.3333333333333333</v>
      </c>
      <c r="K3366" t="inlineStr">
        <is>
          <t>Distinguished</t>
        </is>
      </c>
      <c r="M3366" t="inlineStr">
        <is>
          <t>Kristin Haase-Alvey</t>
        </is>
      </c>
      <c r="N3366" t="n">
        <v>1</v>
      </c>
    </row>
    <row r="3367">
      <c r="A3367" t="inlineStr">
        <is>
          <t>Diana Hoyer</t>
        </is>
      </c>
      <c r="B3367" t="inlineStr">
        <is>
          <t>7/12/26 - 8/8/26</t>
        </is>
      </c>
      <c r="C3367" t="n">
        <v>0.7357</v>
      </c>
      <c r="D3367" t="n">
        <v>1.093</v>
      </c>
      <c r="E3367" t="n">
        <v>0.945054945054945</v>
      </c>
      <c r="F3367" t="n">
        <v>1</v>
      </c>
      <c r="G3367" t="n">
        <v>1</v>
      </c>
      <c r="H3367" t="n">
        <v>26</v>
      </c>
      <c r="J3367" t="n">
        <v>0.8888888888888888</v>
      </c>
      <c r="K3367" t="inlineStr">
        <is>
          <t>Premium</t>
        </is>
      </c>
      <c r="M3367" t="inlineStr">
        <is>
          <t>Geoff St. Marie</t>
        </is>
      </c>
      <c r="N3367" t="n">
        <v>1</v>
      </c>
      <c r="O3367" t="n">
        <v>6.520833333333334</v>
      </c>
    </row>
    <row r="3368">
      <c r="A3368" t="inlineStr">
        <is>
          <t>Dorothy McDaniel</t>
        </is>
      </c>
      <c r="B3368" t="inlineStr">
        <is>
          <t>7/12/26 - 8/8/26</t>
        </is>
      </c>
      <c r="C3368" t="n">
        <v>0.4167</v>
      </c>
      <c r="D3368" t="n">
        <v>1.4042</v>
      </c>
      <c r="E3368" t="n">
        <v>1</v>
      </c>
      <c r="F3368" t="n">
        <v>0.96</v>
      </c>
      <c r="G3368" t="n">
        <v>1</v>
      </c>
      <c r="H3368" t="n">
        <v>76</v>
      </c>
      <c r="J3368" t="n">
        <v>1</v>
      </c>
      <c r="K3368" t="inlineStr">
        <is>
          <t>Premium</t>
        </is>
      </c>
      <c r="M3368" t="inlineStr">
        <is>
          <t>Ian Plamondon</t>
        </is>
      </c>
      <c r="N3368" t="n">
        <v>1</v>
      </c>
      <c r="O3368" t="n">
        <v>9</v>
      </c>
    </row>
    <row r="3369">
      <c r="A3369" t="inlineStr">
        <is>
          <t>Eddie Cayia</t>
        </is>
      </c>
      <c r="B3369" t="inlineStr">
        <is>
          <t>7/12/26 - 8/8/26</t>
        </is>
      </c>
      <c r="C3369" t="n">
        <v>0.7964</v>
      </c>
      <c r="D3369" t="n">
        <v>1.0509</v>
      </c>
      <c r="E3369" t="n">
        <v>0.9813084112149532</v>
      </c>
      <c r="F3369" t="n">
        <v>0.948</v>
      </c>
      <c r="G3369" t="n">
        <v>0.8947368421052632</v>
      </c>
      <c r="H3369" t="n">
        <v>180</v>
      </c>
      <c r="J3369" t="n">
        <v>0.4</v>
      </c>
      <c r="K3369" t="inlineStr">
        <is>
          <t>Distinguished</t>
        </is>
      </c>
      <c r="M3369" t="inlineStr">
        <is>
          <t>Annelies de Groot</t>
        </is>
      </c>
      <c r="N3369" t="n">
        <v>1</v>
      </c>
      <c r="O3369" t="n">
        <v>4.222222222222222</v>
      </c>
    </row>
    <row r="3370">
      <c r="A3370" t="inlineStr">
        <is>
          <t>Eddie Rodriguez</t>
        </is>
      </c>
      <c r="B3370" t="inlineStr">
        <is>
          <t>7/12/26 - 8/8/26</t>
        </is>
      </c>
      <c r="C3370" t="n">
        <v>0.7917</v>
      </c>
      <c r="D3370" t="n">
        <v>1.0822</v>
      </c>
      <c r="E3370" t="n">
        <v>1</v>
      </c>
      <c r="F3370" t="n">
        <v>0.984</v>
      </c>
      <c r="G3370" t="n">
        <v>1</v>
      </c>
      <c r="H3370" t="n">
        <v>58</v>
      </c>
      <c r="J3370" t="n">
        <v>0</v>
      </c>
      <c r="K3370" t="inlineStr">
        <is>
          <t>Distinguished</t>
        </is>
      </c>
      <c r="M3370" t="inlineStr">
        <is>
          <t>Geoff St. Marie</t>
        </is>
      </c>
      <c r="N3370" t="n">
        <v>0.962912087912088</v>
      </c>
      <c r="O3370" t="n">
        <v>6.916666666666666</v>
      </c>
    </row>
    <row r="3371">
      <c r="A3371" t="inlineStr">
        <is>
          <t>Eden Rasmussen</t>
        </is>
      </c>
      <c r="B3371" t="inlineStr">
        <is>
          <t>7/12/26 - 8/8/26</t>
        </is>
      </c>
      <c r="C3371" t="n">
        <v>0.5458</v>
      </c>
      <c r="D3371" t="n">
        <v>0.6513</v>
      </c>
      <c r="E3371" t="n">
        <v>0.9076923076923076</v>
      </c>
      <c r="F3371" t="n">
        <v>0.974</v>
      </c>
      <c r="G3371" t="n">
        <v>0.0769230769230769</v>
      </c>
      <c r="H3371" t="n">
        <v>154</v>
      </c>
      <c r="K3371" t="inlineStr">
        <is>
          <t>Distinguished</t>
        </is>
      </c>
      <c r="M3371" t="inlineStr">
        <is>
          <t>Geoff St. Marie</t>
        </is>
      </c>
      <c r="N3371" t="n">
        <v>1</v>
      </c>
    </row>
    <row r="3372">
      <c r="A3372" t="inlineStr">
        <is>
          <t>Edwin West</t>
        </is>
      </c>
      <c r="B3372" t="inlineStr">
        <is>
          <t>7/12/26 - 8/8/26</t>
        </is>
      </c>
      <c r="C3372" t="n">
        <v>0.9583</v>
      </c>
      <c r="D3372" t="n">
        <v>1.0664</v>
      </c>
      <c r="E3372" t="n">
        <v>1</v>
      </c>
      <c r="F3372" t="n">
        <v>0.95</v>
      </c>
      <c r="G3372" t="n">
        <v>1</v>
      </c>
      <c r="H3372" t="n">
        <v>80</v>
      </c>
      <c r="J3372" t="n">
        <v>1</v>
      </c>
      <c r="K3372" t="inlineStr">
        <is>
          <t>Distinguished</t>
        </is>
      </c>
      <c r="M3372" t="inlineStr">
        <is>
          <t>Ela Cross</t>
        </is>
      </c>
      <c r="N3372" t="n">
        <v>0.975</v>
      </c>
      <c r="O3372" t="n">
        <v>7.333333333333333</v>
      </c>
    </row>
    <row r="3373">
      <c r="A3373" t="inlineStr">
        <is>
          <t>Eleanor Mancilla</t>
        </is>
      </c>
      <c r="B3373" t="inlineStr">
        <is>
          <t>7/12/26 - 8/8/26</t>
        </is>
      </c>
      <c r="C3373" t="n">
        <v>0.9917</v>
      </c>
      <c r="D3373" t="n">
        <v>1.0526</v>
      </c>
      <c r="E3373" t="n">
        <v>1</v>
      </c>
      <c r="F3373" t="n">
        <v>0.958</v>
      </c>
      <c r="G3373" t="n">
        <v>1</v>
      </c>
      <c r="H3373" t="n">
        <v>76</v>
      </c>
      <c r="J3373" t="n">
        <v>0.6363636363636364</v>
      </c>
      <c r="K3373" t="inlineStr">
        <is>
          <t>Distinguished</t>
        </is>
      </c>
      <c r="M3373" t="inlineStr">
        <is>
          <t>Annelies de Groot</t>
        </is>
      </c>
      <c r="N3373" t="n">
        <v>0.9861111111111112</v>
      </c>
      <c r="O3373" t="n">
        <v>4.416666666666667</v>
      </c>
    </row>
    <row r="3374">
      <c r="A3374" t="inlineStr">
        <is>
          <t>Elijah Ramirez</t>
        </is>
      </c>
      <c r="B3374" t="inlineStr">
        <is>
          <t>7/12/26 - 8/8/26</t>
        </is>
      </c>
      <c r="C3374" t="n">
        <v>0.7042</v>
      </c>
      <c r="D3374" t="n">
        <v>1.0625</v>
      </c>
      <c r="E3374" t="n">
        <v>1</v>
      </c>
      <c r="F3374" t="n">
        <v>0.982</v>
      </c>
      <c r="G3374" t="n">
        <v>0.9444444444444444</v>
      </c>
      <c r="H3374" t="n">
        <v>26</v>
      </c>
      <c r="J3374" t="n">
        <v>0.5</v>
      </c>
      <c r="K3374" t="inlineStr">
        <is>
          <t>Premium</t>
        </is>
      </c>
      <c r="M3374" t="inlineStr">
        <is>
          <t>Ian Plamondon</t>
        </is>
      </c>
      <c r="N3374" t="n">
        <v>0.9651442307692308</v>
      </c>
      <c r="O3374" t="n">
        <v>3.866071428571429</v>
      </c>
    </row>
    <row r="3375">
      <c r="A3375" t="inlineStr">
        <is>
          <t>Elizabeth Simons</t>
        </is>
      </c>
      <c r="B3375" t="inlineStr">
        <is>
          <t>7/12/26 - 8/8/26</t>
        </is>
      </c>
      <c r="C3375" t="n">
        <v>0.6667</v>
      </c>
      <c r="D3375" t="n">
        <v>0.6563</v>
      </c>
      <c r="E3375" t="n">
        <v>1</v>
      </c>
      <c r="F3375" t="n">
        <v>1</v>
      </c>
      <c r="G3375" t="n">
        <v>0.875</v>
      </c>
      <c r="H3375" t="n">
        <v>153</v>
      </c>
      <c r="K3375" t="inlineStr">
        <is>
          <t>Distinguished</t>
        </is>
      </c>
      <c r="M3375" t="inlineStr">
        <is>
          <t>Kristin Haase-Alvey</t>
        </is>
      </c>
      <c r="N3375" t="n">
        <v>1</v>
      </c>
      <c r="O3375" t="n">
        <v>8.875</v>
      </c>
    </row>
    <row r="3376">
      <c r="A3376" t="inlineStr">
        <is>
          <t>Eric Chang</t>
        </is>
      </c>
      <c r="B3376" t="inlineStr">
        <is>
          <t>7/12/26 - 8/8/26</t>
        </is>
      </c>
      <c r="C3376" t="n">
        <v>0.95</v>
      </c>
      <c r="D3376" t="n">
        <v>1.0132</v>
      </c>
      <c r="E3376" t="n">
        <v>0.9807692307692308</v>
      </c>
      <c r="F3376" t="n">
        <v>0.9379999999999999</v>
      </c>
      <c r="G3376" t="n">
        <v>0.4583333333333333</v>
      </c>
      <c r="H3376" t="n">
        <v>174</v>
      </c>
      <c r="J3376" t="n">
        <v>0.8</v>
      </c>
      <c r="K3376" t="inlineStr">
        <is>
          <t>Distinguished</t>
        </is>
      </c>
      <c r="M3376" t="inlineStr">
        <is>
          <t>Annelies de Groot</t>
        </is>
      </c>
      <c r="N3376" t="n">
        <v>0.9807692307692308</v>
      </c>
      <c r="O3376" t="n">
        <v>5.666666666666667</v>
      </c>
    </row>
    <row r="3377">
      <c r="A3377" t="inlineStr">
        <is>
          <t>Ernie Chu</t>
        </is>
      </c>
      <c r="B3377" t="inlineStr">
        <is>
          <t>7/12/26 - 8/8/26</t>
        </is>
      </c>
      <c r="C3377" t="n">
        <v>1.2583</v>
      </c>
      <c r="D3377" t="n">
        <v>1.2566</v>
      </c>
      <c r="E3377" t="n">
        <v>0.9931972789115646</v>
      </c>
      <c r="F3377" t="n">
        <v>0.9330000000000001</v>
      </c>
      <c r="G3377" t="n">
        <v>0.7391304347826086</v>
      </c>
      <c r="H3377" t="n">
        <v>198</v>
      </c>
      <c r="J3377" t="n">
        <v>0</v>
      </c>
      <c r="K3377" t="inlineStr">
        <is>
          <t>Distinguished</t>
        </is>
      </c>
      <c r="M3377" t="inlineStr">
        <is>
          <t>Geoff St. Marie</t>
        </is>
      </c>
      <c r="N3377" t="n">
        <v>0.9460227272727272</v>
      </c>
      <c r="O3377" t="n">
        <v>8.722222222222221</v>
      </c>
    </row>
    <row r="3378">
      <c r="A3378" t="inlineStr">
        <is>
          <t>Eve Shames</t>
        </is>
      </c>
      <c r="B3378" t="inlineStr">
        <is>
          <t>7/12/26 - 8/8/26</t>
        </is>
      </c>
      <c r="H3378" t="n">
        <v>0</v>
      </c>
      <c r="K3378" t="inlineStr">
        <is>
          <t>Distinguished</t>
        </is>
      </c>
      <c r="M3378" t="inlineStr">
        <is>
          <t>Nikki Pencak</t>
        </is>
      </c>
    </row>
    <row r="3379">
      <c r="A3379" t="inlineStr">
        <is>
          <t>Faith Rogers</t>
        </is>
      </c>
      <c r="B3379" t="inlineStr">
        <is>
          <t>7/12/26 - 8/8/26</t>
        </is>
      </c>
      <c r="C3379" t="n">
        <v>0.9292</v>
      </c>
      <c r="D3379" t="n">
        <v>0.9951</v>
      </c>
      <c r="E3379" t="n">
        <v>0.981651376146789</v>
      </c>
      <c r="F3379" t="n">
        <v>1</v>
      </c>
      <c r="G3379" t="n">
        <v>0.925925925925926</v>
      </c>
      <c r="H3379" t="n">
        <v>120</v>
      </c>
      <c r="J3379" t="n">
        <v>0.5</v>
      </c>
      <c r="K3379" t="inlineStr">
        <is>
          <t>Distinguished</t>
        </is>
      </c>
      <c r="M3379" t="inlineStr">
        <is>
          <t>Geoff St. Marie</t>
        </is>
      </c>
      <c r="N3379" t="n">
        <v>1</v>
      </c>
      <c r="O3379" t="n">
        <v>8.25</v>
      </c>
    </row>
    <row r="3380">
      <c r="A3380" t="inlineStr">
        <is>
          <t>Gabriel Saint Cyr</t>
        </is>
      </c>
      <c r="B3380" t="inlineStr">
        <is>
          <t>7/12/26 - 8/8/26</t>
        </is>
      </c>
      <c r="C3380" t="n">
        <v>0.5417</v>
      </c>
      <c r="D3380" t="n">
        <v>0.8398</v>
      </c>
      <c r="E3380" t="n">
        <v>1</v>
      </c>
      <c r="F3380" t="n">
        <v>0.857</v>
      </c>
      <c r="G3380" t="n">
        <v>1</v>
      </c>
      <c r="H3380" t="n">
        <v>0</v>
      </c>
      <c r="K3380" t="inlineStr">
        <is>
          <t>Distinguished</t>
        </is>
      </c>
      <c r="M3380" t="inlineStr">
        <is>
          <t>Geoff St. Marie</t>
        </is>
      </c>
      <c r="N3380" t="n">
        <v>1</v>
      </c>
      <c r="O3380" t="n">
        <v>5.25</v>
      </c>
    </row>
    <row r="3381">
      <c r="A3381" t="inlineStr">
        <is>
          <t>Gale Hermes</t>
        </is>
      </c>
      <c r="B3381" t="inlineStr">
        <is>
          <t>7/12/26 - 8/8/26</t>
        </is>
      </c>
      <c r="C3381" t="n">
        <v>0.6653</v>
      </c>
      <c r="D3381" t="n">
        <v>1.3688</v>
      </c>
      <c r="E3381" t="n">
        <v>0.9866666666666668</v>
      </c>
      <c r="F3381" t="n">
        <v>0.853</v>
      </c>
      <c r="G3381" t="n">
        <v>0.6153846153846154</v>
      </c>
      <c r="H3381" t="n">
        <v>29</v>
      </c>
      <c r="J3381" t="n">
        <v>0</v>
      </c>
      <c r="K3381" t="inlineStr">
        <is>
          <t>Premium</t>
        </is>
      </c>
      <c r="M3381" t="inlineStr">
        <is>
          <t>Ian Plamondon</t>
        </is>
      </c>
      <c r="N3381" t="n">
        <v>0.9472222222222222</v>
      </c>
      <c r="O3381" t="n">
        <v>7.5</v>
      </c>
    </row>
    <row r="3382">
      <c r="A3382" t="inlineStr">
        <is>
          <t>Gene Costa</t>
        </is>
      </c>
      <c r="B3382" t="inlineStr">
        <is>
          <t>7/12/26 - 8/8/26</t>
        </is>
      </c>
      <c r="C3382" t="n">
        <v>0.9875</v>
      </c>
      <c r="D3382" t="n">
        <v>1.1102</v>
      </c>
      <c r="E3382" t="n">
        <v>0.9814814814814816</v>
      </c>
      <c r="F3382" t="n">
        <v>0.839</v>
      </c>
      <c r="G3382" t="n">
        <v>0.3684210526315789</v>
      </c>
      <c r="H3382" t="n">
        <v>116</v>
      </c>
      <c r="J3382" t="n">
        <v>1</v>
      </c>
      <c r="K3382" t="inlineStr">
        <is>
          <t>Distinguished</t>
        </is>
      </c>
      <c r="M3382" t="inlineStr">
        <is>
          <t>Ela Cross</t>
        </is>
      </c>
      <c r="N3382" t="n">
        <v>1</v>
      </c>
      <c r="O3382" t="n">
        <v>8.5</v>
      </c>
    </row>
    <row r="3383">
      <c r="A3383" t="inlineStr">
        <is>
          <t>Gigi Glover</t>
        </is>
      </c>
      <c r="B3383" t="inlineStr">
        <is>
          <t>7/12/26 - 8/8/26</t>
        </is>
      </c>
      <c r="C3383" t="n">
        <v>0.7333</v>
      </c>
      <c r="D3383" t="n">
        <v>1.2122</v>
      </c>
      <c r="E3383" t="n">
        <v>0.9411764705882352</v>
      </c>
      <c r="F3383" t="n">
        <v>0.964</v>
      </c>
      <c r="G3383" t="n">
        <v>0.1764705882352941</v>
      </c>
      <c r="H3383" t="n">
        <v>38</v>
      </c>
      <c r="J3383" t="n">
        <v>0.75</v>
      </c>
      <c r="K3383" t="inlineStr">
        <is>
          <t>Distinguished</t>
        </is>
      </c>
      <c r="M3383" t="inlineStr">
        <is>
          <t>Geoff St. Marie</t>
        </is>
      </c>
      <c r="N3383" t="n">
        <v>0.9242216117216118</v>
      </c>
    </row>
    <row r="3384">
      <c r="A3384" t="inlineStr">
        <is>
          <t>Gina Benson</t>
        </is>
      </c>
      <c r="B3384" t="inlineStr">
        <is>
          <t>7/12/26 - 8/8/26</t>
        </is>
      </c>
      <c r="C3384" t="n">
        <v>0.75</v>
      </c>
      <c r="D3384" t="n">
        <v>0.9530999999999999</v>
      </c>
      <c r="E3384" t="n">
        <v>1</v>
      </c>
      <c r="F3384" t="n">
        <v>1</v>
      </c>
      <c r="G3384" t="n">
        <v>1</v>
      </c>
      <c r="H3384" t="n">
        <v>100</v>
      </c>
      <c r="J3384" t="n">
        <v>1</v>
      </c>
      <c r="K3384" t="inlineStr">
        <is>
          <t>Advanced</t>
        </is>
      </c>
      <c r="M3384" t="inlineStr">
        <is>
          <t>Kristin Haase-Alvey</t>
        </is>
      </c>
      <c r="N3384" t="n">
        <v>0.90625</v>
      </c>
      <c r="O3384" t="n">
        <v>6</v>
      </c>
    </row>
    <row r="3385">
      <c r="A3385" t="inlineStr">
        <is>
          <t>Ginalyn Chism</t>
        </is>
      </c>
      <c r="B3385" t="inlineStr">
        <is>
          <t>7/12/26 - 8/8/26</t>
        </is>
      </c>
      <c r="C3385" t="n">
        <v>0</v>
      </c>
      <c r="D3385" t="n">
        <v>0.2072</v>
      </c>
      <c r="H3385" t="n">
        <v>0</v>
      </c>
      <c r="K3385" t="inlineStr">
        <is>
          <t>Distinguished</t>
        </is>
      </c>
      <c r="M3385" t="inlineStr">
        <is>
          <t>Katherine Marino</t>
        </is>
      </c>
    </row>
    <row r="3386">
      <c r="A3386" t="inlineStr">
        <is>
          <t>Hannah Ervitz</t>
        </is>
      </c>
      <c r="B3386" t="inlineStr">
        <is>
          <t>7/12/26 - 8/8/26</t>
        </is>
      </c>
      <c r="C3386" t="n">
        <v>0.7063</v>
      </c>
      <c r="D3386" t="n">
        <v>1.0521</v>
      </c>
      <c r="E3386" t="n">
        <v>0.9399999999999999</v>
      </c>
      <c r="F3386" t="n">
        <v>0.971</v>
      </c>
      <c r="G3386" t="n">
        <v>0.7333333333333334</v>
      </c>
      <c r="H3386" t="n">
        <v>126</v>
      </c>
      <c r="J3386" t="n">
        <v>0.5</v>
      </c>
      <c r="K3386" t="inlineStr">
        <is>
          <t>Distinguished</t>
        </is>
      </c>
      <c r="M3386" t="inlineStr">
        <is>
          <t>Kristin Haase-Alvey</t>
        </is>
      </c>
      <c r="N3386" t="n">
        <v>0.8701298701298701</v>
      </c>
      <c r="O3386" t="n">
        <v>8</v>
      </c>
    </row>
    <row r="3387">
      <c r="A3387" t="inlineStr">
        <is>
          <t>Hannah Lodge</t>
        </is>
      </c>
      <c r="B3387" t="inlineStr">
        <is>
          <t>7/12/26 - 8/8/26</t>
        </is>
      </c>
      <c r="C3387" t="n">
        <v>1.0542</v>
      </c>
      <c r="D3387" t="n">
        <v>1.4391</v>
      </c>
      <c r="E3387" t="n">
        <v>1</v>
      </c>
      <c r="F3387" t="n">
        <v>0.967</v>
      </c>
      <c r="G3387" t="n">
        <v>1</v>
      </c>
      <c r="H3387" t="n">
        <v>0</v>
      </c>
      <c r="J3387" t="n">
        <v>0.4285714285714285</v>
      </c>
      <c r="K3387" t="inlineStr">
        <is>
          <t>Premium</t>
        </is>
      </c>
      <c r="M3387" t="inlineStr">
        <is>
          <t>Ian Plamondon</t>
        </is>
      </c>
      <c r="N3387" t="n">
        <v>0.9462454212454212</v>
      </c>
      <c r="O3387" t="n">
        <v>8.083333333333334</v>
      </c>
    </row>
    <row r="3388">
      <c r="A3388" t="inlineStr">
        <is>
          <t>Helena Ellis do Amaral</t>
        </is>
      </c>
      <c r="B3388" t="inlineStr">
        <is>
          <t>7/12/26 - 8/8/26</t>
        </is>
      </c>
      <c r="H3388" t="n">
        <v>0</v>
      </c>
      <c r="K3388" t="inlineStr">
        <is>
          <t>Distinguished</t>
        </is>
      </c>
      <c r="M3388" t="inlineStr">
        <is>
          <t>Nikki Pencak</t>
        </is>
      </c>
    </row>
    <row r="3389">
      <c r="A3389" t="inlineStr">
        <is>
          <t>Jacob Karn</t>
        </is>
      </c>
      <c r="B3389" t="inlineStr">
        <is>
          <t>7/12/26 - 8/8/26</t>
        </is>
      </c>
      <c r="C3389" t="n">
        <v>1.1875</v>
      </c>
      <c r="D3389" t="n">
        <v>1.6693</v>
      </c>
      <c r="E3389" t="n">
        <v>0.9473684210526316</v>
      </c>
      <c r="F3389" t="n">
        <v>0.672</v>
      </c>
      <c r="G3389" t="n">
        <v>0.6666666666666666</v>
      </c>
      <c r="H3389" t="n">
        <v>222</v>
      </c>
      <c r="J3389" t="n">
        <v>0.8571428571428571</v>
      </c>
      <c r="K3389" t="inlineStr">
        <is>
          <t>Distinguished</t>
        </is>
      </c>
      <c r="M3389" t="inlineStr">
        <is>
          <t>Geoff St. Marie</t>
        </is>
      </c>
      <c r="N3389" t="n">
        <v>1</v>
      </c>
      <c r="O3389" t="n">
        <v>3.8</v>
      </c>
    </row>
    <row r="3390">
      <c r="A3390" t="inlineStr">
        <is>
          <t>Jake Corvino</t>
        </is>
      </c>
      <c r="B3390" t="inlineStr">
        <is>
          <t>7/12/26 - 8/8/26</t>
        </is>
      </c>
      <c r="C3390" t="n">
        <v>0.75</v>
      </c>
      <c r="D3390" t="n">
        <v>1.0781</v>
      </c>
      <c r="E3390" t="n">
        <v>1</v>
      </c>
      <c r="F3390" t="n">
        <v>1</v>
      </c>
      <c r="G3390" t="n">
        <v>0.25</v>
      </c>
      <c r="H3390" t="n">
        <v>92</v>
      </c>
      <c r="J3390" t="n">
        <v>0</v>
      </c>
      <c r="K3390" t="inlineStr">
        <is>
          <t>Distinguished</t>
        </is>
      </c>
      <c r="M3390" t="inlineStr">
        <is>
          <t>Ela Cross</t>
        </is>
      </c>
      <c r="N3390" t="n">
        <v>0.96875</v>
      </c>
    </row>
    <row r="3391">
      <c r="A3391" t="inlineStr">
        <is>
          <t>James Falconer</t>
        </is>
      </c>
      <c r="B3391" t="inlineStr">
        <is>
          <t>7/12/26 - 8/8/26</t>
        </is>
      </c>
      <c r="C3391" t="n">
        <v>0.6143</v>
      </c>
      <c r="D3391" t="n">
        <v>0.7994</v>
      </c>
      <c r="E3391" t="n">
        <v>0.9736842105263158</v>
      </c>
      <c r="F3391" t="n">
        <v>0.793</v>
      </c>
      <c r="G3391" t="n">
        <v>0.88</v>
      </c>
      <c r="H3391" t="n">
        <v>168</v>
      </c>
      <c r="J3391" t="n">
        <v>1</v>
      </c>
      <c r="K3391" t="inlineStr">
        <is>
          <t>Distinguished</t>
        </is>
      </c>
      <c r="M3391" t="inlineStr">
        <is>
          <t>Geoff St. Marie</t>
        </is>
      </c>
      <c r="N3391" t="n">
        <v>0.977777777777778</v>
      </c>
      <c r="O3391" t="n">
        <v>6.416666666666666</v>
      </c>
    </row>
    <row r="3392">
      <c r="A3392" t="inlineStr">
        <is>
          <t>James Shoemake</t>
        </is>
      </c>
      <c r="B3392" t="inlineStr">
        <is>
          <t>7/12/26 - 8/8/26</t>
        </is>
      </c>
      <c r="C3392" t="n">
        <v>0.0762</v>
      </c>
      <c r="D3392" t="n">
        <v>0.6279</v>
      </c>
      <c r="E3392" t="n">
        <v>1</v>
      </c>
      <c r="F3392" t="n">
        <v>0.75</v>
      </c>
      <c r="H3392" t="n">
        <v>4</v>
      </c>
      <c r="J3392" t="n">
        <v>0.75</v>
      </c>
      <c r="K3392" t="inlineStr">
        <is>
          <t>Distinguished</t>
        </is>
      </c>
      <c r="M3392" t="inlineStr">
        <is>
          <t>Nikki Pencak</t>
        </is>
      </c>
      <c r="N3392" t="n">
        <v>0.3333333333333333</v>
      </c>
    </row>
    <row r="3393">
      <c r="A3393" t="inlineStr">
        <is>
          <t>Jason Anderson</t>
        </is>
      </c>
      <c r="B3393" t="inlineStr">
        <is>
          <t>7/12/26 - 8/8/26</t>
        </is>
      </c>
      <c r="C3393" t="n">
        <v>0.9667</v>
      </c>
      <c r="D3393" t="n">
        <v>1.1102</v>
      </c>
      <c r="E3393" t="n">
        <v>0.9396551724137931</v>
      </c>
      <c r="F3393" t="n">
        <v>0.838</v>
      </c>
      <c r="G3393" t="n">
        <v>1</v>
      </c>
      <c r="H3393" t="n">
        <v>204</v>
      </c>
      <c r="J3393" t="n">
        <v>0.5714285714285714</v>
      </c>
      <c r="K3393" t="inlineStr">
        <is>
          <t>Advanced</t>
        </is>
      </c>
      <c r="M3393" t="inlineStr">
        <is>
          <t>Kristin Haase-Alvey</t>
        </is>
      </c>
      <c r="N3393" t="n">
        <v>0.975</v>
      </c>
      <c r="O3393" t="n">
        <v>7.833333333333334</v>
      </c>
    </row>
    <row r="3394">
      <c r="A3394" t="inlineStr">
        <is>
          <t>Jason Keller</t>
        </is>
      </c>
      <c r="B3394" t="inlineStr">
        <is>
          <t>7/12/26 - 8/8/26</t>
        </is>
      </c>
      <c r="C3394" t="n">
        <v>0.7542</v>
      </c>
      <c r="D3394" t="n">
        <v>0.8109</v>
      </c>
      <c r="E3394" t="n">
        <v>0.9885057471264368</v>
      </c>
      <c r="F3394" t="n">
        <v>0.945</v>
      </c>
      <c r="G3394" t="n">
        <v>0.9565217391304348</v>
      </c>
      <c r="H3394" t="n">
        <v>50</v>
      </c>
      <c r="J3394" t="n">
        <v>1</v>
      </c>
      <c r="K3394" t="inlineStr">
        <is>
          <t>Premium</t>
        </is>
      </c>
      <c r="M3394" t="inlineStr">
        <is>
          <t>Kristin Haase-Alvey</t>
        </is>
      </c>
      <c r="N3394" t="n">
        <v>0.7952991452991452</v>
      </c>
      <c r="O3394" t="n">
        <v>7.388888888888889</v>
      </c>
    </row>
    <row r="3395">
      <c r="A3395" t="inlineStr">
        <is>
          <t>Jason Noble</t>
        </is>
      </c>
      <c r="B3395" t="inlineStr">
        <is>
          <t>7/12/26 - 8/8/26</t>
        </is>
      </c>
      <c r="C3395" t="n">
        <v>0.625</v>
      </c>
      <c r="D3395" t="n">
        <v>1.0461</v>
      </c>
      <c r="E3395" t="n">
        <v>0.9733333333333334</v>
      </c>
      <c r="F3395" t="n">
        <v>0.98</v>
      </c>
      <c r="G3395" t="n">
        <v>0.9375</v>
      </c>
      <c r="H3395" t="n">
        <v>108</v>
      </c>
      <c r="J3395" t="n">
        <v>1</v>
      </c>
      <c r="K3395" t="inlineStr">
        <is>
          <t>Distinguished</t>
        </is>
      </c>
      <c r="M3395" t="inlineStr">
        <is>
          <t>Kristin Haase-Alvey</t>
        </is>
      </c>
      <c r="N3395" t="n">
        <v>0.9791666666666666</v>
      </c>
      <c r="O3395" t="n">
        <v>8.5</v>
      </c>
    </row>
    <row r="3396">
      <c r="A3396" t="inlineStr">
        <is>
          <t>Jayna Boaz</t>
        </is>
      </c>
      <c r="B3396" t="inlineStr">
        <is>
          <t>7/12/26 - 8/8/26</t>
        </is>
      </c>
      <c r="C3396" t="n">
        <v>1.1458</v>
      </c>
      <c r="D3396" t="n">
        <v>2.0781</v>
      </c>
      <c r="E3396" t="n">
        <v>0.9636363636363636</v>
      </c>
      <c r="F3396" t="n">
        <v>1</v>
      </c>
      <c r="G3396" t="n">
        <v>0.4</v>
      </c>
      <c r="H3396" t="n">
        <v>88</v>
      </c>
      <c r="J3396" t="n">
        <v>0.5</v>
      </c>
      <c r="K3396" t="inlineStr">
        <is>
          <t>Advanced</t>
        </is>
      </c>
      <c r="M3396" t="inlineStr">
        <is>
          <t>Ela Cross</t>
        </is>
      </c>
      <c r="N3396" t="n">
        <v>0.7619047619047619</v>
      </c>
      <c r="O3396" t="n">
        <v>7</v>
      </c>
    </row>
    <row r="3397">
      <c r="A3397" t="inlineStr">
        <is>
          <t>Jenn Thompson</t>
        </is>
      </c>
      <c r="B3397" t="inlineStr">
        <is>
          <t>7/12/26 - 8/8/26</t>
        </is>
      </c>
      <c r="C3397" t="n">
        <v>0.875</v>
      </c>
      <c r="D3397" t="n">
        <v>1.2578</v>
      </c>
      <c r="E3397" t="n">
        <v>0.9761904761904762</v>
      </c>
      <c r="F3397" t="n">
        <v>0.903</v>
      </c>
      <c r="G3397" t="n">
        <v>0.25</v>
      </c>
      <c r="H3397" t="n">
        <v>12</v>
      </c>
      <c r="J3397" t="n">
        <v>0.5</v>
      </c>
      <c r="K3397" t="inlineStr">
        <is>
          <t>Advanced</t>
        </is>
      </c>
      <c r="M3397" t="inlineStr">
        <is>
          <t>Kristin Haase-Alvey</t>
        </is>
      </c>
      <c r="N3397" t="n">
        <v>1</v>
      </c>
    </row>
    <row r="3398">
      <c r="A3398" t="inlineStr">
        <is>
          <t>Jennifer Hernandez</t>
        </is>
      </c>
      <c r="B3398" t="inlineStr">
        <is>
          <t>7/12/26 - 8/8/26</t>
        </is>
      </c>
      <c r="C3398" t="n">
        <v>0.6063</v>
      </c>
      <c r="D3398" t="n">
        <v>1.0234</v>
      </c>
      <c r="E3398" t="n">
        <v>0.979591836734694</v>
      </c>
      <c r="F3398" t="n">
        <v>1</v>
      </c>
      <c r="G3398" t="n">
        <v>0.8333333333333334</v>
      </c>
      <c r="H3398" t="n">
        <v>12</v>
      </c>
      <c r="J3398" t="n">
        <v>1</v>
      </c>
      <c r="K3398" t="inlineStr">
        <is>
          <t>Distinguished</t>
        </is>
      </c>
      <c r="M3398" t="inlineStr">
        <is>
          <t>Kristin Haase-Alvey</t>
        </is>
      </c>
      <c r="N3398" t="n">
        <v>0.925</v>
      </c>
      <c r="O3398" t="n">
        <v>7.75</v>
      </c>
    </row>
    <row r="3399">
      <c r="A3399" t="inlineStr">
        <is>
          <t>Jesse Squires</t>
        </is>
      </c>
      <c r="B3399" t="inlineStr">
        <is>
          <t>7/12/26 - 8/8/26</t>
        </is>
      </c>
      <c r="C3399" t="n">
        <v>0.775</v>
      </c>
      <c r="D3399" t="n">
        <v>1.0559</v>
      </c>
      <c r="E3399" t="n">
        <v>1</v>
      </c>
      <c r="F3399" t="n">
        <v>0.984</v>
      </c>
      <c r="G3399" t="n">
        <v>0.8947368421052632</v>
      </c>
      <c r="H3399" t="n">
        <v>164</v>
      </c>
      <c r="J3399" t="n">
        <v>0.5</v>
      </c>
      <c r="K3399" t="inlineStr">
        <is>
          <t>Distinguished</t>
        </is>
      </c>
      <c r="M3399" t="inlineStr">
        <is>
          <t>Kristin Haase-Alvey</t>
        </is>
      </c>
      <c r="N3399" t="n">
        <v>0.9821428571428572</v>
      </c>
      <c r="O3399" t="n">
        <v>6.088888888888889</v>
      </c>
    </row>
    <row r="3400">
      <c r="A3400" t="inlineStr">
        <is>
          <t>Jessica Menkhus</t>
        </is>
      </c>
      <c r="B3400" t="inlineStr">
        <is>
          <t>7/12/26 - 8/8/26</t>
        </is>
      </c>
      <c r="C3400" t="n">
        <v>0.8229</v>
      </c>
      <c r="D3400" t="n">
        <v>1.7461</v>
      </c>
      <c r="E3400" t="n">
        <v>1</v>
      </c>
      <c r="F3400" t="n">
        <v>1</v>
      </c>
      <c r="G3400" t="n">
        <v>1</v>
      </c>
      <c r="H3400" t="n">
        <v>22</v>
      </c>
      <c r="J3400" t="n">
        <v>0.6666666666666666</v>
      </c>
      <c r="K3400" t="inlineStr">
        <is>
          <t>Premium</t>
        </is>
      </c>
      <c r="M3400" t="inlineStr">
        <is>
          <t>Ela Cross</t>
        </is>
      </c>
      <c r="N3400" t="n">
        <v>0.95</v>
      </c>
      <c r="O3400" t="n">
        <v>7</v>
      </c>
    </row>
    <row r="3401">
      <c r="A3401" t="inlineStr">
        <is>
          <t>Jessica Peterson</t>
        </is>
      </c>
      <c r="B3401" t="inlineStr">
        <is>
          <t>7/12/26 - 8/8/26</t>
        </is>
      </c>
      <c r="C3401" t="n">
        <v>0.9688</v>
      </c>
      <c r="D3401" t="n">
        <v>1.0352</v>
      </c>
      <c r="E3401" t="n">
        <v>0.9761904761904762</v>
      </c>
      <c r="F3401" t="n">
        <v>1</v>
      </c>
      <c r="G3401" t="n">
        <v>0.75</v>
      </c>
      <c r="H3401" t="n">
        <v>22</v>
      </c>
      <c r="J3401" t="n">
        <v>1</v>
      </c>
      <c r="K3401" t="inlineStr">
        <is>
          <t>Premium</t>
        </is>
      </c>
      <c r="M3401" t="inlineStr">
        <is>
          <t>Annelies de Groot</t>
        </is>
      </c>
      <c r="N3401" t="n">
        <v>1</v>
      </c>
      <c r="O3401" t="n">
        <v>6.833333333333333</v>
      </c>
    </row>
    <row r="3402">
      <c r="A3402" t="inlineStr">
        <is>
          <t>Jessica Wall</t>
        </is>
      </c>
      <c r="B3402" t="inlineStr">
        <is>
          <t>7/12/26 - 8/8/26</t>
        </is>
      </c>
      <c r="C3402" t="n">
        <v>0.825</v>
      </c>
      <c r="D3402" t="n">
        <v>1.0197</v>
      </c>
      <c r="E3402" t="n">
        <v>0.979591836734694</v>
      </c>
      <c r="F3402" t="n">
        <v>0.982</v>
      </c>
      <c r="G3402" t="n">
        <v>0.95</v>
      </c>
      <c r="H3402" t="n">
        <v>114</v>
      </c>
      <c r="J3402" t="n">
        <v>0.9166666666666666</v>
      </c>
      <c r="K3402" t="inlineStr">
        <is>
          <t>Distinguished</t>
        </is>
      </c>
      <c r="M3402" t="inlineStr">
        <is>
          <t>Kristin Haase-Alvey</t>
        </is>
      </c>
      <c r="N3402" t="n">
        <v>1</v>
      </c>
      <c r="O3402" t="n">
        <v>7.208333333333333</v>
      </c>
    </row>
    <row r="3403">
      <c r="A3403" t="inlineStr">
        <is>
          <t>Jill Watson</t>
        </is>
      </c>
      <c r="B3403" t="inlineStr">
        <is>
          <t>7/12/26 - 8/8/26</t>
        </is>
      </c>
      <c r="C3403" t="n">
        <v>1.0214</v>
      </c>
      <c r="D3403" t="n">
        <v>1.1599</v>
      </c>
      <c r="E3403" t="n">
        <v>1</v>
      </c>
      <c r="F3403" t="n">
        <v>0.959</v>
      </c>
      <c r="G3403" t="n">
        <v>0.625</v>
      </c>
      <c r="H3403" t="n">
        <v>295</v>
      </c>
      <c r="J3403" t="n">
        <v>0.75</v>
      </c>
      <c r="K3403" t="inlineStr">
        <is>
          <t>Distinguished</t>
        </is>
      </c>
      <c r="M3403" t="inlineStr">
        <is>
          <t>Ian Plamondon</t>
        </is>
      </c>
      <c r="N3403" t="n">
        <v>1</v>
      </c>
      <c r="O3403" t="n">
        <v>4.25</v>
      </c>
    </row>
    <row r="3404">
      <c r="A3404" t="inlineStr">
        <is>
          <t>Jimmy Works</t>
        </is>
      </c>
      <c r="B3404" t="inlineStr">
        <is>
          <t>7/12/26 - 8/8/26</t>
        </is>
      </c>
      <c r="C3404" t="n">
        <v>0.5417</v>
      </c>
      <c r="D3404" t="n">
        <v>1.0156</v>
      </c>
      <c r="E3404" t="n">
        <v>1</v>
      </c>
      <c r="F3404" t="n">
        <v>1</v>
      </c>
      <c r="G3404" t="n">
        <v>0.7142857142857143</v>
      </c>
      <c r="H3404" t="n">
        <v>16</v>
      </c>
      <c r="K3404" t="inlineStr">
        <is>
          <t>Distinguished</t>
        </is>
      </c>
      <c r="M3404" t="inlineStr">
        <is>
          <t>Kristin Haase-Alvey</t>
        </is>
      </c>
      <c r="N3404" t="n">
        <v>1</v>
      </c>
      <c r="O3404" t="n">
        <v>7.666666666666667</v>
      </c>
    </row>
    <row r="3405">
      <c r="A3405" t="inlineStr">
        <is>
          <t>John Corbett</t>
        </is>
      </c>
      <c r="B3405" t="inlineStr">
        <is>
          <t>7/12/26 - 8/8/26</t>
        </is>
      </c>
      <c r="C3405" t="n">
        <v>0.3625</v>
      </c>
      <c r="D3405" t="n">
        <v>0.7604</v>
      </c>
      <c r="E3405" t="n">
        <v>1</v>
      </c>
      <c r="F3405" t="n">
        <v>1</v>
      </c>
      <c r="G3405" t="n">
        <v>0.4</v>
      </c>
      <c r="H3405" t="n">
        <v>72</v>
      </c>
      <c r="J3405" t="n">
        <v>0.25</v>
      </c>
      <c r="K3405" t="inlineStr">
        <is>
          <t>Distinguished</t>
        </is>
      </c>
      <c r="M3405" t="inlineStr">
        <is>
          <t>Geoff St. Marie</t>
        </is>
      </c>
      <c r="N3405" t="n">
        <v>1</v>
      </c>
      <c r="O3405" t="n">
        <v>4</v>
      </c>
    </row>
    <row r="3406">
      <c r="A3406" t="inlineStr">
        <is>
          <t>John Licitra</t>
        </is>
      </c>
      <c r="B3406" t="inlineStr">
        <is>
          <t>7/12/26 - 8/8/26</t>
        </is>
      </c>
      <c r="C3406" t="n">
        <v>0.4667</v>
      </c>
      <c r="D3406" t="n">
        <v>1.028</v>
      </c>
      <c r="E3406" t="n">
        <v>1</v>
      </c>
      <c r="F3406" t="n">
        <v>0.929</v>
      </c>
      <c r="G3406" t="n">
        <v>0.6666666666666666</v>
      </c>
      <c r="H3406" t="n">
        <v>100</v>
      </c>
      <c r="J3406" t="n">
        <v>0.4444444444444444</v>
      </c>
      <c r="K3406" t="inlineStr">
        <is>
          <t>Distinguished</t>
        </is>
      </c>
      <c r="M3406" t="inlineStr">
        <is>
          <t>Geoff St. Marie</t>
        </is>
      </c>
      <c r="N3406" t="n">
        <v>1</v>
      </c>
      <c r="O3406" t="n">
        <v>7.666666666666667</v>
      </c>
    </row>
    <row r="3407">
      <c r="A3407" t="inlineStr">
        <is>
          <t>John Olmos</t>
        </is>
      </c>
      <c r="B3407" t="inlineStr">
        <is>
          <t>7/12/26 - 8/8/26</t>
        </is>
      </c>
      <c r="C3407" t="n">
        <v>1.0042</v>
      </c>
      <c r="D3407" t="n">
        <v>1.1168</v>
      </c>
      <c r="E3407" t="n">
        <v>1</v>
      </c>
      <c r="F3407" t="n">
        <v>0.985</v>
      </c>
      <c r="G3407" t="n">
        <v>0.85</v>
      </c>
      <c r="H3407" t="n">
        <v>40</v>
      </c>
      <c r="J3407" t="n">
        <v>0.2</v>
      </c>
      <c r="K3407" t="inlineStr">
        <is>
          <t>Distinguished</t>
        </is>
      </c>
      <c r="M3407" t="inlineStr">
        <is>
          <t>Geoff St. Marie</t>
        </is>
      </c>
      <c r="N3407" t="n">
        <v>0.951255341880342</v>
      </c>
      <c r="O3407" t="n">
        <v>6.7</v>
      </c>
    </row>
    <row r="3408">
      <c r="A3408" t="inlineStr">
        <is>
          <t>John Salcedo</t>
        </is>
      </c>
      <c r="B3408" t="inlineStr">
        <is>
          <t>7/12/26 - 8/8/26</t>
        </is>
      </c>
      <c r="C3408" t="n">
        <v>0.8643</v>
      </c>
      <c r="D3408" t="n">
        <v>1.0233</v>
      </c>
      <c r="E3408" t="n">
        <v>0.9658119658119658</v>
      </c>
      <c r="F3408" t="n">
        <v>1</v>
      </c>
      <c r="G3408" t="n">
        <v>0.2727272727272727</v>
      </c>
      <c r="H3408" t="n">
        <v>186</v>
      </c>
      <c r="J3408" t="n">
        <v>0.3333333333333333</v>
      </c>
      <c r="K3408" t="inlineStr">
        <is>
          <t>Distinguished</t>
        </is>
      </c>
      <c r="M3408" t="inlineStr">
        <is>
          <t>Ela Cross</t>
        </is>
      </c>
      <c r="N3408" t="n">
        <v>0.8522408963585434</v>
      </c>
    </row>
    <row r="3409">
      <c r="A3409" t="inlineStr">
        <is>
          <t>Johnny Kaplan</t>
        </is>
      </c>
      <c r="B3409" t="inlineStr">
        <is>
          <t>7/12/26 - 8/8/26</t>
        </is>
      </c>
      <c r="C3409" t="n">
        <v>0.5208</v>
      </c>
      <c r="D3409" t="n">
        <v>0.8633</v>
      </c>
      <c r="E3409" t="n">
        <v>1</v>
      </c>
      <c r="F3409" t="n">
        <v>1</v>
      </c>
      <c r="G3409" t="n">
        <v>0.1666666666666667</v>
      </c>
      <c r="H3409" t="n">
        <v>20</v>
      </c>
      <c r="J3409" t="n">
        <v>0.6666666666666666</v>
      </c>
      <c r="K3409" t="inlineStr">
        <is>
          <t>Advanced</t>
        </is>
      </c>
      <c r="M3409" t="inlineStr">
        <is>
          <t>Ian Plamondon</t>
        </is>
      </c>
      <c r="N3409" t="n">
        <v>1</v>
      </c>
      <c r="O3409" t="n">
        <v>7</v>
      </c>
    </row>
    <row r="3410">
      <c r="A3410" t="inlineStr">
        <is>
          <t>Jon Cathapermal</t>
        </is>
      </c>
      <c r="B3410" t="inlineStr">
        <is>
          <t>7/12/26 - 8/8/26</t>
        </is>
      </c>
      <c r="C3410" t="n">
        <v>0.9286</v>
      </c>
      <c r="D3410" t="n">
        <v>0.9288</v>
      </c>
      <c r="E3410" t="n">
        <v>0.9846153846153848</v>
      </c>
      <c r="F3410" t="n">
        <v>0.9419999999999999</v>
      </c>
      <c r="G3410" t="n">
        <v>0.7916666666666666</v>
      </c>
      <c r="H3410" t="n">
        <v>88</v>
      </c>
      <c r="J3410" t="n">
        <v>0.7142857142857143</v>
      </c>
      <c r="K3410" t="inlineStr">
        <is>
          <t>Distinguished</t>
        </is>
      </c>
      <c r="M3410" t="inlineStr">
        <is>
          <t>Geoff St. Marie</t>
        </is>
      </c>
      <c r="N3410" t="n">
        <v>1</v>
      </c>
      <c r="O3410" t="n">
        <v>7.902777777777779</v>
      </c>
    </row>
    <row r="3411">
      <c r="A3411" t="inlineStr">
        <is>
          <t>Joyraj D'souza</t>
        </is>
      </c>
      <c r="B3411" t="inlineStr">
        <is>
          <t>7/12/26 - 8/8/26</t>
        </is>
      </c>
      <c r="C3411" t="n">
        <v>0.3941</v>
      </c>
      <c r="D3411" t="n">
        <v>1.082</v>
      </c>
      <c r="E3411" t="n">
        <v>1</v>
      </c>
      <c r="F3411" t="n">
        <v>1</v>
      </c>
      <c r="G3411" t="n">
        <v>1</v>
      </c>
      <c r="H3411" t="n">
        <v>36</v>
      </c>
      <c r="K3411" t="inlineStr">
        <is>
          <t>Distinguished</t>
        </is>
      </c>
      <c r="M3411" t="inlineStr">
        <is>
          <t>Kristin Haase-Alvey</t>
        </is>
      </c>
      <c r="N3411" t="n">
        <v>0.9166666666666666</v>
      </c>
      <c r="O3411" t="n">
        <v>6.625</v>
      </c>
    </row>
    <row r="3412">
      <c r="A3412" t="inlineStr">
        <is>
          <t>Juan Nunez</t>
        </is>
      </c>
      <c r="B3412" t="inlineStr">
        <is>
          <t>7/12/26 - 8/8/26</t>
        </is>
      </c>
      <c r="C3412" t="n">
        <v>1.0083</v>
      </c>
      <c r="D3412" t="n">
        <v>1.0789</v>
      </c>
      <c r="E3412" t="n">
        <v>1</v>
      </c>
      <c r="F3412" t="n">
        <v>1</v>
      </c>
      <c r="G3412" t="n">
        <v>0.5789473684210527</v>
      </c>
      <c r="H3412" t="n">
        <v>196</v>
      </c>
      <c r="J3412" t="n">
        <v>1</v>
      </c>
      <c r="K3412" t="inlineStr">
        <is>
          <t>Distinguished</t>
        </is>
      </c>
      <c r="M3412" t="inlineStr">
        <is>
          <t>Kristin Haase-Alvey</t>
        </is>
      </c>
      <c r="N3412" t="n">
        <v>1</v>
      </c>
      <c r="O3412" t="n">
        <v>7</v>
      </c>
    </row>
    <row r="3413">
      <c r="A3413" t="inlineStr">
        <is>
          <t>Judi Abo Hana</t>
        </is>
      </c>
      <c r="B3413" t="inlineStr">
        <is>
          <t>7/12/26 - 8/8/26</t>
        </is>
      </c>
      <c r="C3413" t="n">
        <v>1.0063</v>
      </c>
      <c r="D3413" t="n">
        <v>1.2214</v>
      </c>
      <c r="E3413" t="n">
        <v>1</v>
      </c>
      <c r="F3413" t="n">
        <v>1</v>
      </c>
      <c r="G3413" t="n">
        <v>0.8</v>
      </c>
      <c r="H3413" t="n">
        <v>176</v>
      </c>
      <c r="J3413" t="n">
        <v>0</v>
      </c>
      <c r="K3413" t="inlineStr">
        <is>
          <t>Advanced</t>
        </is>
      </c>
      <c r="M3413" t="inlineStr">
        <is>
          <t>Geoff St. Marie</t>
        </is>
      </c>
      <c r="N3413" t="n">
        <v>0.945887445887446</v>
      </c>
      <c r="O3413" t="n">
        <v>6.511904761904762</v>
      </c>
    </row>
    <row r="3414">
      <c r="A3414" t="inlineStr">
        <is>
          <t>Julia Saderholm</t>
        </is>
      </c>
      <c r="B3414" t="inlineStr">
        <is>
          <t>7/12/26 - 8/8/26</t>
        </is>
      </c>
      <c r="C3414" t="n">
        <v>0.9</v>
      </c>
      <c r="D3414" t="n">
        <v>1.0099</v>
      </c>
      <c r="E3414" t="n">
        <v>1</v>
      </c>
      <c r="F3414" t="n">
        <v>0.985</v>
      </c>
      <c r="G3414" t="n">
        <v>0.2941176470588235</v>
      </c>
      <c r="H3414" t="n">
        <v>172</v>
      </c>
      <c r="J3414" t="n">
        <v>0.7272727272727273</v>
      </c>
      <c r="K3414" t="inlineStr">
        <is>
          <t>Distinguished</t>
        </is>
      </c>
      <c r="M3414" t="inlineStr">
        <is>
          <t>Ela Cross</t>
        </is>
      </c>
      <c r="N3414" t="n">
        <v>0.9821428571428572</v>
      </c>
      <c r="O3414" t="n">
        <v>7</v>
      </c>
    </row>
    <row r="3415">
      <c r="A3415" t="inlineStr">
        <is>
          <t>Julie Byrom</t>
        </is>
      </c>
      <c r="B3415" t="inlineStr">
        <is>
          <t>7/12/26 - 8/8/26</t>
        </is>
      </c>
      <c r="C3415" t="n">
        <v>1.0083</v>
      </c>
      <c r="D3415" t="n">
        <v>1.0132</v>
      </c>
      <c r="E3415" t="n">
        <v>1</v>
      </c>
      <c r="F3415" t="n">
        <v>1</v>
      </c>
      <c r="G3415" t="n">
        <v>1</v>
      </c>
      <c r="H3415" t="n">
        <v>48</v>
      </c>
      <c r="J3415" t="n">
        <v>0.75</v>
      </c>
      <c r="K3415" t="inlineStr">
        <is>
          <t>Premium</t>
        </is>
      </c>
      <c r="M3415" t="inlineStr">
        <is>
          <t>Ela Cross</t>
        </is>
      </c>
      <c r="N3415" t="n">
        <v>0.978219696969697</v>
      </c>
      <c r="O3415" t="n">
        <v>7.333333333333333</v>
      </c>
    </row>
    <row r="3416">
      <c r="A3416" t="inlineStr">
        <is>
          <t>Justin Hill</t>
        </is>
      </c>
      <c r="B3416" t="inlineStr">
        <is>
          <t>7/12/26 - 8/8/26</t>
        </is>
      </c>
      <c r="C3416" t="n">
        <v>0.9833</v>
      </c>
      <c r="D3416" t="n">
        <v>1.0658</v>
      </c>
      <c r="E3416" t="n">
        <v>1</v>
      </c>
      <c r="F3416" t="n">
        <v>0.959</v>
      </c>
      <c r="G3416" t="n">
        <v>0.9565217391304348</v>
      </c>
      <c r="H3416" t="n">
        <v>132</v>
      </c>
      <c r="J3416" t="n">
        <v>0.8333333333333334</v>
      </c>
      <c r="K3416" t="inlineStr">
        <is>
          <t>Distinguished</t>
        </is>
      </c>
      <c r="M3416" t="inlineStr">
        <is>
          <t>Kristin Haase-Alvey</t>
        </is>
      </c>
      <c r="N3416" t="n">
        <v>1</v>
      </c>
      <c r="O3416" t="n">
        <v>5.083333333333334</v>
      </c>
    </row>
    <row r="3417">
      <c r="A3417" t="inlineStr">
        <is>
          <t>Kailot Harris</t>
        </is>
      </c>
      <c r="B3417" t="inlineStr">
        <is>
          <t>7/12/26 - 8/8/26</t>
        </is>
      </c>
      <c r="C3417" t="n">
        <v>1.0071</v>
      </c>
      <c r="D3417" t="n">
        <v>0.9956</v>
      </c>
      <c r="E3417" t="n">
        <v>1</v>
      </c>
      <c r="F3417" t="n">
        <v>0.972</v>
      </c>
      <c r="G3417" t="n">
        <v>0.9375</v>
      </c>
      <c r="H3417" t="n">
        <v>248</v>
      </c>
      <c r="J3417" t="n">
        <v>1</v>
      </c>
      <c r="K3417" t="inlineStr">
        <is>
          <t>Distinguished</t>
        </is>
      </c>
      <c r="M3417" t="inlineStr">
        <is>
          <t>Kristin Haase-Alvey</t>
        </is>
      </c>
      <c r="N3417" t="n">
        <v>0.8359025627794977</v>
      </c>
      <c r="O3417" t="n">
        <v>7.583333333333334</v>
      </c>
    </row>
    <row r="3418">
      <c r="A3418" t="inlineStr">
        <is>
          <t>Karleigh Arrington</t>
        </is>
      </c>
      <c r="B3418" t="inlineStr">
        <is>
          <t>7/12/26 - 8/8/26</t>
        </is>
      </c>
      <c r="C3418" t="n">
        <v>0.9833</v>
      </c>
      <c r="D3418" t="n">
        <v>0.8602</v>
      </c>
      <c r="E3418" t="n">
        <v>1</v>
      </c>
      <c r="F3418" t="n">
        <v>1</v>
      </c>
      <c r="G3418" t="n">
        <v>1</v>
      </c>
      <c r="H3418" t="n">
        <v>158</v>
      </c>
      <c r="J3418" t="n">
        <v>1</v>
      </c>
      <c r="K3418" t="inlineStr">
        <is>
          <t>Distinguished</t>
        </is>
      </c>
      <c r="M3418" t="inlineStr">
        <is>
          <t>Annelies de Groot</t>
        </is>
      </c>
      <c r="N3418" t="n">
        <v>1</v>
      </c>
      <c r="O3418" t="n">
        <v>7.142857142857142</v>
      </c>
    </row>
    <row r="3419">
      <c r="A3419" t="inlineStr">
        <is>
          <t>Kate Haldeman</t>
        </is>
      </c>
      <c r="B3419" t="inlineStr">
        <is>
          <t>7/12/26 - 8/8/26</t>
        </is>
      </c>
      <c r="C3419" t="n">
        <v>1.0714</v>
      </c>
      <c r="D3419" t="n">
        <v>1.0814</v>
      </c>
      <c r="E3419" t="n">
        <v>0.9865771812080536</v>
      </c>
      <c r="F3419" t="n">
        <v>1</v>
      </c>
      <c r="G3419" t="n">
        <v>0.9655172413793104</v>
      </c>
      <c r="H3419" t="n">
        <v>352</v>
      </c>
      <c r="J3419" t="n">
        <v>0</v>
      </c>
      <c r="K3419" t="inlineStr">
        <is>
          <t>Advanced</t>
        </is>
      </c>
      <c r="M3419" t="inlineStr">
        <is>
          <t>Geoff St. Marie</t>
        </is>
      </c>
      <c r="N3419" t="n">
        <v>0.9636842105263158</v>
      </c>
      <c r="O3419" t="n">
        <v>3</v>
      </c>
    </row>
    <row r="3420">
      <c r="A3420" t="inlineStr">
        <is>
          <t>Katherine Clarke</t>
        </is>
      </c>
      <c r="B3420" t="inlineStr">
        <is>
          <t>7/12/26 - 8/8/26</t>
        </is>
      </c>
      <c r="C3420" t="n">
        <v>0.5792</v>
      </c>
      <c r="D3420" t="n">
        <v>1.0345</v>
      </c>
      <c r="E3420" t="n">
        <v>1</v>
      </c>
      <c r="F3420" t="n">
        <v>0.974</v>
      </c>
      <c r="G3420" t="n">
        <v>1</v>
      </c>
      <c r="H3420" t="n">
        <v>38</v>
      </c>
      <c r="J3420" t="n">
        <v>1</v>
      </c>
      <c r="K3420" t="inlineStr">
        <is>
          <t>Distinguished</t>
        </is>
      </c>
      <c r="M3420" t="inlineStr">
        <is>
          <t>Kristin Haase-Alvey</t>
        </is>
      </c>
      <c r="N3420" t="n">
        <v>0.8666666666666667</v>
      </c>
      <c r="O3420" t="n">
        <v>7.5</v>
      </c>
    </row>
    <row r="3421">
      <c r="A3421" t="inlineStr">
        <is>
          <t>Katherine Dickerson</t>
        </is>
      </c>
      <c r="B3421" t="inlineStr">
        <is>
          <t>7/12/26 - 8/8/26</t>
        </is>
      </c>
      <c r="C3421" t="n">
        <v>1.05</v>
      </c>
      <c r="D3421" t="n">
        <v>1.2253</v>
      </c>
      <c r="E3421" t="n">
        <v>1</v>
      </c>
      <c r="F3421" t="n">
        <v>0.91</v>
      </c>
      <c r="G3421" t="n">
        <v>0.8571428571428571</v>
      </c>
      <c r="H3421" t="n">
        <v>195</v>
      </c>
      <c r="J3421" t="n">
        <v>0</v>
      </c>
      <c r="K3421" t="inlineStr">
        <is>
          <t>Premium</t>
        </is>
      </c>
      <c r="M3421" t="inlineStr">
        <is>
          <t>Geoff St. Marie</t>
        </is>
      </c>
      <c r="N3421" t="n">
        <v>1</v>
      </c>
      <c r="O3421" t="n">
        <v>5.8125</v>
      </c>
    </row>
    <row r="3422">
      <c r="A3422" t="inlineStr">
        <is>
          <t>Kiersten Guetlein</t>
        </is>
      </c>
      <c r="B3422" t="inlineStr">
        <is>
          <t>7/12/26 - 8/8/26</t>
        </is>
      </c>
      <c r="C3422" t="n">
        <v>1.1833</v>
      </c>
      <c r="D3422" t="n">
        <v>1.1168</v>
      </c>
      <c r="E3422" t="n">
        <v>0.984251968503937</v>
      </c>
      <c r="F3422" t="n">
        <v>0.9320000000000001</v>
      </c>
      <c r="G3422" t="n">
        <v>0.8260869565217391</v>
      </c>
      <c r="H3422" t="n">
        <v>116</v>
      </c>
      <c r="J3422" t="n">
        <v>1</v>
      </c>
      <c r="K3422" t="inlineStr">
        <is>
          <t>Premium</t>
        </is>
      </c>
      <c r="M3422" t="inlineStr">
        <is>
          <t>Ela Cross</t>
        </is>
      </c>
      <c r="N3422" t="n">
        <v>0.7416666666666667</v>
      </c>
      <c r="O3422" t="n">
        <v>6.805555555555556</v>
      </c>
    </row>
    <row r="3423">
      <c r="A3423" t="inlineStr">
        <is>
          <t>Kristen Fox</t>
        </is>
      </c>
      <c r="B3423" t="inlineStr">
        <is>
          <t>7/12/26 - 8/8/26</t>
        </is>
      </c>
      <c r="C3423" t="n">
        <v>0.9875</v>
      </c>
      <c r="D3423" t="n">
        <v>0.9211</v>
      </c>
      <c r="E3423" t="n">
        <v>0.8916666666666667</v>
      </c>
      <c r="F3423" t="n">
        <v>0.972</v>
      </c>
      <c r="G3423" t="n">
        <v>0.935483870967742</v>
      </c>
      <c r="H3423" t="n">
        <v>324</v>
      </c>
      <c r="J3423" t="n">
        <v>0.6666666666666666</v>
      </c>
      <c r="K3423" t="inlineStr">
        <is>
          <t>Distinguished</t>
        </is>
      </c>
      <c r="M3423" t="inlineStr">
        <is>
          <t>Kristin Haase-Alvey</t>
        </is>
      </c>
      <c r="N3423" t="n">
        <v>0.9433823529411764</v>
      </c>
      <c r="O3423" t="n">
        <v>6.399999999999999</v>
      </c>
    </row>
    <row r="3424">
      <c r="A3424" t="inlineStr">
        <is>
          <t>Kristen Luigart</t>
        </is>
      </c>
      <c r="B3424" t="inlineStr">
        <is>
          <t>7/12/26 - 8/8/26</t>
        </is>
      </c>
      <c r="C3424" t="n">
        <v>0.75</v>
      </c>
      <c r="D3424" t="n">
        <v>1.3339</v>
      </c>
      <c r="E3424" t="n">
        <v>0.813953488372093</v>
      </c>
      <c r="F3424" t="n">
        <v>0.792</v>
      </c>
      <c r="G3424" t="n">
        <v>0.7777777777777778</v>
      </c>
      <c r="H3424" t="n">
        <v>69</v>
      </c>
      <c r="J3424" t="n">
        <v>0.8</v>
      </c>
      <c r="K3424" t="inlineStr">
        <is>
          <t>Distinguished</t>
        </is>
      </c>
      <c r="M3424" t="inlineStr">
        <is>
          <t>Ian Plamondon</t>
        </is>
      </c>
      <c r="N3424" t="n">
        <v>0.7747252747252746</v>
      </c>
      <c r="O3424" t="n">
        <v>6.5</v>
      </c>
    </row>
    <row r="3425">
      <c r="A3425" t="inlineStr">
        <is>
          <t>Lana Kargetta</t>
        </is>
      </c>
      <c r="B3425" t="inlineStr">
        <is>
          <t>7/12/26 - 8/8/26</t>
        </is>
      </c>
      <c r="C3425" t="n">
        <v>0.5</v>
      </c>
      <c r="D3425" t="n">
        <v>1.207</v>
      </c>
      <c r="E3425" t="n">
        <v>1</v>
      </c>
      <c r="F3425" t="n">
        <v>0.5</v>
      </c>
      <c r="G3425" t="n">
        <v>1</v>
      </c>
      <c r="H3425" t="n">
        <v>92</v>
      </c>
      <c r="K3425" t="inlineStr">
        <is>
          <t>Advanced</t>
        </is>
      </c>
      <c r="M3425" t="inlineStr">
        <is>
          <t>Geoff St. Marie</t>
        </is>
      </c>
      <c r="N3425" t="n">
        <v>1</v>
      </c>
      <c r="O3425" t="n">
        <v>5.5</v>
      </c>
    </row>
    <row r="3426">
      <c r="A3426" t="inlineStr">
        <is>
          <t>Levi Fox</t>
        </is>
      </c>
      <c r="B3426" t="inlineStr">
        <is>
          <t>7/12/26 - 8/8/26</t>
        </is>
      </c>
      <c r="C3426" t="n">
        <v>0.4875</v>
      </c>
      <c r="D3426" t="n">
        <v>0.8569</v>
      </c>
      <c r="E3426" t="n">
        <v>1</v>
      </c>
      <c r="F3426" t="n">
        <v>0.919</v>
      </c>
      <c r="G3426" t="n">
        <v>1</v>
      </c>
      <c r="H3426" t="n">
        <v>40</v>
      </c>
      <c r="J3426" t="n">
        <v>0.8333333333333334</v>
      </c>
      <c r="K3426" t="inlineStr">
        <is>
          <t>Premium</t>
        </is>
      </c>
      <c r="M3426" t="inlineStr">
        <is>
          <t>Geoff St. Marie</t>
        </is>
      </c>
      <c r="N3426" t="n">
        <v>1</v>
      </c>
      <c r="O3426" t="n">
        <v>8.199999999999999</v>
      </c>
    </row>
    <row r="3427">
      <c r="A3427" t="inlineStr">
        <is>
          <t>Lisa Bartle</t>
        </is>
      </c>
      <c r="B3427" t="inlineStr">
        <is>
          <t>7/12/26 - 8/8/26</t>
        </is>
      </c>
      <c r="C3427" t="n">
        <v>1.2813</v>
      </c>
      <c r="D3427" t="n">
        <v>1.1992</v>
      </c>
      <c r="E3427" t="n">
        <v>0.98</v>
      </c>
      <c r="F3427" t="n">
        <v>1</v>
      </c>
      <c r="G3427" t="n">
        <v>1</v>
      </c>
      <c r="H3427" t="n">
        <v>62</v>
      </c>
      <c r="K3427" t="inlineStr">
        <is>
          <t>Premium</t>
        </is>
      </c>
      <c r="M3427" t="inlineStr">
        <is>
          <t>Annelies de Groot</t>
        </is>
      </c>
      <c r="N3427" t="n">
        <v>0.3571428571428571</v>
      </c>
      <c r="O3427" t="n">
        <v>4</v>
      </c>
    </row>
    <row r="3428">
      <c r="A3428" t="inlineStr">
        <is>
          <t>Liz Garcia</t>
        </is>
      </c>
      <c r="B3428" t="inlineStr">
        <is>
          <t>7/12/26 - 8/8/26</t>
        </is>
      </c>
      <c r="C3428" t="n">
        <v>0.8375</v>
      </c>
      <c r="D3428" t="n">
        <v>1.1316</v>
      </c>
      <c r="E3428" t="n">
        <v>1</v>
      </c>
      <c r="F3428" t="n">
        <v>1</v>
      </c>
      <c r="G3428" t="n">
        <v>0.5333333333333333</v>
      </c>
      <c r="H3428" t="n">
        <v>221</v>
      </c>
      <c r="J3428" t="n">
        <v>0.6666666666666666</v>
      </c>
      <c r="K3428" t="inlineStr">
        <is>
          <t>Distinguished</t>
        </is>
      </c>
      <c r="M3428" t="inlineStr">
        <is>
          <t>Geoff St. Marie</t>
        </is>
      </c>
      <c r="N3428" t="n">
        <v>0.9375</v>
      </c>
      <c r="O3428" t="n">
        <v>5.125</v>
      </c>
    </row>
    <row r="3429">
      <c r="A3429" t="inlineStr">
        <is>
          <t>Liz Pirie</t>
        </is>
      </c>
      <c r="B3429" t="inlineStr">
        <is>
          <t>7/12/26 - 8/8/26</t>
        </is>
      </c>
      <c r="C3429" t="n">
        <v>0.8625</v>
      </c>
      <c r="D3429" t="n">
        <v>1.0197</v>
      </c>
      <c r="E3429" t="n">
        <v>1</v>
      </c>
      <c r="F3429" t="n">
        <v>1</v>
      </c>
      <c r="G3429" t="n">
        <v>1</v>
      </c>
      <c r="H3429" t="n">
        <v>49</v>
      </c>
      <c r="J3429" t="n">
        <v>1</v>
      </c>
      <c r="K3429" t="inlineStr">
        <is>
          <t>Premium</t>
        </is>
      </c>
      <c r="M3429" t="inlineStr">
        <is>
          <t>Kristin Haase-Alvey</t>
        </is>
      </c>
      <c r="N3429" t="n">
        <v>0.9198717948717948</v>
      </c>
      <c r="O3429" t="n">
        <v>8.333333333333332</v>
      </c>
    </row>
    <row r="3430">
      <c r="A3430" t="inlineStr">
        <is>
          <t>Loren Lijewski</t>
        </is>
      </c>
      <c r="B3430" t="inlineStr">
        <is>
          <t>7/12/26 - 8/8/26</t>
        </is>
      </c>
      <c r="C3430" t="n">
        <v>1.1042</v>
      </c>
      <c r="D3430" t="n">
        <v>1.1328</v>
      </c>
      <c r="E3430" t="n">
        <v>1</v>
      </c>
      <c r="F3430" t="n">
        <v>0.925</v>
      </c>
      <c r="G3430" t="n">
        <v>1</v>
      </c>
      <c r="H3430" t="n">
        <v>84</v>
      </c>
      <c r="J3430" t="n">
        <v>0</v>
      </c>
      <c r="K3430" t="inlineStr">
        <is>
          <t>Advanced</t>
        </is>
      </c>
      <c r="M3430" t="inlineStr">
        <is>
          <t>Annelies de Groot</t>
        </is>
      </c>
      <c r="N3430" t="n">
        <v>0.975</v>
      </c>
      <c r="O3430" t="n">
        <v>8.888888888888888</v>
      </c>
    </row>
    <row r="3431">
      <c r="A3431" t="inlineStr">
        <is>
          <t>Machaela Verhage</t>
        </is>
      </c>
      <c r="B3431" t="inlineStr">
        <is>
          <t>7/12/26 - 8/8/26</t>
        </is>
      </c>
      <c r="C3431" t="n">
        <v>0.5917</v>
      </c>
      <c r="D3431" t="n">
        <v>0.9556</v>
      </c>
      <c r="E3431" t="n">
        <v>1</v>
      </c>
      <c r="F3431" t="n">
        <v>0.977</v>
      </c>
      <c r="G3431" t="n">
        <v>0.5714285714285714</v>
      </c>
      <c r="H3431" t="n">
        <v>0</v>
      </c>
      <c r="J3431" t="n">
        <v>0.8</v>
      </c>
      <c r="K3431" t="inlineStr">
        <is>
          <t>Premium</t>
        </is>
      </c>
      <c r="M3431" t="inlineStr">
        <is>
          <t>Annelies de Groot</t>
        </is>
      </c>
      <c r="N3431" t="n">
        <v>0.9791666666666666</v>
      </c>
      <c r="O3431" t="n">
        <v>7</v>
      </c>
    </row>
    <row r="3432">
      <c r="A3432" t="inlineStr">
        <is>
          <t>Madia Banda</t>
        </is>
      </c>
      <c r="B3432" t="inlineStr">
        <is>
          <t>7/12/26 - 8/8/26</t>
        </is>
      </c>
      <c r="C3432" t="n">
        <v>0.7857</v>
      </c>
      <c r="D3432" t="n">
        <v>0.9389999999999999</v>
      </c>
      <c r="E3432" t="n">
        <v>0.9809523809523808</v>
      </c>
      <c r="F3432" t="n">
        <v>0.889</v>
      </c>
      <c r="G3432" t="n">
        <v>0.9666666666666668</v>
      </c>
      <c r="H3432" t="n">
        <v>308</v>
      </c>
      <c r="J3432" t="n">
        <v>0.75</v>
      </c>
      <c r="K3432" t="inlineStr">
        <is>
          <t>Advanced</t>
        </is>
      </c>
      <c r="M3432" t="inlineStr">
        <is>
          <t>Geoff St. Marie</t>
        </is>
      </c>
      <c r="N3432" t="n">
        <v>0.9027777777777778</v>
      </c>
      <c r="O3432" t="n">
        <v>9.388888888888889</v>
      </c>
    </row>
    <row r="3433">
      <c r="A3433" t="inlineStr">
        <is>
          <t>Maia Gerlinger</t>
        </is>
      </c>
      <c r="B3433" t="inlineStr">
        <is>
          <t>7/12/26 - 8/8/26</t>
        </is>
      </c>
      <c r="C3433" t="n">
        <v>1.5</v>
      </c>
      <c r="D3433" t="n">
        <v>1.2305</v>
      </c>
      <c r="E3433" t="n">
        <v>1</v>
      </c>
      <c r="F3433" t="n">
        <v>0.917</v>
      </c>
      <c r="G3433" t="n">
        <v>0.875</v>
      </c>
      <c r="H3433" t="n">
        <v>16</v>
      </c>
      <c r="J3433" t="n">
        <v>0</v>
      </c>
      <c r="K3433" t="inlineStr">
        <is>
          <t>Distinguished</t>
        </is>
      </c>
      <c r="M3433" t="inlineStr">
        <is>
          <t>Annelies de Groot</t>
        </is>
      </c>
      <c r="N3433" t="n">
        <v>0.9772727272727272</v>
      </c>
      <c r="O3433" t="n">
        <v>6.125</v>
      </c>
    </row>
    <row r="3434">
      <c r="A3434" t="inlineStr">
        <is>
          <t>Margaret Webb</t>
        </is>
      </c>
      <c r="B3434" t="inlineStr">
        <is>
          <t>7/12/26 - 8/8/26</t>
        </is>
      </c>
      <c r="C3434" t="n">
        <v>1.1393</v>
      </c>
      <c r="D3434" t="n">
        <v>1.0044</v>
      </c>
      <c r="E3434" t="n">
        <v>0.981132075471698</v>
      </c>
      <c r="F3434" t="n">
        <v>1</v>
      </c>
      <c r="G3434" t="n">
        <v>0.9722222222222222</v>
      </c>
      <c r="H3434" t="n">
        <v>292</v>
      </c>
      <c r="J3434" t="n">
        <v>1</v>
      </c>
      <c r="K3434" t="inlineStr">
        <is>
          <t>Distinguished</t>
        </is>
      </c>
      <c r="M3434" t="inlineStr">
        <is>
          <t>Kristin Haase-Alvey</t>
        </is>
      </c>
      <c r="N3434" t="n">
        <v>0.9903846153846154</v>
      </c>
      <c r="O3434" t="n">
        <v>7.775</v>
      </c>
    </row>
    <row r="3435">
      <c r="A3435" t="inlineStr">
        <is>
          <t>Mary Felix</t>
        </is>
      </c>
      <c r="B3435" t="inlineStr">
        <is>
          <t>7/12/26 - 8/8/26</t>
        </is>
      </c>
      <c r="C3435" t="n">
        <v>0.7313</v>
      </c>
      <c r="D3435" t="n">
        <v>1.2632</v>
      </c>
      <c r="E3435" t="n">
        <v>0.9647058823529412</v>
      </c>
      <c r="F3435" t="n">
        <v>1</v>
      </c>
      <c r="G3435" t="n">
        <v>0.8235294117647058</v>
      </c>
      <c r="H3435" t="n">
        <v>41</v>
      </c>
      <c r="J3435" t="n">
        <v>0</v>
      </c>
      <c r="K3435" t="inlineStr">
        <is>
          <t>Premium</t>
        </is>
      </c>
      <c r="M3435" t="inlineStr">
        <is>
          <t>Ian Plamondon</t>
        </is>
      </c>
      <c r="N3435" t="n">
        <v>0.7274572649572649</v>
      </c>
      <c r="O3435" t="n">
        <v>4.8</v>
      </c>
    </row>
    <row r="3436">
      <c r="A3436" t="inlineStr">
        <is>
          <t>Mary Logan</t>
        </is>
      </c>
      <c r="B3436" t="inlineStr">
        <is>
          <t>7/12/26 - 8/8/26</t>
        </is>
      </c>
      <c r="C3436" t="n">
        <v>1.125</v>
      </c>
      <c r="D3436" t="n">
        <v>1.0378</v>
      </c>
      <c r="E3436" t="n">
        <v>1</v>
      </c>
      <c r="F3436" t="n">
        <v>0.988</v>
      </c>
      <c r="G3436" t="n">
        <v>0.96</v>
      </c>
      <c r="H3436" t="n">
        <v>208</v>
      </c>
      <c r="J3436" t="n">
        <v>1</v>
      </c>
      <c r="K3436" t="inlineStr">
        <is>
          <t>Distinguished</t>
        </is>
      </c>
      <c r="M3436" t="inlineStr">
        <is>
          <t>Ela Cross</t>
        </is>
      </c>
      <c r="N3436" t="n">
        <v>0.943181818181818</v>
      </c>
      <c r="O3436" t="n">
        <v>3.425</v>
      </c>
    </row>
    <row r="3437">
      <c r="A3437" t="inlineStr">
        <is>
          <t>Matthew Urso</t>
        </is>
      </c>
      <c r="B3437" t="inlineStr">
        <is>
          <t>7/12/26 - 8/8/26</t>
        </is>
      </c>
      <c r="C3437" t="n">
        <v>1</v>
      </c>
      <c r="D3437" t="n">
        <v>1.0313</v>
      </c>
      <c r="E3437" t="n">
        <v>1</v>
      </c>
      <c r="F3437" t="n">
        <v>1</v>
      </c>
      <c r="G3437" t="n">
        <v>0.9047619047619048</v>
      </c>
      <c r="H3437" t="n">
        <v>120</v>
      </c>
      <c r="J3437" t="n">
        <v>0</v>
      </c>
      <c r="K3437" t="inlineStr">
        <is>
          <t>Distinguished</t>
        </is>
      </c>
      <c r="M3437" t="inlineStr">
        <is>
          <t>Geoff St. Marie</t>
        </is>
      </c>
      <c r="N3437" t="n">
        <v>0.9807692307692308</v>
      </c>
      <c r="O3437" t="n">
        <v>7.45</v>
      </c>
    </row>
    <row r="3438">
      <c r="A3438" t="inlineStr">
        <is>
          <t>Matthew Wert</t>
        </is>
      </c>
      <c r="B3438" t="inlineStr">
        <is>
          <t>7/12/26 - 8/8/26</t>
        </is>
      </c>
      <c r="C3438" t="n">
        <v>0.9125</v>
      </c>
      <c r="D3438" t="n">
        <v>1.2318</v>
      </c>
      <c r="E3438" t="n">
        <v>0.9565217391304348</v>
      </c>
      <c r="F3438" t="n">
        <v>0.973</v>
      </c>
      <c r="G3438" t="n">
        <v>0.7692307692307693</v>
      </c>
      <c r="H3438" t="n">
        <v>91</v>
      </c>
      <c r="J3438" t="n">
        <v>0</v>
      </c>
      <c r="K3438" t="inlineStr">
        <is>
          <t>Distinguished</t>
        </is>
      </c>
      <c r="M3438" t="inlineStr">
        <is>
          <t>Geoff St. Marie</t>
        </is>
      </c>
      <c r="N3438" t="n">
        <v>1</v>
      </c>
      <c r="O3438" t="n">
        <v>5.5</v>
      </c>
    </row>
    <row r="3439">
      <c r="A3439" t="inlineStr">
        <is>
          <t>Matty Burge</t>
        </is>
      </c>
      <c r="B3439" t="inlineStr">
        <is>
          <t>7/12/26 - 8/8/26</t>
        </is>
      </c>
      <c r="C3439" t="n">
        <v>0.2917</v>
      </c>
      <c r="D3439" t="n">
        <v>0.8828</v>
      </c>
      <c r="E3439" t="n">
        <v>1</v>
      </c>
      <c r="F3439" t="n">
        <v>1</v>
      </c>
      <c r="G3439" t="n">
        <v>1</v>
      </c>
      <c r="H3439" t="n">
        <v>6</v>
      </c>
      <c r="J3439" t="n">
        <v>1</v>
      </c>
      <c r="K3439" t="inlineStr">
        <is>
          <t>Distinguished</t>
        </is>
      </c>
      <c r="M3439" t="inlineStr">
        <is>
          <t>Annelies de Groot</t>
        </is>
      </c>
      <c r="N3439" t="n">
        <v>1</v>
      </c>
      <c r="O3439" t="n">
        <v>6.666666666666667</v>
      </c>
    </row>
    <row r="3440">
      <c r="A3440" t="inlineStr">
        <is>
          <t>Maximilian Tsimerman</t>
        </is>
      </c>
      <c r="B3440" t="inlineStr">
        <is>
          <t>7/12/26 - 8/8/26</t>
        </is>
      </c>
      <c r="C3440" t="n">
        <v>0.7042</v>
      </c>
      <c r="D3440" t="n">
        <v>1.0329</v>
      </c>
      <c r="E3440" t="n">
        <v>0.9625</v>
      </c>
      <c r="F3440" t="n">
        <v>0.9330000000000001</v>
      </c>
      <c r="G3440" t="n">
        <v>0.8</v>
      </c>
      <c r="H3440" t="n">
        <v>31</v>
      </c>
      <c r="J3440" t="n">
        <v>0.75</v>
      </c>
      <c r="K3440" t="inlineStr">
        <is>
          <t>Distinguished</t>
        </is>
      </c>
      <c r="M3440" t="inlineStr">
        <is>
          <t>Geoff St. Marie</t>
        </is>
      </c>
      <c r="N3440" t="n">
        <v>0.7873737373737374</v>
      </c>
      <c r="O3440" t="n">
        <v>7.5</v>
      </c>
    </row>
    <row r="3441">
      <c r="A3441" t="inlineStr">
        <is>
          <t>Megan Ingle</t>
        </is>
      </c>
      <c r="B3441" t="inlineStr">
        <is>
          <t>7/12/26 - 8/8/26</t>
        </is>
      </c>
      <c r="C3441" t="n">
        <v>0.4167</v>
      </c>
      <c r="D3441" t="n">
        <v>1.1289</v>
      </c>
      <c r="E3441" t="n">
        <v>0.9473684210526316</v>
      </c>
      <c r="F3441" t="n">
        <v>0.636</v>
      </c>
      <c r="G3441" t="n">
        <v>0.2</v>
      </c>
      <c r="H3441" t="n">
        <v>16</v>
      </c>
      <c r="J3441" t="n">
        <v>0</v>
      </c>
      <c r="K3441" t="inlineStr">
        <is>
          <t>Advanced</t>
        </is>
      </c>
      <c r="M3441" t="inlineStr">
        <is>
          <t>Geoff St. Marie</t>
        </is>
      </c>
      <c r="N3441" t="n">
        <v>0.6666666666666666</v>
      </c>
    </row>
    <row r="3442">
      <c r="A3442" t="inlineStr">
        <is>
          <t>Megan Osgood</t>
        </is>
      </c>
      <c r="B3442" t="inlineStr">
        <is>
          <t>7/12/26 - 8/8/26</t>
        </is>
      </c>
      <c r="C3442" t="n">
        <v>0.5625</v>
      </c>
      <c r="D3442" t="n">
        <v>0.9342</v>
      </c>
      <c r="E3442" t="n">
        <v>1</v>
      </c>
      <c r="F3442" t="n">
        <v>0.955</v>
      </c>
      <c r="G3442" t="n">
        <v>1</v>
      </c>
      <c r="H3442" t="n">
        <v>37</v>
      </c>
      <c r="J3442" t="n">
        <v>1</v>
      </c>
      <c r="K3442" t="inlineStr">
        <is>
          <t>Premium</t>
        </is>
      </c>
      <c r="M3442" t="inlineStr">
        <is>
          <t>Annelies de Groot</t>
        </is>
      </c>
      <c r="N3442" t="n">
        <v>0.958041958041958</v>
      </c>
      <c r="O3442" t="n">
        <v>7.9</v>
      </c>
    </row>
    <row r="3443">
      <c r="A3443" t="inlineStr">
        <is>
          <t>Melanie Leong</t>
        </is>
      </c>
      <c r="B3443" t="inlineStr">
        <is>
          <t>7/12/26 - 8/8/26</t>
        </is>
      </c>
      <c r="C3443" t="n">
        <v>0.6667</v>
      </c>
      <c r="D3443" t="n">
        <v>2.25</v>
      </c>
      <c r="E3443" t="n">
        <v>1</v>
      </c>
      <c r="F3443" t="n">
        <v>1</v>
      </c>
      <c r="G3443" t="n">
        <v>1</v>
      </c>
      <c r="H3443" t="n">
        <v>0</v>
      </c>
      <c r="K3443" t="inlineStr">
        <is>
          <t>Premium</t>
        </is>
      </c>
      <c r="M3443" t="inlineStr">
        <is>
          <t>Kristin Haase-Alvey</t>
        </is>
      </c>
      <c r="N3443" t="n">
        <v>1</v>
      </c>
      <c r="O3443" t="n">
        <v>10</v>
      </c>
    </row>
    <row r="3444">
      <c r="A3444" t="inlineStr">
        <is>
          <t>Melinda Mergendahl</t>
        </is>
      </c>
      <c r="B3444" t="inlineStr">
        <is>
          <t>7/12/26 - 8/8/26</t>
        </is>
      </c>
      <c r="C3444" t="n">
        <v>0.6</v>
      </c>
      <c r="D3444" t="n">
        <v>1.1276</v>
      </c>
      <c r="E3444" t="n">
        <v>1</v>
      </c>
      <c r="F3444" t="n">
        <v>1</v>
      </c>
      <c r="G3444" t="n">
        <v>0.9</v>
      </c>
      <c r="H3444" t="n">
        <v>0</v>
      </c>
      <c r="J3444" t="n">
        <v>1</v>
      </c>
      <c r="K3444" t="inlineStr">
        <is>
          <t>Premium</t>
        </is>
      </c>
      <c r="M3444" t="inlineStr">
        <is>
          <t>Geoff St. Marie</t>
        </is>
      </c>
      <c r="N3444" t="n">
        <v>1</v>
      </c>
      <c r="O3444" t="n">
        <v>5.416666666666667</v>
      </c>
    </row>
    <row r="3445">
      <c r="A3445" t="inlineStr">
        <is>
          <t>Michelle Testerman</t>
        </is>
      </c>
      <c r="B3445" t="inlineStr">
        <is>
          <t>7/12/26 - 8/8/26</t>
        </is>
      </c>
      <c r="C3445" t="n">
        <v>1.0833</v>
      </c>
      <c r="D3445" t="n">
        <v>1.0078</v>
      </c>
      <c r="E3445" t="n">
        <v>1</v>
      </c>
      <c r="F3445" t="n">
        <v>0.909</v>
      </c>
      <c r="G3445" t="n">
        <v>1</v>
      </c>
      <c r="H3445" t="n">
        <v>228</v>
      </c>
      <c r="J3445" t="n">
        <v>1</v>
      </c>
      <c r="K3445" t="inlineStr">
        <is>
          <t>Distinguished</t>
        </is>
      </c>
      <c r="M3445" t="inlineStr">
        <is>
          <t>Ela Cross</t>
        </is>
      </c>
      <c r="N3445" t="n">
        <v>0.9087301587301588</v>
      </c>
      <c r="O3445" t="n">
        <v>3.933333333333334</v>
      </c>
    </row>
    <row r="3446">
      <c r="A3446" t="inlineStr">
        <is>
          <t>Myles Oldroyd</t>
        </is>
      </c>
      <c r="B3446" t="inlineStr">
        <is>
          <t>7/12/26 - 8/8/26</t>
        </is>
      </c>
      <c r="C3446" t="n">
        <v>0.9321</v>
      </c>
      <c r="D3446" t="n">
        <v>1.3416</v>
      </c>
      <c r="E3446" t="n">
        <v>0.9918032786885246</v>
      </c>
      <c r="F3446" t="n">
        <v>1</v>
      </c>
      <c r="G3446" t="n">
        <v>0.88</v>
      </c>
      <c r="H3446" t="n">
        <v>73</v>
      </c>
      <c r="J3446" t="n">
        <v>1</v>
      </c>
      <c r="K3446" t="inlineStr">
        <is>
          <t>Premium</t>
        </is>
      </c>
      <c r="M3446" t="inlineStr">
        <is>
          <t>Ian Plamondon</t>
        </is>
      </c>
      <c r="N3446" t="n">
        <v>1</v>
      </c>
      <c r="O3446" t="n">
        <v>7.75</v>
      </c>
    </row>
    <row r="3447">
      <c r="A3447" t="inlineStr">
        <is>
          <t>Naima Chaudhry</t>
        </is>
      </c>
      <c r="B3447" t="inlineStr">
        <is>
          <t>7/12/26 - 8/8/26</t>
        </is>
      </c>
      <c r="C3447" t="n">
        <v>0.5417</v>
      </c>
      <c r="D3447" t="n">
        <v>0.9727</v>
      </c>
      <c r="E3447" t="n">
        <v>1</v>
      </c>
      <c r="F3447" t="n">
        <v>1</v>
      </c>
      <c r="G3447" t="n">
        <v>0.5714285714285714</v>
      </c>
      <c r="H3447" t="n">
        <v>48</v>
      </c>
      <c r="J3447" t="n">
        <v>0.5</v>
      </c>
      <c r="K3447" t="inlineStr">
        <is>
          <t>Advanced</t>
        </is>
      </c>
      <c r="M3447" t="inlineStr">
        <is>
          <t>Kristin Haase-Alvey</t>
        </is>
      </c>
      <c r="N3447" t="n">
        <v>0.95</v>
      </c>
    </row>
    <row r="3448">
      <c r="A3448" t="inlineStr">
        <is>
          <t>Nando Reyes</t>
        </is>
      </c>
      <c r="B3448" t="inlineStr">
        <is>
          <t>7/12/26 - 8/8/26</t>
        </is>
      </c>
      <c r="C3448" t="n">
        <v>0.7929</v>
      </c>
      <c r="D3448" t="n">
        <v>1.25</v>
      </c>
      <c r="E3448" t="n">
        <v>0.9813084112149532</v>
      </c>
      <c r="F3448" t="n">
        <v>0.95</v>
      </c>
      <c r="G3448" t="n">
        <v>0.8571428571428571</v>
      </c>
      <c r="H3448" t="n">
        <v>18</v>
      </c>
      <c r="J3448" t="n">
        <v>0.5714285714285714</v>
      </c>
      <c r="K3448" t="inlineStr">
        <is>
          <t>Distinguished</t>
        </is>
      </c>
      <c r="M3448" t="inlineStr">
        <is>
          <t>Geoff St. Marie</t>
        </is>
      </c>
      <c r="N3448" t="n">
        <v>0.9642857142857144</v>
      </c>
      <c r="O3448" t="n">
        <v>4.25</v>
      </c>
    </row>
    <row r="3449">
      <c r="A3449" t="inlineStr">
        <is>
          <t>Nayely Rolon-Gomez</t>
        </is>
      </c>
      <c r="B3449" t="inlineStr">
        <is>
          <t>7/12/26 - 8/8/26</t>
        </is>
      </c>
      <c r="C3449" t="n">
        <v>0.85</v>
      </c>
      <c r="D3449" t="n">
        <v>1.0197</v>
      </c>
      <c r="E3449" t="n">
        <v>1</v>
      </c>
      <c r="F3449" t="n">
        <v>1</v>
      </c>
      <c r="G3449" t="n">
        <v>0.6818181818181818</v>
      </c>
      <c r="H3449" t="n">
        <v>94</v>
      </c>
      <c r="J3449" t="n">
        <v>0.75</v>
      </c>
      <c r="K3449" t="inlineStr">
        <is>
          <t>Distinguished</t>
        </is>
      </c>
      <c r="M3449" t="inlineStr">
        <is>
          <t>Ela Cross</t>
        </is>
      </c>
      <c r="N3449" t="n">
        <v>0.9307692307692308</v>
      </c>
      <c r="O3449" t="n">
        <v>7.833333333333333</v>
      </c>
    </row>
    <row r="3450">
      <c r="A3450" t="inlineStr">
        <is>
          <t>Nicholas Ulfik</t>
        </is>
      </c>
      <c r="B3450" t="inlineStr">
        <is>
          <t>7/12/26 - 8/8/26</t>
        </is>
      </c>
      <c r="C3450" t="n">
        <v>0.6625</v>
      </c>
      <c r="D3450" t="n">
        <v>0.8339</v>
      </c>
      <c r="E3450" t="n">
        <v>1</v>
      </c>
      <c r="F3450" t="n">
        <v>1</v>
      </c>
      <c r="G3450" t="n">
        <v>0.68</v>
      </c>
      <c r="H3450" t="n">
        <v>31</v>
      </c>
      <c r="J3450" t="n">
        <v>1</v>
      </c>
      <c r="K3450" t="inlineStr">
        <is>
          <t>Distinguished</t>
        </is>
      </c>
      <c r="M3450" t="inlineStr">
        <is>
          <t>Kristin Haase-Alvey</t>
        </is>
      </c>
      <c r="N3450" t="n">
        <v>0.9166666666666666</v>
      </c>
      <c r="O3450" t="n">
        <v>8</v>
      </c>
    </row>
    <row r="3451">
      <c r="A3451" t="inlineStr">
        <is>
          <t>Nick Kocik</t>
        </is>
      </c>
      <c r="B3451" t="inlineStr">
        <is>
          <t>7/12/26 - 8/8/26</t>
        </is>
      </c>
      <c r="C3451" t="n">
        <v>0.7917</v>
      </c>
      <c r="D3451" t="n">
        <v>1.051</v>
      </c>
      <c r="E3451" t="n">
        <v>1</v>
      </c>
      <c r="F3451" t="n">
        <v>0.964</v>
      </c>
      <c r="G3451" t="n">
        <v>0.75</v>
      </c>
      <c r="H3451" t="n">
        <v>135</v>
      </c>
      <c r="J3451" t="n">
        <v>0.75</v>
      </c>
      <c r="K3451" t="inlineStr">
        <is>
          <t>Distinguished</t>
        </is>
      </c>
      <c r="M3451" t="inlineStr">
        <is>
          <t>Ela Cross</t>
        </is>
      </c>
      <c r="N3451" t="n">
        <v>0.9427083333333334</v>
      </c>
      <c r="O3451" t="n">
        <v>7.4</v>
      </c>
    </row>
    <row r="3452">
      <c r="A3452" t="inlineStr">
        <is>
          <t>Nick Lucido</t>
        </is>
      </c>
      <c r="B3452" t="inlineStr">
        <is>
          <t>7/12/26 - 8/8/26</t>
        </is>
      </c>
      <c r="C3452" t="n">
        <v>0.9929</v>
      </c>
      <c r="D3452" t="n">
        <v>1.1323</v>
      </c>
      <c r="E3452" t="n">
        <v>1</v>
      </c>
      <c r="F3452" t="n">
        <v>0.986</v>
      </c>
      <c r="G3452" t="n">
        <v>0.7586206896551724</v>
      </c>
      <c r="H3452" t="n">
        <v>194</v>
      </c>
      <c r="J3452" t="n">
        <v>0.25</v>
      </c>
      <c r="K3452" t="inlineStr">
        <is>
          <t>Distinguished</t>
        </is>
      </c>
      <c r="M3452" t="inlineStr">
        <is>
          <t>Kristin Haase-Alvey</t>
        </is>
      </c>
      <c r="N3452" t="n">
        <v>0.7846467391304348</v>
      </c>
      <c r="O3452" t="n">
        <v>7.25</v>
      </c>
    </row>
    <row r="3453">
      <c r="A3453" t="inlineStr">
        <is>
          <t>Nicole Bishop</t>
        </is>
      </c>
      <c r="B3453" t="inlineStr">
        <is>
          <t>7/12/26 - 8/8/26</t>
        </is>
      </c>
      <c r="C3453" t="n">
        <v>1.2042</v>
      </c>
      <c r="D3453" t="n">
        <v>1.0806</v>
      </c>
      <c r="E3453" t="n">
        <v>0.920863309352518</v>
      </c>
      <c r="F3453" t="n">
        <v>0.946</v>
      </c>
      <c r="G3453" t="n">
        <v>0.25</v>
      </c>
      <c r="H3453" t="n">
        <v>248</v>
      </c>
      <c r="K3453" t="inlineStr">
        <is>
          <t>Distinguished</t>
        </is>
      </c>
      <c r="M3453" t="inlineStr">
        <is>
          <t>Ela Cross</t>
        </is>
      </c>
      <c r="N3453" t="n">
        <v>0.9029239766081872</v>
      </c>
    </row>
    <row r="3454">
      <c r="A3454" t="inlineStr">
        <is>
          <t>Nik Kososik</t>
        </is>
      </c>
      <c r="B3454" t="inlineStr">
        <is>
          <t>7/12/26 - 8/8/26</t>
        </is>
      </c>
      <c r="C3454" t="n">
        <v>0.625</v>
      </c>
      <c r="D3454" t="n">
        <v>1.1094</v>
      </c>
      <c r="E3454" t="n">
        <v>0.9565217391304348</v>
      </c>
      <c r="F3454" t="n">
        <v>0.964</v>
      </c>
      <c r="G3454" t="n">
        <v>0.8181818181818182</v>
      </c>
      <c r="H3454" t="n">
        <v>119</v>
      </c>
      <c r="J3454" t="n">
        <v>0.5</v>
      </c>
      <c r="K3454" t="inlineStr">
        <is>
          <t>Distinguished</t>
        </is>
      </c>
      <c r="M3454" t="inlineStr">
        <is>
          <t>Geoff St. Marie</t>
        </is>
      </c>
      <c r="N3454" t="n">
        <v>1</v>
      </c>
      <c r="O3454" t="n">
        <v>8.833333333333332</v>
      </c>
    </row>
    <row r="3455">
      <c r="A3455" t="inlineStr">
        <is>
          <t>Nisan Hubbard</t>
        </is>
      </c>
      <c r="B3455" t="inlineStr">
        <is>
          <t>7/12/26 - 8/8/26</t>
        </is>
      </c>
      <c r="C3455" t="n">
        <v>0.4625</v>
      </c>
      <c r="D3455" t="n">
        <v>0.9557</v>
      </c>
      <c r="E3455" t="n">
        <v>1</v>
      </c>
      <c r="F3455" t="n">
        <v>0.917</v>
      </c>
      <c r="G3455" t="n">
        <v>0.6666666666666666</v>
      </c>
      <c r="H3455" t="n">
        <v>24</v>
      </c>
      <c r="J3455" t="n">
        <v>0.5</v>
      </c>
      <c r="K3455" t="inlineStr">
        <is>
          <t>Distinguished</t>
        </is>
      </c>
      <c r="M3455" t="inlineStr">
        <is>
          <t>Annelies de Groot</t>
        </is>
      </c>
      <c r="N3455" t="n">
        <v>1</v>
      </c>
      <c r="O3455" t="n">
        <v>7</v>
      </c>
    </row>
    <row r="3456">
      <c r="A3456" t="inlineStr">
        <is>
          <t>Nisha Fletcher</t>
        </is>
      </c>
      <c r="B3456" t="inlineStr">
        <is>
          <t>7/12/26 - 8/8/26</t>
        </is>
      </c>
      <c r="C3456" t="n">
        <v>0.8875</v>
      </c>
      <c r="D3456" t="n">
        <v>1.3646</v>
      </c>
      <c r="E3456" t="n">
        <v>0.9850746268656716</v>
      </c>
      <c r="F3456" t="n">
        <v>0.976</v>
      </c>
      <c r="G3456" t="n">
        <v>1</v>
      </c>
      <c r="H3456" t="n">
        <v>100</v>
      </c>
      <c r="J3456" t="n">
        <v>0.25</v>
      </c>
      <c r="K3456" t="inlineStr">
        <is>
          <t>Advanced</t>
        </is>
      </c>
      <c r="M3456" t="inlineStr">
        <is>
          <t>Kristin Haase-Alvey</t>
        </is>
      </c>
      <c r="N3456" t="n">
        <v>0.96875</v>
      </c>
      <c r="O3456" t="n">
        <v>6.694444444444444</v>
      </c>
    </row>
    <row r="3457">
      <c r="A3457" t="inlineStr">
        <is>
          <t>Ore Williams</t>
        </is>
      </c>
      <c r="B3457" t="inlineStr">
        <is>
          <t>7/12/26 - 8/8/26</t>
        </is>
      </c>
      <c r="C3457" t="n">
        <v>0.4167</v>
      </c>
      <c r="D3457" t="n">
        <v>1.2109</v>
      </c>
      <c r="E3457" t="n">
        <v>1</v>
      </c>
      <c r="F3457" t="n">
        <v>1</v>
      </c>
      <c r="G3457" t="n">
        <v>1</v>
      </c>
      <c r="H3457" t="n">
        <v>64</v>
      </c>
      <c r="J3457" t="n">
        <v>1</v>
      </c>
      <c r="K3457" t="inlineStr">
        <is>
          <t>Advanced</t>
        </is>
      </c>
      <c r="M3457" t="inlineStr">
        <is>
          <t>Ela Cross</t>
        </is>
      </c>
      <c r="N3457" t="n">
        <v>0.9166666666666666</v>
      </c>
      <c r="O3457" t="n">
        <v>6.25</v>
      </c>
    </row>
    <row r="3458">
      <c r="A3458" t="inlineStr">
        <is>
          <t>Parthav Elangovan</t>
        </is>
      </c>
      <c r="B3458" t="inlineStr">
        <is>
          <t>7/12/26 - 8/8/26</t>
        </is>
      </c>
      <c r="C3458" t="n">
        <v>0.1458</v>
      </c>
      <c r="D3458" t="n">
        <v>1.043</v>
      </c>
      <c r="E3458" t="n">
        <v>1</v>
      </c>
      <c r="F3458" t="n">
        <v>0.857</v>
      </c>
      <c r="G3458" t="n">
        <v>0</v>
      </c>
      <c r="H3458" t="n">
        <v>20</v>
      </c>
      <c r="J3458" t="n">
        <v>0</v>
      </c>
      <c r="K3458" t="inlineStr">
        <is>
          <t>Advanced</t>
        </is>
      </c>
      <c r="M3458" t="inlineStr">
        <is>
          <t>Ian Plamondon</t>
        </is>
      </c>
      <c r="N3458" t="n">
        <v>1</v>
      </c>
    </row>
    <row r="3459">
      <c r="A3459" t="inlineStr">
        <is>
          <t>Patricia Flores</t>
        </is>
      </c>
      <c r="B3459" t="inlineStr">
        <is>
          <t>7/12/26 - 8/8/26</t>
        </is>
      </c>
      <c r="C3459" t="n">
        <v>0.4313</v>
      </c>
      <c r="D3459" t="n">
        <v>1.0313</v>
      </c>
      <c r="E3459" t="n">
        <v>1</v>
      </c>
      <c r="F3459" t="n">
        <v>1</v>
      </c>
      <c r="G3459" t="n">
        <v>1</v>
      </c>
      <c r="H3459" t="n">
        <v>87</v>
      </c>
      <c r="K3459" t="inlineStr">
        <is>
          <t>Distinguished</t>
        </is>
      </c>
      <c r="M3459" t="inlineStr">
        <is>
          <t>Ela Cross</t>
        </is>
      </c>
      <c r="N3459" t="n">
        <v>0.95</v>
      </c>
      <c r="O3459" t="n">
        <v>8</v>
      </c>
    </row>
    <row r="3460">
      <c r="A3460" t="inlineStr">
        <is>
          <t>Penny Russell</t>
        </is>
      </c>
      <c r="B3460" t="inlineStr">
        <is>
          <t>7/12/26 - 8/8/26</t>
        </is>
      </c>
      <c r="C3460" t="n">
        <v>0.4583</v>
      </c>
      <c r="D3460" t="n">
        <v>1.0066</v>
      </c>
      <c r="E3460" t="n">
        <v>1</v>
      </c>
      <c r="F3460" t="n">
        <v>0.966</v>
      </c>
      <c r="G3460" t="n">
        <v>0.5</v>
      </c>
      <c r="H3460" t="n">
        <v>31</v>
      </c>
      <c r="J3460" t="n">
        <v>0</v>
      </c>
      <c r="K3460" t="inlineStr">
        <is>
          <t>Distinguished</t>
        </is>
      </c>
      <c r="M3460" t="inlineStr">
        <is>
          <t>Ian Plamondon</t>
        </is>
      </c>
      <c r="N3460" t="n">
        <v>0.8333333333333334</v>
      </c>
    </row>
    <row r="3461">
      <c r="A3461" t="inlineStr">
        <is>
          <t>Philip Thomas</t>
        </is>
      </c>
      <c r="B3461" t="inlineStr">
        <is>
          <t>7/12/26 - 8/8/26</t>
        </is>
      </c>
      <c r="C3461" t="n">
        <v>1.1875</v>
      </c>
      <c r="D3461" t="n">
        <v>1.2039</v>
      </c>
      <c r="E3461" t="n">
        <v>0.762962962962963</v>
      </c>
      <c r="F3461" t="n">
        <v>0.696</v>
      </c>
      <c r="G3461" t="n">
        <v>0</v>
      </c>
      <c r="H3461" t="n">
        <v>154</v>
      </c>
      <c r="J3461" t="n">
        <v>0.5</v>
      </c>
      <c r="K3461" t="inlineStr">
        <is>
          <t>Premium</t>
        </is>
      </c>
      <c r="M3461" t="inlineStr">
        <is>
          <t>Annelies de Groot</t>
        </is>
      </c>
      <c r="N3461" t="n">
        <v>0.9473684210526316</v>
      </c>
    </row>
    <row r="3462">
      <c r="A3462" t="inlineStr">
        <is>
          <t>Preston Peoples</t>
        </is>
      </c>
      <c r="B3462" t="inlineStr">
        <is>
          <t>7/12/26 - 8/8/26</t>
        </is>
      </c>
      <c r="C3462" t="n">
        <v>0.9958</v>
      </c>
      <c r="D3462" t="n">
        <v>0.9474</v>
      </c>
      <c r="E3462" t="n">
        <v>0.8761061946902655</v>
      </c>
      <c r="F3462" t="n">
        <v>0.9</v>
      </c>
      <c r="G3462" t="n">
        <v>0.4210526315789473</v>
      </c>
      <c r="H3462" t="n">
        <v>219</v>
      </c>
      <c r="J3462" t="n">
        <v>0.4285714285714285</v>
      </c>
      <c r="K3462" t="inlineStr">
        <is>
          <t>Distinguished</t>
        </is>
      </c>
      <c r="M3462" t="inlineStr">
        <is>
          <t>Annelies de Groot</t>
        </is>
      </c>
      <c r="N3462" t="n">
        <v>1</v>
      </c>
      <c r="O3462" t="n">
        <v>6.833333333333333</v>
      </c>
    </row>
    <row r="3463">
      <c r="A3463" t="inlineStr">
        <is>
          <t>Q. Monét Travis</t>
        </is>
      </c>
      <c r="B3463" t="inlineStr">
        <is>
          <t>7/12/26 - 8/8/26</t>
        </is>
      </c>
      <c r="C3463" t="n">
        <v>0.8875</v>
      </c>
      <c r="D3463" t="n">
        <v>1.1198</v>
      </c>
      <c r="E3463" t="n">
        <v>0.971830985915493</v>
      </c>
      <c r="F3463" t="n">
        <v>0.979</v>
      </c>
      <c r="G3463" t="n">
        <v>0.9</v>
      </c>
      <c r="H3463" t="n">
        <v>156</v>
      </c>
      <c r="J3463" t="n">
        <v>0.6666666666666666</v>
      </c>
      <c r="K3463" t="inlineStr">
        <is>
          <t>Distinguished</t>
        </is>
      </c>
      <c r="M3463" t="inlineStr">
        <is>
          <t>Ela Cross</t>
        </is>
      </c>
      <c r="N3463" t="n">
        <v>0.9513888888888888</v>
      </c>
      <c r="O3463" t="n">
        <v>6</v>
      </c>
    </row>
    <row r="3464">
      <c r="A3464" t="inlineStr">
        <is>
          <t>Quaid Strickland</t>
        </is>
      </c>
      <c r="B3464" t="inlineStr">
        <is>
          <t>7/12/26 - 8/8/26</t>
        </is>
      </c>
      <c r="C3464" t="n">
        <v>0</v>
      </c>
      <c r="D3464" t="n">
        <v>0.4419</v>
      </c>
      <c r="H3464" t="n">
        <v>0</v>
      </c>
      <c r="K3464" t="inlineStr">
        <is>
          <t>Distinguished</t>
        </is>
      </c>
      <c r="M3464" t="inlineStr">
        <is>
          <t>Nikki Pencak</t>
        </is>
      </c>
    </row>
    <row r="3465">
      <c r="A3465" t="inlineStr">
        <is>
          <t>Rafi Overton</t>
        </is>
      </c>
      <c r="B3465" t="inlineStr">
        <is>
          <t>7/12/26 - 8/8/26</t>
        </is>
      </c>
      <c r="C3465" t="n">
        <v>1.0375</v>
      </c>
      <c r="D3465" t="n">
        <v>1.0411</v>
      </c>
      <c r="E3465" t="n">
        <v>0.963302752293578</v>
      </c>
      <c r="F3465" t="n">
        <v>0.986</v>
      </c>
      <c r="G3465" t="n">
        <v>0.7222222222222222</v>
      </c>
      <c r="H3465" t="n">
        <v>98</v>
      </c>
      <c r="J3465" t="n">
        <v>0.125</v>
      </c>
      <c r="K3465" t="inlineStr">
        <is>
          <t>Distinguished</t>
        </is>
      </c>
      <c r="M3465" t="inlineStr">
        <is>
          <t>Geoff St. Marie</t>
        </is>
      </c>
      <c r="N3465" t="n">
        <v>0.8945125598086124</v>
      </c>
      <c r="O3465" t="n">
        <v>5.5</v>
      </c>
    </row>
    <row r="3466">
      <c r="A3466" t="inlineStr">
        <is>
          <t>Rain Real</t>
        </is>
      </c>
      <c r="B3466" t="inlineStr">
        <is>
          <t>7/12/26 - 8/8/26</t>
        </is>
      </c>
      <c r="C3466" t="n">
        <v>0.8083</v>
      </c>
      <c r="D3466" t="n">
        <v>1.176</v>
      </c>
      <c r="E3466" t="n">
        <v>1</v>
      </c>
      <c r="F3466" t="n">
        <v>1</v>
      </c>
      <c r="G3466" t="n">
        <v>0.4210526315789473</v>
      </c>
      <c r="H3466" t="n">
        <v>218</v>
      </c>
      <c r="J3466" t="n">
        <v>0.75</v>
      </c>
      <c r="K3466" t="inlineStr">
        <is>
          <t>Distinguished</t>
        </is>
      </c>
      <c r="M3466" t="inlineStr">
        <is>
          <t>Annelies de Groot</t>
        </is>
      </c>
      <c r="N3466" t="n">
        <v>1</v>
      </c>
      <c r="O3466" t="n">
        <v>8</v>
      </c>
    </row>
    <row r="3467">
      <c r="A3467" t="inlineStr">
        <is>
          <t>Ralph Strope</t>
        </is>
      </c>
      <c r="B3467" t="inlineStr">
        <is>
          <t>7/12/26 - 8/8/26</t>
        </is>
      </c>
      <c r="C3467" t="n">
        <v>0.775</v>
      </c>
      <c r="D3467" t="n">
        <v>1.0833</v>
      </c>
      <c r="E3467" t="n">
        <v>1</v>
      </c>
      <c r="F3467" t="n">
        <v>0.9389999999999999</v>
      </c>
      <c r="G3467" t="n">
        <v>0.8333333333333334</v>
      </c>
      <c r="H3467" t="n">
        <v>124</v>
      </c>
      <c r="J3467" t="n">
        <v>0</v>
      </c>
      <c r="K3467" t="inlineStr">
        <is>
          <t>Distinguished</t>
        </is>
      </c>
      <c r="M3467" t="inlineStr">
        <is>
          <t>Ela Cross</t>
        </is>
      </c>
      <c r="N3467" t="n">
        <v>1</v>
      </c>
      <c r="O3467" t="n">
        <v>6.277777777777779</v>
      </c>
    </row>
    <row r="3468">
      <c r="A3468" t="inlineStr">
        <is>
          <t>Raymond Elliot</t>
        </is>
      </c>
      <c r="B3468" t="inlineStr">
        <is>
          <t>7/12/26 - 8/8/26</t>
        </is>
      </c>
      <c r="C3468" t="n">
        <v>0.6625</v>
      </c>
      <c r="D3468" t="n">
        <v>1</v>
      </c>
      <c r="E3468" t="n">
        <v>1</v>
      </c>
      <c r="F3468" t="n">
        <v>1</v>
      </c>
      <c r="G3468" t="n">
        <v>0.9230769230769232</v>
      </c>
      <c r="H3468" t="n">
        <v>196</v>
      </c>
      <c r="J3468" t="n">
        <v>1</v>
      </c>
      <c r="K3468" t="inlineStr">
        <is>
          <t>Distinguished</t>
        </is>
      </c>
      <c r="M3468" t="inlineStr">
        <is>
          <t>Kristin Haase-Alvey</t>
        </is>
      </c>
      <c r="N3468" t="n">
        <v>0.9479166666666666</v>
      </c>
      <c r="O3468" t="n">
        <v>5.833333333333333</v>
      </c>
    </row>
    <row r="3469">
      <c r="A3469" t="inlineStr">
        <is>
          <t>Raymond Serrano</t>
        </is>
      </c>
      <c r="B3469" t="inlineStr">
        <is>
          <t>7/12/26 - 8/8/26</t>
        </is>
      </c>
      <c r="C3469" t="n">
        <v>0.7083</v>
      </c>
      <c r="D3469" t="n">
        <v>1.1135</v>
      </c>
      <c r="E3469" t="n">
        <v>0.9634146341463414</v>
      </c>
      <c r="F3469" t="n">
        <v>1</v>
      </c>
      <c r="G3469" t="n">
        <v>1</v>
      </c>
      <c r="H3469" t="n">
        <v>256</v>
      </c>
      <c r="J3469" t="n">
        <v>1</v>
      </c>
      <c r="K3469" t="inlineStr">
        <is>
          <t>Distinguished</t>
        </is>
      </c>
      <c r="M3469" t="inlineStr">
        <is>
          <t>Kristin Haase-Alvey</t>
        </is>
      </c>
      <c r="N3469" t="n">
        <v>0.984375</v>
      </c>
      <c r="O3469" t="n">
        <v>9.6</v>
      </c>
    </row>
    <row r="3470">
      <c r="A3470" t="inlineStr">
        <is>
          <t>Rebekah Nachian</t>
        </is>
      </c>
      <c r="B3470" t="inlineStr">
        <is>
          <t>7/12/26 - 8/8/26</t>
        </is>
      </c>
      <c r="C3470" t="n">
        <v>0.5770999999999999</v>
      </c>
      <c r="D3470" t="n">
        <v>0.9737</v>
      </c>
      <c r="E3470" t="n">
        <v>0.9649122807017544</v>
      </c>
      <c r="F3470" t="n">
        <v>1</v>
      </c>
      <c r="G3470" t="n">
        <v>0.7272727272727273</v>
      </c>
      <c r="H3470" t="n">
        <v>132</v>
      </c>
      <c r="J3470" t="n">
        <v>0.8</v>
      </c>
      <c r="K3470" t="inlineStr">
        <is>
          <t>Distinguished</t>
        </is>
      </c>
      <c r="M3470" t="inlineStr">
        <is>
          <t>Annelies de Groot</t>
        </is>
      </c>
      <c r="N3470" t="n">
        <v>1</v>
      </c>
      <c r="O3470" t="n">
        <v>7.333333333333334</v>
      </c>
    </row>
    <row r="3471">
      <c r="A3471" t="inlineStr">
        <is>
          <t>Rehan Zaib</t>
        </is>
      </c>
      <c r="B3471" t="inlineStr">
        <is>
          <t>7/12/26 - 8/8/26</t>
        </is>
      </c>
      <c r="C3471" t="n">
        <v>0.8083</v>
      </c>
      <c r="D3471" t="n">
        <v>0.9145</v>
      </c>
      <c r="E3471" t="n">
        <v>0.9081632653061223</v>
      </c>
      <c r="F3471" t="n">
        <v>0.92</v>
      </c>
      <c r="G3471" t="n">
        <v>0.8846153846153846</v>
      </c>
      <c r="H3471" t="n">
        <v>272</v>
      </c>
      <c r="J3471" t="n">
        <v>0</v>
      </c>
      <c r="K3471" t="inlineStr">
        <is>
          <t>Distinguished</t>
        </is>
      </c>
      <c r="M3471" t="inlineStr">
        <is>
          <t>Ela Cross</t>
        </is>
      </c>
      <c r="N3471" t="n">
        <v>0.6834733893557422</v>
      </c>
      <c r="O3471" t="n">
        <v>9.449999999999999</v>
      </c>
    </row>
    <row r="3472">
      <c r="A3472" t="inlineStr">
        <is>
          <t>Richard Kralik</t>
        </is>
      </c>
      <c r="B3472" t="inlineStr">
        <is>
          <t>7/12/26 - 8/8/26</t>
        </is>
      </c>
      <c r="C3472" t="n">
        <v>0.8214</v>
      </c>
      <c r="D3472" t="n">
        <v>1.0451</v>
      </c>
      <c r="E3472" t="n">
        <v>0.99009900990099</v>
      </c>
      <c r="F3472" t="n">
        <v>0.984</v>
      </c>
      <c r="G3472" t="n">
        <v>0.4444444444444445</v>
      </c>
      <c r="H3472" t="n">
        <v>285</v>
      </c>
      <c r="J3472" t="n">
        <v>0</v>
      </c>
      <c r="K3472" t="inlineStr">
        <is>
          <t>Distinguished</t>
        </is>
      </c>
      <c r="M3472" t="inlineStr">
        <is>
          <t>Geoff St. Marie</t>
        </is>
      </c>
      <c r="N3472" t="n">
        <v>0.9494949494949496</v>
      </c>
      <c r="O3472" t="n">
        <v>5.5</v>
      </c>
    </row>
    <row r="3473">
      <c r="A3473" t="inlineStr">
        <is>
          <t>Ries Scerbin</t>
        </is>
      </c>
      <c r="B3473" t="inlineStr">
        <is>
          <t>7/12/26 - 8/8/26</t>
        </is>
      </c>
      <c r="C3473" t="n">
        <v>0.5</v>
      </c>
      <c r="D3473" t="n">
        <v>1.1992</v>
      </c>
      <c r="E3473" t="n">
        <v>0.7083333333333334</v>
      </c>
      <c r="F3473" t="n">
        <v>0.842</v>
      </c>
      <c r="G3473" t="n">
        <v>0.7777777777777778</v>
      </c>
      <c r="H3473" t="n">
        <v>84</v>
      </c>
      <c r="J3473" t="n">
        <v>0.25</v>
      </c>
      <c r="K3473" t="inlineStr">
        <is>
          <t>Distinguished</t>
        </is>
      </c>
      <c r="M3473" t="inlineStr">
        <is>
          <t>Annelies de Groot</t>
        </is>
      </c>
      <c r="N3473" t="n">
        <v>0.7999999999999999</v>
      </c>
      <c r="O3473" t="n">
        <v>5.5</v>
      </c>
    </row>
    <row r="3474">
      <c r="A3474" t="inlineStr">
        <is>
          <t>River Nunez</t>
        </is>
      </c>
      <c r="B3474" t="inlineStr">
        <is>
          <t>7/12/26 - 8/8/26</t>
        </is>
      </c>
      <c r="C3474" t="n">
        <v>0.925</v>
      </c>
      <c r="D3474" t="n">
        <v>1.0329</v>
      </c>
      <c r="E3474" t="n">
        <v>0.979591836734694</v>
      </c>
      <c r="F3474" t="n">
        <v>0.966</v>
      </c>
      <c r="G3474" t="n">
        <v>0.5</v>
      </c>
      <c r="H3474" t="n">
        <v>120</v>
      </c>
      <c r="J3474" t="n">
        <v>0.5</v>
      </c>
      <c r="K3474" t="inlineStr">
        <is>
          <t>Distinguished</t>
        </is>
      </c>
      <c r="M3474" t="inlineStr">
        <is>
          <t>Annelies de Groot</t>
        </is>
      </c>
      <c r="N3474" t="n">
        <v>0.9642857142857144</v>
      </c>
    </row>
    <row r="3475">
      <c r="A3475" t="inlineStr">
        <is>
          <t>Robert Nantze</t>
        </is>
      </c>
      <c r="B3475" t="inlineStr">
        <is>
          <t>7/12/26 - 8/8/26</t>
        </is>
      </c>
      <c r="C3475" t="n">
        <v>0.9417</v>
      </c>
      <c r="D3475" t="n">
        <v>1.0197</v>
      </c>
      <c r="E3475" t="n">
        <v>1</v>
      </c>
      <c r="F3475" t="n">
        <v>0.965</v>
      </c>
      <c r="G3475" t="n">
        <v>0.9375</v>
      </c>
      <c r="H3475" t="n">
        <v>172</v>
      </c>
      <c r="J3475" t="n">
        <v>1</v>
      </c>
      <c r="K3475" t="inlineStr">
        <is>
          <t>Distinguished</t>
        </is>
      </c>
      <c r="M3475" t="inlineStr">
        <is>
          <t>Ela Cross</t>
        </is>
      </c>
      <c r="N3475" t="n">
        <v>1</v>
      </c>
      <c r="O3475" t="n">
        <v>7.888888888888889</v>
      </c>
    </row>
    <row r="3476">
      <c r="A3476" t="inlineStr">
        <is>
          <t>Ruben Dorador</t>
        </is>
      </c>
      <c r="B3476" t="inlineStr">
        <is>
          <t>7/12/26 - 8/8/26</t>
        </is>
      </c>
      <c r="C3476" t="n">
        <v>0.7929</v>
      </c>
      <c r="D3476" t="n">
        <v>0.9927</v>
      </c>
      <c r="E3476" t="n">
        <v>0.9545454545454546</v>
      </c>
      <c r="F3476" t="n">
        <v>0.77</v>
      </c>
      <c r="G3476" t="n">
        <v>0.8571428571428571</v>
      </c>
      <c r="H3476" t="n">
        <v>32</v>
      </c>
      <c r="J3476" t="n">
        <v>0.3571428571428572</v>
      </c>
      <c r="K3476" t="inlineStr">
        <is>
          <t>Distinguished</t>
        </is>
      </c>
      <c r="M3476" t="inlineStr">
        <is>
          <t>Geoff St. Marie</t>
        </is>
      </c>
      <c r="N3476" t="n">
        <v>0.917420814479638</v>
      </c>
      <c r="O3476" t="n">
        <v>7.4</v>
      </c>
    </row>
    <row r="3477">
      <c r="A3477" t="inlineStr">
        <is>
          <t>Samantha Wetz</t>
        </is>
      </c>
      <c r="B3477" t="inlineStr">
        <is>
          <t>7/12/26 - 8/8/26</t>
        </is>
      </c>
      <c r="C3477" t="n">
        <v>1.0214</v>
      </c>
      <c r="D3477" t="n">
        <v>1.25</v>
      </c>
      <c r="E3477" t="n">
        <v>1</v>
      </c>
      <c r="F3477" t="n">
        <v>1</v>
      </c>
      <c r="G3477" t="n">
        <v>0.7916666666666666</v>
      </c>
      <c r="H3477" t="n">
        <v>50</v>
      </c>
      <c r="J3477" t="n">
        <v>0.4</v>
      </c>
      <c r="K3477" t="inlineStr">
        <is>
          <t>Premium</t>
        </is>
      </c>
      <c r="M3477" t="inlineStr">
        <is>
          <t>Ian Plamondon</t>
        </is>
      </c>
      <c r="N3477" t="n">
        <v>0.9754784688995216</v>
      </c>
    </row>
    <row r="3478">
      <c r="A3478" t="inlineStr">
        <is>
          <t>Sara Vanderwood</t>
        </is>
      </c>
      <c r="B3478" t="inlineStr">
        <is>
          <t>7/12/26 - 8/8/26</t>
        </is>
      </c>
      <c r="C3478" t="n">
        <v>0</v>
      </c>
      <c r="D3478" t="n">
        <v>0.5988</v>
      </c>
      <c r="H3478" t="n">
        <v>0</v>
      </c>
      <c r="K3478" t="inlineStr">
        <is>
          <t>Distinguished</t>
        </is>
      </c>
      <c r="M3478" t="inlineStr">
        <is>
          <t>Katherine Marino</t>
        </is>
      </c>
    </row>
    <row r="3479">
      <c r="A3479" t="inlineStr">
        <is>
          <t>Sarah Goodstein</t>
        </is>
      </c>
      <c r="B3479" t="inlineStr">
        <is>
          <t>7/12/26 - 8/8/26</t>
        </is>
      </c>
      <c r="C3479" t="n">
        <v>0.6167</v>
      </c>
      <c r="D3479" t="n">
        <v>0.6727</v>
      </c>
      <c r="E3479" t="n">
        <v>0.984375</v>
      </c>
      <c r="F3479" t="n">
        <v>0.946</v>
      </c>
      <c r="G3479" t="n">
        <v>0.7777777777777778</v>
      </c>
      <c r="H3479" t="n">
        <v>219</v>
      </c>
      <c r="J3479" t="n">
        <v>0.3333333333333333</v>
      </c>
      <c r="K3479" t="inlineStr">
        <is>
          <t>Distinguished</t>
        </is>
      </c>
      <c r="M3479" t="inlineStr">
        <is>
          <t>Kristin Haase-Alvey</t>
        </is>
      </c>
      <c r="N3479" t="n">
        <v>0.9326599326599326</v>
      </c>
      <c r="O3479" t="n">
        <v>7.483333333333333</v>
      </c>
    </row>
    <row r="3480">
      <c r="A3480" t="inlineStr">
        <is>
          <t>Savannah Padgett</t>
        </is>
      </c>
      <c r="B3480" t="inlineStr">
        <is>
          <t>7/12/26 - 8/8/26</t>
        </is>
      </c>
      <c r="C3480" t="n">
        <v>1.0393</v>
      </c>
      <c r="D3480" t="n">
        <v>0.9462</v>
      </c>
      <c r="E3480" t="n">
        <v>1</v>
      </c>
      <c r="F3480" t="n">
        <v>0.8129999999999999</v>
      </c>
      <c r="G3480" t="n">
        <v>1</v>
      </c>
      <c r="H3480" t="n">
        <v>228</v>
      </c>
      <c r="J3480" t="n">
        <v>1</v>
      </c>
      <c r="K3480" t="inlineStr">
        <is>
          <t>Distinguished</t>
        </is>
      </c>
      <c r="M3480" t="inlineStr">
        <is>
          <t>Kristin Haase-Alvey</t>
        </is>
      </c>
      <c r="N3480" t="n">
        <v>1</v>
      </c>
      <c r="O3480" t="n">
        <v>8.827380952380953</v>
      </c>
    </row>
    <row r="3481">
      <c r="A3481" t="inlineStr">
        <is>
          <t>Scott Boyd</t>
        </is>
      </c>
      <c r="B3481" t="inlineStr">
        <is>
          <t>7/12/26 - 8/8/26</t>
        </is>
      </c>
      <c r="C3481" t="n">
        <v>0.3125</v>
      </c>
      <c r="D3481" t="n">
        <v>1.1719</v>
      </c>
      <c r="E3481" t="n">
        <v>1</v>
      </c>
      <c r="F3481" t="n">
        <v>1</v>
      </c>
      <c r="G3481" t="n">
        <v>1</v>
      </c>
      <c r="H3481" t="n">
        <v>8</v>
      </c>
      <c r="J3481" t="n">
        <v>1</v>
      </c>
      <c r="K3481" t="inlineStr">
        <is>
          <t>Premium</t>
        </is>
      </c>
      <c r="M3481" t="inlineStr">
        <is>
          <t>Geoff St. Marie</t>
        </is>
      </c>
      <c r="N3481" t="n">
        <v>1</v>
      </c>
      <c r="O3481" t="n">
        <v>5</v>
      </c>
    </row>
    <row r="3482">
      <c r="A3482" t="inlineStr">
        <is>
          <t>Scott Holdcraft</t>
        </is>
      </c>
      <c r="B3482" t="inlineStr">
        <is>
          <t>7/12/26 - 8/8/26</t>
        </is>
      </c>
      <c r="C3482" t="n">
        <v>0.475</v>
      </c>
      <c r="D3482" t="n">
        <v>1.2516</v>
      </c>
      <c r="E3482" t="n">
        <v>1</v>
      </c>
      <c r="F3482" t="n">
        <v>0.95</v>
      </c>
      <c r="G3482" t="n">
        <v>0.6428571428571429</v>
      </c>
      <c r="H3482" t="n">
        <v>82</v>
      </c>
      <c r="J3482" t="n">
        <v>0.8</v>
      </c>
      <c r="K3482" t="inlineStr">
        <is>
          <t>Distinguished</t>
        </is>
      </c>
      <c r="M3482" t="inlineStr">
        <is>
          <t>Ela Cross</t>
        </is>
      </c>
      <c r="N3482" t="n">
        <v>0.975</v>
      </c>
      <c r="O3482" t="n">
        <v>7.75</v>
      </c>
    </row>
    <row r="3483">
      <c r="A3483" t="inlineStr">
        <is>
          <t>Shannon Huang</t>
        </is>
      </c>
      <c r="B3483" t="inlineStr">
        <is>
          <t>7/12/26 - 8/8/26</t>
        </is>
      </c>
      <c r="C3483" t="n">
        <v>1.0917</v>
      </c>
      <c r="D3483" t="n">
        <v>1.1201</v>
      </c>
      <c r="E3483" t="n">
        <v>0.952755905511811</v>
      </c>
      <c r="F3483" t="n">
        <v>0.929</v>
      </c>
      <c r="G3483" t="n">
        <v>0.8387096774193549</v>
      </c>
      <c r="H3483" t="n">
        <v>240</v>
      </c>
      <c r="J3483" t="n">
        <v>0</v>
      </c>
      <c r="K3483" t="inlineStr">
        <is>
          <t>Distinguished</t>
        </is>
      </c>
      <c r="M3483" t="inlineStr">
        <is>
          <t>Ela Cross</t>
        </is>
      </c>
      <c r="N3483" t="n">
        <v>0.9861111111111112</v>
      </c>
      <c r="O3483" t="n">
        <v>7.166666666666667</v>
      </c>
    </row>
    <row r="3484">
      <c r="A3484" t="inlineStr">
        <is>
          <t>Sharon Vincuilla</t>
        </is>
      </c>
      <c r="B3484" t="inlineStr">
        <is>
          <t>7/12/26 - 8/8/26</t>
        </is>
      </c>
      <c r="C3484" t="n">
        <v>0.5417</v>
      </c>
      <c r="D3484" t="n">
        <v>1.1055</v>
      </c>
      <c r="E3484" t="n">
        <v>0.96</v>
      </c>
      <c r="F3484" t="n">
        <v>1</v>
      </c>
      <c r="G3484" t="n">
        <v>0.9090909090909092</v>
      </c>
      <c r="H3484" t="n">
        <v>124</v>
      </c>
      <c r="K3484" t="inlineStr">
        <is>
          <t>Distinguished</t>
        </is>
      </c>
      <c r="M3484" t="inlineStr">
        <is>
          <t>Annelies de Groot</t>
        </is>
      </c>
      <c r="N3484" t="n">
        <v>1</v>
      </c>
      <c r="O3484" t="n">
        <v>7.5</v>
      </c>
    </row>
    <row r="3485">
      <c r="A3485" t="inlineStr">
        <is>
          <t>Shaun Leonard</t>
        </is>
      </c>
      <c r="B3485" t="inlineStr">
        <is>
          <t>7/12/26 - 8/8/26</t>
        </is>
      </c>
      <c r="C3485" t="n">
        <v>0.5208</v>
      </c>
      <c r="D3485" t="n">
        <v>0.9530999999999999</v>
      </c>
      <c r="E3485" t="n">
        <v>1</v>
      </c>
      <c r="F3485" t="n">
        <v>0.824</v>
      </c>
      <c r="G3485" t="n">
        <v>0.8181818181818182</v>
      </c>
      <c r="H3485" t="n">
        <v>68</v>
      </c>
      <c r="J3485" t="n">
        <v>0.75</v>
      </c>
      <c r="K3485" t="inlineStr">
        <is>
          <t>Distinguished</t>
        </is>
      </c>
      <c r="M3485" t="inlineStr">
        <is>
          <t>Kristin Haase-Alvey</t>
        </is>
      </c>
      <c r="N3485" t="n">
        <v>1</v>
      </c>
      <c r="O3485" t="n">
        <v>7</v>
      </c>
    </row>
    <row r="3486">
      <c r="A3486" t="inlineStr">
        <is>
          <t>Shawn Kane</t>
        </is>
      </c>
      <c r="B3486" t="inlineStr">
        <is>
          <t>7/12/26 - 8/8/26</t>
        </is>
      </c>
      <c r="C3486" t="n">
        <v>0.8438</v>
      </c>
      <c r="D3486" t="n">
        <v>1.1367</v>
      </c>
      <c r="E3486" t="n">
        <v>1</v>
      </c>
      <c r="F3486" t="n">
        <v>1</v>
      </c>
      <c r="G3486" t="n">
        <v>0.4285714285714286</v>
      </c>
      <c r="H3486" t="n">
        <v>36</v>
      </c>
      <c r="J3486" t="n">
        <v>0</v>
      </c>
      <c r="K3486" t="inlineStr">
        <is>
          <t>Premium</t>
        </is>
      </c>
      <c r="M3486" t="inlineStr">
        <is>
          <t>Ela Cross</t>
        </is>
      </c>
      <c r="N3486" t="n">
        <v>0.7916666666666666</v>
      </c>
      <c r="O3486" t="n">
        <v>7</v>
      </c>
    </row>
    <row r="3487">
      <c r="A3487" t="inlineStr">
        <is>
          <t>Silvester Harrison</t>
        </is>
      </c>
      <c r="B3487" t="inlineStr">
        <is>
          <t>7/12/26 - 8/8/26</t>
        </is>
      </c>
      <c r="C3487" t="n">
        <v>0.825</v>
      </c>
      <c r="D3487" t="n">
        <v>1.0131</v>
      </c>
      <c r="E3487" t="n">
        <v>1</v>
      </c>
      <c r="F3487" t="n">
        <v>0.945</v>
      </c>
      <c r="G3487" t="n">
        <v>0.6666666666666666</v>
      </c>
      <c r="H3487" t="n">
        <v>126</v>
      </c>
      <c r="J3487" t="n">
        <v>0.5714285714285714</v>
      </c>
      <c r="K3487" t="inlineStr">
        <is>
          <t>Distinguished</t>
        </is>
      </c>
      <c r="M3487" t="inlineStr">
        <is>
          <t>Ela Cross</t>
        </is>
      </c>
      <c r="N3487" t="n">
        <v>1</v>
      </c>
      <c r="O3487" t="n">
        <v>10</v>
      </c>
    </row>
    <row r="3488">
      <c r="A3488" t="inlineStr">
        <is>
          <t>Skye Silmenna</t>
        </is>
      </c>
      <c r="B3488" t="inlineStr">
        <is>
          <t>7/12/26 - 8/8/26</t>
        </is>
      </c>
      <c r="C3488" t="n">
        <v>0.5792</v>
      </c>
      <c r="D3488" t="n">
        <v>1.0757</v>
      </c>
      <c r="E3488" t="n">
        <v>0.9850746268656716</v>
      </c>
      <c r="F3488" t="n">
        <v>0.707</v>
      </c>
      <c r="G3488" t="n">
        <v>0.3846153846153846</v>
      </c>
      <c r="H3488" t="n">
        <v>115</v>
      </c>
      <c r="J3488" t="n">
        <v>0.625</v>
      </c>
      <c r="K3488" t="inlineStr">
        <is>
          <t>Distinguished</t>
        </is>
      </c>
      <c r="M3488" t="inlineStr">
        <is>
          <t>Annelies de Groot</t>
        </is>
      </c>
      <c r="N3488" t="n">
        <v>0.875</v>
      </c>
      <c r="O3488" t="n">
        <v>7.5</v>
      </c>
    </row>
    <row r="3489">
      <c r="A3489" t="inlineStr">
        <is>
          <t>Stacey Jones</t>
        </is>
      </c>
      <c r="B3489" t="inlineStr">
        <is>
          <t>7/12/26 - 8/8/26</t>
        </is>
      </c>
      <c r="C3489" t="n">
        <v>0.6458</v>
      </c>
      <c r="D3489" t="n">
        <v>1.168</v>
      </c>
      <c r="E3489" t="n">
        <v>1</v>
      </c>
      <c r="F3489" t="n">
        <v>1</v>
      </c>
      <c r="G3489" t="n">
        <v>0.7777777777777778</v>
      </c>
      <c r="H3489" t="n">
        <v>116</v>
      </c>
      <c r="J3489" t="n">
        <v>0</v>
      </c>
      <c r="K3489" t="inlineStr">
        <is>
          <t>Distinguished</t>
        </is>
      </c>
      <c r="M3489" t="inlineStr">
        <is>
          <t>Annelies de Groot</t>
        </is>
      </c>
      <c r="N3489" t="n">
        <v>0.9375</v>
      </c>
      <c r="O3489" t="n">
        <v>3</v>
      </c>
    </row>
    <row r="3490">
      <c r="A3490" t="inlineStr">
        <is>
          <t>Steven Colome</t>
        </is>
      </c>
      <c r="B3490" t="inlineStr">
        <is>
          <t>7/12/26 - 8/8/26</t>
        </is>
      </c>
      <c r="C3490" t="n">
        <v>0.6042</v>
      </c>
      <c r="D3490" t="n">
        <v>1.1328</v>
      </c>
      <c r="E3490" t="n">
        <v>0.896551724137931</v>
      </c>
      <c r="F3490" t="n">
        <v>0.882</v>
      </c>
      <c r="G3490" t="n">
        <v>0.8</v>
      </c>
      <c r="H3490" t="n">
        <v>36</v>
      </c>
      <c r="J3490" t="n">
        <v>1</v>
      </c>
      <c r="K3490" t="inlineStr">
        <is>
          <t>Distinguished</t>
        </is>
      </c>
      <c r="M3490" t="inlineStr">
        <is>
          <t>Ela Cross</t>
        </is>
      </c>
      <c r="N3490" t="n">
        <v>0.95</v>
      </c>
      <c r="O3490" t="n">
        <v>4.166666666666667</v>
      </c>
    </row>
    <row r="3491">
      <c r="A3491" t="inlineStr">
        <is>
          <t>Sunho Kum</t>
        </is>
      </c>
      <c r="B3491" t="inlineStr">
        <is>
          <t>7/12/26 - 8/8/26</t>
        </is>
      </c>
      <c r="C3491" t="n">
        <v>1.0417</v>
      </c>
      <c r="D3491" t="n">
        <v>1.0703</v>
      </c>
      <c r="E3491" t="n">
        <v>1</v>
      </c>
      <c r="F3491" t="n">
        <v>1</v>
      </c>
      <c r="G3491" t="n">
        <v>1</v>
      </c>
      <c r="H3491" t="n">
        <v>140</v>
      </c>
      <c r="K3491" t="inlineStr">
        <is>
          <t>Distinguished</t>
        </is>
      </c>
      <c r="M3491" t="inlineStr">
        <is>
          <t>Ela Cross</t>
        </is>
      </c>
      <c r="N3491" t="n">
        <v>0.975</v>
      </c>
      <c r="O3491" t="n">
        <v>6.444444444444444</v>
      </c>
    </row>
    <row r="3492">
      <c r="A3492" t="inlineStr">
        <is>
          <t>Syrae Arteaga</t>
        </is>
      </c>
      <c r="B3492" t="inlineStr">
        <is>
          <t>7/12/26 - 8/8/26</t>
        </is>
      </c>
      <c r="C3492" t="n">
        <v>0.7708</v>
      </c>
      <c r="D3492" t="n">
        <v>1.6367</v>
      </c>
      <c r="E3492" t="n">
        <v>1</v>
      </c>
      <c r="F3492" t="n">
        <v>1</v>
      </c>
      <c r="G3492" t="n">
        <v>1</v>
      </c>
      <c r="H3492" t="n">
        <v>48</v>
      </c>
      <c r="J3492" t="n">
        <v>1</v>
      </c>
      <c r="K3492" t="inlineStr">
        <is>
          <t>Advanced</t>
        </is>
      </c>
      <c r="M3492" t="inlineStr">
        <is>
          <t>Ian Plamondon</t>
        </is>
      </c>
      <c r="N3492" t="n">
        <v>1</v>
      </c>
      <c r="O3492" t="n">
        <v>7.5</v>
      </c>
    </row>
    <row r="3493">
      <c r="A3493" t="inlineStr">
        <is>
          <t>Taryn Parks</t>
        </is>
      </c>
      <c r="B3493" t="inlineStr">
        <is>
          <t>7/12/26 - 8/8/26</t>
        </is>
      </c>
      <c r="C3493" t="n">
        <v>0.7292</v>
      </c>
      <c r="D3493" t="n">
        <v>1.0508</v>
      </c>
      <c r="E3493" t="n">
        <v>0.9428571428571428</v>
      </c>
      <c r="F3493" t="n">
        <v>1</v>
      </c>
      <c r="G3493" t="n">
        <v>0.6666666666666666</v>
      </c>
      <c r="H3493" t="n">
        <v>100</v>
      </c>
      <c r="J3493" t="n">
        <v>0.5</v>
      </c>
      <c r="K3493" t="inlineStr">
        <is>
          <t>Advanced</t>
        </is>
      </c>
      <c r="M3493" t="inlineStr">
        <is>
          <t>Annelies de Groot</t>
        </is>
      </c>
      <c r="N3493" t="n">
        <v>0.95</v>
      </c>
      <c r="O3493" t="n">
        <v>7</v>
      </c>
    </row>
    <row r="3494">
      <c r="A3494" t="inlineStr">
        <is>
          <t>Taylor Ennadi</t>
        </is>
      </c>
      <c r="B3494" t="inlineStr">
        <is>
          <t>7/12/26 - 8/8/26</t>
        </is>
      </c>
      <c r="C3494" t="n">
        <v>0</v>
      </c>
      <c r="D3494" t="n">
        <v>0.4211</v>
      </c>
      <c r="H3494" t="n">
        <v>0</v>
      </c>
      <c r="K3494" t="inlineStr">
        <is>
          <t>Distinguished</t>
        </is>
      </c>
      <c r="M3494" t="inlineStr">
        <is>
          <t>Nikki Pencak</t>
        </is>
      </c>
    </row>
    <row r="3495">
      <c r="A3495" t="inlineStr">
        <is>
          <t>Tea Stewart</t>
        </is>
      </c>
      <c r="B3495" t="inlineStr">
        <is>
          <t>7/12/26 - 8/8/26</t>
        </is>
      </c>
      <c r="C3495" t="n">
        <v>0.6458</v>
      </c>
      <c r="D3495" t="n">
        <v>1.0234</v>
      </c>
      <c r="E3495" t="n">
        <v>0.96</v>
      </c>
      <c r="F3495" t="n">
        <v>0.9409999999999999</v>
      </c>
      <c r="G3495" t="n">
        <v>0.8</v>
      </c>
      <c r="H3495" t="n">
        <v>72</v>
      </c>
      <c r="J3495" t="n">
        <v>0</v>
      </c>
      <c r="K3495" t="inlineStr">
        <is>
          <t>Distinguished</t>
        </is>
      </c>
      <c r="M3495" t="inlineStr">
        <is>
          <t>Kristin Haase-Alvey</t>
        </is>
      </c>
      <c r="N3495" t="n">
        <v>1</v>
      </c>
    </row>
    <row r="3496">
      <c r="A3496" t="inlineStr">
        <is>
          <t>Teresa Fuller</t>
        </is>
      </c>
      <c r="B3496" t="inlineStr">
        <is>
          <t>7/12/26 - 8/8/26</t>
        </is>
      </c>
      <c r="C3496" t="n">
        <v>0.6875</v>
      </c>
      <c r="D3496" t="n">
        <v>0.957</v>
      </c>
      <c r="E3496" t="n">
        <v>1</v>
      </c>
      <c r="F3496" t="n">
        <v>1</v>
      </c>
      <c r="G3496" t="n">
        <v>1</v>
      </c>
      <c r="H3496" t="n">
        <v>56</v>
      </c>
      <c r="K3496" t="inlineStr">
        <is>
          <t>Advanced</t>
        </is>
      </c>
      <c r="M3496" t="inlineStr">
        <is>
          <t>Ela Cross</t>
        </is>
      </c>
      <c r="N3496" t="n">
        <v>1</v>
      </c>
      <c r="O3496" t="n">
        <v>8.5</v>
      </c>
    </row>
    <row r="3497">
      <c r="A3497" t="inlineStr">
        <is>
          <t>Tim Page</t>
        </is>
      </c>
      <c r="B3497" t="inlineStr">
        <is>
          <t>7/12/26 - 8/8/26</t>
        </is>
      </c>
      <c r="C3497" t="n">
        <v>0.75</v>
      </c>
      <c r="D3497" t="n">
        <v>1.1802</v>
      </c>
      <c r="E3497" t="n">
        <v>0.9714285714285714</v>
      </c>
      <c r="F3497" t="n">
        <v>0.982</v>
      </c>
      <c r="G3497" t="n">
        <v>0.7</v>
      </c>
      <c r="H3497" t="n">
        <v>76</v>
      </c>
      <c r="J3497" t="n">
        <v>0.9090909090909091</v>
      </c>
      <c r="K3497" t="inlineStr">
        <is>
          <t>Advanced</t>
        </is>
      </c>
      <c r="M3497" t="inlineStr">
        <is>
          <t>Annelies de Groot</t>
        </is>
      </c>
      <c r="N3497" t="n">
        <v>0.905844155844156</v>
      </c>
      <c r="O3497" t="n">
        <v>8.75</v>
      </c>
    </row>
    <row r="3498">
      <c r="A3498" t="inlineStr">
        <is>
          <t>Tim Schlotzhauer</t>
        </is>
      </c>
      <c r="B3498" t="inlineStr">
        <is>
          <t>7/12/26 - 8/8/26</t>
        </is>
      </c>
      <c r="C3498" t="n">
        <v>0.8042</v>
      </c>
      <c r="D3498" t="n">
        <v>1.1941</v>
      </c>
      <c r="E3498" t="n">
        <v>0.9876543209876544</v>
      </c>
      <c r="F3498" t="n">
        <v>0.979</v>
      </c>
      <c r="G3498" t="n">
        <v>0.8888888888888888</v>
      </c>
      <c r="H3498" t="n">
        <v>52</v>
      </c>
      <c r="J3498" t="n">
        <v>1</v>
      </c>
      <c r="K3498" t="inlineStr">
        <is>
          <t>Premium</t>
        </is>
      </c>
      <c r="M3498" t="inlineStr">
        <is>
          <t>Geoff St. Marie</t>
        </is>
      </c>
      <c r="N3498" t="n">
        <v>0.9008241758241758</v>
      </c>
      <c r="O3498" t="n">
        <v>8.574999999999999</v>
      </c>
    </row>
    <row r="3499">
      <c r="A3499" t="inlineStr">
        <is>
          <t>Tom Pluth</t>
        </is>
      </c>
      <c r="B3499" t="inlineStr">
        <is>
          <t>7/12/26 - 8/8/26</t>
        </is>
      </c>
      <c r="C3499" t="n">
        <v>0.7292</v>
      </c>
      <c r="D3499" t="n">
        <v>1.2461</v>
      </c>
      <c r="E3499" t="n">
        <v>1</v>
      </c>
      <c r="F3499" t="n">
        <v>1</v>
      </c>
      <c r="G3499" t="n">
        <v>0.75</v>
      </c>
      <c r="H3499" t="n">
        <v>16</v>
      </c>
      <c r="J3499" t="n">
        <v>0.8</v>
      </c>
      <c r="K3499" t="inlineStr">
        <is>
          <t>Distinguished</t>
        </is>
      </c>
      <c r="M3499" t="inlineStr">
        <is>
          <t>Ela Cross</t>
        </is>
      </c>
      <c r="N3499" t="n">
        <v>1</v>
      </c>
      <c r="O3499" t="n">
        <v>4.666666666666667</v>
      </c>
    </row>
    <row r="3500">
      <c r="A3500" t="inlineStr">
        <is>
          <t>Tommaso Marsella</t>
        </is>
      </c>
      <c r="B3500" t="inlineStr">
        <is>
          <t>7/12/26 - 8/8/26</t>
        </is>
      </c>
      <c r="C3500" t="n">
        <v>0.3125</v>
      </c>
      <c r="D3500" t="n">
        <v>1.0977</v>
      </c>
      <c r="E3500" t="n">
        <v>1</v>
      </c>
      <c r="F3500" t="n">
        <v>1</v>
      </c>
      <c r="G3500" t="n">
        <v>0.6666666666666666</v>
      </c>
      <c r="H3500" t="n">
        <v>35</v>
      </c>
      <c r="K3500" t="inlineStr">
        <is>
          <t>Distinguished</t>
        </is>
      </c>
      <c r="M3500" t="inlineStr">
        <is>
          <t>Ian Plamondon</t>
        </is>
      </c>
      <c r="N3500" t="n">
        <v>0.7083333333333333</v>
      </c>
    </row>
    <row r="3501">
      <c r="A3501" t="inlineStr">
        <is>
          <t>Treasure Joyce</t>
        </is>
      </c>
      <c r="B3501" t="inlineStr">
        <is>
          <t>7/12/26 - 8/8/26</t>
        </is>
      </c>
      <c r="C3501" t="n">
        <v>0</v>
      </c>
      <c r="D3501" t="n">
        <v>0.8246</v>
      </c>
      <c r="H3501" t="n">
        <v>0</v>
      </c>
      <c r="K3501" t="inlineStr">
        <is>
          <t>Distinguished</t>
        </is>
      </c>
      <c r="M3501" t="inlineStr">
        <is>
          <t>Nikki Pencak</t>
        </is>
      </c>
    </row>
    <row r="3502">
      <c r="A3502" t="inlineStr">
        <is>
          <t>Trevor Ferguson</t>
        </is>
      </c>
      <c r="B3502" t="inlineStr">
        <is>
          <t>7/12/26 - 8/8/26</t>
        </is>
      </c>
      <c r="C3502" t="n">
        <v>0.9083</v>
      </c>
      <c r="D3502" t="n">
        <v>0.9572000000000001</v>
      </c>
      <c r="E3502" t="n">
        <v>1</v>
      </c>
      <c r="F3502" t="n">
        <v>0.982</v>
      </c>
      <c r="G3502" t="n">
        <v>0.6875</v>
      </c>
      <c r="H3502" t="n">
        <v>121</v>
      </c>
      <c r="J3502" t="n">
        <v>1</v>
      </c>
      <c r="K3502" t="inlineStr">
        <is>
          <t>Distinguished</t>
        </is>
      </c>
      <c r="M3502" t="inlineStr">
        <is>
          <t>Geoff St. Marie</t>
        </is>
      </c>
      <c r="N3502" t="n">
        <v>0.9212454212454212</v>
      </c>
      <c r="O3502" t="n">
        <v>8.666666666666668</v>
      </c>
    </row>
    <row r="3503">
      <c r="A3503" t="inlineStr">
        <is>
          <t>Tyler Greer</t>
        </is>
      </c>
      <c r="B3503" t="inlineStr">
        <is>
          <t>7/12/26 - 8/8/26</t>
        </is>
      </c>
      <c r="C3503" t="n">
        <v>0.8167</v>
      </c>
      <c r="D3503" t="n">
        <v>0.8438</v>
      </c>
      <c r="E3503" t="n">
        <v>1</v>
      </c>
      <c r="F3503" t="n">
        <v>0.845</v>
      </c>
      <c r="G3503" t="n">
        <v>1</v>
      </c>
      <c r="H3503" t="n">
        <v>118</v>
      </c>
      <c r="J3503" t="n">
        <v>0.25</v>
      </c>
      <c r="K3503" t="inlineStr">
        <is>
          <t>Distinguished</t>
        </is>
      </c>
      <c r="M3503" t="inlineStr">
        <is>
          <t>Kristin Haase-Alvey</t>
        </is>
      </c>
      <c r="N3503" t="n">
        <v>1</v>
      </c>
      <c r="O3503" t="n">
        <v>4.283333333333333</v>
      </c>
    </row>
    <row r="3504">
      <c r="A3504" t="inlineStr">
        <is>
          <t>Tyler Henry</t>
        </is>
      </c>
      <c r="B3504" t="inlineStr">
        <is>
          <t>7/12/26 - 8/8/26</t>
        </is>
      </c>
      <c r="C3504" t="n">
        <v>1.0917</v>
      </c>
      <c r="D3504" t="n">
        <v>1.3191</v>
      </c>
      <c r="E3504" t="n">
        <v>0.9296875</v>
      </c>
      <c r="F3504" t="n">
        <v>0.783</v>
      </c>
      <c r="G3504" t="n">
        <v>0.6296296296296297</v>
      </c>
      <c r="H3504" t="n">
        <v>148</v>
      </c>
      <c r="J3504" t="n">
        <v>0.9230769230769231</v>
      </c>
      <c r="K3504" t="inlineStr">
        <is>
          <t>Distinguished</t>
        </is>
      </c>
      <c r="M3504" t="inlineStr">
        <is>
          <t>Annelies de Groot</t>
        </is>
      </c>
      <c r="N3504" t="n">
        <v>0.9848484848484848</v>
      </c>
      <c r="O3504" t="n">
        <v>6.777777777777778</v>
      </c>
    </row>
    <row r="3505">
      <c r="A3505" t="inlineStr">
        <is>
          <t>Tyler Thornton</t>
        </is>
      </c>
      <c r="B3505" t="inlineStr">
        <is>
          <t>7/12/26 - 8/8/26</t>
        </is>
      </c>
      <c r="C3505" t="n">
        <v>0.9958</v>
      </c>
      <c r="D3505" t="n">
        <v>1.0181</v>
      </c>
      <c r="E3505" t="n">
        <v>1</v>
      </c>
      <c r="F3505" t="n">
        <v>0.957</v>
      </c>
      <c r="G3505" t="n">
        <v>0.8421052631578947</v>
      </c>
      <c r="H3505" t="n">
        <v>260</v>
      </c>
      <c r="J3505" t="n">
        <v>0</v>
      </c>
      <c r="K3505" t="inlineStr">
        <is>
          <t>Distinguished</t>
        </is>
      </c>
      <c r="M3505" t="inlineStr">
        <is>
          <t>Kristin Haase-Alvey</t>
        </is>
      </c>
      <c r="N3505" t="n">
        <v>0.9833333333333334</v>
      </c>
      <c r="O3505" t="n">
        <v>7.788888888888889</v>
      </c>
    </row>
    <row r="3506">
      <c r="A3506" t="inlineStr">
        <is>
          <t>Valdenis Iancu</t>
        </is>
      </c>
      <c r="B3506" t="inlineStr">
        <is>
          <t>7/12/26 - 8/8/26</t>
        </is>
      </c>
      <c r="C3506" t="n">
        <v>0.7375</v>
      </c>
      <c r="D3506" t="n">
        <v>1.1563</v>
      </c>
      <c r="E3506" t="n">
        <v>1</v>
      </c>
      <c r="F3506" t="n">
        <v>1</v>
      </c>
      <c r="G3506" t="n">
        <v>0.7058823529411765</v>
      </c>
      <c r="H3506" t="n">
        <v>64</v>
      </c>
      <c r="J3506" t="n">
        <v>0.6666666666666666</v>
      </c>
      <c r="K3506" t="inlineStr">
        <is>
          <t>Premium</t>
        </is>
      </c>
      <c r="M3506" t="inlineStr">
        <is>
          <t>Ian Plamondon</t>
        </is>
      </c>
      <c r="N3506" t="n">
        <v>0.9666666666666668</v>
      </c>
      <c r="O3506" t="n">
        <v>6</v>
      </c>
    </row>
    <row r="3507">
      <c r="A3507" t="inlineStr">
        <is>
          <t>Valerie Duran</t>
        </is>
      </c>
      <c r="B3507" t="inlineStr">
        <is>
          <t>7/12/26 - 8/8/26</t>
        </is>
      </c>
      <c r="C3507" t="n">
        <v>1.1375</v>
      </c>
      <c r="D3507" t="n">
        <v>1.25</v>
      </c>
      <c r="E3507" t="n">
        <v>1</v>
      </c>
      <c r="F3507" t="n">
        <v>0.913</v>
      </c>
      <c r="G3507" t="n">
        <v>0.5</v>
      </c>
      <c r="H3507" t="n">
        <v>284</v>
      </c>
      <c r="J3507" t="n">
        <v>0</v>
      </c>
      <c r="K3507" t="inlineStr">
        <is>
          <t>Advanced</t>
        </is>
      </c>
      <c r="M3507" t="inlineStr">
        <is>
          <t>Ela Cross</t>
        </is>
      </c>
      <c r="N3507" t="n">
        <v>0.95</v>
      </c>
      <c r="O3507" t="n">
        <v>3</v>
      </c>
    </row>
    <row r="3508">
      <c r="A3508" t="inlineStr">
        <is>
          <t>Vincent Cross</t>
        </is>
      </c>
      <c r="B3508" t="inlineStr">
        <is>
          <t>7/12/26 - 8/8/26</t>
        </is>
      </c>
      <c r="C3508" t="n">
        <v>0.5125</v>
      </c>
      <c r="D3508" t="n">
        <v>1.028</v>
      </c>
      <c r="E3508" t="n">
        <v>0.9649122807017544</v>
      </c>
      <c r="F3508" t="n">
        <v>1</v>
      </c>
      <c r="G3508" t="n">
        <v>0.6923076923076923</v>
      </c>
      <c r="H3508" t="n">
        <v>82</v>
      </c>
      <c r="J3508" t="n">
        <v>0.3333333333333333</v>
      </c>
      <c r="K3508" t="inlineStr">
        <is>
          <t>Distinguished</t>
        </is>
      </c>
      <c r="M3508" t="inlineStr">
        <is>
          <t>Kristin Haase-Alvey</t>
        </is>
      </c>
      <c r="N3508" t="n">
        <v>0.9</v>
      </c>
      <c r="O3508" t="n">
        <v>6</v>
      </c>
    </row>
    <row r="3509">
      <c r="A3509" t="inlineStr">
        <is>
          <t>Zach McFatridge</t>
        </is>
      </c>
      <c r="B3509" t="inlineStr">
        <is>
          <t>7/12/26 - 8/8/26</t>
        </is>
      </c>
      <c r="C3509" t="n">
        <v>1.1464</v>
      </c>
      <c r="D3509" t="n">
        <v>1.1395</v>
      </c>
      <c r="E3509" t="n">
        <v>1</v>
      </c>
      <c r="F3509" t="n">
        <v>0.889</v>
      </c>
      <c r="G3509" t="n">
        <v>0.90625</v>
      </c>
      <c r="H3509" t="n">
        <v>249</v>
      </c>
      <c r="J3509" t="n">
        <v>0.7777777777777778</v>
      </c>
      <c r="K3509" t="inlineStr">
        <is>
          <t>Distinguished</t>
        </is>
      </c>
      <c r="M3509" t="inlineStr">
        <is>
          <t>Annelies de Groot</t>
        </is>
      </c>
      <c r="N3509" t="n">
        <v>0.7861842105263158</v>
      </c>
      <c r="O3509" t="n">
        <v>8.625</v>
      </c>
    </row>
    <row r="3510">
      <c r="A3510" t="inlineStr">
        <is>
          <t>Zachary Doenges</t>
        </is>
      </c>
      <c r="B3510" t="inlineStr">
        <is>
          <t>7/12/26 - 8/8/26</t>
        </is>
      </c>
      <c r="C3510" t="n">
        <v>1.2321</v>
      </c>
      <c r="D3510" t="n">
        <v>1.189</v>
      </c>
      <c r="E3510" t="n">
        <v>1</v>
      </c>
      <c r="F3510" t="n">
        <v>0.968</v>
      </c>
      <c r="G3510" t="n">
        <v>1</v>
      </c>
      <c r="H3510" t="n">
        <v>201</v>
      </c>
      <c r="J3510" t="n">
        <v>0</v>
      </c>
      <c r="K3510" t="inlineStr">
        <is>
          <t>Premium</t>
        </is>
      </c>
      <c r="M3510" t="inlineStr">
        <is>
          <t>Ian Plamondon</t>
        </is>
      </c>
      <c r="N3510" t="n">
        <v>0.8426916221033868</v>
      </c>
      <c r="O3510" t="n">
        <v>3.8</v>
      </c>
    </row>
    <row r="3511">
      <c r="A3511" t="inlineStr">
        <is>
          <t>Zack Anthony</t>
        </is>
      </c>
      <c r="B3511" t="inlineStr">
        <is>
          <t>7/12/26 - 8/8/26</t>
        </is>
      </c>
      <c r="C3511" t="n">
        <v>0.925</v>
      </c>
      <c r="D3511" t="n">
        <v>1.1299</v>
      </c>
      <c r="E3511" t="n">
        <v>0.9807692307692308</v>
      </c>
      <c r="F3511" t="n">
        <v>0.9379999999999999</v>
      </c>
      <c r="G3511" t="n">
        <v>0.7727272727272727</v>
      </c>
      <c r="H3511" t="n">
        <v>89</v>
      </c>
      <c r="J3511" t="n">
        <v>0</v>
      </c>
      <c r="K3511" t="inlineStr">
        <is>
          <t>Distinguished</t>
        </is>
      </c>
      <c r="M3511" t="inlineStr">
        <is>
          <t>Kristin Haase-Alvey</t>
        </is>
      </c>
      <c r="N3511" t="n">
        <v>1</v>
      </c>
      <c r="O3511" t="n">
        <v>4.75</v>
      </c>
    </row>
    <row r="3512">
      <c r="A3512" t="inlineStr">
        <is>
          <t>Zack Robertson</t>
        </is>
      </c>
      <c r="B3512" t="inlineStr">
        <is>
          <t>7/12/26 - 8/8/26</t>
        </is>
      </c>
      <c r="C3512" t="n">
        <v>0.6625</v>
      </c>
      <c r="D3512" t="n">
        <v>0.8898</v>
      </c>
      <c r="E3512" t="n">
        <v>1</v>
      </c>
      <c r="F3512" t="n">
        <v>0.918</v>
      </c>
      <c r="G3512" t="n">
        <v>0.6</v>
      </c>
      <c r="H3512" t="n">
        <v>45</v>
      </c>
      <c r="J3512" t="n">
        <v>0.4</v>
      </c>
      <c r="K3512" t="inlineStr">
        <is>
          <t>Distinguished</t>
        </is>
      </c>
      <c r="M3512" t="inlineStr">
        <is>
          <t>Kristin Haase-Alvey</t>
        </is>
      </c>
      <c r="N3512" t="n">
        <v>0.9642857142857144</v>
      </c>
      <c r="O3512" t="n">
        <v>7.333333333333333</v>
      </c>
    </row>
    <row r="3513">
      <c r="A3513" t="inlineStr">
        <is>
          <t>Zoe Shanley</t>
        </is>
      </c>
      <c r="B3513" t="inlineStr">
        <is>
          <t>7/12/26 - 8/8/26</t>
        </is>
      </c>
      <c r="C3513" t="n">
        <v>0.8786</v>
      </c>
      <c r="D3513" t="n">
        <v>1.0276</v>
      </c>
      <c r="E3513" t="n">
        <v>0.9747899159663864</v>
      </c>
      <c r="F3513" t="n">
        <v>0.988</v>
      </c>
      <c r="G3513" t="n">
        <v>0.9032258064516128</v>
      </c>
      <c r="H3513" t="n">
        <v>227</v>
      </c>
      <c r="J3513" t="n">
        <v>1</v>
      </c>
      <c r="K3513" t="inlineStr">
        <is>
          <t>Distinguished</t>
        </is>
      </c>
      <c r="M3513" t="inlineStr">
        <is>
          <t>Ian Plamondon</t>
        </is>
      </c>
      <c r="N3513" t="n">
        <v>0.9625</v>
      </c>
      <c r="O3513" t="n">
        <v>7.440476190476191</v>
      </c>
    </row>
    <row r="3514">
      <c r="A3514" t="inlineStr">
        <is>
          <t>Abraham Kalani</t>
        </is>
      </c>
      <c r="B3514" t="inlineStr">
        <is>
          <t>8/9/26 - 9/5/26</t>
        </is>
      </c>
      <c r="C3514" t="n">
        <v>0</v>
      </c>
      <c r="D3514" t="n">
        <v>0</v>
      </c>
      <c r="H3514" t="n">
        <v>0</v>
      </c>
      <c r="K3514" t="inlineStr">
        <is>
          <t>Distinguished</t>
        </is>
      </c>
      <c r="M3514" t="inlineStr">
        <is>
          <t>Nikki Pencak</t>
        </is>
      </c>
    </row>
    <row r="3515">
      <c r="A3515" t="inlineStr">
        <is>
          <t>Akeema Williams</t>
        </is>
      </c>
      <c r="B3515" t="inlineStr">
        <is>
          <t>8/9/26 - 9/5/26</t>
        </is>
      </c>
      <c r="C3515" t="n">
        <v>0.6792</v>
      </c>
      <c r="D3515" t="n">
        <v>0.9671</v>
      </c>
      <c r="E3515" t="n">
        <v>1</v>
      </c>
      <c r="F3515" t="n">
        <v>1</v>
      </c>
      <c r="G3515" t="n">
        <v>0.7368421052631579</v>
      </c>
      <c r="H3515" t="n">
        <v>98</v>
      </c>
      <c r="J3515" t="n">
        <v>0</v>
      </c>
      <c r="K3515" t="inlineStr">
        <is>
          <t>Premium</t>
        </is>
      </c>
      <c r="M3515" t="inlineStr">
        <is>
          <t>Geoff St. Marie</t>
        </is>
      </c>
      <c r="N3515" t="n">
        <v>0.96875</v>
      </c>
      <c r="O3515" t="n">
        <v>10</v>
      </c>
      <c r="P3515" t="n">
        <v>0.0774193548387096</v>
      </c>
    </row>
    <row r="3516">
      <c r="A3516" t="inlineStr">
        <is>
          <t>Alex Small</t>
        </is>
      </c>
      <c r="B3516" t="inlineStr">
        <is>
          <t>8/9/26 - 9/5/26</t>
        </is>
      </c>
      <c r="C3516" t="n">
        <v>0.7708</v>
      </c>
      <c r="D3516" t="n">
        <v>1.3242</v>
      </c>
      <c r="E3516" t="n">
        <v>1</v>
      </c>
      <c r="F3516" t="n">
        <v>1</v>
      </c>
      <c r="G3516" t="n">
        <v>0.6666666666666666</v>
      </c>
      <c r="H3516" t="n">
        <v>84</v>
      </c>
      <c r="J3516" t="n">
        <v>1</v>
      </c>
      <c r="K3516" t="inlineStr">
        <is>
          <t>Premium</t>
        </is>
      </c>
      <c r="M3516" t="inlineStr">
        <is>
          <t>Ela Cross</t>
        </is>
      </c>
      <c r="N3516" t="n">
        <v>1</v>
      </c>
      <c r="O3516" t="n">
        <v>7</v>
      </c>
    </row>
    <row r="3517">
      <c r="A3517" t="inlineStr">
        <is>
          <t>Alexa Pinera</t>
        </is>
      </c>
      <c r="B3517" t="inlineStr">
        <is>
          <t>8/9/26 - 9/5/26</t>
        </is>
      </c>
      <c r="C3517" t="n">
        <v>0.8375</v>
      </c>
      <c r="D3517" t="n">
        <v>1.525</v>
      </c>
      <c r="E3517" t="n">
        <v>0.9772727272727272</v>
      </c>
      <c r="F3517" t="n">
        <v>1</v>
      </c>
      <c r="G3517" t="n">
        <v>0.8823529411764706</v>
      </c>
      <c r="H3517" t="n">
        <v>53</v>
      </c>
      <c r="J3517" t="n">
        <v>1</v>
      </c>
      <c r="K3517" t="inlineStr">
        <is>
          <t>Premium</t>
        </is>
      </c>
      <c r="M3517" t="inlineStr">
        <is>
          <t>Ian Plamondon</t>
        </is>
      </c>
      <c r="N3517" t="n">
        <v>1</v>
      </c>
      <c r="O3517" t="n">
        <v>7.154761904761905</v>
      </c>
      <c r="P3517" t="n">
        <v>0.008374874371859201</v>
      </c>
    </row>
    <row r="3518">
      <c r="A3518" t="inlineStr">
        <is>
          <t>Alexis Boucher</t>
        </is>
      </c>
      <c r="B3518" t="inlineStr">
        <is>
          <t>8/9/26 - 9/5/26</t>
        </is>
      </c>
      <c r="C3518" t="n">
        <v>0.7875</v>
      </c>
      <c r="D3518" t="n">
        <v>0.8207</v>
      </c>
      <c r="E3518" t="n">
        <v>1</v>
      </c>
      <c r="F3518" t="n">
        <v>0.828</v>
      </c>
      <c r="G3518" t="n">
        <v>0.7222222222222222</v>
      </c>
      <c r="H3518" t="n">
        <v>17</v>
      </c>
      <c r="J3518" t="n">
        <v>1</v>
      </c>
      <c r="K3518" t="inlineStr">
        <is>
          <t>Distinguished</t>
        </is>
      </c>
      <c r="M3518" t="inlineStr">
        <is>
          <t>Geoff St. Marie</t>
        </is>
      </c>
      <c r="N3518" t="n">
        <v>1</v>
      </c>
      <c r="O3518" t="n">
        <v>5.25</v>
      </c>
      <c r="P3518" t="n">
        <v>0.0119701657458563</v>
      </c>
    </row>
    <row r="3519">
      <c r="A3519" t="inlineStr">
        <is>
          <t>Alexis Normandia</t>
        </is>
      </c>
      <c r="B3519" t="inlineStr">
        <is>
          <t>8/9/26 - 9/5/26</t>
        </is>
      </c>
      <c r="H3519" t="n">
        <v>0</v>
      </c>
      <c r="K3519" t="inlineStr">
        <is>
          <t>Distinguished</t>
        </is>
      </c>
      <c r="M3519" t="inlineStr">
        <is>
          <t>Katherine Marino</t>
        </is>
      </c>
    </row>
    <row r="3520">
      <c r="A3520" t="inlineStr">
        <is>
          <t>Allie Myers Gregory</t>
        </is>
      </c>
      <c r="B3520" t="inlineStr">
        <is>
          <t>8/9/26 - 9/5/26</t>
        </is>
      </c>
      <c r="C3520" t="n">
        <v>0.6458</v>
      </c>
      <c r="D3520" t="n">
        <v>0.9688</v>
      </c>
      <c r="E3520" t="n">
        <v>1</v>
      </c>
      <c r="F3520" t="n">
        <v>1</v>
      </c>
      <c r="G3520" t="n">
        <v>0.6666666666666666</v>
      </c>
      <c r="H3520" t="n">
        <v>40</v>
      </c>
      <c r="J3520" t="n">
        <v>0.8333333333333334</v>
      </c>
      <c r="K3520" t="inlineStr">
        <is>
          <t>Distinguished</t>
        </is>
      </c>
      <c r="M3520" t="inlineStr">
        <is>
          <t>Katherine Marino</t>
        </is>
      </c>
      <c r="N3520" t="n">
        <v>0.8670634920634921</v>
      </c>
      <c r="O3520" t="n">
        <v>4.666666666666666</v>
      </c>
      <c r="P3520" t="n">
        <v>0.193103448275862</v>
      </c>
    </row>
    <row r="3521">
      <c r="A3521" t="inlineStr">
        <is>
          <t>Allison Peck</t>
        </is>
      </c>
      <c r="B3521" t="inlineStr">
        <is>
          <t>8/9/26 - 9/5/26</t>
        </is>
      </c>
      <c r="C3521" t="n">
        <v>0.5104</v>
      </c>
      <c r="D3521" t="n">
        <v>1.0469</v>
      </c>
      <c r="E3521" t="n">
        <v>1</v>
      </c>
      <c r="F3521" t="n">
        <v>1</v>
      </c>
      <c r="G3521" t="n">
        <v>1</v>
      </c>
      <c r="H3521" t="n">
        <v>0</v>
      </c>
      <c r="J3521" t="n">
        <v>1</v>
      </c>
      <c r="K3521" t="inlineStr">
        <is>
          <t>Distinguished</t>
        </is>
      </c>
      <c r="M3521" t="inlineStr">
        <is>
          <t>Kristin Haase-Alvey</t>
        </is>
      </c>
      <c r="N3521" t="n">
        <v>1</v>
      </c>
      <c r="O3521" t="n">
        <v>8</v>
      </c>
      <c r="P3521" t="n">
        <v>0.2121136363636363</v>
      </c>
    </row>
    <row r="3522">
      <c r="A3522" t="inlineStr">
        <is>
          <t>Amber Maldonado</t>
        </is>
      </c>
      <c r="B3522" t="inlineStr">
        <is>
          <t>8/9/26 - 9/5/26</t>
        </is>
      </c>
      <c r="C3522" t="n">
        <v>1.0208</v>
      </c>
      <c r="D3522" t="n">
        <v>1.0378</v>
      </c>
      <c r="E3522" t="n">
        <v>0.8936170212765957</v>
      </c>
      <c r="F3522" t="n">
        <v>0.9379999999999999</v>
      </c>
      <c r="G3522" t="n">
        <v>1</v>
      </c>
      <c r="H3522" t="n">
        <v>104</v>
      </c>
      <c r="J3522" t="n">
        <v>1</v>
      </c>
      <c r="K3522" t="inlineStr">
        <is>
          <t>Distinguished</t>
        </is>
      </c>
      <c r="M3522" t="inlineStr">
        <is>
          <t>Annelies de Groot</t>
        </is>
      </c>
      <c r="N3522" t="n">
        <v>1</v>
      </c>
      <c r="O3522" t="n">
        <v>6.555555555555556</v>
      </c>
      <c r="P3522" t="n">
        <v>0.2447257383966244</v>
      </c>
    </row>
    <row r="3523">
      <c r="A3523" t="inlineStr">
        <is>
          <t>Amelia Sain</t>
        </is>
      </c>
      <c r="B3523" t="inlineStr">
        <is>
          <t>8/9/26 - 9/5/26</t>
        </is>
      </c>
      <c r="C3523" t="n">
        <v>0.95</v>
      </c>
      <c r="D3523" t="n">
        <v>1.1875</v>
      </c>
      <c r="E3523" t="n">
        <v>1</v>
      </c>
      <c r="F3523" t="n">
        <v>0.846</v>
      </c>
      <c r="G3523" t="n">
        <v>0.0454545454545454</v>
      </c>
      <c r="H3523" t="n">
        <v>264</v>
      </c>
      <c r="J3523" t="n">
        <v>0</v>
      </c>
      <c r="K3523" t="inlineStr">
        <is>
          <t>Premium</t>
        </is>
      </c>
      <c r="M3523" t="inlineStr">
        <is>
          <t>Geoff St. Marie</t>
        </is>
      </c>
      <c r="N3523" t="n">
        <v>1</v>
      </c>
      <c r="P3523" t="n">
        <v>0.0520821428571428</v>
      </c>
    </row>
    <row r="3524">
      <c r="A3524" t="inlineStr">
        <is>
          <t>Ana Heiser</t>
        </is>
      </c>
      <c r="B3524" t="inlineStr">
        <is>
          <t>8/9/26 - 9/5/26</t>
        </is>
      </c>
      <c r="C3524" t="n">
        <v>0.8208</v>
      </c>
      <c r="D3524" t="n">
        <v>1.4104</v>
      </c>
      <c r="E3524" t="n">
        <v>0.9659090909090908</v>
      </c>
      <c r="F3524" t="n">
        <v>0.948</v>
      </c>
      <c r="G3524" t="n">
        <v>1</v>
      </c>
      <c r="H3524" t="n">
        <v>112</v>
      </c>
      <c r="J3524" t="n">
        <v>1</v>
      </c>
      <c r="K3524" t="inlineStr">
        <is>
          <t>Distinguished</t>
        </is>
      </c>
      <c r="M3524" t="inlineStr">
        <is>
          <t>Kristin Haase-Alvey</t>
        </is>
      </c>
      <c r="N3524" t="n">
        <v>0.8938311688311689</v>
      </c>
      <c r="O3524" t="n">
        <v>7.144444444444444</v>
      </c>
      <c r="P3524" t="n">
        <v>0.0906715025906735</v>
      </c>
    </row>
    <row r="3525">
      <c r="A3525" t="inlineStr">
        <is>
          <t>Andres Jarquin</t>
        </is>
      </c>
      <c r="B3525" t="inlineStr">
        <is>
          <t>8/9/26 - 9/5/26</t>
        </is>
      </c>
      <c r="C3525" t="n">
        <v>0.7542</v>
      </c>
      <c r="D3525" t="n">
        <v>1.0263</v>
      </c>
      <c r="E3525" t="n">
        <v>1</v>
      </c>
      <c r="F3525" t="n">
        <v>0.979</v>
      </c>
      <c r="G3525" t="n">
        <v>0.5</v>
      </c>
      <c r="H3525" t="n">
        <v>120</v>
      </c>
      <c r="J3525" t="n">
        <v>0</v>
      </c>
      <c r="K3525" t="inlineStr">
        <is>
          <t>Distinguished</t>
        </is>
      </c>
      <c r="M3525" t="inlineStr">
        <is>
          <t>Ian Plamondon</t>
        </is>
      </c>
      <c r="N3525" t="n">
        <v>0.9423076923076924</v>
      </c>
      <c r="O3525" t="n">
        <v>7</v>
      </c>
      <c r="P3525" t="n">
        <v>0.0966461538461538</v>
      </c>
    </row>
    <row r="3526">
      <c r="A3526" t="inlineStr">
        <is>
          <t>Andrew Brown</t>
        </is>
      </c>
      <c r="B3526" t="inlineStr">
        <is>
          <t>8/9/26 - 9/5/26</t>
        </is>
      </c>
      <c r="C3526" t="n">
        <v>1.1792</v>
      </c>
      <c r="D3526" t="n">
        <v>1.2993</v>
      </c>
      <c r="E3526" t="n">
        <v>1</v>
      </c>
      <c r="F3526" t="n">
        <v>0.961</v>
      </c>
      <c r="G3526" t="n">
        <v>0.7037037037037037</v>
      </c>
      <c r="H3526" t="n">
        <v>96.5</v>
      </c>
      <c r="K3526" t="inlineStr">
        <is>
          <t>Distinguished</t>
        </is>
      </c>
      <c r="M3526" t="inlineStr">
        <is>
          <t>Geoff St. Marie</t>
        </is>
      </c>
      <c r="N3526" t="n">
        <v>1</v>
      </c>
      <c r="O3526" t="n">
        <v>6.833333333333334</v>
      </c>
      <c r="P3526" t="n">
        <v>0.0299625468164794</v>
      </c>
    </row>
    <row r="3527">
      <c r="A3527" t="inlineStr">
        <is>
          <t>Andrew Gehlot</t>
        </is>
      </c>
      <c r="B3527" t="inlineStr">
        <is>
          <t>8/9/26 - 9/5/26</t>
        </is>
      </c>
      <c r="C3527" t="n">
        <v>0.775</v>
      </c>
      <c r="D3527" t="n">
        <v>0.8487</v>
      </c>
      <c r="E3527" t="n">
        <v>0.9012345679012346</v>
      </c>
      <c r="F3527" t="n">
        <v>0.827</v>
      </c>
      <c r="G3527" t="n">
        <v>0.8695652173913043</v>
      </c>
      <c r="H3527" t="n">
        <v>39</v>
      </c>
      <c r="K3527" t="inlineStr">
        <is>
          <t>Premium</t>
        </is>
      </c>
      <c r="M3527" t="inlineStr">
        <is>
          <t>Ela Cross</t>
        </is>
      </c>
      <c r="N3527" t="n">
        <v>1</v>
      </c>
      <c r="O3527" t="n">
        <v>5.116071428571429</v>
      </c>
      <c r="P3527" t="n">
        <v>0.0120469879518072</v>
      </c>
    </row>
    <row r="3528">
      <c r="A3528" t="inlineStr">
        <is>
          <t>Andrew League</t>
        </is>
      </c>
      <c r="B3528" t="inlineStr">
        <is>
          <t>8/9/26 - 9/5/26</t>
        </is>
      </c>
      <c r="C3528" t="n">
        <v>0.5563</v>
      </c>
      <c r="D3528" t="n">
        <v>0.7862</v>
      </c>
      <c r="E3528" t="n">
        <v>1</v>
      </c>
      <c r="F3528" t="n">
        <v>0.978</v>
      </c>
      <c r="G3528" t="n">
        <v>0.9333333333333332</v>
      </c>
      <c r="H3528" t="n">
        <v>55</v>
      </c>
      <c r="J3528" t="n">
        <v>0.8</v>
      </c>
      <c r="K3528" t="inlineStr">
        <is>
          <t>Distinguished</t>
        </is>
      </c>
      <c r="M3528" t="inlineStr">
        <is>
          <t>Ian Plamondon</t>
        </is>
      </c>
      <c r="N3528" t="n">
        <v>0.9083333333333332</v>
      </c>
      <c r="O3528" t="n">
        <v>5.8</v>
      </c>
      <c r="P3528" t="n">
        <v>0.0709718631178707</v>
      </c>
    </row>
    <row r="3529">
      <c r="A3529" t="inlineStr">
        <is>
          <t>Anna Jasko</t>
        </is>
      </c>
      <c r="B3529" t="inlineStr">
        <is>
          <t>8/9/26 - 9/5/26</t>
        </is>
      </c>
      <c r="C3529" t="n">
        <v>0.95</v>
      </c>
      <c r="D3529" t="n">
        <v>1.0954</v>
      </c>
      <c r="E3529" t="n">
        <v>0.990990990990991</v>
      </c>
      <c r="F3529" t="n">
        <v>0.986</v>
      </c>
      <c r="G3529" t="n">
        <v>0.7692307692307693</v>
      </c>
      <c r="H3529" t="n">
        <v>264</v>
      </c>
      <c r="J3529" t="n">
        <v>0.8333333333333334</v>
      </c>
      <c r="K3529" t="inlineStr">
        <is>
          <t>Distinguished</t>
        </is>
      </c>
      <c r="M3529" t="inlineStr">
        <is>
          <t>Ela Cross</t>
        </is>
      </c>
      <c r="N3529" t="n">
        <v>0.9458204334365324</v>
      </c>
      <c r="O3529" t="n">
        <v>7.5</v>
      </c>
      <c r="P3529" t="n">
        <v>0.1383603773584905</v>
      </c>
    </row>
    <row r="3530">
      <c r="A3530" t="inlineStr">
        <is>
          <t>Annie Sylvester</t>
        </is>
      </c>
      <c r="B3530" t="inlineStr">
        <is>
          <t>8/9/26 - 9/5/26</t>
        </is>
      </c>
      <c r="C3530" t="n">
        <v>1.0179</v>
      </c>
      <c r="D3530" t="n">
        <v>1.0581</v>
      </c>
      <c r="E3530" t="n">
        <v>1</v>
      </c>
      <c r="F3530" t="n">
        <v>1</v>
      </c>
      <c r="G3530" t="n">
        <v>0.4814814814814815</v>
      </c>
      <c r="H3530" t="n">
        <v>203</v>
      </c>
      <c r="J3530" t="n">
        <v>0.7142857142857143</v>
      </c>
      <c r="K3530" t="inlineStr">
        <is>
          <t>Distinguished</t>
        </is>
      </c>
      <c r="M3530" t="inlineStr">
        <is>
          <t>Ela Cross</t>
        </is>
      </c>
      <c r="N3530" t="n">
        <v>0.9791666666666666</v>
      </c>
      <c r="O3530" t="n">
        <v>7.571428571428571</v>
      </c>
      <c r="P3530" t="n">
        <v>0.0632411067193675</v>
      </c>
    </row>
    <row r="3531">
      <c r="A3531" t="inlineStr">
        <is>
          <t>Armand Brouty</t>
        </is>
      </c>
      <c r="B3531" t="inlineStr">
        <is>
          <t>8/9/26 - 9/5/26</t>
        </is>
      </c>
      <c r="C3531" t="n">
        <v>1.0917</v>
      </c>
      <c r="D3531" t="n">
        <v>1.3964</v>
      </c>
      <c r="E3531" t="n">
        <v>0.953125</v>
      </c>
      <c r="F3531" t="n">
        <v>1</v>
      </c>
      <c r="G3531" t="n">
        <v>1</v>
      </c>
      <c r="H3531" t="n">
        <v>40</v>
      </c>
      <c r="J3531" t="n">
        <v>0.9090909090909091</v>
      </c>
      <c r="K3531" t="inlineStr">
        <is>
          <t>Distinguished</t>
        </is>
      </c>
      <c r="M3531" t="inlineStr">
        <is>
          <t>Geoff St. Marie</t>
        </is>
      </c>
      <c r="N3531" t="n">
        <v>0.971217105263158</v>
      </c>
      <c r="O3531" t="n">
        <v>7.325</v>
      </c>
      <c r="P3531" t="n">
        <v>0.0466101694915254</v>
      </c>
    </row>
    <row r="3532">
      <c r="A3532" t="inlineStr">
        <is>
          <t>Ashley Richardson</t>
        </is>
      </c>
      <c r="B3532" t="inlineStr">
        <is>
          <t>8/9/26 - 9/5/26</t>
        </is>
      </c>
      <c r="C3532" t="n">
        <v>0.7714</v>
      </c>
      <c r="D3532" t="n">
        <v>1.1672</v>
      </c>
      <c r="E3532" t="n">
        <v>0.8613861386138614</v>
      </c>
      <c r="F3532" t="n">
        <v>0.508</v>
      </c>
      <c r="G3532" t="n">
        <v>0.2</v>
      </c>
      <c r="H3532" t="n">
        <v>28</v>
      </c>
      <c r="J3532" t="n">
        <v>0.25</v>
      </c>
      <c r="K3532" t="inlineStr">
        <is>
          <t>Distinguished</t>
        </is>
      </c>
      <c r="M3532" t="inlineStr">
        <is>
          <t>Katherine Marino</t>
        </is>
      </c>
      <c r="N3532" t="n">
        <v>0.7393162393162394</v>
      </c>
      <c r="O3532" t="n">
        <v>5.25</v>
      </c>
      <c r="P3532" t="n">
        <v>0.1498123595505618</v>
      </c>
    </row>
    <row r="3533">
      <c r="A3533" t="inlineStr">
        <is>
          <t>Ashley Scorsone</t>
        </is>
      </c>
      <c r="B3533" t="inlineStr">
        <is>
          <t>8/9/26 - 9/5/26</t>
        </is>
      </c>
      <c r="C3533" t="n">
        <v>1.1607</v>
      </c>
      <c r="D3533" t="n">
        <v>1.3052</v>
      </c>
      <c r="E3533" t="n">
        <v>0.9328859060402684</v>
      </c>
      <c r="F3533" t="n">
        <v>0.951</v>
      </c>
      <c r="G3533" t="n">
        <v>0.8787878787878788</v>
      </c>
      <c r="H3533" t="n">
        <v>188</v>
      </c>
      <c r="K3533" t="inlineStr">
        <is>
          <t>Premium</t>
        </is>
      </c>
      <c r="M3533" t="inlineStr">
        <is>
          <t>Geoff St. Marie</t>
        </is>
      </c>
      <c r="N3533" t="n">
        <v>0.9630113636363636</v>
      </c>
      <c r="O3533" t="n">
        <v>3.368421052631579</v>
      </c>
    </row>
    <row r="3534">
      <c r="A3534" t="inlineStr">
        <is>
          <t>Autumn Reed</t>
        </is>
      </c>
      <c r="B3534" t="inlineStr">
        <is>
          <t>8/9/26 - 9/5/26</t>
        </is>
      </c>
      <c r="C3534" t="n">
        <v>0.45</v>
      </c>
      <c r="D3534" t="n">
        <v>1.1328</v>
      </c>
      <c r="E3534" t="n">
        <v>0.9722222222222222</v>
      </c>
      <c r="F3534" t="n">
        <v>0.792</v>
      </c>
      <c r="G3534" t="n">
        <v>0.875</v>
      </c>
      <c r="H3534" t="n">
        <v>100</v>
      </c>
      <c r="J3534" t="n">
        <v>0.6666666666666666</v>
      </c>
      <c r="K3534" t="inlineStr">
        <is>
          <t>Advanced</t>
        </is>
      </c>
      <c r="M3534" t="inlineStr">
        <is>
          <t>Geoff St. Marie</t>
        </is>
      </c>
      <c r="N3534" t="n">
        <v>1</v>
      </c>
      <c r="O3534" t="n">
        <v>7.75</v>
      </c>
      <c r="P3534" t="n">
        <v>0.0614285714285714</v>
      </c>
    </row>
    <row r="3535">
      <c r="A3535" t="inlineStr">
        <is>
          <t>Ayman Smoot</t>
        </is>
      </c>
      <c r="B3535" t="inlineStr">
        <is>
          <t>8/9/26 - 9/5/26</t>
        </is>
      </c>
      <c r="C3535" t="n">
        <v>1.0875</v>
      </c>
      <c r="D3535" t="n">
        <v>1.1667</v>
      </c>
      <c r="E3535" t="n">
        <v>0.9647058823529412</v>
      </c>
      <c r="F3535" t="n">
        <v>0.795</v>
      </c>
      <c r="G3535" t="n">
        <v>0.6470588235294118</v>
      </c>
      <c r="H3535" t="n">
        <v>126</v>
      </c>
      <c r="J3535" t="n">
        <v>0.3333333333333333</v>
      </c>
      <c r="K3535" t="inlineStr">
        <is>
          <t>Distinguished</t>
        </is>
      </c>
      <c r="M3535" t="inlineStr">
        <is>
          <t>Annelies de Groot</t>
        </is>
      </c>
      <c r="N3535" t="n">
        <v>0.9295454545454546</v>
      </c>
      <c r="O3535" t="n">
        <v>8.4</v>
      </c>
      <c r="P3535" t="n">
        <v>0.189365</v>
      </c>
    </row>
    <row r="3536">
      <c r="A3536" t="inlineStr">
        <is>
          <t>Ben Taylor</t>
        </is>
      </c>
      <c r="B3536" t="inlineStr">
        <is>
          <t>8/9/26 - 9/5/26</t>
        </is>
      </c>
      <c r="C3536" t="n">
        <v>0.8375</v>
      </c>
      <c r="D3536" t="n">
        <v>1.2667</v>
      </c>
      <c r="E3536" t="n">
        <v>1</v>
      </c>
      <c r="F3536" t="n">
        <v>1</v>
      </c>
      <c r="G3536" t="n">
        <v>1</v>
      </c>
      <c r="H3536" t="n">
        <v>50.5</v>
      </c>
      <c r="J3536" t="n">
        <v>1</v>
      </c>
      <c r="K3536" t="inlineStr">
        <is>
          <t>Premium</t>
        </is>
      </c>
      <c r="M3536" t="inlineStr">
        <is>
          <t>Kristin Haase-Alvey</t>
        </is>
      </c>
      <c r="N3536" t="n">
        <v>1</v>
      </c>
      <c r="O3536" t="n">
        <v>8.1875</v>
      </c>
      <c r="P3536" t="n">
        <v>0.0890031413612565</v>
      </c>
    </row>
    <row r="3537">
      <c r="A3537" t="inlineStr">
        <is>
          <t>Brandon Engle</t>
        </is>
      </c>
      <c r="B3537" t="inlineStr">
        <is>
          <t>8/9/26 - 9/5/26</t>
        </is>
      </c>
      <c r="C3537" t="n">
        <v>0.8643</v>
      </c>
      <c r="D3537" t="n">
        <v>1.2554</v>
      </c>
      <c r="E3537" t="n">
        <v>1</v>
      </c>
      <c r="F3537" t="n">
        <v>0.989</v>
      </c>
      <c r="G3537" t="n">
        <v>0.88</v>
      </c>
      <c r="H3537" t="n">
        <v>122</v>
      </c>
      <c r="J3537" t="n">
        <v>0.75</v>
      </c>
      <c r="K3537" t="inlineStr">
        <is>
          <t>Distinguished</t>
        </is>
      </c>
      <c r="M3537" t="inlineStr">
        <is>
          <t>Annelies de Groot</t>
        </is>
      </c>
      <c r="N3537" t="n">
        <v>0.9821428571428572</v>
      </c>
      <c r="O3537" t="n">
        <v>8.543650793650794</v>
      </c>
      <c r="P3537" t="n">
        <v>0.1973684210526315</v>
      </c>
    </row>
    <row r="3538">
      <c r="A3538" t="inlineStr">
        <is>
          <t>Brandon Strickland</t>
        </is>
      </c>
      <c r="B3538" t="inlineStr">
        <is>
          <t>8/9/26 - 9/5/26</t>
        </is>
      </c>
      <c r="C3538" t="n">
        <v>0.08890000000000001</v>
      </c>
      <c r="D3538" t="n">
        <v>0.5658</v>
      </c>
      <c r="E3538" t="n">
        <v>1</v>
      </c>
      <c r="F3538" t="n">
        <v>1</v>
      </c>
      <c r="H3538" t="n">
        <v>4</v>
      </c>
      <c r="J3538" t="n">
        <v>1</v>
      </c>
      <c r="K3538" t="inlineStr">
        <is>
          <t>Distinguished</t>
        </is>
      </c>
      <c r="M3538" t="inlineStr">
        <is>
          <t>Katherine Marino</t>
        </is>
      </c>
      <c r="N3538" t="n">
        <v>1</v>
      </c>
      <c r="P3538" t="n">
        <v>0.3690142857142857</v>
      </c>
    </row>
    <row r="3539">
      <c r="A3539" t="inlineStr">
        <is>
          <t>Breille Duncan</t>
        </is>
      </c>
      <c r="B3539" t="inlineStr">
        <is>
          <t>8/9/26 - 9/5/26</t>
        </is>
      </c>
      <c r="C3539" t="n">
        <v>0.6607</v>
      </c>
      <c r="D3539" t="n">
        <v>0.9404</v>
      </c>
      <c r="E3539" t="n">
        <v>0.9770114942528736</v>
      </c>
      <c r="F3539" t="n">
        <v>0.956</v>
      </c>
      <c r="G3539" t="n">
        <v>0.3333333333333333</v>
      </c>
      <c r="H3539" t="n">
        <v>16</v>
      </c>
      <c r="J3539" t="n">
        <v>0.2</v>
      </c>
      <c r="K3539" t="inlineStr">
        <is>
          <t>Distinguished</t>
        </is>
      </c>
      <c r="M3539" t="inlineStr">
        <is>
          <t>Annelies de Groot</t>
        </is>
      </c>
      <c r="N3539" t="n">
        <v>0.975</v>
      </c>
      <c r="O3539" t="n">
        <v>7</v>
      </c>
      <c r="P3539" t="n">
        <v>0.1387096774193548</v>
      </c>
    </row>
    <row r="3540">
      <c r="A3540" t="inlineStr">
        <is>
          <t>Brian Cohen</t>
        </is>
      </c>
      <c r="B3540" t="inlineStr">
        <is>
          <t>8/9/26 - 9/5/26</t>
        </is>
      </c>
      <c r="C3540" t="n">
        <v>1.0208</v>
      </c>
      <c r="D3540" t="n">
        <v>0.9648</v>
      </c>
      <c r="E3540" t="n">
        <v>0.9591836734693876</v>
      </c>
      <c r="F3540" t="n">
        <v>0.929</v>
      </c>
      <c r="G3540" t="n">
        <v>1</v>
      </c>
      <c r="H3540" t="n">
        <v>38</v>
      </c>
      <c r="K3540" t="inlineStr">
        <is>
          <t>Premium</t>
        </is>
      </c>
      <c r="M3540" t="inlineStr">
        <is>
          <t>Annelies de Groot</t>
        </is>
      </c>
      <c r="N3540" t="n">
        <v>1</v>
      </c>
      <c r="O3540" t="n">
        <v>8.5</v>
      </c>
      <c r="P3540" t="n">
        <v>0.1142857142857142</v>
      </c>
    </row>
    <row r="3541">
      <c r="A3541" t="inlineStr">
        <is>
          <t>Brian James</t>
        </is>
      </c>
      <c r="B3541" t="inlineStr">
        <is>
          <t>8/9/26 - 9/5/26</t>
        </is>
      </c>
      <c r="C3541" t="n">
        <v>1.1</v>
      </c>
      <c r="D3541" t="n">
        <v>0.9391</v>
      </c>
      <c r="E3541" t="n">
        <v>0.992063492063492</v>
      </c>
      <c r="F3541" t="n">
        <v>0.974</v>
      </c>
      <c r="G3541" t="n">
        <v>0.7037037037037037</v>
      </c>
      <c r="H3541" t="n">
        <v>314.5</v>
      </c>
      <c r="J3541" t="n">
        <v>0.5</v>
      </c>
      <c r="K3541" t="inlineStr">
        <is>
          <t>Distinguished</t>
        </is>
      </c>
      <c r="M3541" t="inlineStr">
        <is>
          <t>Annelies de Groot</t>
        </is>
      </c>
      <c r="N3541" t="n">
        <v>0.975</v>
      </c>
      <c r="O3541" t="n">
        <v>7.336363636363636</v>
      </c>
    </row>
    <row r="3542">
      <c r="A3542" t="inlineStr">
        <is>
          <t>Brian Johnson</t>
        </is>
      </c>
      <c r="B3542" t="inlineStr">
        <is>
          <t>8/9/26 - 9/5/26</t>
        </is>
      </c>
      <c r="C3542" t="n">
        <v>0.9792</v>
      </c>
      <c r="D3542" t="n">
        <v>1.074</v>
      </c>
      <c r="E3542" t="n">
        <v>1</v>
      </c>
      <c r="F3542" t="n">
        <v>1</v>
      </c>
      <c r="G3542" t="n">
        <v>0.8823529411764706</v>
      </c>
      <c r="H3542" t="n">
        <v>188</v>
      </c>
      <c r="J3542" t="n">
        <v>1</v>
      </c>
      <c r="K3542" t="inlineStr">
        <is>
          <t>Distinguished</t>
        </is>
      </c>
      <c r="M3542" t="inlineStr">
        <is>
          <t>Kristin Haase-Alvey</t>
        </is>
      </c>
      <c r="N3542" t="n">
        <v>0.9459001782531196</v>
      </c>
      <c r="O3542" t="n">
        <v>7</v>
      </c>
      <c r="P3542" t="n">
        <v>0.1414565853658536</v>
      </c>
    </row>
    <row r="3543">
      <c r="A3543" t="inlineStr">
        <is>
          <t>Brittany Drew</t>
        </is>
      </c>
      <c r="B3543" t="inlineStr">
        <is>
          <t>8/9/26 - 9/5/26</t>
        </is>
      </c>
      <c r="C3543" t="n">
        <v>1.1313</v>
      </c>
      <c r="D3543" t="n">
        <v>1.1146</v>
      </c>
      <c r="E3543" t="n">
        <v>1</v>
      </c>
      <c r="F3543" t="n">
        <v>1</v>
      </c>
      <c r="G3543" t="n">
        <v>0.7894736842105263</v>
      </c>
      <c r="H3543" t="n">
        <v>124</v>
      </c>
      <c r="J3543" t="n">
        <v>0.75</v>
      </c>
      <c r="K3543" t="inlineStr">
        <is>
          <t>Distinguished</t>
        </is>
      </c>
      <c r="M3543" t="inlineStr">
        <is>
          <t>Ela Cross</t>
        </is>
      </c>
      <c r="N3543" t="n">
        <v>0.9852941176470588</v>
      </c>
      <c r="O3543" t="n">
        <v>7.833333333333333</v>
      </c>
      <c r="P3543" t="n">
        <v>0.1604546583850931</v>
      </c>
    </row>
    <row r="3544">
      <c r="A3544" t="inlineStr">
        <is>
          <t>Brock Dilley</t>
        </is>
      </c>
      <c r="B3544" t="inlineStr">
        <is>
          <t>8/9/26 - 9/5/26</t>
        </is>
      </c>
      <c r="C3544" t="n">
        <v>1.1607</v>
      </c>
      <c r="D3544" t="n">
        <v>0.9797</v>
      </c>
      <c r="E3544" t="n">
        <v>1</v>
      </c>
      <c r="F3544" t="n">
        <v>0.955</v>
      </c>
      <c r="G3544" t="n">
        <v>0.88</v>
      </c>
      <c r="H3544" t="n">
        <v>209</v>
      </c>
      <c r="J3544" t="n">
        <v>0.5833333333333334</v>
      </c>
      <c r="K3544" t="inlineStr">
        <is>
          <t>Distinguished</t>
        </is>
      </c>
      <c r="M3544" t="inlineStr">
        <is>
          <t>Annelies de Groot</t>
        </is>
      </c>
      <c r="N3544" t="n">
        <v>0.9772727272727272</v>
      </c>
      <c r="O3544" t="n">
        <v>7</v>
      </c>
    </row>
    <row r="3545">
      <c r="A3545" t="inlineStr">
        <is>
          <t>Bryant Salinas</t>
        </is>
      </c>
      <c r="B3545" t="inlineStr">
        <is>
          <t>8/9/26 - 9/5/26</t>
        </is>
      </c>
      <c r="C3545" t="n">
        <v>0.9708</v>
      </c>
      <c r="D3545" t="n">
        <v>1.0329</v>
      </c>
      <c r="E3545" t="n">
        <v>0.9369369369369368</v>
      </c>
      <c r="F3545" t="n">
        <v>0.954</v>
      </c>
      <c r="G3545" t="n">
        <v>0.8695652173913043</v>
      </c>
      <c r="H3545" t="n">
        <v>110</v>
      </c>
      <c r="J3545" t="n">
        <v>0.3333333333333333</v>
      </c>
      <c r="K3545" t="inlineStr">
        <is>
          <t>Premium</t>
        </is>
      </c>
      <c r="M3545" t="inlineStr">
        <is>
          <t>Geoff St. Marie</t>
        </is>
      </c>
      <c r="N3545" t="n">
        <v>0.8779761904761905</v>
      </c>
      <c r="O3545" t="n">
        <v>8.053030303030305</v>
      </c>
      <c r="P3545" t="n">
        <v>0.0283018867924528</v>
      </c>
    </row>
    <row r="3546">
      <c r="A3546" t="inlineStr">
        <is>
          <t>Cadence Liles</t>
        </is>
      </c>
      <c r="B3546" t="inlineStr">
        <is>
          <t>8/9/26 - 9/5/26</t>
        </is>
      </c>
      <c r="C3546" t="n">
        <v>0.7625</v>
      </c>
      <c r="D3546" t="n">
        <v>1.1563</v>
      </c>
      <c r="E3546" t="n">
        <v>1</v>
      </c>
      <c r="F3546" t="n">
        <v>0.875</v>
      </c>
      <c r="G3546" t="n">
        <v>1</v>
      </c>
      <c r="H3546" t="n">
        <v>92</v>
      </c>
      <c r="J3546" t="n">
        <v>0.8888888888888888</v>
      </c>
      <c r="K3546" t="inlineStr">
        <is>
          <t>Advanced</t>
        </is>
      </c>
      <c r="M3546" t="inlineStr">
        <is>
          <t>Geoff St. Marie</t>
        </is>
      </c>
      <c r="N3546" t="n">
        <v>0.9444444444444444</v>
      </c>
      <c r="O3546" t="n">
        <v>6.625</v>
      </c>
      <c r="P3546" t="n">
        <v>0.0669535714285714</v>
      </c>
    </row>
    <row r="3547">
      <c r="A3547" t="inlineStr">
        <is>
          <t>Cait White</t>
        </is>
      </c>
      <c r="B3547" t="inlineStr">
        <is>
          <t>8/9/26 - 9/5/26</t>
        </is>
      </c>
      <c r="C3547" t="n">
        <v>0.8229</v>
      </c>
      <c r="D3547" t="n">
        <v>1.0898</v>
      </c>
      <c r="E3547" t="n">
        <v>1</v>
      </c>
      <c r="F3547" t="n">
        <v>1</v>
      </c>
      <c r="G3547" t="n">
        <v>0.2857142857142857</v>
      </c>
      <c r="H3547" t="n">
        <v>8</v>
      </c>
      <c r="J3547" t="n">
        <v>0.5</v>
      </c>
      <c r="K3547" t="inlineStr">
        <is>
          <t>Premium</t>
        </is>
      </c>
      <c r="M3547" t="inlineStr">
        <is>
          <t>Ela Cross</t>
        </is>
      </c>
      <c r="N3547" t="n">
        <v>0.9642857142857144</v>
      </c>
    </row>
    <row r="3548">
      <c r="A3548" t="inlineStr">
        <is>
          <t>Caitlin Tytler</t>
        </is>
      </c>
      <c r="B3548" t="inlineStr">
        <is>
          <t>8/9/26 - 9/5/26</t>
        </is>
      </c>
      <c r="C3548" t="n">
        <v>0.6375</v>
      </c>
      <c r="D3548" t="n">
        <v>1.0885</v>
      </c>
      <c r="E3548" t="n">
        <v>1</v>
      </c>
      <c r="F3548" t="n">
        <v>1</v>
      </c>
      <c r="G3548" t="n">
        <v>0.8333333333333334</v>
      </c>
      <c r="H3548" t="n">
        <v>288</v>
      </c>
      <c r="J3548" t="n">
        <v>0</v>
      </c>
      <c r="K3548" t="inlineStr">
        <is>
          <t>Advanced</t>
        </is>
      </c>
      <c r="M3548" t="inlineStr">
        <is>
          <t>Annelies de Groot</t>
        </is>
      </c>
      <c r="N3548" t="n">
        <v>1</v>
      </c>
      <c r="O3548" t="n">
        <v>9.166666666666668</v>
      </c>
      <c r="P3548" t="n">
        <v>0.0793619047619047</v>
      </c>
    </row>
    <row r="3549">
      <c r="A3549" t="inlineStr">
        <is>
          <t>Carina Shanahan</t>
        </is>
      </c>
      <c r="B3549" t="inlineStr">
        <is>
          <t>8/9/26 - 9/5/26</t>
        </is>
      </c>
      <c r="C3549" t="n">
        <v>0.8792</v>
      </c>
      <c r="D3549" t="n">
        <v>1.0313</v>
      </c>
      <c r="E3549" t="n">
        <v>0.9894736842105264</v>
      </c>
      <c r="F3549" t="n">
        <v>0.894</v>
      </c>
      <c r="G3549" t="n">
        <v>0.8888888888888888</v>
      </c>
      <c r="H3549" t="n">
        <v>125.5</v>
      </c>
      <c r="J3549" t="n">
        <v>0.75</v>
      </c>
      <c r="K3549" t="inlineStr">
        <is>
          <t>Distinguished</t>
        </is>
      </c>
      <c r="M3549" t="inlineStr">
        <is>
          <t>Kristin Haase-Alvey</t>
        </is>
      </c>
      <c r="N3549" t="n">
        <v>0.8496336996336996</v>
      </c>
      <c r="O3549" t="n">
        <v>6.111111111111111</v>
      </c>
      <c r="P3549" t="n">
        <v>0.010204081632653</v>
      </c>
    </row>
    <row r="3550">
      <c r="A3550" t="inlineStr">
        <is>
          <t>Casey Young</t>
        </is>
      </c>
      <c r="B3550" t="inlineStr">
        <is>
          <t>8/9/26 - 9/5/26</t>
        </is>
      </c>
      <c r="C3550" t="n">
        <v>0.9036</v>
      </c>
      <c r="D3550" t="n">
        <v>1.0959</v>
      </c>
      <c r="E3550" t="n">
        <v>0.9761904761904762</v>
      </c>
      <c r="F3550" t="n">
        <v>1</v>
      </c>
      <c r="G3550" t="n">
        <v>0.7241379310344828</v>
      </c>
      <c r="H3550" t="n">
        <v>330</v>
      </c>
      <c r="J3550" t="n">
        <v>0.5714285714285714</v>
      </c>
      <c r="K3550" t="inlineStr">
        <is>
          <t>Distinguished</t>
        </is>
      </c>
      <c r="M3550" t="inlineStr">
        <is>
          <t>Ela Cross</t>
        </is>
      </c>
      <c r="N3550" t="n">
        <v>0.7136591478696741</v>
      </c>
      <c r="O3550" t="n">
        <v>6.6875</v>
      </c>
      <c r="P3550" t="n">
        <v>0.151190717299578</v>
      </c>
    </row>
    <row r="3551">
      <c r="A3551" t="inlineStr">
        <is>
          <t>Charlie Anderson</t>
        </is>
      </c>
      <c r="B3551" t="inlineStr">
        <is>
          <t>8/9/26 - 9/5/26</t>
        </is>
      </c>
      <c r="C3551" t="n">
        <v>1.25</v>
      </c>
      <c r="D3551" t="n">
        <v>1.1135</v>
      </c>
      <c r="E3551" t="n">
        <v>1</v>
      </c>
      <c r="F3551" t="n">
        <v>0.988</v>
      </c>
      <c r="G3551" t="n">
        <v>0.3225806451612903</v>
      </c>
      <c r="H3551" t="n">
        <v>394</v>
      </c>
      <c r="J3551" t="n">
        <v>1</v>
      </c>
      <c r="K3551" t="inlineStr">
        <is>
          <t>Distinguished</t>
        </is>
      </c>
      <c r="M3551" t="inlineStr">
        <is>
          <t>Annelies de Groot</t>
        </is>
      </c>
      <c r="N3551" t="n">
        <v>0.9705882352941176</v>
      </c>
      <c r="P3551" t="n">
        <v>0.0248226950354609</v>
      </c>
    </row>
    <row r="3552">
      <c r="A3552" t="inlineStr">
        <is>
          <t>Chazlee Myers</t>
        </is>
      </c>
      <c r="B3552" t="inlineStr">
        <is>
          <t>8/9/26 - 9/5/26</t>
        </is>
      </c>
      <c r="C3552" t="n">
        <v>0.7167</v>
      </c>
      <c r="D3552" t="n">
        <v>0.8487</v>
      </c>
      <c r="E3552" t="n">
        <v>0.8433734939759037</v>
      </c>
      <c r="F3552" t="n">
        <v>0.9419999999999999</v>
      </c>
      <c r="G3552" t="n">
        <v>0.9545454545454546</v>
      </c>
      <c r="H3552" t="n">
        <v>88</v>
      </c>
      <c r="J3552" t="n">
        <v>0.5</v>
      </c>
      <c r="K3552" t="inlineStr">
        <is>
          <t>Distinguished</t>
        </is>
      </c>
      <c r="M3552" t="inlineStr">
        <is>
          <t>Geoff St. Marie</t>
        </is>
      </c>
      <c r="N3552" t="n">
        <v>0.9494949494949496</v>
      </c>
      <c r="O3552" t="n">
        <v>7</v>
      </c>
      <c r="P3552" t="n">
        <v>0.1922213333333333</v>
      </c>
    </row>
    <row r="3553">
      <c r="A3553" t="inlineStr">
        <is>
          <t>Chelsea Kobea</t>
        </is>
      </c>
      <c r="B3553" t="inlineStr">
        <is>
          <t>8/9/26 - 9/5/26</t>
        </is>
      </c>
      <c r="C3553" t="n">
        <v>0.8458</v>
      </c>
      <c r="D3553" t="n">
        <v>0.9441000000000001</v>
      </c>
      <c r="E3553" t="n">
        <v>0.9801980198019802</v>
      </c>
      <c r="F3553" t="n">
        <v>0.983</v>
      </c>
      <c r="G3553" t="n">
        <v>0.9565217391304348</v>
      </c>
      <c r="H3553" t="n">
        <v>180</v>
      </c>
      <c r="J3553" t="n">
        <v>0.4285714285714285</v>
      </c>
      <c r="K3553" t="inlineStr">
        <is>
          <t>Distinguished</t>
        </is>
      </c>
      <c r="M3553" t="inlineStr">
        <is>
          <t>Kristin Haase-Alvey</t>
        </is>
      </c>
      <c r="N3553" t="n">
        <v>0.9321428571428572</v>
      </c>
      <c r="O3553" t="n">
        <v>6.666666666666667</v>
      </c>
      <c r="P3553" t="n">
        <v>0.0208318181818181</v>
      </c>
    </row>
    <row r="3554">
      <c r="A3554" t="inlineStr">
        <is>
          <t>Cheyanne Jones</t>
        </is>
      </c>
      <c r="B3554" t="inlineStr">
        <is>
          <t>8/9/26 - 9/5/26</t>
        </is>
      </c>
      <c r="C3554" t="n">
        <v>1</v>
      </c>
      <c r="D3554" t="n">
        <v>1.0526</v>
      </c>
      <c r="E3554" t="n">
        <v>0.9913793103448276</v>
      </c>
      <c r="F3554" t="n">
        <v>0.987</v>
      </c>
      <c r="G3554" t="n">
        <v>0.925925925925926</v>
      </c>
      <c r="H3554" t="n">
        <v>177</v>
      </c>
      <c r="J3554" t="n">
        <v>0.75</v>
      </c>
      <c r="K3554" t="inlineStr">
        <is>
          <t>Distinguished</t>
        </is>
      </c>
      <c r="M3554" t="inlineStr">
        <is>
          <t>Kristin Haase-Alvey</t>
        </is>
      </c>
      <c r="N3554" t="n">
        <v>1</v>
      </c>
      <c r="O3554" t="n">
        <v>6.695833333333333</v>
      </c>
      <c r="P3554" t="n">
        <v>0.09832545454545449</v>
      </c>
    </row>
    <row r="3555">
      <c r="A3555" t="inlineStr">
        <is>
          <t>Chris Prouty</t>
        </is>
      </c>
      <c r="B3555" t="inlineStr">
        <is>
          <t>8/9/26 - 9/5/26</t>
        </is>
      </c>
      <c r="C3555" t="n">
        <v>0.6125</v>
      </c>
      <c r="D3555" t="n">
        <v>0.9245</v>
      </c>
      <c r="E3555" t="n">
        <v>0.9574468085106383</v>
      </c>
      <c r="F3555" t="n">
        <v>0.9379999999999999</v>
      </c>
      <c r="G3555" t="n">
        <v>1</v>
      </c>
      <c r="H3555" t="n">
        <v>0</v>
      </c>
      <c r="K3555" t="inlineStr">
        <is>
          <t>Premium</t>
        </is>
      </c>
      <c r="M3555" t="inlineStr">
        <is>
          <t>Annelies de Groot</t>
        </is>
      </c>
      <c r="N3555" t="n">
        <v>0.956439393939394</v>
      </c>
      <c r="O3555" t="n">
        <v>9.300000000000001</v>
      </c>
      <c r="P3555" t="n">
        <v>0.2439024390243902</v>
      </c>
    </row>
    <row r="3556">
      <c r="A3556" t="inlineStr">
        <is>
          <t>Chris Yoon</t>
        </is>
      </c>
      <c r="B3556" t="inlineStr">
        <is>
          <t>8/9/26 - 9/5/26</t>
        </is>
      </c>
      <c r="C3556" t="n">
        <v>0.8083</v>
      </c>
      <c r="D3556" t="n">
        <v>0.8058999999999999</v>
      </c>
      <c r="E3556" t="n">
        <v>0.9895833333333334</v>
      </c>
      <c r="F3556" t="n">
        <v>0.925</v>
      </c>
      <c r="G3556" t="n">
        <v>0.8076923076923077</v>
      </c>
      <c r="H3556" t="n">
        <v>136</v>
      </c>
      <c r="K3556" t="inlineStr">
        <is>
          <t>Distinguished</t>
        </is>
      </c>
      <c r="M3556" t="inlineStr">
        <is>
          <t>Ian Plamondon</t>
        </is>
      </c>
      <c r="N3556" t="n">
        <v>0.9791666666666666</v>
      </c>
      <c r="O3556" t="n">
        <v>4.833333333333333</v>
      </c>
    </row>
    <row r="3557">
      <c r="A3557" t="inlineStr">
        <is>
          <t>Christelle Rocha</t>
        </is>
      </c>
      <c r="B3557" t="inlineStr">
        <is>
          <t>8/9/26 - 9/5/26</t>
        </is>
      </c>
      <c r="C3557" t="n">
        <v>0.8667</v>
      </c>
      <c r="D3557" t="n">
        <v>1.0658</v>
      </c>
      <c r="E3557" t="n">
        <v>1</v>
      </c>
      <c r="F3557" t="n">
        <v>0.987</v>
      </c>
      <c r="G3557" t="n">
        <v>0.75</v>
      </c>
      <c r="H3557" t="n">
        <v>232</v>
      </c>
      <c r="J3557" t="n">
        <v>1</v>
      </c>
      <c r="K3557" t="inlineStr">
        <is>
          <t>Distinguished</t>
        </is>
      </c>
      <c r="M3557" t="inlineStr">
        <is>
          <t>Annelies de Groot</t>
        </is>
      </c>
      <c r="N3557" t="n">
        <v>1</v>
      </c>
      <c r="O3557" t="n">
        <v>7.75</v>
      </c>
      <c r="P3557" t="n">
        <v>0.1868676767676767</v>
      </c>
    </row>
    <row r="3558">
      <c r="A3558" t="inlineStr">
        <is>
          <t>Christian Collins</t>
        </is>
      </c>
      <c r="B3558" t="inlineStr">
        <is>
          <t>8/9/26 - 9/5/26</t>
        </is>
      </c>
      <c r="C3558" t="n">
        <v>1.2125</v>
      </c>
      <c r="D3558" t="n">
        <v>1.2401</v>
      </c>
      <c r="E3558" t="n">
        <v>0.9777777777777776</v>
      </c>
      <c r="F3558" t="n">
        <v>0.978</v>
      </c>
      <c r="G3558" t="n">
        <v>1</v>
      </c>
      <c r="H3558" t="n">
        <v>213</v>
      </c>
      <c r="J3558" t="n">
        <v>0.3333333333333333</v>
      </c>
      <c r="K3558" t="inlineStr">
        <is>
          <t>Premium</t>
        </is>
      </c>
      <c r="M3558" t="inlineStr">
        <is>
          <t>Ian Plamondon</t>
        </is>
      </c>
      <c r="N3558" t="n">
        <v>0.9886363636363636</v>
      </c>
      <c r="O3558" t="n">
        <v>7.479166666666666</v>
      </c>
      <c r="P3558" t="n">
        <v>0.1182595588235294</v>
      </c>
    </row>
    <row r="3559">
      <c r="A3559" t="inlineStr">
        <is>
          <t>Christian Steiner</t>
        </is>
      </c>
      <c r="B3559" t="inlineStr">
        <is>
          <t>8/9/26 - 9/5/26</t>
        </is>
      </c>
      <c r="C3559" t="n">
        <v>0.825</v>
      </c>
      <c r="D3559" t="n">
        <v>1.0082</v>
      </c>
      <c r="E3559" t="n">
        <v>1</v>
      </c>
      <c r="F3559" t="n">
        <v>0.914</v>
      </c>
      <c r="G3559" t="n">
        <v>0.631578947368421</v>
      </c>
      <c r="H3559" t="n">
        <v>148</v>
      </c>
      <c r="J3559" t="n">
        <v>0.5</v>
      </c>
      <c r="K3559" t="inlineStr">
        <is>
          <t>Distinguished</t>
        </is>
      </c>
      <c r="M3559" t="inlineStr">
        <is>
          <t>Kristin Haase-Alvey</t>
        </is>
      </c>
      <c r="N3559" t="n">
        <v>0.8666666666666667</v>
      </c>
      <c r="O3559" t="n">
        <v>5.916666666666667</v>
      </c>
      <c r="P3559" t="n">
        <v>0.0340886363636363</v>
      </c>
    </row>
    <row r="3560">
      <c r="A3560" t="inlineStr">
        <is>
          <t>Christine Santos</t>
        </is>
      </c>
      <c r="B3560" t="inlineStr">
        <is>
          <t>8/9/26 - 9/5/26</t>
        </is>
      </c>
      <c r="C3560" t="n">
        <v>1.1979</v>
      </c>
      <c r="D3560" t="n">
        <v>1.293</v>
      </c>
      <c r="E3560" t="n">
        <v>0.7735849056603774</v>
      </c>
      <c r="F3560" t="n">
        <v>0.758</v>
      </c>
      <c r="G3560" t="n">
        <v>0.75</v>
      </c>
      <c r="H3560" t="n">
        <v>23.5</v>
      </c>
      <c r="K3560" t="inlineStr">
        <is>
          <t>Premium</t>
        </is>
      </c>
      <c r="M3560" t="inlineStr">
        <is>
          <t>Ela Cross</t>
        </is>
      </c>
      <c r="N3560" t="n">
        <v>0.9722222222222222</v>
      </c>
      <c r="O3560" t="n">
        <v>7.333333333333333</v>
      </c>
      <c r="P3560" t="n">
        <v>0.0987029126213592</v>
      </c>
    </row>
    <row r="3561">
      <c r="A3561" t="inlineStr">
        <is>
          <t>Clark Howard</t>
        </is>
      </c>
      <c r="B3561" t="inlineStr">
        <is>
          <t>8/9/26 - 9/5/26</t>
        </is>
      </c>
      <c r="C3561" t="n">
        <v>1.1313</v>
      </c>
      <c r="D3561" t="n">
        <v>1.2813</v>
      </c>
      <c r="E3561" t="n">
        <v>0.9540229885057472</v>
      </c>
      <c r="F3561" t="n">
        <v>0.961</v>
      </c>
      <c r="G3561" t="n">
        <v>0.45</v>
      </c>
      <c r="H3561" t="n">
        <v>128</v>
      </c>
      <c r="K3561" t="inlineStr">
        <is>
          <t>Distinguished</t>
        </is>
      </c>
      <c r="M3561" t="inlineStr">
        <is>
          <t>Ela Cross</t>
        </is>
      </c>
      <c r="N3561" t="n">
        <v>0.9791666666666666</v>
      </c>
      <c r="O3561" t="n">
        <v>6.333333333333333</v>
      </c>
      <c r="P3561" t="n">
        <v>0.1199954285714285</v>
      </c>
    </row>
    <row r="3562">
      <c r="A3562" t="inlineStr">
        <is>
          <t>Colin Cody</t>
        </is>
      </c>
      <c r="B3562" t="inlineStr">
        <is>
          <t>8/9/26 - 9/5/26</t>
        </is>
      </c>
      <c r="C3562" t="n">
        <v>0.9208</v>
      </c>
      <c r="D3562" t="n">
        <v>1.2122</v>
      </c>
      <c r="E3562" t="n">
        <v>0.9439252336448598</v>
      </c>
      <c r="F3562" t="n">
        <v>0.986</v>
      </c>
      <c r="G3562" t="n">
        <v>0.9615384615384616</v>
      </c>
      <c r="H3562" t="n">
        <v>273</v>
      </c>
      <c r="J3562" t="n">
        <v>0</v>
      </c>
      <c r="K3562" t="inlineStr">
        <is>
          <t>Distinguished</t>
        </is>
      </c>
      <c r="M3562" t="inlineStr">
        <is>
          <t>Ela Cross</t>
        </is>
      </c>
      <c r="N3562" t="n">
        <v>0.6665337586390219</v>
      </c>
      <c r="O3562" t="n">
        <v>7</v>
      </c>
      <c r="P3562" t="n">
        <v>0.1267577464788732</v>
      </c>
    </row>
    <row r="3563">
      <c r="A3563" t="inlineStr">
        <is>
          <t>Conifer O’Sullivan</t>
        </is>
      </c>
      <c r="B3563" t="inlineStr">
        <is>
          <t>8/9/26 - 9/5/26</t>
        </is>
      </c>
      <c r="C3563" t="n">
        <v>0.5792</v>
      </c>
      <c r="D3563" t="n">
        <v>1.0033</v>
      </c>
      <c r="E3563" t="n">
        <v>0.9682539682539684</v>
      </c>
      <c r="F3563" t="n">
        <v>0.872</v>
      </c>
      <c r="G3563" t="n">
        <v>0.5333333333333333</v>
      </c>
      <c r="H3563" t="n">
        <v>120</v>
      </c>
      <c r="J3563" t="n">
        <v>0.7142857142857143</v>
      </c>
      <c r="K3563" t="inlineStr">
        <is>
          <t>Distinguished</t>
        </is>
      </c>
      <c r="M3563" t="inlineStr">
        <is>
          <t>Annelies de Groot</t>
        </is>
      </c>
      <c r="N3563" t="n">
        <v>0.9155844155844156</v>
      </c>
      <c r="O3563" t="n">
        <v>6.25</v>
      </c>
      <c r="P3563" t="n">
        <v>0.2174396825396825</v>
      </c>
    </row>
    <row r="3564">
      <c r="A3564" t="inlineStr">
        <is>
          <t>Cristina Ascenzi Pettenuzzo</t>
        </is>
      </c>
      <c r="B3564" t="inlineStr">
        <is>
          <t>8/9/26 - 9/5/26</t>
        </is>
      </c>
      <c r="C3564" t="n">
        <v>0.95</v>
      </c>
      <c r="D3564" t="n">
        <v>1.1234</v>
      </c>
      <c r="E3564" t="n">
        <v>1</v>
      </c>
      <c r="F3564" t="n">
        <v>0.949</v>
      </c>
      <c r="G3564" t="n">
        <v>0.8181818181818182</v>
      </c>
      <c r="H3564" t="n">
        <v>112</v>
      </c>
      <c r="J3564" t="n">
        <v>1</v>
      </c>
      <c r="K3564" t="inlineStr">
        <is>
          <t>Distinguished</t>
        </is>
      </c>
      <c r="M3564" t="inlineStr">
        <is>
          <t>Geoff St. Marie</t>
        </is>
      </c>
      <c r="N3564" t="n">
        <v>0.9696691176470588</v>
      </c>
      <c r="O3564" t="n">
        <v>8.055555555555555</v>
      </c>
      <c r="P3564" t="n">
        <v>0.1059864077669903</v>
      </c>
    </row>
    <row r="3565">
      <c r="A3565" t="inlineStr">
        <is>
          <t>Daniel Branda</t>
        </is>
      </c>
      <c r="B3565" t="inlineStr">
        <is>
          <t>8/9/26 - 9/5/26</t>
        </is>
      </c>
      <c r="C3565" t="n">
        <v>0</v>
      </c>
      <c r="D3565" t="n">
        <v>0.3256</v>
      </c>
      <c r="H3565" t="n">
        <v>0</v>
      </c>
      <c r="K3565" t="inlineStr">
        <is>
          <t>Distinguished</t>
        </is>
      </c>
      <c r="M3565" t="inlineStr">
        <is>
          <t>Katherine Marino</t>
        </is>
      </c>
    </row>
    <row r="3566">
      <c r="A3566" t="inlineStr">
        <is>
          <t>Daniel Esquivel-Reynoso</t>
        </is>
      </c>
      <c r="B3566" t="inlineStr">
        <is>
          <t>8/9/26 - 9/5/26</t>
        </is>
      </c>
      <c r="C3566" t="n">
        <v>0.9375</v>
      </c>
      <c r="D3566" t="n">
        <v>1.0573</v>
      </c>
      <c r="E3566" t="n">
        <v>0.9866666666666668</v>
      </c>
      <c r="F3566" t="n">
        <v>0.873</v>
      </c>
      <c r="G3566" t="n">
        <v>1</v>
      </c>
      <c r="H3566" t="n">
        <v>88</v>
      </c>
      <c r="J3566" t="n">
        <v>0.8</v>
      </c>
      <c r="K3566" t="inlineStr">
        <is>
          <t>Distinguished</t>
        </is>
      </c>
      <c r="M3566" t="inlineStr">
        <is>
          <t>Annelies de Groot</t>
        </is>
      </c>
      <c r="N3566" t="n">
        <v>1</v>
      </c>
      <c r="O3566" t="n">
        <v>10</v>
      </c>
      <c r="P3566" t="n">
        <v>0.1418918918918918</v>
      </c>
    </row>
    <row r="3567">
      <c r="A3567" t="inlineStr">
        <is>
          <t>Daniel Olson</t>
        </is>
      </c>
      <c r="B3567" t="inlineStr">
        <is>
          <t>8/9/26 - 9/5/26</t>
        </is>
      </c>
      <c r="C3567" t="n">
        <v>1.0667</v>
      </c>
      <c r="D3567" t="n">
        <v>1.0691</v>
      </c>
      <c r="E3567" t="n">
        <v>1</v>
      </c>
      <c r="F3567" t="n">
        <v>1</v>
      </c>
      <c r="G3567" t="n">
        <v>0.2916666666666667</v>
      </c>
      <c r="H3567" t="n">
        <v>172</v>
      </c>
      <c r="J3567" t="n">
        <v>0.875</v>
      </c>
      <c r="K3567" t="inlineStr">
        <is>
          <t>Distinguished</t>
        </is>
      </c>
      <c r="M3567" t="inlineStr">
        <is>
          <t>Annelies de Groot</t>
        </is>
      </c>
      <c r="N3567" t="n">
        <v>0.931344696969697</v>
      </c>
      <c r="P3567" t="n">
        <v>0.0868268907563025</v>
      </c>
    </row>
    <row r="3568">
      <c r="A3568" t="inlineStr">
        <is>
          <t>Daniel Severance</t>
        </is>
      </c>
      <c r="B3568" t="inlineStr">
        <is>
          <t>8/9/26 - 9/5/26</t>
        </is>
      </c>
      <c r="C3568" t="n">
        <v>1.1143</v>
      </c>
      <c r="D3568" t="n">
        <v>1.0799</v>
      </c>
      <c r="E3568" t="n">
        <v>0.9774436090225564</v>
      </c>
      <c r="F3568" t="n">
        <v>1</v>
      </c>
      <c r="G3568" t="n">
        <v>0.7619047619047619</v>
      </c>
      <c r="H3568" t="n">
        <v>192</v>
      </c>
      <c r="K3568" t="inlineStr">
        <is>
          <t>Premium</t>
        </is>
      </c>
      <c r="M3568" t="inlineStr">
        <is>
          <t>Annelies de Groot</t>
        </is>
      </c>
      <c r="N3568" t="n">
        <v>0.8735644257703081</v>
      </c>
      <c r="O3568" t="n">
        <v>9.5</v>
      </c>
      <c r="P3568" t="n">
        <v>0.03584229390681</v>
      </c>
    </row>
    <row r="3569">
      <c r="A3569" t="inlineStr">
        <is>
          <t>Danny Smith</t>
        </is>
      </c>
      <c r="B3569" t="inlineStr">
        <is>
          <t>8/9/26 - 9/5/26</t>
        </is>
      </c>
      <c r="C3569" t="n">
        <v>0</v>
      </c>
      <c r="D3569" t="n">
        <v>0.4868</v>
      </c>
      <c r="H3569" t="n">
        <v>0</v>
      </c>
      <c r="K3569" t="inlineStr">
        <is>
          <t>Distinguished</t>
        </is>
      </c>
      <c r="M3569" t="inlineStr">
        <is>
          <t>Katherine Marino</t>
        </is>
      </c>
    </row>
    <row r="3570">
      <c r="A3570" t="inlineStr">
        <is>
          <t>David Alcantara</t>
        </is>
      </c>
      <c r="B3570" t="inlineStr">
        <is>
          <t>8/9/26 - 9/5/26</t>
        </is>
      </c>
      <c r="C3570" t="n">
        <v>0.85</v>
      </c>
      <c r="D3570" t="n">
        <v>0.9671</v>
      </c>
      <c r="E3570" t="n">
        <v>1</v>
      </c>
      <c r="F3570" t="n">
        <v>0.667</v>
      </c>
      <c r="G3570" t="n">
        <v>0.631578947368421</v>
      </c>
      <c r="H3570" t="n">
        <v>14</v>
      </c>
      <c r="J3570" t="n">
        <v>1</v>
      </c>
      <c r="K3570" t="inlineStr">
        <is>
          <t>Distinguished</t>
        </is>
      </c>
      <c r="M3570" t="inlineStr">
        <is>
          <t>Ela Cross</t>
        </is>
      </c>
      <c r="N3570" t="n">
        <v>0.5232323232323232</v>
      </c>
      <c r="O3570" t="n">
        <v>8.5</v>
      </c>
      <c r="P3570" t="n">
        <v>0.0243052083333333</v>
      </c>
    </row>
    <row r="3571">
      <c r="A3571" t="inlineStr">
        <is>
          <t>Dehavion Knight</t>
        </is>
      </c>
      <c r="B3571" t="inlineStr">
        <is>
          <t>8/9/26 - 9/5/26</t>
        </is>
      </c>
      <c r="C3571" t="n">
        <v>0.5</v>
      </c>
      <c r="D3571" t="n">
        <v>1.1875</v>
      </c>
      <c r="E3571" t="n">
        <v>1</v>
      </c>
      <c r="F3571" t="n">
        <v>0.714</v>
      </c>
      <c r="G3571" t="n">
        <v>0.7142857142857143</v>
      </c>
      <c r="H3571" t="n">
        <v>88</v>
      </c>
      <c r="J3571" t="n">
        <v>0</v>
      </c>
      <c r="K3571" t="inlineStr">
        <is>
          <t>Distinguished</t>
        </is>
      </c>
      <c r="M3571" t="inlineStr">
        <is>
          <t>Ela Cross</t>
        </is>
      </c>
      <c r="N3571" t="n">
        <v>1</v>
      </c>
      <c r="O3571" t="n">
        <v>7.2</v>
      </c>
    </row>
    <row r="3572">
      <c r="A3572" t="inlineStr">
        <is>
          <t>Derek Fox</t>
        </is>
      </c>
      <c r="B3572" t="inlineStr">
        <is>
          <t>8/9/26 - 9/5/26</t>
        </is>
      </c>
      <c r="C3572" t="n">
        <v>0.8958</v>
      </c>
      <c r="D3572" t="n">
        <v>0.9219000000000001</v>
      </c>
      <c r="E3572" t="n">
        <v>0.9767441860465116</v>
      </c>
      <c r="F3572" t="n">
        <v>1</v>
      </c>
      <c r="G3572" t="n">
        <v>0.9</v>
      </c>
      <c r="H3572" t="n">
        <v>60</v>
      </c>
      <c r="J3572" t="n">
        <v>1</v>
      </c>
      <c r="K3572" t="inlineStr">
        <is>
          <t>Advanced</t>
        </is>
      </c>
      <c r="M3572" t="inlineStr">
        <is>
          <t>Geoff St. Marie</t>
        </is>
      </c>
      <c r="N3572" t="n">
        <v>1</v>
      </c>
      <c r="O3572" t="n">
        <v>7</v>
      </c>
      <c r="P3572" t="n">
        <v>0.0365853658536585</v>
      </c>
    </row>
    <row r="3573">
      <c r="A3573" t="inlineStr">
        <is>
          <t>Diamond Anderson</t>
        </is>
      </c>
      <c r="B3573" t="inlineStr">
        <is>
          <t>8/9/26 - 9/5/26</t>
        </is>
      </c>
      <c r="C3573" t="n">
        <v>0.4688</v>
      </c>
      <c r="D3573" t="n">
        <v>0.9102</v>
      </c>
      <c r="E3573" t="n">
        <v>1</v>
      </c>
      <c r="F3573" t="n">
        <v>0.8</v>
      </c>
      <c r="G3573" t="n">
        <v>1</v>
      </c>
      <c r="H3573" t="n">
        <v>78</v>
      </c>
      <c r="K3573" t="inlineStr">
        <is>
          <t>Distinguished</t>
        </is>
      </c>
      <c r="M3573" t="inlineStr">
        <is>
          <t>Kristin Haase-Alvey</t>
        </is>
      </c>
      <c r="N3573" t="n">
        <v>0.85</v>
      </c>
      <c r="O3573" t="n">
        <v>6.333333333333333</v>
      </c>
    </row>
    <row r="3574">
      <c r="A3574" t="inlineStr">
        <is>
          <t>Diana Hoyer</t>
        </is>
      </c>
      <c r="B3574" t="inlineStr">
        <is>
          <t>8/9/26 - 9/5/26</t>
        </is>
      </c>
      <c r="C3574" t="n">
        <v>1.0232</v>
      </c>
      <c r="D3574" t="n">
        <v>1.1686</v>
      </c>
      <c r="E3574" t="n">
        <v>0.9629629629629628</v>
      </c>
      <c r="F3574" t="n">
        <v>0.988</v>
      </c>
      <c r="G3574" t="n">
        <v>1</v>
      </c>
      <c r="H3574" t="n">
        <v>284</v>
      </c>
      <c r="J3574" t="n">
        <v>0.8</v>
      </c>
      <c r="K3574" t="inlineStr">
        <is>
          <t>Premium</t>
        </is>
      </c>
      <c r="M3574" t="inlineStr">
        <is>
          <t>Geoff St. Marie</t>
        </is>
      </c>
      <c r="N3574" t="n">
        <v>1</v>
      </c>
      <c r="O3574" t="n">
        <v>8.875</v>
      </c>
      <c r="P3574" t="n">
        <v>0.0481680154142581</v>
      </c>
    </row>
    <row r="3575">
      <c r="A3575" t="inlineStr">
        <is>
          <t>Dorothy McDaniel</t>
        </is>
      </c>
      <c r="B3575" t="inlineStr">
        <is>
          <t>8/9/26 - 9/5/26</t>
        </is>
      </c>
      <c r="C3575" t="n">
        <v>0.3417</v>
      </c>
      <c r="D3575" t="n">
        <v>1.4292</v>
      </c>
      <c r="E3575" t="n">
        <v>1</v>
      </c>
      <c r="F3575" t="n">
        <v>1</v>
      </c>
      <c r="G3575" t="n">
        <v>0.7</v>
      </c>
      <c r="H3575" t="n">
        <v>72</v>
      </c>
      <c r="K3575" t="inlineStr">
        <is>
          <t>Premium</t>
        </is>
      </c>
      <c r="M3575" t="inlineStr">
        <is>
          <t>Ian Plamondon</t>
        </is>
      </c>
      <c r="N3575" t="n">
        <v>1</v>
      </c>
      <c r="P3575" t="n">
        <v>0.1538461538461538</v>
      </c>
    </row>
    <row r="3576">
      <c r="A3576" t="inlineStr">
        <is>
          <t>Eddie Cayia</t>
        </is>
      </c>
      <c r="B3576" t="inlineStr">
        <is>
          <t>8/9/26 - 9/5/26</t>
        </is>
      </c>
      <c r="C3576" t="n">
        <v>0.8929</v>
      </c>
      <c r="D3576" t="n">
        <v>0.9084</v>
      </c>
      <c r="E3576" t="n">
        <v>0.9669421487603306</v>
      </c>
      <c r="F3576" t="n">
        <v>0.955</v>
      </c>
      <c r="G3576" t="n">
        <v>0.8421052631578947</v>
      </c>
      <c r="H3576" t="n">
        <v>248</v>
      </c>
      <c r="J3576" t="n">
        <v>0</v>
      </c>
      <c r="K3576" t="inlineStr">
        <is>
          <t>Distinguished</t>
        </is>
      </c>
      <c r="M3576" t="inlineStr">
        <is>
          <t>Annelies de Groot</t>
        </is>
      </c>
      <c r="N3576" t="n">
        <v>1</v>
      </c>
      <c r="O3576" t="n">
        <v>4.833333333333333</v>
      </c>
      <c r="P3576" t="n">
        <v>0.0764327586206896</v>
      </c>
    </row>
    <row r="3577">
      <c r="A3577" t="inlineStr">
        <is>
          <t>Eddie Rodriguez</t>
        </is>
      </c>
      <c r="B3577" t="inlineStr">
        <is>
          <t>8/9/26 - 9/5/26</t>
        </is>
      </c>
      <c r="C3577" t="n">
        <v>1.0292</v>
      </c>
      <c r="D3577" t="n">
        <v>1.0855</v>
      </c>
      <c r="E3577" t="n">
        <v>0.9914529914529916</v>
      </c>
      <c r="F3577" t="n">
        <v>1</v>
      </c>
      <c r="G3577" t="n">
        <v>0.9523809523809524</v>
      </c>
      <c r="H3577" t="n">
        <v>64</v>
      </c>
      <c r="J3577" t="n">
        <v>1</v>
      </c>
      <c r="K3577" t="inlineStr">
        <is>
          <t>Distinguished</t>
        </is>
      </c>
      <c r="M3577" t="inlineStr">
        <is>
          <t>Geoff St. Marie</t>
        </is>
      </c>
      <c r="N3577" t="n">
        <v>0.9582473340213278</v>
      </c>
      <c r="O3577" t="n">
        <v>6.375</v>
      </c>
      <c r="P3577" t="n">
        <v>0.119353711790393</v>
      </c>
    </row>
    <row r="3578">
      <c r="A3578" t="inlineStr">
        <is>
          <t>Eden Rasmussen</t>
        </is>
      </c>
      <c r="B3578" t="inlineStr">
        <is>
          <t>8/9/26 - 9/5/26</t>
        </is>
      </c>
      <c r="C3578" t="n">
        <v>0.5625</v>
      </c>
      <c r="D3578" t="n">
        <v>0.8454</v>
      </c>
      <c r="E3578" t="n">
        <v>0.8387096774193549</v>
      </c>
      <c r="F3578" t="n">
        <v>0.975</v>
      </c>
      <c r="G3578" t="n">
        <v>0.0666666666666666</v>
      </c>
      <c r="H3578" t="n">
        <v>152</v>
      </c>
      <c r="J3578" t="n">
        <v>0.25</v>
      </c>
      <c r="K3578" t="inlineStr">
        <is>
          <t>Distinguished</t>
        </is>
      </c>
      <c r="M3578" t="inlineStr">
        <is>
          <t>Geoff St. Marie</t>
        </is>
      </c>
      <c r="N3578" t="n">
        <v>0.9722222222222222</v>
      </c>
      <c r="P3578" t="n">
        <v>0.1134436974789916</v>
      </c>
    </row>
    <row r="3579">
      <c r="A3579" t="inlineStr">
        <is>
          <t>Edwin West</t>
        </is>
      </c>
      <c r="B3579" t="inlineStr">
        <is>
          <t>8/9/26 - 9/5/26</t>
        </is>
      </c>
      <c r="C3579" t="n">
        <v>1.0208</v>
      </c>
      <c r="D3579" t="n">
        <v>1.0781</v>
      </c>
      <c r="E3579" t="n">
        <v>1</v>
      </c>
      <c r="F3579" t="n">
        <v>1</v>
      </c>
      <c r="G3579" t="n">
        <v>1</v>
      </c>
      <c r="H3579" t="n">
        <v>110</v>
      </c>
      <c r="J3579" t="n">
        <v>0.5</v>
      </c>
      <c r="K3579" t="inlineStr">
        <is>
          <t>Distinguished</t>
        </is>
      </c>
      <c r="M3579" t="inlineStr">
        <is>
          <t>Ela Cross</t>
        </is>
      </c>
      <c r="N3579" t="n">
        <v>1</v>
      </c>
      <c r="O3579" t="n">
        <v>6.722222222222222</v>
      </c>
      <c r="P3579" t="n">
        <v>0.0070914893617021</v>
      </c>
    </row>
    <row r="3580">
      <c r="A3580" t="inlineStr">
        <is>
          <t>Eleanor Mancilla</t>
        </is>
      </c>
      <c r="B3580" t="inlineStr">
        <is>
          <t>8/9/26 - 9/5/26</t>
        </is>
      </c>
      <c r="C3580" t="n">
        <v>0.8583</v>
      </c>
      <c r="D3580" t="n">
        <v>1.1036</v>
      </c>
      <c r="E3580" t="n">
        <v>1</v>
      </c>
      <c r="F3580" t="n">
        <v>1</v>
      </c>
      <c r="G3580" t="n">
        <v>0.9333333333333332</v>
      </c>
      <c r="H3580" t="n">
        <v>180</v>
      </c>
      <c r="J3580" t="n">
        <v>0.75</v>
      </c>
      <c r="K3580" t="inlineStr">
        <is>
          <t>Distinguished</t>
        </is>
      </c>
      <c r="M3580" t="inlineStr">
        <is>
          <t>Annelies de Groot</t>
        </is>
      </c>
      <c r="N3580" t="n">
        <v>0.984375</v>
      </c>
      <c r="O3580" t="n">
        <v>8.25</v>
      </c>
      <c r="P3580" t="n">
        <v>0.1979145833333333</v>
      </c>
    </row>
    <row r="3581">
      <c r="A3581" t="inlineStr">
        <is>
          <t>Elijah Ramirez</t>
        </is>
      </c>
      <c r="B3581" t="inlineStr">
        <is>
          <t>8/9/26 - 9/5/26</t>
        </is>
      </c>
      <c r="C3581" t="n">
        <v>1.125</v>
      </c>
      <c r="D3581" t="n">
        <v>1.199</v>
      </c>
      <c r="E3581" t="n">
        <v>1</v>
      </c>
      <c r="F3581" t="n">
        <v>1</v>
      </c>
      <c r="G3581" t="n">
        <v>0.96</v>
      </c>
      <c r="H3581" t="n">
        <v>67</v>
      </c>
      <c r="J3581" t="n">
        <v>0.2</v>
      </c>
      <c r="K3581" t="inlineStr">
        <is>
          <t>Premium</t>
        </is>
      </c>
      <c r="M3581" t="inlineStr">
        <is>
          <t>Ian Plamondon</t>
        </is>
      </c>
      <c r="N3581" t="n">
        <v>1</v>
      </c>
      <c r="O3581" t="n">
        <v>3.946428571428571</v>
      </c>
      <c r="P3581" t="n">
        <v>0.0769230769230769</v>
      </c>
    </row>
    <row r="3582">
      <c r="A3582" t="inlineStr">
        <is>
          <t>Eric Canfield</t>
        </is>
      </c>
      <c r="B3582" t="inlineStr">
        <is>
          <t>8/9/26 - 9/5/26</t>
        </is>
      </c>
      <c r="C3582" t="n">
        <v>0</v>
      </c>
      <c r="D3582" t="n">
        <v>0.3224</v>
      </c>
      <c r="H3582" t="n">
        <v>0</v>
      </c>
      <c r="K3582" t="inlineStr">
        <is>
          <t>Distinguished</t>
        </is>
      </c>
      <c r="M3582" t="inlineStr">
        <is>
          <t>Katherine Marino</t>
        </is>
      </c>
    </row>
    <row r="3583">
      <c r="A3583" t="inlineStr">
        <is>
          <t>Eric Chang</t>
        </is>
      </c>
      <c r="B3583" t="inlineStr">
        <is>
          <t>8/9/26 - 9/5/26</t>
        </is>
      </c>
      <c r="C3583" t="n">
        <v>0.9333</v>
      </c>
      <c r="D3583" t="n">
        <v>1.023</v>
      </c>
      <c r="E3583" t="n">
        <v>0.9902912621359224</v>
      </c>
      <c r="F3583" t="n">
        <v>0.753</v>
      </c>
      <c r="G3583" t="n">
        <v>0.6818181818181818</v>
      </c>
      <c r="H3583" t="n">
        <v>234</v>
      </c>
      <c r="J3583" t="n">
        <v>0.3333333333333333</v>
      </c>
      <c r="K3583" t="inlineStr">
        <is>
          <t>Distinguished</t>
        </is>
      </c>
      <c r="M3583" t="inlineStr">
        <is>
          <t>Annelies de Groot</t>
        </is>
      </c>
      <c r="N3583" t="n">
        <v>1</v>
      </c>
      <c r="O3583" t="n">
        <v>4.75</v>
      </c>
      <c r="P3583" t="n">
        <v>0.0420560747663551</v>
      </c>
    </row>
    <row r="3584">
      <c r="A3584" t="inlineStr">
        <is>
          <t>Ernie Chu</t>
        </is>
      </c>
      <c r="B3584" t="inlineStr">
        <is>
          <t>8/9/26 - 9/5/26</t>
        </is>
      </c>
      <c r="C3584" t="n">
        <v>1.3188</v>
      </c>
      <c r="D3584" t="n">
        <v>1.148</v>
      </c>
      <c r="E3584" t="n">
        <v>1</v>
      </c>
      <c r="F3584" t="n">
        <v>0.878</v>
      </c>
      <c r="G3584" t="n">
        <v>0.88</v>
      </c>
      <c r="H3584" t="n">
        <v>228</v>
      </c>
      <c r="J3584" t="n">
        <v>0.25</v>
      </c>
      <c r="K3584" t="inlineStr">
        <is>
          <t>Distinguished</t>
        </is>
      </c>
      <c r="M3584" t="inlineStr">
        <is>
          <t>Geoff St. Marie</t>
        </is>
      </c>
      <c r="N3584" t="n">
        <v>0.9417613636363636</v>
      </c>
      <c r="O3584" t="n">
        <v>8.166666666666666</v>
      </c>
      <c r="P3584" t="n">
        <v>0.0099833610648918</v>
      </c>
    </row>
    <row r="3585">
      <c r="A3585" t="inlineStr">
        <is>
          <t>Ethan Sturmoski</t>
        </is>
      </c>
      <c r="B3585" t="inlineStr">
        <is>
          <t>8/9/26 - 9/5/26</t>
        </is>
      </c>
      <c r="C3585" t="n">
        <v>0</v>
      </c>
      <c r="D3585" t="n">
        <v>0.4079</v>
      </c>
      <c r="H3585" t="n">
        <v>0</v>
      </c>
      <c r="K3585" t="inlineStr">
        <is>
          <t>Distinguished</t>
        </is>
      </c>
      <c r="M3585" t="inlineStr">
        <is>
          <t>Nikki Pencak</t>
        </is>
      </c>
    </row>
    <row r="3586">
      <c r="A3586" t="inlineStr">
        <is>
          <t>Eve Shames</t>
        </is>
      </c>
      <c r="B3586" t="inlineStr">
        <is>
          <t>8/9/26 - 9/5/26</t>
        </is>
      </c>
      <c r="C3586" t="n">
        <v>0.7292</v>
      </c>
      <c r="D3586" t="n">
        <v>1.0411</v>
      </c>
      <c r="E3586" t="n">
        <v>1</v>
      </c>
      <c r="F3586" t="n">
        <v>0.982</v>
      </c>
      <c r="G3586" t="n">
        <v>0</v>
      </c>
      <c r="H3586" t="n">
        <v>60</v>
      </c>
      <c r="J3586" t="n">
        <v>0.6818181818181818</v>
      </c>
      <c r="K3586" t="inlineStr">
        <is>
          <t>Distinguished</t>
        </is>
      </c>
      <c r="M3586" t="inlineStr">
        <is>
          <t>Ela Cross</t>
        </is>
      </c>
      <c r="N3586" t="n">
        <v>0.9814814814814816</v>
      </c>
      <c r="O3586" t="n">
        <v>8</v>
      </c>
      <c r="P3586" t="n">
        <v>0.2618981366459627</v>
      </c>
    </row>
    <row r="3587">
      <c r="A3587" t="inlineStr">
        <is>
          <t>Faith Rogers</t>
        </is>
      </c>
      <c r="B3587" t="inlineStr">
        <is>
          <t>8/9/26 - 9/5/26</t>
        </is>
      </c>
      <c r="C3587" t="n">
        <v>0.8792</v>
      </c>
      <c r="D3587" t="n">
        <v>0.9474</v>
      </c>
      <c r="E3587" t="n">
        <v>0.9523809523809524</v>
      </c>
      <c r="F3587" t="n">
        <v>1</v>
      </c>
      <c r="G3587" t="n">
        <v>0.96</v>
      </c>
      <c r="H3587" t="n">
        <v>100</v>
      </c>
      <c r="K3587" t="inlineStr">
        <is>
          <t>Distinguished</t>
        </is>
      </c>
      <c r="M3587" t="inlineStr">
        <is>
          <t>Geoff St. Marie</t>
        </is>
      </c>
      <c r="N3587" t="n">
        <v>1</v>
      </c>
      <c r="O3587" t="n">
        <v>6.333333333333333</v>
      </c>
      <c r="P3587" t="n">
        <v>0.0023923444976076</v>
      </c>
    </row>
    <row r="3588">
      <c r="A3588" t="inlineStr">
        <is>
          <t>Gabriel Saint Cyr</t>
        </is>
      </c>
      <c r="B3588" t="inlineStr">
        <is>
          <t>8/9/26 - 9/5/26</t>
        </is>
      </c>
      <c r="C3588" t="n">
        <v>0.4167</v>
      </c>
      <c r="D3588" t="n">
        <v>1.0391</v>
      </c>
      <c r="E3588" t="n">
        <v>1</v>
      </c>
      <c r="F3588" t="n">
        <v>1</v>
      </c>
      <c r="G3588" t="n">
        <v>1</v>
      </c>
      <c r="H3588" t="n">
        <v>0</v>
      </c>
      <c r="J3588" t="n">
        <v>1</v>
      </c>
      <c r="K3588" t="inlineStr">
        <is>
          <t>Distinguished</t>
        </is>
      </c>
      <c r="M3588" t="inlineStr">
        <is>
          <t>Geoff St. Marie</t>
        </is>
      </c>
      <c r="N3588" t="n">
        <v>1</v>
      </c>
      <c r="O3588" t="n">
        <v>5.25</v>
      </c>
      <c r="P3588" t="n">
        <v>0.029165</v>
      </c>
    </row>
    <row r="3589">
      <c r="A3589" t="inlineStr">
        <is>
          <t>Gale Hermes</t>
        </is>
      </c>
      <c r="B3589" t="inlineStr">
        <is>
          <t>8/9/26 - 9/5/26</t>
        </is>
      </c>
      <c r="C3589" t="n">
        <v>0.8208</v>
      </c>
      <c r="D3589" t="n">
        <v>1.4375</v>
      </c>
      <c r="E3589" t="n">
        <v>1</v>
      </c>
      <c r="F3589" t="n">
        <v>0.922</v>
      </c>
      <c r="G3589" t="n">
        <v>0.25</v>
      </c>
      <c r="H3589" t="n">
        <v>83</v>
      </c>
      <c r="J3589" t="n">
        <v>0</v>
      </c>
      <c r="K3589" t="inlineStr">
        <is>
          <t>Premium</t>
        </is>
      </c>
      <c r="M3589" t="inlineStr">
        <is>
          <t>Ian Plamondon</t>
        </is>
      </c>
      <c r="N3589" t="n">
        <v>1</v>
      </c>
      <c r="O3589" t="n">
        <v>7</v>
      </c>
      <c r="P3589" t="n">
        <v>0.022521081081081</v>
      </c>
    </row>
    <row r="3590">
      <c r="A3590" t="inlineStr">
        <is>
          <t>Gene Costa</t>
        </is>
      </c>
      <c r="B3590" t="inlineStr">
        <is>
          <t>8/9/26 - 9/5/26</t>
        </is>
      </c>
      <c r="C3590" t="n">
        <v>0</v>
      </c>
      <c r="D3590" t="n">
        <v>0.375</v>
      </c>
      <c r="G3590" t="n">
        <v>0.411764705882353</v>
      </c>
      <c r="H3590" t="n">
        <v>68</v>
      </c>
      <c r="K3590" t="inlineStr">
        <is>
          <t>Distinguished</t>
        </is>
      </c>
      <c r="M3590" t="inlineStr">
        <is>
          <t>Ela Cross</t>
        </is>
      </c>
    </row>
    <row r="3591">
      <c r="A3591" t="inlineStr">
        <is>
          <t>Gigi Glover</t>
        </is>
      </c>
      <c r="B3591" t="inlineStr">
        <is>
          <t>8/9/26 - 9/5/26</t>
        </is>
      </c>
      <c r="C3591" t="n">
        <v>0.9917</v>
      </c>
      <c r="D3591" t="n">
        <v>1.2467</v>
      </c>
      <c r="E3591" t="n">
        <v>0.9272727272727272</v>
      </c>
      <c r="F3591" t="n">
        <v>0.986</v>
      </c>
      <c r="G3591" t="n">
        <v>0.6190476190476191</v>
      </c>
      <c r="H3591" t="n">
        <v>53</v>
      </c>
      <c r="J3591" t="n">
        <v>0.6666666666666666</v>
      </c>
      <c r="K3591" t="inlineStr">
        <is>
          <t>Distinguished</t>
        </is>
      </c>
      <c r="M3591" t="inlineStr">
        <is>
          <t>Geoff St. Marie</t>
        </is>
      </c>
      <c r="N3591" t="n">
        <v>0.9305555555555556</v>
      </c>
      <c r="O3591" t="n">
        <v>6.2</v>
      </c>
      <c r="P3591" t="n">
        <v>0.171993607305936</v>
      </c>
    </row>
    <row r="3592">
      <c r="A3592" t="inlineStr">
        <is>
          <t>Gina Benson</t>
        </is>
      </c>
      <c r="B3592" t="inlineStr">
        <is>
          <t>8/9/26 - 9/5/26</t>
        </is>
      </c>
      <c r="C3592" t="n">
        <v>0.7875</v>
      </c>
      <c r="D3592" t="n">
        <v>1.0156</v>
      </c>
      <c r="E3592" t="n">
        <v>1</v>
      </c>
      <c r="F3592" t="n">
        <v>1</v>
      </c>
      <c r="G3592" t="n">
        <v>1</v>
      </c>
      <c r="H3592" t="n">
        <v>144</v>
      </c>
      <c r="J3592" t="n">
        <v>0.75</v>
      </c>
      <c r="K3592" t="inlineStr">
        <is>
          <t>Advanced</t>
        </is>
      </c>
      <c r="M3592" t="inlineStr">
        <is>
          <t>Kristin Haase-Alvey</t>
        </is>
      </c>
      <c r="N3592" t="n">
        <v>0.8462121212121212</v>
      </c>
      <c r="O3592" t="n">
        <v>5.75</v>
      </c>
      <c r="P3592" t="n">
        <v>0.1125701754385964</v>
      </c>
    </row>
    <row r="3593">
      <c r="A3593" t="inlineStr">
        <is>
          <t>Hannah Ervitz</t>
        </is>
      </c>
      <c r="B3593" t="inlineStr">
        <is>
          <t>8/9/26 - 9/5/26</t>
        </is>
      </c>
      <c r="C3593" t="n">
        <v>0.8875</v>
      </c>
      <c r="D3593" t="n">
        <v>1.0781</v>
      </c>
      <c r="E3593" t="n">
        <v>1</v>
      </c>
      <c r="F3593" t="n">
        <v>0.929</v>
      </c>
      <c r="G3593" t="n">
        <v>0.8666666666666667</v>
      </c>
      <c r="H3593" t="n">
        <v>90</v>
      </c>
      <c r="J3593" t="n">
        <v>0</v>
      </c>
      <c r="K3593" t="inlineStr">
        <is>
          <t>Distinguished</t>
        </is>
      </c>
      <c r="M3593" t="inlineStr">
        <is>
          <t>Kristin Haase-Alvey</t>
        </is>
      </c>
      <c r="N3593" t="n">
        <v>1</v>
      </c>
      <c r="O3593" t="n">
        <v>6.6875</v>
      </c>
    </row>
    <row r="3594">
      <c r="A3594" t="inlineStr">
        <is>
          <t>Hannah Lodge</t>
        </is>
      </c>
      <c r="B3594" t="inlineStr">
        <is>
          <t>8/9/26 - 9/5/26</t>
        </is>
      </c>
      <c r="C3594" t="n">
        <v>0.9917</v>
      </c>
      <c r="D3594" t="n">
        <v>1.0855</v>
      </c>
      <c r="E3594" t="n">
        <v>0.9906542056074766</v>
      </c>
      <c r="F3594" t="n">
        <v>0.97</v>
      </c>
      <c r="G3594" t="n">
        <v>0.9583333333333334</v>
      </c>
      <c r="H3594" t="n">
        <v>54.5</v>
      </c>
      <c r="J3594" t="n">
        <v>1</v>
      </c>
      <c r="K3594" t="inlineStr">
        <is>
          <t>Premium</t>
        </is>
      </c>
      <c r="M3594" t="inlineStr">
        <is>
          <t>Ian Plamondon</t>
        </is>
      </c>
      <c r="N3594" t="n">
        <v>0.9292763157894736</v>
      </c>
      <c r="O3594" t="n">
        <v>8.74074074074074</v>
      </c>
      <c r="P3594" t="n">
        <v>0.0124018604651162</v>
      </c>
    </row>
    <row r="3595">
      <c r="A3595" t="inlineStr">
        <is>
          <t>Jacob Karn</t>
        </is>
      </c>
      <c r="B3595" t="inlineStr">
        <is>
          <t>8/9/26 - 9/5/26</t>
        </is>
      </c>
      <c r="C3595" t="n">
        <v>0.9125</v>
      </c>
      <c r="D3595" t="n">
        <v>1.0625</v>
      </c>
      <c r="E3595" t="n">
        <v>0.9726027397260274</v>
      </c>
      <c r="F3595" t="n">
        <v>0.978</v>
      </c>
      <c r="G3595" t="n">
        <v>0.8947368421052632</v>
      </c>
      <c r="H3595" t="n">
        <v>214</v>
      </c>
      <c r="J3595" t="n">
        <v>1</v>
      </c>
      <c r="K3595" t="inlineStr">
        <is>
          <t>Distinguished</t>
        </is>
      </c>
      <c r="M3595" t="inlineStr">
        <is>
          <t>Geoff St. Marie</t>
        </is>
      </c>
      <c r="N3595" t="n">
        <v>1</v>
      </c>
      <c r="O3595" t="n">
        <v>4.333333333333333</v>
      </c>
      <c r="P3595" t="n">
        <v>0.0517636363636363</v>
      </c>
    </row>
    <row r="3596">
      <c r="A3596" t="inlineStr">
        <is>
          <t>Jake Corvino</t>
        </is>
      </c>
      <c r="B3596" t="inlineStr">
        <is>
          <t>8/9/26 - 9/5/26</t>
        </is>
      </c>
      <c r="C3596" t="n">
        <v>1.0417</v>
      </c>
      <c r="D3596" t="n">
        <v>1.1406</v>
      </c>
      <c r="E3596" t="n">
        <v>1</v>
      </c>
      <c r="F3596" t="n">
        <v>1</v>
      </c>
      <c r="G3596" t="n">
        <v>0.1666666666666667</v>
      </c>
      <c r="H3596" t="n">
        <v>136</v>
      </c>
      <c r="J3596" t="n">
        <v>0.6666666666666666</v>
      </c>
      <c r="K3596" t="inlineStr">
        <is>
          <t>Distinguished</t>
        </is>
      </c>
      <c r="M3596" t="inlineStr">
        <is>
          <t>Ela Cross</t>
        </is>
      </c>
      <c r="N3596" t="n">
        <v>1</v>
      </c>
      <c r="O3596" t="n">
        <v>7</v>
      </c>
      <c r="P3596" t="n">
        <v>0.1467239130434782</v>
      </c>
    </row>
    <row r="3597">
      <c r="A3597" t="inlineStr">
        <is>
          <t>James Falconer</t>
        </is>
      </c>
      <c r="B3597" t="inlineStr">
        <is>
          <t>8/9/26 - 9/5/26</t>
        </is>
      </c>
      <c r="C3597" t="n">
        <v>0.9786</v>
      </c>
      <c r="D3597" t="n">
        <v>1.0378</v>
      </c>
      <c r="E3597" t="n">
        <v>0.9747899159663864</v>
      </c>
      <c r="F3597" t="n">
        <v>0.885</v>
      </c>
      <c r="G3597" t="n">
        <v>0.9333333333333332</v>
      </c>
      <c r="H3597" t="n">
        <v>164</v>
      </c>
      <c r="J3597" t="n">
        <v>1</v>
      </c>
      <c r="K3597" t="inlineStr">
        <is>
          <t>Distinguished</t>
        </is>
      </c>
      <c r="M3597" t="inlineStr">
        <is>
          <t>Geoff St. Marie</t>
        </is>
      </c>
      <c r="N3597" t="n">
        <v>0.9067261685682738</v>
      </c>
      <c r="O3597" t="n">
        <v>6.958333333333333</v>
      </c>
      <c r="P3597" t="n">
        <v>0.1066886363636363</v>
      </c>
    </row>
    <row r="3598">
      <c r="A3598" t="inlineStr">
        <is>
          <t>James Shoemake</t>
        </is>
      </c>
      <c r="B3598" t="inlineStr">
        <is>
          <t>8/9/26 - 9/5/26</t>
        </is>
      </c>
      <c r="C3598" t="n">
        <v>0.6929</v>
      </c>
      <c r="D3598" t="n">
        <v>0.9157</v>
      </c>
      <c r="E3598" t="n">
        <v>0.9893617021276596</v>
      </c>
      <c r="F3598" t="n">
        <v>0.906</v>
      </c>
      <c r="G3598" t="n">
        <v>0</v>
      </c>
      <c r="H3598" t="n">
        <v>17</v>
      </c>
      <c r="J3598" t="n">
        <v>0.4666666666666667</v>
      </c>
      <c r="K3598" t="inlineStr">
        <is>
          <t>Distinguished</t>
        </is>
      </c>
      <c r="M3598" t="inlineStr">
        <is>
          <t>Kristin Haase-Alvey</t>
        </is>
      </c>
      <c r="N3598" t="n">
        <v>0.8056192173839233</v>
      </c>
      <c r="P3598" t="n">
        <v>0.1360057471264368</v>
      </c>
    </row>
    <row r="3599">
      <c r="A3599" t="inlineStr">
        <is>
          <t>Jason Anderson</t>
        </is>
      </c>
      <c r="B3599" t="inlineStr">
        <is>
          <t>8/9/26 - 9/5/26</t>
        </is>
      </c>
      <c r="C3599" t="n">
        <v>1.0083</v>
      </c>
      <c r="D3599" t="n">
        <v>1.2484</v>
      </c>
      <c r="E3599" t="n">
        <v>0.9572649572649572</v>
      </c>
      <c r="F3599" t="n">
        <v>0.955</v>
      </c>
      <c r="G3599" t="n">
        <v>1</v>
      </c>
      <c r="H3599" t="n">
        <v>312</v>
      </c>
      <c r="J3599" t="n">
        <v>0.75</v>
      </c>
      <c r="K3599" t="inlineStr">
        <is>
          <t>Advanced</t>
        </is>
      </c>
      <c r="M3599" t="inlineStr">
        <is>
          <t>Kristin Haase-Alvey</t>
        </is>
      </c>
      <c r="N3599" t="n">
        <v>0.9155825791855204</v>
      </c>
      <c r="O3599" t="n">
        <v>6.875</v>
      </c>
      <c r="P3599" t="n">
        <v>0.0429906542056074</v>
      </c>
    </row>
    <row r="3600">
      <c r="A3600" t="inlineStr">
        <is>
          <t>Jason Keller</t>
        </is>
      </c>
      <c r="B3600" t="inlineStr">
        <is>
          <t>8/9/26 - 9/5/26</t>
        </is>
      </c>
      <c r="C3600" t="n">
        <v>0.9708</v>
      </c>
      <c r="D3600" t="n">
        <v>1.1168</v>
      </c>
      <c r="E3600" t="n">
        <v>0.9732142857142856</v>
      </c>
      <c r="F3600" t="n">
        <v>0.986</v>
      </c>
      <c r="G3600" t="n">
        <v>1</v>
      </c>
      <c r="H3600" t="n">
        <v>50</v>
      </c>
      <c r="J3600" t="n">
        <v>1</v>
      </c>
      <c r="K3600" t="inlineStr">
        <is>
          <t>Premium</t>
        </is>
      </c>
      <c r="M3600" t="inlineStr">
        <is>
          <t>Kristin Haase-Alvey</t>
        </is>
      </c>
      <c r="N3600" t="n">
        <v>0.9041666666666668</v>
      </c>
      <c r="O3600" t="n">
        <v>6.916666666666667</v>
      </c>
      <c r="P3600" t="n">
        <v>0.0045662100456621</v>
      </c>
    </row>
    <row r="3601">
      <c r="A3601" t="inlineStr">
        <is>
          <t>Jason Noble</t>
        </is>
      </c>
      <c r="B3601" t="inlineStr">
        <is>
          <t>8/9/26 - 9/5/26</t>
        </is>
      </c>
      <c r="C3601" t="n">
        <v>0.7083</v>
      </c>
      <c r="D3601" t="n">
        <v>1.0345</v>
      </c>
      <c r="E3601" t="n">
        <v>0.9397590361445785</v>
      </c>
      <c r="F3601" t="n">
        <v>0.944</v>
      </c>
      <c r="G3601" t="n">
        <v>0.9047619047619048</v>
      </c>
      <c r="H3601" t="n">
        <v>184</v>
      </c>
      <c r="J3601" t="n">
        <v>0</v>
      </c>
      <c r="K3601" t="inlineStr">
        <is>
          <t>Distinguished</t>
        </is>
      </c>
      <c r="M3601" t="inlineStr">
        <is>
          <t>Kristin Haase-Alvey</t>
        </is>
      </c>
      <c r="N3601" t="n">
        <v>1</v>
      </c>
      <c r="O3601" t="n">
        <v>7.583333333333334</v>
      </c>
      <c r="P3601" t="n">
        <v>0.0786338028169014</v>
      </c>
    </row>
    <row r="3602">
      <c r="A3602" t="inlineStr">
        <is>
          <t>Jayna Boaz</t>
        </is>
      </c>
      <c r="B3602" t="inlineStr">
        <is>
          <t>8/9/26 - 9/5/26</t>
        </is>
      </c>
      <c r="C3602" t="n">
        <v>1.375</v>
      </c>
      <c r="D3602" t="n">
        <v>1.8789</v>
      </c>
      <c r="E3602" t="n">
        <v>0.8787878787878788</v>
      </c>
      <c r="F3602" t="n">
        <v>0.647</v>
      </c>
      <c r="G3602" t="n">
        <v>0.8181818181818182</v>
      </c>
      <c r="H3602" t="n">
        <v>148</v>
      </c>
      <c r="J3602" t="n">
        <v>0.3333333333333333</v>
      </c>
      <c r="K3602" t="inlineStr">
        <is>
          <t>Advanced</t>
        </is>
      </c>
      <c r="M3602" t="inlineStr">
        <is>
          <t>Ela Cross</t>
        </is>
      </c>
      <c r="N3602" t="n">
        <v>0.7555555555555555</v>
      </c>
      <c r="O3602" t="n">
        <v>6.3</v>
      </c>
      <c r="P3602" t="n">
        <v>0.0437147540983606</v>
      </c>
    </row>
    <row r="3603">
      <c r="A3603" t="inlineStr">
        <is>
          <t>Jenn Thompson</t>
        </is>
      </c>
      <c r="B3603" t="inlineStr">
        <is>
          <t>8/9/26 - 9/5/26</t>
        </is>
      </c>
      <c r="C3603" t="n">
        <v>0.9792</v>
      </c>
      <c r="D3603" t="n">
        <v>0.9922</v>
      </c>
      <c r="E3603" t="n">
        <v>1</v>
      </c>
      <c r="F3603" t="n">
        <v>0.903</v>
      </c>
      <c r="G3603" t="n">
        <v>0.8333333333333334</v>
      </c>
      <c r="H3603" t="n">
        <v>64</v>
      </c>
      <c r="J3603" t="n">
        <v>1</v>
      </c>
      <c r="K3603" t="inlineStr">
        <is>
          <t>Advanced</t>
        </is>
      </c>
      <c r="M3603" t="inlineStr">
        <is>
          <t>Kristin Haase-Alvey</t>
        </is>
      </c>
      <c r="N3603" t="n">
        <v>0.8070436507936508</v>
      </c>
      <c r="O3603" t="n">
        <v>4.75</v>
      </c>
      <c r="P3603" t="n">
        <v>0.006578947368421</v>
      </c>
    </row>
    <row r="3604">
      <c r="A3604" t="inlineStr">
        <is>
          <t>Jennifer Hernandez</t>
        </is>
      </c>
      <c r="B3604" t="inlineStr">
        <is>
          <t>8/9/26 - 9/5/26</t>
        </is>
      </c>
      <c r="C3604" t="n">
        <v>0.5875</v>
      </c>
      <c r="D3604" t="n">
        <v>0.8932</v>
      </c>
      <c r="E3604" t="n">
        <v>1</v>
      </c>
      <c r="F3604" t="n">
        <v>0.9379999999999999</v>
      </c>
      <c r="G3604" t="n">
        <v>0.875</v>
      </c>
      <c r="H3604" t="n">
        <v>54</v>
      </c>
      <c r="J3604" t="n">
        <v>1</v>
      </c>
      <c r="K3604" t="inlineStr">
        <is>
          <t>Distinguished</t>
        </is>
      </c>
      <c r="M3604" t="inlineStr">
        <is>
          <t>Kristin Haase-Alvey</t>
        </is>
      </c>
      <c r="N3604" t="n">
        <v>0.843939393939394</v>
      </c>
      <c r="O3604" t="n">
        <v>7.833333333333333</v>
      </c>
      <c r="P3604" t="n">
        <v>0.1874886363636363</v>
      </c>
    </row>
    <row r="3605">
      <c r="A3605" t="inlineStr">
        <is>
          <t>Jesse Squires</t>
        </is>
      </c>
      <c r="B3605" t="inlineStr">
        <is>
          <t>8/9/26 - 9/5/26</t>
        </is>
      </c>
      <c r="C3605" t="n">
        <v>0.8833</v>
      </c>
      <c r="D3605" t="n">
        <v>0.8997000000000001</v>
      </c>
      <c r="E3605" t="n">
        <v>1</v>
      </c>
      <c r="F3605" t="n">
        <v>0.957</v>
      </c>
      <c r="G3605" t="n">
        <v>0.88</v>
      </c>
      <c r="H3605" t="n">
        <v>192</v>
      </c>
      <c r="J3605" t="n">
        <v>1</v>
      </c>
      <c r="K3605" t="inlineStr">
        <is>
          <t>Distinguished</t>
        </is>
      </c>
      <c r="M3605" t="inlineStr">
        <is>
          <t>Kristin Haase-Alvey</t>
        </is>
      </c>
      <c r="N3605" t="n">
        <v>0.9644607843137254</v>
      </c>
      <c r="O3605" t="n">
        <v>6.866666666666667</v>
      </c>
      <c r="P3605" t="n">
        <v>0.0561009900990099</v>
      </c>
    </row>
    <row r="3606">
      <c r="A3606" t="inlineStr">
        <is>
          <t>Jessica Menkhus</t>
        </is>
      </c>
      <c r="B3606" t="inlineStr">
        <is>
          <t>8/9/26 - 9/5/26</t>
        </is>
      </c>
      <c r="C3606" t="n">
        <v>0.9583</v>
      </c>
      <c r="D3606" t="n">
        <v>1.1055</v>
      </c>
      <c r="E3606" t="n">
        <v>1</v>
      </c>
      <c r="F3606" t="n">
        <v>1</v>
      </c>
      <c r="G3606" t="n">
        <v>0.9090909090909092</v>
      </c>
      <c r="H3606" t="n">
        <v>30</v>
      </c>
      <c r="K3606" t="inlineStr">
        <is>
          <t>Premium</t>
        </is>
      </c>
      <c r="M3606" t="inlineStr">
        <is>
          <t>Ela Cross</t>
        </is>
      </c>
      <c r="N3606" t="n">
        <v>0.8785714285714286</v>
      </c>
      <c r="O3606" t="n">
        <v>7</v>
      </c>
      <c r="P3606" t="n">
        <v>0.1388888888888889</v>
      </c>
    </row>
    <row r="3607">
      <c r="A3607" t="inlineStr">
        <is>
          <t>Jessica Peterson</t>
        </is>
      </c>
      <c r="B3607" t="inlineStr">
        <is>
          <t>8/9/26 - 9/5/26</t>
        </is>
      </c>
      <c r="C3607" t="n">
        <v>1.1146</v>
      </c>
      <c r="D3607" t="n">
        <v>0.8905999999999999</v>
      </c>
      <c r="E3607" t="n">
        <v>0.9607843137254902</v>
      </c>
      <c r="F3607" t="n">
        <v>1</v>
      </c>
      <c r="G3607" t="n">
        <v>0.9090909090909092</v>
      </c>
      <c r="H3607" t="n">
        <v>26</v>
      </c>
      <c r="J3607" t="n">
        <v>1</v>
      </c>
      <c r="K3607" t="inlineStr">
        <is>
          <t>Premium</t>
        </is>
      </c>
      <c r="M3607" t="inlineStr">
        <is>
          <t>Annelies de Groot</t>
        </is>
      </c>
      <c r="N3607" t="n">
        <v>1</v>
      </c>
      <c r="O3607" t="n">
        <v>7</v>
      </c>
      <c r="P3607" t="n">
        <v>0.0231009900990099</v>
      </c>
    </row>
    <row r="3608">
      <c r="A3608" t="inlineStr">
        <is>
          <t>Jessica Wall</t>
        </is>
      </c>
      <c r="B3608" t="inlineStr">
        <is>
          <t>8/9/26 - 9/5/26</t>
        </is>
      </c>
      <c r="C3608" t="n">
        <v>0.9583</v>
      </c>
      <c r="D3608" t="n">
        <v>1.148</v>
      </c>
      <c r="E3608" t="n">
        <v>1</v>
      </c>
      <c r="F3608" t="n">
        <v>0.95</v>
      </c>
      <c r="G3608" t="n">
        <v>0.8636363636363636</v>
      </c>
      <c r="H3608" t="n">
        <v>228</v>
      </c>
      <c r="J3608" t="n">
        <v>1</v>
      </c>
      <c r="K3608" t="inlineStr">
        <is>
          <t>Distinguished</t>
        </is>
      </c>
      <c r="M3608" t="inlineStr">
        <is>
          <t>Kristin Haase-Alvey</t>
        </is>
      </c>
      <c r="N3608" t="n">
        <v>1</v>
      </c>
      <c r="O3608" t="n">
        <v>7.444444444444444</v>
      </c>
    </row>
    <row r="3609">
      <c r="A3609" t="inlineStr">
        <is>
          <t>Jill Watson</t>
        </is>
      </c>
      <c r="B3609" t="inlineStr">
        <is>
          <t>8/9/26 - 9/5/26</t>
        </is>
      </c>
      <c r="C3609" t="n">
        <v>0.9357</v>
      </c>
      <c r="D3609" t="n">
        <v>1.0422</v>
      </c>
      <c r="E3609" t="n">
        <v>1</v>
      </c>
      <c r="F3609" t="n">
        <v>0.955</v>
      </c>
      <c r="G3609" t="n">
        <v>0.8846153846153846</v>
      </c>
      <c r="H3609" t="n">
        <v>300</v>
      </c>
      <c r="J3609" t="n">
        <v>1</v>
      </c>
      <c r="K3609" t="inlineStr">
        <is>
          <t>Distinguished</t>
        </is>
      </c>
      <c r="M3609" t="inlineStr">
        <is>
          <t>Ian Plamondon</t>
        </is>
      </c>
      <c r="N3609" t="n">
        <v>1</v>
      </c>
      <c r="O3609" t="n">
        <v>3.902777777777778</v>
      </c>
      <c r="P3609" t="n">
        <v>0.0641025641025641</v>
      </c>
    </row>
    <row r="3610">
      <c r="A3610" t="inlineStr">
        <is>
          <t>Jimmy Works</t>
        </is>
      </c>
      <c r="B3610" t="inlineStr">
        <is>
          <t>8/9/26 - 9/5/26</t>
        </is>
      </c>
      <c r="C3610" t="n">
        <v>0.8333</v>
      </c>
      <c r="D3610" t="n">
        <v>1.2031</v>
      </c>
      <c r="E3610" t="n">
        <v>0.9714285714285714</v>
      </c>
      <c r="F3610" t="n">
        <v>0.962</v>
      </c>
      <c r="G3610" t="n">
        <v>1</v>
      </c>
      <c r="H3610" t="n">
        <v>4</v>
      </c>
      <c r="J3610" t="n">
        <v>0</v>
      </c>
      <c r="K3610" t="inlineStr">
        <is>
          <t>Distinguished</t>
        </is>
      </c>
      <c r="M3610" t="inlineStr">
        <is>
          <t>Kristin Haase-Alvey</t>
        </is>
      </c>
      <c r="N3610" t="n">
        <v>1</v>
      </c>
      <c r="O3610" t="n">
        <v>7.833333333333334</v>
      </c>
      <c r="P3610" t="n">
        <v>0.1818181818181818</v>
      </c>
    </row>
    <row r="3611">
      <c r="A3611" t="inlineStr">
        <is>
          <t>JoAnna Daniels</t>
        </is>
      </c>
      <c r="B3611" t="inlineStr">
        <is>
          <t>8/9/26 - 9/5/26</t>
        </is>
      </c>
      <c r="C3611" t="n">
        <v>0</v>
      </c>
      <c r="D3611" t="n">
        <v>0.4474</v>
      </c>
      <c r="H3611" t="n">
        <v>0</v>
      </c>
      <c r="K3611" t="inlineStr">
        <is>
          <t>Distinguished</t>
        </is>
      </c>
      <c r="M3611" t="inlineStr">
        <is>
          <t>Katherine Marino</t>
        </is>
      </c>
    </row>
    <row r="3612">
      <c r="A3612" t="inlineStr">
        <is>
          <t>Joe Bogdan</t>
        </is>
      </c>
      <c r="B3612" t="inlineStr">
        <is>
          <t>8/9/26 - 9/5/26</t>
        </is>
      </c>
      <c r="C3612" t="n">
        <v>0</v>
      </c>
      <c r="D3612" t="n">
        <v>0.2478</v>
      </c>
      <c r="H3612" t="n">
        <v>0</v>
      </c>
      <c r="K3612" t="inlineStr">
        <is>
          <t>Distinguished</t>
        </is>
      </c>
      <c r="M3612" t="inlineStr">
        <is>
          <t>Katherine Marino</t>
        </is>
      </c>
    </row>
    <row r="3613">
      <c r="A3613" t="inlineStr">
        <is>
          <t>John Licitra</t>
        </is>
      </c>
      <c r="B3613" t="inlineStr">
        <is>
          <t>8/9/26 - 9/5/26</t>
        </is>
      </c>
      <c r="C3613" t="n">
        <v>0.7583</v>
      </c>
      <c r="D3613" t="n">
        <v>1.0461</v>
      </c>
      <c r="E3613" t="n">
        <v>0.9886363636363636</v>
      </c>
      <c r="F3613" t="n">
        <v>0.87</v>
      </c>
      <c r="G3613" t="n">
        <v>0.5384615384615384</v>
      </c>
      <c r="H3613" t="n">
        <v>140</v>
      </c>
      <c r="J3613" t="n">
        <v>0.3333333333333333</v>
      </c>
      <c r="K3613" t="inlineStr">
        <is>
          <t>Distinguished</t>
        </is>
      </c>
      <c r="M3613" t="inlineStr">
        <is>
          <t>Geoff St. Marie</t>
        </is>
      </c>
      <c r="N3613" t="n">
        <v>1</v>
      </c>
      <c r="O3613" t="n">
        <v>7.722222222222222</v>
      </c>
      <c r="P3613" t="n">
        <v>0.0625</v>
      </c>
    </row>
    <row r="3614">
      <c r="A3614" t="inlineStr">
        <is>
          <t>John Olmos</t>
        </is>
      </c>
      <c r="B3614" t="inlineStr">
        <is>
          <t>8/9/26 - 9/5/26</t>
        </is>
      </c>
      <c r="C3614" t="n">
        <v>1.125</v>
      </c>
      <c r="D3614" t="n">
        <v>1.2993</v>
      </c>
      <c r="E3614" t="n">
        <v>1</v>
      </c>
      <c r="F3614" t="n">
        <v>0.987</v>
      </c>
      <c r="G3614" t="n">
        <v>0.7666666666666667</v>
      </c>
      <c r="H3614" t="n">
        <v>49</v>
      </c>
      <c r="J3614" t="n">
        <v>0.6666666666666666</v>
      </c>
      <c r="K3614" t="inlineStr">
        <is>
          <t>Distinguished</t>
        </is>
      </c>
      <c r="M3614" t="inlineStr">
        <is>
          <t>Geoff St. Marie</t>
        </is>
      </c>
      <c r="N3614" t="n">
        <v>0.9772727272727272</v>
      </c>
      <c r="O3614" t="n">
        <v>6.866666666666667</v>
      </c>
      <c r="P3614" t="n">
        <v>0.0736434108527131</v>
      </c>
    </row>
    <row r="3615">
      <c r="A3615" t="inlineStr">
        <is>
          <t>John Salcedo</t>
        </is>
      </c>
      <c r="B3615" t="inlineStr">
        <is>
          <t>8/9/26 - 9/5/26</t>
        </is>
      </c>
      <c r="C3615" t="n">
        <v>1.0214</v>
      </c>
      <c r="D3615" t="n">
        <v>1.0378</v>
      </c>
      <c r="E3615" t="n">
        <v>0.9411764705882352</v>
      </c>
      <c r="F3615" t="n">
        <v>0.973</v>
      </c>
      <c r="G3615" t="n">
        <v>0.0384615384615384</v>
      </c>
      <c r="H3615" t="n">
        <v>188</v>
      </c>
      <c r="J3615" t="n">
        <v>0</v>
      </c>
      <c r="K3615" t="inlineStr">
        <is>
          <t>Distinguished</t>
        </is>
      </c>
      <c r="M3615" t="inlineStr">
        <is>
          <t>Ela Cross</t>
        </is>
      </c>
      <c r="N3615" t="n">
        <v>0.7908549783549783</v>
      </c>
    </row>
    <row r="3616">
      <c r="A3616" t="inlineStr">
        <is>
          <t>Jon Cathapermal</t>
        </is>
      </c>
      <c r="B3616" t="inlineStr">
        <is>
          <t>8/9/26 - 9/5/26</t>
        </is>
      </c>
      <c r="C3616" t="n">
        <v>0.8643</v>
      </c>
      <c r="D3616" t="n">
        <v>0.8823</v>
      </c>
      <c r="E3616" t="n">
        <v>0.9666666666666668</v>
      </c>
      <c r="F3616" t="n">
        <v>0.846</v>
      </c>
      <c r="G3616" t="n">
        <v>0.8461538461538461</v>
      </c>
      <c r="H3616" t="n">
        <v>152</v>
      </c>
      <c r="J3616" t="n">
        <v>1</v>
      </c>
      <c r="K3616" t="inlineStr">
        <is>
          <t>Distinguished</t>
        </is>
      </c>
      <c r="M3616" t="inlineStr">
        <is>
          <t>Geoff St. Marie</t>
        </is>
      </c>
      <c r="N3616" t="n">
        <v>0.9606060606060606</v>
      </c>
      <c r="O3616" t="n">
        <v>7.791666666666667</v>
      </c>
      <c r="P3616" t="n">
        <v>0.0714285714285714</v>
      </c>
    </row>
    <row r="3617">
      <c r="A3617" t="inlineStr">
        <is>
          <t>Joyraj D'souza</t>
        </is>
      </c>
      <c r="B3617" t="inlineStr">
        <is>
          <t>8/9/26 - 9/5/26</t>
        </is>
      </c>
      <c r="C3617" t="n">
        <v>0.7708</v>
      </c>
      <c r="D3617" t="n">
        <v>1.0547</v>
      </c>
      <c r="E3617" t="n">
        <v>0.9696969696969696</v>
      </c>
      <c r="F3617" t="n">
        <v>1</v>
      </c>
      <c r="G3617" t="n">
        <v>1</v>
      </c>
      <c r="H3617" t="n">
        <v>24</v>
      </c>
      <c r="J3617" t="n">
        <v>1</v>
      </c>
      <c r="K3617" t="inlineStr">
        <is>
          <t>Distinguished</t>
        </is>
      </c>
      <c r="M3617" t="inlineStr">
        <is>
          <t>Kristin Haase-Alvey</t>
        </is>
      </c>
      <c r="N3617" t="n">
        <v>1</v>
      </c>
      <c r="O3617" t="n">
        <v>4.625</v>
      </c>
      <c r="P3617" t="n">
        <v>0.0285714285714285</v>
      </c>
    </row>
    <row r="3618">
      <c r="A3618" t="inlineStr">
        <is>
          <t>Juan Nunez</t>
        </is>
      </c>
      <c r="B3618" t="inlineStr">
        <is>
          <t>8/9/26 - 9/5/26</t>
        </is>
      </c>
      <c r="C3618" t="n">
        <v>0.8417</v>
      </c>
      <c r="D3618" t="n">
        <v>1.0609</v>
      </c>
      <c r="E3618" t="n">
        <v>1</v>
      </c>
      <c r="F3618" t="n">
        <v>1</v>
      </c>
      <c r="G3618" t="n">
        <v>0.64</v>
      </c>
      <c r="H3618" t="n">
        <v>220</v>
      </c>
      <c r="J3618" t="n">
        <v>1</v>
      </c>
      <c r="K3618" t="inlineStr">
        <is>
          <t>Distinguished</t>
        </is>
      </c>
      <c r="M3618" t="inlineStr">
        <is>
          <t>Kristin Haase-Alvey</t>
        </is>
      </c>
      <c r="N3618" t="n">
        <v>1</v>
      </c>
      <c r="O3618" t="n">
        <v>7</v>
      </c>
      <c r="P3618" t="n">
        <v>0.085121505376344</v>
      </c>
    </row>
    <row r="3619">
      <c r="A3619" t="inlineStr">
        <is>
          <t>Judi Abo Hana</t>
        </is>
      </c>
      <c r="B3619" t="inlineStr">
        <is>
          <t>8/9/26 - 9/5/26</t>
        </is>
      </c>
      <c r="C3619" t="n">
        <v>1.375</v>
      </c>
      <c r="D3619" t="n">
        <v>1.4479</v>
      </c>
      <c r="E3619" t="n">
        <v>1</v>
      </c>
      <c r="F3619" t="n">
        <v>0.929</v>
      </c>
      <c r="G3619" t="n">
        <v>0.7037037037037037</v>
      </c>
      <c r="H3619" t="n">
        <v>236</v>
      </c>
      <c r="J3619" t="n">
        <v>0.6363636363636364</v>
      </c>
      <c r="K3619" t="inlineStr">
        <is>
          <t>Advanced</t>
        </is>
      </c>
      <c r="M3619" t="inlineStr">
        <is>
          <t>Geoff St. Marie</t>
        </is>
      </c>
      <c r="N3619" t="n">
        <v>0.910507792860734</v>
      </c>
      <c r="O3619" t="n">
        <v>5.5</v>
      </c>
    </row>
    <row r="3620">
      <c r="A3620" t="inlineStr">
        <is>
          <t>Julia Saderholm</t>
        </is>
      </c>
      <c r="B3620" t="inlineStr">
        <is>
          <t>8/9/26 - 9/5/26</t>
        </is>
      </c>
      <c r="C3620" t="n">
        <v>0.9417</v>
      </c>
      <c r="D3620" t="n">
        <v>1.0921</v>
      </c>
      <c r="E3620" t="n">
        <v>1</v>
      </c>
      <c r="F3620" t="n">
        <v>0.676</v>
      </c>
      <c r="G3620" t="n">
        <v>0.25</v>
      </c>
      <c r="H3620" t="n">
        <v>197</v>
      </c>
      <c r="J3620" t="n">
        <v>0.5</v>
      </c>
      <c r="K3620" t="inlineStr">
        <is>
          <t>Distinguished</t>
        </is>
      </c>
      <c r="M3620" t="inlineStr">
        <is>
          <t>Ela Cross</t>
        </is>
      </c>
      <c r="N3620" t="n">
        <v>0.9807692307692308</v>
      </c>
      <c r="O3620" t="n">
        <v>6</v>
      </c>
      <c r="P3620" t="n">
        <v>0.0909090909090909</v>
      </c>
    </row>
    <row r="3621">
      <c r="A3621" t="inlineStr">
        <is>
          <t>Julie Byrom</t>
        </is>
      </c>
      <c r="B3621" t="inlineStr">
        <is>
          <t>8/9/26 - 9/5/26</t>
        </is>
      </c>
      <c r="C3621" t="n">
        <v>0.9333</v>
      </c>
      <c r="D3621" t="n">
        <v>1.0444</v>
      </c>
      <c r="E3621" t="n">
        <v>1</v>
      </c>
      <c r="F3621" t="n">
        <v>1</v>
      </c>
      <c r="G3621" t="n">
        <v>1</v>
      </c>
      <c r="H3621" t="n">
        <v>18</v>
      </c>
      <c r="J3621" t="n">
        <v>1</v>
      </c>
      <c r="K3621" t="inlineStr">
        <is>
          <t>Premium</t>
        </is>
      </c>
      <c r="M3621" t="inlineStr">
        <is>
          <t>Ela Cross</t>
        </is>
      </c>
      <c r="N3621" t="n">
        <v>0.9791666666666666</v>
      </c>
      <c r="O3621" t="n">
        <v>6.083333333333333</v>
      </c>
      <c r="P3621" t="n">
        <v>0.05198623853211</v>
      </c>
    </row>
    <row r="3622">
      <c r="A3622" t="inlineStr">
        <is>
          <t>Justin Hill</t>
        </is>
      </c>
      <c r="B3622" t="inlineStr">
        <is>
          <t>8/9/26 - 9/5/26</t>
        </is>
      </c>
      <c r="C3622" t="n">
        <v>1.025</v>
      </c>
      <c r="D3622" t="n">
        <v>0.9852</v>
      </c>
      <c r="E3622" t="n">
        <v>1</v>
      </c>
      <c r="F3622" t="n">
        <v>0.786</v>
      </c>
      <c r="G3622" t="n">
        <v>0.8928571428571429</v>
      </c>
      <c r="H3622" t="n">
        <v>172</v>
      </c>
      <c r="J3622" t="n">
        <v>0.75</v>
      </c>
      <c r="K3622" t="inlineStr">
        <is>
          <t>Distinguished</t>
        </is>
      </c>
      <c r="M3622" t="inlineStr">
        <is>
          <t>Kristin Haase-Alvey</t>
        </is>
      </c>
      <c r="N3622" t="n">
        <v>1</v>
      </c>
      <c r="O3622" t="n">
        <v>5.75</v>
      </c>
      <c r="P3622" t="n">
        <v>0.0986833333333333</v>
      </c>
    </row>
    <row r="3623">
      <c r="A3623" t="inlineStr">
        <is>
          <t>Kailot Harris</t>
        </is>
      </c>
      <c r="B3623" t="inlineStr">
        <is>
          <t>8/9/26 - 9/5/26</t>
        </is>
      </c>
      <c r="C3623" t="n">
        <v>0.8643</v>
      </c>
      <c r="D3623" t="n">
        <v>0.8619</v>
      </c>
      <c r="E3623" t="n">
        <v>1</v>
      </c>
      <c r="F3623" t="n">
        <v>1</v>
      </c>
      <c r="G3623" t="n">
        <v>0.8888888888888888</v>
      </c>
      <c r="H3623" t="n">
        <v>196</v>
      </c>
      <c r="J3623" t="n">
        <v>0.5</v>
      </c>
      <c r="K3623" t="inlineStr">
        <is>
          <t>Distinguished</t>
        </is>
      </c>
      <c r="M3623" t="inlineStr">
        <is>
          <t>Kristin Haase-Alvey</t>
        </is>
      </c>
      <c r="N3623" t="n">
        <v>0.9739304812834224</v>
      </c>
      <c r="O3623" t="n">
        <v>8.5</v>
      </c>
      <c r="P3623" t="n">
        <v>0.155793488372093</v>
      </c>
    </row>
    <row r="3624">
      <c r="A3624" t="inlineStr">
        <is>
          <t>Karleigh Arrington</t>
        </is>
      </c>
      <c r="B3624" t="inlineStr">
        <is>
          <t>8/9/26 - 9/5/26</t>
        </is>
      </c>
      <c r="C3624" t="n">
        <v>1.0333</v>
      </c>
      <c r="D3624" t="n">
        <v>0.9441000000000001</v>
      </c>
      <c r="E3624" t="n">
        <v>1</v>
      </c>
      <c r="F3624" t="n">
        <v>0.974</v>
      </c>
      <c r="G3624" t="n">
        <v>0.9032258064516128</v>
      </c>
      <c r="H3624" t="n">
        <v>208</v>
      </c>
      <c r="J3624" t="n">
        <v>0.8888888888888888</v>
      </c>
      <c r="K3624" t="inlineStr">
        <is>
          <t>Distinguished</t>
        </is>
      </c>
      <c r="M3624" t="inlineStr">
        <is>
          <t>Annelies de Groot</t>
        </is>
      </c>
      <c r="N3624" t="n">
        <v>0.9852941176470588</v>
      </c>
      <c r="O3624" t="n">
        <v>7</v>
      </c>
    </row>
    <row r="3625">
      <c r="A3625" t="inlineStr">
        <is>
          <t>Kate Haldeman</t>
        </is>
      </c>
      <c r="B3625" t="inlineStr">
        <is>
          <t>8/9/26 - 9/5/26</t>
        </is>
      </c>
      <c r="C3625" t="n">
        <v>0.8714</v>
      </c>
      <c r="D3625" t="n">
        <v>1.125</v>
      </c>
      <c r="E3625" t="n">
        <v>0.9824561403508772</v>
      </c>
      <c r="F3625" t="n">
        <v>0.987</v>
      </c>
      <c r="G3625" t="n">
        <v>0.9375</v>
      </c>
      <c r="H3625" t="n">
        <v>336</v>
      </c>
      <c r="J3625" t="n">
        <v>0</v>
      </c>
      <c r="K3625" t="inlineStr">
        <is>
          <t>Advanced</t>
        </is>
      </c>
      <c r="M3625" t="inlineStr">
        <is>
          <t>Geoff St. Marie</t>
        </is>
      </c>
      <c r="N3625" t="n">
        <v>1</v>
      </c>
      <c r="O3625" t="n">
        <v>4.886243386243386</v>
      </c>
      <c r="P3625" t="n">
        <v>0.0318181818181818</v>
      </c>
    </row>
    <row r="3626">
      <c r="A3626" t="inlineStr">
        <is>
          <t>Katherine Clarke</t>
        </is>
      </c>
      <c r="B3626" t="inlineStr">
        <is>
          <t>8/9/26 - 9/5/26</t>
        </is>
      </c>
      <c r="C3626" t="n">
        <v>0.8417</v>
      </c>
      <c r="D3626" t="n">
        <v>0.7368</v>
      </c>
      <c r="E3626" t="n">
        <v>1</v>
      </c>
      <c r="F3626" t="n">
        <v>1</v>
      </c>
      <c r="G3626" t="n">
        <v>1</v>
      </c>
      <c r="H3626" t="n">
        <v>104</v>
      </c>
      <c r="J3626" t="n">
        <v>0.8333333333333334</v>
      </c>
      <c r="K3626" t="inlineStr">
        <is>
          <t>Distinguished</t>
        </is>
      </c>
      <c r="M3626" t="inlineStr">
        <is>
          <t>Kristin Haase-Alvey</t>
        </is>
      </c>
      <c r="N3626" t="n">
        <v>0.9350490196078431</v>
      </c>
      <c r="O3626" t="n">
        <v>5.925</v>
      </c>
      <c r="P3626" t="n">
        <v>0.0412371134020618</v>
      </c>
    </row>
    <row r="3627">
      <c r="A3627" t="inlineStr">
        <is>
          <t>Katherine Dickerson</t>
        </is>
      </c>
      <c r="B3627" t="inlineStr">
        <is>
          <t>8/9/26 - 9/5/26</t>
        </is>
      </c>
      <c r="C3627" t="n">
        <v>1.1</v>
      </c>
      <c r="D3627" t="n">
        <v>1.1464</v>
      </c>
      <c r="E3627" t="n">
        <v>1</v>
      </c>
      <c r="F3627" t="n">
        <v>0.882</v>
      </c>
      <c r="G3627" t="n">
        <v>0.8333333333333334</v>
      </c>
      <c r="H3627" t="n">
        <v>213</v>
      </c>
      <c r="J3627" t="n">
        <v>0</v>
      </c>
      <c r="K3627" t="inlineStr">
        <is>
          <t>Premium</t>
        </is>
      </c>
      <c r="M3627" t="inlineStr">
        <is>
          <t>Geoff St. Marie</t>
        </is>
      </c>
      <c r="N3627" t="n">
        <v>0.97140522875817</v>
      </c>
      <c r="O3627" t="n">
        <v>7.083333333333333</v>
      </c>
      <c r="P3627" t="n">
        <v>0.0310077519379844</v>
      </c>
    </row>
    <row r="3628">
      <c r="A3628" t="inlineStr">
        <is>
          <t>Kiersten Guetlein</t>
        </is>
      </c>
      <c r="B3628" t="inlineStr">
        <is>
          <t>8/9/26 - 9/5/26</t>
        </is>
      </c>
      <c r="C3628" t="n">
        <v>1.1708</v>
      </c>
      <c r="D3628" t="n">
        <v>1.0938</v>
      </c>
      <c r="E3628" t="n">
        <v>0.984126984126984</v>
      </c>
      <c r="F3628" t="n">
        <v>0.965</v>
      </c>
      <c r="G3628" t="n">
        <v>0.7666666666666667</v>
      </c>
      <c r="H3628" t="n">
        <v>117</v>
      </c>
      <c r="J3628" t="n">
        <v>1</v>
      </c>
      <c r="K3628" t="inlineStr">
        <is>
          <t>Premium</t>
        </is>
      </c>
      <c r="M3628" t="inlineStr">
        <is>
          <t>Ela Cross</t>
        </is>
      </c>
      <c r="N3628" t="n">
        <v>0.8058565531475749</v>
      </c>
      <c r="O3628" t="n">
        <v>7.555555555555556</v>
      </c>
      <c r="P3628" t="n">
        <v>0.0228136882129277</v>
      </c>
    </row>
    <row r="3629">
      <c r="A3629" t="inlineStr">
        <is>
          <t>Kristen Fox</t>
        </is>
      </c>
      <c r="B3629" t="inlineStr">
        <is>
          <t>8/9/26 - 9/5/26</t>
        </is>
      </c>
      <c r="C3629" t="n">
        <v>0.9958</v>
      </c>
      <c r="D3629" t="n">
        <v>0.9308999999999999</v>
      </c>
      <c r="E3629" t="n">
        <v>0.8833333333333333</v>
      </c>
      <c r="F3629" t="n">
        <v>0.975</v>
      </c>
      <c r="G3629" t="n">
        <v>0.84375</v>
      </c>
      <c r="H3629" t="n">
        <v>408</v>
      </c>
      <c r="J3629" t="n">
        <v>0.5</v>
      </c>
      <c r="K3629" t="inlineStr">
        <is>
          <t>Distinguished</t>
        </is>
      </c>
      <c r="M3629" t="inlineStr">
        <is>
          <t>Kristin Haase-Alvey</t>
        </is>
      </c>
      <c r="N3629" t="n">
        <v>0.9586834733893556</v>
      </c>
      <c r="O3629" t="n">
        <v>7.8</v>
      </c>
      <c r="P3629" t="n">
        <v>0.1309973799126637</v>
      </c>
    </row>
    <row r="3630">
      <c r="A3630" t="inlineStr">
        <is>
          <t>Kristen Luigart</t>
        </is>
      </c>
      <c r="B3630" t="inlineStr">
        <is>
          <t>8/9/26 - 9/5/26</t>
        </is>
      </c>
      <c r="C3630" t="n">
        <v>0.8333</v>
      </c>
      <c r="D3630" t="n">
        <v>1.125</v>
      </c>
      <c r="E3630" t="n">
        <v>0.75</v>
      </c>
      <c r="F3630" t="n">
        <v>0.6840000000000001</v>
      </c>
      <c r="G3630" t="n">
        <v>0.6666666666666666</v>
      </c>
      <c r="H3630" t="n">
        <v>53</v>
      </c>
      <c r="J3630" t="n">
        <v>0.5</v>
      </c>
      <c r="K3630" t="inlineStr">
        <is>
          <t>Distinguished</t>
        </is>
      </c>
      <c r="M3630" t="inlineStr">
        <is>
          <t>Ian Plamondon</t>
        </is>
      </c>
      <c r="N3630" t="n">
        <v>0.8392857142857143</v>
      </c>
      <c r="O3630" t="n">
        <v>6.4</v>
      </c>
      <c r="P3630" t="n">
        <v>0.0240934782608695</v>
      </c>
    </row>
    <row r="3631">
      <c r="A3631" t="inlineStr">
        <is>
          <t>Lana Kargetta</t>
        </is>
      </c>
      <c r="B3631" t="inlineStr">
        <is>
          <t>8/9/26 - 9/5/26</t>
        </is>
      </c>
      <c r="C3631" t="n">
        <v>0.8958</v>
      </c>
      <c r="D3631" t="n">
        <v>1.1328</v>
      </c>
      <c r="E3631" t="n">
        <v>0.9534883720930232</v>
      </c>
      <c r="F3631" t="n">
        <v>0.758</v>
      </c>
      <c r="G3631" t="n">
        <v>1</v>
      </c>
      <c r="H3631" t="n">
        <v>144</v>
      </c>
      <c r="J3631" t="n">
        <v>0</v>
      </c>
      <c r="K3631" t="inlineStr">
        <is>
          <t>Advanced</t>
        </is>
      </c>
      <c r="M3631" t="inlineStr">
        <is>
          <t>Geoff St. Marie</t>
        </is>
      </c>
      <c r="N3631" t="n">
        <v>0.9583333333333334</v>
      </c>
      <c r="O3631" t="n">
        <v>6</v>
      </c>
      <c r="P3631" t="n">
        <v>0.0576923076923076</v>
      </c>
    </row>
    <row r="3632">
      <c r="A3632" t="inlineStr">
        <is>
          <t>Levi Fox</t>
        </is>
      </c>
      <c r="B3632" t="inlineStr">
        <is>
          <t>8/9/26 - 9/5/26</t>
        </is>
      </c>
      <c r="C3632" t="n">
        <v>0.6292</v>
      </c>
      <c r="D3632" t="n">
        <v>0.7171</v>
      </c>
      <c r="E3632" t="n">
        <v>0.953125</v>
      </c>
      <c r="F3632" t="n">
        <v>0.872</v>
      </c>
      <c r="G3632" t="n">
        <v>0.6428571428571429</v>
      </c>
      <c r="H3632" t="n">
        <v>22</v>
      </c>
      <c r="J3632" t="n">
        <v>1</v>
      </c>
      <c r="K3632" t="inlineStr">
        <is>
          <t>Premium</t>
        </is>
      </c>
      <c r="M3632" t="inlineStr">
        <is>
          <t>Geoff St. Marie</t>
        </is>
      </c>
      <c r="N3632" t="n">
        <v>0.8717948717948718</v>
      </c>
    </row>
    <row r="3633">
      <c r="A3633" t="inlineStr">
        <is>
          <t>Lisa Bartle</t>
        </is>
      </c>
      <c r="B3633" t="inlineStr">
        <is>
          <t>8/9/26 - 9/5/26</t>
        </is>
      </c>
      <c r="C3633" t="n">
        <v>1.1875</v>
      </c>
      <c r="D3633" t="n">
        <v>1.2891</v>
      </c>
      <c r="E3633" t="n">
        <v>0.9285714285714286</v>
      </c>
      <c r="F3633" t="n">
        <v>0.864</v>
      </c>
      <c r="G3633" t="n">
        <v>0.9166666666666666</v>
      </c>
      <c r="H3633" t="n">
        <v>26</v>
      </c>
      <c r="J3633" t="n">
        <v>0</v>
      </c>
      <c r="K3633" t="inlineStr">
        <is>
          <t>Premium</t>
        </is>
      </c>
      <c r="M3633" t="inlineStr">
        <is>
          <t>Annelies de Groot</t>
        </is>
      </c>
      <c r="N3633" t="n">
        <v>0.3916666666666666</v>
      </c>
    </row>
    <row r="3634">
      <c r="A3634" t="inlineStr">
        <is>
          <t>Liz Garcia</t>
        </is>
      </c>
      <c r="B3634" t="inlineStr">
        <is>
          <t>8/9/26 - 9/5/26</t>
        </is>
      </c>
      <c r="C3634" t="n">
        <v>0.8917</v>
      </c>
      <c r="D3634" t="n">
        <v>1.1382</v>
      </c>
      <c r="E3634" t="n">
        <v>1</v>
      </c>
      <c r="F3634" t="n">
        <v>1</v>
      </c>
      <c r="G3634" t="n">
        <v>0.8823529411764706</v>
      </c>
      <c r="H3634" t="n">
        <v>270</v>
      </c>
      <c r="J3634" t="n">
        <v>0.6666666666666666</v>
      </c>
      <c r="K3634" t="inlineStr">
        <is>
          <t>Distinguished</t>
        </is>
      </c>
      <c r="M3634" t="inlineStr">
        <is>
          <t>Geoff St. Marie</t>
        </is>
      </c>
      <c r="N3634" t="n">
        <v>0.9651442307692308</v>
      </c>
      <c r="O3634" t="n">
        <v>4.133333333333334</v>
      </c>
    </row>
    <row r="3635">
      <c r="A3635" t="inlineStr">
        <is>
          <t>Liz Pirie</t>
        </is>
      </c>
      <c r="B3635" t="inlineStr">
        <is>
          <t>8/9/26 - 9/5/26</t>
        </is>
      </c>
      <c r="C3635" t="n">
        <v>0.9583</v>
      </c>
      <c r="D3635" t="n">
        <v>1.0822</v>
      </c>
      <c r="E3635" t="n">
        <v>1</v>
      </c>
      <c r="F3635" t="n">
        <v>0.9429999999999999</v>
      </c>
      <c r="G3635" t="n">
        <v>0.9230769230769232</v>
      </c>
      <c r="H3635" t="n">
        <v>62</v>
      </c>
      <c r="J3635" t="n">
        <v>1</v>
      </c>
      <c r="K3635" t="inlineStr">
        <is>
          <t>Premium</t>
        </is>
      </c>
      <c r="M3635" t="inlineStr">
        <is>
          <t>Kristin Haase-Alvey</t>
        </is>
      </c>
      <c r="N3635" t="n">
        <v>0.8674242424242424</v>
      </c>
      <c r="O3635" t="n">
        <v>8.083333333333334</v>
      </c>
      <c r="P3635" t="n">
        <v>0.0023148148148148</v>
      </c>
    </row>
    <row r="3636">
      <c r="A3636" t="inlineStr">
        <is>
          <t>Loren Lijewski</t>
        </is>
      </c>
      <c r="B3636" t="inlineStr">
        <is>
          <t>8/9/26 - 9/5/26</t>
        </is>
      </c>
      <c r="C3636" t="n">
        <v>0.9375</v>
      </c>
      <c r="D3636" t="n">
        <v>1.0391</v>
      </c>
      <c r="E3636" t="n">
        <v>1</v>
      </c>
      <c r="F3636" t="n">
        <v>1</v>
      </c>
      <c r="G3636" t="n">
        <v>0.8333333333333334</v>
      </c>
      <c r="H3636" t="n">
        <v>132</v>
      </c>
      <c r="J3636" t="n">
        <v>0.5</v>
      </c>
      <c r="K3636" t="inlineStr">
        <is>
          <t>Advanced</t>
        </is>
      </c>
      <c r="M3636" t="inlineStr">
        <is>
          <t>Annelies de Groot</t>
        </is>
      </c>
      <c r="N3636" t="n">
        <v>0.9772727272727272</v>
      </c>
      <c r="O3636" t="n">
        <v>8.333333333333334</v>
      </c>
      <c r="P3636" t="n">
        <v>0.0083325</v>
      </c>
    </row>
    <row r="3637">
      <c r="A3637" t="inlineStr">
        <is>
          <t>Machaela Verhage</t>
        </is>
      </c>
      <c r="B3637" t="inlineStr">
        <is>
          <t>8/9/26 - 9/5/26</t>
        </is>
      </c>
      <c r="C3637" t="n">
        <v>0.5958</v>
      </c>
      <c r="D3637" t="n">
        <v>0.9688</v>
      </c>
      <c r="E3637" t="n">
        <v>1</v>
      </c>
      <c r="F3637" t="n">
        <v>1</v>
      </c>
      <c r="G3637" t="n">
        <v>0.5714285714285714</v>
      </c>
      <c r="H3637" t="n">
        <v>27</v>
      </c>
      <c r="J3637" t="n">
        <v>0.5</v>
      </c>
      <c r="K3637" t="inlineStr">
        <is>
          <t>Premium</t>
        </is>
      </c>
      <c r="M3637" t="inlineStr">
        <is>
          <t>Annelies de Groot</t>
        </is>
      </c>
      <c r="N3637" t="n">
        <v>1</v>
      </c>
      <c r="O3637" t="n">
        <v>5</v>
      </c>
    </row>
    <row r="3638">
      <c r="A3638" t="inlineStr">
        <is>
          <t>Madia Banda</t>
        </is>
      </c>
      <c r="B3638" t="inlineStr">
        <is>
          <t>8/9/26 - 9/5/26</t>
        </is>
      </c>
      <c r="C3638" t="n">
        <v>0.7286</v>
      </c>
      <c r="D3638" t="n">
        <v>1.0291</v>
      </c>
      <c r="E3638" t="n">
        <v>0.9895833333333334</v>
      </c>
      <c r="F3638" t="n">
        <v>0.902</v>
      </c>
      <c r="G3638" t="n">
        <v>1</v>
      </c>
      <c r="H3638" t="n">
        <v>308</v>
      </c>
      <c r="J3638" t="n">
        <v>0.75</v>
      </c>
      <c r="K3638" t="inlineStr">
        <is>
          <t>Advanced</t>
        </is>
      </c>
      <c r="M3638" t="inlineStr">
        <is>
          <t>Geoff St. Marie</t>
        </is>
      </c>
      <c r="N3638" t="n">
        <v>0.8950549450549451</v>
      </c>
      <c r="O3638" t="n">
        <v>6.925</v>
      </c>
      <c r="P3638" t="n">
        <v>0.0862068965517241</v>
      </c>
    </row>
    <row r="3639">
      <c r="A3639" t="inlineStr">
        <is>
          <t>Maia Gerlinger</t>
        </is>
      </c>
      <c r="B3639" t="inlineStr">
        <is>
          <t>8/9/26 - 9/5/26</t>
        </is>
      </c>
      <c r="C3639" t="n">
        <v>1.2083</v>
      </c>
      <c r="D3639" t="n">
        <v>1.0781</v>
      </c>
      <c r="E3639" t="n">
        <v>0.9803921568627452</v>
      </c>
      <c r="F3639" t="n">
        <v>0.9</v>
      </c>
      <c r="G3639" t="n">
        <v>0.9411764705882352</v>
      </c>
      <c r="H3639" t="n">
        <v>4</v>
      </c>
      <c r="K3639" t="inlineStr">
        <is>
          <t>Distinguished</t>
        </is>
      </c>
      <c r="M3639" t="inlineStr">
        <is>
          <t>Annelies de Groot</t>
        </is>
      </c>
      <c r="N3639" t="n">
        <v>0.9055555555555556</v>
      </c>
      <c r="O3639" t="n">
        <v>8</v>
      </c>
      <c r="P3639" t="n">
        <v>0.0927927927927928</v>
      </c>
    </row>
    <row r="3640">
      <c r="A3640" t="inlineStr">
        <is>
          <t>Margaret Webb</t>
        </is>
      </c>
      <c r="B3640" t="inlineStr">
        <is>
          <t>8/9/26 - 9/5/26</t>
        </is>
      </c>
      <c r="C3640" t="n">
        <v>1.1571</v>
      </c>
      <c r="D3640" t="n">
        <v>0.9506</v>
      </c>
      <c r="E3640" t="n">
        <v>0.9873417721518988</v>
      </c>
      <c r="F3640" t="n">
        <v>1</v>
      </c>
      <c r="G3640" t="n">
        <v>0.95</v>
      </c>
      <c r="H3640" t="n">
        <v>278</v>
      </c>
      <c r="J3640" t="n">
        <v>1</v>
      </c>
      <c r="K3640" t="inlineStr">
        <is>
          <t>Distinguished</t>
        </is>
      </c>
      <c r="M3640" t="inlineStr">
        <is>
          <t>Kristin Haase-Alvey</t>
        </is>
      </c>
      <c r="N3640" t="n">
        <v>1</v>
      </c>
      <c r="O3640" t="n">
        <v>7.984615384615385</v>
      </c>
    </row>
    <row r="3641">
      <c r="A3641" t="inlineStr">
        <is>
          <t>Mary Felix</t>
        </is>
      </c>
      <c r="B3641" t="inlineStr">
        <is>
          <t>8/9/26 - 9/5/26</t>
        </is>
      </c>
      <c r="C3641" t="n">
        <v>1.0417</v>
      </c>
      <c r="D3641" t="n">
        <v>1.2319</v>
      </c>
      <c r="E3641" t="n">
        <v>0.9834710743801652</v>
      </c>
      <c r="F3641" t="n">
        <v>0.9320000000000001</v>
      </c>
      <c r="G3641" t="n">
        <v>0.6818181818181818</v>
      </c>
      <c r="H3641" t="n">
        <v>18</v>
      </c>
      <c r="J3641" t="n">
        <v>0</v>
      </c>
      <c r="K3641" t="inlineStr">
        <is>
          <t>Premium</t>
        </is>
      </c>
      <c r="M3641" t="inlineStr">
        <is>
          <t>Ian Plamondon</t>
        </is>
      </c>
      <c r="N3641" t="n">
        <v>0.6700980392156863</v>
      </c>
      <c r="O3641" t="n">
        <v>4.2</v>
      </c>
      <c r="P3641" t="n">
        <v>0.0387931034482758</v>
      </c>
    </row>
    <row r="3642">
      <c r="A3642" t="inlineStr">
        <is>
          <t>Mary Logan</t>
        </is>
      </c>
      <c r="B3642" t="inlineStr">
        <is>
          <t>8/9/26 - 9/5/26</t>
        </is>
      </c>
      <c r="C3642" t="n">
        <v>1.1583</v>
      </c>
      <c r="D3642" t="n">
        <v>1.051</v>
      </c>
      <c r="E3642" t="n">
        <v>1</v>
      </c>
      <c r="F3642" t="n">
        <v>0.963</v>
      </c>
      <c r="G3642" t="n">
        <v>0.8387096774193549</v>
      </c>
      <c r="H3642" t="n">
        <v>362</v>
      </c>
      <c r="J3642" t="n">
        <v>0.5</v>
      </c>
      <c r="K3642" t="inlineStr">
        <is>
          <t>Distinguished</t>
        </is>
      </c>
      <c r="M3642" t="inlineStr">
        <is>
          <t>Ela Cross</t>
        </is>
      </c>
      <c r="N3642" t="n">
        <v>0.9133986928104576</v>
      </c>
      <c r="O3642" t="n">
        <v>4.583333333333333</v>
      </c>
    </row>
    <row r="3643">
      <c r="A3643" t="inlineStr">
        <is>
          <t>Matthew Urso</t>
        </is>
      </c>
      <c r="B3643" t="inlineStr">
        <is>
          <t>8/9/26 - 9/5/26</t>
        </is>
      </c>
      <c r="C3643" t="n">
        <v>0.7708</v>
      </c>
      <c r="D3643" t="n">
        <v>1.0066</v>
      </c>
      <c r="E3643" t="n">
        <v>1</v>
      </c>
      <c r="F3643" t="n">
        <v>0.968</v>
      </c>
      <c r="G3643" t="n">
        <v>0.9130434782608696</v>
      </c>
      <c r="H3643" t="n">
        <v>130</v>
      </c>
      <c r="J3643" t="n">
        <v>1</v>
      </c>
      <c r="K3643" t="inlineStr">
        <is>
          <t>Distinguished</t>
        </is>
      </c>
      <c r="M3643" t="inlineStr">
        <is>
          <t>Geoff St. Marie</t>
        </is>
      </c>
      <c r="N3643" t="n">
        <v>0.962912087912088</v>
      </c>
      <c r="O3643" t="n">
        <v>6.666666666666667</v>
      </c>
      <c r="P3643" t="n">
        <v>0.0337167630057803</v>
      </c>
    </row>
    <row r="3644">
      <c r="A3644" t="inlineStr">
        <is>
          <t>Matthew Wert</t>
        </is>
      </c>
      <c r="B3644" t="inlineStr">
        <is>
          <t>8/9/26 - 9/5/26</t>
        </is>
      </c>
      <c r="C3644" t="n">
        <v>0.8125</v>
      </c>
      <c r="D3644" t="n">
        <v>1.0391</v>
      </c>
      <c r="E3644" t="n">
        <v>0.9516129032258064</v>
      </c>
      <c r="F3644" t="n">
        <v>0.886</v>
      </c>
      <c r="G3644" t="n">
        <v>0.8461538461538461</v>
      </c>
      <c r="H3644" t="n">
        <v>133</v>
      </c>
      <c r="J3644" t="n">
        <v>0</v>
      </c>
      <c r="K3644" t="inlineStr">
        <is>
          <t>Distinguished</t>
        </is>
      </c>
      <c r="M3644" t="inlineStr">
        <is>
          <t>Geoff St. Marie</t>
        </is>
      </c>
      <c r="N3644" t="n">
        <v>1</v>
      </c>
      <c r="O3644" t="n">
        <v>5.875</v>
      </c>
      <c r="P3644" t="n">
        <v>0.0631709677419354</v>
      </c>
    </row>
    <row r="3645">
      <c r="A3645" t="inlineStr">
        <is>
          <t>Matty Burge</t>
        </is>
      </c>
      <c r="B3645" t="inlineStr">
        <is>
          <t>8/9/26 - 9/5/26</t>
        </is>
      </c>
      <c r="C3645" t="n">
        <v>0.7917</v>
      </c>
      <c r="D3645" t="n">
        <v>0.9609</v>
      </c>
      <c r="E3645" t="n">
        <v>1</v>
      </c>
      <c r="F3645" t="n">
        <v>1</v>
      </c>
      <c r="G3645" t="n">
        <v>0.4</v>
      </c>
      <c r="H3645" t="n">
        <v>11</v>
      </c>
      <c r="J3645" t="n">
        <v>0.6666666666666666</v>
      </c>
      <c r="K3645" t="inlineStr">
        <is>
          <t>Distinguished</t>
        </is>
      </c>
      <c r="M3645" t="inlineStr">
        <is>
          <t>Annelies de Groot</t>
        </is>
      </c>
      <c r="N3645" t="n">
        <v>1</v>
      </c>
      <c r="P3645" t="n">
        <v>0.121</v>
      </c>
    </row>
    <row r="3646">
      <c r="A3646" t="inlineStr">
        <is>
          <t>Maximilian Tsimerman</t>
        </is>
      </c>
      <c r="B3646" t="inlineStr">
        <is>
          <t>8/9/26 - 9/5/26</t>
        </is>
      </c>
      <c r="C3646" t="n">
        <v>0.825</v>
      </c>
      <c r="D3646" t="n">
        <v>1.0543</v>
      </c>
      <c r="E3646" t="n">
        <v>0.9690721649484536</v>
      </c>
      <c r="F3646" t="n">
        <v>0.984</v>
      </c>
      <c r="G3646" t="n">
        <v>0.7619047619047619</v>
      </c>
      <c r="H3646" t="n">
        <v>52</v>
      </c>
      <c r="J3646" t="n">
        <v>0.7142857142857143</v>
      </c>
      <c r="K3646" t="inlineStr">
        <is>
          <t>Distinguished</t>
        </is>
      </c>
      <c r="M3646" t="inlineStr">
        <is>
          <t>Geoff St. Marie</t>
        </is>
      </c>
      <c r="N3646" t="n">
        <v>0.8134257047300526</v>
      </c>
      <c r="O3646" t="n">
        <v>7.5</v>
      </c>
      <c r="P3646" t="n">
        <v>0.0109890109890109</v>
      </c>
    </row>
    <row r="3647">
      <c r="A3647" t="inlineStr">
        <is>
          <t>Megan Ingle</t>
        </is>
      </c>
      <c r="B3647" t="inlineStr">
        <is>
          <t>8/9/26 - 9/5/26</t>
        </is>
      </c>
      <c r="C3647" t="n">
        <v>0.1667</v>
      </c>
      <c r="D3647" t="n">
        <v>0.5313</v>
      </c>
      <c r="E3647" t="n">
        <v>1</v>
      </c>
      <c r="F3647" t="n">
        <v>0.5</v>
      </c>
      <c r="G3647" t="n">
        <v>0</v>
      </c>
      <c r="H3647" t="n">
        <v>28</v>
      </c>
      <c r="J3647" t="n">
        <v>0</v>
      </c>
      <c r="K3647" t="inlineStr">
        <is>
          <t>Advanced</t>
        </is>
      </c>
      <c r="M3647" t="inlineStr">
        <is>
          <t>Geoff St. Marie</t>
        </is>
      </c>
      <c r="N3647" t="n">
        <v>1</v>
      </c>
      <c r="P3647" t="n">
        <v>0.6666</v>
      </c>
    </row>
    <row r="3648">
      <c r="A3648" t="inlineStr">
        <is>
          <t>Megan Osgood</t>
        </is>
      </c>
      <c r="B3648" t="inlineStr">
        <is>
          <t>8/9/26 - 9/5/26</t>
        </is>
      </c>
      <c r="C3648" t="n">
        <v>0.4667</v>
      </c>
      <c r="D3648" t="n">
        <v>0.6645</v>
      </c>
      <c r="E3648" t="n">
        <v>0.981132075471698</v>
      </c>
      <c r="F3648" t="n">
        <v>1</v>
      </c>
      <c r="G3648" t="n">
        <v>1</v>
      </c>
      <c r="H3648" t="n">
        <v>103</v>
      </c>
      <c r="K3648" t="inlineStr">
        <is>
          <t>Premium</t>
        </is>
      </c>
      <c r="M3648" t="inlineStr">
        <is>
          <t>Annelies de Groot</t>
        </is>
      </c>
      <c r="N3648" t="n">
        <v>0.9629629629629628</v>
      </c>
      <c r="O3648" t="n">
        <v>7.9</v>
      </c>
      <c r="P3648" t="n">
        <v>0.1785714285714285</v>
      </c>
    </row>
    <row r="3649">
      <c r="A3649" t="inlineStr">
        <is>
          <t>Melanie Leong</t>
        </is>
      </c>
      <c r="B3649" t="inlineStr">
        <is>
          <t>8/9/26 - 9/5/26</t>
        </is>
      </c>
      <c r="C3649" t="n">
        <v>1.0104</v>
      </c>
      <c r="D3649" t="n">
        <v>2.5156</v>
      </c>
      <c r="E3649" t="n">
        <v>1</v>
      </c>
      <c r="F3649" t="n">
        <v>1</v>
      </c>
      <c r="G3649" t="n">
        <v>1</v>
      </c>
      <c r="H3649" t="n">
        <v>0</v>
      </c>
      <c r="K3649" t="inlineStr">
        <is>
          <t>Premium</t>
        </is>
      </c>
      <c r="M3649" t="inlineStr">
        <is>
          <t>Kristin Haase-Alvey</t>
        </is>
      </c>
      <c r="N3649" t="n">
        <v>0.9375</v>
      </c>
      <c r="O3649" t="n">
        <v>7.166666666666667</v>
      </c>
      <c r="P3649" t="n">
        <v>0.083514606741573</v>
      </c>
    </row>
    <row r="3650">
      <c r="A3650" t="inlineStr">
        <is>
          <t>Melinda Mergendahl</t>
        </is>
      </c>
      <c r="B3650" t="inlineStr">
        <is>
          <t>8/9/26 - 9/5/26</t>
        </is>
      </c>
      <c r="C3650" t="n">
        <v>0.65</v>
      </c>
      <c r="D3650" t="n">
        <v>0.9505</v>
      </c>
      <c r="E3650" t="n">
        <v>1</v>
      </c>
      <c r="F3650" t="n">
        <v>0.946</v>
      </c>
      <c r="G3650" t="n">
        <v>0.7857142857142857</v>
      </c>
      <c r="H3650" t="n">
        <v>66</v>
      </c>
      <c r="K3650" t="inlineStr">
        <is>
          <t>Premium</t>
        </is>
      </c>
      <c r="M3650" t="inlineStr">
        <is>
          <t>Geoff St. Marie</t>
        </is>
      </c>
      <c r="N3650" t="n">
        <v>0.8928571428571428</v>
      </c>
      <c r="O3650" t="n">
        <v>4.25</v>
      </c>
      <c r="P3650" t="n">
        <v>0.0104166666666666</v>
      </c>
    </row>
    <row r="3651">
      <c r="A3651" t="inlineStr">
        <is>
          <t>Michelle Testerman</t>
        </is>
      </c>
      <c r="B3651" t="inlineStr">
        <is>
          <t>8/9/26 - 9/5/26</t>
        </is>
      </c>
      <c r="C3651" t="n">
        <v>0.8125</v>
      </c>
      <c r="D3651" t="n">
        <v>0.75</v>
      </c>
      <c r="E3651" t="n">
        <v>1</v>
      </c>
      <c r="F3651" t="n">
        <v>0.88</v>
      </c>
      <c r="G3651" t="n">
        <v>1</v>
      </c>
      <c r="H3651" t="n">
        <v>280</v>
      </c>
      <c r="K3651" t="inlineStr">
        <is>
          <t>Distinguished</t>
        </is>
      </c>
      <c r="M3651" t="inlineStr">
        <is>
          <t>Ela Cross</t>
        </is>
      </c>
      <c r="N3651" t="n">
        <v>0.8571428571428571</v>
      </c>
      <c r="O3651" t="n">
        <v>4.266666666666667</v>
      </c>
    </row>
    <row r="3652">
      <c r="A3652" t="inlineStr">
        <is>
          <t>Mike Pearson</t>
        </is>
      </c>
      <c r="B3652" t="inlineStr">
        <is>
          <t>8/9/26 - 9/5/26</t>
        </is>
      </c>
      <c r="C3652" t="n">
        <v>0</v>
      </c>
      <c r="D3652" t="n">
        <v>0.3026</v>
      </c>
      <c r="H3652" t="n">
        <v>0</v>
      </c>
      <c r="K3652" t="inlineStr">
        <is>
          <t>Distinguished</t>
        </is>
      </c>
      <c r="M3652" t="inlineStr">
        <is>
          <t>Katherine Marino</t>
        </is>
      </c>
    </row>
    <row r="3653">
      <c r="A3653" t="inlineStr">
        <is>
          <t>Miranda Aebersold-Burke</t>
        </is>
      </c>
      <c r="B3653" t="inlineStr">
        <is>
          <t>8/9/26 - 9/5/26</t>
        </is>
      </c>
      <c r="C3653" t="n">
        <v>0</v>
      </c>
      <c r="D3653" t="n">
        <v>0.773</v>
      </c>
      <c r="H3653" t="n">
        <v>0</v>
      </c>
      <c r="K3653" t="inlineStr">
        <is>
          <t>Distinguished</t>
        </is>
      </c>
      <c r="M3653" t="inlineStr">
        <is>
          <t>Nikki Pencak</t>
        </is>
      </c>
    </row>
    <row r="3654">
      <c r="A3654" t="inlineStr">
        <is>
          <t>Myles Oldroyd</t>
        </is>
      </c>
      <c r="B3654" t="inlineStr">
        <is>
          <t>8/9/26 - 9/5/26</t>
        </is>
      </c>
      <c r="C3654" t="n">
        <v>1.0929</v>
      </c>
      <c r="D3654" t="n">
        <v>1.3241</v>
      </c>
      <c r="E3654" t="n">
        <v>0.9929577464788732</v>
      </c>
      <c r="F3654" t="n">
        <v>1</v>
      </c>
      <c r="G3654" t="n">
        <v>0.896551724137931</v>
      </c>
      <c r="H3654" t="n">
        <v>44</v>
      </c>
      <c r="J3654" t="n">
        <v>0</v>
      </c>
      <c r="K3654" t="inlineStr">
        <is>
          <t>Premium</t>
        </is>
      </c>
      <c r="M3654" t="inlineStr">
        <is>
          <t>Ian Plamondon</t>
        </is>
      </c>
      <c r="N3654" t="n">
        <v>0.9852941176470588</v>
      </c>
      <c r="O3654" t="n">
        <v>6.722222222222222</v>
      </c>
      <c r="P3654" t="n">
        <v>0.0113636363636363</v>
      </c>
    </row>
    <row r="3655">
      <c r="A3655" t="inlineStr">
        <is>
          <t>Naima Chaudhry</t>
        </is>
      </c>
      <c r="B3655" t="inlineStr">
        <is>
          <t>8/9/26 - 9/5/26</t>
        </is>
      </c>
      <c r="C3655" t="n">
        <v>0.8125</v>
      </c>
      <c r="D3655" t="n">
        <v>1.0547</v>
      </c>
      <c r="E3655" t="n">
        <v>1</v>
      </c>
      <c r="F3655" t="n">
        <v>0.947</v>
      </c>
      <c r="G3655" t="n">
        <v>0.7142857142857143</v>
      </c>
      <c r="H3655" t="n">
        <v>56</v>
      </c>
      <c r="J3655" t="n">
        <v>0</v>
      </c>
      <c r="K3655" t="inlineStr">
        <is>
          <t>Advanced</t>
        </is>
      </c>
      <c r="M3655" t="inlineStr">
        <is>
          <t>Kristin Haase-Alvey</t>
        </is>
      </c>
      <c r="N3655" t="n">
        <v>0.9375</v>
      </c>
      <c r="O3655" t="n">
        <v>6.666666666666667</v>
      </c>
      <c r="P3655" t="n">
        <v>0.0138866666666666</v>
      </c>
    </row>
    <row r="3656">
      <c r="A3656" t="inlineStr">
        <is>
          <t>Nando Reyes</t>
        </is>
      </c>
      <c r="B3656" t="inlineStr">
        <is>
          <t>8/9/26 - 9/5/26</t>
        </is>
      </c>
      <c r="C3656" t="n">
        <v>1.0429</v>
      </c>
      <c r="D3656" t="n">
        <v>1.25</v>
      </c>
      <c r="E3656" t="n">
        <v>0.9925373134328358</v>
      </c>
      <c r="F3656" t="n">
        <v>0.944</v>
      </c>
      <c r="G3656" t="n">
        <v>0.4137931034482759</v>
      </c>
      <c r="H3656" t="n">
        <v>24</v>
      </c>
      <c r="J3656" t="n">
        <v>0.5714285714285714</v>
      </c>
      <c r="K3656" t="inlineStr">
        <is>
          <t>Distinguished</t>
        </is>
      </c>
      <c r="M3656" t="inlineStr">
        <is>
          <t>Geoff St. Marie</t>
        </is>
      </c>
      <c r="N3656" t="n">
        <v>1</v>
      </c>
      <c r="O3656" t="n">
        <v>4</v>
      </c>
      <c r="P3656" t="n">
        <v>0.0610687022900763</v>
      </c>
    </row>
    <row r="3657">
      <c r="A3657" t="inlineStr">
        <is>
          <t>Nayely Rolon-Gomez</t>
        </is>
      </c>
      <c r="B3657" t="inlineStr">
        <is>
          <t>8/9/26 - 9/5/26</t>
        </is>
      </c>
      <c r="C3657" t="n">
        <v>0.75</v>
      </c>
      <c r="D3657" t="n">
        <v>0.7796</v>
      </c>
      <c r="E3657" t="n">
        <v>0.9883720930232558</v>
      </c>
      <c r="F3657" t="n">
        <v>0.865</v>
      </c>
      <c r="G3657" t="n">
        <v>0.7619047619047619</v>
      </c>
      <c r="H3657" t="n">
        <v>120</v>
      </c>
      <c r="K3657" t="inlineStr">
        <is>
          <t>Distinguished</t>
        </is>
      </c>
      <c r="M3657" t="inlineStr">
        <is>
          <t>Ela Cross</t>
        </is>
      </c>
      <c r="N3657" t="n">
        <v>0.9523809523809524</v>
      </c>
      <c r="O3657" t="n">
        <v>9.666666666666666</v>
      </c>
      <c r="P3657" t="n">
        <v>0.0697674418604651</v>
      </c>
    </row>
    <row r="3658">
      <c r="A3658" t="inlineStr">
        <is>
          <t>Nicholas Ulfik</t>
        </is>
      </c>
      <c r="B3658" t="inlineStr">
        <is>
          <t>8/9/26 - 9/5/26</t>
        </is>
      </c>
      <c r="C3658" t="n">
        <v>0.8167</v>
      </c>
      <c r="D3658" t="n">
        <v>0.949</v>
      </c>
      <c r="E3658" t="n">
        <v>1</v>
      </c>
      <c r="F3658" t="n">
        <v>0.649</v>
      </c>
      <c r="G3658" t="n">
        <v>0.8636363636363636</v>
      </c>
      <c r="H3658" t="n">
        <v>35</v>
      </c>
      <c r="J3658" t="n">
        <v>1</v>
      </c>
      <c r="K3658" t="inlineStr">
        <is>
          <t>Distinguished</t>
        </is>
      </c>
      <c r="M3658" t="inlineStr">
        <is>
          <t>Kristin Haase-Alvey</t>
        </is>
      </c>
      <c r="N3658" t="n">
        <v>0.9642857142857144</v>
      </c>
      <c r="O3658" t="n">
        <v>7.352941176470588</v>
      </c>
      <c r="P3658" t="n">
        <v>0.0484666666666666</v>
      </c>
    </row>
    <row r="3659">
      <c r="A3659" t="inlineStr">
        <is>
          <t>Nick Kocik</t>
        </is>
      </c>
      <c r="B3659" t="inlineStr">
        <is>
          <t>8/9/26 - 9/5/26</t>
        </is>
      </c>
      <c r="C3659" t="n">
        <v>0.95</v>
      </c>
      <c r="D3659" t="n">
        <v>1.0345</v>
      </c>
      <c r="E3659" t="n">
        <v>1</v>
      </c>
      <c r="F3659" t="n">
        <v>0.959</v>
      </c>
      <c r="G3659" t="n">
        <v>0.5</v>
      </c>
      <c r="H3659" t="n">
        <v>173</v>
      </c>
      <c r="J3659" t="n">
        <v>0.5714285714285714</v>
      </c>
      <c r="K3659" t="inlineStr">
        <is>
          <t>Distinguished</t>
        </is>
      </c>
      <c r="M3659" t="inlineStr">
        <is>
          <t>Ela Cross</t>
        </is>
      </c>
      <c r="N3659" t="n">
        <v>1</v>
      </c>
      <c r="O3659" t="n">
        <v>7.4</v>
      </c>
      <c r="P3659" t="n">
        <v>0.0801240384615384</v>
      </c>
    </row>
    <row r="3660">
      <c r="A3660" t="inlineStr">
        <is>
          <t>Nick Lucido</t>
        </is>
      </c>
      <c r="B3660" t="inlineStr">
        <is>
          <t>8/9/26 - 9/5/26</t>
        </is>
      </c>
      <c r="C3660" t="n">
        <v>1.0714</v>
      </c>
      <c r="D3660" t="n">
        <v>1.0233</v>
      </c>
      <c r="E3660" t="n">
        <v>1</v>
      </c>
      <c r="F3660" t="n">
        <v>0.977</v>
      </c>
      <c r="G3660" t="n">
        <v>0.5161290322580645</v>
      </c>
      <c r="H3660" t="n">
        <v>214</v>
      </c>
      <c r="J3660" t="n">
        <v>0.4545454545454545</v>
      </c>
      <c r="K3660" t="inlineStr">
        <is>
          <t>Distinguished</t>
        </is>
      </c>
      <c r="M3660" t="inlineStr">
        <is>
          <t>Kristin Haase-Alvey</t>
        </is>
      </c>
      <c r="N3660" t="n">
        <v>0.7656926406926406</v>
      </c>
      <c r="P3660" t="n">
        <v>0.0532786885245901</v>
      </c>
    </row>
    <row r="3661">
      <c r="A3661" t="inlineStr">
        <is>
          <t>Nicole Bishop</t>
        </is>
      </c>
      <c r="B3661" t="inlineStr">
        <is>
          <t>8/9/26 - 9/5/26</t>
        </is>
      </c>
      <c r="C3661" t="n">
        <v>0.9357</v>
      </c>
      <c r="D3661" t="n">
        <v>1.0015</v>
      </c>
      <c r="E3661" t="n">
        <v>0.9482758620689656</v>
      </c>
      <c r="F3661" t="n">
        <v>0.91</v>
      </c>
      <c r="G3661" t="n">
        <v>0.4230769230769231</v>
      </c>
      <c r="H3661" t="n">
        <v>232</v>
      </c>
      <c r="J3661" t="n">
        <v>0.4</v>
      </c>
      <c r="K3661" t="inlineStr">
        <is>
          <t>Distinguished</t>
        </is>
      </c>
      <c r="M3661" t="inlineStr">
        <is>
          <t>Ela Cross</t>
        </is>
      </c>
      <c r="N3661" t="n">
        <v>0.8398567119155355</v>
      </c>
      <c r="O3661" t="n">
        <v>7.444444444444445</v>
      </c>
      <c r="P3661" t="n">
        <v>0.0201383333333333</v>
      </c>
    </row>
    <row r="3662">
      <c r="A3662" t="inlineStr">
        <is>
          <t>Nik Kososik</t>
        </is>
      </c>
      <c r="B3662" t="inlineStr">
        <is>
          <t>8/9/26 - 9/5/26</t>
        </is>
      </c>
      <c r="C3662" t="n">
        <v>0.9</v>
      </c>
      <c r="D3662" t="n">
        <v>1.1719</v>
      </c>
      <c r="E3662" t="n">
        <v>0.803030303030303</v>
      </c>
      <c r="F3662" t="n">
        <v>0.946</v>
      </c>
      <c r="G3662" t="n">
        <v>0.6666666666666666</v>
      </c>
      <c r="H3662" t="n">
        <v>38</v>
      </c>
      <c r="J3662" t="n">
        <v>0.5</v>
      </c>
      <c r="K3662" t="inlineStr">
        <is>
          <t>Distinguished</t>
        </is>
      </c>
      <c r="M3662" t="inlineStr">
        <is>
          <t>Geoff St. Marie</t>
        </is>
      </c>
      <c r="N3662" t="n">
        <v>0.8944444444444444</v>
      </c>
      <c r="O3662" t="n">
        <v>9.166666666666668</v>
      </c>
      <c r="P3662" t="n">
        <v>0.0317460317460317</v>
      </c>
    </row>
    <row r="3663">
      <c r="A3663" t="inlineStr">
        <is>
          <t>Nisan Hubbard</t>
        </is>
      </c>
      <c r="B3663" t="inlineStr">
        <is>
          <t>8/9/26 - 9/5/26</t>
        </is>
      </c>
      <c r="C3663" t="n">
        <v>0.55</v>
      </c>
      <c r="D3663" t="n">
        <v>0.9974</v>
      </c>
      <c r="E3663" t="n">
        <v>0.9772727272727272</v>
      </c>
      <c r="F3663" t="n">
        <v>0.917</v>
      </c>
      <c r="G3663" t="n">
        <v>0.8</v>
      </c>
      <c r="H3663" t="n">
        <v>40</v>
      </c>
      <c r="J3663" t="n">
        <v>1</v>
      </c>
      <c r="K3663" t="inlineStr">
        <is>
          <t>Distinguished</t>
        </is>
      </c>
      <c r="M3663" t="inlineStr">
        <is>
          <t>Annelies de Groot</t>
        </is>
      </c>
      <c r="N3663" t="n">
        <v>0.95</v>
      </c>
      <c r="O3663" t="n">
        <v>5.875</v>
      </c>
    </row>
    <row r="3664">
      <c r="A3664" t="inlineStr">
        <is>
          <t>Nisha Fletcher</t>
        </is>
      </c>
      <c r="B3664" t="inlineStr">
        <is>
          <t>8/9/26 - 9/5/26</t>
        </is>
      </c>
      <c r="C3664" t="n">
        <v>0.8875</v>
      </c>
      <c r="D3664" t="n">
        <v>1.2604</v>
      </c>
      <c r="E3664" t="n">
        <v>1</v>
      </c>
      <c r="F3664" t="n">
        <v>0.946</v>
      </c>
      <c r="G3664" t="n">
        <v>0.6923076923076923</v>
      </c>
      <c r="H3664" t="n">
        <v>168</v>
      </c>
      <c r="J3664" t="n">
        <v>0.8</v>
      </c>
      <c r="K3664" t="inlineStr">
        <is>
          <t>Advanced</t>
        </is>
      </c>
      <c r="M3664" t="inlineStr">
        <is>
          <t>Kristin Haase-Alvey</t>
        </is>
      </c>
      <c r="N3664" t="n">
        <v>0.9508928571428572</v>
      </c>
      <c r="O3664" t="n">
        <v>5</v>
      </c>
      <c r="P3664" t="n">
        <v>0.1124269841269841</v>
      </c>
    </row>
    <row r="3665">
      <c r="A3665" t="inlineStr">
        <is>
          <t>Parthav Elangovan</t>
        </is>
      </c>
      <c r="B3665" t="inlineStr">
        <is>
          <t>8/9/26 - 9/5/26</t>
        </is>
      </c>
      <c r="C3665" t="n">
        <v>0.4792</v>
      </c>
      <c r="D3665" t="n">
        <v>1.2148</v>
      </c>
      <c r="E3665" t="n">
        <v>0.9565217391304348</v>
      </c>
      <c r="F3665" t="n">
        <v>0.765</v>
      </c>
      <c r="G3665" t="n">
        <v>0</v>
      </c>
      <c r="H3665" t="n">
        <v>28</v>
      </c>
      <c r="J3665" t="n">
        <v>0</v>
      </c>
      <c r="K3665" t="inlineStr">
        <is>
          <t>Advanced</t>
        </is>
      </c>
      <c r="M3665" t="inlineStr">
        <is>
          <t>Ian Plamondon</t>
        </is>
      </c>
      <c r="N3665" t="n">
        <v>0.95</v>
      </c>
      <c r="P3665" t="n">
        <v>0.4117529411764705</v>
      </c>
    </row>
    <row r="3666">
      <c r="A3666" t="inlineStr">
        <is>
          <t>Patricia Flores</t>
        </is>
      </c>
      <c r="B3666" t="inlineStr">
        <is>
          <t>8/9/26 - 9/5/26</t>
        </is>
      </c>
      <c r="C3666" t="n">
        <v>0.6563</v>
      </c>
      <c r="D3666" t="n">
        <v>1.2292</v>
      </c>
      <c r="E3666" t="n">
        <v>0.9574468085106383</v>
      </c>
      <c r="F3666" t="n">
        <v>1</v>
      </c>
      <c r="G3666" t="n">
        <v>1</v>
      </c>
      <c r="H3666" t="n">
        <v>97</v>
      </c>
      <c r="J3666" t="n">
        <v>1</v>
      </c>
      <c r="K3666" t="inlineStr">
        <is>
          <t>Distinguished</t>
        </is>
      </c>
      <c r="M3666" t="inlineStr">
        <is>
          <t>Ela Cross</t>
        </is>
      </c>
      <c r="N3666" t="n">
        <v>0.8785714285714286</v>
      </c>
      <c r="O3666" t="n">
        <v>10</v>
      </c>
      <c r="P3666" t="n">
        <v>0.0172413793103448</v>
      </c>
    </row>
    <row r="3667">
      <c r="A3667" t="inlineStr">
        <is>
          <t>Penny Russell</t>
        </is>
      </c>
      <c r="B3667" t="inlineStr">
        <is>
          <t>8/9/26 - 9/5/26</t>
        </is>
      </c>
      <c r="C3667" t="n">
        <v>0.7</v>
      </c>
      <c r="D3667" t="n">
        <v>1.0132</v>
      </c>
      <c r="E3667" t="n">
        <v>1</v>
      </c>
      <c r="F3667" t="n">
        <v>0.8110000000000001</v>
      </c>
      <c r="G3667" t="n">
        <v>0.7272727272727273</v>
      </c>
      <c r="H3667" t="n">
        <v>72</v>
      </c>
      <c r="J3667" t="n">
        <v>0</v>
      </c>
      <c r="K3667" t="inlineStr">
        <is>
          <t>Distinguished</t>
        </is>
      </c>
      <c r="M3667" t="inlineStr">
        <is>
          <t>Ian Plamondon</t>
        </is>
      </c>
      <c r="N3667" t="n">
        <v>0.8870573870573871</v>
      </c>
      <c r="O3667" t="n">
        <v>2.5</v>
      </c>
    </row>
    <row r="3668">
      <c r="A3668" t="inlineStr">
        <is>
          <t>Philip Thomas</t>
        </is>
      </c>
      <c r="B3668" t="inlineStr">
        <is>
          <t>8/9/26 - 9/5/26</t>
        </is>
      </c>
      <c r="C3668" t="n">
        <v>1.2583</v>
      </c>
      <c r="D3668" t="n">
        <v>1.1184</v>
      </c>
      <c r="E3668" t="n">
        <v>0.6170212765957447</v>
      </c>
      <c r="F3668" t="n">
        <v>0.964</v>
      </c>
      <c r="G3668" t="n">
        <v>0.032258064516129</v>
      </c>
      <c r="H3668" t="n">
        <v>126</v>
      </c>
      <c r="J3668" t="n">
        <v>0</v>
      </c>
      <c r="K3668" t="inlineStr">
        <is>
          <t>Premium</t>
        </is>
      </c>
      <c r="M3668" t="inlineStr">
        <is>
          <t>Annelies de Groot</t>
        </is>
      </c>
      <c r="N3668" t="n">
        <v>0.8708608642819169</v>
      </c>
      <c r="O3668" t="n">
        <v>9</v>
      </c>
    </row>
    <row r="3669">
      <c r="A3669" t="inlineStr">
        <is>
          <t>Preston Peoples</t>
        </is>
      </c>
      <c r="B3669" t="inlineStr">
        <is>
          <t>8/9/26 - 9/5/26</t>
        </is>
      </c>
      <c r="C3669" t="n">
        <v>1.0139</v>
      </c>
      <c r="D3669" t="n">
        <v>1.0197</v>
      </c>
      <c r="E3669" t="n">
        <v>0.8761904761904762</v>
      </c>
      <c r="F3669" t="n">
        <v>0.973</v>
      </c>
      <c r="G3669" t="n">
        <v>0.7857142857142857</v>
      </c>
      <c r="H3669" t="n">
        <v>175</v>
      </c>
      <c r="K3669" t="inlineStr">
        <is>
          <t>Distinguished</t>
        </is>
      </c>
      <c r="M3669" t="inlineStr">
        <is>
          <t>Annelies de Groot</t>
        </is>
      </c>
      <c r="N3669" t="n">
        <v>1</v>
      </c>
      <c r="P3669" t="n">
        <v>0.1507460601469016</v>
      </c>
    </row>
    <row r="3670">
      <c r="A3670" t="inlineStr">
        <is>
          <t>Q. Monét Travis</t>
        </is>
      </c>
      <c r="B3670" t="inlineStr">
        <is>
          <t>8/9/26 - 9/5/26</t>
        </is>
      </c>
      <c r="C3670" t="n">
        <v>1.7083</v>
      </c>
      <c r="D3670" t="n">
        <v>1.668</v>
      </c>
      <c r="E3670" t="n">
        <v>0.9876543209876544</v>
      </c>
      <c r="F3670" t="n">
        <v>0.984</v>
      </c>
      <c r="G3670" t="n">
        <v>1</v>
      </c>
      <c r="H3670" t="n">
        <v>196</v>
      </c>
      <c r="J3670" t="n">
        <v>0</v>
      </c>
      <c r="K3670" t="inlineStr">
        <is>
          <t>Distinguished</t>
        </is>
      </c>
      <c r="M3670" t="inlineStr">
        <is>
          <t>Ela Cross</t>
        </is>
      </c>
      <c r="N3670" t="n">
        <v>0.8731060606060606</v>
      </c>
      <c r="O3670" t="n">
        <v>7.333333333333333</v>
      </c>
    </row>
    <row r="3671">
      <c r="A3671" t="inlineStr">
        <is>
          <t>Quaid Strickland</t>
        </is>
      </c>
      <c r="B3671" t="inlineStr">
        <is>
          <t>8/9/26 - 9/5/26</t>
        </is>
      </c>
      <c r="C3671" t="n">
        <v>0.4929</v>
      </c>
      <c r="D3671" t="n">
        <v>0.577</v>
      </c>
      <c r="E3671" t="n">
        <v>1</v>
      </c>
      <c r="F3671" t="n">
        <v>1</v>
      </c>
      <c r="G3671" t="n">
        <v>0.5</v>
      </c>
      <c r="H3671" t="n">
        <v>24</v>
      </c>
      <c r="J3671" t="n">
        <v>0.8571428571428571</v>
      </c>
      <c r="K3671" t="inlineStr">
        <is>
          <t>Distinguished</t>
        </is>
      </c>
      <c r="M3671" t="inlineStr">
        <is>
          <t>Geoff St. Marie</t>
        </is>
      </c>
      <c r="N3671" t="n">
        <v>1</v>
      </c>
      <c r="P3671" t="n">
        <v>0.34861</v>
      </c>
    </row>
    <row r="3672">
      <c r="A3672" t="inlineStr">
        <is>
          <t>Raeann Kalinowski</t>
        </is>
      </c>
      <c r="B3672" t="inlineStr">
        <is>
          <t>8/9/26 - 9/5/26</t>
        </is>
      </c>
      <c r="C3672" t="n">
        <v>0</v>
      </c>
      <c r="D3672" t="n">
        <v>0.2697</v>
      </c>
      <c r="H3672" t="n">
        <v>0</v>
      </c>
      <c r="K3672" t="inlineStr">
        <is>
          <t>Distinguished</t>
        </is>
      </c>
      <c r="M3672" t="inlineStr">
        <is>
          <t>Katherine Marino</t>
        </is>
      </c>
    </row>
    <row r="3673">
      <c r="A3673" t="inlineStr">
        <is>
          <t>Rafi Overton</t>
        </is>
      </c>
      <c r="B3673" t="inlineStr">
        <is>
          <t>8/9/26 - 9/5/26</t>
        </is>
      </c>
      <c r="C3673" t="n">
        <v>0.9292</v>
      </c>
      <c r="D3673" t="n">
        <v>0.9951</v>
      </c>
      <c r="E3673" t="n">
        <v>0.9375</v>
      </c>
      <c r="F3673" t="n">
        <v>0.958</v>
      </c>
      <c r="G3673" t="n">
        <v>0.6956521739130435</v>
      </c>
      <c r="H3673" t="n">
        <v>138</v>
      </c>
      <c r="K3673" t="inlineStr">
        <is>
          <t>Distinguished</t>
        </is>
      </c>
      <c r="M3673" t="inlineStr">
        <is>
          <t>Geoff St. Marie</t>
        </is>
      </c>
      <c r="N3673" t="n">
        <v>0.6734848484848485</v>
      </c>
      <c r="O3673" t="n">
        <v>5.666666666666666</v>
      </c>
      <c r="P3673" t="n">
        <v>0.0611810126582278</v>
      </c>
    </row>
    <row r="3674">
      <c r="A3674" t="inlineStr">
        <is>
          <t>Rain Real</t>
        </is>
      </c>
      <c r="B3674" t="inlineStr">
        <is>
          <t>8/9/26 - 9/5/26</t>
        </is>
      </c>
      <c r="C3674" t="n">
        <v>0.825</v>
      </c>
      <c r="D3674" t="n">
        <v>1.1891</v>
      </c>
      <c r="E3674" t="n">
        <v>1</v>
      </c>
      <c r="F3674" t="n">
        <v>0.962</v>
      </c>
      <c r="G3674" t="n">
        <v>0.6666666666666666</v>
      </c>
      <c r="H3674" t="n">
        <v>185</v>
      </c>
      <c r="J3674" t="n">
        <v>0</v>
      </c>
      <c r="K3674" t="inlineStr">
        <is>
          <t>Distinguished</t>
        </is>
      </c>
      <c r="M3674" t="inlineStr">
        <is>
          <t>Annelies de Groot</t>
        </is>
      </c>
      <c r="N3674" t="n">
        <v>0.96875</v>
      </c>
      <c r="O3674" t="n">
        <v>7.708333333333333</v>
      </c>
      <c r="P3674" t="n">
        <v>0.08332527472527471</v>
      </c>
    </row>
    <row r="3675">
      <c r="A3675" t="inlineStr">
        <is>
          <t>Ralph Strope</t>
        </is>
      </c>
      <c r="B3675" t="inlineStr">
        <is>
          <t>8/9/26 - 9/5/26</t>
        </is>
      </c>
      <c r="C3675" t="n">
        <v>0.975</v>
      </c>
      <c r="D3675" t="n">
        <v>1.0755</v>
      </c>
      <c r="E3675" t="n">
        <v>0.986842105263158</v>
      </c>
      <c r="F3675" t="n">
        <v>0.9379999999999999</v>
      </c>
      <c r="G3675" t="n">
        <v>0.8</v>
      </c>
      <c r="H3675" t="n">
        <v>200</v>
      </c>
      <c r="J3675" t="n">
        <v>0</v>
      </c>
      <c r="K3675" t="inlineStr">
        <is>
          <t>Distinguished</t>
        </is>
      </c>
      <c r="M3675" t="inlineStr">
        <is>
          <t>Ela Cross</t>
        </is>
      </c>
      <c r="N3675" t="n">
        <v>1</v>
      </c>
      <c r="O3675" t="n">
        <v>7.777777777777779</v>
      </c>
      <c r="P3675" t="n">
        <v>0.0422535211267605</v>
      </c>
    </row>
    <row r="3676">
      <c r="A3676" t="inlineStr">
        <is>
          <t>Raymond Elliot</t>
        </is>
      </c>
      <c r="B3676" t="inlineStr">
        <is>
          <t>8/9/26 - 9/5/26</t>
        </is>
      </c>
      <c r="C3676" t="n">
        <v>0.9375</v>
      </c>
      <c r="D3676" t="n">
        <v>1.0026</v>
      </c>
      <c r="E3676" t="n">
        <v>1</v>
      </c>
      <c r="F3676" t="n">
        <v>1</v>
      </c>
      <c r="G3676" t="n">
        <v>0.7333333333333334</v>
      </c>
      <c r="H3676" t="n">
        <v>204</v>
      </c>
      <c r="J3676" t="n">
        <v>1</v>
      </c>
      <c r="K3676" t="inlineStr">
        <is>
          <t>Distinguished</t>
        </is>
      </c>
      <c r="M3676" t="inlineStr">
        <is>
          <t>Kristin Haase-Alvey</t>
        </is>
      </c>
      <c r="N3676" t="n">
        <v>1</v>
      </c>
      <c r="O3676" t="n">
        <v>6</v>
      </c>
    </row>
    <row r="3677">
      <c r="A3677" t="inlineStr">
        <is>
          <t>Raymond Serrano</t>
        </is>
      </c>
      <c r="B3677" t="inlineStr">
        <is>
          <t>8/9/26 - 9/5/26</t>
        </is>
      </c>
      <c r="C3677" t="n">
        <v>0.9542</v>
      </c>
      <c r="D3677" t="n">
        <v>1.125</v>
      </c>
      <c r="E3677" t="n">
        <v>0.9807692307692308</v>
      </c>
      <c r="F3677" t="n">
        <v>1</v>
      </c>
      <c r="G3677" t="n">
        <v>0.9047619047619048</v>
      </c>
      <c r="H3677" t="n">
        <v>318</v>
      </c>
      <c r="J3677" t="n">
        <v>1</v>
      </c>
      <c r="K3677" t="inlineStr">
        <is>
          <t>Distinguished</t>
        </is>
      </c>
      <c r="M3677" t="inlineStr">
        <is>
          <t>Kristin Haase-Alvey</t>
        </is>
      </c>
      <c r="N3677" t="n">
        <v>0.9833333333333334</v>
      </c>
      <c r="O3677" t="n">
        <v>10</v>
      </c>
      <c r="P3677" t="n">
        <v>0.1955708920187793</v>
      </c>
    </row>
    <row r="3678">
      <c r="A3678" t="inlineStr">
        <is>
          <t>Rebekah Nachian</t>
        </is>
      </c>
      <c r="B3678" t="inlineStr">
        <is>
          <t>8/9/26 - 9/5/26</t>
        </is>
      </c>
      <c r="C3678" t="n">
        <v>0.6583</v>
      </c>
      <c r="D3678" t="n">
        <v>1.0099</v>
      </c>
      <c r="E3678" t="n">
        <v>0.9861111111111112</v>
      </c>
      <c r="F3678" t="n">
        <v>1</v>
      </c>
      <c r="G3678" t="n">
        <v>0.8666666666666667</v>
      </c>
      <c r="H3678" t="n">
        <v>184</v>
      </c>
      <c r="J3678" t="n">
        <v>0.7142857142857143</v>
      </c>
      <c r="K3678" t="inlineStr">
        <is>
          <t>Distinguished</t>
        </is>
      </c>
      <c r="M3678" t="inlineStr">
        <is>
          <t>Annelies de Groot</t>
        </is>
      </c>
      <c r="N3678" t="n">
        <v>0.9182692307692308</v>
      </c>
      <c r="O3678" t="n">
        <v>7.791666666666667</v>
      </c>
      <c r="P3678" t="n">
        <v>0.308146762589928</v>
      </c>
    </row>
    <row r="3679">
      <c r="A3679" t="inlineStr">
        <is>
          <t>Rehan Zaib</t>
        </is>
      </c>
      <c r="B3679" t="inlineStr">
        <is>
          <t>8/9/26 - 9/5/26</t>
        </is>
      </c>
      <c r="C3679" t="n">
        <v>0.975</v>
      </c>
      <c r="D3679" t="n">
        <v>1.1447</v>
      </c>
      <c r="E3679" t="n">
        <v>0.9304347826086956</v>
      </c>
      <c r="F3679" t="n">
        <v>0.954</v>
      </c>
      <c r="G3679" t="n">
        <v>0.88</v>
      </c>
      <c r="H3679" t="n">
        <v>252</v>
      </c>
      <c r="J3679" t="n">
        <v>0.5714285714285714</v>
      </c>
      <c r="K3679" t="inlineStr">
        <is>
          <t>Distinguished</t>
        </is>
      </c>
      <c r="M3679" t="inlineStr">
        <is>
          <t>Ela Cross</t>
        </is>
      </c>
      <c r="N3679" t="n">
        <v>0.921358543417367</v>
      </c>
      <c r="O3679" t="n">
        <v>10</v>
      </c>
      <c r="P3679" t="n">
        <v>0.08647735849056599</v>
      </c>
    </row>
    <row r="3680">
      <c r="A3680" t="inlineStr">
        <is>
          <t>Richard Kralik</t>
        </is>
      </c>
      <c r="B3680" t="inlineStr">
        <is>
          <t>8/9/26 - 9/5/26</t>
        </is>
      </c>
      <c r="C3680" t="n">
        <v>1.0714</v>
      </c>
      <c r="D3680" t="n">
        <v>1.0305</v>
      </c>
      <c r="E3680" t="n">
        <v>0.9928571428571428</v>
      </c>
      <c r="F3680" t="n">
        <v>0.987</v>
      </c>
      <c r="G3680" t="n">
        <v>0.6923076923076923</v>
      </c>
      <c r="H3680" t="n">
        <v>389</v>
      </c>
      <c r="J3680" t="n">
        <v>0</v>
      </c>
      <c r="K3680" t="inlineStr">
        <is>
          <t>Distinguished</t>
        </is>
      </c>
      <c r="M3680" t="inlineStr">
        <is>
          <t>Geoff St. Marie</t>
        </is>
      </c>
      <c r="N3680" t="n">
        <v>0.9342105263157894</v>
      </c>
      <c r="O3680" t="n">
        <v>6.3</v>
      </c>
    </row>
    <row r="3681">
      <c r="A3681" t="inlineStr">
        <is>
          <t>Ries Scerbin</t>
        </is>
      </c>
      <c r="B3681" t="inlineStr">
        <is>
          <t>8/9/26 - 9/5/26</t>
        </is>
      </c>
      <c r="C3681" t="n">
        <v>0.8125</v>
      </c>
      <c r="D3681" t="n">
        <v>1.2383</v>
      </c>
      <c r="E3681" t="n">
        <v>0.9487179487179488</v>
      </c>
      <c r="F3681" t="n">
        <v>0.9409999999999999</v>
      </c>
      <c r="G3681" t="n">
        <v>0.6666666666666666</v>
      </c>
      <c r="H3681" t="n">
        <v>72</v>
      </c>
      <c r="J3681" t="n">
        <v>0.2</v>
      </c>
      <c r="K3681" t="inlineStr">
        <is>
          <t>Distinguished</t>
        </is>
      </c>
      <c r="M3681" t="inlineStr">
        <is>
          <t>Annelies de Groot</t>
        </is>
      </c>
      <c r="N3681" t="n">
        <v>1</v>
      </c>
      <c r="P3681" t="n">
        <v>0.1857114285714285</v>
      </c>
    </row>
    <row r="3682">
      <c r="A3682" t="inlineStr">
        <is>
          <t>River Nunez</t>
        </is>
      </c>
      <c r="B3682" t="inlineStr">
        <is>
          <t>8/9/26 - 9/5/26</t>
        </is>
      </c>
      <c r="C3682" t="n">
        <v>1.0208</v>
      </c>
      <c r="D3682" t="n">
        <v>1.0313</v>
      </c>
      <c r="E3682" t="n">
        <v>0.9827586206896552</v>
      </c>
      <c r="F3682" t="n">
        <v>1</v>
      </c>
      <c r="G3682" t="n">
        <v>0.7391304347826086</v>
      </c>
      <c r="H3682" t="n">
        <v>92</v>
      </c>
      <c r="J3682" t="n">
        <v>0.625</v>
      </c>
      <c r="K3682" t="inlineStr">
        <is>
          <t>Distinguished</t>
        </is>
      </c>
      <c r="M3682" t="inlineStr">
        <is>
          <t>Annelies de Groot</t>
        </is>
      </c>
      <c r="N3682" t="n">
        <v>1</v>
      </c>
      <c r="O3682" t="n">
        <v>8.666666666666666</v>
      </c>
      <c r="P3682" t="n">
        <v>0.0981229437229437</v>
      </c>
    </row>
    <row r="3683">
      <c r="A3683" t="inlineStr">
        <is>
          <t>Robert Nantze</t>
        </is>
      </c>
      <c r="B3683" t="inlineStr">
        <is>
          <t>8/9/26 - 9/5/26</t>
        </is>
      </c>
      <c r="C3683" t="n">
        <v>0.8333</v>
      </c>
      <c r="D3683" t="n">
        <v>0.9868</v>
      </c>
      <c r="E3683" t="n">
        <v>1</v>
      </c>
      <c r="F3683" t="n">
        <v>1</v>
      </c>
      <c r="G3683" t="n">
        <v>0.9411764705882352</v>
      </c>
      <c r="H3683" t="n">
        <v>188</v>
      </c>
      <c r="J3683" t="n">
        <v>0.6666666666666666</v>
      </c>
      <c r="K3683" t="inlineStr">
        <is>
          <t>Distinguished</t>
        </is>
      </c>
      <c r="M3683" t="inlineStr">
        <is>
          <t>Ela Cross</t>
        </is>
      </c>
      <c r="N3683" t="n">
        <v>0.9114583333333334</v>
      </c>
      <c r="O3683" t="n">
        <v>6.583333333333334</v>
      </c>
      <c r="P3683" t="n">
        <v>0.0208333333333333</v>
      </c>
    </row>
    <row r="3684">
      <c r="A3684" t="inlineStr">
        <is>
          <t>Ruben Dorador</t>
        </is>
      </c>
      <c r="B3684" t="inlineStr">
        <is>
          <t>8/9/26 - 9/5/26</t>
        </is>
      </c>
      <c r="C3684" t="n">
        <v>0.35</v>
      </c>
      <c r="D3684" t="n">
        <v>1.2224</v>
      </c>
      <c r="E3684" t="n">
        <v>1</v>
      </c>
      <c r="F3684" t="n">
        <v>0.903</v>
      </c>
      <c r="G3684" t="n">
        <v>0.8461538461538461</v>
      </c>
      <c r="H3684" t="n">
        <v>52</v>
      </c>
      <c r="K3684" t="inlineStr">
        <is>
          <t>Distinguished</t>
        </is>
      </c>
      <c r="M3684" t="inlineStr">
        <is>
          <t>Geoff St. Marie</t>
        </is>
      </c>
      <c r="N3684" t="n">
        <v>0.9545454545454546</v>
      </c>
      <c r="O3684" t="n">
        <v>8.866666666666667</v>
      </c>
      <c r="P3684" t="n">
        <v>0.2445630434782608</v>
      </c>
    </row>
    <row r="3685">
      <c r="A3685" t="inlineStr">
        <is>
          <t>Samantha Wetz</t>
        </is>
      </c>
      <c r="B3685" t="inlineStr">
        <is>
          <t>8/9/26 - 9/5/26</t>
        </is>
      </c>
      <c r="C3685" t="n">
        <v>1.1357</v>
      </c>
      <c r="D3685" t="n">
        <v>1.1047</v>
      </c>
      <c r="E3685" t="n">
        <v>0.9929577464788732</v>
      </c>
      <c r="F3685" t="n">
        <v>1</v>
      </c>
      <c r="G3685" t="n">
        <v>0.8064516129032258</v>
      </c>
      <c r="H3685" t="n">
        <v>90</v>
      </c>
      <c r="J3685" t="n">
        <v>0</v>
      </c>
      <c r="K3685" t="inlineStr">
        <is>
          <t>Premium</t>
        </is>
      </c>
      <c r="M3685" t="inlineStr">
        <is>
          <t>Ian Plamondon</t>
        </is>
      </c>
      <c r="N3685" t="n">
        <v>0.9685075391597132</v>
      </c>
      <c r="O3685" t="n">
        <v>7.928571428571429</v>
      </c>
      <c r="P3685" t="n">
        <v>0.0632554455445544</v>
      </c>
    </row>
    <row r="3686">
      <c r="A3686" t="inlineStr">
        <is>
          <t>Sara Vanderwood</t>
        </is>
      </c>
      <c r="B3686" t="inlineStr">
        <is>
          <t>8/9/26 - 9/5/26</t>
        </is>
      </c>
      <c r="C3686" t="n">
        <v>0.7357</v>
      </c>
      <c r="D3686" t="n">
        <v>0.9651</v>
      </c>
      <c r="E3686" t="n">
        <v>1</v>
      </c>
      <c r="F3686" t="n">
        <v>0.983</v>
      </c>
      <c r="G3686" t="n">
        <v>0.4285714285714286</v>
      </c>
      <c r="H3686" t="n">
        <v>44</v>
      </c>
      <c r="J3686" t="n">
        <v>0.7647058823529411</v>
      </c>
      <c r="K3686" t="inlineStr">
        <is>
          <t>Distinguished</t>
        </is>
      </c>
      <c r="M3686" t="inlineStr">
        <is>
          <t>Katherine Marino</t>
        </is>
      </c>
      <c r="N3686" t="n">
        <v>0.9520833333333334</v>
      </c>
      <c r="O3686" t="n">
        <v>6.25</v>
      </c>
      <c r="P3686" t="n">
        <v>0.1828021052631578</v>
      </c>
    </row>
    <row r="3687">
      <c r="A3687" t="inlineStr">
        <is>
          <t>Sarah Goodstein</t>
        </is>
      </c>
      <c r="B3687" t="inlineStr">
        <is>
          <t>8/9/26 - 9/5/26</t>
        </is>
      </c>
      <c r="C3687" t="n">
        <v>0.8833</v>
      </c>
      <c r="D3687" t="n">
        <v>1.0345</v>
      </c>
      <c r="E3687" t="n">
        <v>0.9782608695652174</v>
      </c>
      <c r="F3687" t="n">
        <v>0.925</v>
      </c>
      <c r="G3687" t="n">
        <v>0.6111111111111112</v>
      </c>
      <c r="H3687" t="n">
        <v>241</v>
      </c>
      <c r="J3687" t="n">
        <v>0.375</v>
      </c>
      <c r="K3687" t="inlineStr">
        <is>
          <t>Distinguished</t>
        </is>
      </c>
      <c r="M3687" t="inlineStr">
        <is>
          <t>Kristin Haase-Alvey</t>
        </is>
      </c>
      <c r="N3687" t="n">
        <v>0.9583333333333334</v>
      </c>
      <c r="P3687" t="n">
        <v>0.0753531914893617</v>
      </c>
    </row>
    <row r="3688">
      <c r="A3688" t="inlineStr">
        <is>
          <t>Savannah Padgett</t>
        </is>
      </c>
      <c r="B3688" t="inlineStr">
        <is>
          <t>8/9/26 - 9/5/26</t>
        </is>
      </c>
      <c r="C3688" t="n">
        <v>1.0143</v>
      </c>
      <c r="D3688" t="n">
        <v>0.8968</v>
      </c>
      <c r="E3688" t="n">
        <v>1</v>
      </c>
      <c r="F3688" t="n">
        <v>0.881</v>
      </c>
      <c r="G3688" t="n">
        <v>1</v>
      </c>
      <c r="H3688" t="n">
        <v>329</v>
      </c>
      <c r="J3688" t="n">
        <v>1</v>
      </c>
      <c r="K3688" t="inlineStr">
        <is>
          <t>Distinguished</t>
        </is>
      </c>
      <c r="M3688" t="inlineStr">
        <is>
          <t>Kristin Haase-Alvey</t>
        </is>
      </c>
      <c r="N3688" t="n">
        <v>0.975</v>
      </c>
      <c r="O3688" t="n">
        <v>8.5</v>
      </c>
      <c r="P3688" t="n">
        <v>0.0708947761194029</v>
      </c>
    </row>
    <row r="3689">
      <c r="A3689" t="inlineStr">
        <is>
          <t>Scott Boyd</t>
        </is>
      </c>
      <c r="B3689" t="inlineStr">
        <is>
          <t>8/9/26 - 9/5/26</t>
        </is>
      </c>
      <c r="C3689" t="n">
        <v>0.5729</v>
      </c>
      <c r="D3689" t="n">
        <v>1.207</v>
      </c>
      <c r="E3689" t="n">
        <v>1</v>
      </c>
      <c r="F3689" t="n">
        <v>1</v>
      </c>
      <c r="G3689" t="n">
        <v>0.6666666666666666</v>
      </c>
      <c r="H3689" t="n">
        <v>37</v>
      </c>
      <c r="J3689" t="n">
        <v>1</v>
      </c>
      <c r="K3689" t="inlineStr">
        <is>
          <t>Premium</t>
        </is>
      </c>
      <c r="M3689" t="inlineStr">
        <is>
          <t>Geoff St. Marie</t>
        </is>
      </c>
      <c r="N3689" t="n">
        <v>0.95</v>
      </c>
      <c r="P3689" t="n">
        <v>0.117635294117647</v>
      </c>
    </row>
    <row r="3690">
      <c r="A3690" t="inlineStr">
        <is>
          <t>Scott Holdcraft</t>
        </is>
      </c>
      <c r="B3690" t="inlineStr">
        <is>
          <t>8/9/26 - 9/5/26</t>
        </is>
      </c>
      <c r="C3690" t="n">
        <v>1.1958</v>
      </c>
      <c r="D3690" t="n">
        <v>1.3536</v>
      </c>
      <c r="E3690" t="n">
        <v>1</v>
      </c>
      <c r="F3690" t="n">
        <v>0.974</v>
      </c>
      <c r="G3690" t="n">
        <v>1</v>
      </c>
      <c r="H3690" t="n">
        <v>126</v>
      </c>
      <c r="J3690" t="n">
        <v>1</v>
      </c>
      <c r="K3690" t="inlineStr">
        <is>
          <t>Distinguished</t>
        </is>
      </c>
      <c r="M3690" t="inlineStr">
        <is>
          <t>Ela Cross</t>
        </is>
      </c>
      <c r="N3690" t="n">
        <v>0.8837301587301587</v>
      </c>
      <c r="O3690" t="n">
        <v>8.38125</v>
      </c>
    </row>
    <row r="3691">
      <c r="A3691" t="inlineStr">
        <is>
          <t>Shannon Huang</t>
        </is>
      </c>
      <c r="B3691" t="inlineStr">
        <is>
          <t>8/9/26 - 9/5/26</t>
        </is>
      </c>
      <c r="C3691" t="n">
        <v>1.1292</v>
      </c>
      <c r="D3691" t="n">
        <v>1.2319</v>
      </c>
      <c r="E3691" t="n">
        <v>0.9761904761904762</v>
      </c>
      <c r="F3691" t="n">
        <v>0.698</v>
      </c>
      <c r="G3691" t="n">
        <v>0.631578947368421</v>
      </c>
      <c r="H3691" t="n">
        <v>296</v>
      </c>
      <c r="J3691" t="n">
        <v>0</v>
      </c>
      <c r="K3691" t="inlineStr">
        <is>
          <t>Distinguished</t>
        </is>
      </c>
      <c r="M3691" t="inlineStr">
        <is>
          <t>Ela Cross</t>
        </is>
      </c>
      <c r="N3691" t="n">
        <v>0.9848484848484848</v>
      </c>
      <c r="O3691" t="n">
        <v>7.333333333333334</v>
      </c>
      <c r="P3691" t="n">
        <v>0.0965227799227799</v>
      </c>
    </row>
    <row r="3692">
      <c r="A3692" t="inlineStr">
        <is>
          <t>Sharon Vincuilla</t>
        </is>
      </c>
      <c r="B3692" t="inlineStr">
        <is>
          <t>8/9/26 - 9/5/26</t>
        </is>
      </c>
      <c r="C3692" t="n">
        <v>1.0833</v>
      </c>
      <c r="D3692" t="n">
        <v>1.4141</v>
      </c>
      <c r="E3692" t="n">
        <v>0.9803921568627452</v>
      </c>
      <c r="F3692" t="n">
        <v>1</v>
      </c>
      <c r="G3692" t="n">
        <v>1</v>
      </c>
      <c r="H3692" t="n">
        <v>108</v>
      </c>
      <c r="K3692" t="inlineStr">
        <is>
          <t>Distinguished</t>
        </is>
      </c>
      <c r="M3692" t="inlineStr">
        <is>
          <t>Annelies de Groot</t>
        </is>
      </c>
      <c r="N3692" t="n">
        <v>1</v>
      </c>
      <c r="O3692" t="n">
        <v>7.75</v>
      </c>
      <c r="P3692" t="n">
        <v>0.2731960784313725</v>
      </c>
    </row>
    <row r="3693">
      <c r="A3693" t="inlineStr">
        <is>
          <t>Shaun Leonard</t>
        </is>
      </c>
      <c r="B3693" t="inlineStr">
        <is>
          <t>8/9/26 - 9/5/26</t>
        </is>
      </c>
      <c r="C3693" t="n">
        <v>0.9375</v>
      </c>
      <c r="D3693" t="n">
        <v>1.1211</v>
      </c>
      <c r="E3693" t="n">
        <v>0.9333333333333332</v>
      </c>
      <c r="F3693" t="n">
        <v>0.853</v>
      </c>
      <c r="G3693" t="n">
        <v>0.7</v>
      </c>
      <c r="H3693" t="n">
        <v>92</v>
      </c>
      <c r="J3693" t="n">
        <v>1</v>
      </c>
      <c r="K3693" t="inlineStr">
        <is>
          <t>Distinguished</t>
        </is>
      </c>
      <c r="M3693" t="inlineStr">
        <is>
          <t>Kristin Haase-Alvey</t>
        </is>
      </c>
      <c r="N3693" t="n">
        <v>0.9375</v>
      </c>
      <c r="O3693" t="n">
        <v>5.666666666666666</v>
      </c>
      <c r="P3693" t="n">
        <v>0.1479125</v>
      </c>
    </row>
    <row r="3694">
      <c r="A3694" t="inlineStr">
        <is>
          <t>Shawn Kane</t>
        </is>
      </c>
      <c r="B3694" t="inlineStr">
        <is>
          <t>8/9/26 - 9/5/26</t>
        </is>
      </c>
      <c r="C3694" t="n">
        <v>1</v>
      </c>
      <c r="D3694" t="n">
        <v>1.125</v>
      </c>
      <c r="E3694" t="n">
        <v>1</v>
      </c>
      <c r="F3694" t="n">
        <v>0.522</v>
      </c>
      <c r="G3694" t="n">
        <v>0.25</v>
      </c>
      <c r="H3694" t="n">
        <v>34</v>
      </c>
      <c r="J3694" t="n">
        <v>0</v>
      </c>
      <c r="K3694" t="inlineStr">
        <is>
          <t>Premium</t>
        </is>
      </c>
      <c r="M3694" t="inlineStr">
        <is>
          <t>Ela Cross</t>
        </is>
      </c>
      <c r="N3694" t="n">
        <v>0.7571428571428571</v>
      </c>
      <c r="P3694" t="n">
        <v>0.0629622222222222</v>
      </c>
    </row>
    <row r="3695">
      <c r="A3695" t="inlineStr">
        <is>
          <t>Silvester Harrison</t>
        </is>
      </c>
      <c r="B3695" t="inlineStr">
        <is>
          <t>8/9/26 - 9/5/26</t>
        </is>
      </c>
      <c r="C3695" t="n">
        <v>0.9786</v>
      </c>
      <c r="D3695" t="n">
        <v>1.0581</v>
      </c>
      <c r="E3695" t="n">
        <v>1</v>
      </c>
      <c r="F3695" t="n">
        <v>0.962</v>
      </c>
      <c r="G3695" t="n">
        <v>0.8260869565217391</v>
      </c>
      <c r="H3695" t="n">
        <v>214</v>
      </c>
      <c r="J3695" t="n">
        <v>0.4545454545454545</v>
      </c>
      <c r="K3695" t="inlineStr">
        <is>
          <t>Distinguished</t>
        </is>
      </c>
      <c r="M3695" t="inlineStr">
        <is>
          <t>Ela Cross</t>
        </is>
      </c>
      <c r="N3695" t="n">
        <v>1</v>
      </c>
      <c r="O3695" t="n">
        <v>9.314814814814817</v>
      </c>
      <c r="P3695" t="n">
        <v>0.0477205128205128</v>
      </c>
    </row>
    <row r="3696">
      <c r="A3696" t="inlineStr">
        <is>
          <t>Skye Silmenna</t>
        </is>
      </c>
      <c r="B3696" t="inlineStr">
        <is>
          <t>8/9/26 - 9/5/26</t>
        </is>
      </c>
      <c r="C3696" t="n">
        <v>0.7875</v>
      </c>
      <c r="D3696" t="n">
        <v>1.0625</v>
      </c>
      <c r="E3696" t="n">
        <v>0.9680851063829788</v>
      </c>
      <c r="F3696" t="n">
        <v>0.947</v>
      </c>
      <c r="G3696" t="n">
        <v>0.5</v>
      </c>
      <c r="H3696" t="n">
        <v>114</v>
      </c>
      <c r="J3696" t="n">
        <v>0.6666666666666666</v>
      </c>
      <c r="K3696" t="inlineStr">
        <is>
          <t>Distinguished</t>
        </is>
      </c>
      <c r="M3696" t="inlineStr">
        <is>
          <t>Annelies de Groot</t>
        </is>
      </c>
      <c r="N3696" t="n">
        <v>1</v>
      </c>
      <c r="O3696" t="n">
        <v>7</v>
      </c>
      <c r="P3696" t="n">
        <v>0.0763329608938547</v>
      </c>
    </row>
    <row r="3697">
      <c r="A3697" t="inlineStr">
        <is>
          <t>Stacey Jones</t>
        </is>
      </c>
      <c r="B3697" t="inlineStr">
        <is>
          <t>8/9/26 - 9/5/26</t>
        </is>
      </c>
      <c r="C3697" t="n">
        <v>0.875</v>
      </c>
      <c r="D3697" t="n">
        <v>1.1563</v>
      </c>
      <c r="E3697" t="n">
        <v>1</v>
      </c>
      <c r="F3697" t="n">
        <v>0.971</v>
      </c>
      <c r="G3697" t="n">
        <v>0.6</v>
      </c>
      <c r="H3697" t="n">
        <v>192</v>
      </c>
      <c r="J3697" t="n">
        <v>0</v>
      </c>
      <c r="K3697" t="inlineStr">
        <is>
          <t>Distinguished</t>
        </is>
      </c>
      <c r="M3697" t="inlineStr">
        <is>
          <t>Annelies de Groot</t>
        </is>
      </c>
      <c r="N3697" t="n">
        <v>0.9460227272727272</v>
      </c>
      <c r="O3697" t="n">
        <v>5.666666666666667</v>
      </c>
      <c r="P3697" t="n">
        <v>0.206648</v>
      </c>
    </row>
    <row r="3698">
      <c r="A3698" t="inlineStr">
        <is>
          <t>Steven Colome</t>
        </is>
      </c>
      <c r="B3698" t="inlineStr">
        <is>
          <t>8/9/26 - 9/5/26</t>
        </is>
      </c>
      <c r="C3698" t="n">
        <v>0.6458</v>
      </c>
      <c r="D3698" t="n">
        <v>1.0898</v>
      </c>
      <c r="E3698" t="n">
        <v>0.967741935483871</v>
      </c>
      <c r="F3698" t="n">
        <v>1</v>
      </c>
      <c r="G3698" t="n">
        <v>0.8333333333333334</v>
      </c>
      <c r="H3698" t="n">
        <v>60</v>
      </c>
      <c r="J3698" t="n">
        <v>0.5</v>
      </c>
      <c r="K3698" t="inlineStr">
        <is>
          <t>Distinguished</t>
        </is>
      </c>
      <c r="M3698" t="inlineStr">
        <is>
          <t>Ela Cross</t>
        </is>
      </c>
      <c r="N3698" t="n">
        <v>1</v>
      </c>
      <c r="O3698" t="n">
        <v>4.166666666666667</v>
      </c>
      <c r="P3698" t="n">
        <v>0.0714107142857142</v>
      </c>
    </row>
    <row r="3699">
      <c r="A3699" t="inlineStr">
        <is>
          <t>Sunho Kum</t>
        </is>
      </c>
      <c r="B3699" t="inlineStr">
        <is>
          <t>8/9/26 - 9/5/26</t>
        </is>
      </c>
      <c r="C3699" t="n">
        <v>1.0833</v>
      </c>
      <c r="D3699" t="n">
        <v>1.0078</v>
      </c>
      <c r="E3699" t="n">
        <v>1</v>
      </c>
      <c r="F3699" t="n">
        <v>1</v>
      </c>
      <c r="G3699" t="n">
        <v>1</v>
      </c>
      <c r="H3699" t="n">
        <v>128</v>
      </c>
      <c r="J3699" t="n">
        <v>1</v>
      </c>
      <c r="K3699" t="inlineStr">
        <is>
          <t>Distinguished</t>
        </is>
      </c>
      <c r="M3699" t="inlineStr">
        <is>
          <t>Ela Cross</t>
        </is>
      </c>
      <c r="N3699" t="n">
        <v>0.9409722222222222</v>
      </c>
      <c r="O3699" t="n">
        <v>5.833333333333333</v>
      </c>
    </row>
    <row r="3700">
      <c r="A3700" t="inlineStr">
        <is>
          <t>Szymon Steplewski</t>
        </is>
      </c>
      <c r="B3700" t="inlineStr">
        <is>
          <t>8/9/26 - 9/5/26</t>
        </is>
      </c>
      <c r="C3700" t="n">
        <v>0</v>
      </c>
      <c r="D3700" t="n">
        <v>0.2862</v>
      </c>
      <c r="H3700" t="n">
        <v>0</v>
      </c>
      <c r="K3700" t="inlineStr">
        <is>
          <t>Distinguished</t>
        </is>
      </c>
      <c r="M3700" t="inlineStr">
        <is>
          <t>Nikki Pencak</t>
        </is>
      </c>
    </row>
    <row r="3701">
      <c r="A3701" t="inlineStr">
        <is>
          <t>Taryn Parks</t>
        </is>
      </c>
      <c r="B3701" t="inlineStr">
        <is>
          <t>8/9/26 - 9/5/26</t>
        </is>
      </c>
      <c r="C3701" t="n">
        <v>0.3333</v>
      </c>
      <c r="D3701" t="n">
        <v>0.8125</v>
      </c>
      <c r="E3701" t="n">
        <v>0.9375</v>
      </c>
      <c r="F3701" t="n">
        <v>0.9330000000000001</v>
      </c>
      <c r="G3701" t="n">
        <v>0.625</v>
      </c>
      <c r="H3701" t="n">
        <v>124</v>
      </c>
      <c r="J3701" t="n">
        <v>1</v>
      </c>
      <c r="K3701" t="inlineStr">
        <is>
          <t>Advanced</t>
        </is>
      </c>
      <c r="M3701" t="inlineStr">
        <is>
          <t>Annelies de Groot</t>
        </is>
      </c>
      <c r="N3701" t="n">
        <v>1</v>
      </c>
      <c r="O3701" t="n">
        <v>8.333333333333334</v>
      </c>
      <c r="P3701" t="n">
        <v>0.02603125</v>
      </c>
    </row>
    <row r="3702">
      <c r="A3702" t="inlineStr">
        <is>
          <t>Taylor Ennadi</t>
        </is>
      </c>
      <c r="B3702" t="inlineStr">
        <is>
          <t>8/9/26 - 9/5/26</t>
        </is>
      </c>
      <c r="C3702" t="n">
        <v>0.6167</v>
      </c>
      <c r="D3702" t="n">
        <v>0.8569</v>
      </c>
      <c r="E3702" t="n">
        <v>1</v>
      </c>
      <c r="F3702" t="n">
        <v>0.949</v>
      </c>
      <c r="G3702" t="n">
        <v>1</v>
      </c>
      <c r="H3702" t="n">
        <v>28</v>
      </c>
      <c r="J3702" t="n">
        <v>0.4</v>
      </c>
      <c r="K3702" t="inlineStr">
        <is>
          <t>Distinguished</t>
        </is>
      </c>
      <c r="M3702" t="inlineStr">
        <is>
          <t>Annelies de Groot</t>
        </is>
      </c>
      <c r="N3702" t="n">
        <v>0.9388888888888888</v>
      </c>
      <c r="P3702" t="n">
        <v>0.0490176470588235</v>
      </c>
    </row>
    <row r="3703">
      <c r="A3703" t="inlineStr">
        <is>
          <t>Tea Stewart</t>
        </is>
      </c>
      <c r="B3703" t="inlineStr">
        <is>
          <t>8/9/26 - 9/5/26</t>
        </is>
      </c>
      <c r="C3703" t="n">
        <v>0.6667</v>
      </c>
      <c r="D3703" t="n">
        <v>0.9219000000000001</v>
      </c>
      <c r="E3703" t="n">
        <v>0.9666666666666668</v>
      </c>
      <c r="F3703" t="n">
        <v>1</v>
      </c>
      <c r="G3703" t="n">
        <v>0.625</v>
      </c>
      <c r="H3703" t="n">
        <v>56</v>
      </c>
      <c r="J3703" t="n">
        <v>0</v>
      </c>
      <c r="K3703" t="inlineStr">
        <is>
          <t>Distinguished</t>
        </is>
      </c>
      <c r="M3703" t="inlineStr">
        <is>
          <t>Kristin Haase-Alvey</t>
        </is>
      </c>
      <c r="N3703" t="n">
        <v>0.875</v>
      </c>
      <c r="O3703" t="n">
        <v>7.166666666666667</v>
      </c>
      <c r="P3703" t="n">
        <v>0.0384461538461538</v>
      </c>
    </row>
    <row r="3704">
      <c r="A3704" t="inlineStr">
        <is>
          <t>Teresa Fuller</t>
        </is>
      </c>
      <c r="B3704" t="inlineStr">
        <is>
          <t>8/9/26 - 9/5/26</t>
        </is>
      </c>
      <c r="C3704" t="n">
        <v>0.6667</v>
      </c>
      <c r="D3704" t="n">
        <v>0.9375</v>
      </c>
      <c r="E3704" t="n">
        <v>1</v>
      </c>
      <c r="F3704" t="n">
        <v>1</v>
      </c>
      <c r="G3704" t="n">
        <v>0.6666666666666666</v>
      </c>
      <c r="H3704" t="n">
        <v>68</v>
      </c>
      <c r="J3704" t="n">
        <v>1</v>
      </c>
      <c r="K3704" t="inlineStr">
        <is>
          <t>Advanced</t>
        </is>
      </c>
      <c r="M3704" t="inlineStr">
        <is>
          <t>Ela Cross</t>
        </is>
      </c>
      <c r="N3704" t="n">
        <v>0.9375</v>
      </c>
      <c r="O3704" t="n">
        <v>9.25</v>
      </c>
    </row>
    <row r="3705">
      <c r="A3705" t="inlineStr">
        <is>
          <t>Tim Page</t>
        </is>
      </c>
      <c r="B3705" t="inlineStr">
        <is>
          <t>8/9/26 - 9/5/26</t>
        </is>
      </c>
      <c r="C3705" t="n">
        <v>0.8929</v>
      </c>
      <c r="D3705" t="n">
        <v>1.0945</v>
      </c>
      <c r="E3705" t="n">
        <v>1</v>
      </c>
      <c r="F3705" t="n">
        <v>1</v>
      </c>
      <c r="G3705" t="n">
        <v>0.6153846153846154</v>
      </c>
      <c r="H3705" t="n">
        <v>152</v>
      </c>
      <c r="J3705" t="n">
        <v>0.4615384615384616</v>
      </c>
      <c r="K3705" t="inlineStr">
        <is>
          <t>Advanced</t>
        </is>
      </c>
      <c r="M3705" t="inlineStr">
        <is>
          <t>Annelies de Groot</t>
        </is>
      </c>
      <c r="N3705" t="n">
        <v>0.986842105263158</v>
      </c>
      <c r="O3705" t="n">
        <v>8.5</v>
      </c>
      <c r="P3705" t="n">
        <v>0.0537383177570093</v>
      </c>
    </row>
    <row r="3706">
      <c r="A3706" t="inlineStr">
        <is>
          <t>Tim Schlotzhauer</t>
        </is>
      </c>
      <c r="B3706" t="inlineStr">
        <is>
          <t>8/9/26 - 9/5/26</t>
        </is>
      </c>
      <c r="C3706" t="n">
        <v>0.6708</v>
      </c>
      <c r="D3706" t="n">
        <v>1.1612</v>
      </c>
      <c r="E3706" t="n">
        <v>1</v>
      </c>
      <c r="F3706" t="n">
        <v>0.977</v>
      </c>
      <c r="G3706" t="n">
        <v>1</v>
      </c>
      <c r="H3706" t="n">
        <v>80</v>
      </c>
      <c r="K3706" t="inlineStr">
        <is>
          <t>Premium</t>
        </is>
      </c>
      <c r="M3706" t="inlineStr">
        <is>
          <t>Geoff St. Marie</t>
        </is>
      </c>
      <c r="N3706" t="n">
        <v>0.94375</v>
      </c>
      <c r="O3706" t="n">
        <v>8.875</v>
      </c>
      <c r="P3706" t="n">
        <v>0.1111111111111111</v>
      </c>
    </row>
    <row r="3707">
      <c r="A3707" t="inlineStr">
        <is>
          <t>Tom Pluth</t>
        </is>
      </c>
      <c r="B3707" t="inlineStr">
        <is>
          <t>8/9/26 - 9/5/26</t>
        </is>
      </c>
      <c r="C3707" t="n">
        <v>1</v>
      </c>
      <c r="D3707" t="n">
        <v>1.0664</v>
      </c>
      <c r="E3707" t="n">
        <v>1</v>
      </c>
      <c r="F3707" t="n">
        <v>0.957</v>
      </c>
      <c r="G3707" t="n">
        <v>0.4285714285714286</v>
      </c>
      <c r="H3707" t="n">
        <v>92</v>
      </c>
      <c r="K3707" t="inlineStr">
        <is>
          <t>Distinguished</t>
        </is>
      </c>
      <c r="M3707" t="inlineStr">
        <is>
          <t>Ela Cross</t>
        </is>
      </c>
      <c r="N3707" t="n">
        <v>0.9520833333333334</v>
      </c>
      <c r="P3707" t="n">
        <v>0.1136363636363636</v>
      </c>
    </row>
    <row r="3708">
      <c r="A3708" t="inlineStr">
        <is>
          <t>Tommaso Marsella</t>
        </is>
      </c>
      <c r="B3708" t="inlineStr">
        <is>
          <t>8/9/26 - 9/5/26</t>
        </is>
      </c>
      <c r="C3708" t="n">
        <v>0.6667</v>
      </c>
      <c r="D3708" t="n">
        <v>1.0938</v>
      </c>
      <c r="E3708" t="n">
        <v>1</v>
      </c>
      <c r="F3708" t="n">
        <v>0.96</v>
      </c>
      <c r="G3708" t="n">
        <v>0.5</v>
      </c>
      <c r="H3708" t="n">
        <v>40</v>
      </c>
      <c r="J3708" t="n">
        <v>1</v>
      </c>
      <c r="K3708" t="inlineStr">
        <is>
          <t>Distinguished</t>
        </is>
      </c>
      <c r="M3708" t="inlineStr">
        <is>
          <t>Ian Plamondon</t>
        </is>
      </c>
      <c r="N3708" t="n">
        <v>0.9285714285714286</v>
      </c>
      <c r="O3708" t="n">
        <v>7</v>
      </c>
    </row>
    <row r="3709">
      <c r="A3709" t="inlineStr">
        <is>
          <t>Treasure Joyce</t>
        </is>
      </c>
      <c r="B3709" t="inlineStr">
        <is>
          <t>8/9/26 - 9/5/26</t>
        </is>
      </c>
      <c r="C3709" t="n">
        <v>0.7917</v>
      </c>
      <c r="D3709" t="n">
        <v>1.051</v>
      </c>
      <c r="E3709" t="n">
        <v>1</v>
      </c>
      <c r="F3709" t="n">
        <v>1</v>
      </c>
      <c r="G3709" t="n">
        <v>0.6</v>
      </c>
      <c r="H3709" t="n">
        <v>20</v>
      </c>
      <c r="J3709" t="n">
        <v>0.3888888888888889</v>
      </c>
      <c r="K3709" t="inlineStr">
        <is>
          <t>Distinguished</t>
        </is>
      </c>
      <c r="M3709" t="inlineStr">
        <is>
          <t>Geoff St. Marie</t>
        </is>
      </c>
      <c r="N3709" t="n">
        <v>1</v>
      </c>
      <c r="P3709" t="n">
        <v>0.1831494505494505</v>
      </c>
    </row>
    <row r="3710">
      <c r="A3710" t="inlineStr">
        <is>
          <t>Trevor Ferguson</t>
        </is>
      </c>
      <c r="B3710" t="inlineStr">
        <is>
          <t>8/9/26 - 9/5/26</t>
        </is>
      </c>
      <c r="C3710" t="n">
        <v>0.9417</v>
      </c>
      <c r="D3710" t="n">
        <v>0.972</v>
      </c>
      <c r="E3710" t="n">
        <v>0.9904761904761904</v>
      </c>
      <c r="F3710" t="n">
        <v>0.981</v>
      </c>
      <c r="G3710" t="n">
        <v>0.5909090909090909</v>
      </c>
      <c r="H3710" t="n">
        <v>165</v>
      </c>
      <c r="J3710" t="n">
        <v>1</v>
      </c>
      <c r="K3710" t="inlineStr">
        <is>
          <t>Distinguished</t>
        </is>
      </c>
      <c r="M3710" t="inlineStr">
        <is>
          <t>Geoff St. Marie</t>
        </is>
      </c>
      <c r="N3710" t="n">
        <v>0.8744200244200244</v>
      </c>
      <c r="O3710" t="n">
        <v>7</v>
      </c>
      <c r="P3710" t="n">
        <v>0.0078613207547169</v>
      </c>
    </row>
    <row r="3711">
      <c r="A3711" t="inlineStr">
        <is>
          <t>Tyler Greer</t>
        </is>
      </c>
      <c r="B3711" t="inlineStr">
        <is>
          <t>8/9/26 - 9/5/26</t>
        </is>
      </c>
      <c r="C3711" t="n">
        <v>0.8375</v>
      </c>
      <c r="D3711" t="n">
        <v>0.8766</v>
      </c>
      <c r="E3711" t="n">
        <v>0.989247311827957</v>
      </c>
      <c r="F3711" t="n">
        <v>0.967</v>
      </c>
      <c r="G3711" t="n">
        <v>0.9545454545454546</v>
      </c>
      <c r="H3711" t="n">
        <v>222</v>
      </c>
      <c r="J3711" t="n">
        <v>0.3333333333333333</v>
      </c>
      <c r="K3711" t="inlineStr">
        <is>
          <t>Distinguished</t>
        </is>
      </c>
      <c r="M3711" t="inlineStr">
        <is>
          <t>Kristin Haase-Alvey</t>
        </is>
      </c>
      <c r="N3711" t="n">
        <v>0.95</v>
      </c>
      <c r="O3711" t="n">
        <v>5.2</v>
      </c>
      <c r="P3711" t="n">
        <v>0.106145251396648</v>
      </c>
    </row>
    <row r="3712">
      <c r="A3712" t="inlineStr">
        <is>
          <t>Tyler Henry</t>
        </is>
      </c>
      <c r="B3712" t="inlineStr">
        <is>
          <t>8/9/26 - 9/5/26</t>
        </is>
      </c>
      <c r="C3712" t="n">
        <v>1.175</v>
      </c>
      <c r="D3712" t="n">
        <v>1.222</v>
      </c>
      <c r="E3712" t="n">
        <v>0.9708029197080292</v>
      </c>
      <c r="F3712" t="n">
        <v>1</v>
      </c>
      <c r="G3712" t="n">
        <v>0.7241379310344828</v>
      </c>
      <c r="H3712" t="n">
        <v>144</v>
      </c>
      <c r="J3712" t="n">
        <v>0.7272727272727273</v>
      </c>
      <c r="K3712" t="inlineStr">
        <is>
          <t>Distinguished</t>
        </is>
      </c>
      <c r="M3712" t="inlineStr">
        <is>
          <t>Annelies de Groot</t>
        </is>
      </c>
      <c r="N3712" t="n">
        <v>1</v>
      </c>
      <c r="O3712" t="n">
        <v>7.2</v>
      </c>
      <c r="P3712" t="n">
        <v>0.0111940298507462</v>
      </c>
    </row>
    <row r="3713">
      <c r="A3713" t="inlineStr">
        <is>
          <t>Tyler Thornton</t>
        </is>
      </c>
      <c r="B3713" t="inlineStr">
        <is>
          <t>8/9/26 - 9/5/26</t>
        </is>
      </c>
      <c r="C3713" t="n">
        <v>0.9542</v>
      </c>
      <c r="D3713" t="n">
        <v>1.0724</v>
      </c>
      <c r="E3713" t="n">
        <v>1</v>
      </c>
      <c r="F3713" t="n">
        <v>0.875</v>
      </c>
      <c r="G3713" t="n">
        <v>0.8695652173913043</v>
      </c>
      <c r="H3713" t="n">
        <v>324</v>
      </c>
      <c r="J3713" t="n">
        <v>0.5</v>
      </c>
      <c r="K3713" t="inlineStr">
        <is>
          <t>Distinguished</t>
        </is>
      </c>
      <c r="M3713" t="inlineStr">
        <is>
          <t>Kristin Haase-Alvey</t>
        </is>
      </c>
      <c r="N3713" t="n">
        <v>1</v>
      </c>
      <c r="O3713" t="n">
        <v>8.25</v>
      </c>
      <c r="P3713" t="n">
        <v>0.1150103286384976</v>
      </c>
    </row>
    <row r="3714">
      <c r="A3714" t="inlineStr">
        <is>
          <t>Uzair Tariq</t>
        </is>
      </c>
      <c r="B3714" t="inlineStr">
        <is>
          <t>8/9/26 - 9/5/26</t>
        </is>
      </c>
      <c r="C3714" t="n">
        <v>0</v>
      </c>
      <c r="D3714" t="n">
        <v>0.3783</v>
      </c>
      <c r="H3714" t="n">
        <v>0</v>
      </c>
      <c r="K3714" t="inlineStr">
        <is>
          <t>Distinguished</t>
        </is>
      </c>
      <c r="M3714" t="inlineStr">
        <is>
          <t>Nikki Pencak</t>
        </is>
      </c>
    </row>
    <row r="3715">
      <c r="A3715" t="inlineStr">
        <is>
          <t>Valdenis Iancu</t>
        </is>
      </c>
      <c r="B3715" t="inlineStr">
        <is>
          <t>8/9/26 - 9/5/26</t>
        </is>
      </c>
      <c r="C3715" t="n">
        <v>0.9833</v>
      </c>
      <c r="D3715" t="n">
        <v>0.9655</v>
      </c>
      <c r="E3715" t="n">
        <v>1</v>
      </c>
      <c r="F3715" t="n">
        <v>1</v>
      </c>
      <c r="G3715" t="n">
        <v>1</v>
      </c>
      <c r="H3715" t="n">
        <v>68</v>
      </c>
      <c r="J3715" t="n">
        <v>1</v>
      </c>
      <c r="K3715" t="inlineStr">
        <is>
          <t>Premium</t>
        </is>
      </c>
      <c r="M3715" t="inlineStr">
        <is>
          <t>Ian Plamondon</t>
        </is>
      </c>
      <c r="N3715" t="n">
        <v>0.9642857142857144</v>
      </c>
      <c r="O3715" t="n">
        <v>7.384615384615385</v>
      </c>
      <c r="P3715" t="n">
        <v>0.0754698113207547</v>
      </c>
    </row>
    <row r="3716">
      <c r="A3716" t="inlineStr">
        <is>
          <t>Valerie Duran</t>
        </is>
      </c>
      <c r="B3716" t="inlineStr">
        <is>
          <t>8/9/26 - 9/5/26</t>
        </is>
      </c>
      <c r="C3716" t="n">
        <v>1.225</v>
      </c>
      <c r="D3716" t="n">
        <v>1.375</v>
      </c>
      <c r="E3716" t="n">
        <v>0.9662921348314608</v>
      </c>
      <c r="F3716" t="n">
        <v>0.918</v>
      </c>
      <c r="G3716" t="n">
        <v>1</v>
      </c>
      <c r="H3716" t="n">
        <v>308</v>
      </c>
      <c r="J3716" t="n">
        <v>0.3333333333333333</v>
      </c>
      <c r="K3716" t="inlineStr">
        <is>
          <t>Advanced</t>
        </is>
      </c>
      <c r="M3716" t="inlineStr">
        <is>
          <t>Ela Cross</t>
        </is>
      </c>
      <c r="N3716" t="n">
        <v>0.9460227272727272</v>
      </c>
      <c r="O3716" t="n">
        <v>3.31547619047619</v>
      </c>
    </row>
    <row r="3717">
      <c r="A3717" t="inlineStr">
        <is>
          <t>Vincent Cross</t>
        </is>
      </c>
      <c r="B3717" t="inlineStr">
        <is>
          <t>8/9/26 - 9/5/26</t>
        </is>
      </c>
      <c r="C3717" t="n">
        <v>0.8083</v>
      </c>
      <c r="D3717" t="n">
        <v>1.0658</v>
      </c>
      <c r="E3717" t="n">
        <v>1</v>
      </c>
      <c r="F3717" t="n">
        <v>0.919</v>
      </c>
      <c r="G3717" t="n">
        <v>0.9444444444444444</v>
      </c>
      <c r="H3717" t="n">
        <v>126</v>
      </c>
      <c r="J3717" t="n">
        <v>0</v>
      </c>
      <c r="K3717" t="inlineStr">
        <is>
          <t>Distinguished</t>
        </is>
      </c>
      <c r="M3717" t="inlineStr">
        <is>
          <t>Kristin Haase-Alvey</t>
        </is>
      </c>
      <c r="N3717" t="n">
        <v>1</v>
      </c>
      <c r="O3717" t="n">
        <v>6.05</v>
      </c>
      <c r="P3717" t="n">
        <v>0.1120355555555555</v>
      </c>
    </row>
    <row r="3718">
      <c r="A3718" t="inlineStr">
        <is>
          <t>Wren Wood</t>
        </is>
      </c>
      <c r="B3718" t="inlineStr">
        <is>
          <t>8/9/26 - 9/5/26</t>
        </is>
      </c>
      <c r="C3718" t="n">
        <v>0</v>
      </c>
      <c r="D3718" t="n">
        <v>0.3198</v>
      </c>
      <c r="H3718" t="n">
        <v>0</v>
      </c>
      <c r="K3718" t="inlineStr">
        <is>
          <t>Distinguished</t>
        </is>
      </c>
      <c r="M3718" t="inlineStr">
        <is>
          <t>Nikki Pencak</t>
        </is>
      </c>
    </row>
    <row r="3719">
      <c r="A3719" t="inlineStr">
        <is>
          <t>Zach McFatridge</t>
        </is>
      </c>
      <c r="B3719" t="inlineStr">
        <is>
          <t>8/9/26 - 9/5/26</t>
        </is>
      </c>
      <c r="C3719" t="n">
        <v>1.2679</v>
      </c>
      <c r="D3719" t="n">
        <v>1.0698</v>
      </c>
      <c r="E3719" t="n">
        <v>1</v>
      </c>
      <c r="F3719" t="n">
        <v>0.888</v>
      </c>
      <c r="G3719" t="n">
        <v>0.926829268292683</v>
      </c>
      <c r="H3719" t="n">
        <v>264</v>
      </c>
      <c r="J3719" t="n">
        <v>1</v>
      </c>
      <c r="K3719" t="inlineStr">
        <is>
          <t>Distinguished</t>
        </is>
      </c>
      <c r="M3719" t="inlineStr">
        <is>
          <t>Annelies de Groot</t>
        </is>
      </c>
      <c r="N3719" t="n">
        <v>0.8022727272727272</v>
      </c>
      <c r="O3719" t="n">
        <v>8.166666666666666</v>
      </c>
      <c r="P3719" t="n">
        <v>0.008559516616314201</v>
      </c>
    </row>
    <row r="3720">
      <c r="A3720" t="inlineStr">
        <is>
          <t>Zachary Doenges</t>
        </is>
      </c>
      <c r="B3720" t="inlineStr">
        <is>
          <t>8/9/26 - 9/5/26</t>
        </is>
      </c>
      <c r="C3720" t="n">
        <v>1.2179</v>
      </c>
      <c r="D3720" t="n">
        <v>1.0407</v>
      </c>
      <c r="E3720" t="n">
        <v>1</v>
      </c>
      <c r="F3720" t="n">
        <v>0.979</v>
      </c>
      <c r="G3720" t="n">
        <v>1</v>
      </c>
      <c r="H3720" t="n">
        <v>123</v>
      </c>
      <c r="K3720" t="inlineStr">
        <is>
          <t>Premium</t>
        </is>
      </c>
      <c r="M3720" t="inlineStr">
        <is>
          <t>Ian Plamondon</t>
        </is>
      </c>
      <c r="N3720" t="n">
        <v>0.927922077922078</v>
      </c>
      <c r="O3720" t="n">
        <v>3.7125</v>
      </c>
      <c r="P3720" t="n">
        <v>0.0136518771331058</v>
      </c>
    </row>
    <row r="3721">
      <c r="A3721" t="inlineStr">
        <is>
          <t>Zack Anthony</t>
        </is>
      </c>
      <c r="B3721" t="inlineStr">
        <is>
          <t>8/9/26 - 9/5/26</t>
        </is>
      </c>
      <c r="C3721" t="n">
        <v>1.0042</v>
      </c>
      <c r="D3721" t="n">
        <v>0.8502999999999999</v>
      </c>
      <c r="E3721" t="n">
        <v>0.972972972972973</v>
      </c>
      <c r="F3721" t="n">
        <v>0.985</v>
      </c>
      <c r="G3721" t="n">
        <v>0.7692307692307693</v>
      </c>
      <c r="H3721" t="n">
        <v>149</v>
      </c>
      <c r="J3721" t="n">
        <v>0.5</v>
      </c>
      <c r="K3721" t="inlineStr">
        <is>
          <t>Distinguished</t>
        </is>
      </c>
      <c r="M3721" t="inlineStr">
        <is>
          <t>Kristin Haase-Alvey</t>
        </is>
      </c>
      <c r="N3721" t="n">
        <v>0.986842105263158</v>
      </c>
      <c r="O3721" t="n">
        <v>5.111111111111112</v>
      </c>
      <c r="P3721" t="n">
        <v>0.0015214611872146</v>
      </c>
    </row>
    <row r="3722">
      <c r="A3722" t="inlineStr">
        <is>
          <t>Zoe Shanley</t>
        </is>
      </c>
      <c r="B3722" t="inlineStr">
        <is>
          <t>8/9/26 - 9/5/26</t>
        </is>
      </c>
      <c r="C3722" t="n">
        <v>1.0821</v>
      </c>
      <c r="D3722" t="n">
        <v>1.077</v>
      </c>
      <c r="E3722" t="n">
        <v>0.908450704225352</v>
      </c>
      <c r="F3722" t="n">
        <v>0.99</v>
      </c>
      <c r="G3722" t="n">
        <v>0.9393939393939394</v>
      </c>
      <c r="H3722" t="n">
        <v>336</v>
      </c>
      <c r="J3722" t="n">
        <v>0.6666666666666666</v>
      </c>
      <c r="K3722" t="inlineStr">
        <is>
          <t>Distinguished</t>
        </is>
      </c>
      <c r="M3722" t="inlineStr">
        <is>
          <t>Ian Plamondon</t>
        </is>
      </c>
      <c r="N3722" t="n">
        <v>1</v>
      </c>
      <c r="O3722" t="n">
        <v>7.625</v>
      </c>
      <c r="P3722" t="n">
        <v>0.0311418685121107</v>
      </c>
    </row>
    <row r="3723">
      <c r="A3723" t="inlineStr">
        <is>
          <t>Zora Hudson</t>
        </is>
      </c>
      <c r="B3723" t="inlineStr">
        <is>
          <t>8/9/26 - 9/5/26</t>
        </is>
      </c>
      <c r="C3723" t="n">
        <v>0</v>
      </c>
      <c r="D3723" t="n">
        <v>0.3114</v>
      </c>
      <c r="H3723" t="n">
        <v>0</v>
      </c>
      <c r="K3723" t="inlineStr">
        <is>
          <t>Distinguished</t>
        </is>
      </c>
      <c r="M3723" t="inlineStr">
        <is>
          <t>Nikki Pencak</t>
        </is>
      </c>
    </row>
    <row r="3724">
      <c r="A3724" t="inlineStr">
        <is>
          <t>Abraham Kalani</t>
        </is>
      </c>
      <c r="B3724" t="inlineStr">
        <is>
          <t>9/6/26 - 10/3/26</t>
        </is>
      </c>
      <c r="C3724" t="n">
        <v>0.5333</v>
      </c>
      <c r="D3724" t="n">
        <v>0.8076</v>
      </c>
      <c r="E3724" t="n">
        <v>1</v>
      </c>
      <c r="F3724" t="n">
        <v>1</v>
      </c>
      <c r="G3724" t="n">
        <v>1</v>
      </c>
      <c r="H3724" t="n">
        <v>12</v>
      </c>
      <c r="I3724" t="inlineStr"/>
      <c r="J3724" t="n">
        <v>0.9375</v>
      </c>
      <c r="K3724" t="inlineStr">
        <is>
          <t>Distinguished</t>
        </is>
      </c>
      <c r="L3724" t="inlineStr"/>
      <c r="M3724" t="inlineStr">
        <is>
          <t>Ian Plamondon</t>
        </is>
      </c>
      <c r="N3724" t="n">
        <v>1</v>
      </c>
      <c r="O3724" t="n">
        <v>7</v>
      </c>
      <c r="P3724" t="n">
        <v>0.1713811320754717</v>
      </c>
    </row>
    <row r="3725">
      <c r="A3725" t="inlineStr">
        <is>
          <t>Akeema Williams</t>
        </is>
      </c>
      <c r="B3725" t="inlineStr">
        <is>
          <t>9/6/26 - 10/3/26</t>
        </is>
      </c>
      <c r="C3725" t="n">
        <v>0.7208</v>
      </c>
      <c r="D3725" t="n">
        <v>0.9671</v>
      </c>
      <c r="E3725" t="n">
        <v>1</v>
      </c>
      <c r="F3725" t="n">
        <v>1</v>
      </c>
      <c r="G3725" t="n">
        <v>0.7222222222222222</v>
      </c>
      <c r="H3725" t="n">
        <v>98</v>
      </c>
      <c r="I3725" t="inlineStr"/>
      <c r="J3725" t="n">
        <v>1</v>
      </c>
      <c r="K3725" t="inlineStr">
        <is>
          <t>Premium</t>
        </is>
      </c>
      <c r="L3725" t="inlineStr"/>
      <c r="M3725" t="inlineStr">
        <is>
          <t>Geoff St. Marie</t>
        </is>
      </c>
      <c r="N3725" t="n">
        <v>1</v>
      </c>
      <c r="O3725" t="n">
        <v>10</v>
      </c>
      <c r="P3725" t="n">
        <v>0.0718562874251497</v>
      </c>
    </row>
    <row r="3726">
      <c r="A3726" t="inlineStr">
        <is>
          <t>Alex Small</t>
        </is>
      </c>
      <c r="B3726" t="inlineStr">
        <is>
          <t>9/6/26 - 10/3/26</t>
        </is>
      </c>
      <c r="C3726" t="n">
        <v>0.7917</v>
      </c>
      <c r="D3726" t="n">
        <v>1.1719</v>
      </c>
      <c r="E3726" t="n">
        <v>1</v>
      </c>
      <c r="F3726" t="n">
        <v>1</v>
      </c>
      <c r="G3726" t="n">
        <v>0.3333333333333333</v>
      </c>
      <c r="H3726" t="n">
        <v>123</v>
      </c>
      <c r="I3726" t="inlineStr"/>
      <c r="J3726" t="n">
        <v>1</v>
      </c>
      <c r="K3726" t="inlineStr">
        <is>
          <t>Premium</t>
        </is>
      </c>
      <c r="L3726" t="inlineStr"/>
      <c r="M3726" t="inlineStr">
        <is>
          <t>Ela Cross</t>
        </is>
      </c>
      <c r="N3726" t="n">
        <v>1</v>
      </c>
      <c r="O3726" t="n">
        <v>7</v>
      </c>
      <c r="P3726" t="n">
        <v>0.009660869565217301</v>
      </c>
    </row>
    <row r="3727">
      <c r="A3727" t="inlineStr">
        <is>
          <t>Alexa Pinera</t>
        </is>
      </c>
      <c r="B3727" t="inlineStr">
        <is>
          <t>9/6/26 - 10/3/26</t>
        </is>
      </c>
      <c r="C3727" t="n">
        <v>0.7306</v>
      </c>
      <c r="D3727" t="n">
        <v>1.4979</v>
      </c>
      <c r="E3727" t="n">
        <v>1</v>
      </c>
      <c r="F3727" t="n">
        <v>1</v>
      </c>
      <c r="G3727" t="n">
        <v>0.9166666666666666</v>
      </c>
      <c r="H3727" t="n">
        <v>61</v>
      </c>
      <c r="I3727" t="inlineStr"/>
      <c r="J3727" t="inlineStr"/>
      <c r="K3727" t="inlineStr">
        <is>
          <t>Premium</t>
        </is>
      </c>
      <c r="L3727" t="inlineStr"/>
      <c r="M3727" t="inlineStr">
        <is>
          <t>Ian Plamondon</t>
        </is>
      </c>
      <c r="N3727" t="n">
        <v>0.9821428571428572</v>
      </c>
      <c r="O3727" t="n">
        <v>6.7</v>
      </c>
      <c r="P3727" t="inlineStr"/>
    </row>
    <row r="3728">
      <c r="A3728" t="inlineStr">
        <is>
          <t>Alexis Normandia</t>
        </is>
      </c>
      <c r="B3728" t="inlineStr">
        <is>
          <t>9/6/26 - 10/3/26</t>
        </is>
      </c>
      <c r="C3728" t="n">
        <v>0.0286</v>
      </c>
      <c r="D3728" t="n">
        <v>0.4806</v>
      </c>
      <c r="E3728" t="n">
        <v>1</v>
      </c>
      <c r="F3728" t="n">
        <v>1</v>
      </c>
      <c r="G3728" t="n">
        <v/>
      </c>
      <c r="H3728" t="n">
        <v>0</v>
      </c>
      <c r="I3728" t="inlineStr"/>
      <c r="J3728" t="inlineStr"/>
      <c r="K3728" t="inlineStr">
        <is>
          <t>Distinguished</t>
        </is>
      </c>
      <c r="L3728" t="inlineStr"/>
      <c r="M3728" t="inlineStr">
        <is>
          <t>Katherine Marino</t>
        </is>
      </c>
      <c r="N3728" t="n">
        <v>1</v>
      </c>
      <c r="O3728" t="inlineStr"/>
      <c r="P3728" t="n">
        <v>0.3888333333333333</v>
      </c>
    </row>
    <row r="3729">
      <c r="A3729" t="inlineStr">
        <is>
          <t>Allie Myers Gregory</t>
        </is>
      </c>
      <c r="B3729" t="inlineStr">
        <is>
          <t>9/6/26 - 10/3/26</t>
        </is>
      </c>
      <c r="C3729" t="n">
        <v>0.8417</v>
      </c>
      <c r="D3729" t="n">
        <v>1.0115</v>
      </c>
      <c r="E3729" t="n">
        <v>1</v>
      </c>
      <c r="F3729" t="n">
        <v>0.9350000000000001</v>
      </c>
      <c r="G3729" t="n">
        <v>1</v>
      </c>
      <c r="H3729" t="n">
        <v>132</v>
      </c>
      <c r="I3729" t="inlineStr"/>
      <c r="J3729" t="n">
        <v>1</v>
      </c>
      <c r="K3729" t="inlineStr">
        <is>
          <t>Distinguished</t>
        </is>
      </c>
      <c r="L3729" t="inlineStr"/>
      <c r="M3729" t="inlineStr">
        <is>
          <t>Annelies de Groot</t>
        </is>
      </c>
      <c r="N3729" t="n">
        <v>0.956439393939394</v>
      </c>
      <c r="O3729" t="n">
        <v>4.25</v>
      </c>
      <c r="P3729" t="n">
        <v>0.1822916666666666</v>
      </c>
    </row>
    <row r="3730">
      <c r="A3730" t="inlineStr">
        <is>
          <t>Allison Buford</t>
        </is>
      </c>
      <c r="B3730" t="inlineStr">
        <is>
          <t>9/6/26 - 10/3/26</t>
        </is>
      </c>
      <c r="C3730" t="n">
        <v>0</v>
      </c>
      <c r="D3730" t="n">
        <v>0.5</v>
      </c>
      <c r="E3730" t="n">
        <v/>
      </c>
      <c r="F3730" t="n">
        <v/>
      </c>
      <c r="G3730" t="n">
        <v/>
      </c>
      <c r="H3730" t="n">
        <v>0</v>
      </c>
      <c r="I3730" t="inlineStr"/>
      <c r="J3730" t="inlineStr"/>
      <c r="K3730" t="inlineStr">
        <is>
          <t>Distinguished</t>
        </is>
      </c>
      <c r="L3730" t="inlineStr"/>
      <c r="M3730" t="inlineStr">
        <is>
          <t>Katherine Marino</t>
        </is>
      </c>
      <c r="N3730" t="inlineStr"/>
      <c r="O3730" t="inlineStr"/>
      <c r="P3730" t="inlineStr"/>
    </row>
    <row r="3731">
      <c r="A3731" t="inlineStr">
        <is>
          <t>Allison Peck</t>
        </is>
      </c>
      <c r="B3731" t="inlineStr">
        <is>
          <t>9/6/26 - 10/3/26</t>
        </is>
      </c>
      <c r="C3731" t="n">
        <v>0.5938</v>
      </c>
      <c r="D3731" t="n">
        <v>1.0391</v>
      </c>
      <c r="E3731" t="n">
        <v>1</v>
      </c>
      <c r="F3731" t="n">
        <v>0.952</v>
      </c>
      <c r="G3731" t="n">
        <v>1</v>
      </c>
      <c r="H3731" t="n">
        <v>2</v>
      </c>
      <c r="I3731" t="inlineStr"/>
      <c r="J3731" t="n">
        <v>0.8333333333333334</v>
      </c>
      <c r="K3731" t="inlineStr">
        <is>
          <t>Distinguished</t>
        </is>
      </c>
      <c r="L3731" t="inlineStr"/>
      <c r="M3731" t="inlineStr">
        <is>
          <t>Kristin Haase-Alvey</t>
        </is>
      </c>
      <c r="N3731" t="n">
        <v>0.9375</v>
      </c>
      <c r="O3731" t="inlineStr"/>
      <c r="P3731" t="n">
        <v>0.308154716981132</v>
      </c>
    </row>
    <row r="3732">
      <c r="A3732" t="inlineStr">
        <is>
          <t>Amanda Cooper</t>
        </is>
      </c>
      <c r="B3732" t="inlineStr">
        <is>
          <t>9/6/26 - 10/3/26</t>
        </is>
      </c>
      <c r="C3732" t="n">
        <v>0.0111</v>
      </c>
      <c r="D3732" t="n">
        <v>0.4846</v>
      </c>
      <c r="E3732" t="n">
        <v>1</v>
      </c>
      <c r="F3732" t="n">
        <v>1</v>
      </c>
      <c r="G3732" t="n">
        <v/>
      </c>
      <c r="H3732" t="n">
        <v>0</v>
      </c>
      <c r="I3732" t="inlineStr"/>
      <c r="J3732" t="inlineStr"/>
      <c r="K3732" t="inlineStr">
        <is>
          <t>Distinguished</t>
        </is>
      </c>
      <c r="L3732" t="inlineStr"/>
      <c r="M3732" t="inlineStr">
        <is>
          <t>Annelies de Groot</t>
        </is>
      </c>
      <c r="N3732" t="n">
        <v>1</v>
      </c>
      <c r="O3732" t="inlineStr"/>
      <c r="P3732" t="n">
        <v>0.2</v>
      </c>
    </row>
    <row r="3733">
      <c r="A3733" t="inlineStr">
        <is>
          <t>Amber Maldonado</t>
        </is>
      </c>
      <c r="B3733" t="inlineStr">
        <is>
          <t>9/6/26 - 10/3/26</t>
        </is>
      </c>
      <c r="C3733" t="n">
        <v>0.9292</v>
      </c>
      <c r="D3733" t="n">
        <v>0.9572000000000001</v>
      </c>
      <c r="E3733" t="n">
        <v>0.8666666666666667</v>
      </c>
      <c r="F3733" t="n">
        <v>0.92</v>
      </c>
      <c r="G3733" t="n">
        <v>1</v>
      </c>
      <c r="H3733" t="n">
        <v>190</v>
      </c>
      <c r="I3733" t="inlineStr"/>
      <c r="J3733" t="n">
        <v>0.7142857142857143</v>
      </c>
      <c r="K3733" t="inlineStr">
        <is>
          <t>Distinguished</t>
        </is>
      </c>
      <c r="L3733" t="inlineStr"/>
      <c r="M3733" t="inlineStr">
        <is>
          <t>Annelies de Groot</t>
        </is>
      </c>
      <c r="N3733" t="n">
        <v>1</v>
      </c>
      <c r="O3733" t="n">
        <v>7.25</v>
      </c>
      <c r="P3733" t="n">
        <v>0.2464788732394366</v>
      </c>
    </row>
    <row r="3734">
      <c r="A3734" t="inlineStr">
        <is>
          <t>Amelia Sain</t>
        </is>
      </c>
      <c r="B3734" t="inlineStr">
        <is>
          <t>9/6/26 - 10/3/26</t>
        </is>
      </c>
      <c r="C3734" t="n">
        <v>0.725</v>
      </c>
      <c r="D3734" t="n">
        <v>1.0461</v>
      </c>
      <c r="E3734" t="n">
        <v>1</v>
      </c>
      <c r="F3734" t="n">
        <v>0.754</v>
      </c>
      <c r="G3734" t="n">
        <v>0.0909090909090909</v>
      </c>
      <c r="H3734" t="n">
        <v>180</v>
      </c>
      <c r="I3734" t="inlineStr"/>
      <c r="J3734" t="n">
        <v>0</v>
      </c>
      <c r="K3734" t="inlineStr">
        <is>
          <t>Premium</t>
        </is>
      </c>
      <c r="L3734" t="inlineStr"/>
      <c r="M3734" t="inlineStr">
        <is>
          <t>Geoff St. Marie</t>
        </is>
      </c>
      <c r="N3734" t="n">
        <v>0.9807692307692308</v>
      </c>
      <c r="O3734" t="inlineStr"/>
      <c r="P3734" t="n">
        <v>0.0240951807228915</v>
      </c>
    </row>
    <row r="3735">
      <c r="A3735" t="inlineStr">
        <is>
          <t>Ana Heiser</t>
        </is>
      </c>
      <c r="B3735" t="inlineStr">
        <is>
          <t>9/6/26 - 10/3/26</t>
        </is>
      </c>
      <c r="C3735" t="n">
        <v>0.7375</v>
      </c>
      <c r="D3735" t="n">
        <v>1.3063</v>
      </c>
      <c r="E3735" t="n">
        <v>0.975609756097561</v>
      </c>
      <c r="F3735" t="n">
        <v>0.988</v>
      </c>
      <c r="G3735" t="n">
        <v>1</v>
      </c>
      <c r="H3735" t="n">
        <v>131</v>
      </c>
      <c r="I3735" t="inlineStr"/>
      <c r="J3735" t="n">
        <v>1</v>
      </c>
      <c r="K3735" t="inlineStr">
        <is>
          <t>Distinguished</t>
        </is>
      </c>
      <c r="L3735" t="inlineStr"/>
      <c r="M3735" t="inlineStr">
        <is>
          <t>Kristin Haase-Alvey</t>
        </is>
      </c>
      <c r="N3735" t="n">
        <v>0.6761538461538461</v>
      </c>
      <c r="O3735" t="n">
        <v>6.25</v>
      </c>
      <c r="P3735" t="n">
        <v>0.0893542168674698</v>
      </c>
    </row>
    <row r="3736">
      <c r="A3736" t="inlineStr">
        <is>
          <t>Andres Jarquin</t>
        </is>
      </c>
      <c r="B3736" t="inlineStr">
        <is>
          <t>9/6/26 - 10/3/26</t>
        </is>
      </c>
      <c r="C3736" t="n">
        <v>0.7333</v>
      </c>
      <c r="D3736" t="n">
        <v>0.9243</v>
      </c>
      <c r="E3736" t="n">
        <v>1</v>
      </c>
      <c r="F3736" t="n">
        <v>1</v>
      </c>
      <c r="G3736" t="n">
        <v>0.4666666666666667</v>
      </c>
      <c r="H3736" t="n">
        <v>180</v>
      </c>
      <c r="I3736" t="inlineStr"/>
      <c r="J3736" t="n">
        <v>0.3333333333333333</v>
      </c>
      <c r="K3736" t="inlineStr">
        <is>
          <t>Distinguished</t>
        </is>
      </c>
      <c r="L3736" t="inlineStr"/>
      <c r="M3736" t="inlineStr">
        <is>
          <t>Ian Plamondon</t>
        </is>
      </c>
      <c r="N3736" t="n">
        <v>0.9615384615384616</v>
      </c>
      <c r="O3736" t="n">
        <v>7</v>
      </c>
      <c r="P3736" t="n">
        <v>0.07429638554216859</v>
      </c>
    </row>
    <row r="3737">
      <c r="A3737" t="inlineStr">
        <is>
          <t>Andrew Brown</t>
        </is>
      </c>
      <c r="B3737" t="inlineStr">
        <is>
          <t>9/6/26 - 10/3/26</t>
        </is>
      </c>
      <c r="C3737" t="n">
        <v>1.0125</v>
      </c>
      <c r="D3737" t="n">
        <v>1.3882</v>
      </c>
      <c r="E3737" t="n">
        <v>0.9821428571428572</v>
      </c>
      <c r="F3737" t="n">
        <v>1</v>
      </c>
      <c r="G3737" t="n">
        <v>0.8571428571428571</v>
      </c>
      <c r="H3737" t="n">
        <v>116.5</v>
      </c>
      <c r="I3737" t="inlineStr"/>
      <c r="J3737" t="n">
        <v>0</v>
      </c>
      <c r="K3737" t="inlineStr">
        <is>
          <t>Distinguished</t>
        </is>
      </c>
      <c r="L3737" t="inlineStr"/>
      <c r="M3737" t="inlineStr">
        <is>
          <t>Geoff St. Marie</t>
        </is>
      </c>
      <c r="N3737" t="n">
        <v>0.9852941176470588</v>
      </c>
      <c r="O3737" t="n">
        <v>6.708333333333333</v>
      </c>
      <c r="P3737" t="n">
        <v>0.1154398268398268</v>
      </c>
    </row>
    <row r="3738">
      <c r="A3738" t="inlineStr">
        <is>
          <t>Andrew Gehlot</t>
        </is>
      </c>
      <c r="B3738" t="inlineStr">
        <is>
          <t>9/6/26 - 10/3/26</t>
        </is>
      </c>
      <c r="C3738" t="n">
        <v>0.675</v>
      </c>
      <c r="D3738" t="n">
        <v>0.8618</v>
      </c>
      <c r="E3738" t="n">
        <v>0.9210526315789472</v>
      </c>
      <c r="F3738" t="n">
        <v>0.8</v>
      </c>
      <c r="G3738" t="n">
        <v>0.7727272727272727</v>
      </c>
      <c r="H3738" t="n">
        <v>79</v>
      </c>
      <c r="I3738" t="inlineStr"/>
      <c r="J3738" t="n">
        <v>0.5</v>
      </c>
      <c r="K3738" t="inlineStr">
        <is>
          <t>Premium</t>
        </is>
      </c>
      <c r="L3738" t="inlineStr"/>
      <c r="M3738" t="inlineStr">
        <is>
          <t>Ela Cross</t>
        </is>
      </c>
      <c r="N3738" t="n">
        <v>1</v>
      </c>
      <c r="O3738" t="inlineStr"/>
      <c r="P3738" t="inlineStr"/>
    </row>
    <row r="3739">
      <c r="A3739" t="inlineStr">
        <is>
          <t>Andrew Sayler</t>
        </is>
      </c>
      <c r="B3739" t="inlineStr">
        <is>
          <t>9/6/26 - 10/3/26</t>
        </is>
      </c>
      <c r="C3739" t="n">
        <v/>
      </c>
      <c r="D3739" t="n">
        <v/>
      </c>
      <c r="E3739" t="n">
        <v/>
      </c>
      <c r="F3739" t="n">
        <v/>
      </c>
      <c r="G3739" t="n">
        <v/>
      </c>
      <c r="H3739" t="n">
        <v>0</v>
      </c>
      <c r="I3739" t="inlineStr"/>
      <c r="J3739" t="inlineStr"/>
      <c r="K3739" t="inlineStr">
        <is>
          <t>Distinguished</t>
        </is>
      </c>
      <c r="L3739" t="inlineStr"/>
      <c r="M3739" t="inlineStr">
        <is>
          <t>Nikki Pencak</t>
        </is>
      </c>
      <c r="N3739" t="inlineStr"/>
      <c r="O3739" t="inlineStr"/>
      <c r="P3739" t="inlineStr"/>
    </row>
    <row r="3740">
      <c r="A3740" t="inlineStr">
        <is>
          <t>Angela Villatoro</t>
        </is>
      </c>
      <c r="B3740" t="inlineStr">
        <is>
          <t>9/6/26 - 10/3/26</t>
        </is>
      </c>
      <c r="C3740" t="n">
        <v/>
      </c>
      <c r="D3740" t="n">
        <v/>
      </c>
      <c r="E3740" t="n">
        <v/>
      </c>
      <c r="F3740" t="n">
        <v/>
      </c>
      <c r="G3740" t="n">
        <v/>
      </c>
      <c r="H3740" t="n">
        <v>0</v>
      </c>
      <c r="I3740" t="inlineStr"/>
      <c r="J3740" t="inlineStr"/>
      <c r="K3740" t="inlineStr">
        <is>
          <t>Distinguished</t>
        </is>
      </c>
      <c r="L3740" t="inlineStr"/>
      <c r="M3740" t="inlineStr">
        <is>
          <t>Katherine Marino</t>
        </is>
      </c>
      <c r="N3740" t="inlineStr"/>
      <c r="O3740" t="inlineStr"/>
      <c r="P3740" t="inlineStr"/>
    </row>
    <row r="3741">
      <c r="A3741" t="inlineStr">
        <is>
          <t>Anna Jasko</t>
        </is>
      </c>
      <c r="B3741" t="inlineStr">
        <is>
          <t>9/6/26 - 10/3/26</t>
        </is>
      </c>
      <c r="C3741" t="n">
        <v>0.8167</v>
      </c>
      <c r="D3741" t="n">
        <v>0.9424</v>
      </c>
      <c r="E3741" t="n">
        <v>0.9895833333333334</v>
      </c>
      <c r="F3741" t="n">
        <v>0.984</v>
      </c>
      <c r="G3741" t="n">
        <v>0.9090909090909092</v>
      </c>
      <c r="H3741" t="n">
        <v>196</v>
      </c>
      <c r="I3741" t="inlineStr"/>
      <c r="J3741" t="n">
        <v>1</v>
      </c>
      <c r="K3741" t="inlineStr">
        <is>
          <t>Distinguished</t>
        </is>
      </c>
      <c r="L3741" t="inlineStr"/>
      <c r="M3741" t="inlineStr">
        <is>
          <t>Nikki Pencak</t>
        </is>
      </c>
      <c r="N3741" t="n">
        <v>1</v>
      </c>
      <c r="O3741" t="n">
        <v>6.600000000000001</v>
      </c>
      <c r="P3741" t="n">
        <v>0.1569085106382978</v>
      </c>
    </row>
    <row r="3742">
      <c r="A3742" t="inlineStr">
        <is>
          <t>Annie Sylvester</t>
        </is>
      </c>
      <c r="B3742" t="inlineStr">
        <is>
          <t>9/6/26 - 10/3/26</t>
        </is>
      </c>
      <c r="C3742" t="n">
        <v>1.0643</v>
      </c>
      <c r="D3742" t="n">
        <v>1.0218</v>
      </c>
      <c r="E3742" t="n">
        <v>0.9861111111111112</v>
      </c>
      <c r="F3742" t="n">
        <v>0.98</v>
      </c>
      <c r="G3742" t="n">
        <v>0.5333333333333333</v>
      </c>
      <c r="H3742" t="n">
        <v>350</v>
      </c>
      <c r="I3742" t="inlineStr"/>
      <c r="J3742" t="n">
        <v>1</v>
      </c>
      <c r="K3742" t="inlineStr">
        <is>
          <t>Distinguished</t>
        </is>
      </c>
      <c r="L3742" t="inlineStr"/>
      <c r="M3742" t="inlineStr">
        <is>
          <t>Katherine Marino</t>
        </is>
      </c>
      <c r="N3742" t="n">
        <v>0.9645833333333332</v>
      </c>
      <c r="O3742" t="n">
        <v>7.125</v>
      </c>
      <c r="P3742" t="n">
        <v>0.0361800711743772</v>
      </c>
    </row>
    <row r="3743">
      <c r="A3743" t="inlineStr">
        <is>
          <t>Armand Brouty</t>
        </is>
      </c>
      <c r="B3743" t="inlineStr">
        <is>
          <t>9/6/26 - 10/3/26</t>
        </is>
      </c>
      <c r="C3743" t="n">
        <v>1.0333</v>
      </c>
      <c r="D3743" t="n">
        <v>1.2566</v>
      </c>
      <c r="E3743" t="n">
        <v>0.9758064516129032</v>
      </c>
      <c r="F3743" t="n">
        <v>1</v>
      </c>
      <c r="G3743" t="n">
        <v>1</v>
      </c>
      <c r="H3743" t="n">
        <v>64</v>
      </c>
      <c r="I3743" t="inlineStr"/>
      <c r="J3743" t="n">
        <v>0.875</v>
      </c>
      <c r="K3743" t="inlineStr">
        <is>
          <t>Distinguished</t>
        </is>
      </c>
      <c r="L3743" t="inlineStr"/>
      <c r="M3743" t="inlineStr">
        <is>
          <t>Geoff St. Marie</t>
        </is>
      </c>
      <c r="N3743" t="n">
        <v>0.988095238095238</v>
      </c>
      <c r="O3743" t="n">
        <v>7.236111111111111</v>
      </c>
      <c r="P3743" t="n">
        <v>0.1030701754385964</v>
      </c>
    </row>
    <row r="3744">
      <c r="A3744" t="inlineStr">
        <is>
          <t>Ashley Richardson</t>
        </is>
      </c>
      <c r="B3744" t="inlineStr">
        <is>
          <t>9/6/26 - 10/3/26</t>
        </is>
      </c>
      <c r="C3744" t="n">
        <v>1.0929</v>
      </c>
      <c r="D3744" t="n">
        <v>1.0974</v>
      </c>
      <c r="E3744" t="n">
        <v>0.8235294117647058</v>
      </c>
      <c r="F3744" t="n">
        <v>0.761</v>
      </c>
      <c r="G3744" t="n">
        <v>0.6</v>
      </c>
      <c r="H3744" t="n">
        <v>104</v>
      </c>
      <c r="I3744" t="inlineStr"/>
      <c r="J3744" t="n">
        <v>0.3529411764705883</v>
      </c>
      <c r="K3744" t="inlineStr">
        <is>
          <t>Distinguished</t>
        </is>
      </c>
      <c r="L3744" t="inlineStr"/>
      <c r="M3744" t="inlineStr">
        <is>
          <t>Annelies de Groot</t>
        </is>
      </c>
      <c r="N3744" t="n">
        <v>0.8901721014492754</v>
      </c>
      <c r="O3744" t="n">
        <v>1.4375</v>
      </c>
      <c r="P3744" t="n">
        <v>0.0434782608695652</v>
      </c>
    </row>
    <row r="3745">
      <c r="A3745" t="inlineStr">
        <is>
          <t>Ashley Scorsone</t>
        </is>
      </c>
      <c r="B3745" t="inlineStr">
        <is>
          <t>9/6/26 - 10/3/26</t>
        </is>
      </c>
      <c r="C3745" t="n">
        <v>1.1179</v>
      </c>
      <c r="D3745" t="n">
        <v>1.484</v>
      </c>
      <c r="E3745" t="n">
        <v>0.9788732394366196</v>
      </c>
      <c r="F3745" t="n">
        <v>0.9379999999999999</v>
      </c>
      <c r="G3745" t="n">
        <v>1</v>
      </c>
      <c r="H3745" t="n">
        <v>225</v>
      </c>
      <c r="I3745" t="inlineStr"/>
      <c r="J3745" t="n">
        <v>0.75</v>
      </c>
      <c r="K3745" t="inlineStr">
        <is>
          <t>Premium</t>
        </is>
      </c>
      <c r="L3745" t="inlineStr"/>
      <c r="M3745" t="inlineStr">
        <is>
          <t>Geoff St. Marie</t>
        </is>
      </c>
      <c r="N3745" t="n">
        <v>0.959252450980392</v>
      </c>
      <c r="O3745" t="n">
        <v>4.111111111111112</v>
      </c>
      <c r="P3745" t="inlineStr"/>
    </row>
    <row r="3746">
      <c r="A3746" t="inlineStr">
        <is>
          <t>Ayman Smoot</t>
        </is>
      </c>
      <c r="B3746" t="inlineStr">
        <is>
          <t>9/6/26 - 10/3/26</t>
        </is>
      </c>
      <c r="C3746" t="n">
        <v>1.4688</v>
      </c>
      <c r="D3746" t="n">
        <v>1.4792</v>
      </c>
      <c r="E3746" t="n">
        <v>0.9391304347826088</v>
      </c>
      <c r="F3746" t="n">
        <v>0.824</v>
      </c>
      <c r="G3746" t="n">
        <v>0.7142857142857143</v>
      </c>
      <c r="H3746" t="n">
        <v>90</v>
      </c>
      <c r="I3746" t="inlineStr"/>
      <c r="J3746" t="n">
        <v>0.3333333333333333</v>
      </c>
      <c r="K3746" t="inlineStr">
        <is>
          <t>Distinguished</t>
        </is>
      </c>
      <c r="L3746" t="inlineStr"/>
      <c r="M3746" t="inlineStr">
        <is>
          <t>Annelies de Groot</t>
        </is>
      </c>
      <c r="N3746" t="n">
        <v>0.9188311688311688</v>
      </c>
      <c r="O3746" t="n">
        <v>7.85</v>
      </c>
      <c r="P3746" t="n">
        <v>0.1699427230046948</v>
      </c>
    </row>
    <row r="3747">
      <c r="A3747" t="inlineStr">
        <is>
          <t>Ben Taylor</t>
        </is>
      </c>
      <c r="B3747" t="inlineStr">
        <is>
          <t>9/6/26 - 10/3/26</t>
        </is>
      </c>
      <c r="C3747" t="n">
        <v>0.5458</v>
      </c>
      <c r="D3747" t="n">
        <v>1.3896</v>
      </c>
      <c r="E3747" t="n">
        <v>0.9846153846153848</v>
      </c>
      <c r="F3747" t="n">
        <v>1</v>
      </c>
      <c r="G3747" t="n">
        <v>1</v>
      </c>
      <c r="H3747" t="n">
        <v>108</v>
      </c>
      <c r="I3747" t="inlineStr"/>
      <c r="J3747" t="n">
        <v>1</v>
      </c>
      <c r="K3747" t="inlineStr">
        <is>
          <t>Premium</t>
        </is>
      </c>
      <c r="L3747" t="inlineStr"/>
      <c r="M3747" t="inlineStr">
        <is>
          <t>Kristin Haase-Alvey</t>
        </is>
      </c>
      <c r="N3747" t="n">
        <v>1</v>
      </c>
      <c r="O3747" t="n">
        <v>5.911111111111111</v>
      </c>
      <c r="P3747" t="n">
        <v>0.04</v>
      </c>
    </row>
    <row r="3748">
      <c r="A3748" t="inlineStr">
        <is>
          <t>Brandon Engle</t>
        </is>
      </c>
      <c r="B3748" t="inlineStr">
        <is>
          <t>9/6/26 - 10/3/26</t>
        </is>
      </c>
      <c r="C3748" t="n">
        <v>0.85</v>
      </c>
      <c r="D3748" t="n">
        <v>1.2589</v>
      </c>
      <c r="E3748" t="n">
        <v>0.991304347826087</v>
      </c>
      <c r="F3748" t="n">
        <v>0.977</v>
      </c>
      <c r="G3748" t="n">
        <v>0.9032258064516128</v>
      </c>
      <c r="H3748" t="n">
        <v>125</v>
      </c>
      <c r="I3748" t="inlineStr"/>
      <c r="J3748" t="n">
        <v>1</v>
      </c>
      <c r="K3748" t="inlineStr">
        <is>
          <t>Distinguished</t>
        </is>
      </c>
      <c r="L3748" t="inlineStr"/>
      <c r="M3748" t="inlineStr">
        <is>
          <t>Annelies de Groot</t>
        </is>
      </c>
      <c r="N3748" t="n">
        <v>1</v>
      </c>
      <c r="O3748" t="n">
        <v>9.875</v>
      </c>
      <c r="P3748" t="n">
        <v>0.2236842105263158</v>
      </c>
    </row>
    <row r="3749">
      <c r="A3749" t="inlineStr">
        <is>
          <t>Brandon Strickland</t>
        </is>
      </c>
      <c r="B3749" t="inlineStr">
        <is>
          <t>9/6/26 - 10/3/26</t>
        </is>
      </c>
      <c r="C3749" t="n">
        <v>0.8208</v>
      </c>
      <c r="D3749" t="n">
        <v>1.2056</v>
      </c>
      <c r="E3749" t="n">
        <v>0.9891304347826086</v>
      </c>
      <c r="F3749" t="n">
        <v>0.955</v>
      </c>
      <c r="G3749" t="n">
        <v>1</v>
      </c>
      <c r="H3749" t="n">
        <v>84</v>
      </c>
      <c r="I3749" t="inlineStr"/>
      <c r="J3749" t="n">
        <v>0.75</v>
      </c>
      <c r="K3749" t="inlineStr">
        <is>
          <t>Distinguished</t>
        </is>
      </c>
      <c r="L3749" t="inlineStr"/>
      <c r="M3749" t="inlineStr">
        <is>
          <t>Kristin Haase-Alvey</t>
        </is>
      </c>
      <c r="N3749" t="n">
        <v>1</v>
      </c>
      <c r="O3749" t="n">
        <v>4.138888888888889</v>
      </c>
      <c r="P3749" t="n">
        <v>0.1457049180327869</v>
      </c>
    </row>
    <row r="3750">
      <c r="A3750" t="inlineStr">
        <is>
          <t>Breille Duncan</t>
        </is>
      </c>
      <c r="B3750" t="inlineStr">
        <is>
          <t>9/6/26 - 10/3/26</t>
        </is>
      </c>
      <c r="C3750" t="n">
        <v>0.9929</v>
      </c>
      <c r="D3750" t="n">
        <v>0.9913</v>
      </c>
      <c r="E3750" t="n">
        <v>0.984</v>
      </c>
      <c r="F3750" t="n">
        <v>0.949</v>
      </c>
      <c r="G3750" t="n">
        <v>0.5263157894736842</v>
      </c>
      <c r="H3750" t="n">
        <v>68</v>
      </c>
      <c r="I3750" t="inlineStr"/>
      <c r="J3750" t="n">
        <v>0.1666666666666667</v>
      </c>
      <c r="K3750" t="inlineStr">
        <is>
          <t>Distinguished</t>
        </is>
      </c>
      <c r="L3750" t="inlineStr"/>
      <c r="M3750" t="inlineStr">
        <is>
          <t>Annelies de Groot</t>
        </is>
      </c>
      <c r="N3750" t="n">
        <v>0.934249686716792</v>
      </c>
      <c r="O3750" t="n">
        <v>7.125</v>
      </c>
      <c r="P3750" t="n">
        <v>0.0741525423728813</v>
      </c>
    </row>
    <row r="3751">
      <c r="A3751" t="inlineStr">
        <is>
          <t>Brian Cohen</t>
        </is>
      </c>
      <c r="B3751" t="inlineStr">
        <is>
          <t>9/6/26 - 10/3/26</t>
        </is>
      </c>
      <c r="C3751" t="n">
        <v>0.9167</v>
      </c>
      <c r="D3751" t="n">
        <v>0.7734</v>
      </c>
      <c r="E3751" t="n">
        <v>1</v>
      </c>
      <c r="F3751" t="n">
        <v>1</v>
      </c>
      <c r="G3751" t="n">
        <v>1</v>
      </c>
      <c r="H3751" t="n">
        <v>2</v>
      </c>
      <c r="I3751" t="inlineStr"/>
      <c r="J3751" t="n">
        <v>0.6666666666666666</v>
      </c>
      <c r="K3751" t="inlineStr">
        <is>
          <t>Premium</t>
        </is>
      </c>
      <c r="L3751" t="inlineStr"/>
      <c r="M3751" t="inlineStr">
        <is>
          <t>Annelies de Groot</t>
        </is>
      </c>
      <c r="N3751" t="n">
        <v>0.96875</v>
      </c>
      <c r="O3751" t="n">
        <v>6.833333333333333</v>
      </c>
      <c r="P3751" t="n">
        <v>0.0512820512820512</v>
      </c>
    </row>
    <row r="3752">
      <c r="A3752" t="inlineStr">
        <is>
          <t>Brian James</t>
        </is>
      </c>
      <c r="B3752" t="inlineStr">
        <is>
          <t>9/6/26 - 10/3/26</t>
        </is>
      </c>
      <c r="C3752" t="n">
        <v>1.075</v>
      </c>
      <c r="D3752" t="n">
        <v>0.972</v>
      </c>
      <c r="E3752" t="n">
        <v>1</v>
      </c>
      <c r="F3752" t="n">
        <v>1</v>
      </c>
      <c r="G3752" t="n">
        <v>0.7878787878787878</v>
      </c>
      <c r="H3752" t="n">
        <v>426</v>
      </c>
      <c r="I3752" t="inlineStr"/>
      <c r="J3752" t="n">
        <v>0.6</v>
      </c>
      <c r="K3752" t="inlineStr">
        <is>
          <t>Distinguished</t>
        </is>
      </c>
      <c r="L3752" t="inlineStr"/>
      <c r="M3752" t="inlineStr">
        <is>
          <t>Annelies de Groot</t>
        </is>
      </c>
      <c r="N3752" t="n">
        <v>0.9705882352941176</v>
      </c>
      <c r="O3752" t="n">
        <v>7.9</v>
      </c>
      <c r="P3752" t="n">
        <v>0.0082644628099173</v>
      </c>
    </row>
    <row r="3753">
      <c r="A3753" t="inlineStr">
        <is>
          <t>Brian Johnson</t>
        </is>
      </c>
      <c r="B3753" t="inlineStr">
        <is>
          <t>9/6/26 - 10/3/26</t>
        </is>
      </c>
      <c r="C3753" t="n">
        <v>1.0583</v>
      </c>
      <c r="D3753" t="n">
        <v>1.1168</v>
      </c>
      <c r="E3753" t="n">
        <v>1</v>
      </c>
      <c r="F3753" t="n">
        <v>0.969</v>
      </c>
      <c r="G3753" t="n">
        <v>0.75</v>
      </c>
      <c r="H3753" t="n">
        <v>212</v>
      </c>
      <c r="I3753" t="inlineStr"/>
      <c r="J3753" t="n">
        <v>1</v>
      </c>
      <c r="K3753" t="inlineStr">
        <is>
          <t>Distinguished</t>
        </is>
      </c>
      <c r="L3753" t="inlineStr"/>
      <c r="M3753" t="inlineStr">
        <is>
          <t>Kristin Haase-Alvey</t>
        </is>
      </c>
      <c r="N3753" t="n">
        <v>0.96</v>
      </c>
      <c r="O3753" t="n">
        <v>6.5</v>
      </c>
      <c r="P3753" t="n">
        <v>0.1148403361344537</v>
      </c>
    </row>
    <row r="3754">
      <c r="A3754" t="inlineStr">
        <is>
          <t>Brock Dilley</t>
        </is>
      </c>
      <c r="B3754" t="inlineStr">
        <is>
          <t>9/6/26 - 10/3/26</t>
        </is>
      </c>
      <c r="C3754" t="n">
        <v>1.1393</v>
      </c>
      <c r="D3754" t="n">
        <v>0.9724</v>
      </c>
      <c r="E3754" t="n">
        <v>1</v>
      </c>
      <c r="F3754" t="n">
        <v>0.9389999999999999</v>
      </c>
      <c r="G3754" t="n">
        <v>0.75</v>
      </c>
      <c r="H3754" t="n">
        <v>185</v>
      </c>
      <c r="I3754" t="inlineStr"/>
      <c r="J3754" t="n">
        <v>0.6666666666666666</v>
      </c>
      <c r="K3754" t="inlineStr">
        <is>
          <t>Distinguished</t>
        </is>
      </c>
      <c r="L3754" t="inlineStr"/>
      <c r="M3754" t="inlineStr">
        <is>
          <t>Annelies de Groot</t>
        </is>
      </c>
      <c r="N3754" t="n">
        <v>1</v>
      </c>
      <c r="O3754" t="n">
        <v>7</v>
      </c>
      <c r="P3754" t="inlineStr"/>
    </row>
    <row r="3755">
      <c r="A3755" t="inlineStr">
        <is>
          <t>Bryant Salinas</t>
        </is>
      </c>
      <c r="B3755" t="inlineStr">
        <is>
          <t>9/6/26 - 10/3/26</t>
        </is>
      </c>
      <c r="C3755" t="n">
        <v>0.9042</v>
      </c>
      <c r="D3755" t="n">
        <v>1</v>
      </c>
      <c r="E3755" t="n">
        <v>0.9583333333333334</v>
      </c>
      <c r="F3755" t="n">
        <v>0.984</v>
      </c>
      <c r="G3755" t="n">
        <v>0.7857142857142857</v>
      </c>
      <c r="H3755" t="n">
        <v>165</v>
      </c>
      <c r="I3755" t="inlineStr"/>
      <c r="J3755" t="n">
        <v>1</v>
      </c>
      <c r="K3755" t="inlineStr">
        <is>
          <t>Premium</t>
        </is>
      </c>
      <c r="L3755" t="inlineStr"/>
      <c r="M3755" t="inlineStr">
        <is>
          <t>Geoff St. Marie</t>
        </is>
      </c>
      <c r="N3755" t="n">
        <v>0.8657051282051282</v>
      </c>
      <c r="O3755" t="n">
        <v>4.75</v>
      </c>
      <c r="P3755" t="n">
        <v>0.0449735449735449</v>
      </c>
    </row>
    <row r="3756">
      <c r="A3756" t="inlineStr">
        <is>
          <t>Cadence Liles</t>
        </is>
      </c>
      <c r="B3756" t="inlineStr">
        <is>
          <t>9/6/26 - 10/3/26</t>
        </is>
      </c>
      <c r="C3756" t="n">
        <v>0.9625</v>
      </c>
      <c r="D3756" t="n">
        <v>1.1042</v>
      </c>
      <c r="E3756" t="n">
        <v>0.986842105263158</v>
      </c>
      <c r="F3756" t="n">
        <v>0.9389999999999999</v>
      </c>
      <c r="G3756" t="n">
        <v>0.8333333333333334</v>
      </c>
      <c r="H3756" t="n">
        <v>124</v>
      </c>
      <c r="I3756" t="inlineStr"/>
      <c r="J3756" t="n">
        <v>1</v>
      </c>
      <c r="K3756" t="inlineStr">
        <is>
          <t>Advanced</t>
        </is>
      </c>
      <c r="L3756" t="inlineStr"/>
      <c r="M3756" t="inlineStr">
        <is>
          <t>Geoff St. Marie</t>
        </is>
      </c>
      <c r="N3756" t="n">
        <v>1</v>
      </c>
      <c r="O3756" t="n">
        <v>5</v>
      </c>
      <c r="P3756" t="n">
        <v>0.0294029411764705</v>
      </c>
    </row>
    <row r="3757">
      <c r="A3757" t="inlineStr">
        <is>
          <t>Cait White</t>
        </is>
      </c>
      <c r="B3757" t="inlineStr">
        <is>
          <t>9/6/26 - 10/3/26</t>
        </is>
      </c>
      <c r="C3757" t="n">
        <v>0.5313</v>
      </c>
      <c r="D3757" t="n">
        <v>1.1719</v>
      </c>
      <c r="E3757" t="n">
        <v>1</v>
      </c>
      <c r="F3757" t="n">
        <v>1</v>
      </c>
      <c r="G3757" t="n">
        <v>0.5714285714285714</v>
      </c>
      <c r="H3757" t="n">
        <v>8</v>
      </c>
      <c r="I3757" t="inlineStr"/>
      <c r="J3757" t="inlineStr"/>
      <c r="K3757" t="inlineStr">
        <is>
          <t>Premium</t>
        </is>
      </c>
      <c r="L3757" t="inlineStr"/>
      <c r="M3757" t="inlineStr">
        <is>
          <t>Ela Cross</t>
        </is>
      </c>
      <c r="N3757" t="n">
        <v>0.9583333333333334</v>
      </c>
      <c r="O3757" t="n">
        <v>6</v>
      </c>
      <c r="P3757" t="n">
        <v>0.013604081632653</v>
      </c>
    </row>
    <row r="3758">
      <c r="A3758" t="inlineStr">
        <is>
          <t>Caitlin Tytler</t>
        </is>
      </c>
      <c r="B3758" t="inlineStr">
        <is>
          <t>9/6/26 - 10/3/26</t>
        </is>
      </c>
      <c r="C3758" t="n">
        <v>0.75</v>
      </c>
      <c r="D3758" t="n">
        <v>0.901</v>
      </c>
      <c r="E3758" t="n">
        <v>0.9830508474576272</v>
      </c>
      <c r="F3758" t="n">
        <v>1</v>
      </c>
      <c r="G3758" t="n">
        <v>0.8666666666666667</v>
      </c>
      <c r="H3758" t="n">
        <v>316</v>
      </c>
      <c r="I3758" t="inlineStr"/>
      <c r="J3758" t="n">
        <v>1</v>
      </c>
      <c r="K3758" t="inlineStr">
        <is>
          <t>Advanced</t>
        </is>
      </c>
      <c r="L3758" t="inlineStr"/>
      <c r="M3758" t="inlineStr">
        <is>
          <t>Annelies de Groot</t>
        </is>
      </c>
      <c r="N3758" t="n">
        <v>0.9583333333333334</v>
      </c>
      <c r="O3758" t="inlineStr"/>
      <c r="P3758" t="n">
        <v>0.0549617021276595</v>
      </c>
    </row>
    <row r="3759">
      <c r="A3759" t="inlineStr">
        <is>
          <t>Carina Shanahan</t>
        </is>
      </c>
      <c r="B3759" t="inlineStr">
        <is>
          <t>9/6/26 - 10/3/26</t>
        </is>
      </c>
      <c r="C3759" t="n">
        <v>1.0625</v>
      </c>
      <c r="D3759" t="n">
        <v>0.9737</v>
      </c>
      <c r="E3759" t="n">
        <v>0.9829059829059827</v>
      </c>
      <c r="F3759" t="n">
        <v>0.909</v>
      </c>
      <c r="G3759" t="n">
        <v>0.8</v>
      </c>
      <c r="H3759" t="n">
        <v>180</v>
      </c>
      <c r="I3759" t="inlineStr"/>
      <c r="J3759" t="n">
        <v>0.5714285714285714</v>
      </c>
      <c r="K3759" t="inlineStr">
        <is>
          <t>Distinguished</t>
        </is>
      </c>
      <c r="L3759" t="inlineStr"/>
      <c r="M3759" t="inlineStr">
        <is>
          <t>Kristin Haase-Alvey</t>
        </is>
      </c>
      <c r="N3759" t="n">
        <v>0.8245535714285714</v>
      </c>
      <c r="O3759" t="n">
        <v>7</v>
      </c>
      <c r="P3759" t="n">
        <v>0.0054864197530864</v>
      </c>
    </row>
    <row r="3760">
      <c r="A3760" t="inlineStr">
        <is>
          <t>Casey Young</t>
        </is>
      </c>
      <c r="B3760" t="inlineStr">
        <is>
          <t>9/6/26 - 10/3/26</t>
        </is>
      </c>
      <c r="C3760" t="n">
        <v>1.0179</v>
      </c>
      <c r="D3760" t="n">
        <v>1.1032</v>
      </c>
      <c r="E3760" t="n">
        <v>1</v>
      </c>
      <c r="F3760" t="n">
        <v>0.99</v>
      </c>
      <c r="G3760" t="n">
        <v>0.8214285714285714</v>
      </c>
      <c r="H3760" t="n">
        <v>290</v>
      </c>
      <c r="I3760" t="inlineStr"/>
      <c r="J3760" t="n">
        <v>0.75</v>
      </c>
      <c r="K3760" t="inlineStr">
        <is>
          <t>Distinguished</t>
        </is>
      </c>
      <c r="L3760" t="inlineStr"/>
      <c r="M3760" t="inlineStr">
        <is>
          <t>Annelies de Groot</t>
        </is>
      </c>
      <c r="N3760" t="n">
        <v>0.7064372469635628</v>
      </c>
      <c r="O3760" t="n">
        <v>6.375</v>
      </c>
      <c r="P3760" t="n">
        <v>0.1434272727272727</v>
      </c>
    </row>
    <row r="3761">
      <c r="A3761" t="inlineStr">
        <is>
          <t>Charlie Anderson</t>
        </is>
      </c>
      <c r="B3761" t="inlineStr">
        <is>
          <t>9/6/26 - 10/3/26</t>
        </is>
      </c>
      <c r="C3761" t="n">
        <v>1.2</v>
      </c>
      <c r="D3761" t="n">
        <v>1.0987</v>
      </c>
      <c r="E3761" t="n">
        <v>1</v>
      </c>
      <c r="F3761" t="n">
        <v>1</v>
      </c>
      <c r="G3761" t="n">
        <v>0.7575757575757576</v>
      </c>
      <c r="H3761" t="n">
        <v>474</v>
      </c>
      <c r="I3761" t="inlineStr"/>
      <c r="J3761" t="n">
        <v>1</v>
      </c>
      <c r="K3761" t="inlineStr">
        <is>
          <t>Distinguished</t>
        </is>
      </c>
      <c r="L3761" t="inlineStr"/>
      <c r="M3761" t="inlineStr">
        <is>
          <t>Annelies de Groot</t>
        </is>
      </c>
      <c r="N3761" t="n">
        <v>0.9924242424242424</v>
      </c>
      <c r="O3761" t="n">
        <v>7.05</v>
      </c>
      <c r="P3761" t="n">
        <v>0.037037037037037</v>
      </c>
    </row>
    <row r="3762">
      <c r="A3762" t="inlineStr">
        <is>
          <t>Chazlee Myers</t>
        </is>
      </c>
      <c r="B3762" t="inlineStr">
        <is>
          <t>9/6/26 - 10/3/26</t>
        </is>
      </c>
      <c r="C3762" t="n">
        <v>0.7917</v>
      </c>
      <c r="D3762" t="n">
        <v>0.8355</v>
      </c>
      <c r="E3762" t="n">
        <v>0.8260869565217391</v>
      </c>
      <c r="F3762" t="n">
        <v>0.75</v>
      </c>
      <c r="G3762" t="n">
        <v>0.875</v>
      </c>
      <c r="H3762" t="n">
        <v>140</v>
      </c>
      <c r="I3762" t="inlineStr"/>
      <c r="J3762" t="n">
        <v>0.25</v>
      </c>
      <c r="K3762" t="inlineStr">
        <is>
          <t>Distinguished</t>
        </is>
      </c>
      <c r="L3762" t="inlineStr"/>
      <c r="M3762" t="inlineStr">
        <is>
          <t>Geoff St. Marie</t>
        </is>
      </c>
      <c r="N3762" t="n">
        <v>0.9558404558404558</v>
      </c>
      <c r="O3762" t="inlineStr"/>
      <c r="P3762" t="n">
        <v>0.1657303370786516</v>
      </c>
    </row>
    <row r="3763">
      <c r="A3763" t="inlineStr">
        <is>
          <t>Chelsea Kobea</t>
        </is>
      </c>
      <c r="B3763" t="inlineStr">
        <is>
          <t>9/6/26 - 10/3/26</t>
        </is>
      </c>
      <c r="C3763" t="n">
        <v>0.9</v>
      </c>
      <c r="D3763" t="n">
        <v>1.0345</v>
      </c>
      <c r="E3763" t="n">
        <v>1</v>
      </c>
      <c r="F3763" t="n">
        <v>0.987</v>
      </c>
      <c r="G3763" t="n">
        <v>0.7142857142857143</v>
      </c>
      <c r="H3763" t="n">
        <v>272</v>
      </c>
      <c r="I3763" t="inlineStr"/>
      <c r="J3763" t="n">
        <v>0.5</v>
      </c>
      <c r="K3763" t="inlineStr">
        <is>
          <t>Distinguished</t>
        </is>
      </c>
      <c r="L3763" t="inlineStr"/>
      <c r="M3763" t="inlineStr">
        <is>
          <t>Kristin Haase-Alvey</t>
        </is>
      </c>
      <c r="N3763" t="n">
        <v>1</v>
      </c>
      <c r="O3763" t="n">
        <v>5.666666666666667</v>
      </c>
      <c r="P3763" t="n">
        <v>0.0361246073298429</v>
      </c>
    </row>
    <row r="3764">
      <c r="A3764" t="inlineStr">
        <is>
          <t>Cheyanne Jones</t>
        </is>
      </c>
      <c r="B3764" t="inlineStr">
        <is>
          <t>9/6/26 - 10/3/26</t>
        </is>
      </c>
      <c r="C3764" t="n">
        <v>1.125</v>
      </c>
      <c r="D3764" t="n">
        <v>1.0822</v>
      </c>
      <c r="E3764" t="n">
        <v>1</v>
      </c>
      <c r="F3764" t="n">
        <v>0.99</v>
      </c>
      <c r="G3764" t="n">
        <v>0.9333333333333332</v>
      </c>
      <c r="H3764" t="n">
        <v>236</v>
      </c>
      <c r="I3764" t="inlineStr"/>
      <c r="J3764" t="n">
        <v>1</v>
      </c>
      <c r="K3764" t="inlineStr">
        <is>
          <t>Distinguished</t>
        </is>
      </c>
      <c r="L3764" t="inlineStr"/>
      <c r="M3764" t="inlineStr">
        <is>
          <t>Kristin Haase-Alvey</t>
        </is>
      </c>
      <c r="N3764" t="n">
        <v>0.988095238095238</v>
      </c>
      <c r="O3764" t="n">
        <v>7.65</v>
      </c>
      <c r="P3764" t="n">
        <v>0.0895264462809917</v>
      </c>
    </row>
    <row r="3765">
      <c r="A3765" t="inlineStr">
        <is>
          <t>Chris Prouty</t>
        </is>
      </c>
      <c r="B3765" t="inlineStr">
        <is>
          <t>9/6/26 - 10/3/26</t>
        </is>
      </c>
      <c r="C3765" t="n">
        <v>0.5688</v>
      </c>
      <c r="D3765" t="n">
        <v>1.0339</v>
      </c>
      <c r="E3765" t="n">
        <v>1</v>
      </c>
      <c r="F3765" t="n">
        <v>0.964</v>
      </c>
      <c r="G3765" t="n">
        <v>1</v>
      </c>
      <c r="H3765" t="n">
        <v>0</v>
      </c>
      <c r="I3765" t="inlineStr"/>
      <c r="J3765" t="n">
        <v>1</v>
      </c>
      <c r="K3765" t="inlineStr">
        <is>
          <t>Premium</t>
        </is>
      </c>
      <c r="L3765" t="inlineStr"/>
      <c r="M3765" t="inlineStr">
        <is>
          <t>Annelies de Groot</t>
        </is>
      </c>
      <c r="N3765" t="n">
        <v>0.9087301587301588</v>
      </c>
      <c r="O3765" t="n">
        <v>9.466666666666669</v>
      </c>
      <c r="P3765" t="n">
        <v>0.2112676056338028</v>
      </c>
    </row>
    <row r="3766">
      <c r="A3766" t="inlineStr">
        <is>
          <t>Chris Yoon</t>
        </is>
      </c>
      <c r="B3766" t="inlineStr">
        <is>
          <t>9/6/26 - 10/3/26</t>
        </is>
      </c>
      <c r="C3766" t="n">
        <v>0.7417</v>
      </c>
      <c r="D3766" t="n">
        <v>0.9408</v>
      </c>
      <c r="E3766" t="n">
        <v>0.7752808988764045</v>
      </c>
      <c r="F3766" t="n">
        <v>0.947</v>
      </c>
      <c r="G3766" t="n">
        <v>0.6666666666666666</v>
      </c>
      <c r="H3766" t="n">
        <v>160</v>
      </c>
      <c r="I3766" t="inlineStr"/>
      <c r="J3766" t="n">
        <v>0</v>
      </c>
      <c r="K3766" t="inlineStr">
        <is>
          <t>Distinguished</t>
        </is>
      </c>
      <c r="L3766" t="inlineStr"/>
      <c r="M3766" t="inlineStr">
        <is>
          <t>Ian Plamondon</t>
        </is>
      </c>
      <c r="N3766" t="n">
        <v>0.8795955882352942</v>
      </c>
      <c r="O3766" t="inlineStr"/>
      <c r="P3766" t="inlineStr"/>
    </row>
    <row r="3767">
      <c r="A3767" t="inlineStr">
        <is>
          <t>Christelle Rocha</t>
        </is>
      </c>
      <c r="B3767" t="inlineStr">
        <is>
          <t>9/6/26 - 10/3/26</t>
        </is>
      </c>
      <c r="C3767" t="n">
        <v>1.0479</v>
      </c>
      <c r="D3767" t="n">
        <v>1.0641</v>
      </c>
      <c r="E3767" t="n">
        <v>0.9918699186991869</v>
      </c>
      <c r="F3767" t="n">
        <v>0.978</v>
      </c>
      <c r="G3767" t="n">
        <v>0.576923076923077</v>
      </c>
      <c r="H3767" t="n">
        <v>296</v>
      </c>
      <c r="I3767" t="inlineStr"/>
      <c r="J3767" t="n">
        <v>1</v>
      </c>
      <c r="K3767" t="inlineStr">
        <is>
          <t>Distinguished</t>
        </is>
      </c>
      <c r="L3767" t="inlineStr"/>
      <c r="M3767" t="inlineStr">
        <is>
          <t>Annelies de Groot</t>
        </is>
      </c>
      <c r="N3767" t="n">
        <v>1</v>
      </c>
      <c r="O3767" t="n">
        <v>7</v>
      </c>
      <c r="P3767" t="n">
        <v>0.1241534988713318</v>
      </c>
    </row>
    <row r="3768">
      <c r="A3768" t="inlineStr">
        <is>
          <t>Christian Collins</t>
        </is>
      </c>
      <c r="B3768" t="inlineStr">
        <is>
          <t>9/6/26 - 10/3/26</t>
        </is>
      </c>
      <c r="C3768" t="n">
        <v>1.1167</v>
      </c>
      <c r="D3768" t="n">
        <v>1.1924</v>
      </c>
      <c r="E3768" t="n">
        <v>0.9834710743801652</v>
      </c>
      <c r="F3768" t="n">
        <v>1</v>
      </c>
      <c r="G3768" t="n">
        <v>1</v>
      </c>
      <c r="H3768" t="n">
        <v>321</v>
      </c>
      <c r="I3768" t="inlineStr"/>
      <c r="J3768" t="n">
        <v>1</v>
      </c>
      <c r="K3768" t="inlineStr">
        <is>
          <t>Premium</t>
        </is>
      </c>
      <c r="L3768" t="inlineStr"/>
      <c r="M3768" t="inlineStr">
        <is>
          <t>Ian Plamondon</t>
        </is>
      </c>
      <c r="N3768" t="n">
        <v>0.966314935064935</v>
      </c>
      <c r="O3768" t="n">
        <v>6.135416666666667</v>
      </c>
      <c r="P3768" t="n">
        <v>0.0925920634920635</v>
      </c>
    </row>
    <row r="3769">
      <c r="A3769" t="inlineStr">
        <is>
          <t>Christian Steiner</t>
        </is>
      </c>
      <c r="B3769" t="inlineStr">
        <is>
          <t>9/6/26 - 10/3/26</t>
        </is>
      </c>
      <c r="C3769" t="n">
        <v>0.8</v>
      </c>
      <c r="D3769" t="n">
        <v>0.8964</v>
      </c>
      <c r="E3769" t="n">
        <v>0.9789473684210528</v>
      </c>
      <c r="F3769" t="n">
        <v>0.73</v>
      </c>
      <c r="G3769" t="n">
        <v>0.6666666666666666</v>
      </c>
      <c r="H3769" t="n">
        <v>314</v>
      </c>
      <c r="I3769" t="inlineStr"/>
      <c r="J3769" t="n">
        <v>0.5</v>
      </c>
      <c r="K3769" t="inlineStr">
        <is>
          <t>Distinguished</t>
        </is>
      </c>
      <c r="L3769" t="inlineStr"/>
      <c r="M3769" t="inlineStr">
        <is>
          <t>Kristin Haase-Alvey</t>
        </is>
      </c>
      <c r="N3769" t="n">
        <v>0.9710144927536232</v>
      </c>
      <c r="O3769" t="n">
        <v>6.5</v>
      </c>
      <c r="P3769" t="n">
        <v>0.0268183908045977</v>
      </c>
    </row>
    <row r="3770">
      <c r="A3770" t="inlineStr">
        <is>
          <t>Christine Santos</t>
        </is>
      </c>
      <c r="B3770" t="inlineStr">
        <is>
          <t>9/6/26 - 10/3/26</t>
        </is>
      </c>
      <c r="C3770" t="n">
        <v>1.1146</v>
      </c>
      <c r="D3770" t="n">
        <v>1.2891</v>
      </c>
      <c r="E3770" t="n">
        <v>0.92</v>
      </c>
      <c r="F3770" t="n">
        <v>0.9389999999999999</v>
      </c>
      <c r="G3770" t="n">
        <v>0.875</v>
      </c>
      <c r="H3770" t="n">
        <v>28</v>
      </c>
      <c r="I3770" t="inlineStr"/>
      <c r="J3770" t="n">
        <v>0.5</v>
      </c>
      <c r="K3770" t="inlineStr">
        <is>
          <t>Premium</t>
        </is>
      </c>
      <c r="L3770" t="inlineStr"/>
      <c r="M3770" t="inlineStr">
        <is>
          <t>Ela Cross</t>
        </is>
      </c>
      <c r="N3770" t="n">
        <v>0.9285714285714286</v>
      </c>
      <c r="O3770" t="n">
        <v>6</v>
      </c>
      <c r="P3770" t="n">
        <v>0.112209900990099</v>
      </c>
    </row>
    <row r="3771">
      <c r="A3771" t="inlineStr">
        <is>
          <t>Clark Howard</t>
        </is>
      </c>
      <c r="B3771" t="inlineStr">
        <is>
          <t>9/6/26 - 10/3/26</t>
        </is>
      </c>
      <c r="C3771" t="n">
        <v>0.9125</v>
      </c>
      <c r="D3771" t="n">
        <v>1.0885</v>
      </c>
      <c r="E3771" t="n">
        <v>0.971830985915493</v>
      </c>
      <c r="F3771" t="n">
        <v>0.911</v>
      </c>
      <c r="G3771" t="n">
        <v>0.6842105263157895</v>
      </c>
      <c r="H3771" t="n">
        <v>120</v>
      </c>
      <c r="I3771" t="inlineStr"/>
      <c r="J3771" t="n">
        <v>1</v>
      </c>
      <c r="K3771" t="inlineStr">
        <is>
          <t>Distinguished</t>
        </is>
      </c>
      <c r="L3771" t="inlineStr"/>
      <c r="M3771" t="inlineStr">
        <is>
          <t>Ian Plamondon</t>
        </is>
      </c>
      <c r="N3771" t="n">
        <v>0.912689393939394</v>
      </c>
      <c r="O3771" t="n">
        <v>6</v>
      </c>
      <c r="P3771" t="n">
        <v>0.1073529411764705</v>
      </c>
    </row>
    <row r="3772">
      <c r="A3772" t="inlineStr">
        <is>
          <t>Colin Cody</t>
        </is>
      </c>
      <c r="B3772" t="inlineStr">
        <is>
          <t>9/6/26 - 10/3/26</t>
        </is>
      </c>
      <c r="C3772" t="n">
        <v>0.9542</v>
      </c>
      <c r="D3772" t="n">
        <v>1.2072</v>
      </c>
      <c r="E3772" t="n">
        <v>0.961904761904762</v>
      </c>
      <c r="F3772" t="n">
        <v>1</v>
      </c>
      <c r="G3772" t="n">
        <v>0.9666666666666668</v>
      </c>
      <c r="H3772" t="n">
        <v>297</v>
      </c>
      <c r="I3772" t="inlineStr"/>
      <c r="J3772" t="n">
        <v>0</v>
      </c>
      <c r="K3772" t="inlineStr">
        <is>
          <t>Distinguished</t>
        </is>
      </c>
      <c r="L3772" t="inlineStr"/>
      <c r="M3772" t="inlineStr">
        <is>
          <t>Annelies de Groot</t>
        </is>
      </c>
      <c r="N3772" t="n">
        <v>0.8020220588235294</v>
      </c>
      <c r="O3772" t="n">
        <v>7.166666666666667</v>
      </c>
      <c r="P3772" t="n">
        <v>0.0950057971014492</v>
      </c>
    </row>
    <row r="3773">
      <c r="A3773" t="inlineStr">
        <is>
          <t>Daniel Branda</t>
        </is>
      </c>
      <c r="B3773" t="inlineStr">
        <is>
          <t>9/6/26 - 10/3/26</t>
        </is>
      </c>
      <c r="C3773" t="n">
        <v>0.4857</v>
      </c>
      <c r="D3773" t="n">
        <v>0.8328</v>
      </c>
      <c r="E3773" t="n">
        <v>1</v>
      </c>
      <c r="F3773" t="n">
        <v>1</v>
      </c>
      <c r="G3773" t="n">
        <v>1</v>
      </c>
      <c r="H3773" t="n">
        <v>32</v>
      </c>
      <c r="I3773" t="inlineStr"/>
      <c r="J3773" t="n">
        <v>0.8</v>
      </c>
      <c r="K3773" t="inlineStr">
        <is>
          <t>Distinguished</t>
        </is>
      </c>
      <c r="L3773" t="inlineStr"/>
      <c r="M3773" t="inlineStr">
        <is>
          <t>Katherine Marino</t>
        </is>
      </c>
      <c r="N3773" t="n">
        <v>1</v>
      </c>
      <c r="O3773" t="n">
        <v>8</v>
      </c>
      <c r="P3773" t="n">
        <v>0.037759375</v>
      </c>
    </row>
    <row r="3774">
      <c r="A3774" t="inlineStr">
        <is>
          <t>Daniel Byun</t>
        </is>
      </c>
      <c r="B3774" t="inlineStr">
        <is>
          <t>9/6/26 - 10/3/26</t>
        </is>
      </c>
      <c r="C3774" t="n">
        <v/>
      </c>
      <c r="D3774" t="n">
        <v/>
      </c>
      <c r="E3774" t="n">
        <v/>
      </c>
      <c r="F3774" t="n">
        <v/>
      </c>
      <c r="G3774" t="n">
        <v/>
      </c>
      <c r="H3774" t="n">
        <v>0</v>
      </c>
      <c r="I3774" t="inlineStr"/>
      <c r="J3774" t="inlineStr"/>
      <c r="K3774" t="inlineStr">
        <is>
          <t>Distinguished</t>
        </is>
      </c>
      <c r="L3774" t="inlineStr"/>
      <c r="M3774" t="inlineStr">
        <is>
          <t>Nikki Pencak</t>
        </is>
      </c>
      <c r="N3774" t="inlineStr"/>
      <c r="O3774" t="inlineStr"/>
      <c r="P3774" t="inlineStr"/>
    </row>
    <row r="3775">
      <c r="A3775" t="inlineStr">
        <is>
          <t>Daniel Esquivel-Reynoso</t>
        </is>
      </c>
      <c r="B3775" t="inlineStr">
        <is>
          <t>9/6/26 - 10/3/26</t>
        </is>
      </c>
      <c r="C3775" t="n">
        <v>0.8333</v>
      </c>
      <c r="D3775" t="n">
        <v>0.8816000000000001</v>
      </c>
      <c r="E3775" t="n">
        <v>1</v>
      </c>
      <c r="F3775" t="n">
        <v>1</v>
      </c>
      <c r="G3775" t="n">
        <v>1</v>
      </c>
      <c r="H3775" t="n">
        <v>136</v>
      </c>
      <c r="I3775" t="inlineStr"/>
      <c r="J3775" t="n">
        <v>0.6363636363636364</v>
      </c>
      <c r="K3775" t="inlineStr">
        <is>
          <t>Distinguished</t>
        </is>
      </c>
      <c r="L3775" t="inlineStr"/>
      <c r="M3775" t="inlineStr">
        <is>
          <t>Annelies de Groot</t>
        </is>
      </c>
      <c r="N3775" t="n">
        <v>0.9875</v>
      </c>
      <c r="O3775" t="n">
        <v>10</v>
      </c>
      <c r="P3775" t="n">
        <v>0.1827946236559139</v>
      </c>
    </row>
    <row r="3776">
      <c r="A3776" t="inlineStr">
        <is>
          <t>Daniel Olson</t>
        </is>
      </c>
      <c r="B3776" t="inlineStr">
        <is>
          <t>9/6/26 - 10/3/26</t>
        </is>
      </c>
      <c r="C3776" t="n">
        <v>0.9833</v>
      </c>
      <c r="D3776" t="n">
        <v>1.0115</v>
      </c>
      <c r="E3776" t="n">
        <v>0.982608695652174</v>
      </c>
      <c r="F3776" t="n">
        <v>0.987</v>
      </c>
      <c r="G3776" t="n">
        <v>0.25</v>
      </c>
      <c r="H3776" t="n">
        <v>172</v>
      </c>
      <c r="I3776" t="inlineStr"/>
      <c r="J3776" t="n">
        <v>0</v>
      </c>
      <c r="K3776" t="inlineStr">
        <is>
          <t>Distinguished</t>
        </is>
      </c>
      <c r="L3776" t="inlineStr"/>
      <c r="M3776" t="inlineStr">
        <is>
          <t>Annelies de Groot</t>
        </is>
      </c>
      <c r="N3776" t="n">
        <v>0.9346362229102168</v>
      </c>
      <c r="O3776" t="n">
        <v>6</v>
      </c>
      <c r="P3776" t="n">
        <v>0.0950084112149532</v>
      </c>
    </row>
    <row r="3777">
      <c r="A3777" t="inlineStr">
        <is>
          <t>Daniel Severance</t>
        </is>
      </c>
      <c r="B3777" t="inlineStr">
        <is>
          <t>9/6/26 - 10/3/26</t>
        </is>
      </c>
      <c r="C3777" t="n">
        <v>0.8536</v>
      </c>
      <c r="D3777" t="n">
        <v>1.189</v>
      </c>
      <c r="E3777" t="n">
        <v>0.9818181818181818</v>
      </c>
      <c r="F3777" t="n">
        <v>0.948</v>
      </c>
      <c r="G3777" t="n">
        <v>0.8181818181818182</v>
      </c>
      <c r="H3777" t="n">
        <v>219</v>
      </c>
      <c r="I3777" t="inlineStr"/>
      <c r="J3777" t="n">
        <v>0.5</v>
      </c>
      <c r="K3777" t="inlineStr">
        <is>
          <t>Premium</t>
        </is>
      </c>
      <c r="L3777" t="inlineStr"/>
      <c r="M3777" t="inlineStr">
        <is>
          <t>Annelies de Groot</t>
        </is>
      </c>
      <c r="N3777" t="n">
        <v>0.8086080586080586</v>
      </c>
      <c r="O3777" t="n">
        <v>8.875</v>
      </c>
      <c r="P3777" t="n">
        <v>0.0829408450704225</v>
      </c>
    </row>
    <row r="3778">
      <c r="A3778" t="inlineStr">
        <is>
          <t>Danny Smith</t>
        </is>
      </c>
      <c r="B3778" t="inlineStr">
        <is>
          <t>9/6/26 - 10/3/26</t>
        </is>
      </c>
      <c r="C3778" t="n">
        <v>0.0167</v>
      </c>
      <c r="D3778" t="n">
        <v>0.2122</v>
      </c>
      <c r="E3778" t="n">
        <v>1</v>
      </c>
      <c r="F3778" t="n">
        <v>1</v>
      </c>
      <c r="G3778" t="n">
        <v/>
      </c>
      <c r="H3778" t="n">
        <v>0</v>
      </c>
      <c r="I3778" t="inlineStr"/>
      <c r="J3778" t="n">
        <v>1</v>
      </c>
      <c r="K3778" t="inlineStr">
        <is>
          <t>Distinguished</t>
        </is>
      </c>
      <c r="L3778" t="inlineStr"/>
      <c r="M3778" t="inlineStr">
        <is>
          <t>Katherine Marino</t>
        </is>
      </c>
      <c r="N3778" t="n">
        <v>0.5</v>
      </c>
      <c r="O3778" t="inlineStr"/>
      <c r="P3778" t="n">
        <v>3.49985</v>
      </c>
    </row>
    <row r="3779">
      <c r="A3779" t="inlineStr">
        <is>
          <t>David Alcantara</t>
        </is>
      </c>
      <c r="B3779" t="inlineStr">
        <is>
          <t>9/6/26 - 10/3/26</t>
        </is>
      </c>
      <c r="C3779" t="n">
        <v>0.7875</v>
      </c>
      <c r="D3779" t="n">
        <v>1.0115</v>
      </c>
      <c r="E3779" t="n">
        <v>1</v>
      </c>
      <c r="F3779" t="n">
        <v>0.909</v>
      </c>
      <c r="G3779" t="n">
        <v>0.7619047619047619</v>
      </c>
      <c r="H3779" t="n">
        <v>14</v>
      </c>
      <c r="I3779" t="inlineStr"/>
      <c r="J3779" t="n">
        <v>0.8</v>
      </c>
      <c r="K3779" t="inlineStr">
        <is>
          <t>Distinguished</t>
        </is>
      </c>
      <c r="L3779" t="inlineStr"/>
      <c r="M3779" t="inlineStr">
        <is>
          <t>Annelies de Groot</t>
        </is>
      </c>
      <c r="N3779" t="n">
        <v>0.6742340992340993</v>
      </c>
      <c r="O3779" t="n">
        <v>7.125</v>
      </c>
      <c r="P3779" t="n">
        <v>0.0295234285714285</v>
      </c>
    </row>
    <row r="3780">
      <c r="A3780" t="inlineStr">
        <is>
          <t>Dehavion Knight</t>
        </is>
      </c>
      <c r="B3780" t="inlineStr">
        <is>
          <t>9/6/26 - 10/3/26</t>
        </is>
      </c>
      <c r="C3780" t="n">
        <v>1.125</v>
      </c>
      <c r="D3780" t="n">
        <v>1.2188</v>
      </c>
      <c r="E3780" t="n">
        <v>0.981132075471698</v>
      </c>
      <c r="F3780" t="n">
        <v>0.529</v>
      </c>
      <c r="G3780" t="n">
        <v>1</v>
      </c>
      <c r="H3780" t="n">
        <v>100</v>
      </c>
      <c r="I3780" t="inlineStr"/>
      <c r="J3780" t="n">
        <v>0.25</v>
      </c>
      <c r="K3780" t="inlineStr">
        <is>
          <t>Distinguished</t>
        </is>
      </c>
      <c r="L3780" t="inlineStr"/>
      <c r="M3780" t="inlineStr">
        <is>
          <t>Kristin Haase-Alvey</t>
        </is>
      </c>
      <c r="N3780" t="n">
        <v>1</v>
      </c>
      <c r="O3780" t="inlineStr"/>
      <c r="P3780" t="inlineStr"/>
    </row>
    <row r="3781">
      <c r="A3781" t="inlineStr">
        <is>
          <t>Derek Fox</t>
        </is>
      </c>
      <c r="B3781" t="inlineStr">
        <is>
          <t>9/6/26 - 10/3/26</t>
        </is>
      </c>
      <c r="C3781" t="n">
        <v>0.875</v>
      </c>
      <c r="D3781" t="n">
        <v>0.875</v>
      </c>
      <c r="E3781" t="n">
        <v>1</v>
      </c>
      <c r="F3781" t="n">
        <v>0.958</v>
      </c>
      <c r="G3781" t="n">
        <v>0.8888888888888888</v>
      </c>
      <c r="H3781" t="n">
        <v>64</v>
      </c>
      <c r="I3781" t="inlineStr"/>
      <c r="J3781" t="n">
        <v>0.5</v>
      </c>
      <c r="K3781" t="inlineStr">
        <is>
          <t>Advanced</t>
        </is>
      </c>
      <c r="L3781" t="inlineStr"/>
      <c r="M3781" t="inlineStr">
        <is>
          <t>Geoff St. Marie</t>
        </is>
      </c>
      <c r="N3781" t="n">
        <v>0.95</v>
      </c>
      <c r="O3781" t="n">
        <v>7.75</v>
      </c>
      <c r="P3781" t="inlineStr"/>
    </row>
    <row r="3782">
      <c r="A3782" t="inlineStr">
        <is>
          <t>Diamond Anderson</t>
        </is>
      </c>
      <c r="B3782" t="inlineStr">
        <is>
          <t>9/6/26 - 10/3/26</t>
        </is>
      </c>
      <c r="C3782" t="n">
        <v>0.9583</v>
      </c>
      <c r="D3782" t="n">
        <v>1.082</v>
      </c>
      <c r="E3782" t="n">
        <v>0.9473684210526316</v>
      </c>
      <c r="F3782" t="n">
        <v>0.885</v>
      </c>
      <c r="G3782" t="n">
        <v>0.7272727272727273</v>
      </c>
      <c r="H3782" t="n">
        <v>104</v>
      </c>
      <c r="I3782" t="inlineStr"/>
      <c r="J3782" t="n">
        <v>0.6666666666666666</v>
      </c>
      <c r="K3782" t="inlineStr">
        <is>
          <t>Distinguished</t>
        </is>
      </c>
      <c r="L3782" t="inlineStr"/>
      <c r="M3782" t="inlineStr">
        <is>
          <t>Kristin Haase-Alvey</t>
        </is>
      </c>
      <c r="N3782" t="n">
        <v>0.8402777777777778</v>
      </c>
      <c r="O3782" t="inlineStr"/>
      <c r="P3782" t="n">
        <v>0.0388866666666666</v>
      </c>
    </row>
    <row r="3783">
      <c r="A3783" t="inlineStr">
        <is>
          <t>Diana Hoyer</t>
        </is>
      </c>
      <c r="B3783" t="inlineStr">
        <is>
          <t>9/6/26 - 10/3/26</t>
        </is>
      </c>
      <c r="C3783" t="n">
        <v>0.8679</v>
      </c>
      <c r="D3783" t="n">
        <v>1.0552</v>
      </c>
      <c r="E3783" t="n">
        <v>0.896551724137931</v>
      </c>
      <c r="F3783" t="n">
        <v>1</v>
      </c>
      <c r="G3783" t="n">
        <v>1</v>
      </c>
      <c r="H3783" t="n">
        <v>301</v>
      </c>
      <c r="I3783" t="inlineStr"/>
      <c r="J3783" t="inlineStr"/>
      <c r="K3783" t="inlineStr">
        <is>
          <t>Premium</t>
        </is>
      </c>
      <c r="L3783" t="inlineStr"/>
      <c r="M3783" t="inlineStr">
        <is>
          <t>Geoff St. Marie</t>
        </is>
      </c>
      <c r="N3783" t="n">
        <v>0.984375</v>
      </c>
      <c r="O3783" t="n">
        <v>8.966666666666667</v>
      </c>
      <c r="P3783" t="n">
        <v>0.0487598253275109</v>
      </c>
    </row>
    <row r="3784">
      <c r="A3784" t="inlineStr">
        <is>
          <t>Dorothy McDaniel</t>
        </is>
      </c>
      <c r="B3784" t="inlineStr">
        <is>
          <t>9/6/26 - 10/3/26</t>
        </is>
      </c>
      <c r="C3784" t="n">
        <v>0.3458</v>
      </c>
      <c r="D3784" t="n">
        <v>1.4104</v>
      </c>
      <c r="E3784" t="n">
        <v>1</v>
      </c>
      <c r="F3784" t="n">
        <v>1</v>
      </c>
      <c r="G3784" t="n">
        <v>1</v>
      </c>
      <c r="H3784" t="n">
        <v>92</v>
      </c>
      <c r="I3784" t="inlineStr"/>
      <c r="J3784" t="n">
        <v>1</v>
      </c>
      <c r="K3784" t="inlineStr">
        <is>
          <t>Premium</t>
        </is>
      </c>
      <c r="L3784" t="inlineStr"/>
      <c r="M3784" t="inlineStr">
        <is>
          <t>Ian Plamondon</t>
        </is>
      </c>
      <c r="N3784" t="n">
        <v>1</v>
      </c>
      <c r="O3784" t="n">
        <v>5.166666666666667</v>
      </c>
      <c r="P3784" t="n">
        <v>0.1543209876543209</v>
      </c>
    </row>
    <row r="3785">
      <c r="A3785" t="inlineStr">
        <is>
          <t>Eddie Cayia</t>
        </is>
      </c>
      <c r="B3785" t="inlineStr">
        <is>
          <t>9/6/26 - 10/3/26</t>
        </is>
      </c>
      <c r="C3785" t="n">
        <v>0.75</v>
      </c>
      <c r="D3785" t="n">
        <v>0.891</v>
      </c>
      <c r="E3785" t="n">
        <v>0.970873786407767</v>
      </c>
      <c r="F3785" t="n">
        <v>0.919</v>
      </c>
      <c r="G3785" t="n">
        <v>0.76</v>
      </c>
      <c r="H3785" t="n">
        <v>264</v>
      </c>
      <c r="I3785" t="inlineStr"/>
      <c r="J3785" t="n">
        <v>0.4285714285714285</v>
      </c>
      <c r="K3785" t="inlineStr">
        <is>
          <t>Distinguished</t>
        </is>
      </c>
      <c r="L3785" t="inlineStr"/>
      <c r="M3785" t="inlineStr">
        <is>
          <t>Annelies de Groot</t>
        </is>
      </c>
      <c r="N3785" t="n">
        <v>1</v>
      </c>
      <c r="O3785" t="n">
        <v>4.666666666666667</v>
      </c>
      <c r="P3785" t="n">
        <v>0.0464894736842105</v>
      </c>
    </row>
    <row r="3786">
      <c r="A3786" t="inlineStr">
        <is>
          <t>Eddie Rodriguez</t>
        </is>
      </c>
      <c r="B3786" t="inlineStr">
        <is>
          <t>9/6/26 - 10/3/26</t>
        </is>
      </c>
      <c r="C3786" t="n">
        <v>0.9958</v>
      </c>
      <c r="D3786" t="n">
        <v>1.1201</v>
      </c>
      <c r="E3786" t="n">
        <v>1</v>
      </c>
      <c r="F3786" t="n">
        <v>0.974</v>
      </c>
      <c r="G3786" t="n">
        <v>0.9583333333333334</v>
      </c>
      <c r="H3786" t="n">
        <v>106</v>
      </c>
      <c r="I3786" t="inlineStr"/>
      <c r="J3786" t="n">
        <v>0.75</v>
      </c>
      <c r="K3786" t="inlineStr">
        <is>
          <t>Distinguished</t>
        </is>
      </c>
      <c r="L3786" t="inlineStr"/>
      <c r="M3786" t="inlineStr">
        <is>
          <t>Geoff St. Marie</t>
        </is>
      </c>
      <c r="N3786" t="n">
        <v>0.986842105263158</v>
      </c>
      <c r="O3786" t="n">
        <v>6.238095238095238</v>
      </c>
      <c r="P3786" t="n">
        <v>0.1189374449339207</v>
      </c>
    </row>
    <row r="3787">
      <c r="A3787" t="inlineStr">
        <is>
          <t>Eden Rasmussen</t>
        </is>
      </c>
      <c r="B3787" t="inlineStr">
        <is>
          <t>9/6/26 - 10/3/26</t>
        </is>
      </c>
      <c r="C3787" t="n">
        <v>0.8361</v>
      </c>
      <c r="D3787" t="n">
        <v>0.9638</v>
      </c>
      <c r="E3787" t="n">
        <v>0.8673469387755102</v>
      </c>
      <c r="F3787" t="n">
        <v>1</v>
      </c>
      <c r="G3787" t="n">
        <v>0.5555555555555556</v>
      </c>
      <c r="H3787" t="n">
        <v>200</v>
      </c>
      <c r="I3787" t="inlineStr"/>
      <c r="J3787" t="n">
        <v>0.25</v>
      </c>
      <c r="K3787" t="inlineStr">
        <is>
          <t>Distinguished</t>
        </is>
      </c>
      <c r="L3787" t="inlineStr"/>
      <c r="M3787" t="inlineStr">
        <is>
          <t>Geoff St. Marie</t>
        </is>
      </c>
      <c r="N3787" t="n">
        <v>0.9791666666666666</v>
      </c>
      <c r="O3787" t="n">
        <v>7.6</v>
      </c>
      <c r="P3787" t="n">
        <v>0.0482606363940681</v>
      </c>
    </row>
    <row r="3788">
      <c r="A3788" t="inlineStr">
        <is>
          <t>Edwin West</t>
        </is>
      </c>
      <c r="B3788" t="inlineStr">
        <is>
          <t>9/6/26 - 10/3/26</t>
        </is>
      </c>
      <c r="C3788" t="n">
        <v>1.1042</v>
      </c>
      <c r="D3788" t="n">
        <v>1.0664</v>
      </c>
      <c r="E3788" t="n">
        <v>1</v>
      </c>
      <c r="F3788" t="n">
        <v>1</v>
      </c>
      <c r="G3788" t="n">
        <v>1</v>
      </c>
      <c r="H3788" t="n">
        <v>97</v>
      </c>
      <c r="I3788" t="inlineStr"/>
      <c r="J3788" t="n">
        <v>0</v>
      </c>
      <c r="K3788" t="inlineStr">
        <is>
          <t>Distinguished</t>
        </is>
      </c>
      <c r="L3788" t="inlineStr"/>
      <c r="M3788" t="inlineStr">
        <is>
          <t>Ian Plamondon</t>
        </is>
      </c>
      <c r="N3788" t="n">
        <v>0.975</v>
      </c>
      <c r="O3788" t="n">
        <v>6.041666666666666</v>
      </c>
      <c r="P3788" t="n">
        <v>0.016666</v>
      </c>
    </row>
    <row r="3789">
      <c r="A3789" t="inlineStr">
        <is>
          <t>Eleanor Mancilla</t>
        </is>
      </c>
      <c r="B3789" t="inlineStr">
        <is>
          <t>9/6/26 - 10/3/26</t>
        </is>
      </c>
      <c r="C3789" t="n">
        <v>1</v>
      </c>
      <c r="D3789" t="n">
        <v>1.0576</v>
      </c>
      <c r="E3789" t="n">
        <v>1</v>
      </c>
      <c r="F3789" t="n">
        <v>0.989</v>
      </c>
      <c r="G3789" t="n">
        <v>0.7619047619047619</v>
      </c>
      <c r="H3789" t="n">
        <v>222</v>
      </c>
      <c r="I3789" t="inlineStr"/>
      <c r="J3789" t="n">
        <v>0.625</v>
      </c>
      <c r="K3789" t="inlineStr">
        <is>
          <t>Distinguished</t>
        </is>
      </c>
      <c r="L3789" t="inlineStr"/>
      <c r="M3789" t="inlineStr">
        <is>
          <t>Annelies de Groot</t>
        </is>
      </c>
      <c r="N3789" t="n">
        <v>0.9875</v>
      </c>
      <c r="O3789" t="n">
        <v>7.666666666666667</v>
      </c>
      <c r="P3789" t="n">
        <v>0.0983468468468468</v>
      </c>
    </row>
    <row r="3790">
      <c r="A3790" t="inlineStr">
        <is>
          <t>Elijah Ramirez</t>
        </is>
      </c>
      <c r="B3790" t="inlineStr">
        <is>
          <t>9/6/26 - 10/3/26</t>
        </is>
      </c>
      <c r="C3790" t="n">
        <v>1.125</v>
      </c>
      <c r="D3790" t="n">
        <v>1.0987</v>
      </c>
      <c r="E3790" t="n">
        <v>1</v>
      </c>
      <c r="F3790" t="n">
        <v>1</v>
      </c>
      <c r="G3790" t="n">
        <v>0.9642857142857144</v>
      </c>
      <c r="H3790" t="n">
        <v>86</v>
      </c>
      <c r="I3790" t="inlineStr"/>
      <c r="J3790" t="n">
        <v>1</v>
      </c>
      <c r="K3790" t="inlineStr">
        <is>
          <t>Premium</t>
        </is>
      </c>
      <c r="L3790" t="inlineStr"/>
      <c r="M3790" t="inlineStr">
        <is>
          <t>Ian Plamondon</t>
        </is>
      </c>
      <c r="N3790" t="n">
        <v>1</v>
      </c>
      <c r="O3790" t="n">
        <v>3.083333333333333</v>
      </c>
      <c r="P3790" t="n">
        <v>0.0323886639676113</v>
      </c>
    </row>
    <row r="3791">
      <c r="A3791" t="inlineStr">
        <is>
          <t>Elvira Nnodim</t>
        </is>
      </c>
      <c r="B3791" t="inlineStr">
        <is>
          <t>9/6/26 - 10/3/26</t>
        </is>
      </c>
      <c r="C3791" t="n">
        <v/>
      </c>
      <c r="D3791" t="n">
        <v/>
      </c>
      <c r="E3791" t="n">
        <v/>
      </c>
      <c r="F3791" t="n">
        <v/>
      </c>
      <c r="G3791" t="n">
        <v/>
      </c>
      <c r="H3791" t="n">
        <v>0</v>
      </c>
      <c r="I3791" t="inlineStr"/>
      <c r="J3791" t="inlineStr"/>
      <c r="K3791" t="inlineStr">
        <is>
          <t>Distinguished</t>
        </is>
      </c>
      <c r="L3791" t="inlineStr"/>
      <c r="M3791" t="inlineStr">
        <is>
          <t>Nikki Pencak</t>
        </is>
      </c>
      <c r="N3791" t="inlineStr"/>
      <c r="O3791" t="inlineStr"/>
      <c r="P3791" t="inlineStr"/>
    </row>
    <row r="3792">
      <c r="A3792" t="inlineStr">
        <is>
          <t>Eric Chang</t>
        </is>
      </c>
      <c r="B3792" t="inlineStr">
        <is>
          <t>9/6/26 - 10/3/26</t>
        </is>
      </c>
      <c r="C3792" t="n">
        <v>0.7667</v>
      </c>
      <c r="D3792" t="n">
        <v>0.7336</v>
      </c>
      <c r="E3792" t="n">
        <v>1</v>
      </c>
      <c r="F3792" t="n">
        <v>0.983</v>
      </c>
      <c r="G3792" t="n">
        <v>0.7826086956521739</v>
      </c>
      <c r="H3792" t="n">
        <v>246</v>
      </c>
      <c r="I3792" t="inlineStr"/>
      <c r="J3792" t="n">
        <v>0.25</v>
      </c>
      <c r="K3792" t="inlineStr">
        <is>
          <t>Distinguished</t>
        </is>
      </c>
      <c r="L3792" t="inlineStr"/>
      <c r="M3792" t="inlineStr">
        <is>
          <t>Annelies de Groot</t>
        </is>
      </c>
      <c r="N3792" t="n">
        <v>1</v>
      </c>
      <c r="O3792" t="n">
        <v>4.8</v>
      </c>
      <c r="P3792" t="n">
        <v>0.06568588235294109</v>
      </c>
    </row>
    <row r="3793">
      <c r="A3793" t="inlineStr">
        <is>
          <t>Ernie Chu</t>
        </is>
      </c>
      <c r="B3793" t="inlineStr">
        <is>
          <t>9/6/26 - 10/3/26</t>
        </is>
      </c>
      <c r="C3793" t="n">
        <v>1.25</v>
      </c>
      <c r="D3793" t="n">
        <v>1.125</v>
      </c>
      <c r="E3793" t="n">
        <v>0.9932885906040269</v>
      </c>
      <c r="F3793" t="n">
        <v>0.902</v>
      </c>
      <c r="G3793" t="n">
        <v>0.9615384615384616</v>
      </c>
      <c r="H3793" t="n">
        <v>288</v>
      </c>
      <c r="I3793" t="inlineStr"/>
      <c r="J3793" t="n">
        <v>0.3</v>
      </c>
      <c r="K3793" t="inlineStr">
        <is>
          <t>Distinguished</t>
        </is>
      </c>
      <c r="L3793" t="inlineStr"/>
      <c r="M3793" t="inlineStr">
        <is>
          <t>Geoff St. Marie</t>
        </is>
      </c>
      <c r="N3793" t="n">
        <v>0.974937343358396</v>
      </c>
      <c r="O3793" t="n">
        <v>7.6</v>
      </c>
      <c r="P3793" t="inlineStr"/>
    </row>
    <row r="3794">
      <c r="A3794" t="inlineStr">
        <is>
          <t>Ethan Sturmoski</t>
        </is>
      </c>
      <c r="B3794" t="inlineStr">
        <is>
          <t>9/6/26 - 10/3/26</t>
        </is>
      </c>
      <c r="C3794" t="n">
        <v>0.5083</v>
      </c>
      <c r="D3794" t="n">
        <v>0.7188</v>
      </c>
      <c r="E3794" t="n">
        <v>0.9508196721311476</v>
      </c>
      <c r="F3794" t="n">
        <v>0.957</v>
      </c>
      <c r="G3794" t="n">
        <v>0</v>
      </c>
      <c r="H3794" t="n">
        <v>48</v>
      </c>
      <c r="I3794" t="inlineStr"/>
      <c r="J3794" t="n">
        <v>0.6</v>
      </c>
      <c r="K3794" t="inlineStr">
        <is>
          <t>Distinguished</t>
        </is>
      </c>
      <c r="L3794" t="inlineStr"/>
      <c r="M3794" t="inlineStr">
        <is>
          <t>Kristin Haase-Alvey</t>
        </is>
      </c>
      <c r="N3794" t="n">
        <v>0.9431818181818182</v>
      </c>
      <c r="O3794" t="inlineStr"/>
      <c r="P3794" t="n">
        <v>0.16235</v>
      </c>
    </row>
    <row r="3795">
      <c r="A3795" t="inlineStr">
        <is>
          <t>Eve Shames</t>
        </is>
      </c>
      <c r="B3795" t="inlineStr">
        <is>
          <t>9/6/26 - 10/3/26</t>
        </is>
      </c>
      <c r="C3795" t="n">
        <v>1.0417</v>
      </c>
      <c r="D3795" t="n">
        <v>0.9967</v>
      </c>
      <c r="E3795" t="n">
        <v>1</v>
      </c>
      <c r="F3795" t="n">
        <v>1</v>
      </c>
      <c r="G3795" t="n">
        <v>0.3846153846153846</v>
      </c>
      <c r="H3795" t="n">
        <v>152</v>
      </c>
      <c r="I3795" t="inlineStr"/>
      <c r="J3795" t="n">
        <v>0.5</v>
      </c>
      <c r="K3795" t="inlineStr">
        <is>
          <t>Distinguished</t>
        </is>
      </c>
      <c r="L3795" t="inlineStr"/>
      <c r="M3795" t="inlineStr">
        <is>
          <t>Ian Plamondon</t>
        </is>
      </c>
      <c r="N3795" t="n">
        <v>0.9699074074074072</v>
      </c>
      <c r="O3795" t="n">
        <v>7.5</v>
      </c>
      <c r="P3795" t="n">
        <v>0.1249947368421052</v>
      </c>
    </row>
    <row r="3796">
      <c r="A3796" t="inlineStr">
        <is>
          <t>Faith Rogers</t>
        </is>
      </c>
      <c r="B3796" t="inlineStr">
        <is>
          <t>9/6/26 - 10/3/26</t>
        </is>
      </c>
      <c r="C3796" t="n">
        <v>0.8792</v>
      </c>
      <c r="D3796" t="n">
        <v>0.9441000000000001</v>
      </c>
      <c r="E3796" t="n">
        <v>0.9591836734693876</v>
      </c>
      <c r="F3796" t="n">
        <v>0.987</v>
      </c>
      <c r="G3796" t="n">
        <v>1</v>
      </c>
      <c r="H3796" t="n">
        <v>50</v>
      </c>
      <c r="I3796" t="inlineStr"/>
      <c r="J3796" t="n">
        <v>0.8</v>
      </c>
      <c r="K3796" t="inlineStr">
        <is>
          <t>Distinguished</t>
        </is>
      </c>
      <c r="L3796" t="inlineStr"/>
      <c r="M3796" t="inlineStr">
        <is>
          <t>Geoff St. Marie</t>
        </is>
      </c>
      <c r="N3796" t="n">
        <v>1</v>
      </c>
      <c r="O3796" t="n">
        <v>8.168749999999999</v>
      </c>
      <c r="P3796" t="inlineStr"/>
    </row>
    <row r="3797">
      <c r="A3797" t="inlineStr">
        <is>
          <t>Gabriel Saint Cyr</t>
        </is>
      </c>
      <c r="B3797" t="inlineStr">
        <is>
          <t>9/6/26 - 10/3/26</t>
        </is>
      </c>
      <c r="C3797" t="n">
        <v>0.25</v>
      </c>
      <c r="D3797" t="n">
        <v>1.0273</v>
      </c>
      <c r="E3797" t="n">
        <v>1</v>
      </c>
      <c r="F3797" t="n">
        <v>0.833</v>
      </c>
      <c r="G3797" t="n">
        <v>0.6</v>
      </c>
      <c r="H3797" t="n">
        <v>0</v>
      </c>
      <c r="I3797" t="inlineStr"/>
      <c r="J3797" t="n">
        <v>1</v>
      </c>
      <c r="K3797" t="inlineStr">
        <is>
          <t>Distinguished</t>
        </is>
      </c>
      <c r="L3797" t="inlineStr"/>
      <c r="M3797" t="inlineStr">
        <is>
          <t>Geoff St. Marie</t>
        </is>
      </c>
      <c r="N3797" t="n">
        <v>1</v>
      </c>
      <c r="O3797" t="inlineStr"/>
      <c r="P3797" t="n">
        <v>0.0740666666666666</v>
      </c>
    </row>
    <row r="3798">
      <c r="A3798" t="inlineStr">
        <is>
          <t>Gale Hermes</t>
        </is>
      </c>
      <c r="B3798" t="inlineStr">
        <is>
          <t>9/6/26 - 10/3/26</t>
        </is>
      </c>
      <c r="C3798" t="n">
        <v>0.7708</v>
      </c>
      <c r="D3798" t="n">
        <v>1.2625</v>
      </c>
      <c r="E3798" t="n">
        <v>0.9885057471264368</v>
      </c>
      <c r="F3798" t="n">
        <v>0.86</v>
      </c>
      <c r="G3798" t="n">
        <v>0.5555555555555556</v>
      </c>
      <c r="H3798" t="n">
        <v>103</v>
      </c>
      <c r="I3798" t="inlineStr"/>
      <c r="J3798" t="n">
        <v>0</v>
      </c>
      <c r="K3798" t="inlineStr">
        <is>
          <t>Premium</t>
        </is>
      </c>
      <c r="L3798" t="inlineStr"/>
      <c r="M3798" t="inlineStr">
        <is>
          <t>Ian Plamondon</t>
        </is>
      </c>
      <c r="N3798" t="n">
        <v>0.95</v>
      </c>
      <c r="O3798" t="n">
        <v>3.833333333333333</v>
      </c>
      <c r="P3798" t="n">
        <v>0.0228571428571428</v>
      </c>
    </row>
    <row r="3799">
      <c r="A3799" t="inlineStr">
        <is>
          <t>Gigi Glover</t>
        </is>
      </c>
      <c r="B3799" t="inlineStr">
        <is>
          <t>9/6/26 - 10/3/26</t>
        </is>
      </c>
      <c r="C3799" t="n">
        <v>1.1417</v>
      </c>
      <c r="D3799" t="n">
        <v>1.1974</v>
      </c>
      <c r="E3799" t="n">
        <v>0.9699248120300752</v>
      </c>
      <c r="F3799" t="n">
        <v>1</v>
      </c>
      <c r="G3799" t="n">
        <v>0.6428571428571429</v>
      </c>
      <c r="H3799" t="n">
        <v>61</v>
      </c>
      <c r="I3799" t="inlineStr"/>
      <c r="J3799" t="n">
        <v>1</v>
      </c>
      <c r="K3799" t="inlineStr">
        <is>
          <t>Distinguished</t>
        </is>
      </c>
      <c r="L3799" t="inlineStr"/>
      <c r="M3799" t="inlineStr">
        <is>
          <t>Geoff St. Marie</t>
        </is>
      </c>
      <c r="N3799" t="n">
        <v>0.9875</v>
      </c>
      <c r="O3799" t="n">
        <v>7.166666666666666</v>
      </c>
      <c r="P3799" t="n">
        <v>0.1003772727272727</v>
      </c>
    </row>
    <row r="3800">
      <c r="A3800" t="inlineStr">
        <is>
          <t>Gina Benson</t>
        </is>
      </c>
      <c r="B3800" t="inlineStr">
        <is>
          <t>9/6/26 - 10/3/26</t>
        </is>
      </c>
      <c r="C3800" t="n">
        <v>0.8</v>
      </c>
      <c r="D3800" t="n">
        <v>0.9036</v>
      </c>
      <c r="E3800" t="n">
        <v>1</v>
      </c>
      <c r="F3800" t="n">
        <v>1</v>
      </c>
      <c r="G3800" t="n">
        <v>1</v>
      </c>
      <c r="H3800" t="n">
        <v>180</v>
      </c>
      <c r="I3800" t="inlineStr"/>
      <c r="J3800" t="inlineStr"/>
      <c r="K3800" t="inlineStr">
        <is>
          <t>Advanced</t>
        </is>
      </c>
      <c r="L3800" t="inlineStr"/>
      <c r="M3800" t="inlineStr">
        <is>
          <t>Kristin Haase-Alvey</t>
        </is>
      </c>
      <c r="N3800" t="n">
        <v>1</v>
      </c>
      <c r="O3800" t="n">
        <v>7.583333333333333</v>
      </c>
      <c r="P3800" t="n">
        <v>0.1180516666666666</v>
      </c>
    </row>
    <row r="3801">
      <c r="A3801" t="inlineStr">
        <is>
          <t>Grisel Rodriguez</t>
        </is>
      </c>
      <c r="B3801" t="inlineStr">
        <is>
          <t>9/6/26 - 10/3/26</t>
        </is>
      </c>
      <c r="C3801" t="n">
        <v/>
      </c>
      <c r="D3801" t="n">
        <v/>
      </c>
      <c r="E3801" t="n">
        <v/>
      </c>
      <c r="F3801" t="n">
        <v/>
      </c>
      <c r="G3801" t="n">
        <v/>
      </c>
      <c r="H3801" t="n">
        <v>0</v>
      </c>
      <c r="I3801" t="inlineStr"/>
      <c r="J3801" t="inlineStr"/>
      <c r="K3801" t="inlineStr">
        <is>
          <t>Distinguished</t>
        </is>
      </c>
      <c r="L3801" t="inlineStr"/>
      <c r="M3801" t="inlineStr">
        <is>
          <t>Katherine Marino</t>
        </is>
      </c>
      <c r="N3801" t="inlineStr"/>
      <c r="O3801" t="inlineStr"/>
      <c r="P3801" t="inlineStr"/>
    </row>
    <row r="3802">
      <c r="A3802" t="inlineStr">
        <is>
          <t>Hannah Ervitz</t>
        </is>
      </c>
      <c r="B3802" t="inlineStr">
        <is>
          <t>9/6/26 - 10/3/26</t>
        </is>
      </c>
      <c r="C3802" t="n">
        <v>0.8688</v>
      </c>
      <c r="D3802" t="n">
        <v>0.9766</v>
      </c>
      <c r="E3802" t="n">
        <v>0.9803921568627452</v>
      </c>
      <c r="F3802" t="n">
        <v>0.975</v>
      </c>
      <c r="G3802" t="n">
        <v>0.6666666666666666</v>
      </c>
      <c r="H3802" t="n">
        <v>138</v>
      </c>
      <c r="I3802" t="inlineStr"/>
      <c r="J3802" t="n">
        <v>0</v>
      </c>
      <c r="K3802" t="inlineStr">
        <is>
          <t>Distinguished</t>
        </is>
      </c>
      <c r="L3802" t="inlineStr"/>
      <c r="M3802" t="inlineStr">
        <is>
          <t>Kristin Haase-Alvey</t>
        </is>
      </c>
      <c r="N3802" t="n">
        <v>0.95</v>
      </c>
      <c r="O3802" t="inlineStr"/>
      <c r="P3802" t="inlineStr"/>
    </row>
    <row r="3803">
      <c r="A3803" t="inlineStr">
        <is>
          <t>Hannah Lodge</t>
        </is>
      </c>
      <c r="B3803" t="inlineStr">
        <is>
          <t>9/6/26 - 10/3/26</t>
        </is>
      </c>
      <c r="C3803" t="n">
        <v>1.125</v>
      </c>
      <c r="D3803" t="n">
        <v>1.426</v>
      </c>
      <c r="E3803" t="n">
        <v>1</v>
      </c>
      <c r="F3803" t="n">
        <v>0.992</v>
      </c>
      <c r="G3803" t="n">
        <v>0.896551724137931</v>
      </c>
      <c r="H3803" t="n">
        <v>86.5</v>
      </c>
      <c r="I3803" t="inlineStr"/>
      <c r="J3803" t="n">
        <v>0.3333333333333333</v>
      </c>
      <c r="K3803" t="inlineStr">
        <is>
          <t>Premium</t>
        </is>
      </c>
      <c r="L3803" t="inlineStr"/>
      <c r="M3803" t="inlineStr">
        <is>
          <t>Ian Plamondon</t>
        </is>
      </c>
      <c r="N3803" t="n">
        <v>0.9277966697936212</v>
      </c>
      <c r="O3803" t="n">
        <v>7.333333333333333</v>
      </c>
      <c r="P3803" t="n">
        <v>0.0040485829959514</v>
      </c>
    </row>
    <row r="3804">
      <c r="A3804" t="inlineStr">
        <is>
          <t>Holly Fjeldstad</t>
        </is>
      </c>
      <c r="B3804" t="inlineStr">
        <is>
          <t>9/6/26 - 10/3/26</t>
        </is>
      </c>
      <c r="C3804" t="n">
        <v>0.2</v>
      </c>
      <c r="D3804" t="n">
        <v>0.5241</v>
      </c>
      <c r="E3804" t="n">
        <v>1</v>
      </c>
      <c r="F3804" t="n">
        <v>1</v>
      </c>
      <c r="G3804" t="n">
        <v/>
      </c>
      <c r="H3804" t="n">
        <v>0</v>
      </c>
      <c r="I3804" t="inlineStr"/>
      <c r="J3804" t="n">
        <v>0.1666666666666667</v>
      </c>
      <c r="K3804" t="inlineStr">
        <is>
          <t>Distinguished</t>
        </is>
      </c>
      <c r="L3804" t="inlineStr"/>
      <c r="M3804" t="inlineStr">
        <is>
          <t>Nikki Pencak</t>
        </is>
      </c>
      <c r="N3804" t="n">
        <v>0.8333333333333334</v>
      </c>
      <c r="O3804" t="inlineStr"/>
      <c r="P3804" t="n">
        <v>0.1406125</v>
      </c>
    </row>
    <row r="3805">
      <c r="A3805" t="inlineStr">
        <is>
          <t>Jacob Karn</t>
        </is>
      </c>
      <c r="B3805" t="inlineStr">
        <is>
          <t>9/6/26 - 10/3/26</t>
        </is>
      </c>
      <c r="C3805" t="n">
        <v>0.9438</v>
      </c>
      <c r="D3805" t="n">
        <v>1.0156</v>
      </c>
      <c r="E3805" t="n">
        <v>1</v>
      </c>
      <c r="F3805" t="n">
        <v>0.521</v>
      </c>
      <c r="G3805" t="n">
        <v>0.9047619047619048</v>
      </c>
      <c r="H3805" t="n">
        <v>234</v>
      </c>
      <c r="I3805" t="inlineStr"/>
      <c r="J3805" t="n">
        <v>1</v>
      </c>
      <c r="K3805" t="inlineStr">
        <is>
          <t>Distinguished</t>
        </is>
      </c>
      <c r="L3805" t="inlineStr"/>
      <c r="M3805" t="inlineStr">
        <is>
          <t>Geoff St. Marie</t>
        </is>
      </c>
      <c r="N3805" t="n">
        <v>1</v>
      </c>
      <c r="O3805" t="inlineStr"/>
      <c r="P3805" t="inlineStr"/>
    </row>
    <row r="3806">
      <c r="A3806" t="inlineStr">
        <is>
          <t>Jake Corvino</t>
        </is>
      </c>
      <c r="B3806" t="inlineStr">
        <is>
          <t>9/6/26 - 10/3/26</t>
        </is>
      </c>
      <c r="C3806" t="n">
        <v>1.1771</v>
      </c>
      <c r="D3806" t="n">
        <v>1.1641</v>
      </c>
      <c r="E3806" t="n">
        <v>0.9636363636363636</v>
      </c>
      <c r="F3806" t="n">
        <v>0.97</v>
      </c>
      <c r="G3806" t="n">
        <v>0.7</v>
      </c>
      <c r="H3806" t="n">
        <v>156</v>
      </c>
      <c r="I3806" t="inlineStr"/>
      <c r="J3806" t="n">
        <v>0</v>
      </c>
      <c r="K3806" t="inlineStr">
        <is>
          <t>Distinguished</t>
        </is>
      </c>
      <c r="L3806" t="inlineStr"/>
      <c r="M3806" t="inlineStr">
        <is>
          <t>Geoff St. Marie</t>
        </is>
      </c>
      <c r="N3806" t="n">
        <v>1</v>
      </c>
      <c r="O3806" t="n">
        <v>6.875</v>
      </c>
      <c r="P3806" t="n">
        <v>0.1125963963963964</v>
      </c>
    </row>
    <row r="3807">
      <c r="A3807" t="inlineStr">
        <is>
          <t>James Falconer</t>
        </is>
      </c>
      <c r="B3807" t="inlineStr">
        <is>
          <t>9/6/26 - 10/3/26</t>
        </is>
      </c>
      <c r="C3807" t="n">
        <v>0.8071</v>
      </c>
      <c r="D3807" t="n">
        <v>0.9709</v>
      </c>
      <c r="E3807" t="n">
        <v>0.9333333333333332</v>
      </c>
      <c r="F3807" t="n">
        <v>0.953</v>
      </c>
      <c r="G3807" t="n">
        <v>1</v>
      </c>
      <c r="H3807" t="n">
        <v>232</v>
      </c>
      <c r="I3807" t="inlineStr"/>
      <c r="J3807" t="n">
        <v>1</v>
      </c>
      <c r="K3807" t="inlineStr">
        <is>
          <t>Distinguished</t>
        </is>
      </c>
      <c r="L3807" t="inlineStr"/>
      <c r="M3807" t="inlineStr">
        <is>
          <t>Geoff St. Marie</t>
        </is>
      </c>
      <c r="N3807" t="n">
        <v>0.8973076923076924</v>
      </c>
      <c r="O3807" t="n">
        <v>7</v>
      </c>
      <c r="P3807" t="n">
        <v>0.1043598130841121</v>
      </c>
    </row>
    <row r="3808">
      <c r="A3808" t="inlineStr">
        <is>
          <t>James Shoemake</t>
        </is>
      </c>
      <c r="B3808" t="inlineStr">
        <is>
          <t>9/6/26 - 10/3/26</t>
        </is>
      </c>
      <c r="C3808" t="n">
        <v>1.0583</v>
      </c>
      <c r="D3808" t="n">
        <v>1.2237</v>
      </c>
      <c r="E3808" t="n">
        <v>1</v>
      </c>
      <c r="F3808" t="n">
        <v>0.923</v>
      </c>
      <c r="G3808" t="n">
        <v>0.8888888888888888</v>
      </c>
      <c r="H3808" t="n">
        <v>137</v>
      </c>
      <c r="I3808" t="inlineStr"/>
      <c r="J3808" t="n">
        <v>0.8571428571428571</v>
      </c>
      <c r="K3808" t="inlineStr">
        <is>
          <t>Distinguished</t>
        </is>
      </c>
      <c r="L3808" t="inlineStr"/>
      <c r="M3808" t="inlineStr">
        <is>
          <t>Kristin Haase-Alvey</t>
        </is>
      </c>
      <c r="N3808" t="n">
        <v>0.8441600324340263</v>
      </c>
      <c r="O3808" t="n">
        <v>5.377777777777777</v>
      </c>
      <c r="P3808" t="n">
        <v>0.1398296610169491</v>
      </c>
    </row>
    <row r="3809">
      <c r="A3809" t="inlineStr">
        <is>
          <t>Jared Lewis</t>
        </is>
      </c>
      <c r="B3809" t="inlineStr">
        <is>
          <t>9/6/26 - 10/3/26</t>
        </is>
      </c>
      <c r="C3809" t="n">
        <v/>
      </c>
      <c r="D3809" t="n">
        <v/>
      </c>
      <c r="E3809" t="n">
        <v/>
      </c>
      <c r="F3809" t="n">
        <v/>
      </c>
      <c r="G3809" t="n">
        <v/>
      </c>
      <c r="H3809" t="n">
        <v>0</v>
      </c>
      <c r="I3809" t="inlineStr"/>
      <c r="J3809" t="inlineStr"/>
      <c r="K3809" t="inlineStr">
        <is>
          <t>Distinguished</t>
        </is>
      </c>
      <c r="L3809" t="inlineStr"/>
      <c r="M3809" t="inlineStr">
        <is>
          <t>Katherine Marino</t>
        </is>
      </c>
      <c r="N3809" t="inlineStr"/>
      <c r="O3809" t="inlineStr"/>
      <c r="P3809" t="inlineStr"/>
    </row>
    <row r="3810">
      <c r="A3810" t="inlineStr">
        <is>
          <t>Jason Anderson</t>
        </is>
      </c>
      <c r="B3810" t="inlineStr">
        <is>
          <t>9/6/26 - 10/3/26</t>
        </is>
      </c>
      <c r="C3810" t="n">
        <v>0.9583</v>
      </c>
      <c r="D3810" t="n">
        <v>1.0181</v>
      </c>
      <c r="E3810" t="n">
        <v>0.9652173913043478</v>
      </c>
      <c r="F3810" t="n">
        <v>1</v>
      </c>
      <c r="G3810" t="n">
        <v>1</v>
      </c>
      <c r="H3810" t="n">
        <v>376</v>
      </c>
      <c r="I3810" t="inlineStr"/>
      <c r="J3810" t="n">
        <v>0.8</v>
      </c>
      <c r="K3810" t="inlineStr">
        <is>
          <t>Advanced</t>
        </is>
      </c>
      <c r="L3810" t="inlineStr"/>
      <c r="M3810" t="inlineStr">
        <is>
          <t>Kristin Haase-Alvey</t>
        </is>
      </c>
      <c r="N3810" t="n">
        <v>0.9145220588235294</v>
      </c>
      <c r="O3810" t="n">
        <v>7.25</v>
      </c>
      <c r="P3810" t="n">
        <v>0.0147058823529411</v>
      </c>
    </row>
    <row r="3811">
      <c r="A3811" t="inlineStr">
        <is>
          <t>Jason Keller</t>
        </is>
      </c>
      <c r="B3811" t="inlineStr">
        <is>
          <t>9/6/26 - 10/3/26</t>
        </is>
      </c>
      <c r="C3811" t="n">
        <v>0.9292</v>
      </c>
      <c r="D3811" t="n">
        <v>0.9802999999999999</v>
      </c>
      <c r="E3811" t="n">
        <v>0.9722222222222222</v>
      </c>
      <c r="F3811" t="n">
        <v>0.9360000000000001</v>
      </c>
      <c r="G3811" t="n">
        <v>0.9642857142857144</v>
      </c>
      <c r="H3811" t="n">
        <v>87</v>
      </c>
      <c r="I3811" t="inlineStr"/>
      <c r="J3811" t="n">
        <v>1</v>
      </c>
      <c r="K3811" t="inlineStr">
        <is>
          <t>Premium</t>
        </is>
      </c>
      <c r="L3811" t="inlineStr"/>
      <c r="M3811" t="inlineStr">
        <is>
          <t>Kristin Haase-Alvey</t>
        </is>
      </c>
      <c r="N3811" t="n">
        <v>0.9090073529411764</v>
      </c>
      <c r="O3811" t="n">
        <v>5.833333333333333</v>
      </c>
      <c r="P3811" t="inlineStr"/>
    </row>
    <row r="3812">
      <c r="A3812" t="inlineStr">
        <is>
          <t>Jayna Boaz</t>
        </is>
      </c>
      <c r="B3812" t="inlineStr">
        <is>
          <t>9/6/26 - 10/3/26</t>
        </is>
      </c>
      <c r="C3812" t="n">
        <v>1.9375</v>
      </c>
      <c r="D3812" t="n">
        <v>2.0117</v>
      </c>
      <c r="E3812" t="n">
        <v>0.956989247311828</v>
      </c>
      <c r="F3812" t="n">
        <v>0.88</v>
      </c>
      <c r="G3812" t="n">
        <v>0.8</v>
      </c>
      <c r="H3812" t="n">
        <v>124</v>
      </c>
      <c r="I3812" t="inlineStr"/>
      <c r="J3812" t="n">
        <v>0.6</v>
      </c>
      <c r="K3812" t="inlineStr">
        <is>
          <t>Advanced</t>
        </is>
      </c>
      <c r="L3812" t="inlineStr"/>
      <c r="M3812" t="inlineStr">
        <is>
          <t>Geoff St. Marie</t>
        </is>
      </c>
      <c r="N3812" t="n">
        <v>0.8714285714285714</v>
      </c>
      <c r="O3812" t="inlineStr"/>
      <c r="P3812" t="n">
        <v>0.0421924050632911</v>
      </c>
    </row>
    <row r="3813">
      <c r="A3813" t="inlineStr">
        <is>
          <t>Jennifer Hernandez</t>
        </is>
      </c>
      <c r="B3813" t="inlineStr">
        <is>
          <t>9/6/26 - 10/3/26</t>
        </is>
      </c>
      <c r="C3813" t="n">
        <v>1.0625</v>
      </c>
      <c r="D3813" t="n">
        <v>1.2057</v>
      </c>
      <c r="E3813" t="n">
        <v>1</v>
      </c>
      <c r="F3813" t="n">
        <v>1</v>
      </c>
      <c r="G3813" t="n">
        <v>0.9230769230769232</v>
      </c>
      <c r="H3813" t="n">
        <v>87</v>
      </c>
      <c r="I3813" t="inlineStr"/>
      <c r="J3813" t="n">
        <v>0.75</v>
      </c>
      <c r="K3813" t="inlineStr">
        <is>
          <t>Distinguished</t>
        </is>
      </c>
      <c r="L3813" t="inlineStr"/>
      <c r="M3813" t="inlineStr">
        <is>
          <t>Kristin Haase-Alvey</t>
        </is>
      </c>
      <c r="N3813" t="n">
        <v>0.9356060606060608</v>
      </c>
      <c r="O3813" t="n">
        <v>7.333333333333333</v>
      </c>
      <c r="P3813" t="n">
        <v>0.1508291139240506</v>
      </c>
    </row>
    <row r="3814">
      <c r="A3814" t="inlineStr">
        <is>
          <t>Jesse Squires</t>
        </is>
      </c>
      <c r="B3814" t="inlineStr">
        <is>
          <t>9/6/26 - 10/3/26</t>
        </is>
      </c>
      <c r="C3814" t="n">
        <v>0.9708</v>
      </c>
      <c r="D3814" t="n">
        <v>0.977</v>
      </c>
      <c r="E3814" t="n">
        <v>1</v>
      </c>
      <c r="F3814" t="n">
        <v>0.975</v>
      </c>
      <c r="G3814" t="n">
        <v>0.935483870967742</v>
      </c>
      <c r="H3814" t="n">
        <v>208</v>
      </c>
      <c r="I3814" t="inlineStr"/>
      <c r="J3814" t="n">
        <v>0.8</v>
      </c>
      <c r="K3814" t="inlineStr">
        <is>
          <t>Distinguished</t>
        </is>
      </c>
      <c r="L3814" t="inlineStr"/>
      <c r="M3814" t="inlineStr">
        <is>
          <t>Kristin Haase-Alvey</t>
        </is>
      </c>
      <c r="N3814" t="n">
        <v>0.9701754385964912</v>
      </c>
      <c r="O3814" t="n">
        <v>5.229166666666667</v>
      </c>
      <c r="P3814" t="n">
        <v>0.07777244444444439</v>
      </c>
    </row>
    <row r="3815">
      <c r="A3815" t="inlineStr">
        <is>
          <t>Jessica Menkhus</t>
        </is>
      </c>
      <c r="B3815" t="inlineStr">
        <is>
          <t>9/6/26 - 10/3/26</t>
        </is>
      </c>
      <c r="C3815" t="n">
        <v>0.6458</v>
      </c>
      <c r="D3815" t="n">
        <v>1.1445</v>
      </c>
      <c r="E3815" t="n">
        <v>0.9655172413793104</v>
      </c>
      <c r="F3815" t="n">
        <v>1</v>
      </c>
      <c r="G3815" t="n">
        <v>1</v>
      </c>
      <c r="H3815" t="n">
        <v>8</v>
      </c>
      <c r="I3815" t="inlineStr"/>
      <c r="J3815" t="inlineStr"/>
      <c r="K3815" t="inlineStr">
        <is>
          <t>Premium</t>
        </is>
      </c>
      <c r="L3815" t="inlineStr"/>
      <c r="M3815" t="inlineStr">
        <is>
          <t>Ela Cross</t>
        </is>
      </c>
      <c r="N3815" t="n">
        <v>0.9</v>
      </c>
      <c r="O3815" t="inlineStr"/>
      <c r="P3815" t="n">
        <v>0.1525423728813559</v>
      </c>
    </row>
    <row r="3816">
      <c r="A3816" t="inlineStr">
        <is>
          <t>Jessica Peterson</t>
        </is>
      </c>
      <c r="B3816" t="inlineStr">
        <is>
          <t>9/6/26 - 10/3/26</t>
        </is>
      </c>
      <c r="C3816" t="n">
        <v>1.3854</v>
      </c>
      <c r="D3816" t="n">
        <v>1.0742</v>
      </c>
      <c r="E3816" t="n">
        <v>0.9523809523809524</v>
      </c>
      <c r="F3816" t="n">
        <v>1</v>
      </c>
      <c r="G3816" t="n">
        <v>0.8125</v>
      </c>
      <c r="H3816" t="n">
        <v>35</v>
      </c>
      <c r="I3816" t="inlineStr"/>
      <c r="J3816" t="inlineStr"/>
      <c r="K3816" t="inlineStr">
        <is>
          <t>Premium</t>
        </is>
      </c>
      <c r="L3816" t="inlineStr"/>
      <c r="M3816" t="inlineStr">
        <is>
          <t>Annelies de Groot</t>
        </is>
      </c>
      <c r="N3816" t="n">
        <v>0.9513888888888888</v>
      </c>
      <c r="O3816" t="n">
        <v>6.375</v>
      </c>
      <c r="P3816" t="n">
        <v>0.0133328</v>
      </c>
    </row>
    <row r="3817">
      <c r="A3817" t="inlineStr">
        <is>
          <t>Jessica Wall</t>
        </is>
      </c>
      <c r="B3817" t="inlineStr">
        <is>
          <t>9/6/26 - 10/3/26</t>
        </is>
      </c>
      <c r="C3817" t="n">
        <v>1.0333</v>
      </c>
      <c r="D3817" t="n">
        <v>1.0444</v>
      </c>
      <c r="E3817" t="n">
        <v>0.9919354838709676</v>
      </c>
      <c r="F3817" t="n">
        <v>0.989</v>
      </c>
      <c r="G3817" t="n">
        <v>0.9583333333333334</v>
      </c>
      <c r="H3817" t="n">
        <v>272</v>
      </c>
      <c r="I3817" t="inlineStr"/>
      <c r="J3817" t="n">
        <v>0.5</v>
      </c>
      <c r="K3817" t="inlineStr">
        <is>
          <t>Distinguished</t>
        </is>
      </c>
      <c r="L3817" t="inlineStr"/>
      <c r="M3817" t="inlineStr">
        <is>
          <t>Kristin Haase-Alvey</t>
        </is>
      </c>
      <c r="N3817" t="n">
        <v>0.9852941176470588</v>
      </c>
      <c r="O3817" t="n">
        <v>7.25</v>
      </c>
      <c r="P3817" t="n">
        <v>0.008695652173913</v>
      </c>
    </row>
    <row r="3818">
      <c r="A3818" t="inlineStr">
        <is>
          <t>Jill Watson</t>
        </is>
      </c>
      <c r="B3818" t="inlineStr">
        <is>
          <t>9/6/26 - 10/3/26</t>
        </is>
      </c>
      <c r="C3818" t="n">
        <v>1.0786</v>
      </c>
      <c r="D3818" t="n">
        <v>1.1352</v>
      </c>
      <c r="E3818" t="n">
        <v>1</v>
      </c>
      <c r="F3818" t="n">
        <v>0.989</v>
      </c>
      <c r="G3818" t="n">
        <v>0.8888888888888888</v>
      </c>
      <c r="H3818" t="n">
        <v>284</v>
      </c>
      <c r="I3818" t="inlineStr"/>
      <c r="J3818" t="n">
        <v>1</v>
      </c>
      <c r="K3818" t="inlineStr">
        <is>
          <t>Distinguished</t>
        </is>
      </c>
      <c r="L3818" t="inlineStr"/>
      <c r="M3818" t="inlineStr">
        <is>
          <t>Ian Plamondon</t>
        </is>
      </c>
      <c r="N3818" t="n">
        <v>0.9907407407407408</v>
      </c>
      <c r="O3818" t="n">
        <v>6.25</v>
      </c>
      <c r="P3818" t="n">
        <v>0.124015748031496</v>
      </c>
    </row>
    <row r="3819">
      <c r="A3819" t="inlineStr">
        <is>
          <t>Jimmy Works</t>
        </is>
      </c>
      <c r="B3819" t="inlineStr">
        <is>
          <t>9/6/26 - 10/3/26</t>
        </is>
      </c>
      <c r="C3819" t="n">
        <v>1.1875</v>
      </c>
      <c r="D3819" t="n">
        <v>1.1641</v>
      </c>
      <c r="E3819" t="n">
        <v>0.9074074074074074</v>
      </c>
      <c r="F3819" t="n">
        <v>0.927</v>
      </c>
      <c r="G3819" t="n">
        <v>0.7692307692307693</v>
      </c>
      <c r="H3819" t="n">
        <v>34</v>
      </c>
      <c r="I3819" t="inlineStr"/>
      <c r="J3819" t="n">
        <v>0.1666666666666667</v>
      </c>
      <c r="K3819" t="inlineStr">
        <is>
          <t>Distinguished</t>
        </is>
      </c>
      <c r="L3819" t="inlineStr"/>
      <c r="M3819" t="inlineStr">
        <is>
          <t>Kristin Haase-Alvey</t>
        </is>
      </c>
      <c r="N3819" t="n">
        <v>0.9545454545454546</v>
      </c>
      <c r="O3819" t="n">
        <v>6.541666666666667</v>
      </c>
      <c r="P3819" t="n">
        <v>0.1886792452830188</v>
      </c>
    </row>
    <row r="3820">
      <c r="A3820" t="inlineStr">
        <is>
          <t>JoAnna Daniels</t>
        </is>
      </c>
      <c r="B3820" t="inlineStr">
        <is>
          <t>9/6/26 - 10/3/26</t>
        </is>
      </c>
      <c r="C3820" t="n">
        <v>0.475</v>
      </c>
      <c r="D3820" t="n">
        <v>0.8026</v>
      </c>
      <c r="E3820" t="n">
        <v>1</v>
      </c>
      <c r="F3820" t="n">
        <v>0.375</v>
      </c>
      <c r="G3820" t="n">
        <v>0</v>
      </c>
      <c r="H3820" t="n">
        <v>28</v>
      </c>
      <c r="I3820" t="inlineStr"/>
      <c r="J3820" t="n">
        <v>0</v>
      </c>
      <c r="K3820" t="inlineStr">
        <is>
          <t>Distinguished</t>
        </is>
      </c>
      <c r="L3820" t="inlineStr"/>
      <c r="M3820" t="inlineStr">
        <is>
          <t>Katherine Marino</t>
        </is>
      </c>
      <c r="N3820" t="n">
        <v>0.4027777777777777</v>
      </c>
      <c r="O3820" t="inlineStr"/>
      <c r="P3820" t="n">
        <v>0.125</v>
      </c>
    </row>
    <row r="3821">
      <c r="A3821" t="inlineStr">
        <is>
          <t>Joe Bogdan</t>
        </is>
      </c>
      <c r="B3821" t="inlineStr">
        <is>
          <t>9/6/26 - 10/3/26</t>
        </is>
      </c>
      <c r="C3821" t="n">
        <v>0.6333</v>
      </c>
      <c r="D3821" t="n">
        <v>0.972</v>
      </c>
      <c r="E3821" t="n">
        <v>0.9178082191780822</v>
      </c>
      <c r="F3821" t="n">
        <v>0.967</v>
      </c>
      <c r="G3821" t="n">
        <v/>
      </c>
      <c r="H3821" t="n">
        <v>4</v>
      </c>
      <c r="I3821" t="inlineStr"/>
      <c r="J3821" t="n">
        <v>0.8695652173913043</v>
      </c>
      <c r="K3821" t="inlineStr">
        <is>
          <t>Distinguished</t>
        </is>
      </c>
      <c r="L3821" t="inlineStr"/>
      <c r="M3821" t="inlineStr">
        <is>
          <t>Annelies de Groot</t>
        </is>
      </c>
      <c r="N3821" t="n">
        <v>0.9855072463768116</v>
      </c>
      <c r="O3821" t="n">
        <v>7</v>
      </c>
      <c r="P3821" t="n">
        <v>0.3009820895522388</v>
      </c>
    </row>
    <row r="3822">
      <c r="A3822" t="inlineStr">
        <is>
          <t>Johanna McCombs</t>
        </is>
      </c>
      <c r="B3822" t="inlineStr">
        <is>
          <t>9/6/26 - 10/3/26</t>
        </is>
      </c>
      <c r="C3822" t="n">
        <v/>
      </c>
      <c r="D3822" t="n">
        <v/>
      </c>
      <c r="E3822" t="n">
        <v/>
      </c>
      <c r="F3822" t="n">
        <v/>
      </c>
      <c r="G3822" t="n">
        <v/>
      </c>
      <c r="H3822" t="n">
        <v>0</v>
      </c>
      <c r="I3822" t="inlineStr"/>
      <c r="J3822" t="inlineStr"/>
      <c r="K3822" t="inlineStr">
        <is>
          <t>Distinguished</t>
        </is>
      </c>
      <c r="L3822" t="inlineStr"/>
      <c r="M3822" t="inlineStr">
        <is>
          <t>Nikki Pencak</t>
        </is>
      </c>
      <c r="N3822" t="inlineStr"/>
      <c r="O3822" t="inlineStr"/>
      <c r="P3822" t="inlineStr"/>
    </row>
    <row r="3823">
      <c r="A3823" t="inlineStr">
        <is>
          <t>John Licitra</t>
        </is>
      </c>
      <c r="B3823" t="inlineStr">
        <is>
          <t>9/6/26 - 10/3/26</t>
        </is>
      </c>
      <c r="C3823" t="n">
        <v>0.8875</v>
      </c>
      <c r="D3823" t="n">
        <v>1.0411</v>
      </c>
      <c r="E3823" t="n">
        <v>0.981132075471698</v>
      </c>
      <c r="F3823" t="n">
        <v>0.944</v>
      </c>
      <c r="G3823" t="n">
        <v>0.8823529411764706</v>
      </c>
      <c r="H3823" t="n">
        <v>144</v>
      </c>
      <c r="I3823" t="inlineStr"/>
      <c r="J3823" t="n">
        <v>0.3333333333333333</v>
      </c>
      <c r="K3823" t="inlineStr">
        <is>
          <t>Distinguished</t>
        </is>
      </c>
      <c r="L3823" t="inlineStr"/>
      <c r="M3823" t="inlineStr">
        <is>
          <t>Geoff St. Marie</t>
        </is>
      </c>
      <c r="N3823" t="n">
        <v>0.988095238095238</v>
      </c>
      <c r="O3823" t="n">
        <v>6.95</v>
      </c>
      <c r="P3823" t="n">
        <v>0.0541451776649746</v>
      </c>
    </row>
    <row r="3824">
      <c r="A3824" t="inlineStr">
        <is>
          <t>John Olmos</t>
        </is>
      </c>
      <c r="B3824" t="inlineStr">
        <is>
          <t>9/6/26 - 10/3/26</t>
        </is>
      </c>
      <c r="C3824" t="n">
        <v>1.1625</v>
      </c>
      <c r="D3824" t="n">
        <v>1.3947</v>
      </c>
      <c r="E3824" t="n">
        <v>1</v>
      </c>
      <c r="F3824" t="n">
        <v>0.987</v>
      </c>
      <c r="G3824" t="n">
        <v>0.7575757575757576</v>
      </c>
      <c r="H3824" t="n">
        <v>60</v>
      </c>
      <c r="I3824" t="inlineStr"/>
      <c r="J3824" t="n">
        <v>0.8333333333333334</v>
      </c>
      <c r="K3824" t="inlineStr">
        <is>
          <t>Distinguished</t>
        </is>
      </c>
      <c r="L3824" t="inlineStr"/>
      <c r="M3824" t="inlineStr">
        <is>
          <t>Geoff St. Marie</t>
        </is>
      </c>
      <c r="N3824" t="n">
        <v>0.9491626794258372</v>
      </c>
      <c r="O3824" t="n">
        <v>6.055555555555554</v>
      </c>
      <c r="P3824" t="n">
        <v>0.0588235294117647</v>
      </c>
    </row>
    <row r="3825">
      <c r="A3825" t="inlineStr">
        <is>
          <t>John Salcedo</t>
        </is>
      </c>
      <c r="B3825" t="inlineStr">
        <is>
          <t>9/6/26 - 10/3/26</t>
        </is>
      </c>
      <c r="C3825" t="n">
        <v>1.0429</v>
      </c>
      <c r="D3825" t="n">
        <v>1.048</v>
      </c>
      <c r="E3825" t="n">
        <v>0.9361702127659576</v>
      </c>
      <c r="F3825" t="n">
        <v>0.967</v>
      </c>
      <c r="G3825" t="n">
        <v>0.2571428571428572</v>
      </c>
      <c r="H3825" t="n">
        <v>240</v>
      </c>
      <c r="I3825" t="inlineStr"/>
      <c r="J3825" t="n">
        <v>0.3333333333333333</v>
      </c>
      <c r="K3825" t="inlineStr">
        <is>
          <t>Distinguished</t>
        </is>
      </c>
      <c r="L3825" t="inlineStr"/>
      <c r="M3825" t="inlineStr">
        <is>
          <t>Katherine Marino</t>
        </is>
      </c>
      <c r="N3825" t="n">
        <v>0.9544513457556936</v>
      </c>
      <c r="O3825" t="n">
        <v>8.625</v>
      </c>
      <c r="P3825" t="inlineStr"/>
    </row>
    <row r="3826">
      <c r="A3826" t="inlineStr">
        <is>
          <t>Jon Cathapermal</t>
        </is>
      </c>
      <c r="B3826" t="inlineStr">
        <is>
          <t>9/6/26 - 10/3/26</t>
        </is>
      </c>
      <c r="C3826" t="n">
        <v>0.7857</v>
      </c>
      <c r="D3826" t="n">
        <v>0.8677</v>
      </c>
      <c r="E3826" t="n">
        <v>0.9814814814814816</v>
      </c>
      <c r="F3826" t="n">
        <v>0.866</v>
      </c>
      <c r="G3826" t="n">
        <v>0.9130434782608696</v>
      </c>
      <c r="H3826" t="n">
        <v>192</v>
      </c>
      <c r="I3826" t="inlineStr"/>
      <c r="J3826" t="n">
        <v>0.875</v>
      </c>
      <c r="K3826" t="inlineStr">
        <is>
          <t>Distinguished</t>
        </is>
      </c>
      <c r="L3826" t="inlineStr"/>
      <c r="M3826" t="inlineStr">
        <is>
          <t>Geoff St. Marie</t>
        </is>
      </c>
      <c r="N3826" t="n">
        <v>0.984375</v>
      </c>
      <c r="O3826" t="n">
        <v>7.805555555555556</v>
      </c>
      <c r="P3826" t="n">
        <v>0.0851063829787234</v>
      </c>
    </row>
    <row r="3827">
      <c r="A3827" t="inlineStr">
        <is>
          <t>Juan Nunez</t>
        </is>
      </c>
      <c r="B3827" t="inlineStr">
        <is>
          <t>9/6/26 - 10/3/26</t>
        </is>
      </c>
      <c r="C3827" t="n">
        <v>1.075</v>
      </c>
      <c r="D3827" t="n">
        <v>1.0789</v>
      </c>
      <c r="E3827" t="n">
        <v>1</v>
      </c>
      <c r="F3827" t="n">
        <v>1</v>
      </c>
      <c r="G3827" t="n">
        <v>0.6153846153846154</v>
      </c>
      <c r="H3827" t="n">
        <v>310</v>
      </c>
      <c r="I3827" t="inlineStr"/>
      <c r="J3827" t="n">
        <v>1</v>
      </c>
      <c r="K3827" t="inlineStr">
        <is>
          <t>Distinguished</t>
        </is>
      </c>
      <c r="L3827" t="inlineStr"/>
      <c r="M3827" t="inlineStr">
        <is>
          <t>Kristin Haase-Alvey</t>
        </is>
      </c>
      <c r="N3827" t="n">
        <v>1</v>
      </c>
      <c r="O3827" t="n">
        <v>7.5</v>
      </c>
      <c r="P3827" t="n">
        <v>0.09652666666666659</v>
      </c>
    </row>
    <row r="3828">
      <c r="A3828" t="inlineStr">
        <is>
          <t>Judi Abo Hana</t>
        </is>
      </c>
      <c r="B3828" t="inlineStr">
        <is>
          <t>9/6/26 - 10/3/26</t>
        </is>
      </c>
      <c r="C3828" t="n">
        <v>1.35</v>
      </c>
      <c r="D3828" t="n">
        <v>1.401</v>
      </c>
      <c r="E3828" t="n">
        <v>1</v>
      </c>
      <c r="F3828" t="n">
        <v>0.958</v>
      </c>
      <c r="G3828" t="n">
        <v>0.6333333333333333</v>
      </c>
      <c r="H3828" t="n">
        <v>188</v>
      </c>
      <c r="I3828" t="inlineStr"/>
      <c r="J3828" t="n">
        <v>0.6666666666666666</v>
      </c>
      <c r="K3828" t="inlineStr">
        <is>
          <t>Advanced</t>
        </is>
      </c>
      <c r="L3828" t="inlineStr"/>
      <c r="M3828" t="inlineStr">
        <is>
          <t>Geoff St. Marie</t>
        </is>
      </c>
      <c r="N3828" t="n">
        <v>1</v>
      </c>
      <c r="O3828" t="n">
        <v>8.153846153846153</v>
      </c>
      <c r="P3828" t="inlineStr"/>
    </row>
    <row r="3829">
      <c r="A3829" t="inlineStr">
        <is>
          <t>Julia Saderholm</t>
        </is>
      </c>
      <c r="B3829" t="inlineStr">
        <is>
          <t>9/6/26 - 10/3/26</t>
        </is>
      </c>
      <c r="C3829" t="n">
        <v>0.8167</v>
      </c>
      <c r="D3829" t="n">
        <v>0.875</v>
      </c>
      <c r="E3829" t="n">
        <v>0.9891304347826086</v>
      </c>
      <c r="F3829" t="n">
        <v>0.881</v>
      </c>
      <c r="G3829" t="n">
        <v>0.24</v>
      </c>
      <c r="H3829" t="n">
        <v>236</v>
      </c>
      <c r="I3829" t="inlineStr"/>
      <c r="J3829" t="n">
        <v>0.6363636363636364</v>
      </c>
      <c r="K3829" t="inlineStr">
        <is>
          <t>Distinguished</t>
        </is>
      </c>
      <c r="L3829" t="inlineStr"/>
      <c r="M3829" t="inlineStr">
        <is>
          <t>Annelies de Groot</t>
        </is>
      </c>
      <c r="N3829" t="n">
        <v>0.9848484848484848</v>
      </c>
      <c r="O3829" t="n">
        <v>6.5</v>
      </c>
      <c r="P3829" t="n">
        <v>0.1151685393258427</v>
      </c>
    </row>
    <row r="3830">
      <c r="A3830" t="inlineStr">
        <is>
          <t>Julie Byrom</t>
        </is>
      </c>
      <c r="B3830" t="inlineStr">
        <is>
          <t>9/6/26 - 10/3/26</t>
        </is>
      </c>
      <c r="C3830" t="n">
        <v>1.0375</v>
      </c>
      <c r="D3830" t="n">
        <v>1.0592</v>
      </c>
      <c r="E3830" t="n">
        <v>1</v>
      </c>
      <c r="F3830" t="n">
        <v>1</v>
      </c>
      <c r="G3830" t="n">
        <v>0.9583333333333334</v>
      </c>
      <c r="H3830" t="n">
        <v>93.5</v>
      </c>
      <c r="I3830" t="inlineStr"/>
      <c r="J3830" t="inlineStr"/>
      <c r="K3830" t="inlineStr">
        <is>
          <t>Premium</t>
        </is>
      </c>
      <c r="L3830" t="inlineStr"/>
      <c r="M3830" t="inlineStr">
        <is>
          <t>Ela Cross</t>
        </is>
      </c>
      <c r="N3830" t="n">
        <v>1</v>
      </c>
      <c r="O3830" t="n">
        <v>6.716666666666667</v>
      </c>
      <c r="P3830" t="n">
        <v>0.0276587234042553</v>
      </c>
    </row>
    <row r="3831">
      <c r="A3831" t="inlineStr">
        <is>
          <t>Justin Hill</t>
        </is>
      </c>
      <c r="B3831" t="inlineStr">
        <is>
          <t>9/6/26 - 10/3/26</t>
        </is>
      </c>
      <c r="C3831" t="n">
        <v>1.0833</v>
      </c>
      <c r="D3831" t="n">
        <v>0.9688</v>
      </c>
      <c r="E3831" t="n">
        <v>1</v>
      </c>
      <c r="F3831" t="n">
        <v>0.9389999999999999</v>
      </c>
      <c r="G3831" t="n">
        <v>0.8571428571428571</v>
      </c>
      <c r="H3831" t="n">
        <v>240</v>
      </c>
      <c r="I3831" t="inlineStr"/>
      <c r="J3831" t="n">
        <v>1</v>
      </c>
      <c r="K3831" t="inlineStr">
        <is>
          <t>Distinguished</t>
        </is>
      </c>
      <c r="L3831" t="inlineStr"/>
      <c r="M3831" t="inlineStr">
        <is>
          <t>Kristin Haase-Alvey</t>
        </is>
      </c>
      <c r="N3831" t="n">
        <v>1</v>
      </c>
      <c r="O3831" t="n">
        <v>5.650793650793651</v>
      </c>
      <c r="P3831" t="n">
        <v>0.1161196721311475</v>
      </c>
    </row>
    <row r="3832">
      <c r="A3832" t="inlineStr">
        <is>
          <t>Kailot Harris</t>
        </is>
      </c>
      <c r="B3832" t="inlineStr">
        <is>
          <t>9/6/26 - 10/3/26</t>
        </is>
      </c>
      <c r="C3832" t="n">
        <v>0.6679</v>
      </c>
      <c r="D3832" t="n">
        <v>0.7122000000000001</v>
      </c>
      <c r="E3832" t="n">
        <v>1</v>
      </c>
      <c r="F3832" t="n">
        <v>0.9379999999999999</v>
      </c>
      <c r="G3832" t="n">
        <v>0.8846153846153846</v>
      </c>
      <c r="H3832" t="n">
        <v>260</v>
      </c>
      <c r="I3832" t="inlineStr"/>
      <c r="J3832" t="n">
        <v>0.75</v>
      </c>
      <c r="K3832" t="inlineStr">
        <is>
          <t>Distinguished</t>
        </is>
      </c>
      <c r="L3832" t="inlineStr"/>
      <c r="M3832" t="inlineStr">
        <is>
          <t>Kristin Haase-Alvey</t>
        </is>
      </c>
      <c r="N3832" t="n">
        <v>0.9487922705314008</v>
      </c>
      <c r="O3832" t="n">
        <v>7.61904761904762</v>
      </c>
      <c r="P3832" t="n">
        <v>0.2182165745856353</v>
      </c>
    </row>
    <row r="3833">
      <c r="A3833" t="inlineStr">
        <is>
          <t>Karleigh Arrington</t>
        </is>
      </c>
      <c r="B3833" t="inlineStr">
        <is>
          <t>9/6/26 - 10/3/26</t>
        </is>
      </c>
      <c r="C3833" t="n">
        <v>1.0833</v>
      </c>
      <c r="D3833" t="n">
        <v>0.926</v>
      </c>
      <c r="E3833" t="n">
        <v>1</v>
      </c>
      <c r="F3833" t="n">
        <v>0.988</v>
      </c>
      <c r="G3833" t="n">
        <v>0.8709677419354839</v>
      </c>
      <c r="H3833" t="n">
        <v>208</v>
      </c>
      <c r="I3833" t="inlineStr"/>
      <c r="J3833" t="n">
        <v>1</v>
      </c>
      <c r="K3833" t="inlineStr">
        <is>
          <t>Distinguished</t>
        </is>
      </c>
      <c r="L3833" t="inlineStr"/>
      <c r="M3833" t="inlineStr">
        <is>
          <t>Annelies de Groot</t>
        </is>
      </c>
      <c r="N3833" t="n">
        <v>0.986842105263158</v>
      </c>
      <c r="O3833" t="n">
        <v>7.25</v>
      </c>
      <c r="P3833" t="n">
        <v>0.0086206896551724</v>
      </c>
    </row>
    <row r="3834">
      <c r="A3834" t="inlineStr">
        <is>
          <t>Kate Haldeman</t>
        </is>
      </c>
      <c r="B3834" t="inlineStr">
        <is>
          <t>9/6/26 - 10/3/26</t>
        </is>
      </c>
      <c r="C3834" t="n">
        <v>0.9214</v>
      </c>
      <c r="D3834" t="n">
        <v>1.0509</v>
      </c>
      <c r="E3834" t="n">
        <v>0.9761904761904762</v>
      </c>
      <c r="F3834" t="n">
        <v>0.739</v>
      </c>
      <c r="G3834" t="n">
        <v>0.962962962962963</v>
      </c>
      <c r="H3834" t="n">
        <v>376</v>
      </c>
      <c r="I3834" t="inlineStr"/>
      <c r="J3834" t="n">
        <v>0</v>
      </c>
      <c r="K3834" t="inlineStr">
        <is>
          <t>Advanced</t>
        </is>
      </c>
      <c r="L3834" t="inlineStr"/>
      <c r="M3834" t="inlineStr">
        <is>
          <t>Geoff St. Marie</t>
        </is>
      </c>
      <c r="N3834" t="n">
        <v>0.9661904761904762</v>
      </c>
      <c r="O3834" t="n">
        <v>4</v>
      </c>
      <c r="P3834" t="n">
        <v>0.07851239669421479</v>
      </c>
    </row>
    <row r="3835">
      <c r="A3835" t="inlineStr">
        <is>
          <t>Katherine Clarke</t>
        </is>
      </c>
      <c r="B3835" t="inlineStr">
        <is>
          <t>9/6/26 - 10/3/26</t>
        </is>
      </c>
      <c r="C3835" t="n">
        <v>0.9417</v>
      </c>
      <c r="D3835" t="n">
        <v>0.9786</v>
      </c>
      <c r="E3835" t="n">
        <v>1</v>
      </c>
      <c r="F3835" t="n">
        <v>0.97</v>
      </c>
      <c r="G3835" t="n">
        <v>1</v>
      </c>
      <c r="H3835" t="n">
        <v>145</v>
      </c>
      <c r="I3835" t="inlineStr"/>
      <c r="J3835" t="n">
        <v>1</v>
      </c>
      <c r="K3835" t="inlineStr">
        <is>
          <t>Distinguished</t>
        </is>
      </c>
      <c r="L3835" t="inlineStr"/>
      <c r="M3835" t="inlineStr">
        <is>
          <t>Kristin Haase-Alvey</t>
        </is>
      </c>
      <c r="N3835" t="n">
        <v>0.8133928571428571</v>
      </c>
      <c r="O3835" t="n">
        <v>7.142857142857142</v>
      </c>
      <c r="P3835" t="n">
        <v>0.045524074074074</v>
      </c>
    </row>
    <row r="3836">
      <c r="A3836" t="inlineStr">
        <is>
          <t>Katherine Dickerson</t>
        </is>
      </c>
      <c r="B3836" t="inlineStr">
        <is>
          <t>9/6/26 - 10/3/26</t>
        </is>
      </c>
      <c r="C3836" t="n">
        <v>0.9375</v>
      </c>
      <c r="D3836" t="n">
        <v>1.1579</v>
      </c>
      <c r="E3836" t="n">
        <v>1</v>
      </c>
      <c r="F3836" t="n">
        <v>0.901</v>
      </c>
      <c r="G3836" t="n">
        <v>0.8620689655172413</v>
      </c>
      <c r="H3836" t="n">
        <v>370</v>
      </c>
      <c r="I3836" t="inlineStr"/>
      <c r="J3836" t="inlineStr"/>
      <c r="K3836" t="inlineStr">
        <is>
          <t>Premium</t>
        </is>
      </c>
      <c r="L3836" t="inlineStr"/>
      <c r="M3836" t="inlineStr">
        <is>
          <t>Geoff St. Marie</t>
        </is>
      </c>
      <c r="N3836" t="n">
        <v>0.9807692307692308</v>
      </c>
      <c r="O3836" t="n">
        <v>5.416666666666667</v>
      </c>
      <c r="P3836" t="n">
        <v>0.0279022624434389</v>
      </c>
    </row>
    <row r="3837">
      <c r="A3837" t="inlineStr">
        <is>
          <t>Kiersten Guetlein</t>
        </is>
      </c>
      <c r="B3837" t="inlineStr">
        <is>
          <t>9/6/26 - 10/3/26</t>
        </is>
      </c>
      <c r="C3837" t="n">
        <v>1.0292</v>
      </c>
      <c r="D3837" t="n">
        <v>1.1382</v>
      </c>
      <c r="E3837" t="n">
        <v>0.9915966386554622</v>
      </c>
      <c r="F3837" t="n">
        <v>0.949</v>
      </c>
      <c r="G3837" t="n">
        <v>0.935483870967742</v>
      </c>
      <c r="H3837" t="n">
        <v>79</v>
      </c>
      <c r="I3837" t="inlineStr"/>
      <c r="J3837" t="n">
        <v>0.75</v>
      </c>
      <c r="K3837" t="inlineStr">
        <is>
          <t>Premium</t>
        </is>
      </c>
      <c r="L3837" t="inlineStr"/>
      <c r="M3837" t="inlineStr">
        <is>
          <t>Ela Cross</t>
        </is>
      </c>
      <c r="N3837" t="n">
        <v>0.7849264705882353</v>
      </c>
      <c r="O3837" t="n">
        <v>6.444444444444444</v>
      </c>
      <c r="P3837" t="n">
        <v>0.0608695652173913</v>
      </c>
    </row>
    <row r="3838">
      <c r="A3838" t="inlineStr">
        <is>
          <t>Kristen Fox</t>
        </is>
      </c>
      <c r="B3838" t="inlineStr">
        <is>
          <t>9/6/26 - 10/3/26</t>
        </is>
      </c>
      <c r="C3838" t="n">
        <v>0.9792</v>
      </c>
      <c r="D3838" t="n">
        <v>0.9145</v>
      </c>
      <c r="E3838" t="n">
        <v>0.9145299145299144</v>
      </c>
      <c r="F3838" t="n">
        <v>0.959</v>
      </c>
      <c r="G3838" t="n">
        <v>1</v>
      </c>
      <c r="H3838" t="n">
        <v>396</v>
      </c>
      <c r="I3838" t="inlineStr"/>
      <c r="J3838" t="n">
        <v>0</v>
      </c>
      <c r="K3838" t="inlineStr">
        <is>
          <t>Distinguished</t>
        </is>
      </c>
      <c r="L3838" t="inlineStr"/>
      <c r="M3838" t="inlineStr">
        <is>
          <t>Kristin Haase-Alvey</t>
        </is>
      </c>
      <c r="N3838" t="n">
        <v>0.9618421052631578</v>
      </c>
      <c r="O3838" t="n">
        <v>8.3125</v>
      </c>
      <c r="P3838" t="n">
        <v>0.1556639593908629</v>
      </c>
    </row>
    <row r="3839">
      <c r="A3839" t="inlineStr">
        <is>
          <t>Kristen Luigart</t>
        </is>
      </c>
      <c r="B3839" t="inlineStr">
        <is>
          <t>9/6/26 - 10/3/26</t>
        </is>
      </c>
      <c r="C3839" t="n">
        <v>0.5792</v>
      </c>
      <c r="D3839" t="n">
        <v>0.7813</v>
      </c>
      <c r="E3839" t="n">
        <v>0.7121212121212122</v>
      </c>
      <c r="F3839" t="n">
        <v>0.714</v>
      </c>
      <c r="G3839" t="n">
        <v>0.6666666666666666</v>
      </c>
      <c r="H3839" t="n">
        <v>57</v>
      </c>
      <c r="I3839" t="inlineStr"/>
      <c r="J3839" t="inlineStr"/>
      <c r="K3839" t="inlineStr">
        <is>
          <t>Distinguished</t>
        </is>
      </c>
      <c r="L3839" t="inlineStr"/>
      <c r="M3839" t="inlineStr">
        <is>
          <t>Ian Plamondon</t>
        </is>
      </c>
      <c r="N3839" t="n">
        <v>0.7803571428571429</v>
      </c>
      <c r="O3839" t="n">
        <v>5.2</v>
      </c>
      <c r="P3839" t="n">
        <v>0.0258135338345864</v>
      </c>
    </row>
    <row r="3840">
      <c r="A3840" t="inlineStr">
        <is>
          <t>Lana Kargetta</t>
        </is>
      </c>
      <c r="B3840" t="inlineStr">
        <is>
          <t>9/6/26 - 10/3/26</t>
        </is>
      </c>
      <c r="C3840" t="n">
        <v>1.1042</v>
      </c>
      <c r="D3840" t="n">
        <v>1.1172</v>
      </c>
      <c r="E3840" t="n">
        <v>1</v>
      </c>
      <c r="F3840" t="n">
        <v>0.614</v>
      </c>
      <c r="G3840" t="n">
        <v>1</v>
      </c>
      <c r="H3840" t="n">
        <v>164</v>
      </c>
      <c r="I3840" t="inlineStr"/>
      <c r="J3840" t="n">
        <v>1</v>
      </c>
      <c r="K3840" t="inlineStr">
        <is>
          <t>Advanced</t>
        </is>
      </c>
      <c r="L3840" t="inlineStr"/>
      <c r="M3840" t="inlineStr">
        <is>
          <t>Geoff St. Marie</t>
        </is>
      </c>
      <c r="N3840" t="n">
        <v>0.9629629629629628</v>
      </c>
      <c r="O3840" t="n">
        <v>5</v>
      </c>
      <c r="P3840" t="n">
        <v>0.0520833333333333</v>
      </c>
    </row>
    <row r="3841">
      <c r="A3841" t="inlineStr">
        <is>
          <t>Levi Fox</t>
        </is>
      </c>
      <c r="B3841" t="inlineStr">
        <is>
          <t>9/6/26 - 10/3/26</t>
        </is>
      </c>
      <c r="C3841" t="n">
        <v>0.4083</v>
      </c>
      <c r="D3841" t="n">
        <v>0.5674</v>
      </c>
      <c r="E3841" t="n">
        <v>1</v>
      </c>
      <c r="F3841" t="n">
        <v>0.765</v>
      </c>
      <c r="G3841" t="n">
        <v>0.7222222222222222</v>
      </c>
      <c r="H3841" t="n">
        <v>2</v>
      </c>
      <c r="I3841" t="inlineStr"/>
      <c r="J3841" t="n">
        <v>1</v>
      </c>
      <c r="K3841" t="inlineStr">
        <is>
          <t>Premium</t>
        </is>
      </c>
      <c r="L3841" t="inlineStr"/>
      <c r="M3841" t="inlineStr">
        <is>
          <t>Geoff St. Marie</t>
        </is>
      </c>
      <c r="N3841" t="n">
        <v>1</v>
      </c>
      <c r="O3841" t="n">
        <v>7.4</v>
      </c>
      <c r="P3841" t="n">
        <v>0.0217391304347826</v>
      </c>
    </row>
    <row r="3842">
      <c r="A3842" t="inlineStr">
        <is>
          <t>Lisa Bartle</t>
        </is>
      </c>
      <c r="B3842" t="inlineStr">
        <is>
          <t>9/6/26 - 10/3/26</t>
        </is>
      </c>
      <c r="C3842" t="n">
        <v>1.5417</v>
      </c>
      <c r="D3842" t="n">
        <v>1.2578</v>
      </c>
      <c r="E3842" t="n">
        <v>0.9649122807017544</v>
      </c>
      <c r="F3842" t="n">
        <v>0.971</v>
      </c>
      <c r="G3842" t="n">
        <v>0.75</v>
      </c>
      <c r="H3842" t="n">
        <v>68</v>
      </c>
      <c r="I3842" t="inlineStr"/>
      <c r="J3842" t="n">
        <v>0</v>
      </c>
      <c r="K3842" t="inlineStr">
        <is>
          <t>Premium</t>
        </is>
      </c>
      <c r="L3842" t="inlineStr"/>
      <c r="M3842" t="inlineStr">
        <is>
          <t>Annelies de Groot</t>
        </is>
      </c>
      <c r="N3842" t="n">
        <v>0.4261904761904762</v>
      </c>
      <c r="O3842" t="inlineStr"/>
      <c r="P3842" t="inlineStr"/>
    </row>
    <row r="3843">
      <c r="A3843" t="inlineStr">
        <is>
          <t>Liz Garcia</t>
        </is>
      </c>
      <c r="B3843" t="inlineStr">
        <is>
          <t>9/6/26 - 10/3/26</t>
        </is>
      </c>
      <c r="C3843" t="n">
        <v>0.9083</v>
      </c>
      <c r="D3843" t="n">
        <v>1.1349</v>
      </c>
      <c r="E3843" t="n">
        <v>0.9901960784313726</v>
      </c>
      <c r="F3843" t="n">
        <v>0.99</v>
      </c>
      <c r="G3843" t="n">
        <v>0.95</v>
      </c>
      <c r="H3843" t="n">
        <v>152</v>
      </c>
      <c r="I3843" t="inlineStr"/>
      <c r="J3843" t="n">
        <v>0.75</v>
      </c>
      <c r="K3843" t="inlineStr">
        <is>
          <t>Distinguished</t>
        </is>
      </c>
      <c r="L3843" t="inlineStr"/>
      <c r="M3843" t="inlineStr">
        <is>
          <t>Geoff St. Marie</t>
        </is>
      </c>
      <c r="N3843" t="n">
        <v>0.9799679487179488</v>
      </c>
      <c r="O3843" t="n">
        <v>6</v>
      </c>
      <c r="P3843" t="inlineStr"/>
    </row>
    <row r="3844">
      <c r="A3844" t="inlineStr">
        <is>
          <t>Liz Pirie</t>
        </is>
      </c>
      <c r="B3844" t="inlineStr">
        <is>
          <t>9/6/26 - 10/3/26</t>
        </is>
      </c>
      <c r="C3844" t="n">
        <v>1.0194</v>
      </c>
      <c r="D3844" t="n">
        <v>1.0905</v>
      </c>
      <c r="E3844" t="n">
        <v>1</v>
      </c>
      <c r="F3844" t="n">
        <v>0.991</v>
      </c>
      <c r="G3844" t="n">
        <v>0.9615384615384616</v>
      </c>
      <c r="H3844" t="n">
        <v>51</v>
      </c>
      <c r="I3844" t="inlineStr"/>
      <c r="J3844" t="n">
        <v>0.6666666666666666</v>
      </c>
      <c r="K3844" t="inlineStr">
        <is>
          <t>Premium</t>
        </is>
      </c>
      <c r="L3844" t="inlineStr"/>
      <c r="M3844" t="inlineStr">
        <is>
          <t>Kristin Haase-Alvey</t>
        </is>
      </c>
      <c r="N3844" t="n">
        <v>0.9457671957671958</v>
      </c>
      <c r="O3844" t="n">
        <v>5.375</v>
      </c>
      <c r="P3844" t="inlineStr"/>
    </row>
    <row r="3845">
      <c r="A3845" t="inlineStr">
        <is>
          <t>Loren Lijewski</t>
        </is>
      </c>
      <c r="B3845" t="inlineStr">
        <is>
          <t>9/6/26 - 10/3/26</t>
        </is>
      </c>
      <c r="C3845" t="n">
        <v>0.9167</v>
      </c>
      <c r="D3845" t="n">
        <v>1.0313</v>
      </c>
      <c r="E3845" t="n">
        <v>1</v>
      </c>
      <c r="F3845" t="n">
        <v>1</v>
      </c>
      <c r="G3845" t="n">
        <v>1</v>
      </c>
      <c r="H3845" t="n">
        <v>166</v>
      </c>
      <c r="I3845" t="inlineStr"/>
      <c r="J3845" t="n">
        <v>0</v>
      </c>
      <c r="K3845" t="inlineStr">
        <is>
          <t>Advanced</t>
        </is>
      </c>
      <c r="L3845" t="inlineStr"/>
      <c r="M3845" t="inlineStr">
        <is>
          <t>Annelies de Groot</t>
        </is>
      </c>
      <c r="N3845" t="n">
        <v>0.9642857142857144</v>
      </c>
      <c r="O3845" t="n">
        <v>7</v>
      </c>
      <c r="P3845" t="inlineStr"/>
    </row>
    <row r="3846">
      <c r="A3846" t="inlineStr">
        <is>
          <t>Lynne Koppang</t>
        </is>
      </c>
      <c r="B3846" t="inlineStr">
        <is>
          <t>9/6/26 - 10/3/26</t>
        </is>
      </c>
      <c r="C3846" t="n">
        <v/>
      </c>
      <c r="D3846" t="n">
        <v/>
      </c>
      <c r="E3846" t="n">
        <v/>
      </c>
      <c r="F3846" t="n">
        <v/>
      </c>
      <c r="G3846" t="n">
        <v/>
      </c>
      <c r="H3846" t="n">
        <v>0</v>
      </c>
      <c r="I3846" t="inlineStr"/>
      <c r="J3846" t="inlineStr"/>
      <c r="K3846" t="inlineStr">
        <is>
          <t>Distinguished</t>
        </is>
      </c>
      <c r="L3846" t="inlineStr"/>
      <c r="M3846" t="inlineStr">
        <is>
          <t>Nikki Pencak</t>
        </is>
      </c>
      <c r="N3846" t="inlineStr"/>
      <c r="O3846" t="inlineStr"/>
      <c r="P3846" t="inlineStr"/>
    </row>
    <row r="3847">
      <c r="A3847" t="inlineStr">
        <is>
          <t>Machaela Verhage</t>
        </is>
      </c>
      <c r="B3847" t="inlineStr">
        <is>
          <t>9/6/26 - 10/3/26</t>
        </is>
      </c>
      <c r="C3847" t="n">
        <v>0.9</v>
      </c>
      <c r="D3847" t="n">
        <v>1.0049</v>
      </c>
      <c r="E3847" t="n">
        <v>1</v>
      </c>
      <c r="F3847" t="n">
        <v>1</v>
      </c>
      <c r="G3847" t="n">
        <v>0.7272727272727273</v>
      </c>
      <c r="H3847" t="n">
        <v>27</v>
      </c>
      <c r="I3847" t="inlineStr"/>
      <c r="J3847" t="n">
        <v>0.75</v>
      </c>
      <c r="K3847" t="inlineStr">
        <is>
          <t>Premium</t>
        </is>
      </c>
      <c r="L3847" t="inlineStr"/>
      <c r="M3847" t="inlineStr">
        <is>
          <t>Annelies de Groot</t>
        </is>
      </c>
      <c r="N3847" t="n">
        <v>0.9615384615384616</v>
      </c>
      <c r="O3847" t="n">
        <v>6.020833333333333</v>
      </c>
      <c r="P3847" t="inlineStr"/>
    </row>
    <row r="3848">
      <c r="A3848" t="inlineStr">
        <is>
          <t>Madia Banda</t>
        </is>
      </c>
      <c r="B3848" t="inlineStr">
        <is>
          <t>9/6/26 - 10/3/26</t>
        </is>
      </c>
      <c r="C3848" t="n">
        <v>0.7286</v>
      </c>
      <c r="D3848" t="n">
        <v>0.8997000000000001</v>
      </c>
      <c r="E3848" t="n">
        <v>1</v>
      </c>
      <c r="F3848" t="n">
        <v>0.875</v>
      </c>
      <c r="G3848" t="n">
        <v>1</v>
      </c>
      <c r="H3848" t="n">
        <v>308</v>
      </c>
      <c r="I3848" t="inlineStr"/>
      <c r="J3848" t="n">
        <v>0.3333333333333333</v>
      </c>
      <c r="K3848" t="inlineStr">
        <is>
          <t>Advanced</t>
        </is>
      </c>
      <c r="L3848" t="inlineStr"/>
      <c r="M3848" t="inlineStr">
        <is>
          <t>Geoff St. Marie</t>
        </is>
      </c>
      <c r="N3848" t="n">
        <v>0.93031045751634</v>
      </c>
      <c r="O3848" t="n">
        <v>9.238095238095241</v>
      </c>
      <c r="P3848" t="n">
        <v>0.06818181818181809</v>
      </c>
    </row>
    <row r="3849">
      <c r="A3849" t="inlineStr">
        <is>
          <t>Maggie Pollard</t>
        </is>
      </c>
      <c r="B3849" t="inlineStr">
        <is>
          <t>9/6/26 - 10/3/26</t>
        </is>
      </c>
      <c r="C3849" t="n">
        <v/>
      </c>
      <c r="D3849" t="n">
        <v/>
      </c>
      <c r="E3849" t="n">
        <v/>
      </c>
      <c r="F3849" t="n">
        <v/>
      </c>
      <c r="G3849" t="n">
        <v/>
      </c>
      <c r="H3849" t="n">
        <v>0</v>
      </c>
      <c r="I3849" t="inlineStr"/>
      <c r="J3849" t="inlineStr"/>
      <c r="K3849" t="inlineStr">
        <is>
          <t>Distinguished</t>
        </is>
      </c>
      <c r="L3849" t="inlineStr"/>
      <c r="M3849" t="inlineStr">
        <is>
          <t>Katherine Marino</t>
        </is>
      </c>
      <c r="N3849" t="inlineStr"/>
      <c r="O3849" t="inlineStr"/>
      <c r="P3849" t="inlineStr"/>
    </row>
    <row r="3850">
      <c r="A3850" t="inlineStr">
        <is>
          <t>Maia Gerlinger</t>
        </is>
      </c>
      <c r="B3850" t="inlineStr">
        <is>
          <t>9/6/26 - 10/3/26</t>
        </is>
      </c>
      <c r="C3850" t="n">
        <v>0.6771</v>
      </c>
      <c r="D3850" t="n">
        <v>0.6875</v>
      </c>
      <c r="E3850" t="n">
        <v>0.8888888888888888</v>
      </c>
      <c r="F3850" t="n">
        <v>0.96</v>
      </c>
      <c r="G3850" t="n">
        <v>0.8235294117647058</v>
      </c>
      <c r="H3850" t="n">
        <v>0</v>
      </c>
      <c r="I3850" t="inlineStr"/>
      <c r="J3850" t="inlineStr"/>
      <c r="K3850" t="inlineStr">
        <is>
          <t>Distinguished</t>
        </is>
      </c>
      <c r="L3850" t="inlineStr"/>
      <c r="M3850" t="inlineStr">
        <is>
          <t>Annelies de Groot</t>
        </is>
      </c>
      <c r="N3850" t="n">
        <v>0.8722222222222222</v>
      </c>
      <c r="O3850" t="n">
        <v>8</v>
      </c>
      <c r="P3850" t="n">
        <v>0.2282</v>
      </c>
    </row>
    <row r="3851">
      <c r="A3851" t="inlineStr">
        <is>
          <t>Margaret Webb</t>
        </is>
      </c>
      <c r="B3851" t="inlineStr">
        <is>
          <t>9/6/26 - 10/3/26</t>
        </is>
      </c>
      <c r="C3851" t="n">
        <v>1.1071</v>
      </c>
      <c r="D3851" t="n">
        <v>1.0523</v>
      </c>
      <c r="E3851" t="n">
        <v>0.9805194805194806</v>
      </c>
      <c r="F3851" t="n">
        <v>0.992</v>
      </c>
      <c r="G3851" t="n">
        <v>0.9772727272727272</v>
      </c>
      <c r="H3851" t="n">
        <v>346</v>
      </c>
      <c r="I3851" t="inlineStr"/>
      <c r="J3851" t="n">
        <v>1</v>
      </c>
      <c r="K3851" t="inlineStr">
        <is>
          <t>Distinguished</t>
        </is>
      </c>
      <c r="L3851" t="inlineStr"/>
      <c r="M3851" t="inlineStr">
        <is>
          <t>Kristin Haase-Alvey</t>
        </is>
      </c>
      <c r="N3851" t="n">
        <v>1</v>
      </c>
      <c r="O3851" t="n">
        <v>8.333333333333334</v>
      </c>
      <c r="P3851" t="inlineStr"/>
    </row>
    <row r="3852">
      <c r="A3852" t="inlineStr">
        <is>
          <t>Mary Felix</t>
        </is>
      </c>
      <c r="B3852" t="inlineStr">
        <is>
          <t>9/6/26 - 10/3/26</t>
        </is>
      </c>
      <c r="C3852" t="n">
        <v>0.8917</v>
      </c>
      <c r="D3852" t="n">
        <v>1.1069</v>
      </c>
      <c r="E3852" t="n">
        <v>0.9626168224299064</v>
      </c>
      <c r="F3852" t="n">
        <v>0.8129999999999999</v>
      </c>
      <c r="G3852" t="n">
        <v>0.7857142857142857</v>
      </c>
      <c r="H3852" t="n">
        <v>57</v>
      </c>
      <c r="I3852" t="inlineStr"/>
      <c r="J3852" t="n">
        <v>0</v>
      </c>
      <c r="K3852" t="inlineStr">
        <is>
          <t>Premium</t>
        </is>
      </c>
      <c r="L3852" t="inlineStr"/>
      <c r="M3852" t="inlineStr">
        <is>
          <t>Ian Plamondon</t>
        </is>
      </c>
      <c r="N3852" t="n">
        <v>0.9791666666666666</v>
      </c>
      <c r="O3852" t="n">
        <v>3.071428571428571</v>
      </c>
      <c r="P3852" t="n">
        <v>0.0336538461538461</v>
      </c>
    </row>
    <row r="3853">
      <c r="A3853" t="inlineStr">
        <is>
          <t>Mary Logan</t>
        </is>
      </c>
      <c r="B3853" t="inlineStr">
        <is>
          <t>9/6/26 - 10/3/26</t>
        </is>
      </c>
      <c r="C3853" t="n">
        <v>1.15</v>
      </c>
      <c r="D3853" t="n">
        <v>1.1826</v>
      </c>
      <c r="E3853" t="n">
        <v>1</v>
      </c>
      <c r="F3853" t="n">
        <v>0.949</v>
      </c>
      <c r="G3853" t="n">
        <v>0.9444444444444444</v>
      </c>
      <c r="H3853" t="n">
        <v>440</v>
      </c>
      <c r="I3853" t="inlineStr"/>
      <c r="J3853" t="n">
        <v>0.5</v>
      </c>
      <c r="K3853" t="inlineStr">
        <is>
          <t>Distinguished</t>
        </is>
      </c>
      <c r="L3853" t="inlineStr"/>
      <c r="M3853" t="inlineStr">
        <is>
          <t>Kristin Haase-Alvey</t>
        </is>
      </c>
      <c r="N3853" t="n">
        <v>0.9520833333333334</v>
      </c>
      <c r="O3853" t="n">
        <v>5.338888888888889</v>
      </c>
      <c r="P3853" t="n">
        <v>0.0485074626865671</v>
      </c>
    </row>
    <row r="3854">
      <c r="A3854" t="inlineStr">
        <is>
          <t>Matthew Urso</t>
        </is>
      </c>
      <c r="B3854" t="inlineStr">
        <is>
          <t>9/6/26 - 10/3/26</t>
        </is>
      </c>
      <c r="C3854" t="n">
        <v>0.8083</v>
      </c>
      <c r="D3854" t="n">
        <v>1.0115</v>
      </c>
      <c r="E3854" t="n">
        <v>1</v>
      </c>
      <c r="F3854" t="n">
        <v>1</v>
      </c>
      <c r="G3854" t="n">
        <v>0.9583333333333334</v>
      </c>
      <c r="H3854" t="n">
        <v>103</v>
      </c>
      <c r="I3854" t="inlineStr"/>
      <c r="J3854" t="n">
        <v>0.6</v>
      </c>
      <c r="K3854" t="inlineStr">
        <is>
          <t>Distinguished</t>
        </is>
      </c>
      <c r="L3854" t="inlineStr"/>
      <c r="M3854" t="inlineStr">
        <is>
          <t>Geoff St. Marie</t>
        </is>
      </c>
      <c r="N3854" t="n">
        <v>1</v>
      </c>
      <c r="O3854" t="n">
        <v>5.833333333333333</v>
      </c>
      <c r="P3854" t="n">
        <v>0.0194912280701754</v>
      </c>
    </row>
    <row r="3855">
      <c r="A3855" t="inlineStr">
        <is>
          <t>Matthew Wert</t>
        </is>
      </c>
      <c r="B3855" t="inlineStr">
        <is>
          <t>9/6/26 - 10/3/26</t>
        </is>
      </c>
      <c r="C3855" t="n">
        <v>0.725</v>
      </c>
      <c r="D3855" t="n">
        <v>1.0365</v>
      </c>
      <c r="E3855" t="n">
        <v>0.9629629629629628</v>
      </c>
      <c r="F3855" t="n">
        <v>0.944</v>
      </c>
      <c r="G3855" t="n">
        <v>0.75</v>
      </c>
      <c r="H3855" t="n">
        <v>167</v>
      </c>
      <c r="I3855" t="inlineStr"/>
      <c r="J3855" t="inlineStr"/>
      <c r="K3855" t="inlineStr">
        <is>
          <t>Distinguished</t>
        </is>
      </c>
      <c r="L3855" t="inlineStr"/>
      <c r="M3855" t="inlineStr">
        <is>
          <t>Geoff St. Marie</t>
        </is>
      </c>
      <c r="N3855" t="n">
        <v>0.96875</v>
      </c>
      <c r="O3855" t="n">
        <v>5.666666666666667</v>
      </c>
      <c r="P3855" t="n">
        <v>0.0595214285714285</v>
      </c>
    </row>
    <row r="3856">
      <c r="A3856" t="inlineStr">
        <is>
          <t>Matty Burge</t>
        </is>
      </c>
      <c r="B3856" t="inlineStr">
        <is>
          <t>9/6/26 - 10/3/26</t>
        </is>
      </c>
      <c r="C3856" t="n">
        <v>0.5313</v>
      </c>
      <c r="D3856" t="n">
        <v>0.707</v>
      </c>
      <c r="E3856" t="n">
        <v>1</v>
      </c>
      <c r="F3856" t="n">
        <v>1</v>
      </c>
      <c r="G3856" t="n">
        <v>0.7142857142857143</v>
      </c>
      <c r="H3856" t="n">
        <v>5</v>
      </c>
      <c r="I3856" t="inlineStr"/>
      <c r="J3856" t="n">
        <v>0</v>
      </c>
      <c r="K3856" t="inlineStr">
        <is>
          <t>Distinguished</t>
        </is>
      </c>
      <c r="L3856" t="inlineStr"/>
      <c r="M3856" t="inlineStr">
        <is>
          <t>Annelies de Groot</t>
        </is>
      </c>
      <c r="N3856" t="n">
        <v>1</v>
      </c>
      <c r="O3856" t="n">
        <v>4</v>
      </c>
      <c r="P3856" t="n">
        <v>0.1111098039215686</v>
      </c>
    </row>
    <row r="3857">
      <c r="A3857" t="inlineStr">
        <is>
          <t>Maximilian Tsimerman</t>
        </is>
      </c>
      <c r="B3857" t="inlineStr">
        <is>
          <t>9/6/26 - 10/3/26</t>
        </is>
      </c>
      <c r="C3857" t="n">
        <v>0.8667</v>
      </c>
      <c r="D3857" t="n">
        <v>1.0526</v>
      </c>
      <c r="E3857" t="n">
        <v>0.9705882352941176</v>
      </c>
      <c r="F3857" t="n">
        <v>0.974</v>
      </c>
      <c r="G3857" t="n">
        <v>0.8333333333333334</v>
      </c>
      <c r="H3857" t="n">
        <v>70</v>
      </c>
      <c r="I3857" t="inlineStr"/>
      <c r="J3857" t="n">
        <v>1</v>
      </c>
      <c r="K3857" t="inlineStr">
        <is>
          <t>Distinguished</t>
        </is>
      </c>
      <c r="L3857" t="inlineStr"/>
      <c r="M3857" t="inlineStr">
        <is>
          <t>Geoff St. Marie</t>
        </is>
      </c>
      <c r="N3857" t="n">
        <v>0.9377840909090908</v>
      </c>
      <c r="O3857" t="n">
        <v>5.933333333333334</v>
      </c>
      <c r="P3857" t="inlineStr"/>
    </row>
    <row r="3858">
      <c r="A3858" t="inlineStr">
        <is>
          <t>Megan Ingle</t>
        </is>
      </c>
      <c r="B3858" t="inlineStr">
        <is>
          <t>9/6/26 - 10/3/26</t>
        </is>
      </c>
      <c r="C3858" t="n">
        <v>0.5208</v>
      </c>
      <c r="D3858" t="n">
        <v>0.9492</v>
      </c>
      <c r="E3858" t="n">
        <v>1</v>
      </c>
      <c r="F3858" t="n">
        <v>0.611</v>
      </c>
      <c r="G3858" t="n">
        <v>0</v>
      </c>
      <c r="H3858" t="n">
        <v>40</v>
      </c>
      <c r="I3858" t="inlineStr"/>
      <c r="J3858" t="n">
        <v>0</v>
      </c>
      <c r="K3858" t="inlineStr">
        <is>
          <t>Advanced</t>
        </is>
      </c>
      <c r="L3858" t="inlineStr"/>
      <c r="M3858" t="inlineStr">
        <is>
          <t>Geoff St. Marie</t>
        </is>
      </c>
      <c r="N3858" t="n">
        <v>1</v>
      </c>
      <c r="O3858" t="inlineStr"/>
      <c r="P3858" t="n">
        <v>0.0125</v>
      </c>
    </row>
    <row r="3859">
      <c r="A3859" t="inlineStr">
        <is>
          <t>Megan Osgood</t>
        </is>
      </c>
      <c r="B3859" t="inlineStr">
        <is>
          <t>9/6/26 - 10/3/26</t>
        </is>
      </c>
      <c r="C3859" t="n">
        <v>0.5417</v>
      </c>
      <c r="D3859" t="n">
        <v>0.8224</v>
      </c>
      <c r="E3859" t="n">
        <v>1</v>
      </c>
      <c r="F3859" t="n">
        <v>1</v>
      </c>
      <c r="G3859" t="n">
        <v>0.8947368421052632</v>
      </c>
      <c r="H3859" t="n">
        <v>109</v>
      </c>
      <c r="I3859" t="inlineStr"/>
      <c r="J3859" t="n">
        <v>1</v>
      </c>
      <c r="K3859" t="inlineStr">
        <is>
          <t>Premium</t>
        </is>
      </c>
      <c r="L3859" t="inlineStr"/>
      <c r="M3859" t="inlineStr">
        <is>
          <t>Annelies de Groot</t>
        </is>
      </c>
      <c r="N3859" t="n">
        <v>0.9083333333333332</v>
      </c>
      <c r="O3859" t="n">
        <v>9.055555555555555</v>
      </c>
      <c r="P3859" t="n">
        <v>0.2041666666666666</v>
      </c>
    </row>
    <row r="3860">
      <c r="A3860" t="inlineStr">
        <is>
          <t>Melanie Leong</t>
        </is>
      </c>
      <c r="B3860" t="inlineStr">
        <is>
          <t>9/6/26 - 10/3/26</t>
        </is>
      </c>
      <c r="C3860" t="n">
        <v>1.0729</v>
      </c>
      <c r="D3860" t="n">
        <v>2.0508</v>
      </c>
      <c r="E3860" t="n">
        <v>1</v>
      </c>
      <c r="F3860" t="n">
        <v>1</v>
      </c>
      <c r="G3860" t="n">
        <v>1</v>
      </c>
      <c r="H3860" t="n">
        <v>6</v>
      </c>
      <c r="I3860" t="inlineStr"/>
      <c r="J3860" t="inlineStr"/>
      <c r="K3860" t="inlineStr">
        <is>
          <t>Premium</t>
        </is>
      </c>
      <c r="L3860" t="inlineStr"/>
      <c r="M3860" t="inlineStr">
        <is>
          <t>Kristin Haase-Alvey</t>
        </is>
      </c>
      <c r="N3860" t="n">
        <v>1</v>
      </c>
      <c r="O3860" t="n">
        <v>8</v>
      </c>
      <c r="P3860" t="n">
        <v>0.0623612903225806</v>
      </c>
    </row>
    <row r="3861">
      <c r="A3861" t="inlineStr">
        <is>
          <t>Melinda Mergendahl</t>
        </is>
      </c>
      <c r="B3861" t="inlineStr">
        <is>
          <t>9/6/26 - 10/3/26</t>
        </is>
      </c>
      <c r="C3861" t="n">
        <v>0.65</v>
      </c>
      <c r="D3861" t="n">
        <v>0.849</v>
      </c>
      <c r="E3861" t="n">
        <v>1</v>
      </c>
      <c r="F3861" t="n">
        <v>0.821</v>
      </c>
      <c r="G3861" t="n">
        <v>0.8125</v>
      </c>
      <c r="H3861" t="n">
        <v>66</v>
      </c>
      <c r="I3861" t="inlineStr"/>
      <c r="J3861" t="n">
        <v>1</v>
      </c>
      <c r="K3861" t="inlineStr">
        <is>
          <t>Premium</t>
        </is>
      </c>
      <c r="L3861" t="inlineStr"/>
      <c r="M3861" t="inlineStr">
        <is>
          <t>Geoff St. Marie</t>
        </is>
      </c>
      <c r="N3861" t="n">
        <v>1</v>
      </c>
      <c r="O3861" t="inlineStr"/>
      <c r="P3861" t="inlineStr"/>
    </row>
    <row r="3862">
      <c r="A3862" t="inlineStr">
        <is>
          <t>Michelle Testerman</t>
        </is>
      </c>
      <c r="B3862" t="inlineStr">
        <is>
          <t>9/6/26 - 10/3/26</t>
        </is>
      </c>
      <c r="C3862" t="n">
        <v>1.125</v>
      </c>
      <c r="D3862" t="n">
        <v>0.957</v>
      </c>
      <c r="E3862" t="n">
        <v>1</v>
      </c>
      <c r="F3862" t="n">
        <v>0.8129999999999999</v>
      </c>
      <c r="G3862" t="n">
        <v>0.9333333333333332</v>
      </c>
      <c r="H3862" t="n">
        <v>240</v>
      </c>
      <c r="I3862" t="inlineStr"/>
      <c r="J3862" t="inlineStr"/>
      <c r="K3862" t="inlineStr">
        <is>
          <t>Distinguished</t>
        </is>
      </c>
      <c r="L3862" t="inlineStr"/>
      <c r="M3862" t="inlineStr">
        <is>
          <t>Kristin Haase-Alvey</t>
        </is>
      </c>
      <c r="N3862" t="n">
        <v>0.95</v>
      </c>
      <c r="O3862" t="n">
        <v>3.333333333333333</v>
      </c>
      <c r="P3862" t="inlineStr"/>
    </row>
    <row r="3863">
      <c r="A3863" t="inlineStr">
        <is>
          <t>Miché Hennig</t>
        </is>
      </c>
      <c r="B3863" t="inlineStr">
        <is>
          <t>9/6/26 - 10/3/26</t>
        </is>
      </c>
      <c r="C3863" t="n">
        <v/>
      </c>
      <c r="D3863" t="n">
        <v/>
      </c>
      <c r="E3863" t="n">
        <v/>
      </c>
      <c r="F3863" t="n">
        <v/>
      </c>
      <c r="G3863" t="n">
        <v/>
      </c>
      <c r="H3863" t="n">
        <v>0</v>
      </c>
      <c r="I3863" t="inlineStr"/>
      <c r="J3863" t="inlineStr"/>
      <c r="K3863" t="inlineStr">
        <is>
          <t>Distinguished</t>
        </is>
      </c>
      <c r="L3863" t="inlineStr"/>
      <c r="M3863" t="inlineStr">
        <is>
          <t>Katherine Marino</t>
        </is>
      </c>
      <c r="N3863" t="inlineStr"/>
      <c r="O3863" t="inlineStr"/>
      <c r="P3863" t="inlineStr"/>
    </row>
    <row r="3864">
      <c r="A3864" t="inlineStr">
        <is>
          <t>Mike Pearson</t>
        </is>
      </c>
      <c r="B3864" t="inlineStr">
        <is>
          <t>9/6/26 - 10/3/26</t>
        </is>
      </c>
      <c r="C3864" t="n">
        <v>0.8833</v>
      </c>
      <c r="D3864" t="n">
        <v>1.1184</v>
      </c>
      <c r="E3864" t="n">
        <v>1</v>
      </c>
      <c r="F3864" t="n">
        <v>0.973</v>
      </c>
      <c r="G3864" t="n">
        <v>1</v>
      </c>
      <c r="H3864" t="n">
        <v>32</v>
      </c>
      <c r="I3864" t="inlineStr"/>
      <c r="J3864" t="n">
        <v>0</v>
      </c>
      <c r="K3864" t="inlineStr">
        <is>
          <t>Distinguished</t>
        </is>
      </c>
      <c r="L3864" t="inlineStr"/>
      <c r="M3864" t="inlineStr">
        <is>
          <t>Ian Plamondon</t>
        </is>
      </c>
      <c r="N3864" t="n">
        <v>0.8958333333333334</v>
      </c>
      <c r="O3864" t="n">
        <v>7.142857142857143</v>
      </c>
      <c r="P3864" t="n">
        <v>0.1656341463414634</v>
      </c>
    </row>
    <row r="3865">
      <c r="A3865" t="inlineStr">
        <is>
          <t>Myles Oldroyd</t>
        </is>
      </c>
      <c r="B3865" t="inlineStr">
        <is>
          <t>9/6/26 - 10/3/26</t>
        </is>
      </c>
      <c r="C3865" t="n">
        <v>1.0321</v>
      </c>
      <c r="D3865" t="n">
        <v>1.3328</v>
      </c>
      <c r="E3865" t="n">
        <v>0.9928057553956836</v>
      </c>
      <c r="F3865" t="n">
        <v>0.989</v>
      </c>
      <c r="G3865" t="n">
        <v>0.8974358974358975</v>
      </c>
      <c r="H3865" t="n">
        <v>51</v>
      </c>
      <c r="I3865" t="inlineStr"/>
      <c r="J3865" t="n">
        <v>0.7222222222222222</v>
      </c>
      <c r="K3865" t="inlineStr">
        <is>
          <t>Premium</t>
        </is>
      </c>
      <c r="L3865" t="inlineStr"/>
      <c r="M3865" t="inlineStr">
        <is>
          <t>Ian Plamondon</t>
        </is>
      </c>
      <c r="N3865" t="n">
        <v>0.8993722943722944</v>
      </c>
      <c r="O3865" t="n">
        <v>5.5</v>
      </c>
      <c r="P3865" t="n">
        <v>0.0675675675675675</v>
      </c>
    </row>
    <row r="3866">
      <c r="A3866" t="inlineStr">
        <is>
          <t>Naima Chaudhry</t>
        </is>
      </c>
      <c r="B3866" t="inlineStr">
        <is>
          <t>9/6/26 - 10/3/26</t>
        </is>
      </c>
      <c r="C3866" t="n">
        <v>1.1667</v>
      </c>
      <c r="D3866" t="n">
        <v>1.1289</v>
      </c>
      <c r="E3866" t="n">
        <v>1</v>
      </c>
      <c r="F3866" t="n">
        <v>0.97</v>
      </c>
      <c r="G3866" t="n">
        <v>0.5</v>
      </c>
      <c r="H3866" t="n">
        <v>76</v>
      </c>
      <c r="I3866" t="inlineStr"/>
      <c r="J3866" t="n">
        <v>0.6</v>
      </c>
      <c r="K3866" t="inlineStr">
        <is>
          <t>Advanced</t>
        </is>
      </c>
      <c r="L3866" t="inlineStr"/>
      <c r="M3866" t="inlineStr">
        <is>
          <t>Kristin Haase-Alvey</t>
        </is>
      </c>
      <c r="N3866" t="n">
        <v>0.9330357142857144</v>
      </c>
      <c r="O3866" t="n">
        <v>5</v>
      </c>
      <c r="P3866" t="n">
        <v>0.0567340425531914</v>
      </c>
    </row>
    <row r="3867">
      <c r="A3867" t="inlineStr">
        <is>
          <t>Nando Reyes</t>
        </is>
      </c>
      <c r="B3867" t="inlineStr">
        <is>
          <t>9/6/26 - 10/3/26</t>
        </is>
      </c>
      <c r="C3867" t="n">
        <v>0.875</v>
      </c>
      <c r="D3867" t="n">
        <v>1.2326</v>
      </c>
      <c r="E3867" t="n">
        <v>0.9915966386554622</v>
      </c>
      <c r="F3867" t="n">
        <v>0.967</v>
      </c>
      <c r="G3867" t="n">
        <v>0.4</v>
      </c>
      <c r="H3867" t="n">
        <v>26</v>
      </c>
      <c r="I3867" t="inlineStr"/>
      <c r="J3867" t="n">
        <v>0.1538461538461539</v>
      </c>
      <c r="K3867" t="inlineStr">
        <is>
          <t>Distinguished</t>
        </is>
      </c>
      <c r="L3867" t="inlineStr"/>
      <c r="M3867" t="inlineStr">
        <is>
          <t>Geoff St. Marie</t>
        </is>
      </c>
      <c r="N3867" t="n">
        <v>0.9886363636363636</v>
      </c>
      <c r="O3867" t="n">
        <v>5.666666666666667</v>
      </c>
      <c r="P3867" t="n">
        <v>0.0677966101694915</v>
      </c>
    </row>
    <row r="3868">
      <c r="A3868" t="inlineStr">
        <is>
          <t>Nayely Rolon-Gomez</t>
        </is>
      </c>
      <c r="B3868" t="inlineStr">
        <is>
          <t>9/6/26 - 10/3/26</t>
        </is>
      </c>
      <c r="C3868" t="n">
        <v>1.0333</v>
      </c>
      <c r="D3868" t="n">
        <v>1.0395</v>
      </c>
      <c r="E3868" t="n">
        <v>1</v>
      </c>
      <c r="F3868" t="n">
        <v>0.924</v>
      </c>
      <c r="G3868" t="n">
        <v>0.8095238095238095</v>
      </c>
      <c r="H3868" t="n">
        <v>180</v>
      </c>
      <c r="I3868" t="inlineStr"/>
      <c r="J3868" t="n">
        <v>0</v>
      </c>
      <c r="K3868" t="inlineStr">
        <is>
          <t>Distinguished</t>
        </is>
      </c>
      <c r="L3868" t="inlineStr"/>
      <c r="M3868" t="inlineStr">
        <is>
          <t>Geoff St. Marie</t>
        </is>
      </c>
      <c r="N3868" t="n">
        <v>0.8595647773279352</v>
      </c>
      <c r="O3868" t="n">
        <v>6.8</v>
      </c>
      <c r="P3868" t="n">
        <v>0.0434782608695652</v>
      </c>
    </row>
    <row r="3869">
      <c r="A3869" t="inlineStr">
        <is>
          <t>Nicholas Ulfik</t>
        </is>
      </c>
      <c r="B3869" t="inlineStr">
        <is>
          <t>9/6/26 - 10/3/26</t>
        </is>
      </c>
      <c r="C3869" t="n">
        <v>1.0083</v>
      </c>
      <c r="D3869" t="n">
        <v>1.1826</v>
      </c>
      <c r="E3869" t="n">
        <v>1</v>
      </c>
      <c r="F3869" t="n">
        <v>1</v>
      </c>
      <c r="G3869" t="n">
        <v>0.76</v>
      </c>
      <c r="H3869" t="n">
        <v>59</v>
      </c>
      <c r="I3869" t="inlineStr"/>
      <c r="J3869" t="n">
        <v>1</v>
      </c>
      <c r="K3869" t="inlineStr">
        <is>
          <t>Distinguished</t>
        </is>
      </c>
      <c r="L3869" t="inlineStr"/>
      <c r="M3869" t="inlineStr">
        <is>
          <t>Kristin Haase-Alvey</t>
        </is>
      </c>
      <c r="N3869" t="n">
        <v>0.9677083333333334</v>
      </c>
      <c r="O3869" t="n">
        <v>7</v>
      </c>
      <c r="P3869" t="n">
        <v>0.07342162162162159</v>
      </c>
    </row>
    <row r="3870">
      <c r="A3870" t="inlineStr">
        <is>
          <t>Nick Kocik</t>
        </is>
      </c>
      <c r="B3870" t="inlineStr">
        <is>
          <t>9/6/26 - 10/3/26</t>
        </is>
      </c>
      <c r="C3870" t="n">
        <v>1.0917</v>
      </c>
      <c r="D3870" t="n">
        <v>1.0066</v>
      </c>
      <c r="E3870" t="n">
        <v>1</v>
      </c>
      <c r="F3870" t="n">
        <v>1</v>
      </c>
      <c r="G3870" t="n">
        <v>0.5</v>
      </c>
      <c r="H3870" t="n">
        <v>245</v>
      </c>
      <c r="I3870" t="inlineStr"/>
      <c r="J3870" t="n">
        <v>0.5</v>
      </c>
      <c r="K3870" t="inlineStr">
        <is>
          <t>Distinguished</t>
        </is>
      </c>
      <c r="L3870" t="inlineStr"/>
      <c r="M3870" t="inlineStr">
        <is>
          <t>Geoff St. Marie</t>
        </is>
      </c>
      <c r="N3870" t="n">
        <v>1</v>
      </c>
      <c r="O3870" t="n">
        <v>7.5</v>
      </c>
      <c r="P3870" t="n">
        <v>0.0504024193548387</v>
      </c>
    </row>
    <row r="3871">
      <c r="A3871" t="inlineStr">
        <is>
          <t>Nick Lucido</t>
        </is>
      </c>
      <c r="B3871" t="inlineStr">
        <is>
          <t>9/6/26 - 10/3/26</t>
        </is>
      </c>
      <c r="C3871" t="n">
        <v>0.8929</v>
      </c>
      <c r="D3871" t="n">
        <v>1.0145</v>
      </c>
      <c r="E3871" t="n">
        <v>0.9914529914529916</v>
      </c>
      <c r="F3871" t="n">
        <v>0.955</v>
      </c>
      <c r="G3871" t="n">
        <v>0.7096774193548387</v>
      </c>
      <c r="H3871" t="n">
        <v>186</v>
      </c>
      <c r="I3871" t="inlineStr"/>
      <c r="J3871" t="n">
        <v>0.09090909090909091</v>
      </c>
      <c r="K3871" t="inlineStr">
        <is>
          <t>Distinguished</t>
        </is>
      </c>
      <c r="L3871" t="inlineStr"/>
      <c r="M3871" t="inlineStr">
        <is>
          <t>Kristin Haase-Alvey</t>
        </is>
      </c>
      <c r="N3871" t="n">
        <v>0.840285723366387</v>
      </c>
      <c r="O3871" t="n">
        <v>7</v>
      </c>
      <c r="P3871" t="n">
        <v>0.058252427184466</v>
      </c>
    </row>
    <row r="3872">
      <c r="A3872" t="inlineStr">
        <is>
          <t>Nicole Bishop</t>
        </is>
      </c>
      <c r="B3872" t="inlineStr">
        <is>
          <t>9/6/26 - 10/3/26</t>
        </is>
      </c>
      <c r="C3872" t="n">
        <v>1.1964</v>
      </c>
      <c r="D3872" t="n">
        <v>1.1424</v>
      </c>
      <c r="E3872" t="n">
        <v>0.967741935483871</v>
      </c>
      <c r="F3872" t="n">
        <v>0.971</v>
      </c>
      <c r="G3872" t="n">
        <v>0.3</v>
      </c>
      <c r="H3872" t="n">
        <v>266</v>
      </c>
      <c r="I3872" t="inlineStr"/>
      <c r="J3872" t="n">
        <v>0</v>
      </c>
      <c r="K3872" t="inlineStr">
        <is>
          <t>Distinguished</t>
        </is>
      </c>
      <c r="L3872" t="inlineStr"/>
      <c r="M3872" t="inlineStr">
        <is>
          <t>Kristin Haase-Alvey</t>
        </is>
      </c>
      <c r="N3872" t="n">
        <v>0.8976227858293075</v>
      </c>
      <c r="O3872" t="inlineStr"/>
      <c r="P3872" t="n">
        <v>0.0165627329192546</v>
      </c>
    </row>
    <row r="3873">
      <c r="A3873" t="inlineStr">
        <is>
          <t>Nik Kososik</t>
        </is>
      </c>
      <c r="B3873" t="inlineStr">
        <is>
          <t>9/6/26 - 10/3/26</t>
        </is>
      </c>
      <c r="C3873" t="n">
        <v>0.9063</v>
      </c>
      <c r="D3873" t="n">
        <v>1.1693</v>
      </c>
      <c r="E3873" t="n">
        <v>0.8333333333333334</v>
      </c>
      <c r="F3873" t="n">
        <v>0.956</v>
      </c>
      <c r="G3873" t="n">
        <v>0.8461538461538461</v>
      </c>
      <c r="H3873" t="n">
        <v>56</v>
      </c>
      <c r="I3873" t="inlineStr"/>
      <c r="J3873" t="n">
        <v>1</v>
      </c>
      <c r="K3873" t="inlineStr">
        <is>
          <t>Distinguished</t>
        </is>
      </c>
      <c r="L3873" t="inlineStr"/>
      <c r="M3873" t="inlineStr">
        <is>
          <t>Geoff St. Marie</t>
        </is>
      </c>
      <c r="N3873" t="n">
        <v>0.9353146853146852</v>
      </c>
      <c r="O3873" t="n">
        <v>9.25</v>
      </c>
      <c r="P3873" t="n">
        <v>0.0314960629921259</v>
      </c>
    </row>
    <row r="3874">
      <c r="A3874" t="inlineStr">
        <is>
          <t>Nisan Hubbard</t>
        </is>
      </c>
      <c r="B3874" t="inlineStr">
        <is>
          <t>9/6/26 - 10/3/26</t>
        </is>
      </c>
      <c r="C3874" t="n">
        <v>0.7125</v>
      </c>
      <c r="D3874" t="n">
        <v>0.8047</v>
      </c>
      <c r="E3874" t="n">
        <v>1</v>
      </c>
      <c r="F3874" t="n">
        <v>0.914</v>
      </c>
      <c r="G3874" t="n">
        <v>0.8</v>
      </c>
      <c r="H3874" t="n">
        <v>28</v>
      </c>
      <c r="I3874" t="inlineStr"/>
      <c r="J3874" t="n">
        <v>1</v>
      </c>
      <c r="K3874" t="inlineStr">
        <is>
          <t>Distinguished</t>
        </is>
      </c>
      <c r="L3874" t="inlineStr"/>
      <c r="M3874" t="inlineStr">
        <is>
          <t>Annelies de Groot</t>
        </is>
      </c>
      <c r="N3874" t="n">
        <v>0.8428571428571429</v>
      </c>
      <c r="O3874" t="n">
        <v>1.5</v>
      </c>
      <c r="P3874" t="n">
        <v>0.0106382978723404</v>
      </c>
    </row>
    <row r="3875">
      <c r="A3875" t="inlineStr">
        <is>
          <t>Nisha Fletcher</t>
        </is>
      </c>
      <c r="B3875" t="inlineStr">
        <is>
          <t>9/6/26 - 10/3/26</t>
        </is>
      </c>
      <c r="C3875" t="n">
        <v>0.8125</v>
      </c>
      <c r="D3875" t="n">
        <v>0.8203</v>
      </c>
      <c r="E3875" t="n">
        <v>0.9516129032258064</v>
      </c>
      <c r="F3875" t="n">
        <v>0.975</v>
      </c>
      <c r="G3875" t="n">
        <v>0.6153846153846154</v>
      </c>
      <c r="H3875" t="n">
        <v>188</v>
      </c>
      <c r="I3875" t="inlineStr"/>
      <c r="J3875" t="inlineStr"/>
      <c r="K3875" t="inlineStr">
        <is>
          <t>Advanced</t>
        </is>
      </c>
      <c r="L3875" t="inlineStr"/>
      <c r="M3875" t="inlineStr">
        <is>
          <t>Kristin Haase-Alvey</t>
        </is>
      </c>
      <c r="N3875" t="n">
        <v>1</v>
      </c>
      <c r="O3875" t="n">
        <v>7.5</v>
      </c>
      <c r="P3875" t="n">
        <v>0.0608942307692307</v>
      </c>
    </row>
    <row r="3876">
      <c r="A3876" t="inlineStr">
        <is>
          <t>Parthav Elangovan</t>
        </is>
      </c>
      <c r="B3876" t="inlineStr">
        <is>
          <t>9/6/26 - 10/3/26</t>
        </is>
      </c>
      <c r="C3876" t="n">
        <v>1.1667</v>
      </c>
      <c r="D3876" t="n">
        <v>1.1914</v>
      </c>
      <c r="E3876" t="n">
        <v>0.9814814814814816</v>
      </c>
      <c r="F3876" t="n">
        <v>0.606</v>
      </c>
      <c r="G3876" t="n">
        <v>0</v>
      </c>
      <c r="H3876" t="n">
        <v>92</v>
      </c>
      <c r="I3876" t="inlineStr"/>
      <c r="J3876" t="n">
        <v>0.3333333333333333</v>
      </c>
      <c r="K3876" t="inlineStr">
        <is>
          <t>Advanced</t>
        </is>
      </c>
      <c r="L3876" t="inlineStr"/>
      <c r="M3876" t="inlineStr">
        <is>
          <t>Ian Plamondon</t>
        </is>
      </c>
      <c r="N3876" t="n">
        <v>1</v>
      </c>
      <c r="O3876" t="inlineStr"/>
      <c r="P3876" t="n">
        <v>0.1613404255319149</v>
      </c>
    </row>
    <row r="3877">
      <c r="A3877" t="inlineStr">
        <is>
          <t>Patricia Flores</t>
        </is>
      </c>
      <c r="B3877" t="inlineStr">
        <is>
          <t>9/6/26 - 10/3/26</t>
        </is>
      </c>
      <c r="C3877" t="n">
        <v>0.7188</v>
      </c>
      <c r="D3877" t="n">
        <v>1.1771</v>
      </c>
      <c r="E3877" t="n">
        <v>1</v>
      </c>
      <c r="F3877" t="n">
        <v>1</v>
      </c>
      <c r="G3877" t="n">
        <v>1</v>
      </c>
      <c r="H3877" t="n">
        <v>57</v>
      </c>
      <c r="I3877" t="inlineStr"/>
      <c r="J3877" t="inlineStr"/>
      <c r="K3877" t="inlineStr">
        <is>
          <t>Distinguished</t>
        </is>
      </c>
      <c r="L3877" t="inlineStr"/>
      <c r="M3877" t="inlineStr">
        <is>
          <t>Geoff St. Marie</t>
        </is>
      </c>
      <c r="N3877" t="n">
        <v>0.4850332594235033</v>
      </c>
      <c r="O3877" t="n">
        <v>10</v>
      </c>
      <c r="P3877" t="inlineStr"/>
    </row>
    <row r="3878">
      <c r="A3878" t="inlineStr">
        <is>
          <t>Peach Odita-Honnah</t>
        </is>
      </c>
      <c r="B3878" t="inlineStr">
        <is>
          <t>9/6/26 - 10/3/26</t>
        </is>
      </c>
      <c r="C3878" t="n">
        <v/>
      </c>
      <c r="D3878" t="n">
        <v/>
      </c>
      <c r="E3878" t="n">
        <v/>
      </c>
      <c r="F3878" t="n">
        <v/>
      </c>
      <c r="G3878" t="n">
        <v/>
      </c>
      <c r="H3878" t="n">
        <v>0</v>
      </c>
      <c r="I3878" t="inlineStr"/>
      <c r="J3878" t="inlineStr"/>
      <c r="K3878" t="inlineStr">
        <is>
          <t>Distinguished</t>
        </is>
      </c>
      <c r="L3878" t="inlineStr"/>
      <c r="M3878" t="inlineStr">
        <is>
          <t>Katherine Marino</t>
        </is>
      </c>
      <c r="N3878" t="inlineStr"/>
      <c r="O3878" t="inlineStr"/>
      <c r="P3878" t="inlineStr"/>
    </row>
    <row r="3879">
      <c r="A3879" t="inlineStr">
        <is>
          <t>Pearl Chen</t>
        </is>
      </c>
      <c r="B3879" t="inlineStr">
        <is>
          <t>9/6/26 - 10/3/26</t>
        </is>
      </c>
      <c r="C3879" t="n">
        <v/>
      </c>
      <c r="D3879" t="n">
        <v/>
      </c>
      <c r="E3879" t="n">
        <v/>
      </c>
      <c r="F3879" t="n">
        <v/>
      </c>
      <c r="G3879" t="n">
        <v/>
      </c>
      <c r="H3879" t="n">
        <v>0</v>
      </c>
      <c r="I3879" t="inlineStr"/>
      <c r="J3879" t="inlineStr"/>
      <c r="K3879" t="inlineStr">
        <is>
          <t>Distinguished</t>
        </is>
      </c>
      <c r="L3879" t="inlineStr"/>
      <c r="M3879" t="inlineStr">
        <is>
          <t>Nikki Pencak</t>
        </is>
      </c>
      <c r="N3879" t="inlineStr"/>
      <c r="O3879" t="inlineStr"/>
      <c r="P3879" t="inlineStr"/>
    </row>
    <row r="3880">
      <c r="A3880" t="inlineStr">
        <is>
          <t>Penny Russell</t>
        </is>
      </c>
      <c r="B3880" t="inlineStr">
        <is>
          <t>9/6/26 - 10/3/26</t>
        </is>
      </c>
      <c r="C3880" t="n">
        <v>0.9333</v>
      </c>
      <c r="D3880" t="n">
        <v>1.0395</v>
      </c>
      <c r="E3880" t="n">
        <v>0.9733333333333334</v>
      </c>
      <c r="F3880" t="n">
        <v>0.973</v>
      </c>
      <c r="G3880" t="n">
        <v>0.5</v>
      </c>
      <c r="H3880" t="n">
        <v>136</v>
      </c>
      <c r="I3880" t="inlineStr"/>
      <c r="J3880" t="n">
        <v>0</v>
      </c>
      <c r="K3880" t="inlineStr">
        <is>
          <t>Distinguished</t>
        </is>
      </c>
      <c r="L3880" t="inlineStr"/>
      <c r="M3880" t="inlineStr">
        <is>
          <t>Ian Plamondon</t>
        </is>
      </c>
      <c r="N3880" t="n">
        <v>0.9761363636363636</v>
      </c>
      <c r="O3880" t="n">
        <v>3.5</v>
      </c>
      <c r="P3880" t="n">
        <v>0.03125</v>
      </c>
    </row>
    <row r="3881">
      <c r="A3881" t="inlineStr">
        <is>
          <t>Philip Thomas</t>
        </is>
      </c>
      <c r="B3881" t="inlineStr">
        <is>
          <t>9/6/26 - 10/3/26</t>
        </is>
      </c>
      <c r="C3881" t="n">
        <v>0.7792</v>
      </c>
      <c r="D3881" t="n">
        <v>1.1349</v>
      </c>
      <c r="E3881" t="n">
        <v>0.5617977528089888</v>
      </c>
      <c r="F3881" t="n">
        <v>0.467</v>
      </c>
      <c r="G3881" t="n">
        <v>0.0285714285714285</v>
      </c>
      <c r="H3881" t="n">
        <v>50</v>
      </c>
      <c r="I3881" t="inlineStr"/>
      <c r="J3881" t="inlineStr"/>
      <c r="K3881" t="inlineStr">
        <is>
          <t>Premium</t>
        </is>
      </c>
      <c r="L3881" t="inlineStr"/>
      <c r="M3881" t="inlineStr">
        <is>
          <t>Annelies de Groot</t>
        </is>
      </c>
      <c r="N3881" t="n">
        <v>0.90625</v>
      </c>
      <c r="O3881" t="inlineStr"/>
      <c r="P3881" t="inlineStr"/>
    </row>
    <row r="3882">
      <c r="A3882" t="inlineStr">
        <is>
          <t>Preston Peoples</t>
        </is>
      </c>
      <c r="B3882" t="inlineStr">
        <is>
          <t>9/6/26 - 10/3/26</t>
        </is>
      </c>
      <c r="C3882" t="n">
        <v>0.9083</v>
      </c>
      <c r="D3882" t="n">
        <v>0.9737</v>
      </c>
      <c r="E3882" t="n">
        <v>0.9326923076923076</v>
      </c>
      <c r="F3882" t="n">
        <v>0.957</v>
      </c>
      <c r="G3882" t="n">
        <v>0.6666666666666666</v>
      </c>
      <c r="H3882" t="n">
        <v>188</v>
      </c>
      <c r="I3882" t="inlineStr"/>
      <c r="J3882" t="n">
        <v>0.25</v>
      </c>
      <c r="K3882" t="inlineStr">
        <is>
          <t>Distinguished</t>
        </is>
      </c>
      <c r="L3882" t="inlineStr"/>
      <c r="M3882" t="inlineStr">
        <is>
          <t>Annelies de Groot</t>
        </is>
      </c>
      <c r="N3882" t="n">
        <v>0.986842105263158</v>
      </c>
      <c r="O3882" t="n">
        <v>7.533333333333333</v>
      </c>
      <c r="P3882" t="n">
        <v>0.1717171717171717</v>
      </c>
    </row>
    <row r="3883">
      <c r="A3883" t="inlineStr">
        <is>
          <t>Q. Monét Travis</t>
        </is>
      </c>
      <c r="B3883" t="inlineStr">
        <is>
          <t>9/6/26 - 10/3/26</t>
        </is>
      </c>
      <c r="C3883" t="n">
        <v>1.5625</v>
      </c>
      <c r="D3883" t="n">
        <v>1.5195</v>
      </c>
      <c r="E3883" t="n">
        <v>0.9866666666666668</v>
      </c>
      <c r="F3883" t="n">
        <v>0.887</v>
      </c>
      <c r="G3883" t="n">
        <v>1</v>
      </c>
      <c r="H3883" t="n">
        <v>227</v>
      </c>
      <c r="I3883" t="inlineStr"/>
      <c r="J3883" t="n">
        <v>1</v>
      </c>
      <c r="K3883" t="inlineStr">
        <is>
          <t>Distinguished</t>
        </is>
      </c>
      <c r="L3883" t="inlineStr"/>
      <c r="M3883" t="inlineStr">
        <is>
          <t>Kristin Haase-Alvey</t>
        </is>
      </c>
      <c r="N3883" t="n">
        <v>0.9256410256410256</v>
      </c>
      <c r="O3883" t="n">
        <v>7</v>
      </c>
      <c r="P3883" t="inlineStr"/>
    </row>
    <row r="3884">
      <c r="A3884" t="inlineStr">
        <is>
          <t>Quaid Strickland</t>
        </is>
      </c>
      <c r="B3884" t="inlineStr">
        <is>
          <t>9/6/26 - 10/3/26</t>
        </is>
      </c>
      <c r="C3884" t="n">
        <v>0.9429</v>
      </c>
      <c r="D3884" t="n">
        <v>1.0799</v>
      </c>
      <c r="E3884" t="n">
        <v>0.9924242424242424</v>
      </c>
      <c r="F3884" t="n">
        <v>0.989</v>
      </c>
      <c r="G3884" t="n">
        <v>0.4</v>
      </c>
      <c r="H3884" t="n">
        <v>108</v>
      </c>
      <c r="I3884" t="inlineStr"/>
      <c r="J3884" t="n">
        <v>0.8181818181818182</v>
      </c>
      <c r="K3884" t="inlineStr">
        <is>
          <t>Distinguished</t>
        </is>
      </c>
      <c r="L3884" t="inlineStr"/>
      <c r="M3884" t="inlineStr">
        <is>
          <t>Geoff St. Marie</t>
        </is>
      </c>
      <c r="N3884" t="n">
        <v>0.99</v>
      </c>
      <c r="O3884" t="n">
        <v>5.666666666666667</v>
      </c>
      <c r="P3884" t="n">
        <v>0.1393442622950819</v>
      </c>
    </row>
    <row r="3885">
      <c r="A3885" t="inlineStr">
        <is>
          <t>Rachael Tyler</t>
        </is>
      </c>
      <c r="B3885" t="inlineStr">
        <is>
          <t>9/6/26 - 10/3/26</t>
        </is>
      </c>
      <c r="C3885" t="n">
        <v/>
      </c>
      <c r="D3885" t="n">
        <v/>
      </c>
      <c r="E3885" t="n">
        <v/>
      </c>
      <c r="F3885" t="n">
        <v/>
      </c>
      <c r="G3885" t="n">
        <v/>
      </c>
      <c r="H3885" t="n">
        <v>0</v>
      </c>
      <c r="I3885" t="inlineStr"/>
      <c r="J3885" t="inlineStr"/>
      <c r="K3885" t="inlineStr">
        <is>
          <t>Distinguished</t>
        </is>
      </c>
      <c r="L3885" t="inlineStr"/>
      <c r="M3885" t="inlineStr">
        <is>
          <t>Nikki Pencak</t>
        </is>
      </c>
      <c r="N3885" t="inlineStr"/>
      <c r="O3885" t="inlineStr"/>
      <c r="P3885" t="inlineStr"/>
    </row>
    <row r="3886">
      <c r="A3886" t="inlineStr">
        <is>
          <t>Raeann Kalinowski</t>
        </is>
      </c>
      <c r="B3886" t="inlineStr">
        <is>
          <t>9/6/26 - 10/3/26</t>
        </is>
      </c>
      <c r="C3886" t="n">
        <v>1.5</v>
      </c>
      <c r="D3886" t="n">
        <v>1.6367</v>
      </c>
      <c r="E3886" t="n">
        <v>0.9859154929577464</v>
      </c>
      <c r="F3886" t="n">
        <v>0.784</v>
      </c>
      <c r="G3886" t="n">
        <v>0.5</v>
      </c>
      <c r="H3886" t="n">
        <v>36</v>
      </c>
      <c r="I3886" t="inlineStr"/>
      <c r="J3886" t="n">
        <v>0.7857142857142857</v>
      </c>
      <c r="K3886" t="inlineStr">
        <is>
          <t>Distinguished</t>
        </is>
      </c>
      <c r="L3886" t="inlineStr"/>
      <c r="M3886" t="inlineStr">
        <is>
          <t>Annelies de Groot</t>
        </is>
      </c>
      <c r="N3886" t="n">
        <v>1</v>
      </c>
      <c r="O3886" t="inlineStr"/>
      <c r="P3886" t="n">
        <v>0.2354396825396825</v>
      </c>
    </row>
    <row r="3887">
      <c r="A3887" t="inlineStr">
        <is>
          <t>Rafi Overton</t>
        </is>
      </c>
      <c r="B3887" t="inlineStr">
        <is>
          <t>9/6/26 - 10/3/26</t>
        </is>
      </c>
      <c r="C3887" t="n">
        <v>0.9667</v>
      </c>
      <c r="D3887" t="n">
        <v>0.9901</v>
      </c>
      <c r="E3887" t="n">
        <v>0.8482142857142857</v>
      </c>
      <c r="F3887" t="n">
        <v>0.872</v>
      </c>
      <c r="G3887" t="n">
        <v>0.6086956521739131</v>
      </c>
      <c r="H3887" t="n">
        <v>200</v>
      </c>
      <c r="I3887" t="inlineStr"/>
      <c r="J3887" t="n">
        <v>0</v>
      </c>
      <c r="K3887" t="inlineStr">
        <is>
          <t>Distinguished</t>
        </is>
      </c>
      <c r="L3887" t="inlineStr"/>
      <c r="M3887" t="inlineStr">
        <is>
          <t>Geoff St. Marie</t>
        </is>
      </c>
      <c r="N3887" t="n">
        <v>0.7603076318246597</v>
      </c>
      <c r="O3887" t="n">
        <v>6.75</v>
      </c>
      <c r="P3887" t="n">
        <v>0.009900990099009899</v>
      </c>
    </row>
    <row r="3888">
      <c r="A3888" t="inlineStr">
        <is>
          <t>Rain Real</t>
        </is>
      </c>
      <c r="B3888" t="inlineStr">
        <is>
          <t>9/6/26 - 10/3/26</t>
        </is>
      </c>
      <c r="C3888" t="n">
        <v>0.7583</v>
      </c>
      <c r="D3888" t="n">
        <v>1.1349</v>
      </c>
      <c r="E3888" t="n">
        <v>1</v>
      </c>
      <c r="F3888" t="n">
        <v>1</v>
      </c>
      <c r="G3888" t="n">
        <v>0.55</v>
      </c>
      <c r="H3888" t="n">
        <v>174</v>
      </c>
      <c r="I3888" t="inlineStr"/>
      <c r="J3888" t="n">
        <v>1</v>
      </c>
      <c r="K3888" t="inlineStr">
        <is>
          <t>Distinguished</t>
        </is>
      </c>
      <c r="L3888" t="inlineStr"/>
      <c r="M3888" t="inlineStr">
        <is>
          <t>Annelies de Groot</t>
        </is>
      </c>
      <c r="N3888" t="n">
        <v>0.984375</v>
      </c>
      <c r="O3888" t="n">
        <v>8.25</v>
      </c>
      <c r="P3888" t="n">
        <v>0.0926865168539325</v>
      </c>
    </row>
    <row r="3889">
      <c r="A3889" t="inlineStr">
        <is>
          <t>Ralph Strope</t>
        </is>
      </c>
      <c r="B3889" t="inlineStr">
        <is>
          <t>9/6/26 - 10/3/26</t>
        </is>
      </c>
      <c r="C3889" t="n">
        <v>0.975</v>
      </c>
      <c r="D3889" t="n">
        <v>0.9479</v>
      </c>
      <c r="E3889" t="n">
        <v>1</v>
      </c>
      <c r="F3889" t="n">
        <v>0.922</v>
      </c>
      <c r="G3889" t="n">
        <v>0.8333333333333334</v>
      </c>
      <c r="H3889" t="n">
        <v>220</v>
      </c>
      <c r="I3889" t="inlineStr"/>
      <c r="J3889" t="n">
        <v>0</v>
      </c>
      <c r="K3889" t="inlineStr">
        <is>
          <t>Distinguished</t>
        </is>
      </c>
      <c r="L3889" t="inlineStr"/>
      <c r="M3889" t="inlineStr">
        <is>
          <t>Annelies de Groot</t>
        </is>
      </c>
      <c r="N3889" t="n">
        <v>1</v>
      </c>
      <c r="O3889" t="inlineStr"/>
      <c r="P3889" t="n">
        <v>0.0422535211267605</v>
      </c>
    </row>
    <row r="3890">
      <c r="A3890" t="inlineStr">
        <is>
          <t>Raymond Elliot</t>
        </is>
      </c>
      <c r="B3890" t="inlineStr">
        <is>
          <t>9/6/26 - 10/3/26</t>
        </is>
      </c>
      <c r="C3890" t="n">
        <v>0.8875</v>
      </c>
      <c r="D3890" t="n">
        <v>0.9583</v>
      </c>
      <c r="E3890" t="n">
        <v>1</v>
      </c>
      <c r="F3890" t="n">
        <v>1</v>
      </c>
      <c r="G3890" t="n">
        <v>0.8947368421052632</v>
      </c>
      <c r="H3890" t="n">
        <v>264</v>
      </c>
      <c r="I3890" t="inlineStr"/>
      <c r="J3890" t="n">
        <v>0.6666666666666666</v>
      </c>
      <c r="K3890" t="inlineStr">
        <is>
          <t>Distinguished</t>
        </is>
      </c>
      <c r="L3890" t="inlineStr"/>
      <c r="M3890" t="inlineStr">
        <is>
          <t>Kristin Haase-Alvey</t>
        </is>
      </c>
      <c r="N3890" t="n">
        <v>0.881439393939394</v>
      </c>
      <c r="O3890" t="n">
        <v>6.25</v>
      </c>
      <c r="P3890" t="inlineStr"/>
    </row>
    <row r="3891">
      <c r="A3891" t="inlineStr">
        <is>
          <t>Raymond Serrano</t>
        </is>
      </c>
      <c r="B3891" t="inlineStr">
        <is>
          <t>9/6/26 - 10/3/26</t>
        </is>
      </c>
      <c r="C3891" t="n">
        <v>0.8833</v>
      </c>
      <c r="D3891" t="n">
        <v>0.9079</v>
      </c>
      <c r="E3891" t="n">
        <v>1</v>
      </c>
      <c r="F3891" t="n">
        <v>1</v>
      </c>
      <c r="G3891" t="n">
        <v>1</v>
      </c>
      <c r="H3891" t="n">
        <v>342</v>
      </c>
      <c r="I3891" t="inlineStr"/>
      <c r="J3891" t="n">
        <v>1</v>
      </c>
      <c r="K3891" t="inlineStr">
        <is>
          <t>Distinguished</t>
        </is>
      </c>
      <c r="L3891" t="inlineStr"/>
      <c r="M3891" t="inlineStr">
        <is>
          <t>Kristin Haase-Alvey</t>
        </is>
      </c>
      <c r="N3891" t="n">
        <v>1</v>
      </c>
      <c r="O3891" t="n">
        <v>9.6</v>
      </c>
      <c r="P3891" t="n">
        <v>0.2109586206896551</v>
      </c>
    </row>
    <row r="3892">
      <c r="A3892" t="inlineStr">
        <is>
          <t>Rebekah Nachian</t>
        </is>
      </c>
      <c r="B3892" t="inlineStr">
        <is>
          <t>9/6/26 - 10/3/26</t>
        </is>
      </c>
      <c r="C3892" t="n">
        <v>1.05</v>
      </c>
      <c r="D3892" t="n">
        <v>1.5495</v>
      </c>
      <c r="E3892" t="n">
        <v>0.9871794871794872</v>
      </c>
      <c r="F3892" t="n">
        <v>1</v>
      </c>
      <c r="G3892" t="n">
        <v>0.8888888888888888</v>
      </c>
      <c r="H3892" t="n">
        <v>172</v>
      </c>
      <c r="I3892" t="inlineStr"/>
      <c r="J3892" t="n">
        <v>0.8333333333333334</v>
      </c>
      <c r="K3892" t="inlineStr">
        <is>
          <t>Distinguished</t>
        </is>
      </c>
      <c r="L3892" t="inlineStr"/>
      <c r="M3892" t="inlineStr">
        <is>
          <t>Annelies de Groot</t>
        </is>
      </c>
      <c r="N3892" t="n">
        <v>0.925</v>
      </c>
      <c r="O3892" t="n">
        <v>7.458333333333334</v>
      </c>
      <c r="P3892" t="n">
        <v>0.2050407894736842</v>
      </c>
    </row>
    <row r="3893">
      <c r="A3893" t="inlineStr">
        <is>
          <t>Rehan Zaib</t>
        </is>
      </c>
      <c r="B3893" t="inlineStr">
        <is>
          <t>9/6/26 - 10/3/26</t>
        </is>
      </c>
      <c r="C3893" t="n">
        <v>1.025</v>
      </c>
      <c r="D3893" t="n">
        <v>1.1332</v>
      </c>
      <c r="E3893" t="n">
        <v>0.9508196721311476</v>
      </c>
      <c r="F3893" t="n">
        <v>0.965</v>
      </c>
      <c r="G3893" t="n">
        <v>0.8076923076923077</v>
      </c>
      <c r="H3893" t="n">
        <v>252</v>
      </c>
      <c r="I3893" t="inlineStr"/>
      <c r="J3893" t="n">
        <v>0.6666666666666666</v>
      </c>
      <c r="K3893" t="inlineStr">
        <is>
          <t>Distinguished</t>
        </is>
      </c>
      <c r="L3893" t="inlineStr"/>
      <c r="M3893" t="inlineStr">
        <is>
          <t>Kristin Haase-Alvey</t>
        </is>
      </c>
      <c r="N3893" t="n">
        <v>0.8834415584415585</v>
      </c>
      <c r="O3893" t="inlineStr"/>
      <c r="P3893" t="n">
        <v>0.1101694915254237</v>
      </c>
    </row>
    <row r="3894">
      <c r="A3894" t="inlineStr">
        <is>
          <t>Richard Kralik</t>
        </is>
      </c>
      <c r="B3894" t="inlineStr">
        <is>
          <t>9/6/26 - 10/3/26</t>
        </is>
      </c>
      <c r="C3894" t="n">
        <v>0.9286</v>
      </c>
      <c r="D3894" t="n">
        <v>1.0334</v>
      </c>
      <c r="E3894" t="n">
        <v>1</v>
      </c>
      <c r="F3894" t="n">
        <v>0.957</v>
      </c>
      <c r="G3894" t="n">
        <v>0.8461538461538461</v>
      </c>
      <c r="H3894" t="n">
        <v>401</v>
      </c>
      <c r="I3894" t="inlineStr"/>
      <c r="J3894" t="n">
        <v>0</v>
      </c>
      <c r="K3894" t="inlineStr">
        <is>
          <t>Distinguished</t>
        </is>
      </c>
      <c r="L3894" t="inlineStr"/>
      <c r="M3894" t="inlineStr">
        <is>
          <t>Geoff St. Marie</t>
        </is>
      </c>
      <c r="N3894" t="n">
        <v>0.9782608695652174</v>
      </c>
      <c r="O3894" t="n">
        <v>5</v>
      </c>
      <c r="P3894" t="n">
        <v>0.0079365079365079</v>
      </c>
    </row>
    <row r="3895">
      <c r="A3895" t="inlineStr">
        <is>
          <t>Ries Scerbin</t>
        </is>
      </c>
      <c r="B3895" t="inlineStr">
        <is>
          <t>9/6/26 - 10/3/26</t>
        </is>
      </c>
      <c r="C3895" t="n">
        <v>1.2708</v>
      </c>
      <c r="D3895" t="n">
        <v>1.2891</v>
      </c>
      <c r="E3895" t="n">
        <v>0.8596491228070176</v>
      </c>
      <c r="F3895" t="n">
        <v>1</v>
      </c>
      <c r="G3895" t="n">
        <v>0.7777777777777778</v>
      </c>
      <c r="H3895" t="n">
        <v>156</v>
      </c>
      <c r="I3895" t="inlineStr"/>
      <c r="J3895" t="n">
        <v>0.6</v>
      </c>
      <c r="K3895" t="inlineStr">
        <is>
          <t>Distinguished</t>
        </is>
      </c>
      <c r="L3895" t="inlineStr"/>
      <c r="M3895" t="inlineStr">
        <is>
          <t>Annelies de Groot</t>
        </is>
      </c>
      <c r="N3895" t="n">
        <v>1</v>
      </c>
      <c r="O3895" t="inlineStr"/>
      <c r="P3895" t="n">
        <v>0.1855339622641509</v>
      </c>
    </row>
    <row r="3896">
      <c r="A3896" t="inlineStr">
        <is>
          <t>River Nunez</t>
        </is>
      </c>
      <c r="B3896" t="inlineStr">
        <is>
          <t>9/6/26 - 10/3/26</t>
        </is>
      </c>
      <c r="C3896" t="n">
        <v>1.0542</v>
      </c>
      <c r="D3896" t="n">
        <v>1.0493</v>
      </c>
      <c r="E3896" t="n">
        <v>0.9590163934426228</v>
      </c>
      <c r="F3896" t="n">
        <v>1</v>
      </c>
      <c r="G3896" t="n">
        <v>0.8214285714285714</v>
      </c>
      <c r="H3896" t="n">
        <v>98</v>
      </c>
      <c r="I3896" t="inlineStr"/>
      <c r="J3896" t="n">
        <v>0.7777777777777778</v>
      </c>
      <c r="K3896" t="inlineStr">
        <is>
          <t>Distinguished</t>
        </is>
      </c>
      <c r="L3896" t="inlineStr"/>
      <c r="M3896" t="inlineStr">
        <is>
          <t>Annelies de Groot</t>
        </is>
      </c>
      <c r="N3896" t="n">
        <v>0.9852941176470588</v>
      </c>
      <c r="O3896" t="n">
        <v>9.833333333333334</v>
      </c>
      <c r="P3896" t="n">
        <v>0.0948142222222222</v>
      </c>
    </row>
    <row r="3897">
      <c r="A3897" t="inlineStr">
        <is>
          <t>Robert Nantze</t>
        </is>
      </c>
      <c r="B3897" t="inlineStr">
        <is>
          <t>9/6/26 - 10/3/26</t>
        </is>
      </c>
      <c r="C3897" t="n">
        <v>0.7333</v>
      </c>
      <c r="D3897" t="n">
        <v>1.0164</v>
      </c>
      <c r="E3897" t="n">
        <v>1</v>
      </c>
      <c r="F3897" t="n">
        <v>0.984</v>
      </c>
      <c r="G3897" t="n">
        <v>0.9166666666666666</v>
      </c>
      <c r="H3897" t="n">
        <v>192</v>
      </c>
      <c r="I3897" t="inlineStr"/>
      <c r="J3897" t="n">
        <v>0.1666666666666667</v>
      </c>
      <c r="K3897" t="inlineStr">
        <is>
          <t>Distinguished</t>
        </is>
      </c>
      <c r="L3897" t="inlineStr"/>
      <c r="M3897" t="inlineStr">
        <is>
          <t>Kristin Haase-Alvey</t>
        </is>
      </c>
      <c r="N3897" t="n">
        <v>0.9333333333333332</v>
      </c>
      <c r="O3897" t="n">
        <v>5.75</v>
      </c>
      <c r="P3897" t="n">
        <v>0.0284536585365853</v>
      </c>
    </row>
    <row r="3898">
      <c r="A3898" t="inlineStr">
        <is>
          <t>Ruben Dorador</t>
        </is>
      </c>
      <c r="B3898" t="inlineStr">
        <is>
          <t>9/6/26 - 10/3/26</t>
        </is>
      </c>
      <c r="C3898" t="n">
        <v>0.2024</v>
      </c>
      <c r="D3898" t="n">
        <v>1.3256</v>
      </c>
      <c r="E3898" t="n">
        <v>0.9615384615384616</v>
      </c>
      <c r="F3898" t="n">
        <v>0.905</v>
      </c>
      <c r="G3898" t="n">
        <v>0.9166666666666666</v>
      </c>
      <c r="H3898" t="n">
        <v>68</v>
      </c>
      <c r="I3898" t="inlineStr"/>
      <c r="J3898" t="inlineStr"/>
      <c r="K3898" t="inlineStr">
        <is>
          <t>Distinguished</t>
        </is>
      </c>
      <c r="L3898" t="inlineStr"/>
      <c r="M3898" t="inlineStr">
        <is>
          <t>Geoff St. Marie</t>
        </is>
      </c>
      <c r="N3898" t="n">
        <v>0.9583333333333334</v>
      </c>
      <c r="O3898" t="n">
        <v>8.75</v>
      </c>
      <c r="P3898" t="n">
        <v>0.2123263182552304</v>
      </c>
    </row>
    <row r="3899">
      <c r="A3899" t="inlineStr">
        <is>
          <t>Samantha Wetz</t>
        </is>
      </c>
      <c r="B3899" t="inlineStr">
        <is>
          <t>9/6/26 - 10/3/26</t>
        </is>
      </c>
      <c r="C3899" t="n">
        <v>1.0893</v>
      </c>
      <c r="D3899" t="n">
        <v>1.1744</v>
      </c>
      <c r="E3899" t="n">
        <v>1</v>
      </c>
      <c r="F3899" t="n">
        <v>0.742</v>
      </c>
      <c r="G3899" t="n">
        <v>0.7435897435897436</v>
      </c>
      <c r="H3899" t="n">
        <v>123</v>
      </c>
      <c r="I3899" t="inlineStr"/>
      <c r="J3899" t="n">
        <v>0</v>
      </c>
      <c r="K3899" t="inlineStr">
        <is>
          <t>Premium</t>
        </is>
      </c>
      <c r="L3899" t="inlineStr"/>
      <c r="M3899" t="inlineStr">
        <is>
          <t>Ian Plamondon</t>
        </is>
      </c>
      <c r="N3899" t="n">
        <v>0.9399999999999999</v>
      </c>
      <c r="O3899" t="n">
        <v>8.007936507936508</v>
      </c>
      <c r="P3899" t="n">
        <v>0.0424028268551236</v>
      </c>
    </row>
    <row r="3900">
      <c r="A3900" t="inlineStr">
        <is>
          <t>Sara Vanderwood</t>
        </is>
      </c>
      <c r="B3900" t="inlineStr">
        <is>
          <t>9/6/26 - 10/3/26</t>
        </is>
      </c>
      <c r="C3900" t="n">
        <v>1.0036</v>
      </c>
      <c r="D3900" t="n">
        <v>1.1221</v>
      </c>
      <c r="E3900" t="n">
        <v>0.9852941176470588</v>
      </c>
      <c r="F3900" t="n">
        <v>0.979</v>
      </c>
      <c r="G3900" t="n">
        <v>0.8333333333333334</v>
      </c>
      <c r="H3900" t="n">
        <v>105</v>
      </c>
      <c r="I3900" t="inlineStr"/>
      <c r="J3900" t="n">
        <v>0.5714285714285714</v>
      </c>
      <c r="K3900" t="inlineStr">
        <is>
          <t>Distinguished</t>
        </is>
      </c>
      <c r="L3900" t="inlineStr"/>
      <c r="M3900" t="inlineStr">
        <is>
          <t>Kristin Haase-Alvey</t>
        </is>
      </c>
      <c r="N3900" t="n">
        <v>1</v>
      </c>
      <c r="O3900" t="n">
        <v>7.166666666666666</v>
      </c>
      <c r="P3900" t="n">
        <v>0.0980482490272373</v>
      </c>
    </row>
    <row r="3901">
      <c r="A3901" t="inlineStr">
        <is>
          <t>Sarah Goodstein</t>
        </is>
      </c>
      <c r="B3901" t="inlineStr">
        <is>
          <t>9/6/26 - 10/3/26</t>
        </is>
      </c>
      <c r="C3901" t="n">
        <v>0.9417</v>
      </c>
      <c r="D3901" t="n">
        <v>0.8914</v>
      </c>
      <c r="E3901" t="n">
        <v>0.9821428571428572</v>
      </c>
      <c r="F3901" t="n">
        <v>0.978</v>
      </c>
      <c r="G3901" t="n">
        <v>0.8095238095238095</v>
      </c>
      <c r="H3901" t="n">
        <v>276</v>
      </c>
      <c r="I3901" t="inlineStr"/>
      <c r="J3901" t="n">
        <v>0</v>
      </c>
      <c r="K3901" t="inlineStr">
        <is>
          <t>Distinguished</t>
        </is>
      </c>
      <c r="L3901" t="inlineStr"/>
      <c r="M3901" t="inlineStr">
        <is>
          <t>Kristin Haase-Alvey</t>
        </is>
      </c>
      <c r="N3901" t="n">
        <v>0.9736842105263158</v>
      </c>
      <c r="O3901" t="n">
        <v>7.4</v>
      </c>
      <c r="P3901" t="n">
        <v>0.0731132075471698</v>
      </c>
    </row>
    <row r="3902">
      <c r="A3902" t="inlineStr">
        <is>
          <t>Savannah Padgett</t>
        </is>
      </c>
      <c r="B3902" t="inlineStr">
        <is>
          <t>9/6/26 - 10/3/26</t>
        </is>
      </c>
      <c r="C3902" t="n">
        <v>0.9857</v>
      </c>
      <c r="D3902" t="n">
        <v>0.9041</v>
      </c>
      <c r="E3902" t="n">
        <v>1</v>
      </c>
      <c r="F3902" t="n">
        <v>0.989</v>
      </c>
      <c r="G3902" t="n">
        <v>1</v>
      </c>
      <c r="H3902" t="n">
        <v>269</v>
      </c>
      <c r="I3902" t="inlineStr"/>
      <c r="J3902" t="n">
        <v>0.8333333333333334</v>
      </c>
      <c r="K3902" t="inlineStr">
        <is>
          <t>Distinguished</t>
        </is>
      </c>
      <c r="L3902" t="inlineStr"/>
      <c r="M3902" t="inlineStr">
        <is>
          <t>Kristin Haase-Alvey</t>
        </is>
      </c>
      <c r="N3902" t="n">
        <v>1</v>
      </c>
      <c r="O3902" t="n">
        <v>8.495833333333334</v>
      </c>
      <c r="P3902" t="n">
        <v>0.1167968503937007</v>
      </c>
    </row>
    <row r="3903">
      <c r="A3903" t="inlineStr">
        <is>
          <t>Scott Boyd</t>
        </is>
      </c>
      <c r="B3903" t="inlineStr">
        <is>
          <t>9/6/26 - 10/3/26</t>
        </is>
      </c>
      <c r="C3903" t="n">
        <v>1.0833</v>
      </c>
      <c r="D3903" t="n">
        <v>1.2305</v>
      </c>
      <c r="E3903" t="n">
        <v>1</v>
      </c>
      <c r="F3903" t="n">
        <v>1</v>
      </c>
      <c r="G3903" t="n">
        <v>0.5454545454545454</v>
      </c>
      <c r="H3903" t="n">
        <v>48</v>
      </c>
      <c r="I3903" t="inlineStr"/>
      <c r="J3903" t="n">
        <v>0</v>
      </c>
      <c r="K3903" t="inlineStr">
        <is>
          <t>Premium</t>
        </is>
      </c>
      <c r="L3903" t="inlineStr"/>
      <c r="M3903" t="inlineStr">
        <is>
          <t>Geoff St. Marie</t>
        </is>
      </c>
      <c r="N3903" t="n">
        <v>1</v>
      </c>
      <c r="O3903" t="n">
        <v>1.625</v>
      </c>
      <c r="P3903" t="n">
        <v>0.0972166666666666</v>
      </c>
    </row>
    <row r="3904">
      <c r="A3904" t="inlineStr">
        <is>
          <t>Shannon Huang</t>
        </is>
      </c>
      <c r="B3904" t="inlineStr">
        <is>
          <t>9/6/26 - 10/3/26</t>
        </is>
      </c>
      <c r="C3904" t="n">
        <v>0.875</v>
      </c>
      <c r="D3904" t="n">
        <v>0.9786</v>
      </c>
      <c r="E3904" t="n">
        <v>0.989247311827957</v>
      </c>
      <c r="F3904" t="n">
        <v>0.705</v>
      </c>
      <c r="G3904" t="n">
        <v>0.7096774193548387</v>
      </c>
      <c r="H3904" t="n">
        <v>376</v>
      </c>
      <c r="I3904" t="inlineStr"/>
      <c r="J3904" t="inlineStr"/>
      <c r="K3904" t="inlineStr">
        <is>
          <t>Distinguished</t>
        </is>
      </c>
      <c r="L3904" t="inlineStr"/>
      <c r="M3904" t="inlineStr">
        <is>
          <t>Annelies de Groot</t>
        </is>
      </c>
      <c r="N3904" t="n">
        <v>0.9807692307692308</v>
      </c>
      <c r="O3904" t="n">
        <v>5.666666666666667</v>
      </c>
      <c r="P3904" t="n">
        <v>0.1241459183673469</v>
      </c>
    </row>
    <row r="3905">
      <c r="A3905" t="inlineStr">
        <is>
          <t>Sharon Vincuilla</t>
        </is>
      </c>
      <c r="B3905" t="inlineStr">
        <is>
          <t>9/6/26 - 10/3/26</t>
        </is>
      </c>
      <c r="C3905" t="n">
        <v>1.0208</v>
      </c>
      <c r="D3905" t="n">
        <v>1.2969</v>
      </c>
      <c r="E3905" t="n">
        <v>1</v>
      </c>
      <c r="F3905" t="n">
        <v>1</v>
      </c>
      <c r="G3905" t="n">
        <v>1</v>
      </c>
      <c r="H3905" t="n">
        <v>100</v>
      </c>
      <c r="I3905" t="inlineStr"/>
      <c r="J3905" t="n">
        <v>0.5</v>
      </c>
      <c r="K3905" t="inlineStr">
        <is>
          <t>Distinguished</t>
        </is>
      </c>
      <c r="L3905" t="inlineStr"/>
      <c r="M3905" t="inlineStr">
        <is>
          <t>Annelies de Groot</t>
        </is>
      </c>
      <c r="N3905" t="n">
        <v>1</v>
      </c>
      <c r="O3905" t="n">
        <v>7.333333333333333</v>
      </c>
      <c r="P3905" t="n">
        <v>0.311695744680851</v>
      </c>
    </row>
    <row r="3906">
      <c r="A3906" t="inlineStr">
        <is>
          <t>Shaun Leonard</t>
        </is>
      </c>
      <c r="B3906" t="inlineStr">
        <is>
          <t>9/6/26 - 10/3/26</t>
        </is>
      </c>
      <c r="C3906" t="n">
        <v>0.9792</v>
      </c>
      <c r="D3906" t="n">
        <v>1.1641</v>
      </c>
      <c r="E3906" t="n">
        <v>0.9782608695652174</v>
      </c>
      <c r="F3906" t="n">
        <v>0.971</v>
      </c>
      <c r="G3906" t="n">
        <v>0.6</v>
      </c>
      <c r="H3906" t="n">
        <v>108</v>
      </c>
      <c r="I3906" t="inlineStr"/>
      <c r="J3906" t="n">
        <v>0.6666666666666666</v>
      </c>
      <c r="K3906" t="inlineStr">
        <is>
          <t>Distinguished</t>
        </is>
      </c>
      <c r="L3906" t="inlineStr"/>
      <c r="M3906" t="inlineStr">
        <is>
          <t>Kristin Haase-Alvey</t>
        </is>
      </c>
      <c r="N3906" t="n">
        <v>1</v>
      </c>
      <c r="O3906" t="n">
        <v>5.666666666666667</v>
      </c>
      <c r="P3906" t="n">
        <v>0.1398436781609195</v>
      </c>
    </row>
    <row r="3907">
      <c r="A3907" t="inlineStr">
        <is>
          <t>Shawn Kane</t>
        </is>
      </c>
      <c r="B3907" t="inlineStr">
        <is>
          <t>9/6/26 - 10/3/26</t>
        </is>
      </c>
      <c r="C3907" t="n">
        <v>1.0938</v>
      </c>
      <c r="D3907" t="n">
        <v>1.1094</v>
      </c>
      <c r="E3907" t="n">
        <v>0.975</v>
      </c>
      <c r="F3907" t="n">
        <v>0.393</v>
      </c>
      <c r="G3907" t="n">
        <v>0.0909090909090909</v>
      </c>
      <c r="H3907" t="n">
        <v>44</v>
      </c>
      <c r="I3907" t="inlineStr"/>
      <c r="J3907" t="inlineStr"/>
      <c r="K3907" t="inlineStr">
        <is>
          <t>Premium</t>
        </is>
      </c>
      <c r="L3907" t="inlineStr"/>
      <c r="M3907" t="inlineStr">
        <is>
          <t>Ela Cross</t>
        </is>
      </c>
      <c r="N3907" t="n">
        <v>0.5833333333333334</v>
      </c>
      <c r="O3907" t="inlineStr"/>
      <c r="P3907" t="n">
        <v>0.1010080808080808</v>
      </c>
    </row>
    <row r="3908">
      <c r="A3908" t="inlineStr">
        <is>
          <t>Silvester Harrison</t>
        </is>
      </c>
      <c r="B3908" t="inlineStr">
        <is>
          <t>9/6/26 - 10/3/26</t>
        </is>
      </c>
      <c r="C3908" t="n">
        <v>0.9214</v>
      </c>
      <c r="D3908" t="n">
        <v>1.048</v>
      </c>
      <c r="E3908" t="n">
        <v>0.9921259842519684</v>
      </c>
      <c r="F3908" t="n">
        <v>0.9370000000000001</v>
      </c>
      <c r="G3908" t="n">
        <v>0.90625</v>
      </c>
      <c r="H3908" t="n">
        <v>302</v>
      </c>
      <c r="I3908" t="inlineStr"/>
      <c r="J3908" t="n">
        <v>0.3333333333333333</v>
      </c>
      <c r="K3908" t="inlineStr">
        <is>
          <t>Distinguished</t>
        </is>
      </c>
      <c r="L3908" t="inlineStr"/>
      <c r="M3908" t="inlineStr">
        <is>
          <t>Geoff St. Marie</t>
        </is>
      </c>
      <c r="N3908" t="n">
        <v>0.9852941176470588</v>
      </c>
      <c r="O3908" t="n">
        <v>8.416666666666666</v>
      </c>
      <c r="P3908" t="n">
        <v>0.0625</v>
      </c>
    </row>
    <row r="3909">
      <c r="A3909" t="inlineStr">
        <is>
          <t>Skye Silmenna</t>
        </is>
      </c>
      <c r="B3909" t="inlineStr">
        <is>
          <t>9/6/26 - 10/3/26</t>
        </is>
      </c>
      <c r="C3909" t="n">
        <v>0.725</v>
      </c>
      <c r="D3909" t="n">
        <v>1.1069</v>
      </c>
      <c r="E3909" t="n">
        <v>0.9375</v>
      </c>
      <c r="F3909" t="n">
        <v>0.915</v>
      </c>
      <c r="G3909" t="n">
        <v>0.4210526315789473</v>
      </c>
      <c r="H3909" t="n">
        <v>140</v>
      </c>
      <c r="I3909" t="inlineStr"/>
      <c r="J3909" t="n">
        <v>0.4</v>
      </c>
      <c r="K3909" t="inlineStr">
        <is>
          <t>Distinguished</t>
        </is>
      </c>
      <c r="L3909" t="inlineStr"/>
      <c r="M3909" t="inlineStr">
        <is>
          <t>Annelies de Groot</t>
        </is>
      </c>
      <c r="N3909" t="n">
        <v>0.9087301587301588</v>
      </c>
      <c r="O3909" t="n">
        <v>7</v>
      </c>
      <c r="P3909" t="n">
        <v>0.1177586666666666</v>
      </c>
    </row>
    <row r="3910">
      <c r="A3910" t="inlineStr">
        <is>
          <t>Stacey Jones</t>
        </is>
      </c>
      <c r="B3910" t="inlineStr">
        <is>
          <t>9/6/26 - 10/3/26</t>
        </is>
      </c>
      <c r="C3910" t="n">
        <v>1.3021</v>
      </c>
      <c r="D3910" t="n">
        <v>1.25</v>
      </c>
      <c r="E3910" t="n">
        <v>1</v>
      </c>
      <c r="F3910" t="n">
        <v>0.982</v>
      </c>
      <c r="G3910" t="n">
        <v>0.5</v>
      </c>
      <c r="H3910" t="n">
        <v>204</v>
      </c>
      <c r="I3910" t="inlineStr"/>
      <c r="J3910" t="n">
        <v>0</v>
      </c>
      <c r="K3910" t="inlineStr">
        <is>
          <t>Distinguished</t>
        </is>
      </c>
      <c r="L3910" t="inlineStr"/>
      <c r="M3910" t="inlineStr">
        <is>
          <t>Annelies de Groot</t>
        </is>
      </c>
      <c r="N3910" t="n">
        <v>0.907967032967033</v>
      </c>
      <c r="O3910" t="n">
        <v>5</v>
      </c>
      <c r="P3910" t="n">
        <v>0.2022666666666666</v>
      </c>
    </row>
    <row r="3911">
      <c r="A3911" t="inlineStr">
        <is>
          <t>Stephanie Robey</t>
        </is>
      </c>
      <c r="B3911" t="inlineStr">
        <is>
          <t>9/6/26 - 10/3/26</t>
        </is>
      </c>
      <c r="C3911" t="n">
        <v>0</v>
      </c>
      <c r="D3911" t="n">
        <v>0.8280999999999999</v>
      </c>
      <c r="E3911" t="n">
        <v/>
      </c>
      <c r="F3911" t="n">
        <v/>
      </c>
      <c r="G3911" t="n">
        <v/>
      </c>
      <c r="H3911" t="n">
        <v>0</v>
      </c>
      <c r="I3911" t="inlineStr"/>
      <c r="J3911" t="inlineStr"/>
      <c r="K3911" t="inlineStr">
        <is>
          <t>Distinguished</t>
        </is>
      </c>
      <c r="L3911" t="inlineStr"/>
      <c r="M3911" t="inlineStr">
        <is>
          <t>Annelies de Groot</t>
        </is>
      </c>
      <c r="N3911" t="inlineStr"/>
      <c r="O3911" t="inlineStr"/>
      <c r="P3911" t="inlineStr"/>
    </row>
    <row r="3912">
      <c r="A3912" t="inlineStr">
        <is>
          <t>Sunho Kum</t>
        </is>
      </c>
      <c r="B3912" t="inlineStr">
        <is>
          <t>9/6/26 - 10/3/26</t>
        </is>
      </c>
      <c r="C3912" t="n">
        <v>1.1667</v>
      </c>
      <c r="D3912" t="n">
        <v>1.0078</v>
      </c>
      <c r="E3912" t="n">
        <v>0.9642857142857144</v>
      </c>
      <c r="F3912" t="n">
        <v>1</v>
      </c>
      <c r="G3912" t="n">
        <v>1</v>
      </c>
      <c r="H3912" t="n">
        <v>188</v>
      </c>
      <c r="I3912" t="inlineStr"/>
      <c r="J3912" t="n">
        <v>0.8</v>
      </c>
      <c r="K3912" t="inlineStr">
        <is>
          <t>Distinguished</t>
        </is>
      </c>
      <c r="L3912" t="inlineStr"/>
      <c r="M3912" t="inlineStr">
        <is>
          <t>Geoff St. Marie</t>
        </is>
      </c>
      <c r="N3912" t="n">
        <v>0.956439393939394</v>
      </c>
      <c r="O3912" t="n">
        <v>6.5</v>
      </c>
      <c r="P3912" t="n">
        <v>0.009090909090909</v>
      </c>
    </row>
    <row r="3913">
      <c r="A3913" t="inlineStr">
        <is>
          <t>Szymon Steplewski</t>
        </is>
      </c>
      <c r="B3913" t="inlineStr">
        <is>
          <t>9/6/26 - 10/3/26</t>
        </is>
      </c>
      <c r="C3913" t="n">
        <v>0.6333</v>
      </c>
      <c r="D3913" t="n">
        <v>0.875</v>
      </c>
      <c r="E3913" t="n">
        <v>0.9863013698630136</v>
      </c>
      <c r="F3913" t="n">
        <v>1</v>
      </c>
      <c r="G3913" t="n">
        <v>0</v>
      </c>
      <c r="H3913" t="n">
        <v>20</v>
      </c>
      <c r="I3913" t="inlineStr"/>
      <c r="J3913" t="n">
        <v>0.8</v>
      </c>
      <c r="K3913" t="inlineStr">
        <is>
          <t>Distinguished</t>
        </is>
      </c>
      <c r="L3913" t="inlineStr"/>
      <c r="M3913" t="inlineStr">
        <is>
          <t>Geoff St. Marie</t>
        </is>
      </c>
      <c r="N3913" t="n">
        <v>0.9267399267399268</v>
      </c>
      <c r="O3913" t="inlineStr"/>
      <c r="P3913" t="n">
        <v>0.1878206349206349</v>
      </c>
    </row>
    <row r="3914">
      <c r="A3914" t="inlineStr">
        <is>
          <t>Taryn Parks</t>
        </is>
      </c>
      <c r="B3914" t="inlineStr">
        <is>
          <t>9/6/26 - 10/3/26</t>
        </is>
      </c>
      <c r="C3914" t="n">
        <v>0.9583</v>
      </c>
      <c r="D3914" t="n">
        <v>0.918</v>
      </c>
      <c r="E3914" t="n">
        <v>0.9782608695652174</v>
      </c>
      <c r="F3914" t="n">
        <v>1</v>
      </c>
      <c r="G3914" t="n">
        <v>0.75</v>
      </c>
      <c r="H3914" t="n">
        <v>116</v>
      </c>
      <c r="I3914" t="inlineStr"/>
      <c r="J3914" t="n">
        <v>0.625</v>
      </c>
      <c r="K3914" t="inlineStr">
        <is>
          <t>Advanced</t>
        </is>
      </c>
      <c r="L3914" t="inlineStr"/>
      <c r="M3914" t="inlineStr">
        <is>
          <t>Annelies de Groot</t>
        </is>
      </c>
      <c r="N3914" t="n">
        <v>0.89375</v>
      </c>
      <c r="O3914" t="n">
        <v>8</v>
      </c>
      <c r="P3914" t="n">
        <v>0.0341871794871794</v>
      </c>
    </row>
    <row r="3915">
      <c r="A3915" t="inlineStr">
        <is>
          <t>Taylor Ennadi</t>
        </is>
      </c>
      <c r="B3915" t="inlineStr">
        <is>
          <t>9/6/26 - 10/3/26</t>
        </is>
      </c>
      <c r="C3915" t="n">
        <v>0.975</v>
      </c>
      <c r="D3915" t="n">
        <v>0.9836</v>
      </c>
      <c r="E3915" t="n">
        <v>1</v>
      </c>
      <c r="F3915" t="n">
        <v>0.958</v>
      </c>
      <c r="G3915" t="n">
        <v>0.5454545454545454</v>
      </c>
      <c r="H3915" t="n">
        <v>84</v>
      </c>
      <c r="I3915" t="inlineStr"/>
      <c r="J3915" t="n">
        <v>0.8461538461538461</v>
      </c>
      <c r="K3915" t="inlineStr">
        <is>
          <t>Distinguished</t>
        </is>
      </c>
      <c r="L3915" t="inlineStr"/>
      <c r="M3915" t="inlineStr">
        <is>
          <t>Annelies de Groot</t>
        </is>
      </c>
      <c r="N3915" t="n">
        <v>0.957516339869281</v>
      </c>
      <c r="O3915" t="n">
        <v>7.833333333333333</v>
      </c>
      <c r="P3915" t="n">
        <v>0.0257009345794392</v>
      </c>
    </row>
    <row r="3916">
      <c r="A3916" t="inlineStr">
        <is>
          <t>Tea Stewart</t>
        </is>
      </c>
      <c r="B3916" t="inlineStr">
        <is>
          <t>9/6/26 - 10/3/26</t>
        </is>
      </c>
      <c r="C3916" t="n">
        <v>0.9167</v>
      </c>
      <c r="D3916" t="n">
        <v>0.9414</v>
      </c>
      <c r="E3916" t="n">
        <v>0.9523809523809524</v>
      </c>
      <c r="F3916" t="n">
        <v>0.966</v>
      </c>
      <c r="G3916" t="n">
        <v>0.8888888888888888</v>
      </c>
      <c r="H3916" t="n">
        <v>64</v>
      </c>
      <c r="I3916" t="inlineStr"/>
      <c r="J3916" t="n">
        <v>0</v>
      </c>
      <c r="K3916" t="inlineStr">
        <is>
          <t>Distinguished</t>
        </is>
      </c>
      <c r="L3916" t="inlineStr"/>
      <c r="M3916" t="inlineStr">
        <is>
          <t>Kristin Haase-Alvey</t>
        </is>
      </c>
      <c r="N3916" t="n">
        <v>1</v>
      </c>
      <c r="O3916" t="inlineStr"/>
      <c r="P3916" t="n">
        <v>0.0218190476190476</v>
      </c>
    </row>
    <row r="3917">
      <c r="A3917" t="inlineStr">
        <is>
          <t>Teresa Fuller</t>
        </is>
      </c>
      <c r="B3917" t="inlineStr">
        <is>
          <t>9/6/26 - 10/3/26</t>
        </is>
      </c>
      <c r="C3917" t="n">
        <v>0.8542</v>
      </c>
      <c r="D3917" t="n">
        <v>0.7539</v>
      </c>
      <c r="E3917" t="n">
        <v>1</v>
      </c>
      <c r="F3917" t="n">
        <v>0.969</v>
      </c>
      <c r="G3917" t="n">
        <v>1</v>
      </c>
      <c r="H3917" t="n">
        <v>100</v>
      </c>
      <c r="I3917" t="inlineStr"/>
      <c r="J3917" t="n">
        <v>0.6666666666666666</v>
      </c>
      <c r="K3917" t="inlineStr">
        <is>
          <t>Advanced</t>
        </is>
      </c>
      <c r="L3917" t="inlineStr"/>
      <c r="M3917" t="inlineStr">
        <is>
          <t>Nikki Pencak</t>
        </is>
      </c>
      <c r="N3917" t="n">
        <v>0.9642857142857144</v>
      </c>
      <c r="O3917" t="n">
        <v>8.666666666666668</v>
      </c>
      <c r="P3917" t="inlineStr"/>
    </row>
    <row r="3918">
      <c r="A3918" t="inlineStr">
        <is>
          <t>Tim Page</t>
        </is>
      </c>
      <c r="B3918" t="inlineStr">
        <is>
          <t>9/6/26 - 10/3/26</t>
        </is>
      </c>
      <c r="C3918" t="n">
        <v>0.5</v>
      </c>
      <c r="D3918" t="n">
        <v>0.9651</v>
      </c>
      <c r="E3918" t="n">
        <v>0.9571428571428572</v>
      </c>
      <c r="F3918" t="n">
        <v>0.981</v>
      </c>
      <c r="G3918" t="n">
        <v>0.2222222222222222</v>
      </c>
      <c r="H3918" t="n">
        <v>236</v>
      </c>
      <c r="I3918" t="inlineStr"/>
      <c r="J3918" t="n">
        <v>0.6666666666666666</v>
      </c>
      <c r="K3918" t="inlineStr">
        <is>
          <t>Advanced</t>
        </is>
      </c>
      <c r="L3918" t="inlineStr"/>
      <c r="M3918" t="inlineStr">
        <is>
          <t>Annelies de Groot</t>
        </is>
      </c>
      <c r="N3918" t="n">
        <v>0.9861111111111112</v>
      </c>
      <c r="O3918" t="inlineStr"/>
      <c r="P3918" t="n">
        <v>0.043103448275862</v>
      </c>
    </row>
    <row r="3919">
      <c r="A3919" t="inlineStr">
        <is>
          <t>Tim Schlotzhauer</t>
        </is>
      </c>
      <c r="B3919" t="inlineStr">
        <is>
          <t>9/6/26 - 10/3/26</t>
        </is>
      </c>
      <c r="C3919" t="n">
        <v>0.6208</v>
      </c>
      <c r="D3919" t="n">
        <v>1.3799</v>
      </c>
      <c r="E3919" t="n">
        <v>1</v>
      </c>
      <c r="F3919" t="n">
        <v>1</v>
      </c>
      <c r="G3919" t="n">
        <v>0.8888888888888888</v>
      </c>
      <c r="H3919" t="n">
        <v>78</v>
      </c>
      <c r="I3919" t="inlineStr"/>
      <c r="J3919" t="n">
        <v>1</v>
      </c>
      <c r="K3919" t="inlineStr">
        <is>
          <t>Premium</t>
        </is>
      </c>
      <c r="L3919" t="inlineStr"/>
      <c r="M3919" t="inlineStr">
        <is>
          <t>Geoff St. Marie</t>
        </is>
      </c>
      <c r="N3919" t="n">
        <v>0.962912087912088</v>
      </c>
      <c r="O3919" t="n">
        <v>8.666666666666666</v>
      </c>
      <c r="P3919" t="n">
        <v>0.0935251798561151</v>
      </c>
    </row>
    <row r="3920">
      <c r="A3920" t="inlineStr">
        <is>
          <t>Timothy Barrett</t>
        </is>
      </c>
      <c r="B3920" t="inlineStr">
        <is>
          <t>9/6/26 - 10/3/26</t>
        </is>
      </c>
      <c r="C3920" t="n">
        <v>0</v>
      </c>
      <c r="D3920" t="n">
        <v>0.5234</v>
      </c>
      <c r="E3920" t="n">
        <v/>
      </c>
      <c r="F3920" t="n">
        <v/>
      </c>
      <c r="G3920" t="n">
        <v/>
      </c>
      <c r="H3920" t="n">
        <v>0</v>
      </c>
      <c r="I3920" t="inlineStr"/>
      <c r="J3920" t="inlineStr"/>
      <c r="K3920" t="inlineStr">
        <is>
          <t>Advanced</t>
        </is>
      </c>
      <c r="L3920" t="inlineStr"/>
      <c r="M3920" t="inlineStr">
        <is>
          <t>Geoff St. Marie</t>
        </is>
      </c>
      <c r="N3920" t="inlineStr"/>
      <c r="O3920" t="inlineStr"/>
      <c r="P3920" t="inlineStr"/>
    </row>
    <row r="3921">
      <c r="A3921" t="inlineStr">
        <is>
          <t>Tom Pluth</t>
        </is>
      </c>
      <c r="B3921" t="inlineStr">
        <is>
          <t>9/6/26 - 10/3/26</t>
        </is>
      </c>
      <c r="C3921" t="n">
        <v>1.2396</v>
      </c>
      <c r="D3921" t="n">
        <v>1.1953</v>
      </c>
      <c r="E3921" t="n">
        <v>0.9803921568627452</v>
      </c>
      <c r="F3921" t="n">
        <v>0.855</v>
      </c>
      <c r="G3921" t="n">
        <v>0.5714285714285714</v>
      </c>
      <c r="H3921" t="n">
        <v>100</v>
      </c>
      <c r="I3921" t="inlineStr"/>
      <c r="J3921" t="n">
        <v>0.5</v>
      </c>
      <c r="K3921" t="inlineStr">
        <is>
          <t>Distinguished</t>
        </is>
      </c>
      <c r="L3921" t="inlineStr"/>
      <c r="M3921" t="inlineStr">
        <is>
          <t>Ian Plamondon</t>
        </is>
      </c>
      <c r="N3921" t="n">
        <v>0.868421052631579</v>
      </c>
      <c r="O3921" t="n">
        <v>5.5</v>
      </c>
      <c r="P3921" t="n">
        <v>0.0608695652173913</v>
      </c>
    </row>
    <row r="3922">
      <c r="A3922" t="inlineStr">
        <is>
          <t>Tommaso Marsella</t>
        </is>
      </c>
      <c r="B3922" t="inlineStr">
        <is>
          <t>9/6/26 - 10/3/26</t>
        </is>
      </c>
      <c r="C3922" t="n">
        <v>0.8958</v>
      </c>
      <c r="D3922" t="n">
        <v>1.0703</v>
      </c>
      <c r="E3922" t="n">
        <v>1</v>
      </c>
      <c r="F3922" t="n">
        <v>0.964</v>
      </c>
      <c r="G3922" t="n">
        <v>0.4166666666666667</v>
      </c>
      <c r="H3922" t="n">
        <v>60</v>
      </c>
      <c r="I3922" t="inlineStr"/>
      <c r="J3922" t="n">
        <v>1</v>
      </c>
      <c r="K3922" t="inlineStr">
        <is>
          <t>Distinguished</t>
        </is>
      </c>
      <c r="L3922" t="inlineStr"/>
      <c r="M3922" t="inlineStr">
        <is>
          <t>Ian Plamondon</t>
        </is>
      </c>
      <c r="N3922" t="n">
        <v>0.8830357142857143</v>
      </c>
      <c r="O3922" t="inlineStr"/>
      <c r="P3922" t="inlineStr"/>
    </row>
    <row r="3923">
      <c r="A3923" t="inlineStr">
        <is>
          <t>Treasure Joyce</t>
        </is>
      </c>
      <c r="B3923" t="inlineStr">
        <is>
          <t>9/6/26 - 10/3/26</t>
        </is>
      </c>
      <c r="C3923" t="n">
        <v>0.925</v>
      </c>
      <c r="D3923" t="n">
        <v>1.1266</v>
      </c>
      <c r="E3923" t="n">
        <v>1</v>
      </c>
      <c r="F3923" t="n">
        <v>1</v>
      </c>
      <c r="G3923" t="n">
        <v>0.2857142857142857</v>
      </c>
      <c r="H3923" t="n">
        <v>148</v>
      </c>
      <c r="I3923" t="inlineStr"/>
      <c r="J3923" t="n">
        <v>0.2857142857142857</v>
      </c>
      <c r="K3923" t="inlineStr">
        <is>
          <t>Distinguished</t>
        </is>
      </c>
      <c r="L3923" t="inlineStr"/>
      <c r="M3923" t="inlineStr">
        <is>
          <t>Geoff St. Marie</t>
        </is>
      </c>
      <c r="N3923" t="n">
        <v>0.909919028340081</v>
      </c>
      <c r="O3923" t="n">
        <v>7.333333333333334</v>
      </c>
      <c r="P3923" t="n">
        <v>0.1843434343434343</v>
      </c>
    </row>
    <row r="3924">
      <c r="A3924" t="inlineStr">
        <is>
          <t>Trevor Ferguson</t>
        </is>
      </c>
      <c r="B3924" t="inlineStr">
        <is>
          <t>9/6/26 - 10/3/26</t>
        </is>
      </c>
      <c r="C3924" t="n">
        <v>0.7542</v>
      </c>
      <c r="D3924" t="n">
        <v>0.7961</v>
      </c>
      <c r="E3924" t="n">
        <v>1</v>
      </c>
      <c r="F3924" t="n">
        <v>0.864</v>
      </c>
      <c r="G3924" t="n">
        <v>0.6521739130434783</v>
      </c>
      <c r="H3924" t="n">
        <v>144</v>
      </c>
      <c r="I3924" t="inlineStr"/>
      <c r="J3924" t="n">
        <v>0.25</v>
      </c>
      <c r="K3924" t="inlineStr">
        <is>
          <t>Distinguished</t>
        </is>
      </c>
      <c r="L3924" t="inlineStr"/>
      <c r="M3924" t="inlineStr">
        <is>
          <t>Geoff St. Marie</t>
        </is>
      </c>
      <c r="N3924" t="n">
        <v>1</v>
      </c>
      <c r="O3924" t="n">
        <v>8</v>
      </c>
      <c r="P3924" t="inlineStr"/>
    </row>
    <row r="3925">
      <c r="A3925" t="inlineStr">
        <is>
          <t>Tyler Greer</t>
        </is>
      </c>
      <c r="B3925" t="inlineStr">
        <is>
          <t>9/6/26 - 10/3/26</t>
        </is>
      </c>
      <c r="C3925" t="n">
        <v>0.9708</v>
      </c>
      <c r="D3925" t="n">
        <v>0.8783</v>
      </c>
      <c r="E3925" t="n">
        <v>0.9557522123893806</v>
      </c>
      <c r="F3925" t="n">
        <v>0.841</v>
      </c>
      <c r="G3925" t="n">
        <v>1</v>
      </c>
      <c r="H3925" t="n">
        <v>222</v>
      </c>
      <c r="I3925" t="inlineStr"/>
      <c r="J3925" t="n">
        <v>0.2</v>
      </c>
      <c r="K3925" t="inlineStr">
        <is>
          <t>Distinguished</t>
        </is>
      </c>
      <c r="L3925" t="inlineStr"/>
      <c r="M3925" t="inlineStr">
        <is>
          <t>Kristin Haase-Alvey</t>
        </is>
      </c>
      <c r="N3925" t="n">
        <v>0.9821428571428572</v>
      </c>
      <c r="O3925" t="n">
        <v>3.7</v>
      </c>
      <c r="P3925" t="n">
        <v>0.1062801932367149</v>
      </c>
    </row>
    <row r="3926">
      <c r="A3926" t="inlineStr">
        <is>
          <t>Tyler Henry</t>
        </is>
      </c>
      <c r="B3926" t="inlineStr">
        <is>
          <t>9/6/26 - 10/3/26</t>
        </is>
      </c>
      <c r="C3926" t="n">
        <v>1.15</v>
      </c>
      <c r="D3926" t="n">
        <v>1.3635</v>
      </c>
      <c r="E3926" t="n">
        <v>0.924812030075188</v>
      </c>
      <c r="F3926" t="n">
        <v>1</v>
      </c>
      <c r="G3926" t="n">
        <v>0.5806451612903226</v>
      </c>
      <c r="H3926" t="n">
        <v>268</v>
      </c>
      <c r="I3926" t="inlineStr"/>
      <c r="J3926" t="n">
        <v>0.6666666666666666</v>
      </c>
      <c r="K3926" t="inlineStr">
        <is>
          <t>Distinguished</t>
        </is>
      </c>
      <c r="L3926" t="inlineStr"/>
      <c r="M3926" t="inlineStr">
        <is>
          <t>Annelies de Groot</t>
        </is>
      </c>
      <c r="N3926" t="n">
        <v>1</v>
      </c>
      <c r="O3926" t="inlineStr"/>
      <c r="P3926" t="n">
        <v>0.016260162601626</v>
      </c>
    </row>
    <row r="3927">
      <c r="A3927" t="inlineStr">
        <is>
          <t>Tyler Thornton</t>
        </is>
      </c>
      <c r="B3927" t="inlineStr">
        <is>
          <t>9/6/26 - 10/3/26</t>
        </is>
      </c>
      <c r="C3927" t="n">
        <v>0.9333</v>
      </c>
      <c r="D3927" t="n">
        <v>1.0559</v>
      </c>
      <c r="E3927" t="n">
        <v>1</v>
      </c>
      <c r="F3927" t="n">
        <v>0.944</v>
      </c>
      <c r="G3927" t="n">
        <v>0.8333333333333334</v>
      </c>
      <c r="H3927" t="n">
        <v>348</v>
      </c>
      <c r="I3927" t="inlineStr"/>
      <c r="J3927" t="n">
        <v>0.8333333333333334</v>
      </c>
      <c r="K3927" t="inlineStr">
        <is>
          <t>Distinguished</t>
        </is>
      </c>
      <c r="L3927" t="inlineStr"/>
      <c r="M3927" t="inlineStr">
        <is>
          <t>Kristin Haase-Alvey</t>
        </is>
      </c>
      <c r="N3927" t="n">
        <v>0.9651442307692308</v>
      </c>
      <c r="O3927" t="n">
        <v>7.4</v>
      </c>
      <c r="P3927" t="n">
        <v>0.1257913461538461</v>
      </c>
    </row>
    <row r="3928">
      <c r="A3928" t="inlineStr">
        <is>
          <t>Uzair Tariq</t>
        </is>
      </c>
      <c r="B3928" t="inlineStr">
        <is>
          <t>9/6/26 - 10/3/26</t>
        </is>
      </c>
      <c r="C3928" t="n">
        <v>0.7</v>
      </c>
      <c r="D3928" t="n">
        <v>1.0197</v>
      </c>
      <c r="E3928" t="n">
        <v>1</v>
      </c>
      <c r="F3928" t="n">
        <v>0.983</v>
      </c>
      <c r="G3928" t="n">
        <v>1</v>
      </c>
      <c r="H3928" t="n">
        <v>60</v>
      </c>
      <c r="I3928" t="inlineStr"/>
      <c r="J3928" t="n">
        <v>0.6428571428571429</v>
      </c>
      <c r="K3928" t="inlineStr">
        <is>
          <t>Distinguished</t>
        </is>
      </c>
      <c r="L3928" t="inlineStr"/>
      <c r="M3928" t="inlineStr">
        <is>
          <t>Kristin Haase-Alvey</t>
        </is>
      </c>
      <c r="N3928" t="n">
        <v>0.9791666666666666</v>
      </c>
      <c r="O3928" t="n">
        <v>9.5</v>
      </c>
      <c r="P3928" t="n">
        <v>0.1548092105263157</v>
      </c>
    </row>
    <row r="3929">
      <c r="A3929" t="inlineStr">
        <is>
          <t>Valdenis Iancu</t>
        </is>
      </c>
      <c r="B3929" t="inlineStr">
        <is>
          <t>9/6/26 - 10/3/26</t>
        </is>
      </c>
      <c r="C3929" t="n">
        <v>0.6042</v>
      </c>
      <c r="D3929" t="n">
        <v>1.0444</v>
      </c>
      <c r="E3929" t="n">
        <v>0.9571428571428572</v>
      </c>
      <c r="F3929" t="n">
        <v>0.952</v>
      </c>
      <c r="G3929" t="n">
        <v>1</v>
      </c>
      <c r="H3929" t="n">
        <v>33</v>
      </c>
      <c r="I3929" t="inlineStr"/>
      <c r="J3929" t="n">
        <v>1</v>
      </c>
      <c r="K3929" t="inlineStr">
        <is>
          <t>Premium</t>
        </is>
      </c>
      <c r="L3929" t="inlineStr"/>
      <c r="M3929" t="inlineStr">
        <is>
          <t>Ian Plamondon</t>
        </is>
      </c>
      <c r="N3929" t="n">
        <v>0.9654761904761904</v>
      </c>
      <c r="O3929" t="n">
        <v>7.666666666666667</v>
      </c>
      <c r="P3929" t="n">
        <v>0.0141843971631205</v>
      </c>
    </row>
    <row r="3930">
      <c r="A3930" t="inlineStr">
        <is>
          <t>Valerie Duran</t>
        </is>
      </c>
      <c r="B3930" t="inlineStr">
        <is>
          <t>9/6/26 - 10/3/26</t>
        </is>
      </c>
      <c r="C3930" t="n">
        <v>1.2396</v>
      </c>
      <c r="D3930" t="n">
        <v>1.3984</v>
      </c>
      <c r="E3930" t="n">
        <v>0.956043956043956</v>
      </c>
      <c r="F3930" t="n">
        <v>0.642</v>
      </c>
      <c r="G3930" t="n">
        <v>0.7391304347826086</v>
      </c>
      <c r="H3930" t="n">
        <v>252</v>
      </c>
      <c r="I3930" t="inlineStr"/>
      <c r="J3930" t="n">
        <v>0</v>
      </c>
      <c r="K3930" t="inlineStr">
        <is>
          <t>Advanced</t>
        </is>
      </c>
      <c r="L3930" t="inlineStr"/>
      <c r="M3930" t="inlineStr">
        <is>
          <t>Annelies de Groot</t>
        </is>
      </c>
      <c r="N3930" t="n">
        <v>1</v>
      </c>
      <c r="O3930" t="inlineStr"/>
      <c r="P3930" t="inlineStr"/>
    </row>
    <row r="3931">
      <c r="A3931" t="inlineStr">
        <is>
          <t>Vincent Cross</t>
        </is>
      </c>
      <c r="B3931" t="inlineStr">
        <is>
          <t>9/6/26 - 10/3/26</t>
        </is>
      </c>
      <c r="C3931" t="n">
        <v>0.7708</v>
      </c>
      <c r="D3931" t="n">
        <v>1.0066</v>
      </c>
      <c r="E3931" t="n">
        <v>1</v>
      </c>
      <c r="F3931" t="n">
        <v>0.776</v>
      </c>
      <c r="G3931" t="n">
        <v>0.6666666666666666</v>
      </c>
      <c r="H3931" t="n">
        <v>156</v>
      </c>
      <c r="I3931" t="inlineStr"/>
      <c r="J3931" t="n">
        <v>0</v>
      </c>
      <c r="K3931" t="inlineStr">
        <is>
          <t>Distinguished</t>
        </is>
      </c>
      <c r="L3931" t="inlineStr"/>
      <c r="M3931" t="inlineStr">
        <is>
          <t>Kristin Haase-Alvey</t>
        </is>
      </c>
      <c r="N3931" t="n">
        <v>0.9320175438596492</v>
      </c>
      <c r="O3931" t="inlineStr"/>
      <c r="P3931" t="inlineStr"/>
    </row>
    <row r="3932">
      <c r="A3932" t="inlineStr">
        <is>
          <t>Wren Wood</t>
        </is>
      </c>
      <c r="B3932" t="inlineStr">
        <is>
          <t>9/6/26 - 10/3/26</t>
        </is>
      </c>
      <c r="C3932" t="n">
        <v>0.4357</v>
      </c>
      <c r="D3932" t="n">
        <v>0.8183</v>
      </c>
      <c r="E3932" t="n">
        <v>1</v>
      </c>
      <c r="F3932" t="n">
        <v>0.379</v>
      </c>
      <c r="G3932" t="n">
        <v>0</v>
      </c>
      <c r="H3932" t="n">
        <v>0</v>
      </c>
      <c r="I3932" t="inlineStr"/>
      <c r="J3932" t="n">
        <v>0.4166666666666667</v>
      </c>
      <c r="K3932" t="inlineStr">
        <is>
          <t>Distinguished</t>
        </is>
      </c>
      <c r="L3932" t="inlineStr"/>
      <c r="M3932" t="inlineStr">
        <is>
          <t>Kristin Haase-Alvey</t>
        </is>
      </c>
      <c r="N3932" t="n">
        <v>0.9090909090909092</v>
      </c>
      <c r="O3932" t="inlineStr"/>
      <c r="P3932" t="n">
        <v>0.2613636363636363</v>
      </c>
    </row>
    <row r="3933">
      <c r="A3933" t="inlineStr">
        <is>
          <t>Zach McFatridge</t>
        </is>
      </c>
      <c r="B3933" t="inlineStr">
        <is>
          <t>9/6/26 - 10/3/26</t>
        </is>
      </c>
      <c r="C3933" t="n">
        <v>1.0643</v>
      </c>
      <c r="D3933" t="n">
        <v>1.0669</v>
      </c>
      <c r="E3933" t="n">
        <v>0.9928571428571428</v>
      </c>
      <c r="F3933" t="n">
        <v>0.921</v>
      </c>
      <c r="G3933" t="n">
        <v>0.975609756097561</v>
      </c>
      <c r="H3933" t="n">
        <v>248</v>
      </c>
      <c r="I3933" t="inlineStr"/>
      <c r="J3933" t="n">
        <v>0</v>
      </c>
      <c r="K3933" t="inlineStr">
        <is>
          <t>Distinguished</t>
        </is>
      </c>
      <c r="L3933" t="inlineStr"/>
      <c r="M3933" t="inlineStr">
        <is>
          <t>Annelies de Groot</t>
        </is>
      </c>
      <c r="N3933" t="n">
        <v>0.8934676434676434</v>
      </c>
      <c r="O3933" t="n">
        <v>8.945454545454545</v>
      </c>
      <c r="P3933" t="n">
        <v>0.0804395833333333</v>
      </c>
    </row>
    <row r="3934">
      <c r="A3934" t="inlineStr">
        <is>
          <t>Zachary Doenges</t>
        </is>
      </c>
      <c r="B3934" t="inlineStr">
        <is>
          <t>9/6/26 - 10/3/26</t>
        </is>
      </c>
      <c r="C3934" t="n">
        <v>1.1571</v>
      </c>
      <c r="D3934" t="n">
        <v>1.1483</v>
      </c>
      <c r="E3934" t="n">
        <v>1</v>
      </c>
      <c r="F3934" t="n">
        <v>0.9389999999999999</v>
      </c>
      <c r="G3934" t="n">
        <v>1</v>
      </c>
      <c r="H3934" t="n">
        <v>167</v>
      </c>
      <c r="I3934" t="inlineStr"/>
      <c r="J3934" t="n">
        <v>0.25</v>
      </c>
      <c r="K3934" t="inlineStr">
        <is>
          <t>Premium</t>
        </is>
      </c>
      <c r="L3934" t="inlineStr"/>
      <c r="M3934" t="inlineStr">
        <is>
          <t>Ian Plamondon</t>
        </is>
      </c>
      <c r="N3934" t="n">
        <v>0.9052396878483836</v>
      </c>
      <c r="O3934" t="n">
        <v>3.75</v>
      </c>
      <c r="P3934" t="n">
        <v>0.0137457044673539</v>
      </c>
    </row>
    <row r="3935">
      <c r="A3935" t="inlineStr">
        <is>
          <t>Zack Anthony</t>
        </is>
      </c>
      <c r="B3935" t="inlineStr">
        <is>
          <t>9/6/26 - 10/3/26</t>
        </is>
      </c>
      <c r="C3935" t="n">
        <v>0.8708</v>
      </c>
      <c r="D3935" t="n">
        <v>0.8734</v>
      </c>
      <c r="E3935" t="n">
        <v>0.9696969696969696</v>
      </c>
      <c r="F3935" t="n">
        <v>0.97</v>
      </c>
      <c r="G3935" t="n">
        <v>0.6333333333333333</v>
      </c>
      <c r="H3935" t="n">
        <v>200</v>
      </c>
      <c r="I3935" t="inlineStr"/>
      <c r="J3935" t="n">
        <v>0</v>
      </c>
      <c r="K3935" t="inlineStr">
        <is>
          <t>Distinguished</t>
        </is>
      </c>
      <c r="L3935" t="inlineStr"/>
      <c r="M3935" t="inlineStr">
        <is>
          <t>Kristin Haase-Alvey</t>
        </is>
      </c>
      <c r="N3935" t="n">
        <v>0.9392361111111112</v>
      </c>
      <c r="O3935" t="n">
        <v>5.729166666666667</v>
      </c>
      <c r="P3935" t="n">
        <v>0.0215582089552238</v>
      </c>
    </row>
    <row r="3936">
      <c r="A3936" t="inlineStr">
        <is>
          <t>Zoe Shanley</t>
        </is>
      </c>
      <c r="B3936" t="inlineStr">
        <is>
          <t>9/6/26 - 10/3/26</t>
        </is>
      </c>
      <c r="C3936" t="n">
        <v>0.9643</v>
      </c>
      <c r="D3936" t="n">
        <v>0.9564</v>
      </c>
      <c r="E3936" t="n">
        <v>0.9302325581395348</v>
      </c>
      <c r="F3936" t="n">
        <v>1</v>
      </c>
      <c r="G3936" t="n">
        <v>0.8333333333333334</v>
      </c>
      <c r="H3936" t="n">
        <v>412</v>
      </c>
      <c r="I3936" t="inlineStr"/>
      <c r="J3936" t="n">
        <v>0.75</v>
      </c>
      <c r="K3936" t="inlineStr">
        <is>
          <t>Distinguished</t>
        </is>
      </c>
      <c r="L3936" t="inlineStr"/>
      <c r="M3936" t="inlineStr">
        <is>
          <t>Ian Plamondon</t>
        </is>
      </c>
      <c r="N3936" t="n">
        <v>0.9603174603174602</v>
      </c>
      <c r="O3936" t="inlineStr"/>
      <c r="P3936" t="n">
        <v>0.03125</v>
      </c>
    </row>
    <row r="3937">
      <c r="A3937" t="inlineStr">
        <is>
          <t>Zora Hudson</t>
        </is>
      </c>
      <c r="B3937" t="inlineStr">
        <is>
          <t>9/6/26 - 10/3/26</t>
        </is>
      </c>
      <c r="C3937" t="n">
        <v>0</v>
      </c>
      <c r="D3937" t="n">
        <v>1.0526</v>
      </c>
      <c r="E3937" t="n">
        <v/>
      </c>
      <c r="F3937" t="n">
        <v/>
      </c>
      <c r="G3937" t="n">
        <v/>
      </c>
      <c r="H3937" t="n">
        <v>0</v>
      </c>
      <c r="I3937" t="inlineStr"/>
      <c r="J3937" t="inlineStr"/>
      <c r="K3937" t="inlineStr">
        <is>
          <t>Distinguished</t>
        </is>
      </c>
      <c r="L3937" t="inlineStr"/>
      <c r="M3937" t="inlineStr">
        <is>
          <t>Nikki Pencak</t>
        </is>
      </c>
      <c r="N3937" t="inlineStr"/>
      <c r="O3937" t="inlineStr"/>
      <c r="P3937" t="inlineStr"/>
    </row>
  </sheetData>
  <autoFilter ref="A1:M2659">
    <sortState ref="A2:M2629">
      <sortCondition ref="A1:A26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G19" sqref="G19"/>
    </sheetView>
  </sheetViews>
  <sheetFormatPr baseColWidth="10" defaultColWidth="8.83203125" defaultRowHeight="15"/>
  <cols>
    <col width="16.5" customWidth="1" min="1" max="1"/>
    <col width="16.5" customWidth="1" style="6" min="2" max="2"/>
    <col width="16.5" customWidth="1" min="3" max="5"/>
    <col width="21.33203125" customWidth="1" min="6" max="6"/>
    <col width="69" customWidth="1" min="7" max="7"/>
    <col width="49.1640625" customWidth="1" style="9" min="9" max="9"/>
    <col width="25.33203125" bestFit="1" customWidth="1" min="10" max="10"/>
  </cols>
  <sheetData>
    <row r="1">
      <c r="A1" s="38" t="n"/>
      <c r="B1" s="39" t="n"/>
      <c r="C1" s="38" t="n"/>
      <c r="D1" s="38" t="n"/>
      <c r="E1" s="38" t="n"/>
      <c r="F1" s="38" t="n"/>
      <c r="G1" s="38" t="n"/>
      <c r="H1" s="38" t="n"/>
      <c r="I1" s="47" t="n"/>
    </row>
    <row r="5007" ht="16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7"/>
  <sheetViews>
    <sheetView workbookViewId="0">
      <selection activeCell="I22" sqref="I22"/>
    </sheetView>
  </sheetViews>
  <sheetFormatPr baseColWidth="10" defaultColWidth="8.83203125" defaultRowHeight="15"/>
  <cols>
    <col width="23.83203125" customWidth="1" min="1" max="1"/>
    <col width="12" customWidth="1" min="2" max="22"/>
  </cols>
  <sheetData>
    <row r="1">
      <c r="A1" s="16" t="inlineStr">
        <is>
          <t>12/28/25 - 1/25/26</t>
        </is>
      </c>
      <c r="B1" s="9" t="n"/>
      <c r="C1" s="9" t="n"/>
      <c r="D1" s="9" t="n"/>
      <c r="E1" s="17" t="n"/>
      <c r="F1" s="17" t="n"/>
      <c r="G1" s="18" t="n"/>
      <c r="H1" s="18" t="n"/>
      <c r="I1" s="18" t="n"/>
      <c r="J1" s="18" t="n"/>
      <c r="K1" s="18" t="n"/>
      <c r="L1" s="18" t="n"/>
      <c r="M1" s="18" t="n"/>
      <c r="N1" s="19" t="n"/>
      <c r="O1" s="12" t="n"/>
      <c r="P1" s="9" t="n"/>
      <c r="Q1" s="9" t="n"/>
      <c r="R1" s="9" t="n"/>
      <c r="V1" s="9" t="n"/>
      <c r="W1" s="9" t="n"/>
      <c r="X1" s="9" t="n"/>
      <c r="Y1" s="9" t="n"/>
    </row>
    <row r="2">
      <c r="A2" s="20" t="n"/>
      <c r="B2" s="9" t="n"/>
      <c r="C2" s="9" t="n"/>
      <c r="D2" s="9" t="n"/>
      <c r="E2" s="17" t="n"/>
      <c r="F2" s="17" t="n"/>
      <c r="G2" s="18" t="n">
        <v>0.8</v>
      </c>
      <c r="H2" s="18" t="n"/>
      <c r="I2" s="18" t="n"/>
      <c r="J2" s="18" t="n">
        <v>1</v>
      </c>
      <c r="K2" s="18" t="n">
        <v>0.1</v>
      </c>
      <c r="L2" s="18" t="n">
        <v>0.9</v>
      </c>
      <c r="M2" s="18" t="n">
        <v>0.95</v>
      </c>
      <c r="N2" s="18" t="n"/>
      <c r="O2" s="12" t="n">
        <v>0.8</v>
      </c>
      <c r="P2" s="9" t="n"/>
      <c r="Q2" s="9" t="n"/>
      <c r="R2" s="9" t="n"/>
      <c r="V2" s="9" t="n"/>
      <c r="W2" s="9" t="n"/>
      <c r="X2" s="9" t="n"/>
      <c r="Y2" s="9" t="n"/>
    </row>
    <row r="3">
      <c r="A3" s="37" t="inlineStr">
        <is>
          <t>Bottom Range Lower Than</t>
        </is>
      </c>
      <c r="B3" s="9" t="n"/>
      <c r="C3" s="9" t="n"/>
      <c r="D3" s="9" t="n"/>
      <c r="E3" s="17" t="n"/>
      <c r="F3" s="17" t="n"/>
      <c r="G3" s="18" t="n">
        <v>0.7</v>
      </c>
      <c r="H3" s="18" t="n"/>
      <c r="I3" s="18" t="n"/>
      <c r="J3" s="18" t="n">
        <v>0.8</v>
      </c>
      <c r="K3" s="18" t="n">
        <v>0.2</v>
      </c>
      <c r="L3" s="18" t="n">
        <v>0.75</v>
      </c>
      <c r="M3" s="18" t="n">
        <v>0.8</v>
      </c>
      <c r="N3" s="18" t="n"/>
      <c r="O3" s="12" t="n">
        <v>0.5</v>
      </c>
      <c r="P3" s="9" t="n"/>
      <c r="Q3" s="9" t="n"/>
      <c r="R3" s="9" t="n"/>
      <c r="V3" s="9" t="n"/>
      <c r="W3" s="9" t="n"/>
      <c r="X3" s="9" t="n"/>
      <c r="Y3" s="9" t="n"/>
    </row>
    <row r="4" ht="80" customHeight="1">
      <c r="A4" s="15" t="inlineStr">
        <is>
          <t>Tutor Name</t>
        </is>
      </c>
      <c r="B4" s="21" t="inlineStr">
        <is>
          <t>Current Tier</t>
        </is>
      </c>
      <c r="C4" s="21" t="inlineStr">
        <is>
          <t>Faculty Leader Name</t>
        </is>
      </c>
      <c r="D4" s="21" t="inlineStr">
        <is>
          <t>Hire Date</t>
        </is>
      </c>
      <c r="E4" s="22" t="inlineStr">
        <is>
          <t xml:space="preserve">Delivery Target </t>
        </is>
      </c>
      <c r="F4" s="22" t="inlineStr">
        <is>
          <t>Avg. Delivery Actual</t>
        </is>
      </c>
      <c r="G4" s="21" t="inlineStr">
        <is>
          <t>% to Delivery Target</t>
        </is>
      </c>
      <c r="H4" s="21" t="inlineStr">
        <is>
          <t>Availability Target</t>
        </is>
      </c>
      <c r="I4" s="21" t="inlineStr">
        <is>
          <t>Avg. Availability Actual</t>
        </is>
      </c>
      <c r="J4" s="21" t="inlineStr">
        <is>
          <t>% to Availability Target</t>
        </is>
      </c>
      <c r="K4" s="21" t="inlineStr">
        <is>
          <t>Prep Time %</t>
        </is>
      </c>
      <c r="L4" s="21" t="inlineStr">
        <is>
          <t>% Parents Updates Done on Time</t>
        </is>
      </c>
      <c r="M4" s="21" t="inlineStr">
        <is>
          <t>% Sessions on Time</t>
        </is>
      </c>
      <c r="N4" s="23" t="inlineStr">
        <is>
          <t>Ratio of PPW Events with Attached PPWs</t>
        </is>
      </c>
      <c r="O4" s="21" t="inlineStr">
        <is>
          <t>% of Active Students with Progress Updates Completed</t>
        </is>
      </c>
      <c r="P4" s="21" t="inlineStr">
        <is>
          <t># of NPS Scores</t>
        </is>
      </c>
      <c r="Q4" s="21" t="inlineStr">
        <is>
          <t>Avg. NPS Score</t>
        </is>
      </c>
      <c r="R4" s="21" t="inlineStr">
        <is>
          <t>Weighted Repurchases</t>
        </is>
      </c>
      <c r="S4" s="15" t="inlineStr">
        <is>
          <t>Autoattendance</t>
        </is>
      </c>
      <c r="T4" s="21" t="inlineStr">
        <is>
          <t>New 1 on 1 Students</t>
        </is>
      </c>
      <c r="U4" s="21" t="inlineStr">
        <is>
          <t>total 1 on 1 students</t>
        </is>
      </c>
      <c r="V4" s="21" t="inlineStr">
        <is>
          <t>Average AI Score for Progress Updates</t>
        </is>
      </c>
      <c r="Y4" s="21" t="n"/>
    </row>
    <row r="5" ht="16" customHeight="1">
      <c r="A5" s="24" t="inlineStr">
        <is>
          <t>Aaron Schneberger</t>
        </is>
      </c>
      <c r="B5" s="25" t="inlineStr">
        <is>
          <t>Distinguished</t>
        </is>
      </c>
      <c r="C5" s="25" t="inlineStr">
        <is>
          <t>Ian Plamondon</t>
        </is>
      </c>
      <c r="D5" s="26" t="n">
        <v>46104</v>
      </c>
      <c r="E5" s="25" t="n">
        <v>30</v>
      </c>
      <c r="F5" s="25" t="n">
        <v>13.63</v>
      </c>
      <c r="G5" s="14" t="n">
        <v>0.4542</v>
      </c>
      <c r="H5" s="15" t="n">
        <v>38</v>
      </c>
      <c r="I5" s="15" t="n">
        <v>35</v>
      </c>
      <c r="J5" s="14" t="n">
        <v>0.9211</v>
      </c>
      <c r="K5" s="14" t="n">
        <v>4.9164</v>
      </c>
      <c r="L5" s="14" t="n">
        <v>1</v>
      </c>
      <c r="M5" s="14" t="n">
        <v>1</v>
      </c>
      <c r="N5" s="27" t="inlineStr">
        <is>
          <t>2/2</t>
        </is>
      </c>
      <c r="O5" s="14" t="n">
        <v>1</v>
      </c>
      <c r="P5" s="15" t="n"/>
      <c r="Q5" s="15" t="n"/>
      <c r="R5" s="15" t="n">
        <v>43</v>
      </c>
      <c r="S5" s="15" t="n"/>
      <c r="T5" s="15" t="n">
        <v>2</v>
      </c>
      <c r="U5" s="15" t="n">
        <v>12</v>
      </c>
      <c r="V5" s="28" t="n">
        <v>52.5</v>
      </c>
      <c r="W5" t="n">
        <v>2</v>
      </c>
    </row>
    <row r="6" ht="16" customHeight="1">
      <c r="A6" s="24" t="inlineStr">
        <is>
          <t>Akeema Williams</t>
        </is>
      </c>
      <c r="B6" s="25" t="inlineStr">
        <is>
          <t>Distinguished</t>
        </is>
      </c>
      <c r="C6" s="25" t="inlineStr">
        <is>
          <t>Geoff St. Marie</t>
        </is>
      </c>
      <c r="D6" s="26" t="n">
        <v>45519</v>
      </c>
      <c r="E6" s="25" t="n">
        <v>30</v>
      </c>
      <c r="F6" s="25" t="n">
        <v>17.75</v>
      </c>
      <c r="G6" s="14" t="n">
        <v>0.5917</v>
      </c>
      <c r="H6" s="15" t="n">
        <v>38</v>
      </c>
      <c r="I6" s="15" t="n">
        <v>36.5</v>
      </c>
      <c r="J6" s="14" t="n">
        <v>0.9605</v>
      </c>
      <c r="K6" s="14" t="n">
        <v>4.1666</v>
      </c>
      <c r="L6" s="14" t="n">
        <v>1</v>
      </c>
      <c r="M6" s="14" t="n">
        <v>1</v>
      </c>
      <c r="N6" s="27" t="inlineStr">
        <is>
          <t>3/4</t>
        </is>
      </c>
      <c r="O6" s="14" t="n">
        <v>0.571428571</v>
      </c>
      <c r="P6" s="15" t="n"/>
      <c r="Q6" s="15" t="n"/>
      <c r="R6" s="15" t="n">
        <v>90</v>
      </c>
      <c r="S6" s="15" t="n"/>
      <c r="T6" s="15" t="n">
        <v>7</v>
      </c>
      <c r="U6" s="15" t="n">
        <v>18</v>
      </c>
      <c r="V6" s="28" t="n">
        <v>67.5</v>
      </c>
      <c r="W6" t="n">
        <v>3.5</v>
      </c>
    </row>
    <row r="7" ht="16" customHeight="1">
      <c r="A7" s="24" t="inlineStr">
        <is>
          <t>Alex Small</t>
        </is>
      </c>
      <c r="B7" s="25" t="inlineStr">
        <is>
          <t>Premium</t>
        </is>
      </c>
      <c r="C7" s="25" t="inlineStr">
        <is>
          <t>Ela Cross</t>
        </is>
      </c>
      <c r="D7" s="26" t="n">
        <v>43907</v>
      </c>
      <c r="E7" s="25" t="n">
        <v>12</v>
      </c>
      <c r="F7" s="25" t="n">
        <v>6.75</v>
      </c>
      <c r="G7" s="14" t="n">
        <v>0.5625</v>
      </c>
      <c r="H7" s="15" t="n">
        <v>16</v>
      </c>
      <c r="I7" s="15" t="n">
        <v>23.63</v>
      </c>
      <c r="J7" s="14" t="n">
        <v>1.4766</v>
      </c>
      <c r="K7" s="14" t="n"/>
      <c r="L7" s="14" t="n">
        <v>1</v>
      </c>
      <c r="M7" s="14" t="n">
        <v>1</v>
      </c>
      <c r="N7" s="27" t="inlineStr">
        <is>
          <t>2/2</t>
        </is>
      </c>
      <c r="O7" s="14" t="n">
        <v>0.333333333</v>
      </c>
      <c r="P7" s="15" t="n"/>
      <c r="Q7" s="15" t="n"/>
      <c r="R7" s="15" t="n">
        <v>15</v>
      </c>
      <c r="S7" s="15" t="n"/>
      <c r="T7" s="15" t="n">
        <v>3</v>
      </c>
      <c r="U7" s="15" t="n">
        <v>5</v>
      </c>
      <c r="V7" s="28" t="n">
        <v>23</v>
      </c>
      <c r="W7" t="n">
        <v>4</v>
      </c>
    </row>
    <row r="8" ht="16" customHeight="1">
      <c r="A8" s="24" t="inlineStr">
        <is>
          <t>Alexa Pinera</t>
        </is>
      </c>
      <c r="B8" s="25" t="inlineStr">
        <is>
          <t>Premium</t>
        </is>
      </c>
      <c r="C8" s="25" t="inlineStr">
        <is>
          <t>Ian Plamondon</t>
        </is>
      </c>
      <c r="D8" s="26" t="n">
        <v>43812</v>
      </c>
      <c r="E8" s="25" t="n">
        <v>30</v>
      </c>
      <c r="F8" s="25" t="n">
        <v>13.63</v>
      </c>
      <c r="G8" s="14" t="n">
        <v>0.4542</v>
      </c>
      <c r="H8" s="15" t="n">
        <v>30</v>
      </c>
      <c r="I8" s="15" t="n">
        <v>66.25</v>
      </c>
      <c r="J8" s="14" t="n">
        <v>2.2083</v>
      </c>
      <c r="K8" s="14" t="n">
        <v>0.4165</v>
      </c>
      <c r="L8" s="14" t="n">
        <v>1</v>
      </c>
      <c r="M8" s="14" t="n">
        <v>0.977272727</v>
      </c>
      <c r="N8" s="27" t="inlineStr">
        <is>
          <t>5/5</t>
        </is>
      </c>
      <c r="O8" s="14" t="n">
        <v>0.75</v>
      </c>
      <c r="P8" s="15" t="n"/>
      <c r="Q8" s="15" t="n"/>
      <c r="R8" s="15" t="n">
        <v>32</v>
      </c>
      <c r="S8" s="15" t="n"/>
      <c r="T8" s="15" t="n">
        <v>8</v>
      </c>
      <c r="U8" s="15" t="n">
        <v>10</v>
      </c>
      <c r="V8" s="28" t="n">
        <v>49</v>
      </c>
      <c r="W8" t="n">
        <v>5.5</v>
      </c>
    </row>
    <row r="9" ht="16" customHeight="1">
      <c r="A9" s="24" t="inlineStr">
        <is>
          <t>Alexandra Berrios</t>
        </is>
      </c>
      <c r="B9" s="25" t="inlineStr">
        <is>
          <t>Distinguished</t>
        </is>
      </c>
      <c r="C9" s="25" t="inlineStr">
        <is>
          <t>Kristin Haase-Alvey</t>
        </is>
      </c>
      <c r="D9" s="26" t="n">
        <v>45755</v>
      </c>
      <c r="E9" s="25" t="n">
        <v>12</v>
      </c>
      <c r="F9" s="25" t="n">
        <v>6.75</v>
      </c>
      <c r="G9" s="14" t="n">
        <v>0.5625</v>
      </c>
      <c r="H9" s="15" t="n">
        <v>16</v>
      </c>
      <c r="I9" s="15" t="n">
        <v>17.75</v>
      </c>
      <c r="J9" s="14" t="n">
        <v>1.1094</v>
      </c>
      <c r="K9" s="14" t="n"/>
      <c r="L9" s="14" t="n">
        <v>0.714</v>
      </c>
      <c r="M9" s="14" t="n">
        <v>1</v>
      </c>
      <c r="N9" s="27" t="inlineStr">
        <is>
          <t>1/1</t>
        </is>
      </c>
      <c r="O9" s="14" t="n">
        <v>1</v>
      </c>
      <c r="P9" s="15" t="n"/>
      <c r="Q9" s="15" t="n"/>
      <c r="R9" s="15" t="n">
        <v>72</v>
      </c>
      <c r="S9" s="15" t="n">
        <v>5</v>
      </c>
      <c r="T9" s="15" t="n">
        <v>4</v>
      </c>
      <c r="U9" s="15" t="n">
        <v>13</v>
      </c>
      <c r="V9" s="28" t="n">
        <v>21</v>
      </c>
      <c r="W9" t="n">
        <v>6</v>
      </c>
    </row>
    <row r="10" ht="16" customHeight="1">
      <c r="A10" s="24" t="inlineStr">
        <is>
          <t>Alexis Boucher</t>
        </is>
      </c>
      <c r="B10" s="25" t="inlineStr">
        <is>
          <t>Distinguished</t>
        </is>
      </c>
      <c r="C10" s="25" t="inlineStr">
        <is>
          <t>Geoff St. Marie</t>
        </is>
      </c>
      <c r="D10" s="26" t="n">
        <v>43749</v>
      </c>
      <c r="E10" s="25" t="n">
        <v>30</v>
      </c>
      <c r="F10" s="25" t="n">
        <v>10.63</v>
      </c>
      <c r="G10" s="14" t="n">
        <v>0.3542</v>
      </c>
      <c r="H10" s="15" t="n">
        <v>38</v>
      </c>
      <c r="I10" s="15" t="n">
        <v>31.67</v>
      </c>
      <c r="J10" s="14" t="n">
        <v>0.8333</v>
      </c>
      <c r="K10" s="14" t="n"/>
      <c r="L10" s="14" t="n">
        <v>0.92</v>
      </c>
      <c r="M10" s="14" t="n">
        <v>0.972222222</v>
      </c>
      <c r="N10" s="27" t="inlineStr">
        <is>
          <t>1/1</t>
        </is>
      </c>
      <c r="O10" s="14" t="n">
        <v>0.5</v>
      </c>
      <c r="P10" s="15" t="n"/>
      <c r="Q10" s="15" t="n"/>
      <c r="R10" s="15" t="n">
        <v>6</v>
      </c>
      <c r="S10" s="15" t="n">
        <v>0</v>
      </c>
      <c r="T10" s="15" t="n">
        <v>2</v>
      </c>
      <c r="U10" s="15" t="n">
        <v>10</v>
      </c>
      <c r="V10" s="28" t="n">
        <v>38.5</v>
      </c>
      <c r="W10" t="n">
        <v>4</v>
      </c>
    </row>
    <row r="11" ht="16" customHeight="1">
      <c r="A11" s="24" t="inlineStr">
        <is>
          <t>Allison Peck</t>
        </is>
      </c>
      <c r="B11" s="25" t="inlineStr">
        <is>
          <t>Distinguished</t>
        </is>
      </c>
      <c r="C11" s="25" t="inlineStr">
        <is>
          <t>Kristin Haase-Alvey</t>
        </is>
      </c>
      <c r="D11" s="26" t="n">
        <v>45223</v>
      </c>
      <c r="E11" s="25" t="n">
        <v>12</v>
      </c>
      <c r="F11" s="25" t="n">
        <v>5.13</v>
      </c>
      <c r="G11" s="14" t="n">
        <v>0.4271</v>
      </c>
      <c r="H11" s="15" t="n">
        <v>16</v>
      </c>
      <c r="I11" s="15" t="n">
        <v>17.75</v>
      </c>
      <c r="J11" s="14" t="n">
        <v>1.1094</v>
      </c>
      <c r="K11" s="14" t="n">
        <v>4.5829</v>
      </c>
      <c r="L11" s="14" t="n">
        <v>0.875</v>
      </c>
      <c r="M11" s="14" t="n">
        <v>1</v>
      </c>
      <c r="N11" s="27" t="inlineStr">
        <is>
          <t>0/0</t>
        </is>
      </c>
      <c r="O11" s="14" t="n">
        <v>1</v>
      </c>
      <c r="P11" s="15" t="n"/>
      <c r="Q11" s="15" t="n"/>
      <c r="R11" s="15" t="n">
        <v>0</v>
      </c>
      <c r="S11" s="15" t="n"/>
      <c r="T11" s="15" t="n">
        <v>1</v>
      </c>
      <c r="U11" s="15" t="n">
        <v>9</v>
      </c>
      <c r="V11" s="28" t="n">
        <v>20.5</v>
      </c>
    </row>
    <row r="12" ht="16" customHeight="1">
      <c r="A12" s="24" t="inlineStr">
        <is>
          <t>Amber Maldonado</t>
        </is>
      </c>
      <c r="B12" s="25" t="inlineStr">
        <is>
          <t>Distinguished</t>
        </is>
      </c>
      <c r="C12" s="25" t="inlineStr">
        <is>
          <t>Annelies de Groot</t>
        </is>
      </c>
      <c r="D12" s="26" t="n">
        <v>45683</v>
      </c>
      <c r="E12" s="25" t="n">
        <v>30</v>
      </c>
      <c r="F12" s="25" t="n">
        <v>11.75</v>
      </c>
      <c r="G12" s="14" t="n">
        <v>0.3917</v>
      </c>
      <c r="H12" s="15" t="n">
        <v>38</v>
      </c>
      <c r="I12" s="15" t="n">
        <v>31.06</v>
      </c>
      <c r="J12" s="14" t="n">
        <v>0.8174</v>
      </c>
      <c r="K12" s="14" t="n">
        <v>12.2499</v>
      </c>
      <c r="L12" s="14" t="n">
        <v>0.806</v>
      </c>
      <c r="M12" s="14" t="n">
        <v>0.909090909</v>
      </c>
      <c r="N12" s="27" t="inlineStr">
        <is>
          <t>3/5</t>
        </is>
      </c>
      <c r="O12" s="14" t="n">
        <v>1</v>
      </c>
      <c r="P12" s="15" t="n"/>
      <c r="Q12" s="15" t="n"/>
      <c r="R12" s="15" t="n">
        <v>63</v>
      </c>
      <c r="S12" s="15" t="n">
        <v>4</v>
      </c>
      <c r="T12" s="15" t="n">
        <v>6</v>
      </c>
      <c r="U12" s="15" t="n">
        <v>18</v>
      </c>
      <c r="V12" s="28" t="n">
        <v>45</v>
      </c>
      <c r="W12" s="9" t="n">
        <v>2</v>
      </c>
      <c r="X12" s="9" t="n"/>
      <c r="Y12" s="9" t="n"/>
    </row>
    <row r="13" ht="16" customHeight="1">
      <c r="A13" s="24" t="inlineStr">
        <is>
          <t>Amelia Sain</t>
        </is>
      </c>
      <c r="B13" s="25" t="inlineStr">
        <is>
          <t>Premium</t>
        </is>
      </c>
      <c r="C13" s="25" t="inlineStr">
        <is>
          <t>Geoff St. Marie</t>
        </is>
      </c>
      <c r="D13" s="26" t="n">
        <v>43479</v>
      </c>
      <c r="E13" s="25" t="n">
        <v>30</v>
      </c>
      <c r="F13" s="25" t="n">
        <v>16.25</v>
      </c>
      <c r="G13" s="14" t="n">
        <v>0.5417</v>
      </c>
      <c r="H13" s="15" t="n">
        <v>38</v>
      </c>
      <c r="I13" s="15" t="n">
        <v>43.56</v>
      </c>
      <c r="J13" s="14" t="n">
        <v>1.1464</v>
      </c>
      <c r="K13" s="14" t="n">
        <v>4</v>
      </c>
      <c r="L13" s="14" t="n">
        <v>0.737</v>
      </c>
      <c r="M13" s="14" t="n">
        <v>1</v>
      </c>
      <c r="N13" s="27" t="inlineStr">
        <is>
          <t>2/8</t>
        </is>
      </c>
      <c r="O13" s="14" t="n">
        <v>0</v>
      </c>
      <c r="P13" s="15" t="n"/>
      <c r="Q13" s="15" t="n"/>
      <c r="R13" s="15" t="n">
        <v>154</v>
      </c>
      <c r="S13" s="15" t="n"/>
      <c r="T13" s="15" t="n">
        <v>11</v>
      </c>
      <c r="U13" s="15" t="n">
        <v>20</v>
      </c>
      <c r="V13" s="28" t="n">
        <v>62.5</v>
      </c>
      <c r="W13" t="n">
        <v>2.5</v>
      </c>
    </row>
    <row r="14" ht="16" customHeight="1">
      <c r="A14" s="24" t="inlineStr">
        <is>
          <t>Ana Heiser</t>
        </is>
      </c>
      <c r="B14" s="25" t="inlineStr">
        <is>
          <t>Distinguished</t>
        </is>
      </c>
      <c r="C14" s="25" t="inlineStr">
        <is>
          <t>Kristin Haase-Alvey</t>
        </is>
      </c>
      <c r="D14" s="26" t="n">
        <v>45538</v>
      </c>
      <c r="E14" s="25" t="n">
        <v>30</v>
      </c>
      <c r="F14" s="25" t="n">
        <v>17</v>
      </c>
      <c r="G14" s="14" t="n">
        <v>0.5667</v>
      </c>
      <c r="H14" s="15" t="n">
        <v>30</v>
      </c>
      <c r="I14" s="15" t="n">
        <v>39.69</v>
      </c>
      <c r="J14" s="14" t="n">
        <v>1.3229</v>
      </c>
      <c r="K14" s="14" t="n">
        <v>5.8331</v>
      </c>
      <c r="L14" s="14" t="n">
        <v>1</v>
      </c>
      <c r="M14" s="14" t="n">
        <v>0.969230769</v>
      </c>
      <c r="N14" s="27" t="inlineStr">
        <is>
          <t>3/3</t>
        </is>
      </c>
      <c r="O14" s="14" t="n">
        <v>1</v>
      </c>
      <c r="P14" s="15" t="n"/>
      <c r="Q14" s="15" t="n"/>
      <c r="R14" s="15" t="n">
        <v>92</v>
      </c>
      <c r="S14" s="15" t="n"/>
      <c r="T14" s="15" t="n">
        <v>3</v>
      </c>
      <c r="U14" s="15" t="n">
        <v>22</v>
      </c>
      <c r="V14" s="28" t="n">
        <v>67</v>
      </c>
      <c r="W14" t="n">
        <v>1</v>
      </c>
    </row>
    <row r="15" ht="16" customHeight="1">
      <c r="A15" s="24" t="inlineStr">
        <is>
          <t>Andres Jarquin</t>
        </is>
      </c>
      <c r="B15" s="25" t="inlineStr">
        <is>
          <t>Distinguished</t>
        </is>
      </c>
      <c r="C15" s="25" t="inlineStr">
        <is>
          <t>Ian Plamondon</t>
        </is>
      </c>
      <c r="D15" s="26" t="n">
        <v>45876</v>
      </c>
      <c r="E15" s="25" t="n">
        <v>30</v>
      </c>
      <c r="F15" s="25" t="n">
        <v>10.25</v>
      </c>
      <c r="G15" s="14" t="n">
        <v>0.3417</v>
      </c>
      <c r="H15" s="15" t="n">
        <v>38</v>
      </c>
      <c r="I15" s="15" t="n">
        <v>32.63</v>
      </c>
      <c r="J15" s="14" t="n">
        <v>0.8586</v>
      </c>
      <c r="K15" s="14" t="n">
        <v>3.4166</v>
      </c>
      <c r="L15" s="14" t="n">
        <v>1</v>
      </c>
      <c r="M15" s="14" t="n">
        <v>1</v>
      </c>
      <c r="N15" s="27" t="inlineStr">
        <is>
          <t>0/1</t>
        </is>
      </c>
      <c r="O15" s="14" t="n">
        <v>0.6</v>
      </c>
      <c r="P15" s="15" t="n">
        <v>1</v>
      </c>
      <c r="Q15" s="15" t="n">
        <v>8</v>
      </c>
      <c r="R15" s="15" t="n">
        <v>180</v>
      </c>
      <c r="S15" s="15" t="n"/>
      <c r="T15" s="15" t="n">
        <v>2</v>
      </c>
      <c r="U15" s="15" t="n">
        <v>8</v>
      </c>
      <c r="V15" s="28" t="n">
        <v>41</v>
      </c>
    </row>
    <row r="16" ht="16" customHeight="1">
      <c r="A16" s="24" t="inlineStr">
        <is>
          <t>Andrew Brown</t>
        </is>
      </c>
      <c r="B16" s="25" t="inlineStr">
        <is>
          <t>Distinguished</t>
        </is>
      </c>
      <c r="C16" s="25" t="inlineStr">
        <is>
          <t>Geoff St. Marie</t>
        </is>
      </c>
      <c r="D16" s="26" t="n">
        <v>44218</v>
      </c>
      <c r="E16" s="25" t="n">
        <v>30</v>
      </c>
      <c r="F16" s="25" t="n">
        <v>27.75</v>
      </c>
      <c r="G16" s="14" t="n">
        <v>0.925</v>
      </c>
      <c r="H16" s="15" t="n">
        <v>38</v>
      </c>
      <c r="I16" s="15" t="n">
        <v>51.88</v>
      </c>
      <c r="J16" s="14" t="n">
        <v>1.3651</v>
      </c>
      <c r="K16" s="14" t="n">
        <v>7.5833</v>
      </c>
      <c r="L16" s="14" t="n">
        <v>0.968</v>
      </c>
      <c r="M16" s="14" t="n">
        <v>0.99</v>
      </c>
      <c r="N16" s="27" t="inlineStr">
        <is>
          <t>3/8</t>
        </is>
      </c>
      <c r="O16" s="14" t="n">
        <v>0.375</v>
      </c>
      <c r="P16" s="15" t="n"/>
      <c r="Q16" s="15" t="n"/>
      <c r="R16" s="15" t="n">
        <v>105.5</v>
      </c>
      <c r="S16" s="15" t="n"/>
      <c r="T16" s="15" t="n">
        <v>10</v>
      </c>
      <c r="U16" s="15" t="n">
        <v>26</v>
      </c>
      <c r="V16" s="28" t="n">
        <v>102.5</v>
      </c>
      <c r="W16" t="n">
        <v>8.5</v>
      </c>
    </row>
    <row r="17" ht="16" customHeight="1">
      <c r="A17" s="24" t="inlineStr">
        <is>
          <t>Andrew Frohmader</t>
        </is>
      </c>
      <c r="B17" s="25" t="inlineStr">
        <is>
          <t>Distinguished</t>
        </is>
      </c>
      <c r="C17" s="25" t="inlineStr">
        <is>
          <t>Katherine Marino</t>
        </is>
      </c>
      <c r="D17" s="26" t="n">
        <v>46218</v>
      </c>
      <c r="E17" s="25" t="n">
        <v>30</v>
      </c>
      <c r="F17" s="25" t="n"/>
      <c r="G17" s="14" t="n"/>
      <c r="H17" s="15" t="n">
        <v>38</v>
      </c>
      <c r="I17" s="15" t="n"/>
      <c r="J17" s="14" t="n"/>
      <c r="K17" s="14" t="n"/>
      <c r="L17" s="14" t="n"/>
      <c r="M17" s="14" t="n"/>
      <c r="N17" s="27" t="inlineStr">
        <is>
          <t>0/0</t>
        </is>
      </c>
      <c r="O17" s="14" t="n"/>
      <c r="P17" s="15" t="n"/>
      <c r="Q17" s="15" t="n"/>
      <c r="R17" s="15" t="n">
        <v>0</v>
      </c>
      <c r="S17" s="15" t="n"/>
      <c r="T17" s="15" t="n">
        <v>0</v>
      </c>
      <c r="U17" s="15" t="n">
        <v>0</v>
      </c>
      <c r="V17" s="28" t="n"/>
    </row>
    <row r="18" ht="16" customHeight="1">
      <c r="A18" s="24" t="inlineStr">
        <is>
          <t>Andrew Gehlot</t>
        </is>
      </c>
      <c r="B18" s="25" t="inlineStr">
        <is>
          <t>Premium</t>
        </is>
      </c>
      <c r="C18" s="25" t="inlineStr">
        <is>
          <t>Ela Cross</t>
        </is>
      </c>
      <c r="D18" s="26" t="n">
        <v>42825</v>
      </c>
      <c r="E18" s="25" t="n">
        <v>30</v>
      </c>
      <c r="F18" s="25" t="n">
        <v>17</v>
      </c>
      <c r="G18" s="14" t="n">
        <v>0.5667</v>
      </c>
      <c r="H18" s="15" t="n">
        <v>38</v>
      </c>
      <c r="I18" s="15" t="n">
        <v>40.38</v>
      </c>
      <c r="J18" s="14" t="n">
        <v>1.0625</v>
      </c>
      <c r="K18" s="14" t="n">
        <v>0.75</v>
      </c>
      <c r="L18" s="14" t="n">
        <v>0.825</v>
      </c>
      <c r="M18" s="14" t="n">
        <v>0.938461538</v>
      </c>
      <c r="N18" s="27" t="inlineStr">
        <is>
          <t>4/5</t>
        </is>
      </c>
      <c r="O18" s="14" t="n">
        <v>0.444444444</v>
      </c>
      <c r="P18" s="15" t="n"/>
      <c r="Q18" s="15" t="n"/>
      <c r="R18" s="15" t="n">
        <v>12</v>
      </c>
      <c r="S18" s="15" t="n">
        <v>30</v>
      </c>
      <c r="T18" s="15" t="n">
        <v>7</v>
      </c>
      <c r="U18" s="15" t="n">
        <v>18</v>
      </c>
      <c r="V18" s="28" t="n">
        <v>62.5</v>
      </c>
      <c r="W18" t="n">
        <v>5.5</v>
      </c>
    </row>
    <row r="19" ht="16" customHeight="1">
      <c r="A19" s="24" t="inlineStr">
        <is>
          <t>Andrew League</t>
        </is>
      </c>
      <c r="B19" s="25" t="inlineStr">
        <is>
          <t>Distinguished</t>
        </is>
      </c>
      <c r="C19" s="25" t="inlineStr">
        <is>
          <t>Ian Plamondon</t>
        </is>
      </c>
      <c r="D19" s="26" t="n">
        <v>46065</v>
      </c>
      <c r="E19" s="25" t="n">
        <v>30</v>
      </c>
      <c r="F19" s="25" t="n">
        <v>16.88</v>
      </c>
      <c r="G19" s="14" t="n">
        <v>0.5625</v>
      </c>
      <c r="H19" s="15" t="n">
        <v>38</v>
      </c>
      <c r="I19" s="15" t="n">
        <v>35.69</v>
      </c>
      <c r="J19" s="14" t="n">
        <v>0.9391</v>
      </c>
      <c r="K19" s="14" t="n">
        <v>6.083</v>
      </c>
      <c r="L19" s="14" t="n">
        <v>0.9350000000000001</v>
      </c>
      <c r="M19" s="14" t="n">
        <v>0.984375</v>
      </c>
      <c r="N19" s="27" t="inlineStr">
        <is>
          <t>3/3</t>
        </is>
      </c>
      <c r="O19" s="14" t="n">
        <v>0.857142857</v>
      </c>
      <c r="P19" s="15" t="n"/>
      <c r="Q19" s="15" t="n"/>
      <c r="R19" s="15" t="n">
        <v>101</v>
      </c>
      <c r="S19" s="15" t="n"/>
      <c r="T19" s="15" t="n">
        <v>5</v>
      </c>
      <c r="U19" s="15" t="n">
        <v>19</v>
      </c>
      <c r="V19" s="28" t="n">
        <v>66.5</v>
      </c>
      <c r="W19" t="n">
        <v>1</v>
      </c>
    </row>
    <row r="20" ht="16" customHeight="1">
      <c r="A20" s="24" t="inlineStr">
        <is>
          <t>Anna Jasko</t>
        </is>
      </c>
      <c r="B20" s="25" t="inlineStr">
        <is>
          <t>Distinguished</t>
        </is>
      </c>
      <c r="C20" s="25" t="inlineStr">
        <is>
          <t>Ela Cross</t>
        </is>
      </c>
      <c r="D20" s="26" t="n">
        <v>46090</v>
      </c>
      <c r="E20" s="25" t="n">
        <v>30</v>
      </c>
      <c r="F20" s="25" t="n">
        <v>16.88</v>
      </c>
      <c r="G20" s="14" t="n">
        <v>0.5625</v>
      </c>
      <c r="H20" s="15" t="n">
        <v>38</v>
      </c>
      <c r="I20" s="15" t="n">
        <v>35.5</v>
      </c>
      <c r="J20" s="14" t="n">
        <v>0.9342</v>
      </c>
      <c r="K20" s="14" t="n">
        <v>14.2499</v>
      </c>
      <c r="L20" s="14" t="n">
        <v>1</v>
      </c>
      <c r="M20" s="14" t="n">
        <v>1</v>
      </c>
      <c r="N20" s="27" t="inlineStr">
        <is>
          <t>6/7</t>
        </is>
      </c>
      <c r="O20" s="14" t="n">
        <v>0.818181818</v>
      </c>
      <c r="P20" s="15" t="n"/>
      <c r="Q20" s="15" t="n"/>
      <c r="R20" s="15" t="n">
        <v>276</v>
      </c>
      <c r="S20" s="15" t="n"/>
      <c r="T20" s="15" t="n">
        <v>14</v>
      </c>
      <c r="U20" s="15" t="n">
        <v>29</v>
      </c>
      <c r="V20" s="28" t="n">
        <v>63.5</v>
      </c>
      <c r="W20" t="n">
        <v>4</v>
      </c>
    </row>
    <row r="21" ht="16" customHeight="1">
      <c r="A21" s="24" t="inlineStr">
        <is>
          <t>Annie Sylvester</t>
        </is>
      </c>
      <c r="B21" s="25" t="inlineStr">
        <is>
          <t>Distinguished</t>
        </is>
      </c>
      <c r="C21" s="25" t="inlineStr">
        <is>
          <t>Ela Cross</t>
        </is>
      </c>
      <c r="D21" s="26" t="n">
        <v>46052</v>
      </c>
      <c r="E21" s="25" t="n">
        <v>35</v>
      </c>
      <c r="F21" s="25" t="n">
        <v>22.5</v>
      </c>
      <c r="G21" s="14" t="n">
        <v>0.6429</v>
      </c>
      <c r="H21" s="15" t="n">
        <v>43</v>
      </c>
      <c r="I21" s="15" t="n">
        <v>41.25</v>
      </c>
      <c r="J21" s="14" t="n">
        <v>0.9593</v>
      </c>
      <c r="K21" s="14" t="n">
        <v>2.75</v>
      </c>
      <c r="L21" s="14" t="n">
        <v>1</v>
      </c>
      <c r="M21" s="14" t="n">
        <v>1</v>
      </c>
      <c r="N21" s="27" t="inlineStr">
        <is>
          <t>5/5</t>
        </is>
      </c>
      <c r="O21" s="14" t="n">
        <v>0.545454545</v>
      </c>
      <c r="P21" s="15" t="n">
        <v>1</v>
      </c>
      <c r="Q21" s="15" t="n">
        <v>9</v>
      </c>
      <c r="R21" s="15" t="n">
        <v>143</v>
      </c>
      <c r="S21" s="15" t="n"/>
      <c r="T21" s="15" t="n">
        <v>10</v>
      </c>
      <c r="U21" s="15" t="n">
        <v>23</v>
      </c>
      <c r="V21" s="28" t="n">
        <v>87</v>
      </c>
      <c r="W21" t="n">
        <v>3</v>
      </c>
    </row>
    <row r="22" ht="16" customHeight="1">
      <c r="A22" s="24" t="inlineStr">
        <is>
          <t>Armand Brouty</t>
        </is>
      </c>
      <c r="B22" s="25" t="inlineStr">
        <is>
          <t>Distinguished</t>
        </is>
      </c>
      <c r="C22" s="25" t="inlineStr">
        <is>
          <t>Geoff St. Marie</t>
        </is>
      </c>
      <c r="D22" s="26" t="n">
        <v>44015</v>
      </c>
      <c r="E22" s="25" t="n">
        <v>30</v>
      </c>
      <c r="F22" s="25" t="n">
        <v>23.63</v>
      </c>
      <c r="G22" s="14" t="n">
        <v>0.7875</v>
      </c>
      <c r="H22" s="15" t="n">
        <v>38</v>
      </c>
      <c r="I22" s="15" t="n">
        <v>58.13</v>
      </c>
      <c r="J22" s="14" t="n">
        <v>1.5296</v>
      </c>
      <c r="K22" s="14" t="n">
        <v>9.2498</v>
      </c>
      <c r="L22" s="14" t="n">
        <v>1</v>
      </c>
      <c r="M22" s="14" t="n">
        <v>0.965909091</v>
      </c>
      <c r="N22" s="27" t="inlineStr">
        <is>
          <t>6/6</t>
        </is>
      </c>
      <c r="O22" s="14" t="n">
        <v>0.75</v>
      </c>
      <c r="P22" s="15" t="n"/>
      <c r="Q22" s="15" t="n"/>
      <c r="R22" s="15" t="n">
        <v>77</v>
      </c>
      <c r="S22" s="15" t="n"/>
      <c r="T22" s="15" t="n">
        <v>11</v>
      </c>
      <c r="U22" s="15" t="n">
        <v>24</v>
      </c>
      <c r="V22" s="28" t="n">
        <v>90.5</v>
      </c>
      <c r="W22" t="n">
        <v>4</v>
      </c>
    </row>
    <row r="23" ht="16" customHeight="1">
      <c r="A23" s="24" t="inlineStr">
        <is>
          <t>Ashley Scorsone</t>
        </is>
      </c>
      <c r="B23" s="25" t="inlineStr">
        <is>
          <t>Premium</t>
        </is>
      </c>
      <c r="C23" s="25" t="inlineStr">
        <is>
          <t>Geoff St. Marie</t>
        </is>
      </c>
      <c r="D23" s="26" t="n">
        <v>42909</v>
      </c>
      <c r="E23" s="25" t="n">
        <v>35</v>
      </c>
      <c r="F23" s="25" t="n">
        <v>40.75</v>
      </c>
      <c r="G23" s="14" t="n">
        <v>1.1643</v>
      </c>
      <c r="H23" s="15" t="n">
        <v>43</v>
      </c>
      <c r="I23" s="15" t="n">
        <v>55.75</v>
      </c>
      <c r="J23" s="14" t="n">
        <v>1.2965</v>
      </c>
      <c r="K23" s="14" t="n"/>
      <c r="L23" s="14" t="n">
        <v>0.974</v>
      </c>
      <c r="M23" s="14" t="n">
        <v>0.951724138</v>
      </c>
      <c r="N23" s="27" t="inlineStr">
        <is>
          <t>2/5</t>
        </is>
      </c>
      <c r="O23" s="14" t="n">
        <v>0.958333333</v>
      </c>
      <c r="P23" s="15" t="n"/>
      <c r="Q23" s="15" t="n"/>
      <c r="R23" s="15" t="n">
        <v>195</v>
      </c>
      <c r="S23" s="15" t="n"/>
      <c r="T23" s="15" t="n">
        <v>9</v>
      </c>
      <c r="U23" s="15" t="n">
        <v>30</v>
      </c>
      <c r="V23" s="28" t="n">
        <v>140.5</v>
      </c>
      <c r="W23" t="n">
        <v>22.5</v>
      </c>
    </row>
    <row r="24" ht="16" customHeight="1">
      <c r="A24" s="24" t="inlineStr">
        <is>
          <t>Autumn Reed</t>
        </is>
      </c>
      <c r="B24" s="25" t="inlineStr">
        <is>
          <t>Advanced</t>
        </is>
      </c>
      <c r="C24" s="25" t="inlineStr">
        <is>
          <t>Geoff St. Marie</t>
        </is>
      </c>
      <c r="D24" s="26" t="n">
        <v>46003</v>
      </c>
      <c r="E24" s="25" t="n">
        <v>20</v>
      </c>
      <c r="F24" s="25" t="n">
        <v>8.25</v>
      </c>
      <c r="G24" s="14" t="n">
        <v>0.4125</v>
      </c>
      <c r="H24" s="15" t="n">
        <v>24</v>
      </c>
      <c r="I24" s="15" t="n">
        <v>30.56</v>
      </c>
      <c r="J24" s="14" t="n">
        <v>1.2734</v>
      </c>
      <c r="K24" s="14" t="n">
        <v>1.25</v>
      </c>
      <c r="L24" s="14" t="n">
        <v>1</v>
      </c>
      <c r="M24" s="14" t="n">
        <v>0.96969697</v>
      </c>
      <c r="N24" s="27" t="inlineStr">
        <is>
          <t>0/0</t>
        </is>
      </c>
      <c r="O24" s="14" t="n">
        <v>1</v>
      </c>
      <c r="P24" s="15" t="n"/>
      <c r="Q24" s="15" t="n"/>
      <c r="R24" s="15" t="n">
        <v>120</v>
      </c>
      <c r="S24" s="15" t="n"/>
      <c r="T24" s="15" t="n">
        <v>2</v>
      </c>
      <c r="U24" s="15" t="n">
        <v>8</v>
      </c>
      <c r="V24" s="28" t="n">
        <v>30</v>
      </c>
      <c r="W24" t="n">
        <v>3</v>
      </c>
    </row>
    <row r="25" ht="16" customHeight="1">
      <c r="A25" s="24" t="inlineStr">
        <is>
          <t>Ayman Smoot</t>
        </is>
      </c>
      <c r="B25" s="25" t="inlineStr">
        <is>
          <t>Distinguished</t>
        </is>
      </c>
      <c r="C25" s="25" t="inlineStr">
        <is>
          <t>Annelies de Groot</t>
        </is>
      </c>
      <c r="D25" s="26" t="n">
        <v>45225</v>
      </c>
      <c r="E25" s="25" t="n">
        <v>20</v>
      </c>
      <c r="F25" s="25" t="n">
        <v>16.75</v>
      </c>
      <c r="G25" s="14" t="n">
        <v>0.8375</v>
      </c>
      <c r="H25" s="15" t="n">
        <v>24</v>
      </c>
      <c r="I25" s="15" t="n">
        <v>33.19</v>
      </c>
      <c r="J25" s="14" t="n">
        <v>1.3828</v>
      </c>
      <c r="K25" s="14" t="n">
        <v>20.1325</v>
      </c>
      <c r="L25" s="14" t="n">
        <v>1</v>
      </c>
      <c r="M25" s="14" t="n">
        <v>1</v>
      </c>
      <c r="N25" s="27" t="inlineStr">
        <is>
          <t>4/5</t>
        </is>
      </c>
      <c r="O25" s="14" t="n">
        <v>0.833333333</v>
      </c>
      <c r="P25" s="15" t="n"/>
      <c r="Q25" s="15" t="n"/>
      <c r="R25" s="15" t="n">
        <v>68</v>
      </c>
      <c r="S25" s="15" t="n"/>
      <c r="T25" s="15" t="n">
        <v>8</v>
      </c>
      <c r="U25" s="15" t="n">
        <v>18</v>
      </c>
      <c r="V25" s="28" t="n">
        <v>61.5</v>
      </c>
      <c r="W25" t="n">
        <v>5.5</v>
      </c>
    </row>
    <row r="26" ht="16" customHeight="1">
      <c r="A26" s="24" t="inlineStr">
        <is>
          <t>Ben Taylor</t>
        </is>
      </c>
      <c r="B26" s="25" t="inlineStr">
        <is>
          <t>Premium</t>
        </is>
      </c>
      <c r="C26" s="25" t="inlineStr">
        <is>
          <t>Kristin Haase-Alvey</t>
        </is>
      </c>
      <c r="D26" s="26" t="n">
        <v>44281</v>
      </c>
      <c r="E26" s="25" t="n">
        <v>30</v>
      </c>
      <c r="F26" s="25" t="n">
        <v>12.5</v>
      </c>
      <c r="G26" s="14" t="n">
        <v>0.4167</v>
      </c>
      <c r="H26" s="15" t="n">
        <v>30</v>
      </c>
      <c r="I26" s="15" t="n">
        <v>39.88</v>
      </c>
      <c r="J26" s="14" t="n">
        <v>1.3292</v>
      </c>
      <c r="K26" s="14" t="n">
        <v>5.5</v>
      </c>
      <c r="L26" s="14" t="n">
        <v>1</v>
      </c>
      <c r="M26" s="14" t="n">
        <v>1</v>
      </c>
      <c r="N26" s="27" t="inlineStr">
        <is>
          <t>4/5</t>
        </is>
      </c>
      <c r="O26" s="14" t="n">
        <v>0.5</v>
      </c>
      <c r="P26" s="15" t="n"/>
      <c r="Q26" s="15" t="n"/>
      <c r="R26" s="15" t="n">
        <v>56.5</v>
      </c>
      <c r="S26" s="15" t="n"/>
      <c r="T26" s="15" t="n">
        <v>12</v>
      </c>
      <c r="U26" s="15" t="n">
        <v>18</v>
      </c>
      <c r="V26" s="28" t="n">
        <v>44</v>
      </c>
      <c r="W26" t="n">
        <v>6</v>
      </c>
    </row>
    <row r="27" ht="16" customHeight="1">
      <c r="A27" s="24" t="inlineStr">
        <is>
          <t>Brandon Engle</t>
        </is>
      </c>
      <c r="B27" s="25" t="inlineStr">
        <is>
          <t>Distinguished</t>
        </is>
      </c>
      <c r="C27" s="25" t="inlineStr">
        <is>
          <t>Annelies de Groot</t>
        </is>
      </c>
      <c r="D27" s="26" t="n">
        <v>45853</v>
      </c>
      <c r="E27" s="25" t="n">
        <v>35</v>
      </c>
      <c r="F27" s="25" t="n">
        <v>17.33</v>
      </c>
      <c r="G27" s="14" t="n">
        <v>0.4952</v>
      </c>
      <c r="H27" s="15" t="n">
        <v>43</v>
      </c>
      <c r="I27" s="15" t="n">
        <v>48.94</v>
      </c>
      <c r="J27" s="14" t="n">
        <v>1.1381</v>
      </c>
      <c r="K27" s="14" t="n">
        <v>18.25</v>
      </c>
      <c r="L27" s="14" t="n">
        <v>0.977</v>
      </c>
      <c r="M27" s="14" t="n">
        <v>1</v>
      </c>
      <c r="N27" s="27" t="inlineStr">
        <is>
          <t>5/6</t>
        </is>
      </c>
      <c r="O27" s="14" t="n">
        <v>0.428571429</v>
      </c>
      <c r="P27" s="15" t="n">
        <v>1</v>
      </c>
      <c r="Q27" s="15" t="n">
        <v>10</v>
      </c>
      <c r="R27" s="15" t="n">
        <v>111</v>
      </c>
      <c r="S27" s="15" t="n">
        <v>1</v>
      </c>
      <c r="T27" s="15" t="n">
        <v>10</v>
      </c>
      <c r="U27" s="15" t="n">
        <v>23</v>
      </c>
      <c r="V27" s="28" t="n">
        <v>65.33329999999999</v>
      </c>
      <c r="W27" t="n">
        <v>4</v>
      </c>
    </row>
    <row r="28" ht="16" customHeight="1">
      <c r="A28" s="24" t="inlineStr">
        <is>
          <t>Breille Duncan</t>
        </is>
      </c>
      <c r="B28" s="25" t="inlineStr">
        <is>
          <t>Distinguished</t>
        </is>
      </c>
      <c r="C28" s="25" t="inlineStr">
        <is>
          <t>Nikki Pencak</t>
        </is>
      </c>
      <c r="D28" s="26" t="n">
        <v>46219</v>
      </c>
      <c r="E28" s="25" t="n">
        <v>35</v>
      </c>
      <c r="F28" s="25" t="n"/>
      <c r="G28" s="14" t="n"/>
      <c r="H28" s="15" t="n">
        <v>43</v>
      </c>
      <c r="I28" s="15" t="n"/>
      <c r="J28" s="14" t="n"/>
      <c r="K28" s="14" t="n"/>
      <c r="L28" s="14" t="n"/>
      <c r="M28" s="14" t="n"/>
      <c r="N28" s="27" t="inlineStr">
        <is>
          <t>0/0</t>
        </is>
      </c>
      <c r="O28" s="14" t="n"/>
      <c r="P28" s="15" t="n"/>
      <c r="Q28" s="15" t="n"/>
      <c r="R28" s="15" t="n">
        <v>0</v>
      </c>
      <c r="S28" s="15" t="n"/>
      <c r="T28" s="15" t="n">
        <v>0</v>
      </c>
      <c r="U28" s="15" t="n">
        <v>0</v>
      </c>
      <c r="V28" s="28" t="n"/>
    </row>
    <row r="29" ht="16" customHeight="1">
      <c r="A29" s="24" t="inlineStr">
        <is>
          <t>Brenna Hubnik</t>
        </is>
      </c>
      <c r="B29" s="25" t="inlineStr">
        <is>
          <t>Distinguished</t>
        </is>
      </c>
      <c r="C29" s="25" t="inlineStr">
        <is>
          <t>Annelies de Groot</t>
        </is>
      </c>
      <c r="D29" s="26" t="n">
        <v>45194</v>
      </c>
      <c r="E29" s="25" t="n">
        <v>12</v>
      </c>
      <c r="F29" s="25" t="n">
        <v>0</v>
      </c>
      <c r="G29" s="14" t="n">
        <v>0</v>
      </c>
      <c r="H29" s="15" t="n">
        <v>16</v>
      </c>
      <c r="I29" s="15" t="n"/>
      <c r="J29" s="14" t="n"/>
      <c r="K29" s="14" t="n"/>
      <c r="L29" s="14" t="n"/>
      <c r="M29" s="14" t="n"/>
      <c r="N29" s="27" t="inlineStr">
        <is>
          <t>0/0</t>
        </is>
      </c>
      <c r="O29" s="14" t="n"/>
      <c r="P29" s="15" t="n"/>
      <c r="Q29" s="15" t="n"/>
      <c r="R29" s="15" t="n">
        <v>32</v>
      </c>
      <c r="S29" s="15" t="n"/>
      <c r="T29" s="15" t="n">
        <v>0</v>
      </c>
      <c r="U29" s="15" t="n">
        <v>2</v>
      </c>
      <c r="V29" s="28" t="n"/>
    </row>
    <row r="30" ht="16" customHeight="1">
      <c r="A30" s="24" t="inlineStr">
        <is>
          <t>Brian Cohen</t>
        </is>
      </c>
      <c r="B30" s="25" t="inlineStr">
        <is>
          <t>Premium</t>
        </is>
      </c>
      <c r="C30" s="25" t="inlineStr">
        <is>
          <t>Annelies de Groot</t>
        </is>
      </c>
      <c r="D30" s="26" t="n">
        <v>43536</v>
      </c>
      <c r="E30" s="25" t="n">
        <v>12</v>
      </c>
      <c r="F30" s="25" t="n">
        <v>9.25</v>
      </c>
      <c r="G30" s="14" t="n">
        <v>0.7708</v>
      </c>
      <c r="H30" s="15" t="n">
        <v>16</v>
      </c>
      <c r="I30" s="15" t="n">
        <v>16.94</v>
      </c>
      <c r="J30" s="14" t="n">
        <v>1.0586</v>
      </c>
      <c r="K30" s="14" t="n">
        <v>3.9166</v>
      </c>
      <c r="L30" s="14" t="n">
        <v>0.92</v>
      </c>
      <c r="M30" s="14" t="n">
        <v>1</v>
      </c>
      <c r="N30" s="27" t="inlineStr">
        <is>
          <t>2/2</t>
        </is>
      </c>
      <c r="O30" s="14" t="n">
        <v>0.875</v>
      </c>
      <c r="P30" s="15" t="n"/>
      <c r="Q30" s="15" t="n"/>
      <c r="R30" s="15" t="n">
        <v>42</v>
      </c>
      <c r="S30" s="15" t="n"/>
      <c r="T30" s="15" t="n">
        <v>3</v>
      </c>
      <c r="U30" s="15" t="n">
        <v>14</v>
      </c>
      <c r="V30" s="28" t="n">
        <v>29</v>
      </c>
      <c r="W30" t="n">
        <v>8</v>
      </c>
    </row>
    <row r="31" ht="16" customHeight="1">
      <c r="A31" s="24" t="inlineStr">
        <is>
          <t>Brian James</t>
        </is>
      </c>
      <c r="B31" s="25" t="inlineStr">
        <is>
          <t>Distinguished</t>
        </is>
      </c>
      <c r="C31" s="25" t="inlineStr">
        <is>
          <t>Annelies de Groot</t>
        </is>
      </c>
      <c r="D31" s="26" t="n">
        <v>45264</v>
      </c>
      <c r="E31" s="25" t="n">
        <v>30</v>
      </c>
      <c r="F31" s="25" t="n">
        <v>18.25</v>
      </c>
      <c r="G31" s="14" t="n">
        <v>0.6083</v>
      </c>
      <c r="H31" s="15" t="n">
        <v>38</v>
      </c>
      <c r="I31" s="15" t="n">
        <v>25.75</v>
      </c>
      <c r="J31" s="14" t="n">
        <v>0.6776</v>
      </c>
      <c r="K31" s="14" t="n">
        <v>1</v>
      </c>
      <c r="L31" s="14" t="n">
        <v>0.735</v>
      </c>
      <c r="M31" s="14" t="n">
        <v>1</v>
      </c>
      <c r="N31" s="27" t="inlineStr">
        <is>
          <t>3/3</t>
        </is>
      </c>
      <c r="O31" s="14" t="n">
        <v>0.058823529</v>
      </c>
      <c r="P31" s="15" t="n"/>
      <c r="Q31" s="15" t="n"/>
      <c r="R31" s="15" t="n">
        <v>214.5</v>
      </c>
      <c r="S31" s="15" t="n">
        <v>1</v>
      </c>
      <c r="T31" s="15" t="n">
        <v>8</v>
      </c>
      <c r="U31" s="15" t="n">
        <v>30</v>
      </c>
      <c r="V31" s="28" t="n">
        <v>70</v>
      </c>
      <c r="W31" t="n">
        <v>3</v>
      </c>
    </row>
    <row r="32" ht="16" customHeight="1">
      <c r="A32" s="24" t="inlineStr">
        <is>
          <t>Brian Johnson</t>
        </is>
      </c>
      <c r="B32" s="25" t="inlineStr">
        <is>
          <t>Distinguished</t>
        </is>
      </c>
      <c r="C32" s="25" t="inlineStr">
        <is>
          <t>Kristin Haase-Alvey</t>
        </is>
      </c>
      <c r="D32" s="26" t="n">
        <v>46090</v>
      </c>
      <c r="E32" s="25" t="n">
        <v>30</v>
      </c>
      <c r="F32" s="25" t="n">
        <v>7.25</v>
      </c>
      <c r="G32" s="14" t="n">
        <v>0.2417</v>
      </c>
      <c r="H32" s="15" t="n">
        <v>38</v>
      </c>
      <c r="I32" s="15" t="n">
        <v>19.75</v>
      </c>
      <c r="J32" s="14" t="n">
        <v>0.5197000000000001</v>
      </c>
      <c r="K32" s="14" t="n">
        <v>9.499499999999999</v>
      </c>
      <c r="L32" s="14" t="n">
        <v>1</v>
      </c>
      <c r="M32" s="14" t="n">
        <v>1</v>
      </c>
      <c r="N32" s="27" t="inlineStr">
        <is>
          <t>5/5</t>
        </is>
      </c>
      <c r="O32" s="14" t="n">
        <v>1</v>
      </c>
      <c r="P32" s="15" t="n"/>
      <c r="Q32" s="15" t="n"/>
      <c r="R32" s="15" t="n">
        <v>120</v>
      </c>
      <c r="S32" s="15" t="n"/>
      <c r="T32" s="15" t="n">
        <v>5</v>
      </c>
      <c r="U32" s="15" t="n">
        <v>15</v>
      </c>
      <c r="V32" s="28" t="n">
        <v>27</v>
      </c>
      <c r="W32" t="n">
        <v>2</v>
      </c>
    </row>
    <row r="33" ht="16" customHeight="1">
      <c r="A33" s="24" t="inlineStr">
        <is>
          <t>Brittany Drew</t>
        </is>
      </c>
      <c r="B33" s="25" t="inlineStr">
        <is>
          <t>Distinguished</t>
        </is>
      </c>
      <c r="C33" s="25" t="inlineStr">
        <is>
          <t>Ela Cross</t>
        </is>
      </c>
      <c r="D33" s="26" t="n">
        <v>46037</v>
      </c>
      <c r="E33" s="25" t="n">
        <v>30</v>
      </c>
      <c r="F33" s="25" t="n">
        <v>25.88</v>
      </c>
      <c r="G33" s="14" t="n">
        <v>0.8625</v>
      </c>
      <c r="H33" s="15" t="n">
        <v>38</v>
      </c>
      <c r="I33" s="15" t="n">
        <v>35.5</v>
      </c>
      <c r="J33" s="14" t="n">
        <v>0.9342</v>
      </c>
      <c r="K33" s="14" t="n">
        <v>35</v>
      </c>
      <c r="L33" s="14" t="n">
        <v>1</v>
      </c>
      <c r="M33" s="14" t="n">
        <v>1</v>
      </c>
      <c r="N33" s="27" t="inlineStr">
        <is>
          <t>3/4</t>
        </is>
      </c>
      <c r="O33" s="14" t="n">
        <v>0.583333333</v>
      </c>
      <c r="P33" s="15" t="n"/>
      <c r="Q33" s="15" t="n"/>
      <c r="R33" s="15" t="n">
        <v>82</v>
      </c>
      <c r="S33" s="15" t="n"/>
      <c r="T33" s="15" t="n">
        <v>7</v>
      </c>
      <c r="U33" s="15" t="n">
        <v>27</v>
      </c>
      <c r="V33" s="28" t="n">
        <v>99.5</v>
      </c>
      <c r="W33" t="n">
        <v>4</v>
      </c>
    </row>
    <row r="34" ht="16" customHeight="1">
      <c r="A34" s="24" t="inlineStr">
        <is>
          <t>Brock Dilley</t>
        </is>
      </c>
      <c r="B34" s="25" t="inlineStr">
        <is>
          <t>Distinguished</t>
        </is>
      </c>
      <c r="C34" s="25" t="inlineStr">
        <is>
          <t>Annelies de Groot</t>
        </is>
      </c>
      <c r="D34" s="26" t="n">
        <v>45992</v>
      </c>
      <c r="E34" s="25" t="n">
        <v>35</v>
      </c>
      <c r="F34" s="25" t="n">
        <v>36.5</v>
      </c>
      <c r="G34" s="14" t="n">
        <v>1.0429</v>
      </c>
      <c r="H34" s="15" t="n">
        <v>43</v>
      </c>
      <c r="I34" s="15" t="n">
        <v>53.56</v>
      </c>
      <c r="J34" s="14" t="n">
        <v>1.2456</v>
      </c>
      <c r="K34" s="14" t="n"/>
      <c r="L34" s="14" t="n">
        <v>0.959</v>
      </c>
      <c r="M34" s="14" t="n">
        <v>1</v>
      </c>
      <c r="N34" s="27" t="inlineStr">
        <is>
          <t>11/13</t>
        </is>
      </c>
      <c r="O34" s="14" t="n">
        <v>0.8</v>
      </c>
      <c r="P34" s="15" t="n"/>
      <c r="Q34" s="15" t="n"/>
      <c r="R34" s="15" t="n">
        <v>240</v>
      </c>
      <c r="S34" s="15" t="n"/>
      <c r="T34" s="15" t="n">
        <v>18</v>
      </c>
      <c r="U34" s="15" t="n">
        <v>32</v>
      </c>
      <c r="V34" s="28" t="n">
        <v>143</v>
      </c>
      <c r="W34" t="n">
        <v>3</v>
      </c>
    </row>
    <row r="35" ht="16" customHeight="1">
      <c r="A35" s="24" t="inlineStr">
        <is>
          <t>Bryant Salinas</t>
        </is>
      </c>
      <c r="B35" s="25" t="inlineStr">
        <is>
          <t>Premium</t>
        </is>
      </c>
      <c r="C35" s="25" t="inlineStr">
        <is>
          <t>Geoff St. Marie</t>
        </is>
      </c>
      <c r="D35" s="26" t="n">
        <v>43363</v>
      </c>
      <c r="E35" s="25" t="n">
        <v>30</v>
      </c>
      <c r="F35" s="25" t="n">
        <v>15.75</v>
      </c>
      <c r="G35" s="14" t="n">
        <v>0.525</v>
      </c>
      <c r="H35" s="15" t="n">
        <v>38</v>
      </c>
      <c r="I35" s="15" t="n">
        <v>44.13</v>
      </c>
      <c r="J35" s="14" t="n">
        <v>1.1612</v>
      </c>
      <c r="K35" s="14" t="n">
        <v>4</v>
      </c>
      <c r="L35" s="14" t="n">
        <v>1</v>
      </c>
      <c r="M35" s="14" t="n">
        <v>0.915254237</v>
      </c>
      <c r="N35" s="27" t="inlineStr">
        <is>
          <t>3/6</t>
        </is>
      </c>
      <c r="O35" s="14" t="n">
        <v>0.333333333</v>
      </c>
      <c r="P35" s="15" t="n"/>
      <c r="Q35" s="15" t="n"/>
      <c r="R35" s="15" t="n">
        <v>13</v>
      </c>
      <c r="S35" s="15" t="n"/>
      <c r="T35" s="15" t="n">
        <v>12</v>
      </c>
      <c r="U35" s="15" t="n">
        <v>20</v>
      </c>
      <c r="V35" s="28" t="n">
        <v>59</v>
      </c>
      <c r="W35" t="n">
        <v>4</v>
      </c>
    </row>
    <row r="36" ht="16" customHeight="1">
      <c r="A36" s="24" t="inlineStr">
        <is>
          <t>Cadence Liles</t>
        </is>
      </c>
      <c r="B36" s="25" t="inlineStr">
        <is>
          <t>Advanced</t>
        </is>
      </c>
      <c r="C36" s="25" t="inlineStr">
        <is>
          <t>Geoff St. Marie</t>
        </is>
      </c>
      <c r="D36" s="26" t="n">
        <v>46097</v>
      </c>
      <c r="E36" s="25" t="n">
        <v>20</v>
      </c>
      <c r="F36" s="25" t="n">
        <v>8</v>
      </c>
      <c r="G36" s="14" t="n">
        <v>0.4</v>
      </c>
      <c r="H36" s="15" t="n">
        <v>24</v>
      </c>
      <c r="I36" s="15" t="n">
        <v>26.38</v>
      </c>
      <c r="J36" s="14" t="n">
        <v>1.099</v>
      </c>
      <c r="K36" s="14" t="n">
        <v>2.4996</v>
      </c>
      <c r="L36" s="14" t="n">
        <v>1</v>
      </c>
      <c r="M36" s="14" t="n">
        <v>1</v>
      </c>
      <c r="N36" s="27" t="inlineStr">
        <is>
          <t>3/3</t>
        </is>
      </c>
      <c r="O36" s="14" t="n">
        <v>1</v>
      </c>
      <c r="P36" s="15" t="n"/>
      <c r="Q36" s="15" t="n"/>
      <c r="R36" s="15" t="n">
        <v>80</v>
      </c>
      <c r="S36" s="15" t="n">
        <v>1</v>
      </c>
      <c r="T36" s="15" t="n">
        <v>4</v>
      </c>
      <c r="U36" s="15" t="n">
        <v>7</v>
      </c>
      <c r="V36" s="28" t="n">
        <v>30</v>
      </c>
      <c r="W36" t="n">
        <v>2</v>
      </c>
    </row>
    <row r="37" ht="16" customHeight="1">
      <c r="A37" s="24" t="inlineStr">
        <is>
          <t>Cait White</t>
        </is>
      </c>
      <c r="B37" s="25" t="inlineStr">
        <is>
          <t>Premium</t>
        </is>
      </c>
      <c r="C37" s="25" t="inlineStr">
        <is>
          <t>Ela Cross</t>
        </is>
      </c>
      <c r="D37" s="26" t="n">
        <v>43903</v>
      </c>
      <c r="E37" s="25" t="n">
        <v>12</v>
      </c>
      <c r="F37" s="25" t="n">
        <v>5.13</v>
      </c>
      <c r="G37" s="14" t="n">
        <v>0.4271</v>
      </c>
      <c r="H37" s="15" t="n">
        <v>16</v>
      </c>
      <c r="I37" s="15" t="n">
        <v>21.5</v>
      </c>
      <c r="J37" s="14" t="n">
        <v>1.3438</v>
      </c>
      <c r="K37" s="14" t="n"/>
      <c r="L37" s="14" t="n">
        <v>1</v>
      </c>
      <c r="M37" s="14" t="n">
        <v>1</v>
      </c>
      <c r="N37" s="27" t="inlineStr">
        <is>
          <t>2/2</t>
        </is>
      </c>
      <c r="O37" s="14" t="n">
        <v>0.666666667</v>
      </c>
      <c r="P37" s="15" t="n"/>
      <c r="Q37" s="15" t="n"/>
      <c r="R37" s="15" t="n">
        <v>6</v>
      </c>
      <c r="S37" s="15" t="n"/>
      <c r="T37" s="15" t="n">
        <v>2</v>
      </c>
      <c r="U37" s="15" t="n">
        <v>5</v>
      </c>
      <c r="V37" s="28" t="n">
        <v>19.5</v>
      </c>
      <c r="W37" t="n">
        <v>1</v>
      </c>
    </row>
    <row r="38" ht="16" customHeight="1">
      <c r="A38" s="24" t="inlineStr">
        <is>
          <t>Caitlin Tytler</t>
        </is>
      </c>
      <c r="B38" s="25" t="inlineStr">
        <is>
          <t>Advanced</t>
        </is>
      </c>
      <c r="C38" s="25" t="inlineStr">
        <is>
          <t>Annelies de Groot</t>
        </is>
      </c>
      <c r="D38" s="26" t="n">
        <v>46147</v>
      </c>
      <c r="E38" s="25" t="n">
        <v>20</v>
      </c>
      <c r="F38" s="25" t="n">
        <v>13.5</v>
      </c>
      <c r="G38" s="14" t="n">
        <v>0.675</v>
      </c>
      <c r="H38" s="15" t="n">
        <v>24</v>
      </c>
      <c r="I38" s="15" t="n">
        <v>25.5</v>
      </c>
      <c r="J38" s="14" t="n">
        <v>1.0625</v>
      </c>
      <c r="K38" s="14" t="n">
        <v>3.6663</v>
      </c>
      <c r="L38" s="14" t="n">
        <v>0.971</v>
      </c>
      <c r="M38" s="14" t="n"/>
      <c r="N38" s="27" t="inlineStr">
        <is>
          <t>5/7</t>
        </is>
      </c>
      <c r="O38" s="14" t="n">
        <v>1</v>
      </c>
      <c r="P38" s="15" t="n"/>
      <c r="Q38" s="15" t="n"/>
      <c r="R38" s="15" t="n">
        <v>100</v>
      </c>
      <c r="S38" s="15" t="n"/>
      <c r="T38" s="15" t="n">
        <v>11</v>
      </c>
      <c r="U38" s="15" t="n">
        <v>17</v>
      </c>
      <c r="V38" s="28" t="n">
        <v>49</v>
      </c>
      <c r="W38" t="n">
        <v>5</v>
      </c>
    </row>
    <row r="39" ht="16" customHeight="1">
      <c r="A39" s="24" t="inlineStr">
        <is>
          <t>Carina Shanahan</t>
        </is>
      </c>
      <c r="B39" s="25" t="inlineStr">
        <is>
          <t>Distinguished</t>
        </is>
      </c>
      <c r="C39" s="25" t="inlineStr">
        <is>
          <t>Kristin Haase-Alvey</t>
        </is>
      </c>
      <c r="D39" s="26" t="n">
        <v>45757</v>
      </c>
      <c r="E39" s="25" t="n">
        <v>30</v>
      </c>
      <c r="F39" s="25" t="n">
        <v>16.88</v>
      </c>
      <c r="G39" s="14" t="n">
        <v>0.5625</v>
      </c>
      <c r="H39" s="15" t="n">
        <v>38</v>
      </c>
      <c r="I39" s="15" t="n">
        <v>31.94</v>
      </c>
      <c r="J39" s="14" t="n">
        <v>0.8405</v>
      </c>
      <c r="K39" s="14" t="n">
        <v>1.5</v>
      </c>
      <c r="L39" s="14" t="n">
        <v>0.8149999999999999</v>
      </c>
      <c r="M39" s="14" t="n">
        <v>1</v>
      </c>
      <c r="N39" s="27" t="inlineStr">
        <is>
          <t>0/0</t>
        </is>
      </c>
      <c r="O39" s="14" t="n">
        <v>0.9</v>
      </c>
      <c r="P39" s="15" t="n"/>
      <c r="Q39" s="15" t="n"/>
      <c r="R39" s="15" t="n">
        <v>181.5</v>
      </c>
      <c r="S39" s="15" t="n">
        <v>0</v>
      </c>
      <c r="T39" s="15" t="n">
        <v>4</v>
      </c>
      <c r="U39" s="15" t="n">
        <v>18</v>
      </c>
      <c r="V39" s="28" t="n">
        <v>61.5</v>
      </c>
      <c r="W39" t="n">
        <v>6</v>
      </c>
    </row>
    <row r="40" ht="16" customHeight="1">
      <c r="A40" s="24" t="inlineStr">
        <is>
          <t>Casey Young</t>
        </is>
      </c>
      <c r="B40" s="25" t="inlineStr">
        <is>
          <t>Distinguished</t>
        </is>
      </c>
      <c r="C40" s="25" t="inlineStr">
        <is>
          <t>Ela Cross</t>
        </is>
      </c>
      <c r="D40" s="26" t="n">
        <v>45786</v>
      </c>
      <c r="E40" s="25" t="n">
        <v>35</v>
      </c>
      <c r="F40" s="25" t="n">
        <v>25.75</v>
      </c>
      <c r="G40" s="14" t="n">
        <v>0.7357</v>
      </c>
      <c r="H40" s="15" t="n">
        <v>43</v>
      </c>
      <c r="I40" s="15" t="n">
        <v>43.81</v>
      </c>
      <c r="J40" s="14" t="n">
        <v>1.0189</v>
      </c>
      <c r="K40" s="14" t="n">
        <v>11.0826</v>
      </c>
      <c r="L40" s="14" t="n">
        <v>0.986</v>
      </c>
      <c r="M40" s="14" t="n">
        <v>0.969387755</v>
      </c>
      <c r="N40" s="27" t="inlineStr">
        <is>
          <t>3/4</t>
        </is>
      </c>
      <c r="O40" s="14" t="n">
        <v>0.944444444</v>
      </c>
      <c r="P40" s="15" t="n"/>
      <c r="Q40" s="15" t="n"/>
      <c r="R40" s="15" t="n">
        <v>336</v>
      </c>
      <c r="S40" s="15" t="n"/>
      <c r="T40" s="15" t="n">
        <v>9</v>
      </c>
      <c r="U40" s="15" t="n">
        <v>28</v>
      </c>
      <c r="V40" s="28" t="n">
        <v>98</v>
      </c>
      <c r="W40" t="n">
        <v>5</v>
      </c>
    </row>
    <row r="41" ht="16" customHeight="1">
      <c r="A41" s="24" t="inlineStr">
        <is>
          <t>Charlie Anderson</t>
        </is>
      </c>
      <c r="B41" s="25" t="inlineStr">
        <is>
          <t>Distinguished</t>
        </is>
      </c>
      <c r="C41" s="25" t="inlineStr">
        <is>
          <t>Annelies de Groot</t>
        </is>
      </c>
      <c r="D41" s="26" t="n">
        <v>45684</v>
      </c>
      <c r="E41" s="25" t="n">
        <v>30</v>
      </c>
      <c r="F41" s="25" t="n">
        <v>26</v>
      </c>
      <c r="G41" s="14" t="n">
        <v>0.8667</v>
      </c>
      <c r="H41" s="15" t="n">
        <v>38</v>
      </c>
      <c r="I41" s="15" t="n">
        <v>40.56</v>
      </c>
      <c r="J41" s="14" t="n">
        <v>1.0674</v>
      </c>
      <c r="K41" s="14" t="n"/>
      <c r="L41" s="14" t="n">
        <v>0.755</v>
      </c>
      <c r="M41" s="14" t="n">
        <v>1</v>
      </c>
      <c r="N41" s="27" t="inlineStr">
        <is>
          <t>3/4</t>
        </is>
      </c>
      <c r="O41" s="14" t="n">
        <v>0.533333333</v>
      </c>
      <c r="P41" s="15" t="n"/>
      <c r="Q41" s="15" t="n"/>
      <c r="R41" s="15" t="n">
        <v>298</v>
      </c>
      <c r="S41" s="15" t="n">
        <v>1</v>
      </c>
      <c r="T41" s="15" t="n">
        <v>8</v>
      </c>
      <c r="U41" s="15" t="n">
        <v>28</v>
      </c>
      <c r="V41" s="28" t="n">
        <v>98</v>
      </c>
      <c r="W41" t="n">
        <v>6</v>
      </c>
    </row>
    <row r="42" ht="16" customHeight="1">
      <c r="A42" s="24" t="inlineStr">
        <is>
          <t>Chazlee Myers</t>
        </is>
      </c>
      <c r="B42" s="25" t="inlineStr">
        <is>
          <t>Distinguished</t>
        </is>
      </c>
      <c r="C42" s="25" t="inlineStr">
        <is>
          <t>Geoff St. Marie</t>
        </is>
      </c>
      <c r="D42" s="26" t="n">
        <v>45666</v>
      </c>
      <c r="E42" s="25" t="n">
        <v>30</v>
      </c>
      <c r="F42" s="25" t="n">
        <v>16.5</v>
      </c>
      <c r="G42" s="14" t="n">
        <v>0.55</v>
      </c>
      <c r="H42" s="15" t="n">
        <v>38</v>
      </c>
      <c r="I42" s="15" t="n">
        <v>36</v>
      </c>
      <c r="J42" s="14" t="n">
        <v>0.9474</v>
      </c>
      <c r="K42" s="14" t="n">
        <v>13.5</v>
      </c>
      <c r="L42" s="14" t="n">
        <v>0.6860000000000001</v>
      </c>
      <c r="M42" s="14" t="n">
        <v>0.96969697</v>
      </c>
      <c r="N42" s="27" t="inlineStr">
        <is>
          <t>0/1</t>
        </is>
      </c>
      <c r="O42" s="14" t="n">
        <v>0.4</v>
      </c>
      <c r="P42" s="15" t="n"/>
      <c r="Q42" s="15" t="n"/>
      <c r="R42" s="15" t="n">
        <v>84</v>
      </c>
      <c r="S42" s="15" t="n"/>
      <c r="T42" s="15" t="n">
        <v>3</v>
      </c>
      <c r="U42" s="15" t="n">
        <v>22</v>
      </c>
      <c r="V42" s="28" t="n">
        <v>61</v>
      </c>
      <c r="W42" t="n">
        <v>5</v>
      </c>
    </row>
    <row r="43" ht="16" customHeight="1">
      <c r="A43" s="29" t="inlineStr">
        <is>
          <t>Chelsea Kobea</t>
        </is>
      </c>
      <c r="B43" s="30" t="inlineStr">
        <is>
          <t>Distinguished</t>
        </is>
      </c>
      <c r="C43" s="30" t="inlineStr">
        <is>
          <t>Kristin Haase-Alvey</t>
        </is>
      </c>
      <c r="D43" s="31" t="n">
        <v>46064</v>
      </c>
      <c r="E43" s="30" t="n">
        <v>30</v>
      </c>
      <c r="F43" s="30" t="n">
        <v>18.88</v>
      </c>
      <c r="G43" s="12" t="n">
        <v>0.6292</v>
      </c>
      <c r="H43" s="9" t="n">
        <v>38</v>
      </c>
      <c r="I43" s="9" t="n">
        <v>42.19</v>
      </c>
      <c r="J43" s="12" t="n">
        <v>1.1102</v>
      </c>
      <c r="K43" s="12" t="n">
        <v>6.6</v>
      </c>
      <c r="L43" s="12" t="n">
        <v>0.981</v>
      </c>
      <c r="M43" s="12" t="n">
        <v>0.971014493</v>
      </c>
      <c r="N43" s="32" t="inlineStr">
        <is>
          <t>3/3</t>
        </is>
      </c>
      <c r="O43" s="12" t="n">
        <v>1</v>
      </c>
      <c r="P43" s="9" t="n"/>
      <c r="Q43" s="9" t="n"/>
      <c r="R43" s="9" t="n">
        <v>88</v>
      </c>
      <c r="S43" s="9" t="n">
        <v>7</v>
      </c>
      <c r="T43" s="9" t="n">
        <v>9</v>
      </c>
      <c r="U43" s="9" t="n">
        <v>24</v>
      </c>
      <c r="V43" s="28" t="n">
        <v>68</v>
      </c>
      <c r="W43" t="n">
        <v>7.5</v>
      </c>
    </row>
    <row r="44" ht="16" customHeight="1">
      <c r="A44" s="24" t="inlineStr">
        <is>
          <t>Cheyanne Jones</t>
        </is>
      </c>
      <c r="B44" s="25" t="inlineStr">
        <is>
          <t>Distinguished</t>
        </is>
      </c>
      <c r="C44" s="25" t="inlineStr">
        <is>
          <t>Kristin Haase-Alvey</t>
        </is>
      </c>
      <c r="D44" s="26" t="n">
        <v>45999</v>
      </c>
      <c r="E44" s="25" t="n">
        <v>30</v>
      </c>
      <c r="F44" s="25" t="n">
        <v>24.63</v>
      </c>
      <c r="G44" s="14" t="n">
        <v>0.8208</v>
      </c>
      <c r="H44" s="15" t="n">
        <v>38</v>
      </c>
      <c r="I44" s="15" t="n">
        <v>37.69</v>
      </c>
      <c r="J44" s="14" t="n">
        <v>0.9918</v>
      </c>
      <c r="K44" s="14" t="n">
        <v>5.9163</v>
      </c>
      <c r="L44" s="14" t="n">
        <v>1</v>
      </c>
      <c r="M44" s="14" t="n">
        <v>1</v>
      </c>
      <c r="N44" s="27" t="inlineStr">
        <is>
          <t>5/6</t>
        </is>
      </c>
      <c r="O44" s="14" t="n">
        <v>0.933333333</v>
      </c>
      <c r="P44" s="15" t="n"/>
      <c r="Q44" s="15" t="n"/>
      <c r="R44" s="15" t="n">
        <v>126</v>
      </c>
      <c r="S44" s="15" t="n"/>
      <c r="T44" s="15" t="n">
        <v>13</v>
      </c>
      <c r="U44" s="15" t="n">
        <v>27</v>
      </c>
      <c r="V44" s="28" t="n">
        <v>92.5</v>
      </c>
      <c r="W44" t="n">
        <v>6</v>
      </c>
    </row>
    <row r="45" ht="16" customHeight="1">
      <c r="A45" s="24" t="inlineStr">
        <is>
          <t>Chris Prouty</t>
        </is>
      </c>
      <c r="B45" s="25" t="inlineStr">
        <is>
          <t>Premium</t>
        </is>
      </c>
      <c r="C45" s="25" t="inlineStr">
        <is>
          <t>Annelies de Groot</t>
        </is>
      </c>
      <c r="D45" s="26" t="n">
        <v>43903</v>
      </c>
      <c r="E45" s="25" t="n">
        <v>20</v>
      </c>
      <c r="F45" s="25" t="n">
        <v>13.75</v>
      </c>
      <c r="G45" s="14" t="n">
        <v>0.6875</v>
      </c>
      <c r="H45" s="15" t="n">
        <v>24</v>
      </c>
      <c r="I45" s="15" t="n">
        <v>24.75</v>
      </c>
      <c r="J45" s="14" t="n">
        <v>1.0313</v>
      </c>
      <c r="K45" s="14" t="n">
        <v>8</v>
      </c>
      <c r="L45" s="14" t="n">
        <v>1</v>
      </c>
      <c r="M45" s="14" t="n">
        <v>1</v>
      </c>
      <c r="N45" s="27" t="inlineStr">
        <is>
          <t>1/2</t>
        </is>
      </c>
      <c r="O45" s="14" t="n">
        <v>1</v>
      </c>
      <c r="P45" s="15" t="n"/>
      <c r="Q45" s="15" t="n"/>
      <c r="R45" s="15" t="n">
        <v>24</v>
      </c>
      <c r="S45" s="15" t="n"/>
      <c r="T45" s="15" t="n">
        <v>3</v>
      </c>
      <c r="U45" s="15" t="n">
        <v>17</v>
      </c>
      <c r="V45" s="28" t="n">
        <v>44</v>
      </c>
      <c r="W45" t="n">
        <v>11</v>
      </c>
    </row>
    <row r="46" ht="16" customHeight="1">
      <c r="A46" s="24" t="inlineStr">
        <is>
          <t>Chris Yoon</t>
        </is>
      </c>
      <c r="B46" s="25" t="inlineStr">
        <is>
          <t>Distinguished</t>
        </is>
      </c>
      <c r="C46" s="25" t="inlineStr">
        <is>
          <t>Ian Plamondon</t>
        </is>
      </c>
      <c r="D46" s="26" t="n">
        <v>46069</v>
      </c>
      <c r="E46" s="25" t="n">
        <v>30</v>
      </c>
      <c r="F46" s="25" t="n">
        <v>24.5</v>
      </c>
      <c r="G46" s="14" t="n">
        <v>0.8167</v>
      </c>
      <c r="H46" s="15" t="n">
        <v>38</v>
      </c>
      <c r="I46" s="15" t="n">
        <v>37.13</v>
      </c>
      <c r="J46" s="14" t="n">
        <v>0.977</v>
      </c>
      <c r="K46" s="14" t="n"/>
      <c r="L46" s="14" t="n">
        <v>0.789</v>
      </c>
      <c r="M46" s="14" t="n">
        <v>0.989361702</v>
      </c>
      <c r="N46" s="27" t="inlineStr">
        <is>
          <t>1/8</t>
        </is>
      </c>
      <c r="O46" s="14" t="n">
        <v>0.769230769</v>
      </c>
      <c r="P46" s="15" t="n"/>
      <c r="Q46" s="15" t="n"/>
      <c r="R46" s="15" t="n">
        <v>126</v>
      </c>
      <c r="S46" s="15" t="n"/>
      <c r="T46" s="15" t="n">
        <v>13</v>
      </c>
      <c r="U46" s="15" t="n">
        <v>26</v>
      </c>
      <c r="V46" s="28" t="n">
        <v>92</v>
      </c>
      <c r="W46" t="n">
        <v>6</v>
      </c>
    </row>
    <row r="47" ht="16" customHeight="1">
      <c r="A47" s="24" t="inlineStr">
        <is>
          <t>Christelle Rocha</t>
        </is>
      </c>
      <c r="B47" s="25" t="inlineStr">
        <is>
          <t>Distinguished</t>
        </is>
      </c>
      <c r="C47" s="25" t="inlineStr">
        <is>
          <t>Annelies de Groot</t>
        </is>
      </c>
      <c r="D47" s="26" t="n">
        <v>45978</v>
      </c>
      <c r="E47" s="25" t="n">
        <v>30</v>
      </c>
      <c r="F47" s="25" t="n">
        <v>20.75</v>
      </c>
      <c r="G47" s="14" t="n">
        <v>0.6917</v>
      </c>
      <c r="H47" s="15" t="n">
        <v>35</v>
      </c>
      <c r="I47" s="15" t="n">
        <v>38.75</v>
      </c>
      <c r="J47" s="14" t="n">
        <v>1.1071</v>
      </c>
      <c r="K47" s="14" t="n">
        <v>11.7499</v>
      </c>
      <c r="L47" s="14" t="n">
        <v>1</v>
      </c>
      <c r="M47" s="14" t="n">
        <v>1</v>
      </c>
      <c r="N47" s="27" t="inlineStr">
        <is>
          <t>5/5</t>
        </is>
      </c>
      <c r="O47" s="14" t="n">
        <v>0.75</v>
      </c>
      <c r="P47" s="15" t="n"/>
      <c r="Q47" s="15" t="n"/>
      <c r="R47" s="15" t="n">
        <v>126</v>
      </c>
      <c r="S47" s="15" t="n"/>
      <c r="T47" s="15" t="n">
        <v>12</v>
      </c>
      <c r="U47" s="15" t="n">
        <v>24</v>
      </c>
      <c r="V47" s="28" t="n">
        <v>77</v>
      </c>
      <c r="W47" t="n">
        <v>6</v>
      </c>
    </row>
    <row r="48" ht="16" customHeight="1">
      <c r="A48" s="24" t="inlineStr">
        <is>
          <t>Christian Collins</t>
        </is>
      </c>
      <c r="B48" s="25" t="inlineStr">
        <is>
          <t>Premium</t>
        </is>
      </c>
      <c r="C48" s="25" t="inlineStr">
        <is>
          <t>Ian Plamondon</t>
        </is>
      </c>
      <c r="D48" s="26" t="n">
        <v>43479</v>
      </c>
      <c r="E48" s="25" t="n">
        <v>30</v>
      </c>
      <c r="F48" s="25" t="n">
        <v>29.75</v>
      </c>
      <c r="G48" s="14" t="n">
        <v>0.9917</v>
      </c>
      <c r="H48" s="15" t="n">
        <v>38</v>
      </c>
      <c r="I48" s="15" t="n">
        <v>41.25</v>
      </c>
      <c r="J48" s="14" t="n">
        <v>1.0855</v>
      </c>
      <c r="K48" s="14" t="n">
        <v>11.75</v>
      </c>
      <c r="L48" s="14" t="n">
        <v>1</v>
      </c>
      <c r="M48" s="14" t="n">
        <v>1</v>
      </c>
      <c r="N48" s="27" t="inlineStr">
        <is>
          <t>3/3</t>
        </is>
      </c>
      <c r="O48" s="14" t="n">
        <v>0.777777778</v>
      </c>
      <c r="P48" s="15" t="n"/>
      <c r="Q48" s="15" t="n"/>
      <c r="R48" s="15" t="n">
        <v>9</v>
      </c>
      <c r="S48" s="15" t="n"/>
      <c r="T48" s="15" t="n">
        <v>10</v>
      </c>
      <c r="U48" s="15" t="n">
        <v>30</v>
      </c>
      <c r="V48" s="28" t="n">
        <v>109</v>
      </c>
      <c r="W48" t="n">
        <v>10</v>
      </c>
    </row>
    <row r="49" ht="16" customHeight="1">
      <c r="A49" s="24" t="inlineStr">
        <is>
          <t>Christian Steiner</t>
        </is>
      </c>
      <c r="B49" s="25" t="inlineStr">
        <is>
          <t>Distinguished</t>
        </is>
      </c>
      <c r="C49" s="25" t="inlineStr">
        <is>
          <t>Kristin Haase-Alvey</t>
        </is>
      </c>
      <c r="D49" s="26" t="n">
        <v>45282</v>
      </c>
      <c r="E49" s="25" t="n">
        <v>30</v>
      </c>
      <c r="F49" s="25" t="n">
        <v>15.5</v>
      </c>
      <c r="G49" s="14" t="n">
        <v>0.5167</v>
      </c>
      <c r="H49" s="15" t="n">
        <v>38</v>
      </c>
      <c r="I49" s="15" t="n">
        <v>35.81</v>
      </c>
      <c r="J49" s="14" t="n">
        <v>0.9424</v>
      </c>
      <c r="K49" s="14" t="n">
        <v>3.1664</v>
      </c>
      <c r="L49" s="14" t="n">
        <v>0.9429999999999999</v>
      </c>
      <c r="M49" s="14" t="n">
        <v>0.983870968</v>
      </c>
      <c r="N49" s="27" t="inlineStr">
        <is>
          <t>2/5</t>
        </is>
      </c>
      <c r="O49" s="14" t="n">
        <v>0.4</v>
      </c>
      <c r="P49" s="15" t="n"/>
      <c r="Q49" s="15" t="n"/>
      <c r="R49" s="15" t="n">
        <v>84</v>
      </c>
      <c r="S49" s="15" t="n"/>
      <c r="T49" s="15" t="n">
        <v>7</v>
      </c>
      <c r="U49" s="15" t="n">
        <v>17</v>
      </c>
      <c r="V49" s="28" t="n">
        <v>57</v>
      </c>
      <c r="W49" t="n">
        <v>5</v>
      </c>
    </row>
    <row r="50" ht="16" customHeight="1">
      <c r="A50" s="24" t="inlineStr">
        <is>
          <t>Christine Santos</t>
        </is>
      </c>
      <c r="B50" s="25" t="inlineStr">
        <is>
          <t>Premium</t>
        </is>
      </c>
      <c r="C50" s="25" t="inlineStr">
        <is>
          <t>Ela Cross</t>
        </is>
      </c>
      <c r="D50" s="26" t="n">
        <v>43441</v>
      </c>
      <c r="E50" s="25" t="n">
        <v>12</v>
      </c>
      <c r="F50" s="25" t="n">
        <v>13.75</v>
      </c>
      <c r="G50" s="14" t="n">
        <v>1.1458</v>
      </c>
      <c r="H50" s="15" t="n">
        <v>16</v>
      </c>
      <c r="I50" s="15" t="n">
        <v>17.5</v>
      </c>
      <c r="J50" s="14" t="n">
        <v>1.0938</v>
      </c>
      <c r="K50" s="14" t="n">
        <v>5.3333</v>
      </c>
      <c r="L50" s="14" t="n">
        <v>0.829</v>
      </c>
      <c r="M50" s="14" t="n">
        <v>0.907407407</v>
      </c>
      <c r="N50" s="27" t="inlineStr">
        <is>
          <t>4/4</t>
        </is>
      </c>
      <c r="O50" s="14" t="n">
        <v>0.8</v>
      </c>
      <c r="P50" s="15" t="n"/>
      <c r="Q50" s="15" t="n"/>
      <c r="R50" s="15" t="n">
        <v>1.5</v>
      </c>
      <c r="S50" s="15" t="n">
        <v>1</v>
      </c>
      <c r="T50" s="15" t="n">
        <v>4</v>
      </c>
      <c r="U50" s="15" t="n">
        <v>15</v>
      </c>
      <c r="V50" s="28" t="n">
        <v>53</v>
      </c>
      <c r="W50" t="n">
        <v>2</v>
      </c>
    </row>
    <row r="51" ht="16" customHeight="1">
      <c r="A51" s="24" t="inlineStr">
        <is>
          <t>Clark Howard</t>
        </is>
      </c>
      <c r="B51" s="25" t="inlineStr">
        <is>
          <t>Distinguished</t>
        </is>
      </c>
      <c r="C51" s="25" t="inlineStr">
        <is>
          <t>Ela Cross</t>
        </is>
      </c>
      <c r="D51" s="26" t="n">
        <v>45289</v>
      </c>
      <c r="E51" s="25" t="n">
        <v>30</v>
      </c>
      <c r="F51" s="25" t="n">
        <v>13.38</v>
      </c>
      <c r="G51" s="14" t="n">
        <v>0.4458</v>
      </c>
      <c r="H51" s="15" t="n">
        <v>38</v>
      </c>
      <c r="I51" s="15" t="n">
        <v>30.13</v>
      </c>
      <c r="J51" s="14" t="n">
        <v>0.7927999999999999</v>
      </c>
      <c r="K51" s="14" t="n">
        <v>5.3499</v>
      </c>
      <c r="L51" s="14" t="n">
        <v>0.621</v>
      </c>
      <c r="M51" s="14" t="n">
        <v>0.979591837</v>
      </c>
      <c r="N51" s="27" t="inlineStr">
        <is>
          <t>1/1</t>
        </is>
      </c>
      <c r="O51" s="14" t="n">
        <v>0.363636364</v>
      </c>
      <c r="P51" s="15" t="n"/>
      <c r="Q51" s="15" t="n"/>
      <c r="R51" s="15" t="n">
        <v>100</v>
      </c>
      <c r="S51" s="15" t="n"/>
      <c r="T51" s="15" t="n">
        <v>5</v>
      </c>
      <c r="U51" s="15" t="n">
        <v>20</v>
      </c>
      <c r="V51" s="28" t="n">
        <v>44</v>
      </c>
      <c r="W51" t="n">
        <v>9.5</v>
      </c>
    </row>
    <row r="52" ht="16" customHeight="1">
      <c r="A52" s="29" t="inlineStr">
        <is>
          <t>Colin Cody</t>
        </is>
      </c>
      <c r="B52" s="30" t="inlineStr">
        <is>
          <t>Distinguished</t>
        </is>
      </c>
      <c r="C52" s="30" t="inlineStr">
        <is>
          <t>Ela Cross</t>
        </is>
      </c>
      <c r="D52" s="31" t="n">
        <v>45750</v>
      </c>
      <c r="E52" s="30" t="n">
        <v>30</v>
      </c>
      <c r="F52" s="30" t="n">
        <v>25.5</v>
      </c>
      <c r="G52" s="12" t="n">
        <v>0.85</v>
      </c>
      <c r="H52" s="9" t="n">
        <v>40</v>
      </c>
      <c r="I52" s="9" t="n">
        <v>44.5</v>
      </c>
      <c r="J52" s="12" t="n">
        <v>1.1125</v>
      </c>
      <c r="K52" s="12" t="n">
        <v>17.083</v>
      </c>
      <c r="L52" s="12" t="n">
        <v>0.985</v>
      </c>
      <c r="M52" s="12" t="n">
        <v>0.958762887</v>
      </c>
      <c r="N52" s="32" t="inlineStr">
        <is>
          <t>0/6</t>
        </is>
      </c>
      <c r="O52" s="12" t="n">
        <v>0.857142857</v>
      </c>
      <c r="P52" s="9" t="n"/>
      <c r="Q52" s="9" t="n"/>
      <c r="R52" s="9" t="n">
        <v>200</v>
      </c>
      <c r="S52" s="9" t="n"/>
      <c r="T52" s="9" t="n">
        <v>12</v>
      </c>
      <c r="U52" s="9" t="n">
        <v>28</v>
      </c>
      <c r="V52" s="28" t="n">
        <v>90</v>
      </c>
      <c r="W52" t="n">
        <v>12</v>
      </c>
    </row>
    <row r="53" ht="16" customHeight="1">
      <c r="A53" s="24" t="inlineStr">
        <is>
          <t>Conifer Oâ€™Sullivan</t>
        </is>
      </c>
      <c r="B53" s="25" t="inlineStr">
        <is>
          <t>Distinguished</t>
        </is>
      </c>
      <c r="C53" s="25" t="inlineStr">
        <is>
          <t>Annelies de Groot</t>
        </is>
      </c>
      <c r="D53" s="26" t="n">
        <v>46168</v>
      </c>
      <c r="E53" s="25" t="n">
        <v>30</v>
      </c>
      <c r="F53" s="25" t="n">
        <v>16.75</v>
      </c>
      <c r="G53" s="14" t="n">
        <v>0.5583</v>
      </c>
      <c r="H53" s="15" t="n">
        <v>38</v>
      </c>
      <c r="I53" s="15" t="n">
        <v>37.81</v>
      </c>
      <c r="J53" s="14" t="n">
        <v>0.9951</v>
      </c>
      <c r="K53" s="14" t="n">
        <v>14.4985</v>
      </c>
      <c r="L53" s="14" t="n">
        <v>0.973</v>
      </c>
      <c r="M53" s="14" t="n">
        <v>1</v>
      </c>
      <c r="N53" s="27" t="inlineStr">
        <is>
          <t>8/13</t>
        </is>
      </c>
      <c r="O53" s="14" t="n">
        <v>0.75</v>
      </c>
      <c r="P53" s="15" t="n"/>
      <c r="Q53" s="15" t="n"/>
      <c r="R53" s="15" t="n">
        <v>68</v>
      </c>
      <c r="S53" s="15" t="n">
        <v>1</v>
      </c>
      <c r="T53" s="15" t="n">
        <v>15</v>
      </c>
      <c r="U53" s="15" t="n">
        <v>16</v>
      </c>
      <c r="V53" s="28" t="n">
        <v>60</v>
      </c>
      <c r="W53" t="n">
        <v>7</v>
      </c>
    </row>
    <row r="54" ht="16" customHeight="1">
      <c r="A54" s="24" t="inlineStr">
        <is>
          <t>Cristina Ascenzi Pettenuzzo</t>
        </is>
      </c>
      <c r="B54" s="25" t="inlineStr">
        <is>
          <t>Distinguished</t>
        </is>
      </c>
      <c r="C54" s="25" t="inlineStr">
        <is>
          <t>Geoff St. Marie</t>
        </is>
      </c>
      <c r="D54" s="26" t="n">
        <v>45702</v>
      </c>
      <c r="E54" s="25" t="n">
        <v>30</v>
      </c>
      <c r="F54" s="25" t="n">
        <v>20.5</v>
      </c>
      <c r="G54" s="14" t="n">
        <v>0.6833</v>
      </c>
      <c r="H54" s="15" t="n">
        <v>38</v>
      </c>
      <c r="I54" s="15" t="n">
        <v>39.75</v>
      </c>
      <c r="J54" s="14" t="n">
        <v>1.0461</v>
      </c>
      <c r="K54" s="14" t="n">
        <v>6.3666</v>
      </c>
      <c r="L54" s="14" t="n">
        <v>0.981</v>
      </c>
      <c r="M54" s="14" t="n">
        <v>1</v>
      </c>
      <c r="N54" s="27" t="inlineStr">
        <is>
          <t>3/3</t>
        </is>
      </c>
      <c r="O54" s="14" t="n">
        <v>0.785714286</v>
      </c>
      <c r="P54" s="15" t="n"/>
      <c r="Q54" s="15" t="n"/>
      <c r="R54" s="15" t="n">
        <v>88</v>
      </c>
      <c r="S54" s="15" t="n"/>
      <c r="T54" s="15" t="n">
        <v>8</v>
      </c>
      <c r="U54" s="15" t="n">
        <v>25</v>
      </c>
      <c r="V54" s="28" t="n">
        <v>78</v>
      </c>
      <c r="W54" t="n">
        <v>4</v>
      </c>
    </row>
    <row r="55" ht="16" customHeight="1">
      <c r="A55" s="24" t="inlineStr">
        <is>
          <t>Daniel Esquivel-Reynoso</t>
        </is>
      </c>
      <c r="B55" s="25" t="inlineStr">
        <is>
          <t>Distinguished</t>
        </is>
      </c>
      <c r="C55" s="25" t="inlineStr">
        <is>
          <t>Annelies de Groot</t>
        </is>
      </c>
      <c r="D55" s="26" t="n">
        <v>45756</v>
      </c>
      <c r="E55" s="25" t="n">
        <v>20</v>
      </c>
      <c r="F55" s="25" t="n">
        <v>10.5</v>
      </c>
      <c r="G55" s="14" t="n">
        <v>0.525</v>
      </c>
      <c r="H55" s="15" t="n">
        <v>24</v>
      </c>
      <c r="I55" s="15" t="n">
        <v>24.13</v>
      </c>
      <c r="J55" s="14" t="n">
        <v>1.0052</v>
      </c>
      <c r="K55" s="14" t="n">
        <v>1</v>
      </c>
      <c r="L55" s="14" t="n">
        <v>0.889</v>
      </c>
      <c r="M55" s="14" t="n">
        <v>0.976190476</v>
      </c>
      <c r="N55" s="27" t="inlineStr">
        <is>
          <t>1/2</t>
        </is>
      </c>
      <c r="O55" s="14" t="n">
        <v>0.714285714</v>
      </c>
      <c r="P55" s="15" t="n"/>
      <c r="Q55" s="15" t="n"/>
      <c r="R55" s="15" t="n">
        <v>52</v>
      </c>
      <c r="S55" s="15" t="n"/>
      <c r="T55" s="15" t="n">
        <v>3</v>
      </c>
      <c r="U55" s="15" t="n">
        <v>11</v>
      </c>
      <c r="V55" s="28" t="n">
        <v>41</v>
      </c>
      <c r="W55" t="n">
        <v>1</v>
      </c>
    </row>
    <row r="56" ht="16" customHeight="1">
      <c r="A56" s="24" t="inlineStr">
        <is>
          <t>Daniel Olson</t>
        </is>
      </c>
      <c r="B56" s="25" t="inlineStr">
        <is>
          <t>Distinguished</t>
        </is>
      </c>
      <c r="C56" s="25" t="inlineStr">
        <is>
          <t>Annelies de Groot</t>
        </is>
      </c>
      <c r="D56" s="26" t="n">
        <v>45875</v>
      </c>
      <c r="E56" s="25" t="n">
        <v>30</v>
      </c>
      <c r="F56" s="25" t="n">
        <v>21.75</v>
      </c>
      <c r="G56" s="14" t="n">
        <v>0.725</v>
      </c>
      <c r="H56" s="15" t="n">
        <v>38</v>
      </c>
      <c r="I56" s="15" t="n">
        <v>39.69</v>
      </c>
      <c r="J56" s="14" t="n">
        <v>1.0444</v>
      </c>
      <c r="K56" s="14" t="n">
        <v>7.0827</v>
      </c>
      <c r="L56" s="14" t="n">
        <v>1</v>
      </c>
      <c r="M56" s="14" t="n">
        <v>1</v>
      </c>
      <c r="N56" s="27" t="inlineStr">
        <is>
          <t>4/10</t>
        </is>
      </c>
      <c r="O56" s="14" t="n">
        <v>0.571428571</v>
      </c>
      <c r="P56" s="15" t="n"/>
      <c r="Q56" s="15" t="n"/>
      <c r="R56" s="15" t="n">
        <v>116</v>
      </c>
      <c r="S56" s="15" t="n"/>
      <c r="T56" s="15" t="n">
        <v>15</v>
      </c>
      <c r="U56" s="15" t="n">
        <v>23</v>
      </c>
      <c r="V56" s="28" t="n">
        <v>77</v>
      </c>
      <c r="W56" t="n">
        <v>10</v>
      </c>
    </row>
    <row r="57" ht="16" customHeight="1">
      <c r="A57" s="24" t="inlineStr">
        <is>
          <t>Daniel Severance</t>
        </is>
      </c>
      <c r="B57" s="33" t="inlineStr">
        <is>
          <t>Premium</t>
        </is>
      </c>
      <c r="C57" s="25" t="inlineStr">
        <is>
          <t>Annelies de Groot</t>
        </is>
      </c>
      <c r="D57" s="26" t="n">
        <v>43322</v>
      </c>
      <c r="E57" s="25" t="n">
        <v>35</v>
      </c>
      <c r="F57" s="25" t="n">
        <v>27.88</v>
      </c>
      <c r="G57" s="14" t="n">
        <v>0.7964</v>
      </c>
      <c r="H57" s="15" t="n">
        <v>43</v>
      </c>
      <c r="I57" s="15" t="n">
        <v>42.44</v>
      </c>
      <c r="J57" s="14" t="n">
        <v>0.9869</v>
      </c>
      <c r="K57" s="14" t="n">
        <v>7.9166</v>
      </c>
      <c r="L57" s="14" t="n">
        <v>0.978</v>
      </c>
      <c r="M57" s="14" t="n">
        <v>0.928571429</v>
      </c>
      <c r="N57" s="27" t="inlineStr">
        <is>
          <t>7/7</t>
        </is>
      </c>
      <c r="O57" s="14" t="n">
        <v>0.3</v>
      </c>
      <c r="P57" s="15" t="n"/>
      <c r="Q57" s="15" t="n"/>
      <c r="R57" s="15" t="n">
        <v>208</v>
      </c>
      <c r="S57" s="15" t="n"/>
      <c r="T57" s="15" t="n">
        <v>9</v>
      </c>
      <c r="U57" s="15" t="n">
        <v>18</v>
      </c>
      <c r="V57" s="28" t="n">
        <v>104.5</v>
      </c>
      <c r="W57" t="n">
        <v>7</v>
      </c>
    </row>
    <row r="58" ht="16" customHeight="1">
      <c r="A58" s="24" t="inlineStr">
        <is>
          <t>David Alcantara</t>
        </is>
      </c>
      <c r="B58" s="25" t="inlineStr">
        <is>
          <t>Distinguished</t>
        </is>
      </c>
      <c r="C58" s="25" t="inlineStr">
        <is>
          <t>Ela Cross</t>
        </is>
      </c>
      <c r="D58" s="26" t="n">
        <v>45191</v>
      </c>
      <c r="E58" s="25" t="n">
        <v>30</v>
      </c>
      <c r="F58" s="25" t="n">
        <v>15.75</v>
      </c>
      <c r="G58" s="14" t="n">
        <v>0.525</v>
      </c>
      <c r="H58" s="15" t="n">
        <v>38</v>
      </c>
      <c r="I58" s="15" t="n">
        <v>38.38</v>
      </c>
      <c r="J58" s="14" t="n">
        <v>1.0099</v>
      </c>
      <c r="K58" s="14" t="n">
        <v>0.3333</v>
      </c>
      <c r="L58" s="14" t="n">
        <v>0.9379999999999999</v>
      </c>
      <c r="M58" s="14" t="n">
        <v>1</v>
      </c>
      <c r="N58" s="27" t="inlineStr">
        <is>
          <t>3/3</t>
        </is>
      </c>
      <c r="O58" s="14" t="n">
        <v>0.454545455</v>
      </c>
      <c r="P58" s="15" t="n"/>
      <c r="Q58" s="15" t="n"/>
      <c r="R58" s="15" t="n">
        <v>166</v>
      </c>
      <c r="S58" s="15" t="n"/>
      <c r="T58" s="15" t="n">
        <v>4</v>
      </c>
      <c r="U58" s="15" t="n">
        <v>15</v>
      </c>
      <c r="V58" s="28" t="n">
        <v>60</v>
      </c>
      <c r="W58" t="n">
        <v>3</v>
      </c>
    </row>
    <row r="59" ht="16" customHeight="1">
      <c r="A59" s="24" t="inlineStr">
        <is>
          <t>Dehavion Knight</t>
        </is>
      </c>
      <c r="B59" s="25" t="inlineStr">
        <is>
          <t>Distinguished</t>
        </is>
      </c>
      <c r="C59" s="25" t="inlineStr">
        <is>
          <t>Ela Cross</t>
        </is>
      </c>
      <c r="D59" s="26" t="n">
        <v>45196</v>
      </c>
      <c r="E59" s="25" t="n">
        <v>12</v>
      </c>
      <c r="F59" s="25" t="n">
        <v>7.5</v>
      </c>
      <c r="G59" s="14" t="n">
        <v>0.625</v>
      </c>
      <c r="H59" s="15" t="n">
        <v>16</v>
      </c>
      <c r="I59" s="15" t="n">
        <v>19</v>
      </c>
      <c r="J59" s="14" t="n">
        <v>1.1875</v>
      </c>
      <c r="K59" s="14" t="n"/>
      <c r="L59" s="14" t="n">
        <v>1</v>
      </c>
      <c r="M59" s="14" t="n">
        <v>0.931034483</v>
      </c>
      <c r="N59" s="27" t="inlineStr">
        <is>
          <t>0/1</t>
        </is>
      </c>
      <c r="O59" s="14" t="n">
        <v>0.428571429</v>
      </c>
      <c r="P59" s="15" t="n"/>
      <c r="Q59" s="15" t="n"/>
      <c r="R59" s="15" t="n">
        <v>60</v>
      </c>
      <c r="S59" s="15" t="n"/>
      <c r="T59" s="15" t="n">
        <v>2</v>
      </c>
      <c r="U59" s="15" t="n">
        <v>10</v>
      </c>
      <c r="V59" s="28" t="n">
        <v>27</v>
      </c>
      <c r="W59" t="n">
        <v>3</v>
      </c>
    </row>
    <row r="60" ht="16" customHeight="1">
      <c r="A60" s="24" t="inlineStr">
        <is>
          <t>Denise Jefferson</t>
        </is>
      </c>
      <c r="B60" s="25" t="inlineStr">
        <is>
          <t>Advanced</t>
        </is>
      </c>
      <c r="C60" s="25" t="inlineStr">
        <is>
          <t>Ela Cross</t>
        </is>
      </c>
      <c r="D60" s="26" t="n">
        <v>46118</v>
      </c>
      <c r="E60" s="25" t="n">
        <v>12</v>
      </c>
      <c r="F60" s="25" t="n">
        <v>3.75</v>
      </c>
      <c r="G60" s="14" t="n">
        <v>0.3125</v>
      </c>
      <c r="H60" s="15" t="n">
        <v>16</v>
      </c>
      <c r="I60" s="15" t="n">
        <v>16.56</v>
      </c>
      <c r="J60" s="14" t="n">
        <v>1.0352</v>
      </c>
      <c r="K60" s="14" t="n">
        <v>7.2499</v>
      </c>
      <c r="L60" s="14" t="n">
        <v>0.556</v>
      </c>
      <c r="M60" s="14" t="n">
        <v>1</v>
      </c>
      <c r="N60" s="27" t="inlineStr">
        <is>
          <t>3/3</t>
        </is>
      </c>
      <c r="O60" s="14" t="n">
        <v>0.5</v>
      </c>
      <c r="P60" s="15" t="n"/>
      <c r="Q60" s="15" t="n"/>
      <c r="R60" s="15" t="n">
        <v>24</v>
      </c>
      <c r="S60" s="15" t="n"/>
      <c r="T60" s="15" t="n">
        <v>3</v>
      </c>
      <c r="U60" s="15" t="n">
        <v>5</v>
      </c>
      <c r="V60" s="28" t="n">
        <v>11</v>
      </c>
      <c r="W60" t="n">
        <v>4</v>
      </c>
    </row>
    <row r="61" ht="16" customHeight="1">
      <c r="A61" s="24" t="inlineStr">
        <is>
          <t>Derek Fox</t>
        </is>
      </c>
      <c r="B61" s="25" t="inlineStr">
        <is>
          <t>Advanced</t>
        </is>
      </c>
      <c r="C61" s="25" t="inlineStr">
        <is>
          <t>Geoff St. Marie</t>
        </is>
      </c>
      <c r="D61" s="26" t="n">
        <v>45999</v>
      </c>
      <c r="E61" s="25" t="n">
        <v>12</v>
      </c>
      <c r="F61" s="25" t="n">
        <v>3.5</v>
      </c>
      <c r="G61" s="14" t="n">
        <v>0.2917</v>
      </c>
      <c r="H61" s="15" t="n">
        <v>16</v>
      </c>
      <c r="I61" s="15" t="n">
        <v>16.25</v>
      </c>
      <c r="J61" s="14" t="n">
        <v>1.0156</v>
      </c>
      <c r="K61" s="14" t="n"/>
      <c r="L61" s="14" t="n">
        <v>0.857</v>
      </c>
      <c r="M61" s="14" t="n">
        <v>1</v>
      </c>
      <c r="N61" s="27" t="inlineStr">
        <is>
          <t>0/1</t>
        </is>
      </c>
      <c r="O61" s="14" t="n">
        <v>0.8</v>
      </c>
      <c r="P61" s="15" t="n">
        <v>1</v>
      </c>
      <c r="Q61" s="15" t="n">
        <v>9</v>
      </c>
      <c r="R61" s="15" t="n">
        <v>100</v>
      </c>
      <c r="S61" s="15" t="n">
        <v>0</v>
      </c>
      <c r="T61" s="15" t="n">
        <v>1</v>
      </c>
      <c r="U61" s="15" t="n">
        <v>6</v>
      </c>
      <c r="V61" s="28" t="n">
        <v>9</v>
      </c>
      <c r="W61" t="n">
        <v>5</v>
      </c>
    </row>
    <row r="62" ht="16" customHeight="1">
      <c r="A62" s="24" t="inlineStr">
        <is>
          <t>Diamond Anderson</t>
        </is>
      </c>
      <c r="B62" s="25" t="inlineStr">
        <is>
          <t>Distinguished</t>
        </is>
      </c>
      <c r="C62" s="25" t="inlineStr">
        <is>
          <t>Kristin Haase-Alvey</t>
        </is>
      </c>
      <c r="D62" s="26" t="n">
        <v>44015</v>
      </c>
      <c r="E62" s="25" t="n">
        <v>12</v>
      </c>
      <c r="F62" s="25" t="n">
        <v>5</v>
      </c>
      <c r="G62" s="14" t="n">
        <v>0.4167</v>
      </c>
      <c r="H62" s="15" t="n">
        <v>16</v>
      </c>
      <c r="I62" s="15" t="n">
        <v>15.88</v>
      </c>
      <c r="J62" s="14" t="n">
        <v>0.9922</v>
      </c>
      <c r="K62" s="14" t="n"/>
      <c r="L62" s="14" t="n">
        <v>0.9</v>
      </c>
      <c r="M62" s="14" t="n">
        <v>1</v>
      </c>
      <c r="N62" s="27" t="inlineStr">
        <is>
          <t>0/0</t>
        </is>
      </c>
      <c r="O62" s="14" t="n">
        <v>0.5</v>
      </c>
      <c r="P62" s="15" t="n"/>
      <c r="Q62" s="15" t="n"/>
      <c r="R62" s="15" t="n">
        <v>90</v>
      </c>
      <c r="S62" s="15" t="n"/>
      <c r="T62" s="15" t="n">
        <v>0</v>
      </c>
      <c r="U62" s="15" t="n">
        <v>8</v>
      </c>
      <c r="V62" s="28" t="n">
        <v>11</v>
      </c>
      <c r="W62" t="n">
        <v>9</v>
      </c>
    </row>
    <row r="63" ht="16" customHeight="1">
      <c r="A63" s="24" t="inlineStr">
        <is>
          <t>Diana Hoyer</t>
        </is>
      </c>
      <c r="B63" s="25" t="inlineStr">
        <is>
          <t>Distinguished</t>
        </is>
      </c>
      <c r="C63" s="25" t="inlineStr">
        <is>
          <t>Geoff St. Marie</t>
        </is>
      </c>
      <c r="D63" s="26" t="n">
        <v>44281</v>
      </c>
      <c r="E63" s="25" t="n">
        <v>35</v>
      </c>
      <c r="F63" s="25" t="n">
        <v>10.5</v>
      </c>
      <c r="G63" s="14" t="n">
        <v>0.3</v>
      </c>
      <c r="H63" s="15" t="n">
        <v>43</v>
      </c>
      <c r="I63" s="15" t="n">
        <v>45.17</v>
      </c>
      <c r="J63" s="14" t="n">
        <v>1.0504</v>
      </c>
      <c r="K63" s="14" t="n">
        <v>1.2498</v>
      </c>
      <c r="L63" s="14" t="n">
        <v>1</v>
      </c>
      <c r="M63" s="14" t="n">
        <v>0.923076923</v>
      </c>
      <c r="N63" s="27" t="inlineStr">
        <is>
          <t>1/2</t>
        </is>
      </c>
      <c r="O63" s="14" t="n">
        <v>1</v>
      </c>
      <c r="P63" s="15" t="n"/>
      <c r="Q63" s="15" t="n"/>
      <c r="R63" s="15" t="n">
        <v>18</v>
      </c>
      <c r="S63" s="15" t="n"/>
      <c r="T63" s="15" t="n">
        <v>4</v>
      </c>
      <c r="U63" s="15" t="n">
        <v>18</v>
      </c>
      <c r="V63" s="28" t="n">
        <v>39</v>
      </c>
      <c r="W63" t="n">
        <v>3</v>
      </c>
    </row>
    <row r="64" ht="16" customHeight="1">
      <c r="A64" s="24" t="inlineStr">
        <is>
          <t>Dorothy McDaniel</t>
        </is>
      </c>
      <c r="B64" s="25" t="inlineStr">
        <is>
          <t>Premium</t>
        </is>
      </c>
      <c r="C64" s="25" t="inlineStr">
        <is>
          <t>Ian Plamondon</t>
        </is>
      </c>
      <c r="D64" s="26" t="n">
        <v>44613</v>
      </c>
      <c r="E64" s="25" t="n">
        <v>30</v>
      </c>
      <c r="F64" s="25" t="n">
        <v>8.75</v>
      </c>
      <c r="G64" s="14" t="n">
        <v>0.2917</v>
      </c>
      <c r="H64" s="15" t="n">
        <v>30</v>
      </c>
      <c r="I64" s="15" t="n">
        <v>45.25</v>
      </c>
      <c r="J64" s="14" t="n">
        <v>1.5083</v>
      </c>
      <c r="K64" s="14" t="n">
        <v>4</v>
      </c>
      <c r="L64" s="14" t="n">
        <v>1</v>
      </c>
      <c r="M64" s="14" t="n">
        <v>1</v>
      </c>
      <c r="N64" s="27" t="inlineStr">
        <is>
          <t>0/0</t>
        </is>
      </c>
      <c r="O64" s="14" t="n">
        <v>0.666666667</v>
      </c>
      <c r="P64" s="15" t="n"/>
      <c r="Q64" s="15" t="n"/>
      <c r="R64" s="15" t="n">
        <v>75</v>
      </c>
      <c r="S64" s="15" t="n"/>
      <c r="T64" s="15" t="n">
        <v>0</v>
      </c>
      <c r="U64" s="15" t="n">
        <v>9</v>
      </c>
      <c r="V64" s="28" t="n">
        <v>33</v>
      </c>
      <c r="W64" t="n">
        <v>2</v>
      </c>
    </row>
    <row r="65" ht="16" customHeight="1">
      <c r="A65" s="24" t="inlineStr">
        <is>
          <t>Eddie Cayia</t>
        </is>
      </c>
      <c r="B65" s="25" t="inlineStr">
        <is>
          <t>Distinguished</t>
        </is>
      </c>
      <c r="C65" s="25" t="inlineStr">
        <is>
          <t>Annelies de Groot</t>
        </is>
      </c>
      <c r="D65" s="26" t="n">
        <v>45717</v>
      </c>
      <c r="E65" s="25" t="n">
        <v>35</v>
      </c>
      <c r="F65" s="25" t="n">
        <v>28.75</v>
      </c>
      <c r="G65" s="14" t="n">
        <v>0.8214</v>
      </c>
      <c r="H65" s="15" t="n">
        <v>43</v>
      </c>
      <c r="I65" s="15" t="n">
        <v>46.5</v>
      </c>
      <c r="J65" s="14" t="n">
        <v>1.0814</v>
      </c>
      <c r="K65" s="14" t="n">
        <v>7.0831</v>
      </c>
      <c r="L65" s="14" t="n">
        <v>0.9429999999999999</v>
      </c>
      <c r="M65" s="14" t="n">
        <v>0.9629629629999999</v>
      </c>
      <c r="N65" s="27" t="inlineStr">
        <is>
          <t>3/4</t>
        </is>
      </c>
      <c r="O65" s="14" t="n">
        <v>0.916666667</v>
      </c>
      <c r="P65" s="15" t="n"/>
      <c r="Q65" s="15" t="n"/>
      <c r="R65" s="15" t="n">
        <v>156</v>
      </c>
      <c r="S65" s="15" t="n"/>
      <c r="T65" s="15" t="n">
        <v>9</v>
      </c>
      <c r="U65" s="15" t="n">
        <v>21</v>
      </c>
      <c r="V65" s="28" t="n">
        <v>108</v>
      </c>
      <c r="W65" t="n">
        <v>7</v>
      </c>
    </row>
    <row r="66" ht="16" customHeight="1">
      <c r="A66" s="24" t="inlineStr">
        <is>
          <t>Eddie Rodriguez</t>
        </is>
      </c>
      <c r="B66" s="25" t="inlineStr">
        <is>
          <t>Distinguished</t>
        </is>
      </c>
      <c r="C66" s="25" t="inlineStr">
        <is>
          <t>Geoff St. Marie</t>
        </is>
      </c>
      <c r="D66" s="26" t="n">
        <v>45206</v>
      </c>
      <c r="E66" s="25" t="n">
        <v>30</v>
      </c>
      <c r="F66" s="25" t="n">
        <v>9.880000000000001</v>
      </c>
      <c r="G66" s="14" t="n">
        <v>0.3292</v>
      </c>
      <c r="H66" s="15" t="n">
        <v>38</v>
      </c>
      <c r="I66" s="15" t="n">
        <v>42.88</v>
      </c>
      <c r="J66" s="14" t="n">
        <v>1.1283</v>
      </c>
      <c r="K66" s="14" t="n">
        <v>3.8329</v>
      </c>
      <c r="L66" s="14" t="n">
        <v>1</v>
      </c>
      <c r="M66" s="14" t="n">
        <v>1</v>
      </c>
      <c r="N66" s="27" t="inlineStr">
        <is>
          <t>4/5</t>
        </is>
      </c>
      <c r="O66" s="14" t="n">
        <v>0</v>
      </c>
      <c r="P66" s="15" t="n"/>
      <c r="Q66" s="15" t="n"/>
      <c r="R66" s="15" t="n">
        <v>12</v>
      </c>
      <c r="S66" s="15" t="n"/>
      <c r="T66" s="15" t="n">
        <v>9</v>
      </c>
      <c r="U66" s="15" t="n">
        <v>18</v>
      </c>
      <c r="V66" s="28" t="n">
        <v>37.5</v>
      </c>
      <c r="W66" t="n">
        <v>2</v>
      </c>
    </row>
    <row r="67" ht="16" customHeight="1">
      <c r="A67" s="24" t="inlineStr">
        <is>
          <t>Eden Rasmussen</t>
        </is>
      </c>
      <c r="B67" s="25" t="inlineStr">
        <is>
          <t>Distinguished</t>
        </is>
      </c>
      <c r="C67" s="25" t="inlineStr">
        <is>
          <t>Geoff St. Marie</t>
        </is>
      </c>
      <c r="D67" s="26" t="n">
        <v>44330</v>
      </c>
      <c r="E67" s="25" t="n">
        <v>30</v>
      </c>
      <c r="F67" s="25" t="n">
        <v>17.75</v>
      </c>
      <c r="G67" s="14" t="n">
        <v>0.5917</v>
      </c>
      <c r="H67" s="15" t="n">
        <v>38</v>
      </c>
      <c r="I67" s="15" t="n">
        <v>36</v>
      </c>
      <c r="J67" s="14" t="n">
        <v>0.9474</v>
      </c>
      <c r="K67" s="14" t="n">
        <v>9.5832</v>
      </c>
      <c r="L67" s="14" t="n">
        <v>0.919</v>
      </c>
      <c r="M67" s="14" t="n">
        <v>0.857142857</v>
      </c>
      <c r="N67" s="27" t="inlineStr">
        <is>
          <t>0/5</t>
        </is>
      </c>
      <c r="O67" s="14" t="n">
        <v>0.1</v>
      </c>
      <c r="P67" s="15" t="n"/>
      <c r="Q67" s="15" t="n"/>
      <c r="R67" s="15" t="n">
        <v>172</v>
      </c>
      <c r="S67" s="15" t="n"/>
      <c r="T67" s="15" t="n">
        <v>9</v>
      </c>
      <c r="U67" s="15" t="n">
        <v>17</v>
      </c>
      <c r="V67" s="28" t="n">
        <v>64</v>
      </c>
      <c r="W67" t="n">
        <v>7</v>
      </c>
    </row>
    <row r="68" ht="16" customHeight="1">
      <c r="A68" s="24" t="inlineStr">
        <is>
          <t>Edwin West</t>
        </is>
      </c>
      <c r="B68" s="25" t="inlineStr">
        <is>
          <t>Distinguished</t>
        </is>
      </c>
      <c r="C68" s="25" t="inlineStr">
        <is>
          <t>Ela Cross</t>
        </is>
      </c>
      <c r="D68" s="26" t="n">
        <v>45264</v>
      </c>
      <c r="E68" s="25" t="n">
        <v>12</v>
      </c>
      <c r="F68" s="25" t="n">
        <v>9</v>
      </c>
      <c r="G68" s="14" t="n">
        <v>0.75</v>
      </c>
      <c r="H68" s="15" t="n">
        <v>16</v>
      </c>
      <c r="I68" s="15" t="n">
        <v>17.06</v>
      </c>
      <c r="J68" s="14" t="n">
        <v>1.0664</v>
      </c>
      <c r="K68" s="14" t="n">
        <v>0.8332000000000001</v>
      </c>
      <c r="L68" s="14" t="n">
        <v>0.931</v>
      </c>
      <c r="M68" s="14" t="n">
        <v>1</v>
      </c>
      <c r="N68" s="27" t="inlineStr">
        <is>
          <t>0/0</t>
        </is>
      </c>
      <c r="O68" s="14" t="n">
        <v>1</v>
      </c>
      <c r="P68" s="15" t="n"/>
      <c r="Q68" s="15" t="n"/>
      <c r="R68" s="15" t="n">
        <v>60</v>
      </c>
      <c r="S68" s="15" t="n"/>
      <c r="T68" s="15" t="n">
        <v>2</v>
      </c>
      <c r="U68" s="15" t="n">
        <v>12</v>
      </c>
      <c r="V68" s="28" t="n">
        <v>35</v>
      </c>
      <c r="W68" t="n">
        <v>1</v>
      </c>
    </row>
    <row r="69" ht="16" customHeight="1">
      <c r="A69" s="24" t="inlineStr">
        <is>
          <t>Eleanor Mancilla</t>
        </is>
      </c>
      <c r="B69" s="25" t="inlineStr">
        <is>
          <t>Distinguished</t>
        </is>
      </c>
      <c r="C69" s="25" t="inlineStr">
        <is>
          <t>Katherine Marino</t>
        </is>
      </c>
      <c r="D69" s="26" t="n">
        <v>46175</v>
      </c>
      <c r="E69" s="25" t="n">
        <v>30</v>
      </c>
      <c r="F69" s="25" t="n">
        <v>18.75</v>
      </c>
      <c r="G69" s="14" t="n">
        <v>0.625</v>
      </c>
      <c r="H69" s="15" t="n">
        <v>38</v>
      </c>
      <c r="I69" s="15" t="n">
        <v>43.25</v>
      </c>
      <c r="J69" s="14" t="n">
        <v>1.1382</v>
      </c>
      <c r="K69" s="14" t="n">
        <v>11.0833</v>
      </c>
      <c r="L69" s="14" t="n">
        <v>0.905</v>
      </c>
      <c r="M69" s="14" t="n">
        <v>1</v>
      </c>
      <c r="N69" s="27" t="inlineStr">
        <is>
          <t>16/17</t>
        </is>
      </c>
      <c r="O69" s="14" t="n">
        <v>0</v>
      </c>
      <c r="P69" s="15" t="n"/>
      <c r="Q69" s="15" t="n"/>
      <c r="R69" s="15" t="n">
        <v>12</v>
      </c>
      <c r="S69" s="15" t="n"/>
      <c r="T69" s="15" t="n">
        <v>21</v>
      </c>
      <c r="U69" s="15" t="n">
        <v>21</v>
      </c>
      <c r="V69" s="28" t="n">
        <v>68</v>
      </c>
      <c r="W69" t="n">
        <v>7</v>
      </c>
    </row>
    <row r="70" ht="16" customHeight="1">
      <c r="A70" s="24" t="inlineStr">
        <is>
          <t>Elijah Ramirez</t>
        </is>
      </c>
      <c r="B70" s="25" t="inlineStr">
        <is>
          <t>Premium</t>
        </is>
      </c>
      <c r="C70" s="25" t="inlineStr">
        <is>
          <t>Ian Plamondon</t>
        </is>
      </c>
      <c r="D70" s="26" t="n">
        <v>44240</v>
      </c>
      <c r="E70" s="25" t="n">
        <v>30</v>
      </c>
      <c r="F70" s="25" t="n">
        <v>18.75</v>
      </c>
      <c r="G70" s="14" t="n">
        <v>0.625</v>
      </c>
      <c r="H70" s="15" t="n">
        <v>38</v>
      </c>
      <c r="I70" s="15" t="n">
        <v>42.06</v>
      </c>
      <c r="J70" s="14" t="n">
        <v>1.1069</v>
      </c>
      <c r="K70" s="14" t="n">
        <v>5</v>
      </c>
      <c r="L70" s="14" t="n">
        <v>1</v>
      </c>
      <c r="M70" s="14" t="n">
        <v>1</v>
      </c>
      <c r="N70" s="27" t="inlineStr">
        <is>
          <t>5/5</t>
        </is>
      </c>
      <c r="O70" s="14" t="n">
        <v>1</v>
      </c>
      <c r="P70" s="15" t="n"/>
      <c r="Q70" s="15" t="n"/>
      <c r="R70" s="15" t="n">
        <v>9</v>
      </c>
      <c r="S70" s="15" t="n"/>
      <c r="T70" s="15" t="n">
        <v>8</v>
      </c>
      <c r="U70" s="15" t="n">
        <v>20</v>
      </c>
      <c r="V70" s="28" t="n">
        <v>69</v>
      </c>
      <c r="W70" t="n">
        <v>6</v>
      </c>
    </row>
    <row r="71" ht="16" customHeight="1">
      <c r="A71" s="24" t="inlineStr">
        <is>
          <t>Elizabeth Simons</t>
        </is>
      </c>
      <c r="B71" s="25" t="inlineStr">
        <is>
          <t>Distinguished</t>
        </is>
      </c>
      <c r="C71" s="25" t="inlineStr">
        <is>
          <t>Kristin Haase-Alvey</t>
        </is>
      </c>
      <c r="D71" s="26" t="n">
        <v>45741</v>
      </c>
      <c r="E71" s="25" t="n">
        <v>12</v>
      </c>
      <c r="F71" s="25" t="n">
        <v>8.25</v>
      </c>
      <c r="G71" s="14" t="n">
        <v>0.6875</v>
      </c>
      <c r="H71" s="15" t="n">
        <v>16</v>
      </c>
      <c r="I71" s="15" t="n">
        <v>20</v>
      </c>
      <c r="J71" s="14" t="n">
        <v>1.25</v>
      </c>
      <c r="K71" s="14" t="n"/>
      <c r="L71" s="14" t="n">
        <v>1</v>
      </c>
      <c r="M71" s="14" t="n">
        <v>1</v>
      </c>
      <c r="N71" s="27" t="inlineStr">
        <is>
          <t>1/1</t>
        </is>
      </c>
      <c r="O71" s="14" t="n">
        <v>0.714285714</v>
      </c>
      <c r="P71" s="15" t="n"/>
      <c r="Q71" s="15" t="n"/>
      <c r="R71" s="15" t="n">
        <v>157</v>
      </c>
      <c r="S71" s="15" t="n"/>
      <c r="T71" s="15" t="n">
        <v>2</v>
      </c>
      <c r="U71" s="15" t="n">
        <v>9</v>
      </c>
      <c r="V71" s="28" t="n">
        <v>29</v>
      </c>
      <c r="W71" t="n">
        <v>4</v>
      </c>
    </row>
    <row r="72" ht="16" customHeight="1">
      <c r="A72" s="24" t="inlineStr">
        <is>
          <t>Eric Chang</t>
        </is>
      </c>
      <c r="B72" s="25" t="inlineStr">
        <is>
          <t>Distinguished</t>
        </is>
      </c>
      <c r="C72" s="25" t="inlineStr">
        <is>
          <t>Annelies de Groot</t>
        </is>
      </c>
      <c r="D72" s="26" t="n">
        <v>45768</v>
      </c>
      <c r="E72" s="25" t="n">
        <v>30</v>
      </c>
      <c r="F72" s="25" t="n">
        <v>22.5</v>
      </c>
      <c r="G72" s="14" t="n">
        <v>0.75</v>
      </c>
      <c r="H72" s="15" t="n">
        <v>38</v>
      </c>
      <c r="I72" s="15" t="n">
        <v>37</v>
      </c>
      <c r="J72" s="14" t="n">
        <v>0.9737</v>
      </c>
      <c r="K72" s="14" t="n">
        <v>2</v>
      </c>
      <c r="L72" s="14" t="n">
        <v>1</v>
      </c>
      <c r="M72" s="14" t="n">
        <v>0.977011494</v>
      </c>
      <c r="N72" s="27" t="inlineStr">
        <is>
          <t>1/2</t>
        </is>
      </c>
      <c r="O72" s="14" t="n">
        <v>0.3125</v>
      </c>
      <c r="P72" s="15" t="n">
        <v>1</v>
      </c>
      <c r="Q72" s="15" t="n">
        <v>7</v>
      </c>
      <c r="R72" s="15" t="n">
        <v>141</v>
      </c>
      <c r="S72" s="15" t="n"/>
      <c r="T72" s="15" t="n">
        <v>10</v>
      </c>
      <c r="U72" s="15" t="n">
        <v>25</v>
      </c>
      <c r="V72" s="28" t="n">
        <v>83</v>
      </c>
      <c r="W72" t="n">
        <v>7</v>
      </c>
    </row>
    <row r="73" ht="16" customHeight="1">
      <c r="A73" s="24" t="inlineStr">
        <is>
          <t>Ernie Chu</t>
        </is>
      </c>
      <c r="B73" s="25" t="inlineStr">
        <is>
          <t>Distinguished</t>
        </is>
      </c>
      <c r="C73" s="25" t="inlineStr">
        <is>
          <t>Geoff St. Marie</t>
        </is>
      </c>
      <c r="D73" s="26" t="n">
        <v>45695</v>
      </c>
      <c r="E73" s="25" t="n">
        <v>30</v>
      </c>
      <c r="F73" s="25" t="n">
        <v>25.5</v>
      </c>
      <c r="G73" s="14" t="n">
        <v>0.85</v>
      </c>
      <c r="H73" s="15" t="n">
        <v>38</v>
      </c>
      <c r="I73" s="15" t="n">
        <v>44.56</v>
      </c>
      <c r="J73" s="14" t="n">
        <v>1.1727</v>
      </c>
      <c r="K73" s="14" t="n">
        <v>2.25</v>
      </c>
      <c r="L73" s="14" t="n">
        <v>0.722</v>
      </c>
      <c r="M73" s="14" t="n">
        <v>1</v>
      </c>
      <c r="N73" s="27" t="inlineStr">
        <is>
          <t>1/5</t>
        </is>
      </c>
      <c r="O73" s="14" t="n">
        <v>0.615384615</v>
      </c>
      <c r="P73" s="15" t="n"/>
      <c r="Q73" s="15" t="n"/>
      <c r="R73" s="15" t="n">
        <v>154</v>
      </c>
      <c r="S73" s="15" t="n">
        <v>2</v>
      </c>
      <c r="T73" s="15" t="n">
        <v>9</v>
      </c>
      <c r="U73" s="15" t="n">
        <v>28</v>
      </c>
      <c r="V73" s="28" t="n">
        <v>92</v>
      </c>
      <c r="W73" t="n">
        <v>10</v>
      </c>
    </row>
    <row r="74" ht="16" customHeight="1">
      <c r="A74" s="24" t="inlineStr">
        <is>
          <t>Eru Kyu</t>
        </is>
      </c>
      <c r="B74" s="25" t="inlineStr">
        <is>
          <t>Distinguished</t>
        </is>
      </c>
      <c r="C74" s="25" t="inlineStr">
        <is>
          <t>Nikki Pencak</t>
        </is>
      </c>
      <c r="D74" s="26" t="n">
        <v>46175</v>
      </c>
      <c r="E74" s="25" t="n">
        <v>30</v>
      </c>
      <c r="F74" s="25" t="n">
        <v>0</v>
      </c>
      <c r="G74" s="14" t="n">
        <v>0</v>
      </c>
      <c r="H74" s="15" t="n">
        <v>38</v>
      </c>
      <c r="I74" s="15" t="n">
        <v>16.81</v>
      </c>
      <c r="J74" s="14" t="n">
        <v>0.4424</v>
      </c>
      <c r="K74" s="14" t="n"/>
      <c r="L74" s="14" t="n"/>
      <c r="M74" s="14" t="n"/>
      <c r="N74" s="27" t="inlineStr">
        <is>
          <t>0/0</t>
        </is>
      </c>
      <c r="O74" s="14" t="n"/>
      <c r="P74" s="15" t="n"/>
      <c r="Q74" s="15" t="n"/>
      <c r="R74" s="15" t="n">
        <v>0</v>
      </c>
      <c r="S74" s="15" t="n"/>
      <c r="T74" s="15" t="n">
        <v>0</v>
      </c>
      <c r="U74" s="15" t="n">
        <v>0</v>
      </c>
      <c r="V74" s="28" t="n"/>
    </row>
    <row r="75" ht="16" customHeight="1">
      <c r="A75" s="24" t="inlineStr">
        <is>
          <t>Faith Rogers</t>
        </is>
      </c>
      <c r="B75" s="25" t="inlineStr">
        <is>
          <t>Distinguished</t>
        </is>
      </c>
      <c r="C75" s="25" t="inlineStr">
        <is>
          <t>Geoff St. Marie</t>
        </is>
      </c>
      <c r="D75" s="26" t="n">
        <v>44330</v>
      </c>
      <c r="E75" s="25" t="n">
        <v>30</v>
      </c>
      <c r="F75" s="25" t="n">
        <v>26.63</v>
      </c>
      <c r="G75" s="14" t="n">
        <v>0.8875</v>
      </c>
      <c r="H75" s="15" t="n">
        <v>38</v>
      </c>
      <c r="I75" s="15" t="n">
        <v>37.06</v>
      </c>
      <c r="J75" s="14" t="n">
        <v>0.9752999999999999</v>
      </c>
      <c r="K75" s="14" t="n"/>
      <c r="L75" s="14" t="n">
        <v>0.983</v>
      </c>
      <c r="M75" s="14" t="n">
        <v>0.99</v>
      </c>
      <c r="N75" s="27" t="inlineStr">
        <is>
          <t>4/5</t>
        </is>
      </c>
      <c r="O75" s="14" t="n">
        <v>0.588235294</v>
      </c>
      <c r="P75" s="15" t="n"/>
      <c r="Q75" s="15" t="n"/>
      <c r="R75" s="15" t="n">
        <v>120</v>
      </c>
      <c r="S75" s="15" t="n"/>
      <c r="T75" s="15" t="n">
        <v>6</v>
      </c>
      <c r="U75" s="15" t="n">
        <v>25</v>
      </c>
      <c r="V75" s="28" t="n">
        <v>105.5</v>
      </c>
      <c r="W75" t="n">
        <v>1</v>
      </c>
    </row>
    <row r="76" ht="16" customHeight="1">
      <c r="A76" s="24" t="inlineStr">
        <is>
          <t>Gabriel Saint Cyr</t>
        </is>
      </c>
      <c r="B76" s="25" t="inlineStr">
        <is>
          <t>Distinguished</t>
        </is>
      </c>
      <c r="C76" s="25" t="inlineStr">
        <is>
          <t>Geoff St. Marie</t>
        </is>
      </c>
      <c r="D76" s="26" t="n">
        <v>43685</v>
      </c>
      <c r="E76" s="25" t="n">
        <v>12</v>
      </c>
      <c r="F76" s="25" t="n">
        <v>3.5</v>
      </c>
      <c r="G76" s="14" t="n">
        <v>0.2917</v>
      </c>
      <c r="H76" s="15" t="n">
        <v>16</v>
      </c>
      <c r="I76" s="15" t="n">
        <v>14.88</v>
      </c>
      <c r="J76" s="14" t="n">
        <v>0.9297</v>
      </c>
      <c r="K76" s="14" t="n">
        <v>0.25</v>
      </c>
      <c r="L76" s="14" t="n">
        <v>0.667</v>
      </c>
      <c r="M76" s="14" t="n">
        <v>1</v>
      </c>
      <c r="N76" s="27" t="inlineStr">
        <is>
          <t>0/0</t>
        </is>
      </c>
      <c r="O76" s="14" t="n">
        <v>1</v>
      </c>
      <c r="P76" s="15" t="n"/>
      <c r="Q76" s="15" t="n"/>
      <c r="R76" s="15" t="n">
        <v>1</v>
      </c>
      <c r="S76" s="15" t="n">
        <v>3</v>
      </c>
      <c r="T76" s="15" t="n">
        <v>0</v>
      </c>
      <c r="U76" s="15" t="n">
        <v>6</v>
      </c>
      <c r="V76" s="28" t="n">
        <v>12.5</v>
      </c>
      <c r="W76" t="n">
        <v>1.5</v>
      </c>
    </row>
    <row r="77" ht="16" customHeight="1">
      <c r="A77" s="24" t="inlineStr">
        <is>
          <t>Gale Hermes</t>
        </is>
      </c>
      <c r="B77" s="25" t="inlineStr">
        <is>
          <t>Premium</t>
        </is>
      </c>
      <c r="C77" s="25" t="inlineStr">
        <is>
          <t>Ian Plamondon</t>
        </is>
      </c>
      <c r="D77" s="26" t="n">
        <v>44246</v>
      </c>
      <c r="E77" s="25" t="n">
        <v>30</v>
      </c>
      <c r="F77" s="25" t="n">
        <v>12.5</v>
      </c>
      <c r="G77" s="14" t="n">
        <v>0.4167</v>
      </c>
      <c r="H77" s="15" t="n">
        <v>30</v>
      </c>
      <c r="I77" s="15" t="n">
        <v>44.56</v>
      </c>
      <c r="J77" s="14" t="n">
        <v>1.4854</v>
      </c>
      <c r="K77" s="14" t="n">
        <v>0.8333</v>
      </c>
      <c r="L77" s="14" t="n">
        <v>0.897</v>
      </c>
      <c r="M77" s="14" t="n">
        <v>1</v>
      </c>
      <c r="N77" s="27" t="inlineStr">
        <is>
          <t>0/0</t>
        </is>
      </c>
      <c r="O77" s="14" t="n">
        <v>0.625</v>
      </c>
      <c r="P77" s="15" t="n"/>
      <c r="Q77" s="15" t="n"/>
      <c r="R77" s="15" t="n">
        <v>51</v>
      </c>
      <c r="S77" s="15" t="n">
        <v>1</v>
      </c>
      <c r="T77" s="15" t="n">
        <v>2</v>
      </c>
      <c r="U77" s="15" t="n">
        <v>12</v>
      </c>
      <c r="V77" s="28" t="n">
        <v>43</v>
      </c>
      <c r="W77" t="n">
        <v>7</v>
      </c>
    </row>
    <row r="78" ht="16" customHeight="1">
      <c r="A78" s="24" t="inlineStr">
        <is>
          <t>Gene Costa</t>
        </is>
      </c>
      <c r="B78" s="25" t="inlineStr">
        <is>
          <t>Distinguished</t>
        </is>
      </c>
      <c r="C78" s="25" t="inlineStr">
        <is>
          <t>Ela Cross</t>
        </is>
      </c>
      <c r="D78" s="26" t="n">
        <v>46112</v>
      </c>
      <c r="E78" s="25" t="n">
        <v>30</v>
      </c>
      <c r="F78" s="25" t="n">
        <v>24.25</v>
      </c>
      <c r="G78" s="14" t="n">
        <v>0.8083</v>
      </c>
      <c r="H78" s="15" t="n">
        <v>38</v>
      </c>
      <c r="I78" s="15" t="n">
        <v>48.94</v>
      </c>
      <c r="J78" s="14" t="n">
        <v>1.2878</v>
      </c>
      <c r="K78" s="14" t="n">
        <v>11.4991</v>
      </c>
      <c r="L78" s="14" t="n">
        <v>1</v>
      </c>
      <c r="M78" s="14" t="n">
        <v>1</v>
      </c>
      <c r="N78" s="27" t="inlineStr">
        <is>
          <t>3/5</t>
        </is>
      </c>
      <c r="O78" s="14" t="n">
        <v>0.333333333</v>
      </c>
      <c r="P78" s="15" t="n"/>
      <c r="Q78" s="15" t="n"/>
      <c r="R78" s="15" t="n">
        <v>104</v>
      </c>
      <c r="S78" s="15" t="n"/>
      <c r="T78" s="15" t="n">
        <v>9</v>
      </c>
      <c r="U78" s="15" t="n">
        <v>24</v>
      </c>
      <c r="V78" s="28" t="n">
        <v>90</v>
      </c>
      <c r="W78" t="n">
        <v>7</v>
      </c>
    </row>
    <row r="79" ht="16" customHeight="1">
      <c r="A79" s="24" t="inlineStr">
        <is>
          <t>Gigi Glover</t>
        </is>
      </c>
      <c r="B79" s="25" t="inlineStr">
        <is>
          <t>Distinguished</t>
        </is>
      </c>
      <c r="C79" s="25" t="inlineStr">
        <is>
          <t>Geoff St. Marie</t>
        </is>
      </c>
      <c r="D79" s="26" t="n">
        <v>43903</v>
      </c>
      <c r="E79" s="25" t="n">
        <v>30</v>
      </c>
      <c r="F79" s="25" t="n">
        <v>17</v>
      </c>
      <c r="G79" s="14" t="n">
        <v>0.5667</v>
      </c>
      <c r="H79" s="15" t="n">
        <v>38</v>
      </c>
      <c r="I79" s="15" t="n">
        <v>46.13</v>
      </c>
      <c r="J79" s="14" t="n">
        <v>1.2138</v>
      </c>
      <c r="K79" s="14" t="n">
        <v>12.5832</v>
      </c>
      <c r="L79" s="14" t="n">
        <v>0.977</v>
      </c>
      <c r="M79" s="14" t="n">
        <v>0.925373134</v>
      </c>
      <c r="N79" s="27" t="inlineStr">
        <is>
          <t>3/5</t>
        </is>
      </c>
      <c r="O79" s="14" t="n">
        <v>0.307692308</v>
      </c>
      <c r="P79" s="15" t="n">
        <v>1</v>
      </c>
      <c r="Q79" s="15" t="n">
        <v>0</v>
      </c>
      <c r="R79" s="15" t="n">
        <v>15</v>
      </c>
      <c r="S79" s="15" t="n"/>
      <c r="T79" s="15" t="n">
        <v>8</v>
      </c>
      <c r="U79" s="15" t="n">
        <v>21</v>
      </c>
      <c r="V79" s="28" t="n">
        <v>67</v>
      </c>
      <c r="W79" t="n">
        <v>1</v>
      </c>
    </row>
    <row r="80" ht="16" customHeight="1">
      <c r="A80" s="24" t="inlineStr">
        <is>
          <t>Gina Benson</t>
        </is>
      </c>
      <c r="B80" s="25" t="inlineStr">
        <is>
          <t>Advanced</t>
        </is>
      </c>
      <c r="C80" s="25" t="inlineStr">
        <is>
          <t>Katherine Marino</t>
        </is>
      </c>
      <c r="D80" s="26" t="n">
        <v>46174</v>
      </c>
      <c r="E80" s="25" t="n">
        <v>20</v>
      </c>
      <c r="F80" s="25" t="n">
        <v>9.25</v>
      </c>
      <c r="G80" s="14" t="n">
        <v>0.4625</v>
      </c>
      <c r="H80" s="15" t="n">
        <v>24</v>
      </c>
      <c r="I80" s="15" t="n">
        <v>26.38</v>
      </c>
      <c r="J80" s="14" t="n">
        <v>1.099</v>
      </c>
      <c r="K80" s="14" t="n">
        <v>18.5831</v>
      </c>
      <c r="L80" s="14" t="n">
        <v>0.964</v>
      </c>
      <c r="M80" s="14" t="n">
        <v>1</v>
      </c>
      <c r="N80" s="27" t="inlineStr">
        <is>
          <t>5/5</t>
        </is>
      </c>
      <c r="O80" s="14" t="n">
        <v>1</v>
      </c>
      <c r="P80" s="15" t="n"/>
      <c r="Q80" s="15" t="n"/>
      <c r="R80" s="15" t="n">
        <v>44</v>
      </c>
      <c r="S80" s="15" t="n"/>
      <c r="T80" s="15" t="n">
        <v>9</v>
      </c>
      <c r="U80" s="15" t="n">
        <v>9</v>
      </c>
      <c r="V80" s="28" t="n">
        <v>37</v>
      </c>
    </row>
    <row r="81" ht="16" customHeight="1">
      <c r="A81" s="24" t="inlineStr">
        <is>
          <t>Hannah Ervitz</t>
        </is>
      </c>
      <c r="B81" s="25" t="inlineStr">
        <is>
          <t>Distinguished</t>
        </is>
      </c>
      <c r="C81" s="25" t="inlineStr">
        <is>
          <t>Kristin Haase-Alvey</t>
        </is>
      </c>
      <c r="D81" s="26" t="n">
        <v>45670</v>
      </c>
      <c r="E81" s="25" t="n">
        <v>20</v>
      </c>
      <c r="F81" s="25" t="n">
        <v>13.38</v>
      </c>
      <c r="G81" s="14" t="n">
        <v>0.6688</v>
      </c>
      <c r="H81" s="15" t="n">
        <v>24</v>
      </c>
      <c r="I81" s="15" t="n">
        <v>15</v>
      </c>
      <c r="J81" s="14" t="n">
        <v>0.625</v>
      </c>
      <c r="K81" s="14" t="n"/>
      <c r="L81" s="14" t="n">
        <v>0.958</v>
      </c>
      <c r="M81" s="14" t="n">
        <v>0.958333333</v>
      </c>
      <c r="N81" s="27" t="inlineStr">
        <is>
          <t>0/1</t>
        </is>
      </c>
      <c r="O81" s="14" t="n">
        <v>0.846153846</v>
      </c>
      <c r="P81" s="15" t="n"/>
      <c r="Q81" s="15" t="n"/>
      <c r="R81" s="15" t="n">
        <v>234</v>
      </c>
      <c r="S81" s="15" t="n"/>
      <c r="T81" s="15" t="n">
        <v>1</v>
      </c>
      <c r="U81" s="15" t="n">
        <v>16</v>
      </c>
      <c r="V81" s="28" t="n">
        <v>42.5</v>
      </c>
      <c r="W81" t="n">
        <v>11</v>
      </c>
      <c r="Y81" s="9" t="n"/>
    </row>
    <row r="82" ht="16" customHeight="1">
      <c r="A82" s="24" t="inlineStr">
        <is>
          <t>Hannah Lodge</t>
        </is>
      </c>
      <c r="B82" s="25" t="inlineStr">
        <is>
          <t>Premium</t>
        </is>
      </c>
      <c r="C82" s="25" t="inlineStr">
        <is>
          <t>Ian Plamondon</t>
        </is>
      </c>
      <c r="D82" s="26" t="n">
        <v>43922</v>
      </c>
      <c r="E82" s="25" t="n">
        <v>30</v>
      </c>
      <c r="F82" s="25" t="n">
        <v>26.75</v>
      </c>
      <c r="G82" s="14" t="n">
        <v>0.8917</v>
      </c>
      <c r="H82" s="15" t="n">
        <v>38</v>
      </c>
      <c r="I82" s="15" t="n">
        <v>60.63</v>
      </c>
      <c r="J82" s="14" t="n">
        <v>1.5954</v>
      </c>
      <c r="K82" s="14" t="n">
        <v>0.25</v>
      </c>
      <c r="L82" s="14" t="n">
        <v>0.885</v>
      </c>
      <c r="M82" s="14" t="n">
        <v>0.988764045</v>
      </c>
      <c r="N82" s="27" t="inlineStr">
        <is>
          <t>2/3</t>
        </is>
      </c>
      <c r="O82" s="14" t="n">
        <v>0.8666666669999999</v>
      </c>
      <c r="P82" s="15" t="n"/>
      <c r="Q82" s="15" t="n"/>
      <c r="R82" s="15" t="n">
        <v>72</v>
      </c>
      <c r="S82" s="15" t="n"/>
      <c r="T82" s="15" t="n">
        <v>7</v>
      </c>
      <c r="U82" s="15" t="n">
        <v>19</v>
      </c>
      <c r="V82" s="28" t="n">
        <v>95.5</v>
      </c>
      <c r="W82" t="n">
        <v>11.5</v>
      </c>
      <c r="Y82" s="9" t="n"/>
    </row>
    <row r="83" ht="16" customHeight="1">
      <c r="A83" s="24" t="inlineStr">
        <is>
          <t>Jacey Clifton</t>
        </is>
      </c>
      <c r="B83" s="25" t="inlineStr">
        <is>
          <t>Distinguished</t>
        </is>
      </c>
      <c r="C83" s="25" t="inlineStr">
        <is>
          <t>Ela Cross</t>
        </is>
      </c>
      <c r="D83" s="26" t="n">
        <v>45201</v>
      </c>
      <c r="E83" s="25" t="n">
        <v>12</v>
      </c>
      <c r="F83" s="25" t="n">
        <v>6.25</v>
      </c>
      <c r="G83" s="14" t="n">
        <v>0.5208</v>
      </c>
      <c r="H83" s="15" t="n">
        <v>16</v>
      </c>
      <c r="I83" s="15" t="n">
        <v>13.38</v>
      </c>
      <c r="J83" s="14" t="n">
        <v>0.8359</v>
      </c>
      <c r="K83" s="14" t="n">
        <v>0.1666</v>
      </c>
      <c r="L83" s="14" t="n">
        <v>1</v>
      </c>
      <c r="M83" s="14" t="n">
        <v>1</v>
      </c>
      <c r="N83" s="27" t="inlineStr">
        <is>
          <t>0/0</t>
        </is>
      </c>
      <c r="O83" s="14" t="n">
        <v>0.428571429</v>
      </c>
      <c r="P83" s="15" t="n"/>
      <c r="Q83" s="15" t="n"/>
      <c r="R83" s="15" t="n">
        <v>84</v>
      </c>
      <c r="S83" s="15" t="n"/>
      <c r="T83" s="15" t="n">
        <v>0</v>
      </c>
      <c r="U83" s="15" t="n">
        <v>10</v>
      </c>
      <c r="V83" s="28" t="n">
        <v>22</v>
      </c>
      <c r="W83" t="n">
        <v>3</v>
      </c>
      <c r="Y83" s="9" t="n"/>
    </row>
    <row r="84" ht="16" customHeight="1">
      <c r="A84" s="24" t="inlineStr">
        <is>
          <t>Jacob Karn</t>
        </is>
      </c>
      <c r="B84" s="25" t="inlineStr">
        <is>
          <t>Distinguished</t>
        </is>
      </c>
      <c r="C84" s="25" t="inlineStr">
        <is>
          <t>Geoff St. Marie</t>
        </is>
      </c>
      <c r="D84" s="26" t="n">
        <v>45719</v>
      </c>
      <c r="E84" s="25" t="n">
        <v>30</v>
      </c>
      <c r="F84" s="25" t="n">
        <v>17.25</v>
      </c>
      <c r="G84" s="14" t="n">
        <v>0.575</v>
      </c>
      <c r="H84" s="15" t="n">
        <v>38</v>
      </c>
      <c r="I84" s="15" t="n">
        <v>38.81</v>
      </c>
      <c r="J84" s="14" t="n">
        <v>1.0214</v>
      </c>
      <c r="K84" s="14" t="n">
        <v>5.4998</v>
      </c>
      <c r="L84" s="14" t="n">
        <v>0.973</v>
      </c>
      <c r="M84" s="14" t="n">
        <v>0.954545455</v>
      </c>
      <c r="N84" s="27" t="inlineStr">
        <is>
          <t>2/5</t>
        </is>
      </c>
      <c r="O84" s="14" t="n">
        <v>0.583333333</v>
      </c>
      <c r="P84" s="15" t="n"/>
      <c r="Q84" s="15" t="n"/>
      <c r="R84" s="15" t="n">
        <v>158</v>
      </c>
      <c r="S84" s="15" t="n"/>
      <c r="T84" s="15" t="n">
        <v>7</v>
      </c>
      <c r="U84" s="15" t="n">
        <v>20</v>
      </c>
      <c r="V84" s="28" t="n">
        <v>63</v>
      </c>
      <c r="W84" t="n">
        <v>6</v>
      </c>
      <c r="Y84" s="9" t="n"/>
    </row>
    <row r="85" ht="16" customHeight="1">
      <c r="A85" s="24" t="inlineStr">
        <is>
          <t>Jake Corvino</t>
        </is>
      </c>
      <c r="B85" s="25" t="inlineStr">
        <is>
          <t>Distinguished</t>
        </is>
      </c>
      <c r="C85" s="25" t="inlineStr">
        <is>
          <t>Ela Cross</t>
        </is>
      </c>
      <c r="D85" s="26" t="n">
        <v>45212</v>
      </c>
      <c r="E85" s="25" t="n">
        <v>12</v>
      </c>
      <c r="F85" s="25" t="n">
        <v>2.25</v>
      </c>
      <c r="G85" s="14" t="n">
        <v>0.1875</v>
      </c>
      <c r="H85" s="15" t="n">
        <v>16</v>
      </c>
      <c r="I85" s="15" t="n">
        <v>15.81</v>
      </c>
      <c r="J85" s="14" t="n">
        <v>0.9883</v>
      </c>
      <c r="K85" s="14" t="n">
        <v>1.4163</v>
      </c>
      <c r="L85" s="14" t="n">
        <v>0.857</v>
      </c>
      <c r="M85" s="14" t="n">
        <v>1</v>
      </c>
      <c r="N85" s="27" t="inlineStr">
        <is>
          <t>0/0</t>
        </is>
      </c>
      <c r="O85" s="14" t="n">
        <v>0.666666667</v>
      </c>
      <c r="P85" s="15" t="n"/>
      <c r="Q85" s="15" t="n"/>
      <c r="R85" s="15" t="n">
        <v>72</v>
      </c>
      <c r="S85" s="15" t="n"/>
      <c r="T85" s="15" t="n">
        <v>0</v>
      </c>
      <c r="U85" s="15" t="n">
        <v>4</v>
      </c>
      <c r="V85" s="28" t="n">
        <v>9</v>
      </c>
      <c r="Y85" s="9" t="n"/>
    </row>
    <row r="86" ht="16" customHeight="1">
      <c r="A86" s="24" t="inlineStr">
        <is>
          <t>James Falconer</t>
        </is>
      </c>
      <c r="B86" s="25" t="inlineStr">
        <is>
          <t>Distinguished</t>
        </is>
      </c>
      <c r="C86" s="25" t="inlineStr">
        <is>
          <t>Geoff St. Marie</t>
        </is>
      </c>
      <c r="D86" s="26" t="n">
        <v>45513</v>
      </c>
      <c r="E86" s="25" t="n">
        <v>35</v>
      </c>
      <c r="F86" s="25" t="n">
        <v>21.38</v>
      </c>
      <c r="G86" s="14" t="n">
        <v>0.6107</v>
      </c>
      <c r="H86" s="15" t="n">
        <v>43</v>
      </c>
      <c r="I86" s="15" t="n">
        <v>44.19</v>
      </c>
      <c r="J86" s="14" t="n">
        <v>1.0276</v>
      </c>
      <c r="K86" s="14" t="n">
        <v>9.3331</v>
      </c>
      <c r="L86" s="14" t="n">
        <v>1</v>
      </c>
      <c r="M86" s="14" t="n">
        <v>0.974683544</v>
      </c>
      <c r="N86" s="27" t="inlineStr">
        <is>
          <t>4/5</t>
        </is>
      </c>
      <c r="O86" s="14" t="n">
        <v>0.894736842</v>
      </c>
      <c r="P86" s="15" t="n">
        <v>1</v>
      </c>
      <c r="Q86" s="15" t="n">
        <v>10</v>
      </c>
      <c r="R86" s="15" t="n">
        <v>224</v>
      </c>
      <c r="S86" s="15" t="n"/>
      <c r="T86" s="15" t="n">
        <v>6</v>
      </c>
      <c r="U86" s="15" t="n">
        <v>27</v>
      </c>
      <c r="V86" s="28" t="n">
        <v>79</v>
      </c>
      <c r="W86" t="n">
        <v>6.5</v>
      </c>
      <c r="Y86" s="9" t="n"/>
    </row>
    <row r="87" ht="16" customHeight="1">
      <c r="A87" s="24" t="inlineStr">
        <is>
          <t>Jason Anderson</t>
        </is>
      </c>
      <c r="B87" s="25" t="inlineStr">
        <is>
          <t>Advanced</t>
        </is>
      </c>
      <c r="C87" s="25" t="inlineStr">
        <is>
          <t>Kristin Haase-Alvey</t>
        </is>
      </c>
      <c r="D87" s="26" t="n">
        <v>46139</v>
      </c>
      <c r="E87" s="25" t="n">
        <v>30</v>
      </c>
      <c r="F87" s="25" t="n">
        <v>20.75</v>
      </c>
      <c r="G87" s="14" t="n">
        <v>0.6917</v>
      </c>
      <c r="H87" s="15" t="n">
        <v>38</v>
      </c>
      <c r="I87" s="15" t="n">
        <v>43.88</v>
      </c>
      <c r="J87" s="14" t="n">
        <v>1.1546</v>
      </c>
      <c r="K87" s="14" t="n">
        <v>11.4999</v>
      </c>
      <c r="L87" s="14" t="n">
        <v>0.979</v>
      </c>
      <c r="M87" s="14" t="n">
        <v>0.987951807</v>
      </c>
      <c r="N87" s="27" t="inlineStr">
        <is>
          <t>4/8</t>
        </is>
      </c>
      <c r="O87" s="14" t="n">
        <v>1</v>
      </c>
      <c r="P87" s="15" t="n"/>
      <c r="Q87" s="15" t="n"/>
      <c r="R87" s="15" t="n">
        <v>96</v>
      </c>
      <c r="S87" s="15" t="n"/>
      <c r="T87" s="15" t="n">
        <v>13</v>
      </c>
      <c r="U87" s="15" t="n">
        <v>22</v>
      </c>
      <c r="V87" s="28" t="n">
        <v>71</v>
      </c>
      <c r="W87" t="n">
        <v>12</v>
      </c>
      <c r="Y87" s="9" t="n"/>
    </row>
    <row r="88" ht="16" customHeight="1">
      <c r="A88" s="24" t="inlineStr">
        <is>
          <t>Jason Keller</t>
        </is>
      </c>
      <c r="B88" s="25" t="inlineStr">
        <is>
          <t>Premium</t>
        </is>
      </c>
      <c r="C88" s="25" t="inlineStr">
        <is>
          <t>Kristin Haase-Alvey</t>
        </is>
      </c>
      <c r="D88" s="26" t="n">
        <v>39923</v>
      </c>
      <c r="E88" s="25" t="n">
        <v>30</v>
      </c>
      <c r="F88" s="25" t="n">
        <v>30.75</v>
      </c>
      <c r="G88" s="14" t="n">
        <v>1.025</v>
      </c>
      <c r="H88" s="15" t="n">
        <v>38</v>
      </c>
      <c r="I88" s="15" t="n">
        <v>39.31</v>
      </c>
      <c r="J88" s="14" t="n">
        <v>1.0345</v>
      </c>
      <c r="K88" s="14" t="n"/>
      <c r="L88" s="14" t="n">
        <v>0.948</v>
      </c>
      <c r="M88" s="14" t="n">
        <v>0.982758621</v>
      </c>
      <c r="N88" s="27" t="inlineStr">
        <is>
          <t>5/5</t>
        </is>
      </c>
      <c r="O88" s="14" t="n">
        <v>0.7</v>
      </c>
      <c r="P88" s="15" t="n"/>
      <c r="Q88" s="15" t="n"/>
      <c r="R88" s="15" t="n">
        <v>12</v>
      </c>
      <c r="S88" s="15" t="n"/>
      <c r="T88" s="15" t="n">
        <v>6</v>
      </c>
      <c r="U88" s="15" t="n">
        <v>27</v>
      </c>
      <c r="V88" s="28" t="n">
        <v>116</v>
      </c>
      <c r="W88" t="n">
        <v>7</v>
      </c>
      <c r="Y88" s="9" t="n"/>
    </row>
    <row r="89" ht="16" customHeight="1">
      <c r="A89" s="24" t="inlineStr">
        <is>
          <t>Jason Noble</t>
        </is>
      </c>
      <c r="B89" s="25" t="inlineStr">
        <is>
          <t>Distinguished</t>
        </is>
      </c>
      <c r="C89" s="25" t="inlineStr">
        <is>
          <t>Kristin Haase-Alvey</t>
        </is>
      </c>
      <c r="D89" s="26" t="n">
        <v>45510</v>
      </c>
      <c r="E89" s="25" t="n">
        <v>30</v>
      </c>
      <c r="F89" s="25" t="n">
        <v>7.75</v>
      </c>
      <c r="G89" s="14" t="n">
        <v>0.2583</v>
      </c>
      <c r="H89" s="15" t="n">
        <v>38</v>
      </c>
      <c r="I89" s="15" t="n">
        <v>23</v>
      </c>
      <c r="J89" s="14" t="n">
        <v>0.6052999999999999</v>
      </c>
      <c r="K89" s="14" t="n">
        <v>2.1666</v>
      </c>
      <c r="L89" s="14" t="n">
        <v>1</v>
      </c>
      <c r="M89" s="14" t="n">
        <v>0.888888889</v>
      </c>
      <c r="N89" s="27" t="inlineStr">
        <is>
          <t>0/0</t>
        </is>
      </c>
      <c r="O89" s="14" t="n">
        <v>0.818181818</v>
      </c>
      <c r="P89" s="15" t="n">
        <v>1</v>
      </c>
      <c r="Q89" s="15" t="n">
        <v>10</v>
      </c>
      <c r="R89" s="15" t="n">
        <v>152</v>
      </c>
      <c r="S89" s="15" t="n"/>
      <c r="T89" s="15" t="n">
        <v>1</v>
      </c>
      <c r="U89" s="15" t="n">
        <v>16</v>
      </c>
      <c r="V89" s="28" t="n">
        <v>28</v>
      </c>
      <c r="W89" t="n">
        <v>3</v>
      </c>
      <c r="Y89" s="9" t="n"/>
    </row>
    <row r="90" ht="16" customHeight="1">
      <c r="A90" s="24" t="inlineStr">
        <is>
          <t>Jayna Boaz</t>
        </is>
      </c>
      <c r="B90" s="25" t="inlineStr">
        <is>
          <t>Advanced</t>
        </is>
      </c>
      <c r="C90" s="25" t="inlineStr">
        <is>
          <t>Ela Cross</t>
        </is>
      </c>
      <c r="D90" s="26" t="n">
        <v>45881</v>
      </c>
      <c r="E90" s="25" t="n">
        <v>12</v>
      </c>
      <c r="F90" s="25" t="n">
        <v>12</v>
      </c>
      <c r="G90" s="14" t="n">
        <v>1</v>
      </c>
      <c r="H90" s="15" t="n">
        <v>16</v>
      </c>
      <c r="I90" s="15" t="n">
        <v>34.38</v>
      </c>
      <c r="J90" s="14" t="n">
        <v>2.1484</v>
      </c>
      <c r="K90" s="14" t="n">
        <v>10.1662</v>
      </c>
      <c r="L90" s="14" t="n">
        <v>1</v>
      </c>
      <c r="M90" s="14" t="n">
        <v>0.934782609</v>
      </c>
      <c r="N90" s="27" t="inlineStr">
        <is>
          <t>0/3</t>
        </is>
      </c>
      <c r="O90" s="14" t="n">
        <v>0.8</v>
      </c>
      <c r="P90" s="15" t="n"/>
      <c r="Q90" s="15" t="n"/>
      <c r="R90" s="15" t="n">
        <v>68</v>
      </c>
      <c r="S90" s="15" t="n">
        <v>9</v>
      </c>
      <c r="T90" s="15" t="n">
        <v>8</v>
      </c>
      <c r="U90" s="15" t="n">
        <v>13</v>
      </c>
      <c r="V90" s="28" t="n">
        <v>40</v>
      </c>
      <c r="W90" t="n">
        <v>8</v>
      </c>
      <c r="Y90" s="9" t="n"/>
    </row>
    <row r="91" ht="16" customHeight="1">
      <c r="A91" s="24" t="inlineStr">
        <is>
          <t>Jenn Thompson</t>
        </is>
      </c>
      <c r="B91" s="25" t="inlineStr">
        <is>
          <t>Advanced</t>
        </is>
      </c>
      <c r="C91" s="25" t="inlineStr">
        <is>
          <t>Kristin Haase-Alvey</t>
        </is>
      </c>
      <c r="D91" s="26" t="n">
        <v>46163</v>
      </c>
      <c r="E91" s="25" t="n">
        <v>12</v>
      </c>
      <c r="F91" s="25" t="n">
        <v>4.25</v>
      </c>
      <c r="G91" s="14" t="n">
        <v>0.3542</v>
      </c>
      <c r="H91" s="15" t="n">
        <v>16</v>
      </c>
      <c r="I91" s="15" t="n">
        <v>22.38</v>
      </c>
      <c r="J91" s="14" t="n">
        <v>1.3984</v>
      </c>
      <c r="K91" s="14" t="n">
        <v>0.25</v>
      </c>
      <c r="L91" s="14" t="n">
        <v>0.643</v>
      </c>
      <c r="M91" s="14" t="n">
        <v>1</v>
      </c>
      <c r="N91" s="27" t="inlineStr">
        <is>
          <t>1/2</t>
        </is>
      </c>
      <c r="O91" s="14" t="n"/>
      <c r="P91" s="15" t="n"/>
      <c r="Q91" s="15" t="n"/>
      <c r="R91" s="15" t="n">
        <v>0</v>
      </c>
      <c r="S91" s="15" t="n">
        <v>1</v>
      </c>
      <c r="T91" s="15" t="n">
        <v>6</v>
      </c>
      <c r="U91" s="15" t="n">
        <v>7</v>
      </c>
      <c r="V91" s="28" t="n">
        <v>15</v>
      </c>
      <c r="W91" t="n">
        <v>2</v>
      </c>
      <c r="Y91" s="9" t="n"/>
    </row>
    <row r="92" ht="16" customHeight="1">
      <c r="A92" s="24" t="inlineStr">
        <is>
          <t>Jennifer Hernandez</t>
        </is>
      </c>
      <c r="B92" s="25" t="inlineStr">
        <is>
          <t>Distinguished</t>
        </is>
      </c>
      <c r="C92" s="25" t="inlineStr">
        <is>
          <t>Kristin Haase-Alvey</t>
        </is>
      </c>
      <c r="D92" s="26" t="n">
        <v>45267</v>
      </c>
      <c r="E92" s="25" t="n">
        <v>20</v>
      </c>
      <c r="F92" s="25" t="n">
        <v>3.75</v>
      </c>
      <c r="G92" s="14" t="n">
        <v>0.1875</v>
      </c>
      <c r="H92" s="15" t="n">
        <v>24</v>
      </c>
      <c r="I92" s="15" t="n">
        <v>19.5</v>
      </c>
      <c r="J92" s="14" t="n">
        <v>0.8125</v>
      </c>
      <c r="K92" s="14" t="n">
        <v>2.2497</v>
      </c>
      <c r="L92" s="14" t="n">
        <v>1</v>
      </c>
      <c r="M92" s="14" t="n">
        <v>1</v>
      </c>
      <c r="N92" s="27" t="inlineStr">
        <is>
          <t>1/1</t>
        </is>
      </c>
      <c r="O92" s="14" t="n">
        <v>1</v>
      </c>
      <c r="P92" s="15" t="n"/>
      <c r="Q92" s="15" t="n"/>
      <c r="R92" s="15" t="n">
        <v>29</v>
      </c>
      <c r="S92" s="15" t="n"/>
      <c r="T92" s="15" t="n">
        <v>3</v>
      </c>
      <c r="U92" s="15" t="n">
        <v>6</v>
      </c>
      <c r="V92" s="28" t="n">
        <v>12</v>
      </c>
      <c r="W92" t="n">
        <v>3</v>
      </c>
      <c r="Y92" s="9" t="n"/>
    </row>
    <row r="93" ht="16" customHeight="1">
      <c r="A93" s="24" t="inlineStr">
        <is>
          <t>Jesse Squires</t>
        </is>
      </c>
      <c r="B93" s="25" t="inlineStr">
        <is>
          <t>Distinguished</t>
        </is>
      </c>
      <c r="C93" s="25" t="inlineStr">
        <is>
          <t>Kristin Haase-Alvey</t>
        </is>
      </c>
      <c r="D93" s="26" t="n">
        <v>45702</v>
      </c>
      <c r="E93" s="25" t="n">
        <v>30</v>
      </c>
      <c r="F93" s="25" t="n">
        <v>16</v>
      </c>
      <c r="G93" s="14" t="n">
        <v>0.5333</v>
      </c>
      <c r="H93" s="15" t="n">
        <v>38</v>
      </c>
      <c r="I93" s="15" t="n">
        <v>38.69</v>
      </c>
      <c r="J93" s="14" t="n">
        <v>1.0181</v>
      </c>
      <c r="K93" s="14" t="n">
        <v>1.9165</v>
      </c>
      <c r="L93" s="14" t="n">
        <v>1</v>
      </c>
      <c r="M93" s="14" t="n">
        <v>1</v>
      </c>
      <c r="N93" s="27" t="inlineStr">
        <is>
          <t>5/5</t>
        </is>
      </c>
      <c r="O93" s="14" t="n">
        <v>0.888888889</v>
      </c>
      <c r="P93" s="15" t="n"/>
      <c r="Q93" s="15" t="n"/>
      <c r="R93" s="15" t="n">
        <v>158</v>
      </c>
      <c r="S93" s="15" t="n"/>
      <c r="T93" s="15" t="n">
        <v>7</v>
      </c>
      <c r="U93" s="15" t="n">
        <v>19</v>
      </c>
      <c r="V93" s="28" t="n">
        <v>62</v>
      </c>
      <c r="W93" t="n">
        <v>2</v>
      </c>
      <c r="Y93" s="9" t="n"/>
    </row>
    <row r="94" ht="16" customHeight="1">
      <c r="A94" s="24" t="inlineStr">
        <is>
          <t>Jessica Menkhus</t>
        </is>
      </c>
      <c r="B94" s="25" t="inlineStr">
        <is>
          <t>Premium</t>
        </is>
      </c>
      <c r="C94" s="25" t="inlineStr">
        <is>
          <t>Ela Cross</t>
        </is>
      </c>
      <c r="D94" s="26" t="n">
        <v>43917</v>
      </c>
      <c r="E94" s="25" t="n">
        <v>12</v>
      </c>
      <c r="F94" s="25" t="n">
        <v>7.5</v>
      </c>
      <c r="G94" s="14" t="n">
        <v>0.625</v>
      </c>
      <c r="H94" s="15" t="n">
        <v>16</v>
      </c>
      <c r="I94" s="15" t="n">
        <v>37.63</v>
      </c>
      <c r="J94" s="14" t="n">
        <v>2.3516</v>
      </c>
      <c r="K94" s="14" t="n">
        <v>4.25</v>
      </c>
      <c r="L94" s="14" t="n">
        <v>1</v>
      </c>
      <c r="M94" s="14" t="n">
        <v>0.928571429</v>
      </c>
      <c r="N94" s="27" t="inlineStr">
        <is>
          <t>0/0</t>
        </is>
      </c>
      <c r="O94" s="14" t="n">
        <v>1</v>
      </c>
      <c r="P94" s="15" t="n"/>
      <c r="Q94" s="15" t="n"/>
      <c r="R94" s="15" t="n">
        <v>22</v>
      </c>
      <c r="S94" s="15" t="n"/>
      <c r="T94" s="15" t="n">
        <v>3</v>
      </c>
      <c r="U94" s="15" t="n">
        <v>8</v>
      </c>
      <c r="V94" s="28" t="n">
        <v>29</v>
      </c>
      <c r="W94" t="n">
        <v>1</v>
      </c>
      <c r="Y94" s="9" t="n"/>
    </row>
    <row r="95" ht="16" customHeight="1">
      <c r="A95" s="24" t="inlineStr">
        <is>
          <t>Jessica Peterson</t>
        </is>
      </c>
      <c r="B95" s="25" t="inlineStr">
        <is>
          <t>Premium</t>
        </is>
      </c>
      <c r="C95" s="25" t="inlineStr">
        <is>
          <t>Annelies de Groot</t>
        </is>
      </c>
      <c r="D95" s="26" t="n">
        <v>43812</v>
      </c>
      <c r="E95" s="25" t="n">
        <v>12</v>
      </c>
      <c r="F95" s="25" t="n">
        <v>5.5</v>
      </c>
      <c r="G95" s="14" t="n">
        <v>0.4583</v>
      </c>
      <c r="H95" s="15" t="n">
        <v>16</v>
      </c>
      <c r="I95" s="15" t="n">
        <v>16.75</v>
      </c>
      <c r="J95" s="14" t="n">
        <v>1.0469</v>
      </c>
      <c r="K95" s="14" t="n">
        <v>0.3332</v>
      </c>
      <c r="L95" s="14" t="n">
        <v>1</v>
      </c>
      <c r="M95" s="14" t="n">
        <v>0.95</v>
      </c>
      <c r="N95" s="27" t="inlineStr">
        <is>
          <t>1/1</t>
        </is>
      </c>
      <c r="O95" s="14" t="n">
        <v>0.25</v>
      </c>
      <c r="P95" s="15" t="n"/>
      <c r="Q95" s="15" t="n"/>
      <c r="R95" s="15" t="n">
        <v>12</v>
      </c>
      <c r="S95" s="15" t="n"/>
      <c r="T95" s="15" t="n">
        <v>2</v>
      </c>
      <c r="U95" s="15" t="n">
        <v>9</v>
      </c>
      <c r="V95" s="28" t="n">
        <v>20</v>
      </c>
      <c r="W95" t="n">
        <v>2</v>
      </c>
      <c r="Y95" s="9" t="n"/>
    </row>
    <row r="96" ht="16" customHeight="1">
      <c r="A96" s="24" t="inlineStr">
        <is>
          <t>Jessica Wall</t>
        </is>
      </c>
      <c r="B96" s="25" t="inlineStr">
        <is>
          <t>Distinguished</t>
        </is>
      </c>
      <c r="C96" s="25" t="inlineStr">
        <is>
          <t>Kristin Haase-Alvey</t>
        </is>
      </c>
      <c r="D96" s="26" t="n">
        <v>45307</v>
      </c>
      <c r="E96" s="25" t="n">
        <v>30</v>
      </c>
      <c r="F96" s="25" t="n">
        <v>19.25</v>
      </c>
      <c r="G96" s="14" t="n">
        <v>0.6417</v>
      </c>
      <c r="H96" s="15" t="n">
        <v>38</v>
      </c>
      <c r="I96" s="15" t="n">
        <v>38.63</v>
      </c>
      <c r="J96" s="14" t="n">
        <v>1.0164</v>
      </c>
      <c r="K96" s="14" t="n"/>
      <c r="L96" s="14" t="n">
        <v>1</v>
      </c>
      <c r="M96" s="14" t="n">
        <v>1</v>
      </c>
      <c r="N96" s="27" t="inlineStr">
        <is>
          <t>4/5</t>
        </is>
      </c>
      <c r="O96" s="14" t="n">
        <v>0.857142857</v>
      </c>
      <c r="P96" s="15" t="n"/>
      <c r="Q96" s="15" t="n"/>
      <c r="R96" s="15" t="n">
        <v>146</v>
      </c>
      <c r="S96" s="15" t="n"/>
      <c r="T96" s="15" t="n">
        <v>11</v>
      </c>
      <c r="U96" s="15" t="n">
        <v>25</v>
      </c>
      <c r="V96" s="28" t="n">
        <v>62</v>
      </c>
      <c r="W96" t="n">
        <v>15</v>
      </c>
      <c r="Y96" s="9" t="n"/>
    </row>
    <row r="97" ht="16" customHeight="1">
      <c r="A97" s="24" t="inlineStr">
        <is>
          <t>Jill Watson</t>
        </is>
      </c>
      <c r="B97" s="25" t="inlineStr">
        <is>
          <t>Distinguished</t>
        </is>
      </c>
      <c r="C97" s="25" t="inlineStr">
        <is>
          <t>Ian Plamondon</t>
        </is>
      </c>
      <c r="D97" s="26" t="n">
        <v>45968</v>
      </c>
      <c r="E97" s="25" t="n">
        <v>35</v>
      </c>
      <c r="F97" s="25" t="n">
        <v>33.63</v>
      </c>
      <c r="G97" s="14" t="n">
        <v>0.9607</v>
      </c>
      <c r="H97" s="15" t="n">
        <v>43</v>
      </c>
      <c r="I97" s="15" t="n">
        <v>53</v>
      </c>
      <c r="J97" s="14" t="n">
        <v>1.2326</v>
      </c>
      <c r="K97" s="14" t="n">
        <v>13.5</v>
      </c>
      <c r="L97" s="14" t="n">
        <v>0.958</v>
      </c>
      <c r="M97" s="14" t="n">
        <v>1</v>
      </c>
      <c r="N97" s="27" t="inlineStr">
        <is>
          <t>11/13</t>
        </is>
      </c>
      <c r="O97" s="14" t="n">
        <v>0.6875</v>
      </c>
      <c r="P97" s="15" t="n"/>
      <c r="Q97" s="15" t="n"/>
      <c r="R97" s="15" t="n">
        <v>271</v>
      </c>
      <c r="S97" s="15" t="n"/>
      <c r="T97" s="15" t="n">
        <v>19</v>
      </c>
      <c r="U97" s="15" t="n">
        <v>45</v>
      </c>
      <c r="V97" s="28" t="n">
        <v>124.5</v>
      </c>
      <c r="W97" t="n">
        <v>10</v>
      </c>
      <c r="Y97" s="9" t="n"/>
    </row>
    <row r="98" ht="16" customHeight="1">
      <c r="A98" s="24" t="inlineStr">
        <is>
          <t>Jimmy Works</t>
        </is>
      </c>
      <c r="B98" s="25" t="inlineStr">
        <is>
          <t>Distinguished</t>
        </is>
      </c>
      <c r="C98" s="25" t="inlineStr">
        <is>
          <t>Kristin Haase-Alvey</t>
        </is>
      </c>
      <c r="D98" s="26" t="n">
        <v>45217</v>
      </c>
      <c r="E98" s="25" t="n">
        <v>12</v>
      </c>
      <c r="F98" s="25" t="n">
        <v>5</v>
      </c>
      <c r="G98" s="14" t="n">
        <v>0.4167</v>
      </c>
      <c r="H98" s="15" t="n">
        <v>16</v>
      </c>
      <c r="I98" s="15" t="n">
        <v>17.81</v>
      </c>
      <c r="J98" s="14" t="n">
        <v>1.1133</v>
      </c>
      <c r="K98" s="14" t="n">
        <v>3</v>
      </c>
      <c r="L98" s="14" t="n">
        <v>0.9330000000000001</v>
      </c>
      <c r="M98" s="14" t="n">
        <v>0.894736842</v>
      </c>
      <c r="N98" s="27" t="inlineStr">
        <is>
          <t>0/1</t>
        </is>
      </c>
      <c r="O98" s="14" t="n">
        <v>0.8</v>
      </c>
      <c r="P98" s="15" t="n"/>
      <c r="Q98" s="15" t="n"/>
      <c r="R98" s="15" t="n">
        <v>12</v>
      </c>
      <c r="S98" s="15" t="n"/>
      <c r="T98" s="15" t="n">
        <v>1</v>
      </c>
      <c r="U98" s="15" t="n">
        <v>8</v>
      </c>
      <c r="V98" s="28" t="n">
        <v>19</v>
      </c>
      <c r="W98" t="n">
        <v>1</v>
      </c>
      <c r="Y98" s="9" t="n"/>
    </row>
    <row r="99" ht="16" customHeight="1">
      <c r="A99" s="24" t="inlineStr">
        <is>
          <t>John Corbett</t>
        </is>
      </c>
      <c r="B99" s="25" t="inlineStr">
        <is>
          <t>Distinguished</t>
        </is>
      </c>
      <c r="C99" s="25" t="inlineStr">
        <is>
          <t>Geoff St. Marie</t>
        </is>
      </c>
      <c r="D99" s="26" t="n">
        <v>45775</v>
      </c>
      <c r="E99" s="25" t="n">
        <v>20</v>
      </c>
      <c r="F99" s="25" t="n">
        <v>8</v>
      </c>
      <c r="G99" s="14" t="n">
        <v>0.4</v>
      </c>
      <c r="H99" s="15" t="n">
        <v>24</v>
      </c>
      <c r="I99" s="15" t="n">
        <v>21.38</v>
      </c>
      <c r="J99" s="14" t="n">
        <v>0.8905999999999999</v>
      </c>
      <c r="K99" s="14" t="n">
        <v>2</v>
      </c>
      <c r="L99" s="14" t="n">
        <v>1</v>
      </c>
      <c r="M99" s="14" t="n">
        <v>1</v>
      </c>
      <c r="N99" s="27" t="inlineStr">
        <is>
          <t>0/1</t>
        </is>
      </c>
      <c r="O99" s="14" t="n">
        <v>0.2</v>
      </c>
      <c r="P99" s="15" t="n"/>
      <c r="Q99" s="15" t="n"/>
      <c r="R99" s="15" t="n">
        <v>144</v>
      </c>
      <c r="S99" s="15" t="n">
        <v>0</v>
      </c>
      <c r="T99" s="15" t="n">
        <v>2</v>
      </c>
      <c r="U99" s="15" t="n">
        <v>7</v>
      </c>
      <c r="V99" s="28" t="n">
        <v>30</v>
      </c>
      <c r="W99" t="n">
        <v>2</v>
      </c>
      <c r="Y99" s="9" t="n"/>
    </row>
    <row r="100" ht="16" customHeight="1">
      <c r="A100" s="24" t="inlineStr">
        <is>
          <t>John Licitra</t>
        </is>
      </c>
      <c r="B100" s="25" t="inlineStr">
        <is>
          <t>Distinguished</t>
        </is>
      </c>
      <c r="C100" s="25" t="inlineStr">
        <is>
          <t>Geoff St. Marie</t>
        </is>
      </c>
      <c r="D100" s="26" t="n">
        <v>45875</v>
      </c>
      <c r="E100" s="25" t="n">
        <v>30</v>
      </c>
      <c r="F100" s="25" t="n">
        <v>6.25</v>
      </c>
      <c r="G100" s="14" t="n">
        <v>0.2083</v>
      </c>
      <c r="H100" s="15" t="n">
        <v>38</v>
      </c>
      <c r="I100" s="15" t="n">
        <v>39.31</v>
      </c>
      <c r="J100" s="14" t="n">
        <v>1.0345</v>
      </c>
      <c r="K100" s="14" t="n">
        <v>7.25</v>
      </c>
      <c r="L100" s="14" t="n">
        <v>0.875</v>
      </c>
      <c r="M100" s="14" t="n">
        <v>0.956521739</v>
      </c>
      <c r="N100" s="27" t="inlineStr">
        <is>
          <t>0/1</t>
        </is>
      </c>
      <c r="O100" s="14" t="n">
        <v>0.333333333</v>
      </c>
      <c r="P100" s="15" t="n"/>
      <c r="Q100" s="15" t="n"/>
      <c r="R100" s="15" t="n">
        <v>100</v>
      </c>
      <c r="S100" s="15" t="n"/>
      <c r="T100" s="15" t="n">
        <v>4</v>
      </c>
      <c r="U100" s="15" t="n">
        <v>10</v>
      </c>
      <c r="V100" s="28" t="n">
        <v>23</v>
      </c>
      <c r="W100" t="n">
        <v>2</v>
      </c>
      <c r="Y100" s="9" t="n"/>
    </row>
    <row r="101" ht="16" customHeight="1">
      <c r="A101" s="24" t="inlineStr">
        <is>
          <t>John Olmos</t>
        </is>
      </c>
      <c r="B101" s="25" t="inlineStr">
        <is>
          <t>Distinguished</t>
        </is>
      </c>
      <c r="C101" s="25" t="inlineStr">
        <is>
          <t>Geoff St. Marie</t>
        </is>
      </c>
      <c r="D101" s="26" t="n">
        <v>44273</v>
      </c>
      <c r="E101" s="25" t="n">
        <v>30</v>
      </c>
      <c r="F101" s="25" t="n">
        <v>24.13</v>
      </c>
      <c r="G101" s="14" t="n">
        <v>0.8042</v>
      </c>
      <c r="H101" s="15" t="n">
        <v>38</v>
      </c>
      <c r="I101" s="15" t="n">
        <v>42.5</v>
      </c>
      <c r="J101" s="14" t="n">
        <v>1.1184</v>
      </c>
      <c r="K101" s="14" t="n">
        <v>7.6666</v>
      </c>
      <c r="L101" s="14" t="n">
        <v>0.981</v>
      </c>
      <c r="M101" s="14" t="n">
        <v>1</v>
      </c>
      <c r="N101" s="27" t="inlineStr">
        <is>
          <t>1/2</t>
        </is>
      </c>
      <c r="O101" s="14" t="n">
        <v>0.846153846</v>
      </c>
      <c r="P101" s="15" t="n"/>
      <c r="Q101" s="15" t="n"/>
      <c r="R101" s="15" t="n">
        <v>20</v>
      </c>
      <c r="S101" s="15" t="n"/>
      <c r="T101" s="15" t="n">
        <v>5</v>
      </c>
      <c r="U101" s="15" t="n">
        <v>18</v>
      </c>
      <c r="V101" s="28" t="n">
        <v>91.5</v>
      </c>
      <c r="W101" t="n">
        <v>5</v>
      </c>
      <c r="Y101" s="9" t="n"/>
    </row>
    <row r="102" ht="16" customHeight="1">
      <c r="A102" s="24" t="inlineStr">
        <is>
          <t>John Salcedo</t>
        </is>
      </c>
      <c r="B102" s="25" t="inlineStr">
        <is>
          <t>Distinguished</t>
        </is>
      </c>
      <c r="C102" s="25" t="inlineStr">
        <is>
          <t>Ela Cross</t>
        </is>
      </c>
      <c r="D102" s="26" t="n">
        <v>46083</v>
      </c>
      <c r="E102" s="25" t="n">
        <v>35</v>
      </c>
      <c r="F102" s="25" t="n">
        <v>23.25</v>
      </c>
      <c r="G102" s="14" t="n">
        <v>0.6643</v>
      </c>
      <c r="H102" s="15" t="n">
        <v>43</v>
      </c>
      <c r="I102" s="15" t="n">
        <v>46.63</v>
      </c>
      <c r="J102" s="14" t="n">
        <v>1.0843</v>
      </c>
      <c r="K102" s="14" t="n">
        <v>8</v>
      </c>
      <c r="L102" s="14" t="n">
        <v>0.9330000000000001</v>
      </c>
      <c r="M102" s="14" t="n">
        <v>0.989010989</v>
      </c>
      <c r="N102" s="27" t="inlineStr">
        <is>
          <t>1/6</t>
        </is>
      </c>
      <c r="O102" s="14" t="n">
        <v>0.461538462</v>
      </c>
      <c r="P102" s="15" t="n"/>
      <c r="Q102" s="15" t="n"/>
      <c r="R102" s="15" t="n">
        <v>216</v>
      </c>
      <c r="S102" s="15" t="n"/>
      <c r="T102" s="15" t="n">
        <v>10</v>
      </c>
      <c r="U102" s="15" t="n">
        <v>22</v>
      </c>
      <c r="V102" s="28" t="n">
        <v>85</v>
      </c>
      <c r="W102" t="n">
        <v>8</v>
      </c>
      <c r="Y102" s="9" t="n"/>
    </row>
    <row r="103" ht="16" customHeight="1">
      <c r="A103" s="24" t="inlineStr">
        <is>
          <t>Johnny Kaplan</t>
        </is>
      </c>
      <c r="B103" s="25" t="inlineStr">
        <is>
          <t>Advanced</t>
        </is>
      </c>
      <c r="C103" s="25" t="inlineStr">
        <is>
          <t>Ian Plamondon</t>
        </is>
      </c>
      <c r="D103" s="26" t="n">
        <v>46065</v>
      </c>
      <c r="E103" s="25" t="n">
        <v>12</v>
      </c>
      <c r="F103" s="25" t="n">
        <v>3.75</v>
      </c>
      <c r="G103" s="14" t="n">
        <v>0.3125</v>
      </c>
      <c r="H103" s="15" t="n">
        <v>16</v>
      </c>
      <c r="I103" s="15" t="n">
        <v>16</v>
      </c>
      <c r="J103" s="14" t="n">
        <v>1</v>
      </c>
      <c r="K103" s="14" t="n"/>
      <c r="L103" s="14" t="n">
        <v>1</v>
      </c>
      <c r="M103" s="14" t="n">
        <v>1</v>
      </c>
      <c r="N103" s="27" t="inlineStr">
        <is>
          <t>0/0</t>
        </is>
      </c>
      <c r="O103" s="14" t="n">
        <v>0.25</v>
      </c>
      <c r="P103" s="15" t="n"/>
      <c r="Q103" s="15" t="n"/>
      <c r="R103" s="15" t="n">
        <v>36</v>
      </c>
      <c r="S103" s="15" t="n"/>
      <c r="T103" s="15" t="n">
        <v>1</v>
      </c>
      <c r="U103" s="15" t="n">
        <v>5</v>
      </c>
      <c r="V103" s="28" t="n">
        <v>14</v>
      </c>
      <c r="W103" t="n">
        <v>1</v>
      </c>
      <c r="Y103" s="9" t="n"/>
    </row>
    <row r="104" ht="16" customHeight="1">
      <c r="A104" s="24" t="inlineStr">
        <is>
          <t>Jon Cathapermal</t>
        </is>
      </c>
      <c r="B104" s="25" t="inlineStr">
        <is>
          <t>Distinguished</t>
        </is>
      </c>
      <c r="C104" s="25" t="inlineStr">
        <is>
          <t>Geoff St. Marie</t>
        </is>
      </c>
      <c r="D104" s="26" t="n">
        <v>45491</v>
      </c>
      <c r="E104" s="25" t="n">
        <v>35</v>
      </c>
      <c r="F104" s="25" t="n">
        <v>26</v>
      </c>
      <c r="G104" s="14" t="n">
        <v>0.7429</v>
      </c>
      <c r="H104" s="15" t="n">
        <v>43</v>
      </c>
      <c r="I104" s="15" t="n">
        <v>44.5</v>
      </c>
      <c r="J104" s="14" t="n">
        <v>1.0349</v>
      </c>
      <c r="K104" s="14" t="n">
        <v>6</v>
      </c>
      <c r="L104" s="14" t="n">
        <v>0.9340000000000001</v>
      </c>
      <c r="M104" s="14" t="n">
        <v>0.960784314</v>
      </c>
      <c r="N104" s="27" t="inlineStr">
        <is>
          <t>2/2</t>
        </is>
      </c>
      <c r="O104" s="14" t="n">
        <v>0.55</v>
      </c>
      <c r="P104" s="15" t="n"/>
      <c r="Q104" s="15" t="n"/>
      <c r="R104" s="15" t="n">
        <v>88</v>
      </c>
      <c r="S104" s="15" t="n"/>
      <c r="T104" s="15" t="n">
        <v>8</v>
      </c>
      <c r="U104" s="15" t="n">
        <v>30</v>
      </c>
      <c r="V104" s="28" t="n">
        <v>91</v>
      </c>
      <c r="W104" t="n">
        <v>13</v>
      </c>
      <c r="Y104" s="9" t="n"/>
    </row>
    <row r="105" ht="16" customHeight="1">
      <c r="A105" s="29" t="inlineStr">
        <is>
          <t>Joyraj D'souza</t>
        </is>
      </c>
      <c r="B105" s="30" t="inlineStr">
        <is>
          <t>Distinguished</t>
        </is>
      </c>
      <c r="C105" s="30" t="inlineStr">
        <is>
          <t>Kristin Haase-Alvey</t>
        </is>
      </c>
      <c r="D105" s="31" t="n">
        <v>44575</v>
      </c>
      <c r="E105" s="30" t="n">
        <v>12</v>
      </c>
      <c r="F105" s="30" t="n">
        <v>3</v>
      </c>
      <c r="G105" s="12" t="n">
        <v>0.25</v>
      </c>
      <c r="H105" s="9" t="n">
        <v>16</v>
      </c>
      <c r="I105" s="9" t="n">
        <v>16.38</v>
      </c>
      <c r="J105" s="12" t="n">
        <v>1.0234</v>
      </c>
      <c r="K105" s="12" t="n">
        <v>0.5</v>
      </c>
      <c r="L105" s="12" t="n">
        <v>1</v>
      </c>
      <c r="M105" s="12" t="n">
        <v>1</v>
      </c>
      <c r="N105" s="32" t="inlineStr">
        <is>
          <t>0/0</t>
        </is>
      </c>
      <c r="O105" s="12" t="n">
        <v>1</v>
      </c>
      <c r="P105" s="9" t="n"/>
      <c r="Q105" s="9" t="n"/>
      <c r="R105" s="9" t="n">
        <v>24</v>
      </c>
      <c r="S105" s="9" t="n">
        <v>1</v>
      </c>
      <c r="T105" s="9" t="n">
        <v>0</v>
      </c>
      <c r="U105" s="9" t="n">
        <v>4</v>
      </c>
      <c r="V105" s="28" t="n">
        <v>12</v>
      </c>
      <c r="Y105" s="9" t="n"/>
    </row>
    <row r="106" ht="16" customHeight="1">
      <c r="A106" s="24" t="inlineStr">
        <is>
          <t>Juan Nunez</t>
        </is>
      </c>
      <c r="B106" s="25" t="inlineStr">
        <is>
          <t>Distinguished</t>
        </is>
      </c>
      <c r="C106" s="25" t="inlineStr">
        <is>
          <t>Kristin Haase-Alvey</t>
        </is>
      </c>
      <c r="D106" s="26" t="n">
        <v>46028</v>
      </c>
      <c r="E106" s="25" t="n">
        <v>30</v>
      </c>
      <c r="F106" s="25" t="n">
        <v>21</v>
      </c>
      <c r="G106" s="14" t="n">
        <v>0.7</v>
      </c>
      <c r="H106" s="15" t="n">
        <v>38</v>
      </c>
      <c r="I106" s="15" t="n">
        <v>40</v>
      </c>
      <c r="J106" s="14" t="n">
        <v>1.0526</v>
      </c>
      <c r="K106" s="14" t="n">
        <v>7.1666</v>
      </c>
      <c r="L106" s="14" t="n">
        <v>1</v>
      </c>
      <c r="M106" s="14" t="n">
        <v>1</v>
      </c>
      <c r="N106" s="27" t="inlineStr">
        <is>
          <t>8/8</t>
        </is>
      </c>
      <c r="O106" s="14" t="n">
        <v>0.625</v>
      </c>
      <c r="P106" s="15" t="n"/>
      <c r="Q106" s="15" t="n"/>
      <c r="R106" s="15" t="n">
        <v>234</v>
      </c>
      <c r="S106" s="15" t="n"/>
      <c r="T106" s="15" t="n">
        <v>14</v>
      </c>
      <c r="U106" s="15" t="n">
        <v>21</v>
      </c>
      <c r="V106" s="28" t="n">
        <v>80</v>
      </c>
      <c r="W106" t="n">
        <v>4</v>
      </c>
      <c r="Y106" s="9" t="n"/>
    </row>
    <row r="107" ht="16" customHeight="1">
      <c r="A107" s="24" t="inlineStr">
        <is>
          <t>Judi Abo Hana</t>
        </is>
      </c>
      <c r="B107" s="25" t="inlineStr">
        <is>
          <t>Advanced</t>
        </is>
      </c>
      <c r="C107" s="25" t="inlineStr">
        <is>
          <t>Geoff St. Marie</t>
        </is>
      </c>
      <c r="D107" s="26" t="n">
        <v>45904</v>
      </c>
      <c r="E107" s="25" t="n">
        <v>20</v>
      </c>
      <c r="F107" s="25" t="n">
        <v>27.25</v>
      </c>
      <c r="G107" s="14" t="n">
        <v>1.3625</v>
      </c>
      <c r="H107" s="15" t="n">
        <v>24</v>
      </c>
      <c r="I107" s="15" t="n">
        <v>33.75</v>
      </c>
      <c r="J107" s="14" t="n">
        <v>1.4063</v>
      </c>
      <c r="K107" s="14" t="n">
        <v>12.5</v>
      </c>
      <c r="L107" s="14" t="n">
        <v>0.959</v>
      </c>
      <c r="M107" s="14" t="n">
        <v>1</v>
      </c>
      <c r="N107" s="27" t="inlineStr">
        <is>
          <t>2/3</t>
        </is>
      </c>
      <c r="O107" s="14" t="n">
        <v>0.695652174</v>
      </c>
      <c r="P107" s="15" t="n"/>
      <c r="Q107" s="15" t="n"/>
      <c r="R107" s="15" t="n">
        <v>280</v>
      </c>
      <c r="S107" s="15" t="n">
        <v>1</v>
      </c>
      <c r="T107" s="15" t="n">
        <v>6</v>
      </c>
      <c r="U107" s="15" t="n">
        <v>31</v>
      </c>
      <c r="V107" s="28" t="n">
        <v>73</v>
      </c>
      <c r="W107" t="n">
        <v>36</v>
      </c>
      <c r="Y107" s="9" t="n"/>
    </row>
    <row r="108" ht="16" customHeight="1">
      <c r="A108" s="24" t="inlineStr">
        <is>
          <t>Julia Saderholm</t>
        </is>
      </c>
      <c r="B108" s="25" t="inlineStr">
        <is>
          <t>Distinguished</t>
        </is>
      </c>
      <c r="C108" s="25" t="inlineStr">
        <is>
          <t>Ela Cross</t>
        </is>
      </c>
      <c r="D108" s="26" t="n">
        <v>45874</v>
      </c>
      <c r="E108" s="25" t="n">
        <v>30</v>
      </c>
      <c r="F108" s="25" t="n">
        <v>19.5</v>
      </c>
      <c r="G108" s="14" t="n">
        <v>0.65</v>
      </c>
      <c r="H108" s="15" t="n">
        <v>38</v>
      </c>
      <c r="I108" s="15" t="n">
        <v>43.94</v>
      </c>
      <c r="J108" s="14" t="n">
        <v>1.1563</v>
      </c>
      <c r="K108" s="14" t="n">
        <v>5</v>
      </c>
      <c r="L108" s="14" t="n">
        <v>1</v>
      </c>
      <c r="M108" s="14" t="n">
        <v>1</v>
      </c>
      <c r="N108" s="27" t="inlineStr">
        <is>
          <t>4/8</t>
        </is>
      </c>
      <c r="O108" s="14" t="n">
        <v>0.222222222</v>
      </c>
      <c r="P108" s="15" t="n"/>
      <c r="Q108" s="15" t="n"/>
      <c r="R108" s="15" t="n">
        <v>180</v>
      </c>
      <c r="S108" s="15" t="n"/>
      <c r="T108" s="15" t="n">
        <v>15</v>
      </c>
      <c r="U108" s="15" t="n">
        <v>28</v>
      </c>
      <c r="V108" s="28" t="n">
        <v>71</v>
      </c>
      <c r="W108" t="n">
        <v>7</v>
      </c>
      <c r="Y108" s="9" t="n"/>
    </row>
    <row r="109" ht="16" customHeight="1">
      <c r="A109" s="24" t="inlineStr">
        <is>
          <t>Julie Byrom</t>
        </is>
      </c>
      <c r="B109" s="25" t="inlineStr">
        <is>
          <t>Premium</t>
        </is>
      </c>
      <c r="C109" s="25" t="inlineStr">
        <is>
          <t>Ela Cross</t>
        </is>
      </c>
      <c r="D109" s="26" t="n">
        <v>42373</v>
      </c>
      <c r="E109" s="25" t="n">
        <v>30</v>
      </c>
      <c r="F109" s="25" t="n">
        <v>22.88</v>
      </c>
      <c r="G109" s="14" t="n">
        <v>0.7625</v>
      </c>
      <c r="H109" s="15" t="n">
        <v>38</v>
      </c>
      <c r="I109" s="15" t="n">
        <v>38.94</v>
      </c>
      <c r="J109" s="14" t="n">
        <v>1.0247</v>
      </c>
      <c r="K109" s="14" t="n">
        <v>4.3332</v>
      </c>
      <c r="L109" s="14" t="n">
        <v>1</v>
      </c>
      <c r="M109" s="14" t="n">
        <v>1</v>
      </c>
      <c r="N109" s="27" t="inlineStr">
        <is>
          <t>4/6</t>
        </is>
      </c>
      <c r="O109" s="14" t="n">
        <v>1</v>
      </c>
      <c r="P109" s="15" t="n"/>
      <c r="Q109" s="15" t="n"/>
      <c r="R109" s="15" t="n">
        <v>65</v>
      </c>
      <c r="S109" s="15" t="n"/>
      <c r="T109" s="15" t="n">
        <v>9</v>
      </c>
      <c r="U109" s="15" t="n">
        <v>20</v>
      </c>
      <c r="V109" s="28" t="n">
        <v>88.5</v>
      </c>
      <c r="W109" t="n">
        <v>3</v>
      </c>
      <c r="Y109" s="9" t="n"/>
    </row>
    <row r="110" ht="16" customHeight="1">
      <c r="A110" s="24" t="inlineStr">
        <is>
          <t>Justin Hill</t>
        </is>
      </c>
      <c r="B110" s="25" t="inlineStr">
        <is>
          <t>Distinguished</t>
        </is>
      </c>
      <c r="C110" s="25" t="inlineStr">
        <is>
          <t>Kristin Haase-Alvey</t>
        </is>
      </c>
      <c r="D110" s="26" t="n">
        <v>46100</v>
      </c>
      <c r="E110" s="25" t="n">
        <v>30</v>
      </c>
      <c r="F110" s="25" t="n">
        <v>19.75</v>
      </c>
      <c r="G110" s="14" t="n">
        <v>0.6583</v>
      </c>
      <c r="H110" s="15" t="n">
        <v>38</v>
      </c>
      <c r="I110" s="15" t="n">
        <v>39.25</v>
      </c>
      <c r="J110" s="14" t="n">
        <v>1.0329</v>
      </c>
      <c r="K110" s="14" t="n">
        <v>8.499499999999999</v>
      </c>
      <c r="L110" s="14" t="n">
        <v>0.759</v>
      </c>
      <c r="M110" s="14" t="n">
        <v>1</v>
      </c>
      <c r="N110" s="27" t="inlineStr">
        <is>
          <t>0/2</t>
        </is>
      </c>
      <c r="O110" s="14" t="n">
        <v>1</v>
      </c>
      <c r="P110" s="15" t="n"/>
      <c r="Q110" s="15" t="n"/>
      <c r="R110" s="15" t="n">
        <v>144</v>
      </c>
      <c r="S110" s="15" t="n">
        <v>3</v>
      </c>
      <c r="T110" s="15" t="n">
        <v>6</v>
      </c>
      <c r="U110" s="15" t="n">
        <v>22</v>
      </c>
      <c r="V110" s="28" t="n">
        <v>76</v>
      </c>
      <c r="W110" t="n">
        <v>3</v>
      </c>
      <c r="Y110" s="9" t="n"/>
    </row>
    <row r="111" ht="16" customHeight="1">
      <c r="A111" s="24" t="inlineStr">
        <is>
          <t>Kai Tsung</t>
        </is>
      </c>
      <c r="B111" s="25" t="inlineStr">
        <is>
          <t>Advanced</t>
        </is>
      </c>
      <c r="C111" s="25" t="inlineStr">
        <is>
          <t>Kristin Haase-Alvey</t>
        </is>
      </c>
      <c r="D111" s="26" t="n">
        <v>46069</v>
      </c>
      <c r="E111" s="25" t="n">
        <v>12</v>
      </c>
      <c r="F111" s="25" t="n">
        <v>2.5</v>
      </c>
      <c r="G111" s="14" t="n">
        <v>0.2083</v>
      </c>
      <c r="H111" s="15" t="n">
        <v>16</v>
      </c>
      <c r="I111" s="15" t="n">
        <v>16.13</v>
      </c>
      <c r="J111" s="14" t="n">
        <v>1.0078</v>
      </c>
      <c r="K111" s="14" t="n">
        <v>0.5832000000000001</v>
      </c>
      <c r="L111" s="14" t="n">
        <v>1</v>
      </c>
      <c r="M111" s="14" t="n">
        <v>1</v>
      </c>
      <c r="N111" s="27" t="inlineStr">
        <is>
          <t>1/2</t>
        </is>
      </c>
      <c r="O111" s="14" t="n">
        <v>1</v>
      </c>
      <c r="P111" s="15" t="n"/>
      <c r="Q111" s="15" t="n"/>
      <c r="R111" s="15" t="n">
        <v>28</v>
      </c>
      <c r="S111" s="15" t="n"/>
      <c r="T111" s="15" t="n">
        <v>3</v>
      </c>
      <c r="U111" s="15" t="n">
        <v>7</v>
      </c>
      <c r="V111" s="28" t="n">
        <v>8</v>
      </c>
      <c r="W111" t="n">
        <v>2</v>
      </c>
      <c r="Y111" s="9" t="n"/>
    </row>
    <row r="112" ht="16" customHeight="1">
      <c r="A112" s="24" t="inlineStr">
        <is>
          <t>Kailot Harris</t>
        </is>
      </c>
      <c r="B112" s="25" t="inlineStr">
        <is>
          <t>Distinguished</t>
        </is>
      </c>
      <c r="C112" s="25" t="inlineStr">
        <is>
          <t>Kristin Haase-Alvey</t>
        </is>
      </c>
      <c r="D112" s="26" t="n">
        <v>45483</v>
      </c>
      <c r="E112" s="25" t="n">
        <v>35</v>
      </c>
      <c r="F112" s="25" t="n">
        <v>19.75</v>
      </c>
      <c r="G112" s="14" t="n">
        <v>0.5643</v>
      </c>
      <c r="H112" s="15" t="n">
        <v>43</v>
      </c>
      <c r="I112" s="15" t="n">
        <v>34</v>
      </c>
      <c r="J112" s="14" t="n">
        <v>0.7907</v>
      </c>
      <c r="K112" s="14" t="n">
        <v>10.499</v>
      </c>
      <c r="L112" s="14" t="n">
        <v>1</v>
      </c>
      <c r="M112" s="14" t="n">
        <v>1</v>
      </c>
      <c r="N112" s="27" t="inlineStr">
        <is>
          <t>5/7</t>
        </is>
      </c>
      <c r="O112" s="14" t="n">
        <v>1</v>
      </c>
      <c r="P112" s="15" t="n"/>
      <c r="Q112" s="15" t="n"/>
      <c r="R112" s="15" t="n">
        <v>236</v>
      </c>
      <c r="S112" s="15" t="n"/>
      <c r="T112" s="15" t="n">
        <v>14</v>
      </c>
      <c r="U112" s="15" t="n">
        <v>22</v>
      </c>
      <c r="V112" s="28" t="n">
        <v>76</v>
      </c>
      <c r="W112" t="n">
        <v>3</v>
      </c>
      <c r="Y112" s="9" t="n"/>
    </row>
    <row r="113" ht="16" customHeight="1">
      <c r="A113" s="24" t="inlineStr">
        <is>
          <t>Karleigh Arrington</t>
        </is>
      </c>
      <c r="B113" s="25" t="inlineStr">
        <is>
          <t>Distinguished</t>
        </is>
      </c>
      <c r="C113" s="25" t="inlineStr">
        <is>
          <t>Annelies de Groot</t>
        </is>
      </c>
      <c r="D113" s="26" t="n">
        <v>46020</v>
      </c>
      <c r="E113" s="25" t="n">
        <v>30</v>
      </c>
      <c r="F113" s="25" t="n">
        <v>27.13</v>
      </c>
      <c r="G113" s="14" t="n">
        <v>0.9042</v>
      </c>
      <c r="H113" s="15" t="n">
        <v>38</v>
      </c>
      <c r="I113" s="15" t="n">
        <v>35.88</v>
      </c>
      <c r="J113" s="14" t="n">
        <v>0.9441000000000001</v>
      </c>
      <c r="K113" s="14" t="n">
        <v>0.5</v>
      </c>
      <c r="L113" s="14" t="n">
        <v>0.983</v>
      </c>
      <c r="M113" s="14" t="n">
        <v>1</v>
      </c>
      <c r="N113" s="27" t="inlineStr">
        <is>
          <t>3/4</t>
        </is>
      </c>
      <c r="O113" s="14" t="n">
        <v>0.6315789469999999</v>
      </c>
      <c r="P113" s="15" t="n"/>
      <c r="Q113" s="15" t="n"/>
      <c r="R113" s="15" t="n">
        <v>138</v>
      </c>
      <c r="S113" s="15" t="n"/>
      <c r="T113" s="15" t="n">
        <v>10</v>
      </c>
      <c r="U113" s="15" t="n">
        <v>25</v>
      </c>
      <c r="V113" s="28" t="n">
        <v>95</v>
      </c>
      <c r="W113" t="n">
        <v>13.5</v>
      </c>
      <c r="Y113" s="9" t="n"/>
    </row>
    <row r="114" ht="16" customHeight="1">
      <c r="A114" s="29" t="inlineStr">
        <is>
          <t>Kate Haldeman</t>
        </is>
      </c>
      <c r="B114" s="30" t="inlineStr">
        <is>
          <t>Advanced</t>
        </is>
      </c>
      <c r="C114" s="30" t="inlineStr">
        <is>
          <t>Geoff St. Marie</t>
        </is>
      </c>
      <c r="D114" s="31" t="n">
        <v>46097</v>
      </c>
      <c r="E114" s="30" t="n">
        <v>35</v>
      </c>
      <c r="F114" s="30" t="n">
        <v>35.25</v>
      </c>
      <c r="G114" s="12" t="n">
        <v>1.0071</v>
      </c>
      <c r="H114" s="9" t="n">
        <v>43</v>
      </c>
      <c r="I114" s="9" t="n">
        <v>47.25</v>
      </c>
      <c r="J114" s="12" t="n">
        <v>1.0988</v>
      </c>
      <c r="K114" s="12" t="n">
        <v>5.6666</v>
      </c>
      <c r="L114" s="12" t="n">
        <v>0.987</v>
      </c>
      <c r="M114" s="12" t="n">
        <v>0.985294118</v>
      </c>
      <c r="N114" s="32" t="inlineStr">
        <is>
          <t>0/8</t>
        </is>
      </c>
      <c r="O114" s="12" t="n">
        <v>0.869565217</v>
      </c>
      <c r="P114" s="9" t="n"/>
      <c r="Q114" s="9" t="n"/>
      <c r="R114" s="9" t="n">
        <v>260</v>
      </c>
      <c r="S114" s="9" t="n">
        <v>1</v>
      </c>
      <c r="T114" s="9" t="n">
        <v>14</v>
      </c>
      <c r="U114" s="9" t="n">
        <v>36</v>
      </c>
      <c r="V114" s="28" t="n">
        <v>121</v>
      </c>
      <c r="W114" t="n">
        <v>20</v>
      </c>
      <c r="Y114" s="9" t="n"/>
    </row>
    <row r="115" ht="16" customHeight="1">
      <c r="A115" s="24" t="inlineStr">
        <is>
          <t>Katherine Clarke</t>
        </is>
      </c>
      <c r="B115" s="25" t="inlineStr">
        <is>
          <t>Distinguished</t>
        </is>
      </c>
      <c r="C115" s="25" t="inlineStr">
        <is>
          <t>Kristin Haase-Alvey</t>
        </is>
      </c>
      <c r="D115" s="26" t="n">
        <v>45210</v>
      </c>
      <c r="E115" s="25" t="n">
        <v>30</v>
      </c>
      <c r="F115" s="25" t="n">
        <v>15.88</v>
      </c>
      <c r="G115" s="14" t="n">
        <v>0.5292</v>
      </c>
      <c r="H115" s="15" t="n">
        <v>38</v>
      </c>
      <c r="I115" s="15" t="n">
        <v>29.5</v>
      </c>
      <c r="J115" s="14" t="n">
        <v>0.7763</v>
      </c>
      <c r="K115" s="14" t="n">
        <v>3.5833</v>
      </c>
      <c r="L115" s="14" t="n">
        <v>0.805</v>
      </c>
      <c r="M115" s="14" t="n">
        <v>0.984126984</v>
      </c>
      <c r="N115" s="27" t="inlineStr">
        <is>
          <t>1/4</t>
        </is>
      </c>
      <c r="O115" s="14" t="n">
        <v>1</v>
      </c>
      <c r="P115" s="15" t="n"/>
      <c r="Q115" s="15" t="n"/>
      <c r="R115" s="15" t="n">
        <v>10</v>
      </c>
      <c r="S115" s="15" t="n"/>
      <c r="T115" s="15" t="n">
        <v>5</v>
      </c>
      <c r="U115" s="15" t="n">
        <v>20</v>
      </c>
      <c r="V115" s="28" t="n">
        <v>58.5</v>
      </c>
      <c r="W115" t="n">
        <v>5</v>
      </c>
      <c r="Y115" s="9" t="n"/>
    </row>
    <row r="116" ht="16" customHeight="1">
      <c r="A116" s="24" t="inlineStr">
        <is>
          <t>Katherine Dickerson</t>
        </is>
      </c>
      <c r="B116" s="25" t="inlineStr">
        <is>
          <t>Premium</t>
        </is>
      </c>
      <c r="C116" s="25" t="inlineStr">
        <is>
          <t>Geoff St. Marie</t>
        </is>
      </c>
      <c r="D116" s="26" t="n">
        <v>43922</v>
      </c>
      <c r="E116" s="25" t="n">
        <v>30</v>
      </c>
      <c r="F116" s="25" t="n">
        <v>24.75</v>
      </c>
      <c r="G116" s="14" t="n">
        <v>0.825</v>
      </c>
      <c r="H116" s="15" t="n">
        <v>38</v>
      </c>
      <c r="I116" s="15" t="n">
        <v>47.19</v>
      </c>
      <c r="J116" s="14" t="n">
        <v>1.2418</v>
      </c>
      <c r="K116" s="14" t="n">
        <v>3.25</v>
      </c>
      <c r="L116" s="14" t="n">
        <v>0.906</v>
      </c>
      <c r="M116" s="14" t="n">
        <v>1</v>
      </c>
      <c r="N116" s="27" t="inlineStr">
        <is>
          <t>0/3</t>
        </is>
      </c>
      <c r="O116" s="14" t="n">
        <v>0.933333333</v>
      </c>
      <c r="P116" s="15" t="n"/>
      <c r="Q116" s="15" t="n"/>
      <c r="R116" s="15" t="n">
        <v>117</v>
      </c>
      <c r="S116" s="15" t="n"/>
      <c r="T116" s="15" t="n">
        <v>5</v>
      </c>
      <c r="U116" s="15" t="n">
        <v>20</v>
      </c>
      <c r="V116" s="28" t="n">
        <v>95.5</v>
      </c>
      <c r="W116" t="n">
        <v>3.5</v>
      </c>
      <c r="Y116" s="9" t="n"/>
    </row>
    <row r="117" ht="16" customHeight="1">
      <c r="A117" s="24" t="inlineStr">
        <is>
          <t>Kiersten Guetlein</t>
        </is>
      </c>
      <c r="B117" s="25" t="inlineStr">
        <is>
          <t>Premium</t>
        </is>
      </c>
      <c r="C117" s="25" t="inlineStr">
        <is>
          <t>Ela Cross</t>
        </is>
      </c>
      <c r="D117" s="26" t="n">
        <v>44330</v>
      </c>
      <c r="E117" s="25" t="n">
        <v>30</v>
      </c>
      <c r="F117" s="25" t="n">
        <v>28</v>
      </c>
      <c r="G117" s="14" t="n">
        <v>0.9333</v>
      </c>
      <c r="H117" s="15" t="n">
        <v>38</v>
      </c>
      <c r="I117" s="15" t="n">
        <v>43.81</v>
      </c>
      <c r="J117" s="14" t="n">
        <v>1.153</v>
      </c>
      <c r="K117" s="14" t="n">
        <v>4</v>
      </c>
      <c r="L117" s="14" t="n">
        <v>0.9320000000000001</v>
      </c>
      <c r="M117" s="14" t="n">
        <v>0.979591837</v>
      </c>
      <c r="N117" s="27" t="inlineStr">
        <is>
          <t>3/4</t>
        </is>
      </c>
      <c r="O117" s="14" t="n">
        <v>0.666666667</v>
      </c>
      <c r="P117" s="15" t="n"/>
      <c r="Q117" s="15" t="n"/>
      <c r="R117" s="15" t="n">
        <v>196</v>
      </c>
      <c r="S117" s="15" t="n">
        <v>4</v>
      </c>
      <c r="T117" s="15" t="n">
        <v>8</v>
      </c>
      <c r="U117" s="15" t="n">
        <v>27</v>
      </c>
      <c r="V117" s="28" t="n">
        <v>107.5</v>
      </c>
      <c r="W117" t="n">
        <v>4.5</v>
      </c>
      <c r="Y117" s="9" t="n"/>
    </row>
    <row r="118" ht="16" customHeight="1">
      <c r="A118" s="24" t="inlineStr">
        <is>
          <t>Kristen Fox</t>
        </is>
      </c>
      <c r="B118" s="25" t="inlineStr">
        <is>
          <t>Distinguished</t>
        </is>
      </c>
      <c r="C118" s="25" t="inlineStr">
        <is>
          <t>Kristin Haase-Alvey</t>
        </is>
      </c>
      <c r="D118" s="26" t="n">
        <v>45271</v>
      </c>
      <c r="E118" s="25" t="n">
        <v>30</v>
      </c>
      <c r="F118" s="25" t="n">
        <v>30</v>
      </c>
      <c r="G118" s="14" t="n">
        <v>1</v>
      </c>
      <c r="H118" s="15" t="n">
        <v>38</v>
      </c>
      <c r="I118" s="15" t="n">
        <v>33.5</v>
      </c>
      <c r="J118" s="14" t="n">
        <v>0.8816000000000001</v>
      </c>
      <c r="K118" s="14" t="n">
        <v>8.499700000000001</v>
      </c>
      <c r="L118" s="14" t="n">
        <v>0.986</v>
      </c>
      <c r="M118" s="14" t="n">
        <v>0.948275862</v>
      </c>
      <c r="N118" s="27" t="inlineStr">
        <is>
          <t>4/5</t>
        </is>
      </c>
      <c r="O118" s="14" t="n">
        <v>0.961538462</v>
      </c>
      <c r="P118" s="15" t="n"/>
      <c r="Q118" s="15" t="n"/>
      <c r="R118" s="15" t="n">
        <v>373</v>
      </c>
      <c r="S118" s="15" t="n">
        <v>1</v>
      </c>
      <c r="T118" s="15" t="n">
        <v>11</v>
      </c>
      <c r="U118" s="15" t="n">
        <v>38</v>
      </c>
      <c r="V118" s="28" t="n">
        <v>103</v>
      </c>
      <c r="W118" t="n">
        <v>17</v>
      </c>
      <c r="Y118" s="9" t="n"/>
    </row>
    <row r="119" ht="16" customHeight="1">
      <c r="A119" s="24" t="inlineStr">
        <is>
          <t>Kristen Luigart</t>
        </is>
      </c>
      <c r="B119" s="25" t="inlineStr">
        <is>
          <t>Distinguished</t>
        </is>
      </c>
      <c r="C119" s="25" t="inlineStr">
        <is>
          <t>Ian Plamondon</t>
        </is>
      </c>
      <c r="D119" s="26" t="n">
        <v>44239</v>
      </c>
      <c r="E119" s="25" t="n">
        <v>30</v>
      </c>
      <c r="F119" s="25" t="n">
        <v>11</v>
      </c>
      <c r="G119" s="14" t="n">
        <v>0.3667</v>
      </c>
      <c r="H119" s="15" t="n">
        <v>38</v>
      </c>
      <c r="I119" s="15" t="n">
        <v>33.25</v>
      </c>
      <c r="J119" s="14" t="n">
        <v>0.875</v>
      </c>
      <c r="K119" s="14" t="n">
        <v>2.3166</v>
      </c>
      <c r="L119" s="14" t="n">
        <v>1</v>
      </c>
      <c r="M119" s="14" t="n">
        <v>0.789473684</v>
      </c>
      <c r="N119" s="27" t="inlineStr">
        <is>
          <t>1/1</t>
        </is>
      </c>
      <c r="O119" s="14" t="n">
        <v>0.428571429</v>
      </c>
      <c r="P119" s="15" t="n"/>
      <c r="Q119" s="15" t="n"/>
      <c r="R119" s="15" t="n">
        <v>78</v>
      </c>
      <c r="S119" s="15" t="n"/>
      <c r="T119" s="15" t="n">
        <v>4</v>
      </c>
      <c r="U119" s="15" t="n">
        <v>13</v>
      </c>
      <c r="V119" s="28" t="n">
        <v>43</v>
      </c>
      <c r="W119" t="n">
        <v>1</v>
      </c>
      <c r="Y119" s="9" t="n"/>
    </row>
    <row r="120" ht="16" customHeight="1">
      <c r="A120" s="24" t="inlineStr">
        <is>
          <t>Krystal Ashley</t>
        </is>
      </c>
      <c r="B120" s="25" t="inlineStr">
        <is>
          <t>Advanced</t>
        </is>
      </c>
      <c r="C120" s="25" t="inlineStr">
        <is>
          <t>Katherine Marino</t>
        </is>
      </c>
      <c r="D120" s="26" t="n">
        <v>46195</v>
      </c>
      <c r="E120" s="25" t="n">
        <v>12</v>
      </c>
      <c r="F120" s="25" t="n">
        <v>3</v>
      </c>
      <c r="G120" s="14" t="n">
        <v>0.25</v>
      </c>
      <c r="H120" s="15" t="n">
        <v>16</v>
      </c>
      <c r="I120" s="15" t="n">
        <v>25</v>
      </c>
      <c r="J120" s="14" t="n">
        <v>1.5625</v>
      </c>
      <c r="K120" s="14" t="n">
        <v>2.6</v>
      </c>
      <c r="L120" s="14" t="n">
        <v>0.667</v>
      </c>
      <c r="M120" s="14" t="n">
        <v>1</v>
      </c>
      <c r="N120" s="27" t="inlineStr">
        <is>
          <t>0/2</t>
        </is>
      </c>
      <c r="O120" s="14" t="n"/>
      <c r="P120" s="15" t="n"/>
      <c r="Q120" s="15" t="n"/>
      <c r="R120" s="15" t="n">
        <v>0</v>
      </c>
      <c r="S120" s="15" t="n"/>
      <c r="T120" s="15" t="n">
        <v>4</v>
      </c>
      <c r="U120" s="15" t="n">
        <v>4</v>
      </c>
      <c r="V120" s="28" t="n">
        <v>7</v>
      </c>
      <c r="W120" t="n">
        <v>2</v>
      </c>
      <c r="Y120" s="9" t="n"/>
    </row>
    <row r="121" ht="16" customHeight="1">
      <c r="A121" s="24" t="inlineStr">
        <is>
          <t>Lana Kargetta</t>
        </is>
      </c>
      <c r="B121" s="25" t="inlineStr">
        <is>
          <t>Advanced</t>
        </is>
      </c>
      <c r="C121" s="25" t="inlineStr">
        <is>
          <t>Geoff St. Marie</t>
        </is>
      </c>
      <c r="D121" s="26" t="n">
        <v>45953</v>
      </c>
      <c r="E121" s="25" t="n">
        <v>12</v>
      </c>
      <c r="F121" s="25" t="n">
        <v>6.75</v>
      </c>
      <c r="G121" s="14" t="n">
        <v>0.5625</v>
      </c>
      <c r="H121" s="15" t="n">
        <v>16</v>
      </c>
      <c r="I121" s="15" t="n">
        <v>20.13</v>
      </c>
      <c r="J121" s="14" t="n">
        <v>1.2578</v>
      </c>
      <c r="K121" s="14" t="n"/>
      <c r="L121" s="14" t="n">
        <v>0.706</v>
      </c>
      <c r="M121" s="14" t="n">
        <v>1</v>
      </c>
      <c r="N121" s="27" t="inlineStr">
        <is>
          <t>0/0</t>
        </is>
      </c>
      <c r="O121" s="14" t="n">
        <v>1</v>
      </c>
      <c r="P121" s="15" t="n"/>
      <c r="Q121" s="15" t="n"/>
      <c r="R121" s="15" t="n">
        <v>120</v>
      </c>
      <c r="S121" s="15" t="n"/>
      <c r="T121" s="15" t="n">
        <v>0</v>
      </c>
      <c r="U121" s="15" t="n">
        <v>8</v>
      </c>
      <c r="V121" s="28" t="n">
        <v>23</v>
      </c>
      <c r="W121" t="n">
        <v>4</v>
      </c>
      <c r="Y121" s="9" t="n"/>
    </row>
    <row r="122" ht="16" customHeight="1">
      <c r="A122" s="24" t="inlineStr">
        <is>
          <t>Levi Fox</t>
        </is>
      </c>
      <c r="B122" s="25" t="inlineStr">
        <is>
          <t>Premium</t>
        </is>
      </c>
      <c r="C122" s="25" t="inlineStr">
        <is>
          <t>Geoff St. Marie</t>
        </is>
      </c>
      <c r="D122" s="26" t="n">
        <v>44222</v>
      </c>
      <c r="E122" s="25" t="n">
        <v>30</v>
      </c>
      <c r="F122" s="25" t="n">
        <v>14.13</v>
      </c>
      <c r="G122" s="14" t="n">
        <v>0.4708</v>
      </c>
      <c r="H122" s="15" t="n">
        <v>38</v>
      </c>
      <c r="I122" s="15" t="n">
        <v>35.44</v>
      </c>
      <c r="J122" s="14" t="n">
        <v>0.9326</v>
      </c>
      <c r="K122" s="14" t="n">
        <v>4</v>
      </c>
      <c r="L122" s="14" t="n">
        <v>0.9330000000000001</v>
      </c>
      <c r="M122" s="14" t="n">
        <v>0.93877551</v>
      </c>
      <c r="N122" s="27" t="inlineStr">
        <is>
          <t>1/1</t>
        </is>
      </c>
      <c r="O122" s="14" t="n">
        <v>1</v>
      </c>
      <c r="P122" s="15" t="n"/>
      <c r="Q122" s="15" t="n"/>
      <c r="R122" s="15" t="n">
        <v>46</v>
      </c>
      <c r="S122" s="15" t="n"/>
      <c r="T122" s="15" t="n">
        <v>1</v>
      </c>
      <c r="U122" s="15" t="n">
        <v>15</v>
      </c>
      <c r="V122" s="28" t="n">
        <v>52.5</v>
      </c>
      <c r="W122" t="n">
        <v>4</v>
      </c>
      <c r="Y122" s="9" t="n"/>
    </row>
    <row r="123" ht="16" customHeight="1">
      <c r="A123" s="24" t="inlineStr">
        <is>
          <t>Lisa Bartle</t>
        </is>
      </c>
      <c r="B123" s="25" t="inlineStr">
        <is>
          <t>Premium</t>
        </is>
      </c>
      <c r="C123" s="25" t="inlineStr">
        <is>
          <t>Annelies de Groot</t>
        </is>
      </c>
      <c r="D123" s="26" t="n">
        <v>43812</v>
      </c>
      <c r="E123" s="25" t="n">
        <v>12</v>
      </c>
      <c r="F123" s="25" t="n">
        <v>14.38</v>
      </c>
      <c r="G123" s="14" t="n">
        <v>1.1979</v>
      </c>
      <c r="H123" s="15" t="n">
        <v>16</v>
      </c>
      <c r="I123" s="15" t="n">
        <v>19.88</v>
      </c>
      <c r="J123" s="14" t="n">
        <v>1.2422</v>
      </c>
      <c r="K123" s="14" t="n"/>
      <c r="L123" s="14" t="n">
        <v>1</v>
      </c>
      <c r="M123" s="14" t="n">
        <v>0.962264151</v>
      </c>
      <c r="N123" s="27" t="inlineStr">
        <is>
          <t>0/0</t>
        </is>
      </c>
      <c r="O123" s="14" t="n">
        <v>1</v>
      </c>
      <c r="P123" s="15" t="n"/>
      <c r="Q123" s="15" t="n"/>
      <c r="R123" s="15" t="n">
        <v>48</v>
      </c>
      <c r="S123" s="15" t="n">
        <v>0</v>
      </c>
      <c r="T123" s="15" t="n">
        <v>1</v>
      </c>
      <c r="U123" s="15" t="n">
        <v>10</v>
      </c>
      <c r="V123" s="28" t="n">
        <v>52.5</v>
      </c>
      <c r="W123" t="n">
        <v>5</v>
      </c>
      <c r="Y123" s="9" t="n"/>
    </row>
    <row r="124" ht="16" customHeight="1">
      <c r="A124" s="24" t="inlineStr">
        <is>
          <t>Liz Garcia</t>
        </is>
      </c>
      <c r="B124" s="25" t="inlineStr">
        <is>
          <t>Distinguished</t>
        </is>
      </c>
      <c r="C124" s="25" t="inlineStr">
        <is>
          <t>Geoff St. Marie</t>
        </is>
      </c>
      <c r="D124" s="26" t="n">
        <v>44615</v>
      </c>
      <c r="E124" s="25" t="n">
        <v>30</v>
      </c>
      <c r="F124" s="25" t="n">
        <v>20.13</v>
      </c>
      <c r="G124" s="14" t="n">
        <v>0.6708</v>
      </c>
      <c r="H124" s="15" t="n">
        <v>38</v>
      </c>
      <c r="I124" s="15" t="n">
        <v>41.75</v>
      </c>
      <c r="J124" s="14" t="n">
        <v>1.0987</v>
      </c>
      <c r="K124" s="14" t="n"/>
      <c r="L124" s="14" t="n">
        <v>0.923</v>
      </c>
      <c r="M124" s="14" t="n">
        <v>0.9875</v>
      </c>
      <c r="N124" s="27" t="inlineStr">
        <is>
          <t>1/1</t>
        </is>
      </c>
      <c r="O124" s="14" t="n">
        <v>0.416666667</v>
      </c>
      <c r="P124" s="15" t="n"/>
      <c r="Q124" s="15" t="n"/>
      <c r="R124" s="15" t="n">
        <v>218</v>
      </c>
      <c r="S124" s="15" t="n"/>
      <c r="T124" s="15" t="n">
        <v>1</v>
      </c>
      <c r="U124" s="15" t="n">
        <v>14</v>
      </c>
      <c r="V124" s="28" t="n">
        <v>72.5</v>
      </c>
      <c r="W124" t="n">
        <v>8</v>
      </c>
      <c r="Y124" s="9" t="n"/>
    </row>
    <row r="125" ht="16" customHeight="1">
      <c r="A125" s="24" t="inlineStr">
        <is>
          <t>Liz Pirie</t>
        </is>
      </c>
      <c r="B125" s="25" t="inlineStr">
        <is>
          <t>Distinguished</t>
        </is>
      </c>
      <c r="C125" s="25" t="inlineStr">
        <is>
          <t>Kristin Haase-Alvey</t>
        </is>
      </c>
      <c r="D125" s="26" t="n">
        <v>45265</v>
      </c>
      <c r="E125" s="25" t="n">
        <v>30</v>
      </c>
      <c r="F125" s="25" t="n">
        <v>16.46</v>
      </c>
      <c r="G125" s="14" t="n">
        <v>0.5486</v>
      </c>
      <c r="H125" s="15" t="n">
        <v>38</v>
      </c>
      <c r="I125" s="15" t="n">
        <v>32.13</v>
      </c>
      <c r="J125" s="14" t="n">
        <v>0.8454</v>
      </c>
      <c r="K125" s="14" t="n"/>
      <c r="L125" s="14" t="n">
        <v>0.974</v>
      </c>
      <c r="M125" s="14" t="n">
        <v>1</v>
      </c>
      <c r="N125" s="27" t="inlineStr">
        <is>
          <t>3/4</t>
        </is>
      </c>
      <c r="O125" s="14" t="n">
        <v>1</v>
      </c>
      <c r="P125" s="15" t="n"/>
      <c r="Q125" s="15" t="n"/>
      <c r="R125" s="15" t="n">
        <v>48</v>
      </c>
      <c r="S125" s="15" t="n"/>
      <c r="T125" s="15" t="n">
        <v>7</v>
      </c>
      <c r="U125" s="15" t="n">
        <v>22</v>
      </c>
      <c r="V125" s="28" t="n">
        <v>59.8333</v>
      </c>
      <c r="W125" t="n">
        <v>6</v>
      </c>
      <c r="Y125" s="9" t="n"/>
    </row>
    <row r="126" ht="16" customHeight="1">
      <c r="A126" s="24" t="inlineStr">
        <is>
          <t>Loren Lijewski</t>
        </is>
      </c>
      <c r="B126" s="25" t="inlineStr">
        <is>
          <t>Advanced</t>
        </is>
      </c>
      <c r="C126" s="25" t="inlineStr">
        <is>
          <t>Annelies de Groot</t>
        </is>
      </c>
      <c r="D126" s="26" t="n">
        <v>46073</v>
      </c>
      <c r="E126" s="25" t="n">
        <v>12</v>
      </c>
      <c r="F126" s="25" t="n">
        <v>8.5</v>
      </c>
      <c r="G126" s="14" t="n">
        <v>0.7083</v>
      </c>
      <c r="H126" s="15" t="n">
        <v>16</v>
      </c>
      <c r="I126" s="15" t="n">
        <v>18.13</v>
      </c>
      <c r="J126" s="14" t="n">
        <v>1.1328</v>
      </c>
      <c r="K126" s="14" t="n"/>
      <c r="L126" s="14" t="n">
        <v>1</v>
      </c>
      <c r="M126" s="14" t="n">
        <v>1</v>
      </c>
      <c r="N126" s="27" t="inlineStr">
        <is>
          <t>0/6</t>
        </is>
      </c>
      <c r="O126" s="14" t="n">
        <v>0.666666667</v>
      </c>
      <c r="P126" s="15" t="n"/>
      <c r="Q126" s="15" t="n"/>
      <c r="R126" s="15" t="n">
        <v>76</v>
      </c>
      <c r="S126" s="15" t="n"/>
      <c r="T126" s="15" t="n">
        <v>9</v>
      </c>
      <c r="U126" s="15" t="n">
        <v>14</v>
      </c>
      <c r="V126" s="28" t="n">
        <v>28</v>
      </c>
      <c r="W126" t="n">
        <v>6</v>
      </c>
      <c r="Y126" s="9" t="n"/>
    </row>
    <row r="127" ht="16" customHeight="1">
      <c r="A127" s="24" t="inlineStr">
        <is>
          <t>Machaela Verhage</t>
        </is>
      </c>
      <c r="B127" s="25" t="inlineStr">
        <is>
          <t>Distinguished</t>
        </is>
      </c>
      <c r="C127" s="25" t="inlineStr">
        <is>
          <t>Annelies de Groot</t>
        </is>
      </c>
      <c r="D127" s="26" t="n">
        <v>45281</v>
      </c>
      <c r="E127" s="25" t="n">
        <v>30</v>
      </c>
      <c r="F127" s="25" t="n">
        <v>16.5</v>
      </c>
      <c r="G127" s="14" t="n">
        <v>0.55</v>
      </c>
      <c r="H127" s="15" t="n">
        <v>38</v>
      </c>
      <c r="I127" s="15" t="n">
        <v>38.63</v>
      </c>
      <c r="J127" s="14" t="n">
        <v>1.0164</v>
      </c>
      <c r="K127" s="14" t="n"/>
      <c r="L127" s="14" t="n">
        <v>1</v>
      </c>
      <c r="M127" s="14" t="n">
        <v>1</v>
      </c>
      <c r="N127" s="27" t="inlineStr">
        <is>
          <t>4/6</t>
        </is>
      </c>
      <c r="O127" s="14" t="n">
        <v>0.857142857</v>
      </c>
      <c r="P127" s="15" t="n"/>
      <c r="Q127" s="15" t="n"/>
      <c r="R127" s="15" t="n">
        <v>24</v>
      </c>
      <c r="S127" s="15" t="n"/>
      <c r="T127" s="15" t="n">
        <v>9</v>
      </c>
      <c r="U127" s="15" t="n">
        <v>15</v>
      </c>
      <c r="V127" s="28" t="n">
        <v>64</v>
      </c>
      <c r="W127" t="n">
        <v>2</v>
      </c>
      <c r="Y127" s="9" t="n"/>
    </row>
    <row r="128" ht="16" customHeight="1">
      <c r="A128" s="24" t="inlineStr">
        <is>
          <t>Madia Banda</t>
        </is>
      </c>
      <c r="B128" s="25" t="inlineStr">
        <is>
          <t>Advanced</t>
        </is>
      </c>
      <c r="C128" s="25" t="inlineStr">
        <is>
          <t>Geoff St. Marie</t>
        </is>
      </c>
      <c r="D128" s="26" t="n">
        <v>45964</v>
      </c>
      <c r="E128" s="25" t="n">
        <v>35</v>
      </c>
      <c r="F128" s="25" t="n">
        <v>22.5</v>
      </c>
      <c r="G128" s="14" t="n">
        <v>0.6429</v>
      </c>
      <c r="H128" s="15" t="n">
        <v>43</v>
      </c>
      <c r="I128" s="15" t="n">
        <v>45.81</v>
      </c>
      <c r="J128" s="14" t="n">
        <v>1.0654</v>
      </c>
      <c r="K128" s="14" t="n">
        <v>8.166600000000001</v>
      </c>
      <c r="L128" s="14" t="n">
        <v>0.873</v>
      </c>
      <c r="M128" s="14" t="n">
        <v>1</v>
      </c>
      <c r="N128" s="27" t="inlineStr">
        <is>
          <t>5/6</t>
        </is>
      </c>
      <c r="O128" s="14" t="n">
        <v>0.944444444</v>
      </c>
      <c r="P128" s="15" t="n"/>
      <c r="Q128" s="15" t="n"/>
      <c r="R128" s="15" t="n">
        <v>256</v>
      </c>
      <c r="S128" s="15" t="n">
        <v>0</v>
      </c>
      <c r="T128" s="15" t="n">
        <v>8</v>
      </c>
      <c r="U128" s="15" t="n">
        <v>32</v>
      </c>
      <c r="V128" s="28" t="n">
        <v>74</v>
      </c>
      <c r="W128" t="n">
        <v>16</v>
      </c>
      <c r="Y128" s="9" t="n"/>
    </row>
    <row r="129" ht="16" customHeight="1">
      <c r="A129" s="24" t="inlineStr">
        <is>
          <t>Maia Gerlinger</t>
        </is>
      </c>
      <c r="B129" s="25" t="inlineStr">
        <is>
          <t>Distinguished</t>
        </is>
      </c>
      <c r="C129" s="25" t="inlineStr">
        <is>
          <t>Annelies de Groot</t>
        </is>
      </c>
      <c r="D129" s="26" t="n">
        <v>42811</v>
      </c>
      <c r="E129" s="25" t="n">
        <v>12</v>
      </c>
      <c r="F129" s="25" t="n">
        <v>13.38</v>
      </c>
      <c r="G129" s="14" t="n">
        <v>1.1146</v>
      </c>
      <c r="H129" s="15" t="n">
        <v>16</v>
      </c>
      <c r="I129" s="15" t="n">
        <v>15.06</v>
      </c>
      <c r="J129" s="14" t="n">
        <v>0.9414</v>
      </c>
      <c r="K129" s="14" t="n">
        <v>1.4833</v>
      </c>
      <c r="L129" s="14" t="n">
        <v>0.971</v>
      </c>
      <c r="M129" s="14" t="n">
        <v>1</v>
      </c>
      <c r="N129" s="27" t="inlineStr">
        <is>
          <t>0/2</t>
        </is>
      </c>
      <c r="O129" s="14" t="n">
        <v>0.7</v>
      </c>
      <c r="P129" s="15" t="n"/>
      <c r="Q129" s="15" t="n"/>
      <c r="R129" s="15" t="n">
        <v>16</v>
      </c>
      <c r="S129" s="15" t="n">
        <v>2</v>
      </c>
      <c r="T129" s="15" t="n">
        <v>2</v>
      </c>
      <c r="U129" s="15" t="n">
        <v>15</v>
      </c>
      <c r="V129" s="28" t="n">
        <v>47.5</v>
      </c>
      <c r="W129" t="n">
        <v>6</v>
      </c>
      <c r="Y129" s="9" t="n"/>
    </row>
    <row r="130" ht="16" customHeight="1">
      <c r="A130" s="24" t="inlineStr">
        <is>
          <t>Margaret Webb</t>
        </is>
      </c>
      <c r="B130" s="25" t="inlineStr">
        <is>
          <t>Distinguished</t>
        </is>
      </c>
      <c r="C130" s="25" t="inlineStr">
        <is>
          <t>Kristin Haase-Alvey</t>
        </is>
      </c>
      <c r="D130" s="26" t="n">
        <v>45894</v>
      </c>
      <c r="E130" s="25" t="n">
        <v>35</v>
      </c>
      <c r="F130" s="25" t="n">
        <v>39.75</v>
      </c>
      <c r="G130" s="14" t="n">
        <v>1.1357</v>
      </c>
      <c r="H130" s="15" t="n">
        <v>43</v>
      </c>
      <c r="I130" s="15" t="n">
        <v>40.69</v>
      </c>
      <c r="J130" s="14" t="n">
        <v>0.9462</v>
      </c>
      <c r="K130" s="14" t="n"/>
      <c r="L130" s="14" t="n">
        <v>1</v>
      </c>
      <c r="M130" s="14" t="n">
        <v>0.9934210530000001</v>
      </c>
      <c r="N130" s="27" t="inlineStr">
        <is>
          <t>2/3</t>
        </is>
      </c>
      <c r="O130" s="14" t="n">
        <v>0.931034483</v>
      </c>
      <c r="P130" s="15" t="n">
        <v>1</v>
      </c>
      <c r="Q130" s="15" t="n">
        <v>10</v>
      </c>
      <c r="R130" s="15" t="n">
        <v>332.5</v>
      </c>
      <c r="S130" s="15" t="n"/>
      <c r="T130" s="15" t="n">
        <v>9</v>
      </c>
      <c r="U130" s="15" t="n">
        <v>40</v>
      </c>
      <c r="V130" s="28" t="n">
        <v>152</v>
      </c>
      <c r="W130" t="n">
        <v>7</v>
      </c>
      <c r="Y130" s="9" t="n"/>
    </row>
    <row r="131" ht="16" customHeight="1">
      <c r="A131" s="24" t="inlineStr">
        <is>
          <t>Mary Felix</t>
        </is>
      </c>
      <c r="B131" s="25" t="inlineStr">
        <is>
          <t>Premium</t>
        </is>
      </c>
      <c r="C131" s="25" t="inlineStr">
        <is>
          <t>Ian Plamondon</t>
        </is>
      </c>
      <c r="D131" s="26" t="n">
        <v>43182</v>
      </c>
      <c r="E131" s="25" t="n">
        <v>30</v>
      </c>
      <c r="F131" s="25" t="n">
        <v>12.88</v>
      </c>
      <c r="G131" s="14" t="n">
        <v>0.4292</v>
      </c>
      <c r="H131" s="15" t="n">
        <v>38</v>
      </c>
      <c r="I131" s="15" t="n">
        <v>46.25</v>
      </c>
      <c r="J131" s="14" t="n">
        <v>1.2171</v>
      </c>
      <c r="K131" s="14" t="n">
        <v>0.5</v>
      </c>
      <c r="L131" s="14" t="n">
        <v>0.75</v>
      </c>
      <c r="M131" s="14" t="n">
        <v>0.976190476</v>
      </c>
      <c r="N131" s="27" t="inlineStr">
        <is>
          <t>0/5</t>
        </is>
      </c>
      <c r="O131" s="14" t="n">
        <v>0.75</v>
      </c>
      <c r="P131" s="15" t="n"/>
      <c r="Q131" s="15" t="n"/>
      <c r="R131" s="15" t="n">
        <v>75</v>
      </c>
      <c r="S131" s="15" t="n">
        <v>31</v>
      </c>
      <c r="T131" s="15" t="n">
        <v>6</v>
      </c>
      <c r="U131" s="15" t="n">
        <v>16</v>
      </c>
      <c r="V131" s="28" t="n">
        <v>46.5</v>
      </c>
      <c r="W131" t="n">
        <v>5</v>
      </c>
      <c r="Y131" s="9" t="n"/>
    </row>
    <row r="132" ht="16" customHeight="1">
      <c r="A132" s="24" t="inlineStr">
        <is>
          <t>Mary Logan</t>
        </is>
      </c>
      <c r="B132" s="25" t="inlineStr">
        <is>
          <t>Distinguished</t>
        </is>
      </c>
      <c r="C132" s="25" t="inlineStr">
        <is>
          <t>Ela Cross</t>
        </is>
      </c>
      <c r="D132" s="26" t="n">
        <v>45201</v>
      </c>
      <c r="E132" s="25" t="n">
        <v>30</v>
      </c>
      <c r="F132" s="25" t="n">
        <v>29</v>
      </c>
      <c r="G132" s="14" t="n">
        <v>0.9667</v>
      </c>
      <c r="H132" s="15" t="n">
        <v>38</v>
      </c>
      <c r="I132" s="15" t="n">
        <v>40</v>
      </c>
      <c r="J132" s="14" t="n">
        <v>1.0526</v>
      </c>
      <c r="K132" s="14" t="n">
        <v>1</v>
      </c>
      <c r="L132" s="14" t="n">
        <v>0.984</v>
      </c>
      <c r="M132" s="14" t="n">
        <v>1</v>
      </c>
      <c r="N132" s="27" t="inlineStr">
        <is>
          <t>3/5</t>
        </is>
      </c>
      <c r="O132" s="14" t="n">
        <v>0.761904762</v>
      </c>
      <c r="P132" s="15" t="n"/>
      <c r="Q132" s="15" t="n"/>
      <c r="R132" s="15" t="n">
        <v>218</v>
      </c>
      <c r="S132" s="15" t="n"/>
      <c r="T132" s="15" t="n">
        <v>7</v>
      </c>
      <c r="U132" s="15" t="n">
        <v>31</v>
      </c>
      <c r="V132" s="28" t="n">
        <v>112</v>
      </c>
      <c r="W132" t="n">
        <v>4</v>
      </c>
      <c r="Y132" s="9" t="n"/>
    </row>
    <row r="133" ht="16" customHeight="1">
      <c r="A133" s="24" t="inlineStr">
        <is>
          <t>Matthew Urso</t>
        </is>
      </c>
      <c r="B133" s="25" t="inlineStr">
        <is>
          <t>Distinguished</t>
        </is>
      </c>
      <c r="C133" s="25" t="inlineStr">
        <is>
          <t>Geoff St. Marie</t>
        </is>
      </c>
      <c r="D133" s="26" t="n">
        <v>44183</v>
      </c>
      <c r="E133" s="25" t="n">
        <v>30</v>
      </c>
      <c r="F133" s="25" t="n">
        <v>22.63</v>
      </c>
      <c r="G133" s="14" t="n">
        <v>0.7542</v>
      </c>
      <c r="H133" s="15" t="n">
        <v>38</v>
      </c>
      <c r="I133" s="15" t="n">
        <v>38.81</v>
      </c>
      <c r="J133" s="14" t="n">
        <v>1.0214</v>
      </c>
      <c r="K133" s="14" t="n">
        <v>2.4166</v>
      </c>
      <c r="L133" s="14" t="n">
        <v>1</v>
      </c>
      <c r="M133" s="14" t="n">
        <v>1</v>
      </c>
      <c r="N133" s="27" t="inlineStr">
        <is>
          <t>3/9</t>
        </is>
      </c>
      <c r="O133" s="14" t="n">
        <v>0.888888889</v>
      </c>
      <c r="P133" s="15" t="n"/>
      <c r="Q133" s="15" t="n"/>
      <c r="R133" s="15" t="n">
        <v>102</v>
      </c>
      <c r="S133" s="15" t="n"/>
      <c r="T133" s="15" t="n">
        <v>15</v>
      </c>
      <c r="U133" s="15" t="n">
        <v>25</v>
      </c>
      <c r="V133" s="28" t="n">
        <v>86</v>
      </c>
      <c r="W133" t="n">
        <v>4.5</v>
      </c>
      <c r="Y133" s="9" t="n"/>
    </row>
    <row r="134" ht="16" customHeight="1">
      <c r="A134" s="24" t="inlineStr">
        <is>
          <t>Matthew Wert</t>
        </is>
      </c>
      <c r="B134" s="25" t="inlineStr">
        <is>
          <t>Distinguished</t>
        </is>
      </c>
      <c r="C134" s="25" t="inlineStr">
        <is>
          <t>Geoff St. Marie</t>
        </is>
      </c>
      <c r="D134" s="26" t="n">
        <v>44642</v>
      </c>
      <c r="E134" s="25" t="n">
        <v>20</v>
      </c>
      <c r="F134" s="25" t="n">
        <v>13.38</v>
      </c>
      <c r="G134" s="14" t="n">
        <v>0.6688</v>
      </c>
      <c r="H134" s="15" t="n">
        <v>24</v>
      </c>
      <c r="I134" s="15" t="n">
        <v>27.63</v>
      </c>
      <c r="J134" s="14" t="n">
        <v>1.151</v>
      </c>
      <c r="K134" s="14" t="n"/>
      <c r="L134" s="14" t="n">
        <v>1</v>
      </c>
      <c r="M134" s="14" t="n">
        <v>0.979166667</v>
      </c>
      <c r="N134" s="27" t="inlineStr">
        <is>
          <t>2/3</t>
        </is>
      </c>
      <c r="O134" s="14" t="n">
        <v>0.666666667</v>
      </c>
      <c r="P134" s="15" t="n">
        <v>1</v>
      </c>
      <c r="Q134" s="15" t="n">
        <v>10</v>
      </c>
      <c r="R134" s="15" t="n">
        <v>20</v>
      </c>
      <c r="S134" s="15" t="n"/>
      <c r="T134" s="15" t="n">
        <v>3</v>
      </c>
      <c r="U134" s="15" t="n">
        <v>12</v>
      </c>
      <c r="V134" s="28" t="n">
        <v>52.5</v>
      </c>
      <c r="W134" t="n">
        <v>1</v>
      </c>
      <c r="Y134" s="9" t="n"/>
    </row>
    <row r="135" ht="16" customHeight="1">
      <c r="A135" s="24" t="inlineStr">
        <is>
          <t>Matty Burge</t>
        </is>
      </c>
      <c r="B135" s="25" t="inlineStr">
        <is>
          <t>Distinguished</t>
        </is>
      </c>
      <c r="C135" s="25" t="inlineStr">
        <is>
          <t>Annelies de Groot</t>
        </is>
      </c>
      <c r="D135" s="26" t="n">
        <v>45271</v>
      </c>
      <c r="E135" s="25" t="n">
        <v>12</v>
      </c>
      <c r="F135" s="25" t="n">
        <v>1</v>
      </c>
      <c r="G135" s="14" t="n">
        <v>0.0833</v>
      </c>
      <c r="H135" s="15" t="n">
        <v>16</v>
      </c>
      <c r="I135" s="15" t="n">
        <v>12.17</v>
      </c>
      <c r="J135" s="14" t="n">
        <v>0.7604</v>
      </c>
      <c r="K135" s="14" t="n">
        <v>0.5</v>
      </c>
      <c r="L135" s="14" t="n">
        <v>1</v>
      </c>
      <c r="M135" s="14" t="n">
        <v>1</v>
      </c>
      <c r="N135" s="27" t="inlineStr">
        <is>
          <t>0/0</t>
        </is>
      </c>
      <c r="O135" s="14" t="n">
        <v>0.5</v>
      </c>
      <c r="P135" s="15" t="n"/>
      <c r="Q135" s="15" t="n"/>
      <c r="R135" s="15" t="n">
        <v>15</v>
      </c>
      <c r="S135" s="15" t="n"/>
      <c r="T135" s="15" t="n">
        <v>0</v>
      </c>
      <c r="U135" s="15" t="n">
        <v>2</v>
      </c>
      <c r="V135" s="28" t="n">
        <v>3</v>
      </c>
      <c r="W135" t="n">
        <v>1</v>
      </c>
      <c r="Y135" s="9" t="n"/>
    </row>
    <row r="136" ht="16" customHeight="1">
      <c r="A136" s="24" t="inlineStr">
        <is>
          <t>Maximilian Tsimerman</t>
        </is>
      </c>
      <c r="B136" s="25" t="inlineStr">
        <is>
          <t>Distinguished</t>
        </is>
      </c>
      <c r="C136" s="25" t="inlineStr">
        <is>
          <t>Geoff St. Marie</t>
        </is>
      </c>
      <c r="D136" s="26" t="n">
        <v>43903</v>
      </c>
      <c r="E136" s="25" t="n">
        <v>30</v>
      </c>
      <c r="F136" s="25" t="n">
        <v>13</v>
      </c>
      <c r="G136" s="14" t="n">
        <v>0.4333</v>
      </c>
      <c r="H136" s="15" t="n">
        <v>38</v>
      </c>
      <c r="I136" s="15" t="n">
        <v>39.38</v>
      </c>
      <c r="J136" s="14" t="n">
        <v>1.0362</v>
      </c>
      <c r="K136" s="14" t="n">
        <v>4.75</v>
      </c>
      <c r="L136" s="14" t="n">
        <v>0.719</v>
      </c>
      <c r="M136" s="14" t="n">
        <v>0.92</v>
      </c>
      <c r="N136" s="27" t="inlineStr">
        <is>
          <t>0/1</t>
        </is>
      </c>
      <c r="O136" s="14" t="n">
        <v>0.75</v>
      </c>
      <c r="P136" s="15" t="n"/>
      <c r="Q136" s="15" t="n"/>
      <c r="R136" s="15" t="n">
        <v>99</v>
      </c>
      <c r="S136" s="15" t="n"/>
      <c r="T136" s="15" t="n">
        <v>5</v>
      </c>
      <c r="U136" s="15" t="n">
        <v>16</v>
      </c>
      <c r="V136" s="28" t="n">
        <v>45.5</v>
      </c>
      <c r="W136" t="n">
        <v>6.5</v>
      </c>
      <c r="Y136" s="9" t="n"/>
    </row>
    <row r="137" ht="16" customHeight="1">
      <c r="A137" s="24" t="inlineStr">
        <is>
          <t>Megan Hoelting</t>
        </is>
      </c>
      <c r="B137" s="25" t="inlineStr">
        <is>
          <t>Distinguished</t>
        </is>
      </c>
      <c r="C137" s="25" t="inlineStr">
        <is>
          <t>Annelies de Groot</t>
        </is>
      </c>
      <c r="D137" s="26" t="n">
        <v>45155</v>
      </c>
      <c r="E137" s="25" t="n">
        <v>12</v>
      </c>
      <c r="F137" s="25" t="n">
        <v>0.88</v>
      </c>
      <c r="G137" s="14" t="n">
        <v>0.07290000000000001</v>
      </c>
      <c r="H137" s="15" t="n">
        <v>16</v>
      </c>
      <c r="I137" s="15" t="n">
        <v>2.5</v>
      </c>
      <c r="J137" s="14" t="n">
        <v>0.1563</v>
      </c>
      <c r="K137" s="14" t="n">
        <v>1</v>
      </c>
      <c r="L137" s="14" t="n"/>
      <c r="M137" s="14" t="n">
        <v>1</v>
      </c>
      <c r="N137" s="27" t="inlineStr">
        <is>
          <t>0/0</t>
        </is>
      </c>
      <c r="O137" s="14" t="n"/>
      <c r="P137" s="15" t="n"/>
      <c r="Q137" s="15" t="n"/>
      <c r="R137" s="15" t="n">
        <v>6</v>
      </c>
      <c r="S137" s="15" t="n"/>
      <c r="T137" s="15" t="n">
        <v>0</v>
      </c>
      <c r="U137" s="15" t="n">
        <v>0</v>
      </c>
      <c r="V137" s="28" t="n">
        <v>3.5</v>
      </c>
      <c r="Y137" s="9" t="n"/>
    </row>
    <row r="138" ht="16" customHeight="1">
      <c r="A138" s="24" t="inlineStr">
        <is>
          <t>Megan Ingle</t>
        </is>
      </c>
      <c r="B138" s="25" t="inlineStr">
        <is>
          <t>Advanced</t>
        </is>
      </c>
      <c r="C138" s="25" t="inlineStr">
        <is>
          <t>Geoff St. Marie</t>
        </is>
      </c>
      <c r="D138" s="26" t="n">
        <v>46064</v>
      </c>
      <c r="E138" s="25" t="n">
        <v>12</v>
      </c>
      <c r="F138" s="25" t="n">
        <v>2</v>
      </c>
      <c r="G138" s="14" t="n">
        <v>0.1667</v>
      </c>
      <c r="H138" s="15" t="n">
        <v>16</v>
      </c>
      <c r="I138" s="15" t="n">
        <v>20</v>
      </c>
      <c r="J138" s="14" t="n">
        <v>1.25</v>
      </c>
      <c r="K138" s="14" t="n">
        <v>0.9165</v>
      </c>
      <c r="L138" s="14" t="n">
        <v>0.667</v>
      </c>
      <c r="M138" s="14" t="n">
        <v>0.857142857</v>
      </c>
      <c r="N138" s="27" t="inlineStr">
        <is>
          <t>0/1</t>
        </is>
      </c>
      <c r="O138" s="14" t="n">
        <v>0.333333333</v>
      </c>
      <c r="P138" s="15" t="n"/>
      <c r="Q138" s="15" t="n"/>
      <c r="R138" s="15" t="n">
        <v>32</v>
      </c>
      <c r="S138" s="15" t="n">
        <v>1</v>
      </c>
      <c r="T138" s="15" t="n">
        <v>1</v>
      </c>
      <c r="U138" s="15" t="n">
        <v>4</v>
      </c>
      <c r="V138" s="28" t="n">
        <v>5</v>
      </c>
      <c r="W138" t="n">
        <v>3</v>
      </c>
      <c r="Y138" s="9" t="n"/>
    </row>
    <row r="139" ht="16" customHeight="1">
      <c r="A139" s="24" t="inlineStr">
        <is>
          <t>Megan Osgood</t>
        </is>
      </c>
      <c r="B139" s="25" t="inlineStr">
        <is>
          <t>Distinguished</t>
        </is>
      </c>
      <c r="C139" s="25" t="inlineStr">
        <is>
          <t>Annelies de Groot</t>
        </is>
      </c>
      <c r="D139" s="26" t="n">
        <v>45523</v>
      </c>
      <c r="E139" s="25" t="n">
        <v>30</v>
      </c>
      <c r="F139" s="25" t="n">
        <v>12.63</v>
      </c>
      <c r="G139" s="14" t="n">
        <v>0.4208</v>
      </c>
      <c r="H139" s="15" t="n">
        <v>38</v>
      </c>
      <c r="I139" s="15" t="n">
        <v>35.75</v>
      </c>
      <c r="J139" s="14" t="n">
        <v>0.9408</v>
      </c>
      <c r="K139" s="14" t="n">
        <v>4.75</v>
      </c>
      <c r="L139" s="14" t="n">
        <v>1</v>
      </c>
      <c r="M139" s="14" t="n">
        <v>1</v>
      </c>
      <c r="N139" s="27" t="inlineStr">
        <is>
          <t>4/5</t>
        </is>
      </c>
      <c r="O139" s="14" t="n">
        <v>0.5</v>
      </c>
      <c r="P139" s="15" t="n"/>
      <c r="Q139" s="15" t="n"/>
      <c r="R139" s="15" t="n">
        <v>14</v>
      </c>
      <c r="S139" s="15" t="n"/>
      <c r="T139" s="15" t="n">
        <v>8</v>
      </c>
      <c r="U139" s="15" t="n">
        <v>16</v>
      </c>
      <c r="V139" s="28" t="n">
        <v>45.5</v>
      </c>
      <c r="W139" t="n">
        <v>5</v>
      </c>
      <c r="Y139" s="9" t="n"/>
    </row>
    <row r="140" ht="16" customHeight="1">
      <c r="A140" s="24" t="inlineStr">
        <is>
          <t>Melanie Leong</t>
        </is>
      </c>
      <c r="B140" s="25" t="inlineStr">
        <is>
          <t>Premium</t>
        </is>
      </c>
      <c r="C140" s="25" t="inlineStr">
        <is>
          <t>Kristin Haase-Alvey</t>
        </is>
      </c>
      <c r="D140" s="26" t="n">
        <v>43707</v>
      </c>
      <c r="E140" s="25" t="n">
        <v>12</v>
      </c>
      <c r="F140" s="25" t="n">
        <v>9.880000000000001</v>
      </c>
      <c r="G140" s="14" t="n">
        <v>0.8229</v>
      </c>
      <c r="H140" s="15" t="n">
        <v>16</v>
      </c>
      <c r="I140" s="15" t="n">
        <v>43.25</v>
      </c>
      <c r="J140" s="14" t="n">
        <v>2.7031</v>
      </c>
      <c r="K140" s="14" t="n">
        <v>1.7832</v>
      </c>
      <c r="L140" s="14" t="n">
        <v>1</v>
      </c>
      <c r="M140" s="14" t="n">
        <v>0.971428571</v>
      </c>
      <c r="N140" s="27" t="inlineStr">
        <is>
          <t>0/0</t>
        </is>
      </c>
      <c r="O140" s="14" t="n">
        <v>1</v>
      </c>
      <c r="P140" s="15" t="n"/>
      <c r="Q140" s="15" t="n"/>
      <c r="R140" s="15" t="n">
        <v>0</v>
      </c>
      <c r="S140" s="15" t="n"/>
      <c r="T140" s="15" t="n">
        <v>0</v>
      </c>
      <c r="U140" s="15" t="n">
        <v>6</v>
      </c>
      <c r="V140" s="28" t="n">
        <v>32.5</v>
      </c>
      <c r="W140" t="n">
        <v>7</v>
      </c>
      <c r="Y140" s="9" t="n"/>
    </row>
    <row r="141" ht="16" customHeight="1">
      <c r="A141" s="24" t="inlineStr">
        <is>
          <t>Melinda Mergendahl</t>
        </is>
      </c>
      <c r="B141" s="25" t="inlineStr">
        <is>
          <t>Distinguished</t>
        </is>
      </c>
      <c r="C141" s="25" t="inlineStr">
        <is>
          <t>Geoff St. Marie</t>
        </is>
      </c>
      <c r="D141" s="26" t="n">
        <v>42576</v>
      </c>
      <c r="E141" s="25" t="n">
        <v>20</v>
      </c>
      <c r="F141" s="25" t="n">
        <v>4</v>
      </c>
      <c r="G141" s="14" t="n">
        <v>0.2</v>
      </c>
      <c r="H141" s="15" t="n">
        <v>24</v>
      </c>
      <c r="I141" s="15" t="n">
        <v>23</v>
      </c>
      <c r="J141" s="14" t="n">
        <v>0.9583</v>
      </c>
      <c r="K141" s="14" t="n"/>
      <c r="L141" s="14" t="n">
        <v>1</v>
      </c>
      <c r="M141" s="14" t="n">
        <v>1</v>
      </c>
      <c r="N141" s="27" t="inlineStr">
        <is>
          <t>1/1</t>
        </is>
      </c>
      <c r="O141" s="14" t="n">
        <v>0.833333333</v>
      </c>
      <c r="P141" s="15" t="n"/>
      <c r="Q141" s="15" t="n"/>
      <c r="R141" s="15" t="n">
        <v>25</v>
      </c>
      <c r="S141" s="15" t="n"/>
      <c r="T141" s="15" t="n">
        <v>1</v>
      </c>
      <c r="U141" s="15" t="n">
        <v>10</v>
      </c>
      <c r="V141" s="28" t="n">
        <v>16</v>
      </c>
      <c r="Y141" s="9" t="n"/>
    </row>
    <row r="142" ht="16" customHeight="1">
      <c r="A142" s="24" t="inlineStr">
        <is>
          <t>Michelle Testerman</t>
        </is>
      </c>
      <c r="B142" s="25" t="inlineStr">
        <is>
          <t>Distinguished</t>
        </is>
      </c>
      <c r="C142" s="25" t="inlineStr">
        <is>
          <t>Ela Cross</t>
        </is>
      </c>
      <c r="D142" s="26" t="n">
        <v>45195</v>
      </c>
      <c r="E142" s="25" t="n">
        <v>12</v>
      </c>
      <c r="F142" s="25" t="n">
        <v>14.75</v>
      </c>
      <c r="G142" s="14" t="n">
        <v>1.2292</v>
      </c>
      <c r="H142" s="15" t="n">
        <v>16</v>
      </c>
      <c r="I142" s="15" t="n">
        <v>19.19</v>
      </c>
      <c r="J142" s="14" t="n">
        <v>1.1992</v>
      </c>
      <c r="K142" s="14" t="n"/>
      <c r="L142" s="14" t="n">
        <v>0.878</v>
      </c>
      <c r="M142" s="14" t="n">
        <v>1</v>
      </c>
      <c r="N142" s="27" t="inlineStr">
        <is>
          <t>2/2</t>
        </is>
      </c>
      <c r="O142" s="14" t="n">
        <v>1</v>
      </c>
      <c r="P142" s="15" t="n"/>
      <c r="Q142" s="15" t="n"/>
      <c r="R142" s="15" t="n">
        <v>208</v>
      </c>
      <c r="S142" s="15" t="n"/>
      <c r="T142" s="15" t="n">
        <v>2</v>
      </c>
      <c r="U142" s="15" t="n">
        <v>17</v>
      </c>
      <c r="V142" s="28" t="n">
        <v>54</v>
      </c>
      <c r="W142" t="n">
        <v>5</v>
      </c>
      <c r="Y142" s="9" t="n"/>
    </row>
    <row r="143" ht="16" customHeight="1">
      <c r="A143" s="24" t="inlineStr">
        <is>
          <t>Miki Cornwell</t>
        </is>
      </c>
      <c r="B143" s="25" t="inlineStr">
        <is>
          <t>Distinguished</t>
        </is>
      </c>
      <c r="C143" s="25" t="inlineStr">
        <is>
          <t>Ela Cross</t>
        </is>
      </c>
      <c r="D143" s="26" t="n">
        <v>45209</v>
      </c>
      <c r="E143" s="25" t="n">
        <v>12</v>
      </c>
      <c r="F143" s="25" t="n">
        <v>10.63</v>
      </c>
      <c r="G143" s="14" t="n">
        <v>0.8854</v>
      </c>
      <c r="H143" s="15" t="n">
        <v>16</v>
      </c>
      <c r="I143" s="15" t="n">
        <v>19.69</v>
      </c>
      <c r="J143" s="14" t="n">
        <v>1.2305</v>
      </c>
      <c r="K143" s="14" t="n">
        <v>3.6666</v>
      </c>
      <c r="L143" s="14" t="n">
        <v>1</v>
      </c>
      <c r="M143" s="14" t="n">
        <v>0.885714286</v>
      </c>
      <c r="N143" s="27" t="inlineStr">
        <is>
          <t>0/1</t>
        </is>
      </c>
      <c r="O143" s="14" t="n">
        <v>0.875</v>
      </c>
      <c r="P143" s="15" t="n">
        <v>1</v>
      </c>
      <c r="Q143" s="15" t="n">
        <v>8</v>
      </c>
      <c r="R143" s="15" t="n">
        <v>122</v>
      </c>
      <c r="S143" s="15" t="n"/>
      <c r="T143" s="15" t="n">
        <v>1</v>
      </c>
      <c r="U143" s="15" t="n">
        <v>11</v>
      </c>
      <c r="V143" s="28" t="n">
        <v>41.5</v>
      </c>
      <c r="W143" t="n">
        <v>1</v>
      </c>
      <c r="Y143" s="9" t="n"/>
    </row>
    <row r="144" ht="16" customHeight="1">
      <c r="A144" s="24" t="inlineStr">
        <is>
          <t>Myles Oldroyd</t>
        </is>
      </c>
      <c r="B144" s="25" t="inlineStr">
        <is>
          <t>Premium</t>
        </is>
      </c>
      <c r="C144" s="25" t="inlineStr">
        <is>
          <t>Ian Plamondon</t>
        </is>
      </c>
      <c r="D144" s="26" t="n">
        <v>43917</v>
      </c>
      <c r="E144" s="25" t="n">
        <v>30</v>
      </c>
      <c r="F144" s="25" t="n">
        <v>31.88</v>
      </c>
      <c r="G144" s="14" t="n">
        <v>1.0625</v>
      </c>
      <c r="H144" s="15" t="n">
        <v>38</v>
      </c>
      <c r="I144" s="15" t="n">
        <v>54.19</v>
      </c>
      <c r="J144" s="14" t="n">
        <v>1.426</v>
      </c>
      <c r="K144" s="14" t="n">
        <v>7.9999</v>
      </c>
      <c r="L144" s="14" t="n">
        <v>1</v>
      </c>
      <c r="M144" s="14" t="n">
        <v>1</v>
      </c>
      <c r="N144" s="27" t="inlineStr">
        <is>
          <t>1/8</t>
        </is>
      </c>
      <c r="O144" s="14" t="n">
        <v>0.583333333</v>
      </c>
      <c r="P144" s="15" t="n"/>
      <c r="Q144" s="15" t="n"/>
      <c r="R144" s="15" t="n">
        <v>98</v>
      </c>
      <c r="S144" s="15" t="n"/>
      <c r="T144" s="15" t="n">
        <v>12</v>
      </c>
      <c r="U144" s="15" t="n">
        <v>31</v>
      </c>
      <c r="V144" s="28" t="n">
        <v>118.5</v>
      </c>
      <c r="W144" t="n">
        <v>9</v>
      </c>
      <c r="Y144" s="9" t="n"/>
    </row>
    <row r="145" ht="16" customHeight="1">
      <c r="A145" s="24" t="inlineStr">
        <is>
          <t>Naima Chaudhry</t>
        </is>
      </c>
      <c r="B145" s="25" t="inlineStr">
        <is>
          <t>Advanced</t>
        </is>
      </c>
      <c r="C145" s="25" t="inlineStr">
        <is>
          <t>Kristin Haase-Alvey</t>
        </is>
      </c>
      <c r="D145" s="26" t="n">
        <v>46048</v>
      </c>
      <c r="E145" s="25" t="n">
        <v>12</v>
      </c>
      <c r="F145" s="25" t="n">
        <v>6</v>
      </c>
      <c r="G145" s="14" t="n">
        <v>0.5</v>
      </c>
      <c r="H145" s="15" t="n">
        <v>16</v>
      </c>
      <c r="I145" s="15" t="n">
        <v>17.69</v>
      </c>
      <c r="J145" s="14" t="n">
        <v>1.1055</v>
      </c>
      <c r="K145" s="14" t="n">
        <v>1.8333</v>
      </c>
      <c r="L145" s="14" t="n">
        <v>0.667</v>
      </c>
      <c r="M145" s="14" t="n">
        <v>0.913043478</v>
      </c>
      <c r="N145" s="27" t="inlineStr">
        <is>
          <t>1/1</t>
        </is>
      </c>
      <c r="O145" s="14" t="n">
        <v>0.5</v>
      </c>
      <c r="P145" s="15" t="n"/>
      <c r="Q145" s="15" t="n"/>
      <c r="R145" s="15" t="n">
        <v>40</v>
      </c>
      <c r="S145" s="15" t="n">
        <v>8</v>
      </c>
      <c r="T145" s="15" t="n">
        <v>1</v>
      </c>
      <c r="U145" s="15" t="n">
        <v>7</v>
      </c>
      <c r="V145" s="28" t="n">
        <v>23</v>
      </c>
      <c r="W145" t="n">
        <v>1</v>
      </c>
      <c r="Y145" s="9" t="n"/>
    </row>
    <row r="146" ht="16" customHeight="1">
      <c r="A146" s="24" t="inlineStr">
        <is>
          <t>Nando Reyes</t>
        </is>
      </c>
      <c r="B146" s="25" t="inlineStr">
        <is>
          <t>Distinguished</t>
        </is>
      </c>
      <c r="C146" s="25" t="inlineStr">
        <is>
          <t>Geoff St. Marie</t>
        </is>
      </c>
      <c r="D146" s="26" t="n">
        <v>44600</v>
      </c>
      <c r="E146" s="25" t="n">
        <v>35</v>
      </c>
      <c r="F146" s="25" t="n">
        <v>19.25</v>
      </c>
      <c r="G146" s="14" t="n">
        <v>0.55</v>
      </c>
      <c r="H146" s="15" t="n">
        <v>43</v>
      </c>
      <c r="I146" s="15" t="n">
        <v>50.25</v>
      </c>
      <c r="J146" s="14" t="n">
        <v>1.1686</v>
      </c>
      <c r="K146" s="14" t="n">
        <v>8</v>
      </c>
      <c r="L146" s="14" t="n">
        <v>0.976</v>
      </c>
      <c r="M146" s="14" t="n">
        <v>1</v>
      </c>
      <c r="N146" s="27" t="inlineStr">
        <is>
          <t>2/4</t>
        </is>
      </c>
      <c r="O146" s="14" t="n">
        <v>0.555555556</v>
      </c>
      <c r="P146" s="15" t="n"/>
      <c r="Q146" s="15" t="n"/>
      <c r="R146" s="15" t="n">
        <v>18</v>
      </c>
      <c r="S146" s="15" t="n"/>
      <c r="T146" s="15" t="n">
        <v>10</v>
      </c>
      <c r="U146" s="15" t="n">
        <v>20</v>
      </c>
      <c r="V146" s="28" t="n">
        <v>72</v>
      </c>
      <c r="W146" t="n">
        <v>5</v>
      </c>
      <c r="Y146" s="9" t="n"/>
    </row>
    <row r="147" ht="16" customHeight="1">
      <c r="A147" s="24" t="inlineStr">
        <is>
          <t>Nayely Rolon-Gomez</t>
        </is>
      </c>
      <c r="B147" s="25" t="inlineStr">
        <is>
          <t>Distinguished</t>
        </is>
      </c>
      <c r="C147" s="25" t="inlineStr">
        <is>
          <t>Ela Cross</t>
        </is>
      </c>
      <c r="D147" s="26" t="n">
        <v>45810</v>
      </c>
      <c r="E147" s="25" t="n">
        <v>30</v>
      </c>
      <c r="F147" s="25" t="n">
        <v>11.5</v>
      </c>
      <c r="G147" s="14" t="n">
        <v>0.3833</v>
      </c>
      <c r="H147" s="15" t="n">
        <v>38</v>
      </c>
      <c r="I147" s="15" t="n">
        <v>38.33</v>
      </c>
      <c r="J147" s="14" t="n">
        <v>1.0088</v>
      </c>
      <c r="K147" s="14" t="n"/>
      <c r="L147" s="14" t="n">
        <v>0.885</v>
      </c>
      <c r="M147" s="14" t="n">
        <v>1</v>
      </c>
      <c r="N147" s="27" t="inlineStr">
        <is>
          <t>2/2</t>
        </is>
      </c>
      <c r="O147" s="14" t="n">
        <v>0.8</v>
      </c>
      <c r="P147" s="15" t="n"/>
      <c r="Q147" s="15" t="n"/>
      <c r="R147" s="15" t="n">
        <v>86</v>
      </c>
      <c r="S147" s="15" t="n"/>
      <c r="T147" s="15" t="n">
        <v>4</v>
      </c>
      <c r="U147" s="15" t="n">
        <v>19</v>
      </c>
      <c r="V147" s="28" t="n">
        <v>45</v>
      </c>
      <c r="W147" t="n">
        <v>1</v>
      </c>
      <c r="Y147" s="9" t="n"/>
    </row>
    <row r="148" ht="16" customHeight="1">
      <c r="A148" s="24" t="inlineStr">
        <is>
          <t>Nicholas Ulfik</t>
        </is>
      </c>
      <c r="B148" s="25" t="inlineStr">
        <is>
          <t>Distinguished</t>
        </is>
      </c>
      <c r="C148" s="25" t="inlineStr">
        <is>
          <t>Kristin Haase-Alvey</t>
        </is>
      </c>
      <c r="D148" s="26" t="n">
        <v>44013</v>
      </c>
      <c r="E148" s="25" t="n">
        <v>30</v>
      </c>
      <c r="F148" s="25" t="n">
        <v>31.63</v>
      </c>
      <c r="G148" s="14" t="n">
        <v>1.0542</v>
      </c>
      <c r="H148" s="15" t="n">
        <v>38</v>
      </c>
      <c r="I148" s="15" t="n">
        <v>45.88</v>
      </c>
      <c r="J148" s="14" t="n">
        <v>1.2072</v>
      </c>
      <c r="K148" s="14" t="n">
        <v>11.4499</v>
      </c>
      <c r="L148" s="14" t="n">
        <v>1</v>
      </c>
      <c r="M148" s="14" t="n">
        <v>0.9916666669999999</v>
      </c>
      <c r="N148" s="27" t="inlineStr">
        <is>
          <t>6/6</t>
        </is>
      </c>
      <c r="O148" s="14" t="n">
        <v>0.85</v>
      </c>
      <c r="P148" s="15" t="n"/>
      <c r="Q148" s="15" t="n"/>
      <c r="R148" s="15" t="n">
        <v>51</v>
      </c>
      <c r="S148" s="15" t="n"/>
      <c r="T148" s="15" t="n">
        <v>7</v>
      </c>
      <c r="U148" s="15" t="n">
        <v>28</v>
      </c>
      <c r="V148" s="28" t="n">
        <v>117.5</v>
      </c>
      <c r="W148" t="n">
        <v>9</v>
      </c>
      <c r="Y148" s="9" t="n"/>
    </row>
    <row r="149" ht="16" customHeight="1">
      <c r="A149" s="24" t="inlineStr">
        <is>
          <t>Nick Kocik</t>
        </is>
      </c>
      <c r="B149" s="25" t="inlineStr">
        <is>
          <t>Distinguished</t>
        </is>
      </c>
      <c r="C149" s="25" t="inlineStr">
        <is>
          <t>Ela Cross</t>
        </is>
      </c>
      <c r="D149" s="26" t="n">
        <v>45959</v>
      </c>
      <c r="E149" s="25" t="n">
        <v>30</v>
      </c>
      <c r="F149" s="25" t="n">
        <v>17.75</v>
      </c>
      <c r="G149" s="14" t="n">
        <v>0.5917</v>
      </c>
      <c r="H149" s="15" t="n">
        <v>38</v>
      </c>
      <c r="I149" s="15" t="n">
        <v>38.81</v>
      </c>
      <c r="J149" s="14" t="n">
        <v>1.0214</v>
      </c>
      <c r="K149" s="14" t="n">
        <v>5.4997</v>
      </c>
      <c r="L149" s="14" t="n">
        <v>0.9330000000000001</v>
      </c>
      <c r="M149" s="14" t="n">
        <v>0.983333333</v>
      </c>
      <c r="N149" s="27" t="inlineStr">
        <is>
          <t>5/6</t>
        </is>
      </c>
      <c r="O149" s="14" t="n">
        <v>0.444444444</v>
      </c>
      <c r="P149" s="15" t="n"/>
      <c r="Q149" s="15" t="n"/>
      <c r="R149" s="15" t="n">
        <v>132</v>
      </c>
      <c r="S149" s="15" t="n"/>
      <c r="T149" s="15" t="n">
        <v>9</v>
      </c>
      <c r="U149" s="15" t="n">
        <v>21</v>
      </c>
      <c r="V149" s="28" t="n">
        <v>68</v>
      </c>
      <c r="W149" t="n">
        <v>3</v>
      </c>
      <c r="Y149" s="9" t="n"/>
    </row>
    <row r="150" ht="16" customHeight="1">
      <c r="A150" s="24" t="inlineStr">
        <is>
          <t>Nick Lucido</t>
        </is>
      </c>
      <c r="B150" s="25" t="inlineStr">
        <is>
          <t>Distinguished</t>
        </is>
      </c>
      <c r="C150" s="25" t="inlineStr">
        <is>
          <t>Kristin Haase-Alvey</t>
        </is>
      </c>
      <c r="D150" s="26" t="n">
        <v>45712</v>
      </c>
      <c r="E150" s="25" t="n">
        <v>35</v>
      </c>
      <c r="F150" s="25" t="n">
        <v>32.75</v>
      </c>
      <c r="G150" s="14" t="n">
        <v>0.9357</v>
      </c>
      <c r="H150" s="15" t="n">
        <v>43</v>
      </c>
      <c r="I150" s="15" t="n">
        <v>49.06</v>
      </c>
      <c r="J150" s="14" t="n">
        <v>1.141</v>
      </c>
      <c r="K150" s="14" t="n">
        <v>6.5</v>
      </c>
      <c r="L150" s="14" t="n">
        <v>0.904</v>
      </c>
      <c r="M150" s="14" t="n">
        <v>0.991525424</v>
      </c>
      <c r="N150" s="27" t="inlineStr">
        <is>
          <t>1/4</t>
        </is>
      </c>
      <c r="O150" s="14" t="n">
        <v>0.739130435</v>
      </c>
      <c r="P150" s="15" t="n"/>
      <c r="Q150" s="15" t="n"/>
      <c r="R150" s="15" t="n">
        <v>196</v>
      </c>
      <c r="S150" s="15" t="n">
        <v>3</v>
      </c>
      <c r="T150" s="15" t="n">
        <v>7</v>
      </c>
      <c r="U150" s="15" t="n">
        <v>34</v>
      </c>
      <c r="V150" s="28" t="n">
        <v>113</v>
      </c>
      <c r="W150" t="n">
        <v>18</v>
      </c>
      <c r="Y150" s="9" t="n"/>
    </row>
    <row r="151" ht="16" customHeight="1">
      <c r="A151" s="24" t="inlineStr">
        <is>
          <t>Nicole Bishop</t>
        </is>
      </c>
      <c r="B151" s="25" t="inlineStr">
        <is>
          <t>Distinguished</t>
        </is>
      </c>
      <c r="C151" s="25" t="inlineStr">
        <is>
          <t>Ela Cross</t>
        </is>
      </c>
      <c r="D151" s="26" t="n">
        <v>45775</v>
      </c>
      <c r="E151" s="25" t="n">
        <v>30</v>
      </c>
      <c r="F151" s="25" t="n">
        <v>33.25</v>
      </c>
      <c r="G151" s="14" t="n">
        <v>1.1083</v>
      </c>
      <c r="H151" s="15" t="n">
        <v>38</v>
      </c>
      <c r="I151" s="15" t="n">
        <v>43.69</v>
      </c>
      <c r="J151" s="14" t="n">
        <v>1.1497</v>
      </c>
      <c r="K151" s="14" t="n">
        <v>1.75</v>
      </c>
      <c r="L151" s="14" t="n">
        <v>0.914</v>
      </c>
      <c r="M151" s="14" t="n">
        <v>0.968253968</v>
      </c>
      <c r="N151" s="27" t="inlineStr">
        <is>
          <t>0/7</t>
        </is>
      </c>
      <c r="O151" s="14" t="n">
        <v>0.526315789</v>
      </c>
      <c r="P151" s="15" t="n"/>
      <c r="Q151" s="15" t="n"/>
      <c r="R151" s="15" t="n">
        <v>288</v>
      </c>
      <c r="S151" s="15" t="n"/>
      <c r="T151" s="15" t="n">
        <v>11</v>
      </c>
      <c r="U151" s="15" t="n">
        <v>32</v>
      </c>
      <c r="V151" s="28" t="n">
        <v>124</v>
      </c>
      <c r="W151" t="n">
        <v>9</v>
      </c>
      <c r="Y151" s="9" t="n"/>
    </row>
    <row r="152" ht="16" customHeight="1">
      <c r="A152" s="24" t="inlineStr">
        <is>
          <t>Nik Kososik</t>
        </is>
      </c>
      <c r="B152" s="25" t="inlineStr">
        <is>
          <t>Distinguished</t>
        </is>
      </c>
      <c r="C152" s="25" t="inlineStr">
        <is>
          <t>Geoff St. Marie</t>
        </is>
      </c>
      <c r="D152" s="26" t="n">
        <v>44642</v>
      </c>
      <c r="E152" s="25" t="n">
        <v>20</v>
      </c>
      <c r="F152" s="25" t="n">
        <v>8</v>
      </c>
      <c r="G152" s="14" t="n">
        <v>0.4</v>
      </c>
      <c r="H152" s="15" t="n">
        <v>24</v>
      </c>
      <c r="I152" s="15" t="n">
        <v>27.63</v>
      </c>
      <c r="J152" s="14" t="n">
        <v>1.151</v>
      </c>
      <c r="K152" s="14" t="n">
        <v>1.75</v>
      </c>
      <c r="L152" s="14" t="n">
        <v>0.9</v>
      </c>
      <c r="M152" s="14" t="n">
        <v>0.9</v>
      </c>
      <c r="N152" s="27" t="inlineStr">
        <is>
          <t>0/0</t>
        </is>
      </c>
      <c r="O152" s="14" t="n">
        <v>0.625</v>
      </c>
      <c r="P152" s="15" t="n"/>
      <c r="Q152" s="15" t="n"/>
      <c r="R152" s="15" t="n">
        <v>116</v>
      </c>
      <c r="S152" s="15" t="n"/>
      <c r="T152" s="15" t="n">
        <v>0</v>
      </c>
      <c r="U152" s="15" t="n">
        <v>8</v>
      </c>
      <c r="V152" s="28" t="n">
        <v>27</v>
      </c>
      <c r="W152" t="n">
        <v>5</v>
      </c>
      <c r="Y152" s="9" t="n"/>
    </row>
    <row r="153" ht="16" customHeight="1">
      <c r="A153" s="24" t="inlineStr">
        <is>
          <t>Nisan Hubbard</t>
        </is>
      </c>
      <c r="B153" s="25" t="inlineStr">
        <is>
          <t>Distinguished</t>
        </is>
      </c>
      <c r="C153" s="25" t="inlineStr">
        <is>
          <t>Annelies de Groot</t>
        </is>
      </c>
      <c r="D153" s="26" t="n">
        <v>45201</v>
      </c>
      <c r="E153" s="25" t="n">
        <v>20</v>
      </c>
      <c r="F153" s="25" t="n">
        <v>5</v>
      </c>
      <c r="G153" s="14" t="n">
        <v>0.25</v>
      </c>
      <c r="H153" s="15" t="n">
        <v>24</v>
      </c>
      <c r="I153" s="15" t="n">
        <v>22</v>
      </c>
      <c r="J153" s="14" t="n">
        <v>0.9167</v>
      </c>
      <c r="K153" s="14" t="n"/>
      <c r="L153" s="14" t="n">
        <v>0.786</v>
      </c>
      <c r="M153" s="14" t="n">
        <v>0.875</v>
      </c>
      <c r="N153" s="27" t="inlineStr">
        <is>
          <t>1/2</t>
        </is>
      </c>
      <c r="O153" s="14" t="n">
        <v>0</v>
      </c>
      <c r="P153" s="15" t="n"/>
      <c r="Q153" s="15" t="n"/>
      <c r="R153" s="15" t="n">
        <v>28</v>
      </c>
      <c r="S153" s="15" t="n"/>
      <c r="T153" s="15" t="n">
        <v>4</v>
      </c>
      <c r="U153" s="15" t="n">
        <v>5</v>
      </c>
      <c r="V153" s="28" t="n">
        <v>20</v>
      </c>
      <c r="Y153" s="9" t="n"/>
    </row>
    <row r="154" ht="16" customHeight="1">
      <c r="A154" s="24" t="inlineStr">
        <is>
          <t>Nisha Fletcher</t>
        </is>
      </c>
      <c r="B154" s="25" t="inlineStr">
        <is>
          <t>Advanced</t>
        </is>
      </c>
      <c r="C154" s="25" t="inlineStr">
        <is>
          <t>Kristin Haase-Alvey</t>
        </is>
      </c>
      <c r="D154" s="26" t="n">
        <v>46107</v>
      </c>
      <c r="E154" s="25" t="n">
        <v>20</v>
      </c>
      <c r="F154" s="25" t="n">
        <v>12.75</v>
      </c>
      <c r="G154" s="14" t="n">
        <v>0.6375</v>
      </c>
      <c r="H154" s="15" t="n">
        <v>24</v>
      </c>
      <c r="I154" s="15" t="n">
        <v>30.63</v>
      </c>
      <c r="J154" s="14" t="n">
        <v>1.276</v>
      </c>
      <c r="K154" s="14" t="n">
        <v>3.8333</v>
      </c>
      <c r="L154" s="14" t="n">
        <v>0.964</v>
      </c>
      <c r="M154" s="14" t="n">
        <v>0.979166667</v>
      </c>
      <c r="N154" s="27" t="inlineStr">
        <is>
          <t>4/7</t>
        </is>
      </c>
      <c r="O154" s="14" t="n">
        <v>1</v>
      </c>
      <c r="P154" s="15" t="n"/>
      <c r="Q154" s="15" t="n"/>
      <c r="R154" s="15" t="n">
        <v>68</v>
      </c>
      <c r="S154" s="15" t="n">
        <v>1</v>
      </c>
      <c r="T154" s="15" t="n">
        <v>8</v>
      </c>
      <c r="U154" s="15" t="n">
        <v>15</v>
      </c>
      <c r="V154" s="28" t="n">
        <v>44</v>
      </c>
      <c r="W154" t="n">
        <v>7</v>
      </c>
      <c r="Y154" s="9" t="n"/>
    </row>
    <row r="155" ht="16" customHeight="1">
      <c r="A155" s="24" t="inlineStr">
        <is>
          <t>Ore Williams</t>
        </is>
      </c>
      <c r="B155" s="25" t="inlineStr">
        <is>
          <t>Advanced</t>
        </is>
      </c>
      <c r="C155" s="25" t="inlineStr">
        <is>
          <t>Ela Cross</t>
        </is>
      </c>
      <c r="D155" s="26" t="n">
        <v>46027</v>
      </c>
      <c r="E155" s="25" t="n">
        <v>12</v>
      </c>
      <c r="F155" s="25" t="n">
        <v>1</v>
      </c>
      <c r="G155" s="14" t="n">
        <v>0.0833</v>
      </c>
      <c r="H155" s="15" t="n">
        <v>16</v>
      </c>
      <c r="I155" s="15" t="n">
        <v>22.06</v>
      </c>
      <c r="J155" s="14" t="n">
        <v>1.3789</v>
      </c>
      <c r="K155" s="14" t="n">
        <v>0.8331</v>
      </c>
      <c r="L155" s="14" t="n">
        <v>1</v>
      </c>
      <c r="M155" s="14" t="n">
        <v>1</v>
      </c>
      <c r="N155" s="27" t="inlineStr">
        <is>
          <t>1/1</t>
        </is>
      </c>
      <c r="O155" s="14" t="n">
        <v>1</v>
      </c>
      <c r="P155" s="15" t="n"/>
      <c r="Q155" s="15" t="n"/>
      <c r="R155" s="15" t="n">
        <v>92</v>
      </c>
      <c r="S155" s="15" t="n"/>
      <c r="T155" s="15" t="n">
        <v>1</v>
      </c>
      <c r="U155" s="15" t="n">
        <v>4</v>
      </c>
      <c r="V155" s="28" t="n">
        <v>4</v>
      </c>
      <c r="Y155" s="9" t="n"/>
    </row>
    <row r="156" ht="16" customHeight="1">
      <c r="A156" s="24" t="inlineStr">
        <is>
          <t>Parthav Elangovan</t>
        </is>
      </c>
      <c r="B156" s="25" t="inlineStr">
        <is>
          <t>Advanced</t>
        </is>
      </c>
      <c r="C156" s="25" t="inlineStr">
        <is>
          <t>Ian Plamondon</t>
        </is>
      </c>
      <c r="D156" s="26" t="n">
        <v>46087</v>
      </c>
      <c r="E156" s="25" t="n">
        <v>12</v>
      </c>
      <c r="F156" s="25" t="n">
        <v>0.75</v>
      </c>
      <c r="G156" s="14" t="n">
        <v>0.0625</v>
      </c>
      <c r="H156" s="15" t="n">
        <v>16</v>
      </c>
      <c r="I156" s="15" t="n">
        <v>16.88</v>
      </c>
      <c r="J156" s="14" t="n">
        <v>1.0547</v>
      </c>
      <c r="K156" s="14" t="n">
        <v>0.8332000000000001</v>
      </c>
      <c r="L156" s="14" t="n">
        <v>1</v>
      </c>
      <c r="M156" s="14" t="n"/>
      <c r="N156" s="27" t="inlineStr">
        <is>
          <t>0/0</t>
        </is>
      </c>
      <c r="O156" s="14" t="n">
        <v>0</v>
      </c>
      <c r="P156" s="15" t="n"/>
      <c r="Q156" s="15" t="n"/>
      <c r="R156" s="15" t="n">
        <v>44</v>
      </c>
      <c r="S156" s="15" t="n"/>
      <c r="T156" s="15" t="n">
        <v>0</v>
      </c>
      <c r="U156" s="15" t="n">
        <v>2</v>
      </c>
      <c r="V156" s="28" t="n">
        <v>2</v>
      </c>
      <c r="W156" t="n">
        <v>1</v>
      </c>
      <c r="Y156" s="9" t="n"/>
    </row>
    <row r="157" ht="16" customHeight="1">
      <c r="A157" s="24" t="inlineStr">
        <is>
          <t>Patricia Flores</t>
        </is>
      </c>
      <c r="B157" s="25" t="inlineStr">
        <is>
          <t>Distinguished</t>
        </is>
      </c>
      <c r="C157" s="25" t="inlineStr">
        <is>
          <t>Ela Cross</t>
        </is>
      </c>
      <c r="D157" s="26" t="n">
        <v>44203</v>
      </c>
      <c r="E157" s="25" t="n">
        <v>20</v>
      </c>
      <c r="F157" s="25" t="n">
        <v>8.630000000000001</v>
      </c>
      <c r="G157" s="14" t="n">
        <v>0.4313</v>
      </c>
      <c r="H157" s="15" t="n">
        <v>24</v>
      </c>
      <c r="I157" s="15" t="n">
        <v>28.5</v>
      </c>
      <c r="J157" s="14" t="n">
        <v>1.1875</v>
      </c>
      <c r="K157" s="14" t="n">
        <v>6</v>
      </c>
      <c r="L157" s="14" t="n">
        <v>1</v>
      </c>
      <c r="M157" s="14" t="n">
        <v>0.965517241</v>
      </c>
      <c r="N157" s="27" t="inlineStr">
        <is>
          <t>1/1</t>
        </is>
      </c>
      <c r="O157" s="14" t="n">
        <v>0.5</v>
      </c>
      <c r="P157" s="15" t="n"/>
      <c r="Q157" s="15" t="n"/>
      <c r="R157" s="15" t="n">
        <v>60</v>
      </c>
      <c r="S157" s="15" t="n"/>
      <c r="T157" s="15" t="n">
        <v>4</v>
      </c>
      <c r="U157" s="15" t="n">
        <v>6</v>
      </c>
      <c r="V157" s="28" t="n">
        <v>34.5</v>
      </c>
      <c r="Y157" s="9" t="n"/>
    </row>
    <row r="158" ht="16" customHeight="1">
      <c r="A158" s="24" t="inlineStr">
        <is>
          <t>Penny Russell</t>
        </is>
      </c>
      <c r="B158" s="25" t="inlineStr">
        <is>
          <t>Distinguished</t>
        </is>
      </c>
      <c r="C158" s="25" t="inlineStr">
        <is>
          <t>Ian Plamondon</t>
        </is>
      </c>
      <c r="D158" s="26" t="n">
        <v>45950</v>
      </c>
      <c r="E158" s="25" t="n">
        <v>30</v>
      </c>
      <c r="F158" s="25" t="n">
        <v>12.75</v>
      </c>
      <c r="G158" s="14" t="n">
        <v>0.425</v>
      </c>
      <c r="H158" s="15" t="n">
        <v>38</v>
      </c>
      <c r="I158" s="15" t="n">
        <v>38.5</v>
      </c>
      <c r="J158" s="14" t="n">
        <v>1.0132</v>
      </c>
      <c r="K158" s="14" t="n"/>
      <c r="L158" s="14" t="n">
        <v>0.724</v>
      </c>
      <c r="M158" s="14" t="n">
        <v>1</v>
      </c>
      <c r="N158" s="27" t="inlineStr">
        <is>
          <t>0/0</t>
        </is>
      </c>
      <c r="O158" s="14" t="n">
        <v>0.285714286</v>
      </c>
      <c r="P158" s="15" t="n"/>
      <c r="Q158" s="15" t="n"/>
      <c r="R158" s="15" t="n">
        <v>28</v>
      </c>
      <c r="S158" s="15" t="n">
        <v>13</v>
      </c>
      <c r="T158" s="15" t="n">
        <v>4</v>
      </c>
      <c r="U158" s="15" t="n">
        <v>13</v>
      </c>
      <c r="V158" s="28" t="n">
        <v>49</v>
      </c>
      <c r="W158" t="n">
        <v>2</v>
      </c>
      <c r="Y158" s="9" t="n"/>
    </row>
    <row r="159" ht="16" customHeight="1">
      <c r="A159" s="24" t="inlineStr">
        <is>
          <t>Philip Thomas</t>
        </is>
      </c>
      <c r="B159" s="25" t="inlineStr">
        <is>
          <t>Premium</t>
        </is>
      </c>
      <c r="C159" s="25" t="inlineStr">
        <is>
          <t>Annelies de Groot</t>
        </is>
      </c>
      <c r="D159" s="26" t="n">
        <v>39826</v>
      </c>
      <c r="E159" s="25" t="n">
        <v>30</v>
      </c>
      <c r="F159" s="25" t="n">
        <v>34.38</v>
      </c>
      <c r="G159" s="14" t="n">
        <v>1.1458</v>
      </c>
      <c r="H159" s="15" t="n">
        <v>38</v>
      </c>
      <c r="I159" s="15" t="n">
        <v>48</v>
      </c>
      <c r="J159" s="14" t="n">
        <v>1.2632</v>
      </c>
      <c r="K159" s="14" t="n"/>
      <c r="L159" s="14" t="n">
        <v>0.672</v>
      </c>
      <c r="M159" s="14" t="n">
        <v>0.658333333</v>
      </c>
      <c r="N159" s="27" t="inlineStr">
        <is>
          <t>0/11</t>
        </is>
      </c>
      <c r="O159" s="14" t="n">
        <v>0.117647059</v>
      </c>
      <c r="P159" s="15" t="n"/>
      <c r="Q159" s="15" t="n"/>
      <c r="R159" s="15" t="n">
        <v>150</v>
      </c>
      <c r="S159" s="15" t="n">
        <v>0</v>
      </c>
      <c r="T159" s="15" t="n">
        <v>15</v>
      </c>
      <c r="U159" s="15" t="n">
        <v>33</v>
      </c>
      <c r="V159" s="28" t="n">
        <v>124</v>
      </c>
      <c r="W159" t="n">
        <v>13.5</v>
      </c>
      <c r="Y159" s="9" t="n"/>
    </row>
    <row r="160" ht="16" customHeight="1">
      <c r="A160" s="24" t="inlineStr">
        <is>
          <t>Preston Peoples</t>
        </is>
      </c>
      <c r="B160" s="25" t="inlineStr">
        <is>
          <t>Distinguished</t>
        </is>
      </c>
      <c r="C160" s="25" t="inlineStr">
        <is>
          <t>Annelies de Groot</t>
        </is>
      </c>
      <c r="D160" s="26" t="n">
        <v>45315</v>
      </c>
      <c r="E160" s="25" t="n">
        <v>30</v>
      </c>
      <c r="F160" s="25" t="n">
        <v>20.88</v>
      </c>
      <c r="G160" s="14" t="n">
        <v>0.6958</v>
      </c>
      <c r="H160" s="15" t="n">
        <v>38</v>
      </c>
      <c r="I160" s="15" t="n">
        <v>40.56</v>
      </c>
      <c r="J160" s="14" t="n">
        <v>1.0674</v>
      </c>
      <c r="K160" s="14" t="n">
        <v>15.75</v>
      </c>
      <c r="L160" s="14" t="n">
        <v>1</v>
      </c>
      <c r="M160" s="14" t="n">
        <v>0.945945946</v>
      </c>
      <c r="N160" s="27" t="inlineStr">
        <is>
          <t>7/12</t>
        </is>
      </c>
      <c r="O160" s="14" t="n">
        <v>0.444444444</v>
      </c>
      <c r="P160" s="15" t="n"/>
      <c r="Q160" s="15" t="n"/>
      <c r="R160" s="15" t="n">
        <v>157</v>
      </c>
      <c r="S160" s="15" t="n"/>
      <c r="T160" s="15" t="n">
        <v>17</v>
      </c>
      <c r="U160" s="15" t="n">
        <v>26</v>
      </c>
      <c r="V160" s="28" t="n">
        <v>80.5</v>
      </c>
      <c r="W160" t="n">
        <v>3</v>
      </c>
      <c r="Y160" s="9" t="n"/>
    </row>
    <row r="161" ht="16" customHeight="1">
      <c r="A161" s="24" t="inlineStr">
        <is>
          <t>Q. MonÃ©t Travis</t>
        </is>
      </c>
      <c r="B161" s="25" t="inlineStr">
        <is>
          <t>Distinguished</t>
        </is>
      </c>
      <c r="C161" s="25" t="inlineStr">
        <is>
          <t>Ela Cross</t>
        </is>
      </c>
      <c r="D161" s="26" t="n">
        <v>45201</v>
      </c>
      <c r="E161" s="25" t="n">
        <v>20</v>
      </c>
      <c r="F161" s="25" t="n">
        <v>14.75</v>
      </c>
      <c r="G161" s="14" t="n">
        <v>0.7375</v>
      </c>
      <c r="H161" s="15" t="n">
        <v>24</v>
      </c>
      <c r="I161" s="15" t="n">
        <v>28.63</v>
      </c>
      <c r="J161" s="14" t="n">
        <v>1.1927</v>
      </c>
      <c r="K161" s="14" t="n"/>
      <c r="L161" s="14" t="n">
        <v>1</v>
      </c>
      <c r="M161" s="14" t="n">
        <v>0.963636364</v>
      </c>
      <c r="N161" s="27" t="inlineStr">
        <is>
          <t>0/0</t>
        </is>
      </c>
      <c r="O161" s="14" t="n">
        <v>1</v>
      </c>
      <c r="P161" s="15" t="n"/>
      <c r="Q161" s="15" t="n"/>
      <c r="R161" s="15" t="n">
        <v>148</v>
      </c>
      <c r="S161" s="15" t="n"/>
      <c r="T161" s="15" t="n">
        <v>1</v>
      </c>
      <c r="U161" s="15" t="n">
        <v>19</v>
      </c>
      <c r="V161" s="28" t="n">
        <v>47</v>
      </c>
      <c r="W161" t="n">
        <v>12</v>
      </c>
      <c r="Y161" s="9" t="n"/>
    </row>
    <row r="162" ht="16" customHeight="1">
      <c r="A162" s="24" t="inlineStr">
        <is>
          <t>Rafi Overton</t>
        </is>
      </c>
      <c r="B162" s="25" t="inlineStr">
        <is>
          <t>Distinguished</t>
        </is>
      </c>
      <c r="C162" s="25" t="inlineStr">
        <is>
          <t>Geoff St. Marie</t>
        </is>
      </c>
      <c r="D162" s="26" t="n">
        <v>46034</v>
      </c>
      <c r="E162" s="25" t="n">
        <v>30</v>
      </c>
      <c r="F162" s="25" t="n">
        <v>24.25</v>
      </c>
      <c r="G162" s="14" t="n">
        <v>0.8083</v>
      </c>
      <c r="H162" s="15" t="n">
        <v>38</v>
      </c>
      <c r="I162" s="15" t="n">
        <v>45</v>
      </c>
      <c r="J162" s="14" t="n">
        <v>1.1842</v>
      </c>
      <c r="K162" s="14" t="n">
        <v>1</v>
      </c>
      <c r="L162" s="14" t="n">
        <v>0.78</v>
      </c>
      <c r="M162" s="14" t="n">
        <v>0.933333333</v>
      </c>
      <c r="N162" s="27" t="inlineStr">
        <is>
          <t>0/7</t>
        </is>
      </c>
      <c r="O162" s="14" t="n">
        <v>0.6</v>
      </c>
      <c r="P162" s="15" t="n">
        <v>1</v>
      </c>
      <c r="Q162" s="15" t="n">
        <v>10</v>
      </c>
      <c r="R162" s="15" t="n">
        <v>78</v>
      </c>
      <c r="S162" s="15" t="n"/>
      <c r="T162" s="15" t="n">
        <v>15</v>
      </c>
      <c r="U162" s="15" t="n">
        <v>30</v>
      </c>
      <c r="V162" s="28" t="n">
        <v>77</v>
      </c>
      <c r="W162" t="n">
        <v>20</v>
      </c>
      <c r="Y162" s="9" t="n"/>
    </row>
    <row r="163" ht="16" customHeight="1">
      <c r="A163" s="24" t="inlineStr">
        <is>
          <t>Rain Real</t>
        </is>
      </c>
      <c r="B163" s="25" t="inlineStr">
        <is>
          <t>Distinguished</t>
        </is>
      </c>
      <c r="C163" s="25" t="inlineStr">
        <is>
          <t>Annelies de Groot</t>
        </is>
      </c>
      <c r="D163" s="26" t="n">
        <v>46035</v>
      </c>
      <c r="E163" s="25" t="n">
        <v>30</v>
      </c>
      <c r="F163" s="25" t="n">
        <v>21</v>
      </c>
      <c r="G163" s="14" t="n">
        <v>0.7</v>
      </c>
      <c r="H163" s="15" t="n">
        <v>38</v>
      </c>
      <c r="I163" s="15" t="n">
        <v>42.06</v>
      </c>
      <c r="J163" s="14" t="n">
        <v>1.1069</v>
      </c>
      <c r="K163" s="14" t="n">
        <v>7.4994</v>
      </c>
      <c r="L163" s="14" t="n">
        <v>1</v>
      </c>
      <c r="M163" s="14" t="n">
        <v>1</v>
      </c>
      <c r="N163" s="27" t="inlineStr">
        <is>
          <t>3/3</t>
        </is>
      </c>
      <c r="O163" s="14" t="n">
        <v>0.727272727</v>
      </c>
      <c r="P163" s="15" t="n"/>
      <c r="Q163" s="15" t="n"/>
      <c r="R163" s="15" t="n">
        <v>134</v>
      </c>
      <c r="S163" s="15" t="n"/>
      <c r="T163" s="15" t="n">
        <v>7</v>
      </c>
      <c r="U163" s="15" t="n">
        <v>22</v>
      </c>
      <c r="V163" s="28" t="n">
        <v>78</v>
      </c>
      <c r="W163" t="n">
        <v>6</v>
      </c>
      <c r="Y163" s="9" t="n"/>
    </row>
    <row r="164" ht="16" customHeight="1">
      <c r="A164" s="24" t="inlineStr">
        <is>
          <t>Ralph Strope</t>
        </is>
      </c>
      <c r="B164" s="25" t="inlineStr">
        <is>
          <t>Distinguished</t>
        </is>
      </c>
      <c r="C164" s="25" t="inlineStr">
        <is>
          <t>Ela Cross</t>
        </is>
      </c>
      <c r="D164" s="26" t="n">
        <v>43507</v>
      </c>
      <c r="E164" s="25" t="n">
        <v>20</v>
      </c>
      <c r="F164" s="25" t="n">
        <v>15.5</v>
      </c>
      <c r="G164" s="14" t="n">
        <v>0.775</v>
      </c>
      <c r="H164" s="15" t="n">
        <v>24</v>
      </c>
      <c r="I164" s="15" t="n">
        <v>25.75</v>
      </c>
      <c r="J164" s="14" t="n">
        <v>1.0729</v>
      </c>
      <c r="K164" s="14" t="n">
        <v>3</v>
      </c>
      <c r="L164" s="14" t="n">
        <v>0.968</v>
      </c>
      <c r="M164" s="14" t="n">
        <v>1</v>
      </c>
      <c r="N164" s="27" t="inlineStr">
        <is>
          <t>0/2</t>
        </is>
      </c>
      <c r="O164" s="14" t="n">
        <v>0.777777778</v>
      </c>
      <c r="P164" s="15" t="n"/>
      <c r="Q164" s="15" t="n"/>
      <c r="R164" s="15" t="n">
        <v>112</v>
      </c>
      <c r="S164" s="15" t="n">
        <v>1</v>
      </c>
      <c r="T164" s="15" t="n">
        <v>3</v>
      </c>
      <c r="U164" s="15" t="n">
        <v>12</v>
      </c>
      <c r="V164" s="28" t="n">
        <v>60</v>
      </c>
      <c r="W164" t="n">
        <v>2</v>
      </c>
      <c r="Y164" s="9" t="n"/>
    </row>
    <row r="165" ht="16" customHeight="1">
      <c r="A165" s="29" t="inlineStr">
        <is>
          <t>Raymond Elliot</t>
        </is>
      </c>
      <c r="B165" s="30" t="inlineStr">
        <is>
          <t>Distinguished</t>
        </is>
      </c>
      <c r="C165" s="30" t="inlineStr">
        <is>
          <t>Kristin Haase-Alvey</t>
        </is>
      </c>
      <c r="D165" s="31" t="n">
        <v>45197</v>
      </c>
      <c r="E165" s="30" t="n">
        <v>20</v>
      </c>
      <c r="F165" s="30" t="n">
        <v>15.5</v>
      </c>
      <c r="G165" s="12" t="n">
        <v>0.775</v>
      </c>
      <c r="H165" s="9" t="n">
        <v>24</v>
      </c>
      <c r="I165" s="9" t="n">
        <v>23</v>
      </c>
      <c r="J165" s="12" t="n">
        <v>0.9583</v>
      </c>
      <c r="K165" s="12" t="n"/>
      <c r="L165" s="12" t="n">
        <v>1</v>
      </c>
      <c r="M165" s="12" t="n">
        <v>1</v>
      </c>
      <c r="N165" s="32" t="inlineStr">
        <is>
          <t>2/2</t>
        </is>
      </c>
      <c r="O165" s="12" t="n">
        <v>0.9</v>
      </c>
      <c r="P165" s="9" t="n"/>
      <c r="Q165" s="9" t="n"/>
      <c r="R165" s="9" t="n">
        <v>220</v>
      </c>
      <c r="S165" s="9" t="n"/>
      <c r="T165" s="9" t="n">
        <v>7</v>
      </c>
      <c r="U165" s="9" t="n">
        <v>23</v>
      </c>
      <c r="V165" s="28" t="n">
        <v>58</v>
      </c>
      <c r="W165" t="n">
        <v>4</v>
      </c>
      <c r="Y165" s="9" t="n"/>
    </row>
    <row r="166" ht="16" customHeight="1">
      <c r="A166" s="24" t="inlineStr">
        <is>
          <t>Raymond Serrano</t>
        </is>
      </c>
      <c r="B166" s="25" t="inlineStr">
        <is>
          <t>Distinguished</t>
        </is>
      </c>
      <c r="C166" s="25" t="inlineStr">
        <is>
          <t>Kristin Haase-Alvey</t>
        </is>
      </c>
      <c r="D166" s="26" t="n">
        <v>45789</v>
      </c>
      <c r="E166" s="25" t="n">
        <v>30</v>
      </c>
      <c r="F166" s="25" t="n">
        <v>11</v>
      </c>
      <c r="G166" s="14" t="n">
        <v>0.3667</v>
      </c>
      <c r="H166" s="15" t="n">
        <v>38</v>
      </c>
      <c r="I166" s="15" t="n">
        <v>37.88</v>
      </c>
      <c r="J166" s="14" t="n">
        <v>0.9967</v>
      </c>
      <c r="K166" s="14" t="n">
        <v>10.9146</v>
      </c>
      <c r="L166" s="14" t="n">
        <v>0.968</v>
      </c>
      <c r="M166" s="14" t="n">
        <v>0.88372093</v>
      </c>
      <c r="N166" s="27" t="inlineStr">
        <is>
          <t>2/3</t>
        </is>
      </c>
      <c r="O166" s="14" t="n">
        <v>1</v>
      </c>
      <c r="P166" s="15" t="n"/>
      <c r="Q166" s="15" t="n"/>
      <c r="R166" s="15" t="n">
        <v>80</v>
      </c>
      <c r="S166" s="15" t="n"/>
      <c r="T166" s="15" t="n">
        <v>10</v>
      </c>
      <c r="U166" s="15" t="n">
        <v>19</v>
      </c>
      <c r="V166" s="28" t="n">
        <v>42</v>
      </c>
      <c r="W166" t="n">
        <v>2</v>
      </c>
      <c r="Y166" s="9" t="n"/>
    </row>
    <row r="167" ht="16" customHeight="1">
      <c r="A167" s="24" t="inlineStr">
        <is>
          <t>Rebekah Nachian</t>
        </is>
      </c>
      <c r="B167" s="25" t="inlineStr">
        <is>
          <t>Distinguished</t>
        </is>
      </c>
      <c r="C167" s="25" t="inlineStr">
        <is>
          <t>Annelies de Groot</t>
        </is>
      </c>
      <c r="D167" s="26" t="n">
        <v>46020</v>
      </c>
      <c r="E167" s="25" t="n">
        <v>30</v>
      </c>
      <c r="F167" s="25" t="n">
        <v>14.25</v>
      </c>
      <c r="G167" s="14" t="n">
        <v>0.475</v>
      </c>
      <c r="H167" s="15" t="n">
        <v>38</v>
      </c>
      <c r="I167" s="15" t="n">
        <v>39.31</v>
      </c>
      <c r="J167" s="14" t="n">
        <v>1.0345</v>
      </c>
      <c r="K167" s="14" t="n">
        <v>23.4994</v>
      </c>
      <c r="L167" s="14" t="n">
        <v>1</v>
      </c>
      <c r="M167" s="14" t="n">
        <v>1</v>
      </c>
      <c r="N167" s="27" t="inlineStr">
        <is>
          <t>3/3</t>
        </is>
      </c>
      <c r="O167" s="14" t="n">
        <v>0.875</v>
      </c>
      <c r="P167" s="15" t="n"/>
      <c r="Q167" s="15" t="n"/>
      <c r="R167" s="15" t="n">
        <v>138</v>
      </c>
      <c r="S167" s="15" t="n"/>
      <c r="T167" s="15" t="n">
        <v>5</v>
      </c>
      <c r="U167" s="15" t="n">
        <v>17</v>
      </c>
      <c r="V167" s="28" t="n">
        <v>47.5</v>
      </c>
      <c r="W167" t="n">
        <v>9.5</v>
      </c>
      <c r="Y167" s="9" t="n"/>
    </row>
    <row r="168" ht="16" customHeight="1">
      <c r="A168" s="24" t="inlineStr">
        <is>
          <t>Rehan Zaib</t>
        </is>
      </c>
      <c r="B168" s="25" t="inlineStr">
        <is>
          <t>Distinguished</t>
        </is>
      </c>
      <c r="C168" s="25" t="inlineStr">
        <is>
          <t>Ela Cross</t>
        </is>
      </c>
      <c r="D168" s="26" t="n">
        <v>45201</v>
      </c>
      <c r="E168" s="25" t="n">
        <v>30</v>
      </c>
      <c r="F168" s="25" t="n">
        <v>29.75</v>
      </c>
      <c r="G168" s="14" t="n">
        <v>0.9917</v>
      </c>
      <c r="H168" s="15" t="n">
        <v>38</v>
      </c>
      <c r="I168" s="15" t="n">
        <v>42</v>
      </c>
      <c r="J168" s="14" t="n">
        <v>1.1053</v>
      </c>
      <c r="K168" s="14" t="n">
        <v>12</v>
      </c>
      <c r="L168" s="14" t="n">
        <v>0.971</v>
      </c>
      <c r="M168" s="14" t="n">
        <v>0.941176471</v>
      </c>
      <c r="N168" s="27" t="inlineStr">
        <is>
          <t>0/2</t>
        </is>
      </c>
      <c r="O168" s="14" t="n">
        <v>0.6</v>
      </c>
      <c r="P168" s="15" t="n"/>
      <c r="Q168" s="15" t="n"/>
      <c r="R168" s="15" t="n">
        <v>308</v>
      </c>
      <c r="S168" s="15" t="n"/>
      <c r="T168" s="15" t="n">
        <v>4</v>
      </c>
      <c r="U168" s="15" t="n">
        <v>29</v>
      </c>
      <c r="V168" s="28" t="n">
        <v>108</v>
      </c>
      <c r="W168" t="n">
        <v>11</v>
      </c>
      <c r="Y168" s="9" t="n"/>
    </row>
    <row r="169" ht="16" customHeight="1">
      <c r="A169" s="24" t="inlineStr">
        <is>
          <t>Richard Kralik</t>
        </is>
      </c>
      <c r="B169" s="25" t="inlineStr">
        <is>
          <t>Distinguished</t>
        </is>
      </c>
      <c r="C169" s="25" t="inlineStr">
        <is>
          <t>Geoff St. Marie</t>
        </is>
      </c>
      <c r="D169" s="26" t="n">
        <v>45754</v>
      </c>
      <c r="E169" s="25" t="n">
        <v>35</v>
      </c>
      <c r="F169" s="25" t="n">
        <v>19.5</v>
      </c>
      <c r="G169" s="14" t="n">
        <v>0.5571</v>
      </c>
      <c r="H169" s="15" t="n">
        <v>43</v>
      </c>
      <c r="I169" s="15" t="n">
        <v>45.25</v>
      </c>
      <c r="J169" s="14" t="n">
        <v>1.0523</v>
      </c>
      <c r="K169" s="14" t="n"/>
      <c r="L169" s="14" t="n">
        <v>0.981</v>
      </c>
      <c r="M169" s="14" t="n">
        <v>0.986486486</v>
      </c>
      <c r="N169" s="27" t="inlineStr">
        <is>
          <t>0/3</t>
        </is>
      </c>
      <c r="O169" s="14" t="n">
        <v>0.4</v>
      </c>
      <c r="P169" s="15" t="n"/>
      <c r="Q169" s="15" t="n"/>
      <c r="R169" s="15" t="n">
        <v>284</v>
      </c>
      <c r="S169" s="15" t="n"/>
      <c r="T169" s="15" t="n">
        <v>6</v>
      </c>
      <c r="U169" s="15" t="n">
        <v>23</v>
      </c>
      <c r="V169" s="28" t="n">
        <v>74</v>
      </c>
      <c r="W169" t="n">
        <v>4</v>
      </c>
      <c r="Y169" s="9" t="n"/>
    </row>
    <row r="170" ht="16" customHeight="1">
      <c r="A170" s="24" t="inlineStr">
        <is>
          <t>Ries Scerbin</t>
        </is>
      </c>
      <c r="B170" s="25" t="inlineStr">
        <is>
          <t>Distinguished</t>
        </is>
      </c>
      <c r="C170" s="25" t="inlineStr">
        <is>
          <t>Annelies de Groot</t>
        </is>
      </c>
      <c r="D170" s="26" t="n">
        <v>45198</v>
      </c>
      <c r="E170" s="25" t="n">
        <v>12</v>
      </c>
      <c r="F170" s="25" t="n">
        <v>7</v>
      </c>
      <c r="G170" s="14" t="n">
        <v>0.5833</v>
      </c>
      <c r="H170" s="15" t="n">
        <v>16</v>
      </c>
      <c r="I170" s="15" t="n">
        <v>19.25</v>
      </c>
      <c r="J170" s="14" t="n">
        <v>1.2031</v>
      </c>
      <c r="K170" s="14" t="n">
        <v>4.6665</v>
      </c>
      <c r="L170" s="14" t="n">
        <v>1</v>
      </c>
      <c r="M170" s="14" t="n">
        <v>0.851851852</v>
      </c>
      <c r="N170" s="27" t="inlineStr">
        <is>
          <t>0/0</t>
        </is>
      </c>
      <c r="O170" s="14" t="n">
        <v>0.428571429</v>
      </c>
      <c r="P170" s="15" t="n"/>
      <c r="Q170" s="15" t="n"/>
      <c r="R170" s="15" t="n">
        <v>80</v>
      </c>
      <c r="S170" s="15" t="n"/>
      <c r="T170" s="15" t="n">
        <v>0</v>
      </c>
      <c r="U170" s="15" t="n">
        <v>9</v>
      </c>
      <c r="V170" s="28" t="n">
        <v>22</v>
      </c>
      <c r="W170" t="n">
        <v>6</v>
      </c>
      <c r="Y170" s="9" t="n"/>
    </row>
    <row r="171" ht="16" customHeight="1">
      <c r="A171" s="24" t="inlineStr">
        <is>
          <t>River Nunez</t>
        </is>
      </c>
      <c r="B171" s="25" t="inlineStr">
        <is>
          <t>Distinguished</t>
        </is>
      </c>
      <c r="C171" s="25" t="inlineStr">
        <is>
          <t>Annelies de Groot</t>
        </is>
      </c>
      <c r="D171" s="26" t="n">
        <v>45791</v>
      </c>
      <c r="E171" s="25" t="n">
        <v>30</v>
      </c>
      <c r="F171" s="25" t="n">
        <v>18</v>
      </c>
      <c r="G171" s="14" t="n">
        <v>0.6</v>
      </c>
      <c r="H171" s="15" t="n">
        <v>38</v>
      </c>
      <c r="I171" s="15" t="n">
        <v>39.31</v>
      </c>
      <c r="J171" s="14" t="n">
        <v>1.0345</v>
      </c>
      <c r="K171" s="14" t="n">
        <v>6.6662</v>
      </c>
      <c r="L171" s="14" t="n">
        <v>1</v>
      </c>
      <c r="M171" s="14" t="n">
        <v>0.953125</v>
      </c>
      <c r="N171" s="27" t="inlineStr">
        <is>
          <t>4/4</t>
        </is>
      </c>
      <c r="O171" s="14" t="n">
        <v>0.833333333</v>
      </c>
      <c r="P171" s="15" t="n"/>
      <c r="Q171" s="15" t="n"/>
      <c r="R171" s="15" t="n">
        <v>112</v>
      </c>
      <c r="S171" s="15" t="n"/>
      <c r="T171" s="15" t="n">
        <v>6</v>
      </c>
      <c r="U171" s="15" t="n">
        <v>20</v>
      </c>
      <c r="V171" s="28" t="n">
        <v>66</v>
      </c>
      <c r="W171" t="n">
        <v>6</v>
      </c>
      <c r="Y171" s="9" t="n"/>
    </row>
    <row r="172" ht="16" customHeight="1">
      <c r="A172" s="24" t="inlineStr">
        <is>
          <t>Robert Nantze</t>
        </is>
      </c>
      <c r="B172" s="25" t="inlineStr">
        <is>
          <t>Distinguished</t>
        </is>
      </c>
      <c r="C172" s="25" t="inlineStr">
        <is>
          <t>Ela Cross</t>
        </is>
      </c>
      <c r="D172" s="26" t="n">
        <v>45822</v>
      </c>
      <c r="E172" s="25" t="n">
        <v>30</v>
      </c>
      <c r="F172" s="25" t="n">
        <v>20.5</v>
      </c>
      <c r="G172" s="14" t="n">
        <v>0.6833</v>
      </c>
      <c r="H172" s="15" t="n">
        <v>38</v>
      </c>
      <c r="I172" s="15" t="n">
        <v>41.25</v>
      </c>
      <c r="J172" s="14" t="n">
        <v>1.0855</v>
      </c>
      <c r="K172" s="14" t="n">
        <v>4</v>
      </c>
      <c r="L172" s="14" t="n">
        <v>0.975</v>
      </c>
      <c r="M172" s="14" t="n">
        <v>0.975609756</v>
      </c>
      <c r="N172" s="27" t="inlineStr">
        <is>
          <t>1/4</t>
        </is>
      </c>
      <c r="O172" s="14" t="n">
        <v>0.545454545</v>
      </c>
      <c r="P172" s="15" t="n"/>
      <c r="Q172" s="15" t="n"/>
      <c r="R172" s="15" t="n">
        <v>112</v>
      </c>
      <c r="S172" s="15" t="n"/>
      <c r="T172" s="15" t="n">
        <v>11</v>
      </c>
      <c r="U172" s="15" t="n">
        <v>22</v>
      </c>
      <c r="V172" s="28" t="n">
        <v>78</v>
      </c>
      <c r="W172" t="n">
        <v>4</v>
      </c>
      <c r="Y172" s="9" t="n"/>
    </row>
    <row r="173" ht="16" customHeight="1">
      <c r="A173" s="24" t="inlineStr">
        <is>
          <t>Ruben Dorador</t>
        </is>
      </c>
      <c r="B173" s="25" t="inlineStr">
        <is>
          <t>Distinguished</t>
        </is>
      </c>
      <c r="C173" s="25" t="inlineStr">
        <is>
          <t>Nikki Pencak</t>
        </is>
      </c>
      <c r="D173" s="26" t="n">
        <v>46199</v>
      </c>
      <c r="E173" s="25" t="n">
        <v>35</v>
      </c>
      <c r="F173" s="25" t="n">
        <v>1.67</v>
      </c>
      <c r="G173" s="14" t="n">
        <v>0.0476</v>
      </c>
      <c r="H173" s="15" t="n">
        <v>43</v>
      </c>
      <c r="I173" s="15" t="n">
        <v>34.88</v>
      </c>
      <c r="J173" s="14" t="n">
        <v>0.8110000000000001</v>
      </c>
      <c r="K173" s="14" t="n">
        <v>1.5</v>
      </c>
      <c r="L173" s="14" t="n">
        <v>0</v>
      </c>
      <c r="M173" s="14" t="n">
        <v>1</v>
      </c>
      <c r="N173" s="27" t="inlineStr">
        <is>
          <t>1/1</t>
        </is>
      </c>
      <c r="O173" s="14" t="n"/>
      <c r="P173" s="15" t="n"/>
      <c r="Q173" s="15" t="n"/>
      <c r="R173" s="15" t="n">
        <v>4</v>
      </c>
      <c r="S173" s="15" t="n"/>
      <c r="T173" s="15" t="n">
        <v>3</v>
      </c>
      <c r="U173" s="15" t="n">
        <v>3</v>
      </c>
      <c r="V173" s="28" t="n">
        <v>4</v>
      </c>
      <c r="W173" t="n">
        <v>1</v>
      </c>
      <c r="Y173" s="9" t="n"/>
    </row>
    <row r="174" ht="16" customHeight="1">
      <c r="A174" s="24" t="inlineStr">
        <is>
          <t>Samantha Wetz</t>
        </is>
      </c>
      <c r="B174" s="25" t="inlineStr">
        <is>
          <t>Premium</t>
        </is>
      </c>
      <c r="C174" s="25" t="inlineStr">
        <is>
          <t>Ian Plamondon</t>
        </is>
      </c>
      <c r="D174" s="26" t="n">
        <v>44775</v>
      </c>
      <c r="E174" s="25" t="n">
        <v>35</v>
      </c>
      <c r="F174" s="25" t="n">
        <v>20.13</v>
      </c>
      <c r="G174" s="14" t="n">
        <v>0.575</v>
      </c>
      <c r="H174" s="15" t="n">
        <v>43</v>
      </c>
      <c r="I174" s="15" t="n">
        <v>50.56</v>
      </c>
      <c r="J174" s="14" t="n">
        <v>1.1759</v>
      </c>
      <c r="K174" s="14" t="n">
        <v>5.5</v>
      </c>
      <c r="L174" s="14" t="n">
        <v>1</v>
      </c>
      <c r="M174" s="14" t="n">
        <v>1</v>
      </c>
      <c r="N174" s="27" t="inlineStr">
        <is>
          <t>7/11</t>
        </is>
      </c>
      <c r="O174" s="14" t="n">
        <v>0.5</v>
      </c>
      <c r="P174" s="15" t="n"/>
      <c r="Q174" s="15" t="n"/>
      <c r="R174" s="15" t="n">
        <v>58</v>
      </c>
      <c r="S174" s="15" t="n"/>
      <c r="T174" s="15" t="n">
        <v>17</v>
      </c>
      <c r="U174" s="15" t="n">
        <v>30</v>
      </c>
      <c r="V174" s="28" t="n">
        <v>78.5</v>
      </c>
      <c r="W174" t="n">
        <v>2</v>
      </c>
      <c r="Y174" s="9" t="n"/>
    </row>
    <row r="175" ht="16" customHeight="1">
      <c r="A175" s="24" t="inlineStr">
        <is>
          <t>Sarah Goodstein</t>
        </is>
      </c>
      <c r="B175" s="25" t="inlineStr">
        <is>
          <t>Distinguished</t>
        </is>
      </c>
      <c r="C175" s="25" t="inlineStr">
        <is>
          <t>Kristin Haase-Alvey</t>
        </is>
      </c>
      <c r="D175" s="26" t="n">
        <v>45876</v>
      </c>
      <c r="E175" s="25" t="n">
        <v>30</v>
      </c>
      <c r="F175" s="25" t="n">
        <v>28.5</v>
      </c>
      <c r="G175" s="14" t="n">
        <v>0.95</v>
      </c>
      <c r="H175" s="15" t="n">
        <v>38</v>
      </c>
      <c r="I175" s="15" t="n">
        <v>37.13</v>
      </c>
      <c r="J175" s="14" t="n">
        <v>0.977</v>
      </c>
      <c r="K175" s="14" t="n">
        <v>5.5</v>
      </c>
      <c r="L175" s="14" t="n">
        <v>0.9419999999999999</v>
      </c>
      <c r="M175" s="14" t="n">
        <v>0.98</v>
      </c>
      <c r="N175" s="27" t="inlineStr">
        <is>
          <t>0/3</t>
        </is>
      </c>
      <c r="O175" s="14" t="n">
        <v>0.714285714</v>
      </c>
      <c r="P175" s="15" t="n"/>
      <c r="Q175" s="15" t="n"/>
      <c r="R175" s="15" t="n">
        <v>271</v>
      </c>
      <c r="S175" s="15" t="n"/>
      <c r="T175" s="15" t="n">
        <v>5</v>
      </c>
      <c r="U175" s="15" t="n">
        <v>22</v>
      </c>
      <c r="V175" s="28" t="n">
        <v>109</v>
      </c>
      <c r="W175" t="n">
        <v>5</v>
      </c>
      <c r="Y175" s="9" t="n"/>
    </row>
    <row r="176" ht="16" customHeight="1">
      <c r="A176" s="24" t="inlineStr">
        <is>
          <t>Savannah Padgett</t>
        </is>
      </c>
      <c r="B176" s="25" t="inlineStr">
        <is>
          <t>Distinguished</t>
        </is>
      </c>
      <c r="C176" s="25" t="inlineStr">
        <is>
          <t>Kristin Haase-Alvey</t>
        </is>
      </c>
      <c r="D176" s="26" t="n">
        <v>46132</v>
      </c>
      <c r="E176" s="25" t="n">
        <v>35</v>
      </c>
      <c r="F176" s="25" t="n">
        <v>33.25</v>
      </c>
      <c r="G176" s="14" t="n">
        <v>0.95</v>
      </c>
      <c r="H176" s="15" t="n">
        <v>43</v>
      </c>
      <c r="I176" s="15" t="n">
        <v>48.56</v>
      </c>
      <c r="J176" s="14" t="n">
        <v>1.1294</v>
      </c>
      <c r="K176" s="14" t="n">
        <v>13.9166</v>
      </c>
      <c r="L176" s="14" t="n">
        <v>0.988</v>
      </c>
      <c r="M176" s="14" t="n">
        <v>0.992248062</v>
      </c>
      <c r="N176" s="27" t="inlineStr">
        <is>
          <t>5/12</t>
        </is>
      </c>
      <c r="O176" s="14" t="n">
        <v>0.769230769</v>
      </c>
      <c r="P176" s="15" t="n"/>
      <c r="Q176" s="15" t="n"/>
      <c r="R176" s="15" t="n">
        <v>184</v>
      </c>
      <c r="S176" s="15" t="n"/>
      <c r="T176" s="15" t="n">
        <v>30</v>
      </c>
      <c r="U176" s="15" t="n">
        <v>40</v>
      </c>
      <c r="V176" s="28" t="n">
        <v>122</v>
      </c>
      <c r="W176" t="n">
        <v>11</v>
      </c>
      <c r="Y176" s="9" t="n"/>
    </row>
    <row r="177" ht="16" customHeight="1">
      <c r="A177" s="24" t="inlineStr">
        <is>
          <t>Scott Boyd</t>
        </is>
      </c>
      <c r="B177" s="25" t="inlineStr">
        <is>
          <t>Premium</t>
        </is>
      </c>
      <c r="C177" s="25" t="inlineStr">
        <is>
          <t>Geoff St. Marie</t>
        </is>
      </c>
      <c r="D177" s="26" t="n">
        <v>45176</v>
      </c>
      <c r="E177" s="25" t="n">
        <v>12</v>
      </c>
      <c r="F177" s="25" t="n">
        <v>2.13</v>
      </c>
      <c r="G177" s="14" t="n">
        <v>0.1771</v>
      </c>
      <c r="H177" s="15" t="n">
        <v>16</v>
      </c>
      <c r="I177" s="15" t="n">
        <v>18.25</v>
      </c>
      <c r="J177" s="14" t="n">
        <v>1.1406</v>
      </c>
      <c r="K177" s="14" t="n">
        <v>0.1666</v>
      </c>
      <c r="L177" s="14" t="n">
        <v>1</v>
      </c>
      <c r="M177" s="14" t="n">
        <v>1</v>
      </c>
      <c r="N177" s="27" t="inlineStr">
        <is>
          <t>0/0</t>
        </is>
      </c>
      <c r="O177" s="14" t="n">
        <v>1</v>
      </c>
      <c r="P177" s="15" t="n"/>
      <c r="Q177" s="15" t="n"/>
      <c r="R177" s="15" t="n">
        <v>16</v>
      </c>
      <c r="S177" s="15" t="n"/>
      <c r="T177" s="15" t="n">
        <v>1</v>
      </c>
      <c r="U177" s="15" t="n">
        <v>2</v>
      </c>
      <c r="V177" s="28" t="n">
        <v>8.5</v>
      </c>
      <c r="Y177" s="9" t="n"/>
    </row>
    <row r="178" ht="16" customHeight="1">
      <c r="A178" s="24" t="inlineStr">
        <is>
          <t>Scott Holdcraft</t>
        </is>
      </c>
      <c r="B178" s="25" t="inlineStr">
        <is>
          <t>Distinguished</t>
        </is>
      </c>
      <c r="C178" s="25" t="inlineStr">
        <is>
          <t>Ela Cross</t>
        </is>
      </c>
      <c r="D178" s="26" t="n">
        <v>45296</v>
      </c>
      <c r="E178" s="25" t="n">
        <v>30</v>
      </c>
      <c r="F178" s="25" t="n">
        <v>11.75</v>
      </c>
      <c r="G178" s="14" t="n">
        <v>0.3917</v>
      </c>
      <c r="H178" s="15" t="n">
        <v>38</v>
      </c>
      <c r="I178" s="15" t="n">
        <v>39.44</v>
      </c>
      <c r="J178" s="14" t="n">
        <v>1.0378</v>
      </c>
      <c r="K178" s="14" t="n"/>
      <c r="L178" s="14" t="n">
        <v>1</v>
      </c>
      <c r="M178" s="14" t="n">
        <v>0.955555556</v>
      </c>
      <c r="N178" s="27" t="inlineStr">
        <is>
          <t>0/3</t>
        </is>
      </c>
      <c r="O178" s="14" t="n">
        <v>0.583333333</v>
      </c>
      <c r="P178" s="15" t="n"/>
      <c r="Q178" s="15" t="n"/>
      <c r="R178" s="15" t="n">
        <v>64</v>
      </c>
      <c r="S178" s="15" t="n"/>
      <c r="T178" s="15" t="n">
        <v>5</v>
      </c>
      <c r="U178" s="15" t="n">
        <v>17</v>
      </c>
      <c r="V178" s="28" t="n">
        <v>41</v>
      </c>
      <c r="W178" t="n">
        <v>6</v>
      </c>
      <c r="Y178" s="9" t="n"/>
    </row>
    <row r="179" ht="16" customHeight="1">
      <c r="A179" s="24" t="inlineStr">
        <is>
          <t>Shannon Huang</t>
        </is>
      </c>
      <c r="B179" s="25" t="inlineStr">
        <is>
          <t>Distinguished</t>
        </is>
      </c>
      <c r="C179" s="25" t="inlineStr">
        <is>
          <t>Ela Cross</t>
        </is>
      </c>
      <c r="D179" s="26" t="n">
        <v>45722</v>
      </c>
      <c r="E179" s="25" t="n">
        <v>30</v>
      </c>
      <c r="F179" s="25" t="n">
        <v>28.63</v>
      </c>
      <c r="G179" s="14" t="n">
        <v>0.9542</v>
      </c>
      <c r="H179" s="15" t="n">
        <v>38</v>
      </c>
      <c r="I179" s="15" t="n">
        <v>41.56</v>
      </c>
      <c r="J179" s="14" t="n">
        <v>1.0938</v>
      </c>
      <c r="K179" s="14" t="n">
        <v>14.6662</v>
      </c>
      <c r="L179" s="14" t="n">
        <v>0.987</v>
      </c>
      <c r="M179" s="14" t="n">
        <v>0.97752809</v>
      </c>
      <c r="N179" s="27" t="inlineStr">
        <is>
          <t>2/5</t>
        </is>
      </c>
      <c r="O179" s="14" t="n">
        <v>0.869565217</v>
      </c>
      <c r="P179" s="15" t="n"/>
      <c r="Q179" s="15" t="n"/>
      <c r="R179" s="15" t="n">
        <v>192</v>
      </c>
      <c r="S179" s="15" t="n"/>
      <c r="T179" s="15" t="n">
        <v>8</v>
      </c>
      <c r="U179" s="15" t="n">
        <v>35</v>
      </c>
      <c r="V179" s="28" t="n">
        <v>109.5</v>
      </c>
      <c r="W179" t="n">
        <v>5</v>
      </c>
      <c r="Y179" s="9" t="n"/>
    </row>
    <row r="180" ht="16" customHeight="1">
      <c r="A180" s="24" t="inlineStr">
        <is>
          <t>Sharon Vincuilla</t>
        </is>
      </c>
      <c r="B180" s="25" t="inlineStr">
        <is>
          <t>Distinguished</t>
        </is>
      </c>
      <c r="C180" s="25" t="inlineStr">
        <is>
          <t>Annelies de Groot</t>
        </is>
      </c>
      <c r="D180" s="26" t="n">
        <v>45201</v>
      </c>
      <c r="E180" s="25" t="n">
        <v>12</v>
      </c>
      <c r="F180" s="25" t="n">
        <v>9.5</v>
      </c>
      <c r="G180" s="14" t="n">
        <v>0.7917</v>
      </c>
      <c r="H180" s="15" t="n">
        <v>16</v>
      </c>
      <c r="I180" s="15" t="n">
        <v>20.81</v>
      </c>
      <c r="J180" s="14" t="n">
        <v>1.3008</v>
      </c>
      <c r="K180" s="14" t="n">
        <v>11.333</v>
      </c>
      <c r="L180" s="14" t="n">
        <v>1</v>
      </c>
      <c r="M180" s="14" t="n">
        <v>1</v>
      </c>
      <c r="N180" s="27" t="inlineStr">
        <is>
          <t>1/1</t>
        </is>
      </c>
      <c r="O180" s="14" t="n">
        <v>1</v>
      </c>
      <c r="P180" s="15" t="n"/>
      <c r="Q180" s="15" t="n"/>
      <c r="R180" s="15" t="n">
        <v>84</v>
      </c>
      <c r="S180" s="15" t="n"/>
      <c r="T180" s="15" t="n">
        <v>2</v>
      </c>
      <c r="U180" s="15" t="n">
        <v>11</v>
      </c>
      <c r="V180" s="28" t="n">
        <v>36</v>
      </c>
      <c r="W180" t="n">
        <v>2</v>
      </c>
      <c r="Y180" s="9" t="n"/>
    </row>
    <row r="181" ht="16" customHeight="1">
      <c r="A181" s="24" t="inlineStr">
        <is>
          <t>Shaun Leonard</t>
        </is>
      </c>
      <c r="B181" s="25" t="inlineStr">
        <is>
          <t>Distinguished</t>
        </is>
      </c>
      <c r="C181" s="25" t="inlineStr">
        <is>
          <t>Kristin Haase-Alvey</t>
        </is>
      </c>
      <c r="D181" s="26" t="n">
        <v>45209</v>
      </c>
      <c r="E181" s="25" t="n">
        <v>12</v>
      </c>
      <c r="F181" s="25" t="n">
        <v>6.75</v>
      </c>
      <c r="G181" s="14" t="n">
        <v>0.5625</v>
      </c>
      <c r="H181" s="15" t="n">
        <v>16</v>
      </c>
      <c r="I181" s="15" t="n">
        <v>17</v>
      </c>
      <c r="J181" s="14" t="n">
        <v>1.0625</v>
      </c>
      <c r="K181" s="14" t="n">
        <v>2.9166</v>
      </c>
      <c r="L181" s="14" t="n">
        <v>1</v>
      </c>
      <c r="M181" s="14" t="n">
        <v>0.961538462</v>
      </c>
      <c r="N181" s="27" t="inlineStr">
        <is>
          <t>0/0</t>
        </is>
      </c>
      <c r="O181" s="14" t="n">
        <v>0.8</v>
      </c>
      <c r="P181" s="15" t="n"/>
      <c r="Q181" s="15" t="n"/>
      <c r="R181" s="15" t="n">
        <v>72</v>
      </c>
      <c r="S181" s="15" t="n"/>
      <c r="T181" s="15" t="n">
        <v>0</v>
      </c>
      <c r="U181" s="15" t="n">
        <v>11</v>
      </c>
      <c r="V181" s="28" t="n">
        <v>24</v>
      </c>
      <c r="W181" t="n">
        <v>3</v>
      </c>
      <c r="Y181" s="9" t="n"/>
    </row>
    <row r="182" ht="16" customHeight="1">
      <c r="A182" s="24" t="inlineStr">
        <is>
          <t>Shawn Kane</t>
        </is>
      </c>
      <c r="B182" s="25" t="inlineStr">
        <is>
          <t>Premium</t>
        </is>
      </c>
      <c r="C182" s="25" t="inlineStr">
        <is>
          <t>Ela Cross</t>
        </is>
      </c>
      <c r="D182" s="26" t="n">
        <v>42235</v>
      </c>
      <c r="E182" s="25" t="n">
        <v>12</v>
      </c>
      <c r="F182" s="25" t="n">
        <v>14.13</v>
      </c>
      <c r="G182" s="14" t="n">
        <v>1.1771</v>
      </c>
      <c r="H182" s="15" t="n">
        <v>16</v>
      </c>
      <c r="I182" s="15" t="n">
        <v>20</v>
      </c>
      <c r="J182" s="14" t="n">
        <v>1.25</v>
      </c>
      <c r="K182" s="14" t="n">
        <v>6.3332</v>
      </c>
      <c r="L182" s="14" t="n">
        <v>0.905</v>
      </c>
      <c r="M182" s="14" t="n">
        <v>1</v>
      </c>
      <c r="N182" s="27" t="inlineStr">
        <is>
          <t>1/1</t>
        </is>
      </c>
      <c r="O182" s="14" t="n">
        <v>0.666666667</v>
      </c>
      <c r="P182" s="15" t="n"/>
      <c r="Q182" s="15" t="n"/>
      <c r="R182" s="15" t="n">
        <v>36</v>
      </c>
      <c r="S182" s="15" t="n"/>
      <c r="T182" s="15" t="n">
        <v>1</v>
      </c>
      <c r="U182" s="15" t="n">
        <v>9</v>
      </c>
      <c r="V182" s="28" t="n">
        <v>51.5</v>
      </c>
      <c r="W182" t="n">
        <v>5</v>
      </c>
      <c r="Y182" s="9" t="n"/>
    </row>
    <row r="183" ht="16" customHeight="1">
      <c r="A183" s="24" t="inlineStr">
        <is>
          <t>Silvester Harrison</t>
        </is>
      </c>
      <c r="B183" s="25" t="inlineStr">
        <is>
          <t>Distinguished</t>
        </is>
      </c>
      <c r="C183" s="25" t="inlineStr">
        <is>
          <t>Ela Cross</t>
        </is>
      </c>
      <c r="D183" s="26" t="n">
        <v>45972</v>
      </c>
      <c r="E183" s="25" t="n">
        <v>35</v>
      </c>
      <c r="F183" s="25" t="n">
        <v>17</v>
      </c>
      <c r="G183" s="14" t="n">
        <v>0.4857</v>
      </c>
      <c r="H183" s="15" t="n">
        <v>43</v>
      </c>
      <c r="I183" s="15" t="n">
        <v>42.31</v>
      </c>
      <c r="J183" s="14" t="n">
        <v>0.984</v>
      </c>
      <c r="K183" s="14" t="n">
        <v>4</v>
      </c>
      <c r="L183" s="14" t="n">
        <v>0.972</v>
      </c>
      <c r="M183" s="14" t="n">
        <v>1</v>
      </c>
      <c r="N183" s="27" t="inlineStr">
        <is>
          <t>2/3</t>
        </is>
      </c>
      <c r="O183" s="14" t="n">
        <v>0.5</v>
      </c>
      <c r="P183" s="15" t="n"/>
      <c r="Q183" s="15" t="n"/>
      <c r="R183" s="15" t="n">
        <v>118</v>
      </c>
      <c r="S183" s="15" t="n"/>
      <c r="T183" s="15" t="n">
        <v>8</v>
      </c>
      <c r="U183" s="15" t="n">
        <v>16</v>
      </c>
      <c r="V183" s="28" t="n">
        <v>65</v>
      </c>
      <c r="W183" t="n">
        <v>3</v>
      </c>
      <c r="Y183" s="9" t="n"/>
    </row>
    <row r="184" ht="16" customHeight="1">
      <c r="A184" s="24" t="inlineStr">
        <is>
          <t>Skye Silmenna</t>
        </is>
      </c>
      <c r="B184" s="25" t="inlineStr">
        <is>
          <t>Distinguished</t>
        </is>
      </c>
      <c r="C184" s="25" t="inlineStr">
        <is>
          <t>Annelies de Groot</t>
        </is>
      </c>
      <c r="D184" s="26" t="n">
        <v>45775</v>
      </c>
      <c r="E184" s="25" t="n">
        <v>30</v>
      </c>
      <c r="F184" s="25" t="n">
        <v>17.25</v>
      </c>
      <c r="G184" s="14" t="n">
        <v>0.575</v>
      </c>
      <c r="H184" s="15" t="n">
        <v>38</v>
      </c>
      <c r="I184" s="15" t="n">
        <v>38.63</v>
      </c>
      <c r="J184" s="14" t="n">
        <v>1.0164</v>
      </c>
      <c r="K184" s="14" t="n">
        <v>3.5823</v>
      </c>
      <c r="L184" s="14" t="n">
        <v>0.7</v>
      </c>
      <c r="M184" s="14" t="n">
        <v>0.955223881</v>
      </c>
      <c r="N184" s="27" t="inlineStr">
        <is>
          <t>3/4</t>
        </is>
      </c>
      <c r="O184" s="14" t="n">
        <v>0.444444444</v>
      </c>
      <c r="P184" s="15" t="n"/>
      <c r="Q184" s="15" t="n"/>
      <c r="R184" s="15" t="n">
        <v>154</v>
      </c>
      <c r="S184" s="15" t="n">
        <v>1</v>
      </c>
      <c r="T184" s="15" t="n">
        <v>11</v>
      </c>
      <c r="U184" s="15" t="n">
        <v>19</v>
      </c>
      <c r="V184" s="28" t="n">
        <v>63</v>
      </c>
      <c r="W184" t="n">
        <v>6</v>
      </c>
      <c r="Y184" s="9" t="n"/>
    </row>
    <row r="185" ht="16" customHeight="1">
      <c r="A185" s="24" t="inlineStr">
        <is>
          <t>Sonja Tomasko</t>
        </is>
      </c>
      <c r="B185" s="25" t="inlineStr">
        <is>
          <t>Premium</t>
        </is>
      </c>
      <c r="C185" s="25" t="inlineStr">
        <is>
          <t>Ian Plamondon</t>
        </is>
      </c>
      <c r="D185" s="26" t="n">
        <v>44064</v>
      </c>
      <c r="E185" s="25" t="n">
        <v>30</v>
      </c>
      <c r="F185" s="25" t="n">
        <v>8.75</v>
      </c>
      <c r="G185" s="14" t="n">
        <v>0.2917</v>
      </c>
      <c r="H185" s="15" t="n">
        <v>38</v>
      </c>
      <c r="I185" s="15" t="n">
        <v>31</v>
      </c>
      <c r="J185" s="14" t="n">
        <v>0.8158</v>
      </c>
      <c r="K185" s="14" t="n">
        <v>1.8333</v>
      </c>
      <c r="L185" s="14" t="n">
        <v>1</v>
      </c>
      <c r="M185" s="14" t="n">
        <v>0.966666667</v>
      </c>
      <c r="N185" s="27" t="inlineStr">
        <is>
          <t>0/1</t>
        </is>
      </c>
      <c r="O185" s="14" t="n">
        <v>0</v>
      </c>
      <c r="P185" s="15" t="n"/>
      <c r="Q185" s="15" t="n"/>
      <c r="R185" s="15" t="n">
        <v>36</v>
      </c>
      <c r="S185" s="15" t="n"/>
      <c r="T185" s="15" t="n">
        <v>1</v>
      </c>
      <c r="U185" s="15" t="n">
        <v>8</v>
      </c>
      <c r="V185" s="28" t="n">
        <v>33</v>
      </c>
      <c r="W185" t="n">
        <v>2</v>
      </c>
      <c r="Y185" s="9" t="n"/>
    </row>
    <row r="186" ht="16" customHeight="1">
      <c r="A186" s="24" t="inlineStr">
        <is>
          <t>Stacey Jones</t>
        </is>
      </c>
      <c r="B186" s="25" t="inlineStr">
        <is>
          <t>Distinguished</t>
        </is>
      </c>
      <c r="C186" s="25" t="inlineStr">
        <is>
          <t>Annelies de Groot</t>
        </is>
      </c>
      <c r="D186" s="26" t="n">
        <v>45195</v>
      </c>
      <c r="E186" s="25" t="n">
        <v>12</v>
      </c>
      <c r="F186" s="25" t="n">
        <v>7.25</v>
      </c>
      <c r="G186" s="14" t="n">
        <v>0.6042</v>
      </c>
      <c r="H186" s="15" t="n">
        <v>16</v>
      </c>
      <c r="I186" s="15" t="n">
        <v>19.19</v>
      </c>
      <c r="J186" s="14" t="n">
        <v>1.1992</v>
      </c>
      <c r="K186" s="14" t="n">
        <v>4.9992</v>
      </c>
      <c r="L186" s="14" t="n">
        <v>1</v>
      </c>
      <c r="M186" s="14" t="n">
        <v>1</v>
      </c>
      <c r="N186" s="27" t="inlineStr">
        <is>
          <t>0/0</t>
        </is>
      </c>
      <c r="O186" s="14" t="n">
        <v>0.875</v>
      </c>
      <c r="P186" s="15" t="n"/>
      <c r="Q186" s="15" t="n"/>
      <c r="R186" s="15" t="n">
        <v>76</v>
      </c>
      <c r="S186" s="15" t="n"/>
      <c r="T186" s="15" t="n">
        <v>0</v>
      </c>
      <c r="U186" s="15" t="n">
        <v>9</v>
      </c>
      <c r="V186" s="28" t="n">
        <v>25</v>
      </c>
      <c r="W186" t="n">
        <v>4</v>
      </c>
      <c r="Y186" s="9" t="n"/>
    </row>
    <row r="187" ht="16" customHeight="1">
      <c r="A187" s="24" t="inlineStr">
        <is>
          <t>Steven Colome</t>
        </is>
      </c>
      <c r="B187" s="25" t="inlineStr">
        <is>
          <t>Distinguished</t>
        </is>
      </c>
      <c r="C187" s="25" t="inlineStr">
        <is>
          <t>Ela Cross</t>
        </is>
      </c>
      <c r="D187" s="26" t="n">
        <v>45735</v>
      </c>
      <c r="E187" s="25" t="n">
        <v>12</v>
      </c>
      <c r="F187" s="25" t="n">
        <v>4.75</v>
      </c>
      <c r="G187" s="14" t="n">
        <v>0.3958</v>
      </c>
      <c r="H187" s="15" t="n">
        <v>16</v>
      </c>
      <c r="I187" s="15" t="n">
        <v>17.31</v>
      </c>
      <c r="J187" s="14" t="n">
        <v>1.082</v>
      </c>
      <c r="K187" s="14" t="n">
        <v>1.4994</v>
      </c>
      <c r="L187" s="14" t="n">
        <v>1</v>
      </c>
      <c r="M187" s="14" t="n">
        <v>0.888888889</v>
      </c>
      <c r="N187" s="27" t="inlineStr">
        <is>
          <t>0/3</t>
        </is>
      </c>
      <c r="O187" s="14" t="n">
        <v>0.666666667</v>
      </c>
      <c r="P187" s="15" t="n"/>
      <c r="Q187" s="15" t="n"/>
      <c r="R187" s="15" t="n">
        <v>28</v>
      </c>
      <c r="S187" s="15" t="n">
        <v>2</v>
      </c>
      <c r="T187" s="15" t="n">
        <v>3</v>
      </c>
      <c r="U187" s="15" t="n">
        <v>6</v>
      </c>
      <c r="V187" s="28" t="n">
        <v>17</v>
      </c>
      <c r="W187" t="n">
        <v>2</v>
      </c>
      <c r="Y187" s="9" t="n"/>
    </row>
    <row r="188" ht="16" customHeight="1">
      <c r="A188" s="24" t="inlineStr">
        <is>
          <t>Sunho Kum</t>
        </is>
      </c>
      <c r="B188" s="25" t="inlineStr">
        <is>
          <t>Distinguished</t>
        </is>
      </c>
      <c r="C188" s="25" t="inlineStr">
        <is>
          <t>Ela Cross</t>
        </is>
      </c>
      <c r="D188" s="26" t="n">
        <v>45196</v>
      </c>
      <c r="E188" s="25" t="n">
        <v>12</v>
      </c>
      <c r="F188" s="25" t="n">
        <v>10.75</v>
      </c>
      <c r="G188" s="14" t="n">
        <v>0.8958</v>
      </c>
      <c r="H188" s="15" t="n">
        <v>16</v>
      </c>
      <c r="I188" s="15" t="n">
        <v>16</v>
      </c>
      <c r="J188" s="14" t="n">
        <v>1</v>
      </c>
      <c r="K188" s="14" t="n"/>
      <c r="L188" s="14" t="n">
        <v>0.97</v>
      </c>
      <c r="M188" s="14" t="n">
        <v>1</v>
      </c>
      <c r="N188" s="27" t="inlineStr">
        <is>
          <t>2/2</t>
        </is>
      </c>
      <c r="O188" s="14" t="n">
        <v>1</v>
      </c>
      <c r="P188" s="15" t="n"/>
      <c r="Q188" s="15" t="n"/>
      <c r="R188" s="15" t="n">
        <v>136</v>
      </c>
      <c r="S188" s="15" t="n"/>
      <c r="T188" s="15" t="n">
        <v>3</v>
      </c>
      <c r="U188" s="15" t="n">
        <v>15</v>
      </c>
      <c r="V188" s="28" t="n">
        <v>41</v>
      </c>
      <c r="W188" t="n">
        <v>2</v>
      </c>
      <c r="Y188" s="9" t="n"/>
    </row>
    <row r="189" ht="16" customHeight="1">
      <c r="A189" s="24" t="inlineStr">
        <is>
          <t>Syrae Arteaga</t>
        </is>
      </c>
      <c r="B189" s="25" t="inlineStr">
        <is>
          <t>Advanced</t>
        </is>
      </c>
      <c r="C189" s="25" t="inlineStr">
        <is>
          <t>Ian Plamondon</t>
        </is>
      </c>
      <c r="D189" s="26" t="n">
        <v>46031</v>
      </c>
      <c r="E189" s="25" t="n">
        <v>12</v>
      </c>
      <c r="F189" s="25" t="n">
        <v>7.5</v>
      </c>
      <c r="G189" s="14" t="n">
        <v>0.625</v>
      </c>
      <c r="H189" s="15" t="n">
        <v>16</v>
      </c>
      <c r="I189" s="15" t="n">
        <v>25.75</v>
      </c>
      <c r="J189" s="14" t="n">
        <v>1.6094</v>
      </c>
      <c r="K189" s="14" t="n">
        <v>8</v>
      </c>
      <c r="L189" s="14" t="n">
        <v>1</v>
      </c>
      <c r="M189" s="14" t="n">
        <v>1</v>
      </c>
      <c r="N189" s="27" t="inlineStr">
        <is>
          <t>1/1</t>
        </is>
      </c>
      <c r="O189" s="14" t="n">
        <v>0.6</v>
      </c>
      <c r="P189" s="15" t="n"/>
      <c r="Q189" s="15" t="n"/>
      <c r="R189" s="15" t="n">
        <v>44</v>
      </c>
      <c r="S189" s="15" t="n"/>
      <c r="T189" s="15" t="n">
        <v>1</v>
      </c>
      <c r="U189" s="15" t="n">
        <v>8</v>
      </c>
      <c r="V189" s="28" t="n">
        <v>27</v>
      </c>
      <c r="W189" t="n">
        <v>3</v>
      </c>
      <c r="Y189" s="9" t="n"/>
    </row>
    <row r="190" ht="16" customHeight="1">
      <c r="A190" s="24" t="inlineStr">
        <is>
          <t>Taryn Parks</t>
        </is>
      </c>
      <c r="B190" s="25" t="inlineStr">
        <is>
          <t>Advanced</t>
        </is>
      </c>
      <c r="C190" s="25" t="inlineStr">
        <is>
          <t>Annelies de Groot</t>
        </is>
      </c>
      <c r="D190" s="26" t="n">
        <v>46028</v>
      </c>
      <c r="E190" s="25" t="n">
        <v>12</v>
      </c>
      <c r="F190" s="25" t="n">
        <v>5.25</v>
      </c>
      <c r="G190" s="14" t="n">
        <v>0.4375</v>
      </c>
      <c r="H190" s="15" t="n">
        <v>16</v>
      </c>
      <c r="I190" s="15" t="n">
        <v>15.44</v>
      </c>
      <c r="J190" s="14" t="n">
        <v>0.9648</v>
      </c>
      <c r="K190" s="14" t="n">
        <v>1.5831</v>
      </c>
      <c r="L190" s="14" t="n">
        <v>1</v>
      </c>
      <c r="M190" s="14" t="n">
        <v>1</v>
      </c>
      <c r="N190" s="27" t="inlineStr">
        <is>
          <t>2/2</t>
        </is>
      </c>
      <c r="O190" s="14" t="n">
        <v>0.666666667</v>
      </c>
      <c r="P190" s="15" t="n"/>
      <c r="Q190" s="15" t="n"/>
      <c r="R190" s="15" t="n">
        <v>92</v>
      </c>
      <c r="S190" s="15" t="n"/>
      <c r="T190" s="15" t="n">
        <v>3</v>
      </c>
      <c r="U190" s="15" t="n">
        <v>7</v>
      </c>
      <c r="V190" s="28" t="n">
        <v>20</v>
      </c>
      <c r="W190" t="n">
        <v>1</v>
      </c>
      <c r="Y190" s="9" t="n"/>
    </row>
    <row r="191" ht="16" customHeight="1">
      <c r="A191" s="24" t="inlineStr">
        <is>
          <t>Tea Stewart</t>
        </is>
      </c>
      <c r="B191" s="25" t="inlineStr">
        <is>
          <t>Distinguished</t>
        </is>
      </c>
      <c r="C191" s="25" t="inlineStr">
        <is>
          <t>Kristin Haase-Alvey</t>
        </is>
      </c>
      <c r="D191" s="26" t="n">
        <v>45194</v>
      </c>
      <c r="E191" s="25" t="n">
        <v>12</v>
      </c>
      <c r="F191" s="25" t="n">
        <v>4</v>
      </c>
      <c r="G191" s="14" t="n">
        <v>0.3333</v>
      </c>
      <c r="H191" s="15" t="n">
        <v>16</v>
      </c>
      <c r="I191" s="15" t="n">
        <v>13.5</v>
      </c>
      <c r="J191" s="14" t="n">
        <v>0.8438</v>
      </c>
      <c r="K191" s="14" t="n">
        <v>0.3332</v>
      </c>
      <c r="L191" s="14" t="n">
        <v>1</v>
      </c>
      <c r="M191" s="14" t="n">
        <v>1</v>
      </c>
      <c r="N191" s="27" t="inlineStr">
        <is>
          <t>0/2</t>
        </is>
      </c>
      <c r="O191" s="14" t="n">
        <v>1</v>
      </c>
      <c r="P191" s="15" t="n"/>
      <c r="Q191" s="15" t="n"/>
      <c r="R191" s="15" t="n">
        <v>48</v>
      </c>
      <c r="S191" s="15" t="n"/>
      <c r="T191" s="15" t="n">
        <v>2</v>
      </c>
      <c r="U191" s="15" t="n">
        <v>7</v>
      </c>
      <c r="V191" s="28" t="n">
        <v>10</v>
      </c>
      <c r="W191" t="n">
        <v>6</v>
      </c>
      <c r="Y191" s="9" t="n"/>
    </row>
    <row r="192" ht="16" customHeight="1">
      <c r="A192" s="24" t="inlineStr">
        <is>
          <t>Teresa Fuller</t>
        </is>
      </c>
      <c r="B192" s="25" t="inlineStr">
        <is>
          <t>Advanced</t>
        </is>
      </c>
      <c r="C192" s="25" t="inlineStr">
        <is>
          <t>Ela Cross</t>
        </is>
      </c>
      <c r="D192" s="26" t="n">
        <v>46072</v>
      </c>
      <c r="E192" s="25" t="n">
        <v>12</v>
      </c>
      <c r="F192" s="25" t="n">
        <v>7.5</v>
      </c>
      <c r="G192" s="14" t="n">
        <v>0.625</v>
      </c>
      <c r="H192" s="15" t="n">
        <v>16</v>
      </c>
      <c r="I192" s="15" t="n">
        <v>14.13</v>
      </c>
      <c r="J192" s="14" t="n">
        <v>0.8828</v>
      </c>
      <c r="K192" s="14" t="n"/>
      <c r="L192" s="14" t="n">
        <v>0.789</v>
      </c>
      <c r="M192" s="14" t="n">
        <v>1</v>
      </c>
      <c r="N192" s="27" t="inlineStr">
        <is>
          <t>0/0</t>
        </is>
      </c>
      <c r="O192" s="14" t="n">
        <v>0.75</v>
      </c>
      <c r="P192" s="15" t="n"/>
      <c r="Q192" s="15" t="n"/>
      <c r="R192" s="15" t="n">
        <v>68</v>
      </c>
      <c r="S192" s="15" t="n"/>
      <c r="T192" s="15" t="n">
        <v>2</v>
      </c>
      <c r="U192" s="15" t="n">
        <v>7</v>
      </c>
      <c r="V192" s="28" t="n">
        <v>27</v>
      </c>
      <c r="W192" t="n">
        <v>3</v>
      </c>
      <c r="Y192" s="9" t="n"/>
    </row>
    <row r="193" ht="16" customHeight="1">
      <c r="A193" s="24" t="inlineStr">
        <is>
          <t>Tim Page</t>
        </is>
      </c>
      <c r="B193" s="25" t="inlineStr">
        <is>
          <t>Advanced</t>
        </is>
      </c>
      <c r="C193" s="25" t="inlineStr">
        <is>
          <t>Annelies de Groot</t>
        </is>
      </c>
      <c r="D193" s="26" t="n">
        <v>46122</v>
      </c>
      <c r="E193" s="25" t="n">
        <v>35</v>
      </c>
      <c r="F193" s="25" t="n">
        <v>14</v>
      </c>
      <c r="G193" s="14" t="n">
        <v>0.4</v>
      </c>
      <c r="H193" s="15" t="n">
        <v>43</v>
      </c>
      <c r="I193" s="15" t="n">
        <v>45.44</v>
      </c>
      <c r="J193" s="14" t="n">
        <v>1.0567</v>
      </c>
      <c r="K193" s="14" t="n">
        <v>1.25</v>
      </c>
      <c r="L193" s="14" t="n">
        <v>0.9330000000000001</v>
      </c>
      <c r="M193" s="14" t="n">
        <v>0.9629629629999999</v>
      </c>
      <c r="N193" s="27" t="inlineStr">
        <is>
          <t>3/10</t>
        </is>
      </c>
      <c r="O193" s="14" t="n">
        <v>0.333333333</v>
      </c>
      <c r="P193" s="15" t="n"/>
      <c r="Q193" s="15" t="n"/>
      <c r="R193" s="15" t="n">
        <v>28</v>
      </c>
      <c r="S193" s="15" t="n">
        <v>3</v>
      </c>
      <c r="T193" s="15" t="n">
        <v>14</v>
      </c>
      <c r="U193" s="15" t="n">
        <v>18</v>
      </c>
      <c r="V193" s="28" t="n">
        <v>43</v>
      </c>
      <c r="W193" t="n">
        <v>13</v>
      </c>
      <c r="Y193" s="9" t="n"/>
    </row>
    <row r="194" ht="16" customHeight="1">
      <c r="A194" s="24" t="inlineStr">
        <is>
          <t>Tim Schlotzhauer</t>
        </is>
      </c>
      <c r="B194" s="25" t="inlineStr">
        <is>
          <t>Premium</t>
        </is>
      </c>
      <c r="C194" s="25" t="inlineStr">
        <is>
          <t>Geoff St. Marie</t>
        </is>
      </c>
      <c r="D194" s="26" t="n">
        <v>42811</v>
      </c>
      <c r="E194" s="25" t="n">
        <v>30</v>
      </c>
      <c r="F194" s="25" t="n">
        <v>15.75</v>
      </c>
      <c r="G194" s="14" t="n">
        <v>0.525</v>
      </c>
      <c r="H194" s="15" t="n">
        <v>38</v>
      </c>
      <c r="I194" s="15" t="n">
        <v>35.31</v>
      </c>
      <c r="J194" s="14" t="n">
        <v>0.9293</v>
      </c>
      <c r="K194" s="14" t="n">
        <v>5</v>
      </c>
      <c r="L194" s="14" t="n">
        <v>1</v>
      </c>
      <c r="M194" s="14" t="n">
        <v>1</v>
      </c>
      <c r="N194" s="27" t="inlineStr">
        <is>
          <t>4/4</t>
        </is>
      </c>
      <c r="O194" s="14" t="n">
        <v>0.75</v>
      </c>
      <c r="P194" s="15" t="n"/>
      <c r="Q194" s="15" t="n"/>
      <c r="R194" s="15" t="n">
        <v>38</v>
      </c>
      <c r="S194" s="15" t="n"/>
      <c r="T194" s="15" t="n">
        <v>4</v>
      </c>
      <c r="U194" s="15" t="n">
        <v>17</v>
      </c>
      <c r="V194" s="28" t="n">
        <v>61.5</v>
      </c>
      <c r="W194" t="n">
        <v>1.5</v>
      </c>
      <c r="Y194" s="9" t="n"/>
    </row>
    <row r="195" ht="16" customHeight="1">
      <c r="A195" s="24" t="inlineStr">
        <is>
          <t>Tom Pluth</t>
        </is>
      </c>
      <c r="B195" s="25" t="inlineStr">
        <is>
          <t>Distinguished</t>
        </is>
      </c>
      <c r="C195" s="25" t="inlineStr">
        <is>
          <t>Ela Cross</t>
        </is>
      </c>
      <c r="D195" s="26" t="n">
        <v>45740</v>
      </c>
      <c r="E195" s="25" t="n">
        <v>12</v>
      </c>
      <c r="F195" s="25" t="n">
        <v>1.75</v>
      </c>
      <c r="G195" s="14" t="n">
        <v>0.1458</v>
      </c>
      <c r="H195" s="15" t="n">
        <v>16</v>
      </c>
      <c r="I195" s="15" t="n">
        <v>16.44</v>
      </c>
      <c r="J195" s="14" t="n">
        <v>1.0273</v>
      </c>
      <c r="K195" s="14" t="n">
        <v>1.25</v>
      </c>
      <c r="L195" s="14" t="n">
        <v>1</v>
      </c>
      <c r="M195" s="14" t="n">
        <v>1</v>
      </c>
      <c r="N195" s="27" t="inlineStr">
        <is>
          <t>0/0</t>
        </is>
      </c>
      <c r="O195" s="14" t="n">
        <v>1</v>
      </c>
      <c r="P195" s="15" t="n"/>
      <c r="Q195" s="15" t="n"/>
      <c r="R195" s="15" t="n">
        <v>0</v>
      </c>
      <c r="S195" s="15" t="n"/>
      <c r="T195" s="15" t="n">
        <v>0</v>
      </c>
      <c r="U195" s="15" t="n">
        <v>3</v>
      </c>
      <c r="V195" s="28" t="n">
        <v>6</v>
      </c>
      <c r="W195" t="n">
        <v>1</v>
      </c>
      <c r="Y195" s="9" t="n"/>
    </row>
    <row r="196" ht="16" customHeight="1">
      <c r="A196" s="24" t="inlineStr">
        <is>
          <t>Tommaso Marsella</t>
        </is>
      </c>
      <c r="B196" s="25" t="inlineStr">
        <is>
          <t>Distinguished</t>
        </is>
      </c>
      <c r="C196" s="25" t="inlineStr">
        <is>
          <t>Ian Plamondon</t>
        </is>
      </c>
      <c r="D196" s="26" t="n">
        <v>44064</v>
      </c>
      <c r="E196" s="25" t="n">
        <v>12</v>
      </c>
      <c r="F196" s="25" t="n">
        <v>7.25</v>
      </c>
      <c r="G196" s="14" t="n">
        <v>0.6042</v>
      </c>
      <c r="H196" s="15" t="n">
        <v>16</v>
      </c>
      <c r="I196" s="15" t="n">
        <v>21.19</v>
      </c>
      <c r="J196" s="14" t="n">
        <v>1.3242</v>
      </c>
      <c r="K196" s="14" t="n"/>
      <c r="L196" s="14" t="n">
        <v>0.9379999999999999</v>
      </c>
      <c r="M196" s="14" t="n">
        <v>1</v>
      </c>
      <c r="N196" s="27" t="inlineStr">
        <is>
          <t>1/1</t>
        </is>
      </c>
      <c r="O196" s="14" t="n">
        <v>1</v>
      </c>
      <c r="P196" s="15" t="n"/>
      <c r="Q196" s="15" t="n"/>
      <c r="R196" s="15" t="n">
        <v>45</v>
      </c>
      <c r="S196" s="15" t="n"/>
      <c r="T196" s="15" t="n">
        <v>1</v>
      </c>
      <c r="U196" s="15" t="n">
        <v>8</v>
      </c>
      <c r="V196" s="28" t="n">
        <v>26</v>
      </c>
      <c r="W196" t="n">
        <v>3</v>
      </c>
      <c r="Y196" s="9" t="n"/>
    </row>
    <row r="197" ht="16" customHeight="1">
      <c r="A197" s="24" t="inlineStr">
        <is>
          <t>Trevor Ferguson</t>
        </is>
      </c>
      <c r="B197" s="25" t="inlineStr">
        <is>
          <t>Distinguished</t>
        </is>
      </c>
      <c r="C197" s="25" t="inlineStr">
        <is>
          <t>Geoff St. Marie</t>
        </is>
      </c>
      <c r="D197" s="26" t="n">
        <v>44611</v>
      </c>
      <c r="E197" s="25" t="n">
        <v>30</v>
      </c>
      <c r="F197" s="25" t="n">
        <v>19.13</v>
      </c>
      <c r="G197" s="14" t="n">
        <v>0.6375</v>
      </c>
      <c r="H197" s="15" t="n">
        <v>38</v>
      </c>
      <c r="I197" s="15" t="n">
        <v>41.25</v>
      </c>
      <c r="J197" s="14" t="n">
        <v>1.0855</v>
      </c>
      <c r="K197" s="14" t="n"/>
      <c r="L197" s="14" t="n">
        <v>0.971</v>
      </c>
      <c r="M197" s="14" t="n">
        <v>1</v>
      </c>
      <c r="N197" s="27" t="inlineStr">
        <is>
          <t>3/4</t>
        </is>
      </c>
      <c r="O197" s="14" t="n">
        <v>0.555555556</v>
      </c>
      <c r="P197" s="15" t="n"/>
      <c r="Q197" s="15" t="n"/>
      <c r="R197" s="15" t="n">
        <v>101</v>
      </c>
      <c r="S197" s="15" t="n"/>
      <c r="T197" s="15" t="n">
        <v>9</v>
      </c>
      <c r="U197" s="15" t="n">
        <v>19</v>
      </c>
      <c r="V197" s="28" t="n">
        <v>72.5</v>
      </c>
      <c r="W197" t="n">
        <v>4</v>
      </c>
      <c r="Y197" s="9" t="n"/>
    </row>
    <row r="198" ht="16" customHeight="1">
      <c r="A198" s="24" t="inlineStr">
        <is>
          <t>Tyler Greer</t>
        </is>
      </c>
      <c r="B198" s="25" t="inlineStr">
        <is>
          <t>Distinguished</t>
        </is>
      </c>
      <c r="C198" s="25" t="inlineStr">
        <is>
          <t>Kristin Haase-Alvey</t>
        </is>
      </c>
      <c r="D198" s="26" t="n">
        <v>45810</v>
      </c>
      <c r="E198" s="25" t="n">
        <v>30</v>
      </c>
      <c r="F198" s="25" t="n">
        <v>14.63</v>
      </c>
      <c r="G198" s="14" t="n">
        <v>0.4875</v>
      </c>
      <c r="H198" s="15" t="n">
        <v>38</v>
      </c>
      <c r="I198" s="15" t="n">
        <v>34.31</v>
      </c>
      <c r="J198" s="14" t="n">
        <v>0.903</v>
      </c>
      <c r="K198" s="14" t="n">
        <v>6.5</v>
      </c>
      <c r="L198" s="14" t="n">
        <v>0.927</v>
      </c>
      <c r="M198" s="14" t="n">
        <v>0.981481481</v>
      </c>
      <c r="N198" s="27" t="inlineStr">
        <is>
          <t>4/5</t>
        </is>
      </c>
      <c r="O198" s="14" t="n">
        <v>0.923076923</v>
      </c>
      <c r="P198" s="15" t="n">
        <v>1</v>
      </c>
      <c r="Q198" s="15" t="n">
        <v>10</v>
      </c>
      <c r="R198" s="15" t="n">
        <v>138</v>
      </c>
      <c r="S198" s="15" t="n"/>
      <c r="T198" s="15" t="n">
        <v>8</v>
      </c>
      <c r="U198" s="15" t="n">
        <v>23</v>
      </c>
      <c r="V198" s="28" t="n">
        <v>55.5</v>
      </c>
      <c r="W198" t="n">
        <v>3</v>
      </c>
      <c r="Y198" s="9" t="n"/>
    </row>
    <row r="199" ht="16" customHeight="1">
      <c r="A199" s="24" t="inlineStr">
        <is>
          <t>Tyler Henry</t>
        </is>
      </c>
      <c r="B199" s="25" t="inlineStr">
        <is>
          <t>Distinguished</t>
        </is>
      </c>
      <c r="C199" s="25" t="inlineStr">
        <is>
          <t>Annelies de Groot</t>
        </is>
      </c>
      <c r="D199" s="26" t="n">
        <v>45278</v>
      </c>
      <c r="E199" s="25" t="n">
        <v>30</v>
      </c>
      <c r="F199" s="25" t="n">
        <v>22.25</v>
      </c>
      <c r="G199" s="14" t="n">
        <v>0.7417</v>
      </c>
      <c r="H199" s="15" t="n">
        <v>38</v>
      </c>
      <c r="I199" s="15" t="n">
        <v>43.75</v>
      </c>
      <c r="J199" s="14" t="n">
        <v>1.1513</v>
      </c>
      <c r="K199" s="14" t="n">
        <v>0.75</v>
      </c>
      <c r="L199" s="14" t="n">
        <v>1</v>
      </c>
      <c r="M199" s="14" t="n">
        <v>0.987951807</v>
      </c>
      <c r="N199" s="27" t="inlineStr">
        <is>
          <t>7/8</t>
        </is>
      </c>
      <c r="O199" s="14" t="n">
        <v>0.6</v>
      </c>
      <c r="P199" s="15" t="n"/>
      <c r="Q199" s="15" t="n"/>
      <c r="R199" s="15" t="n">
        <v>146</v>
      </c>
      <c r="S199" s="15" t="n"/>
      <c r="T199" s="15" t="n">
        <v>15</v>
      </c>
      <c r="U199" s="15" t="n">
        <v>33</v>
      </c>
      <c r="V199" s="28" t="n">
        <v>82</v>
      </c>
      <c r="W199" t="n">
        <v>7</v>
      </c>
      <c r="Y199" s="9" t="n"/>
    </row>
    <row r="200" ht="16" customHeight="1">
      <c r="A200" s="24" t="inlineStr">
        <is>
          <t>Tyler Thornton</t>
        </is>
      </c>
      <c r="B200" s="25" t="inlineStr">
        <is>
          <t>Distinguished</t>
        </is>
      </c>
      <c r="C200" s="25" t="inlineStr">
        <is>
          <t>Kristin Haase-Alvey</t>
        </is>
      </c>
      <c r="D200" s="26" t="n">
        <v>45902</v>
      </c>
      <c r="E200" s="25" t="n">
        <v>30</v>
      </c>
      <c r="F200" s="25" t="n">
        <v>16.5</v>
      </c>
      <c r="G200" s="14" t="n">
        <v>0.55</v>
      </c>
      <c r="H200" s="15" t="n">
        <v>38</v>
      </c>
      <c r="I200" s="15" t="n">
        <v>24.81</v>
      </c>
      <c r="J200" s="14" t="n">
        <v>0.653</v>
      </c>
      <c r="K200" s="14" t="n">
        <v>5.2492</v>
      </c>
      <c r="L200" s="14" t="n">
        <v>0.913</v>
      </c>
      <c r="M200" s="14" t="n">
        <v>1</v>
      </c>
      <c r="N200" s="27" t="inlineStr">
        <is>
          <t>4/6</t>
        </is>
      </c>
      <c r="O200" s="14" t="n">
        <v>0.857142857</v>
      </c>
      <c r="P200" s="15" t="n">
        <v>1</v>
      </c>
      <c r="Q200" s="15" t="n">
        <v>10</v>
      </c>
      <c r="R200" s="15" t="n">
        <v>160</v>
      </c>
      <c r="S200" s="15" t="n">
        <v>1</v>
      </c>
      <c r="T200" s="15" t="n">
        <v>12</v>
      </c>
      <c r="U200" s="15" t="n">
        <v>25</v>
      </c>
      <c r="V200" s="28" t="n">
        <v>62</v>
      </c>
      <c r="W200" t="n">
        <v>4</v>
      </c>
      <c r="Y200" s="9" t="n"/>
    </row>
    <row r="201" ht="16" customHeight="1">
      <c r="A201" s="24" t="inlineStr">
        <is>
          <t>Valdenis Iancu</t>
        </is>
      </c>
      <c r="B201" s="25" t="inlineStr">
        <is>
          <t>Premium</t>
        </is>
      </c>
      <c r="C201" s="25" t="inlineStr">
        <is>
          <t>Ian Plamondon</t>
        </is>
      </c>
      <c r="D201" s="26" t="n">
        <v>43917</v>
      </c>
      <c r="E201" s="25" t="n">
        <v>30</v>
      </c>
      <c r="F201" s="25" t="n">
        <v>11.38</v>
      </c>
      <c r="G201" s="14" t="n">
        <v>0.3792</v>
      </c>
      <c r="H201" s="15" t="n">
        <v>38</v>
      </c>
      <c r="I201" s="15" t="n">
        <v>39.25</v>
      </c>
      <c r="J201" s="14" t="n">
        <v>1.0329</v>
      </c>
      <c r="K201" s="14" t="n">
        <v>9.416399999999999</v>
      </c>
      <c r="L201" s="14" t="n">
        <v>0.967</v>
      </c>
      <c r="M201" s="14" t="n">
        <v>0.9782608699999999</v>
      </c>
      <c r="N201" s="27" t="inlineStr">
        <is>
          <t>3/5</t>
        </is>
      </c>
      <c r="O201" s="14" t="n">
        <v>0.5</v>
      </c>
      <c r="P201" s="15" t="n"/>
      <c r="Q201" s="15" t="n"/>
      <c r="R201" s="15" t="n">
        <v>53</v>
      </c>
      <c r="S201" s="15" t="n">
        <v>1</v>
      </c>
      <c r="T201" s="15" t="n">
        <v>8</v>
      </c>
      <c r="U201" s="15" t="n">
        <v>19</v>
      </c>
      <c r="V201" s="28" t="n">
        <v>37.5</v>
      </c>
      <c r="W201" t="n">
        <v>8</v>
      </c>
      <c r="Y201" s="9" t="n"/>
    </row>
    <row r="202" ht="16" customHeight="1">
      <c r="A202" s="24" t="inlineStr">
        <is>
          <t>Valerie Duran</t>
        </is>
      </c>
      <c r="B202" s="25" t="inlineStr">
        <is>
          <t>Advanced</t>
        </is>
      </c>
      <c r="C202" s="25" t="inlineStr">
        <is>
          <t>Ela Cross</t>
        </is>
      </c>
      <c r="D202" s="26" t="n">
        <v>45193</v>
      </c>
      <c r="E202" s="25" t="n">
        <v>20</v>
      </c>
      <c r="F202" s="25" t="n">
        <v>29.25</v>
      </c>
      <c r="G202" s="14" t="n">
        <v>1.4625</v>
      </c>
      <c r="H202" s="15" t="n">
        <v>24</v>
      </c>
      <c r="I202" s="15" t="n">
        <v>31.69</v>
      </c>
      <c r="J202" s="14" t="n">
        <v>1.3203</v>
      </c>
      <c r="K202" s="14" t="n"/>
      <c r="L202" s="14" t="n">
        <v>0.905</v>
      </c>
      <c r="M202" s="14" t="n">
        <v>0.991071429</v>
      </c>
      <c r="N202" s="27" t="inlineStr">
        <is>
          <t>0/3</t>
        </is>
      </c>
      <c r="O202" s="14" t="n">
        <v>0.583333333</v>
      </c>
      <c r="P202" s="15" t="n"/>
      <c r="Q202" s="15" t="n"/>
      <c r="R202" s="15" t="n">
        <v>288</v>
      </c>
      <c r="S202" s="15" t="n"/>
      <c r="T202" s="15" t="n">
        <v>4</v>
      </c>
      <c r="U202" s="15" t="n">
        <v>26</v>
      </c>
      <c r="V202" s="28" t="n">
        <v>97</v>
      </c>
      <c r="W202" t="n">
        <v>20</v>
      </c>
      <c r="Y202" s="9" t="n"/>
    </row>
    <row r="203" ht="16" customHeight="1">
      <c r="A203" s="24" t="inlineStr">
        <is>
          <t>Vincent Cross</t>
        </is>
      </c>
      <c r="B203" s="25" t="inlineStr">
        <is>
          <t>Distinguished</t>
        </is>
      </c>
      <c r="C203" s="25" t="inlineStr">
        <is>
          <t>Kristin Haase-Alvey</t>
        </is>
      </c>
      <c r="D203" s="26" t="n">
        <v>46090</v>
      </c>
      <c r="E203" s="25" t="n">
        <v>30</v>
      </c>
      <c r="F203" s="25" t="n">
        <v>13</v>
      </c>
      <c r="G203" s="14" t="n">
        <v>0.4333</v>
      </c>
      <c r="H203" s="15" t="n">
        <v>38</v>
      </c>
      <c r="I203" s="15" t="n">
        <v>38.25</v>
      </c>
      <c r="J203" s="14" t="n">
        <v>1.0066</v>
      </c>
      <c r="K203" s="14" t="n"/>
      <c r="L203" s="14" t="n">
        <v>0.696</v>
      </c>
      <c r="M203" s="14" t="n">
        <v>0.979591837</v>
      </c>
      <c r="N203" s="27" t="inlineStr">
        <is>
          <t>0/0</t>
        </is>
      </c>
      <c r="O203" s="14" t="n">
        <v>1</v>
      </c>
      <c r="P203" s="15" t="n"/>
      <c r="Q203" s="15" t="n"/>
      <c r="R203" s="15" t="n">
        <v>104</v>
      </c>
      <c r="S203" s="15" t="n">
        <v>3</v>
      </c>
      <c r="T203" s="15" t="n">
        <v>7</v>
      </c>
      <c r="U203" s="15" t="n">
        <v>15</v>
      </c>
      <c r="V203" s="28" t="n">
        <v>42</v>
      </c>
      <c r="W203" t="n">
        <v>10</v>
      </c>
      <c r="Y203" s="9" t="n"/>
    </row>
    <row r="204" ht="16" customHeight="1">
      <c r="A204" s="24" t="inlineStr">
        <is>
          <t>Yvanna Ramirez</t>
        </is>
      </c>
      <c r="B204" s="25" t="inlineStr">
        <is>
          <t>Distinguished</t>
        </is>
      </c>
      <c r="C204" s="25" t="inlineStr">
        <is>
          <t>Ela Cross</t>
        </is>
      </c>
      <c r="D204" s="26" t="n">
        <v>45763</v>
      </c>
      <c r="E204" s="25" t="n">
        <v>30</v>
      </c>
      <c r="F204" s="25" t="n">
        <v>15.88</v>
      </c>
      <c r="G204" s="14" t="n">
        <v>0.5292</v>
      </c>
      <c r="H204" s="15" t="n">
        <v>38</v>
      </c>
      <c r="I204" s="15" t="n">
        <v>27.13</v>
      </c>
      <c r="J204" s="14" t="n">
        <v>0.7138</v>
      </c>
      <c r="K204" s="14" t="n">
        <v>3</v>
      </c>
      <c r="L204" s="14" t="n">
        <v>0.543</v>
      </c>
      <c r="M204" s="14" t="n">
        <v>0.9677419350000001</v>
      </c>
      <c r="N204" s="27" t="inlineStr">
        <is>
          <t>0/6</t>
        </is>
      </c>
      <c r="O204" s="14" t="n">
        <v>1</v>
      </c>
      <c r="P204" s="15" t="n"/>
      <c r="Q204" s="15" t="n"/>
      <c r="R204" s="15" t="n">
        <v>78</v>
      </c>
      <c r="S204" s="15" t="n">
        <v>8</v>
      </c>
      <c r="T204" s="15" t="n">
        <v>11</v>
      </c>
      <c r="U204" s="15" t="n">
        <v>16</v>
      </c>
      <c r="V204" s="28" t="n">
        <v>53</v>
      </c>
      <c r="W204" t="n">
        <v>10.5</v>
      </c>
      <c r="Y204" s="9" t="n"/>
    </row>
    <row r="205" ht="16" customHeight="1">
      <c r="A205" s="24" t="inlineStr">
        <is>
          <t>Zach McFatridge</t>
        </is>
      </c>
      <c r="B205" s="25" t="inlineStr">
        <is>
          <t>Distinguished</t>
        </is>
      </c>
      <c r="C205" s="25" t="inlineStr">
        <is>
          <t>Annelies de Groot</t>
        </is>
      </c>
      <c r="D205" s="26" t="n">
        <v>45992</v>
      </c>
      <c r="E205" s="25" t="n">
        <v>35</v>
      </c>
      <c r="F205" s="25" t="n">
        <v>29.5</v>
      </c>
      <c r="G205" s="14" t="n">
        <v>0.8429</v>
      </c>
      <c r="H205" s="15" t="n">
        <v>43</v>
      </c>
      <c r="I205" s="15" t="n">
        <v>45.63</v>
      </c>
      <c r="J205" s="14" t="n">
        <v>1.061</v>
      </c>
      <c r="K205" s="14" t="n">
        <v>0.9</v>
      </c>
      <c r="L205" s="14" t="n">
        <v>0.847</v>
      </c>
      <c r="M205" s="14" t="n">
        <v>1</v>
      </c>
      <c r="N205" s="27" t="inlineStr">
        <is>
          <t>3/3</t>
        </is>
      </c>
      <c r="O205" s="14" t="n">
        <v>0.894736842</v>
      </c>
      <c r="P205" s="15" t="n"/>
      <c r="Q205" s="15" t="n"/>
      <c r="R205" s="15" t="n">
        <v>282</v>
      </c>
      <c r="S205" s="15" t="n"/>
      <c r="T205" s="15" t="n">
        <v>11</v>
      </c>
      <c r="U205" s="15" t="n">
        <v>33</v>
      </c>
      <c r="V205" s="28" t="n">
        <v>108</v>
      </c>
      <c r="W205" t="n">
        <v>10</v>
      </c>
      <c r="Y205" s="9" t="n"/>
    </row>
    <row r="206" ht="16" customHeight="1">
      <c r="A206" s="24" t="inlineStr">
        <is>
          <t>Zachary Doenges</t>
        </is>
      </c>
      <c r="B206" s="25" t="inlineStr">
        <is>
          <t>Premium</t>
        </is>
      </c>
      <c r="C206" s="25" t="inlineStr">
        <is>
          <t>Ian Plamondon</t>
        </is>
      </c>
      <c r="D206" s="26" t="n">
        <v>44239</v>
      </c>
      <c r="E206" s="25" t="n">
        <v>35</v>
      </c>
      <c r="F206" s="25" t="n">
        <v>35.25</v>
      </c>
      <c r="G206" s="14" t="n">
        <v>1.0071</v>
      </c>
      <c r="H206" s="15" t="n">
        <v>43</v>
      </c>
      <c r="I206" s="15" t="n">
        <v>67.69</v>
      </c>
      <c r="J206" s="14" t="n">
        <v>1.5741</v>
      </c>
      <c r="K206" s="14" t="n">
        <v>2.5</v>
      </c>
      <c r="L206" s="14" t="n">
        <v>0.988</v>
      </c>
      <c r="M206" s="14" t="n">
        <v>1</v>
      </c>
      <c r="N206" s="27" t="inlineStr">
        <is>
          <t>6/8</t>
        </is>
      </c>
      <c r="O206" s="14" t="n">
        <v>0.84</v>
      </c>
      <c r="P206" s="15" t="n"/>
      <c r="Q206" s="15" t="n"/>
      <c r="R206" s="15" t="n">
        <v>310</v>
      </c>
      <c r="S206" s="15" t="n"/>
      <c r="T206" s="15" t="n">
        <v>16</v>
      </c>
      <c r="U206" s="15" t="n">
        <v>39</v>
      </c>
      <c r="V206" s="28" t="n">
        <v>120.5</v>
      </c>
      <c r="W206" t="n">
        <v>20.5</v>
      </c>
      <c r="Y206" s="9" t="n"/>
    </row>
    <row r="207" ht="16" customHeight="1">
      <c r="A207" s="24" t="inlineStr">
        <is>
          <t>Zack Anthony</t>
        </is>
      </c>
      <c r="B207" s="25" t="inlineStr">
        <is>
          <t>Distinguished</t>
        </is>
      </c>
      <c r="C207" s="25" t="inlineStr">
        <is>
          <t>Kristin Haase-Alvey</t>
        </is>
      </c>
      <c r="D207" s="26" t="n">
        <v>45684</v>
      </c>
      <c r="E207" s="25" t="n">
        <v>30</v>
      </c>
      <c r="F207" s="25" t="n">
        <v>22.13</v>
      </c>
      <c r="G207" s="14" t="n">
        <v>0.7375</v>
      </c>
      <c r="H207" s="15" t="n">
        <v>38</v>
      </c>
      <c r="I207" s="15" t="n">
        <v>44.75</v>
      </c>
      <c r="J207" s="14" t="n">
        <v>1.1776</v>
      </c>
      <c r="K207" s="14" t="n">
        <v>1.3333</v>
      </c>
      <c r="L207" s="14" t="n">
        <v>0.98</v>
      </c>
      <c r="M207" s="14" t="n">
        <v>0.974025974</v>
      </c>
      <c r="N207" s="27" t="inlineStr">
        <is>
          <t>6/8</t>
        </is>
      </c>
      <c r="O207" s="14" t="n">
        <v>0.461538462</v>
      </c>
      <c r="P207" s="15" t="n"/>
      <c r="Q207" s="15" t="n"/>
      <c r="R207" s="15" t="n">
        <v>88</v>
      </c>
      <c r="S207" s="15" t="n"/>
      <c r="T207" s="15" t="n">
        <v>10</v>
      </c>
      <c r="U207" s="15" t="n">
        <v>26</v>
      </c>
      <c r="V207" s="28" t="n">
        <v>80.5</v>
      </c>
      <c r="W207" t="n">
        <v>8</v>
      </c>
      <c r="Y207" s="9" t="n"/>
    </row>
    <row r="208" ht="16" customHeight="1">
      <c r="A208" s="24" t="inlineStr">
        <is>
          <t>Zack Robertson</t>
        </is>
      </c>
      <c r="B208" s="25" t="inlineStr">
        <is>
          <t>Distinguished</t>
        </is>
      </c>
      <c r="C208" s="25" t="inlineStr">
        <is>
          <t>Kristin Haase-Alvey</t>
        </is>
      </c>
      <c r="D208" s="26" t="n">
        <v>45702</v>
      </c>
      <c r="E208" s="25" t="n">
        <v>30</v>
      </c>
      <c r="F208" s="25" t="n">
        <v>4.13</v>
      </c>
      <c r="G208" s="14" t="n">
        <v>0.1375</v>
      </c>
      <c r="H208" s="15" t="n">
        <v>38</v>
      </c>
      <c r="I208" s="15" t="n">
        <v>14.38</v>
      </c>
      <c r="J208" s="14" t="n">
        <v>0.3783</v>
      </c>
      <c r="K208" s="14" t="n">
        <v>2</v>
      </c>
      <c r="L208" s="14" t="n">
        <v>0.9</v>
      </c>
      <c r="M208" s="14" t="n">
        <v>1</v>
      </c>
      <c r="N208" s="27" t="inlineStr">
        <is>
          <t>0/1</t>
        </is>
      </c>
      <c r="O208" s="14" t="n">
        <v>0.8</v>
      </c>
      <c r="P208" s="15" t="n"/>
      <c r="Q208" s="15" t="n"/>
      <c r="R208" s="15" t="n">
        <v>77</v>
      </c>
      <c r="S208" s="15" t="n"/>
      <c r="T208" s="15" t="n">
        <v>3</v>
      </c>
      <c r="U208" s="15" t="n">
        <v>17</v>
      </c>
      <c r="V208" s="28" t="n">
        <v>15.5</v>
      </c>
      <c r="W208" t="n">
        <v>1</v>
      </c>
      <c r="Y208" s="9" t="n"/>
    </row>
    <row r="209" ht="16" customHeight="1">
      <c r="A209" s="24" t="inlineStr">
        <is>
          <t>Zoe Shanley</t>
        </is>
      </c>
      <c r="B209" s="25" t="inlineStr">
        <is>
          <t>Distinguished</t>
        </is>
      </c>
      <c r="C209" s="25" t="inlineStr">
        <is>
          <t>Ian Plamondon</t>
        </is>
      </c>
      <c r="D209" s="26" t="n">
        <v>45883</v>
      </c>
      <c r="E209" s="25" t="n">
        <v>35</v>
      </c>
      <c r="F209" s="25" t="n">
        <v>26.25</v>
      </c>
      <c r="G209" s="14" t="n">
        <v>0.75</v>
      </c>
      <c r="H209" s="15" t="n">
        <v>43</v>
      </c>
      <c r="I209" s="15" t="n">
        <v>42.63</v>
      </c>
      <c r="J209" s="14" t="n">
        <v>0.9913</v>
      </c>
      <c r="K209" s="14" t="n">
        <v>3</v>
      </c>
      <c r="L209" s="14" t="n">
        <v>1</v>
      </c>
      <c r="M209" s="14" t="n">
        <v>0.980582524</v>
      </c>
      <c r="N209" s="27" t="inlineStr">
        <is>
          <t>6/7</t>
        </is>
      </c>
      <c r="O209" s="14" t="n">
        <v>0.666666667</v>
      </c>
      <c r="P209" s="15" t="n"/>
      <c r="Q209" s="15" t="n"/>
      <c r="R209" s="15" t="n">
        <v>197</v>
      </c>
      <c r="S209" s="15" t="n"/>
      <c r="T209" s="15" t="n">
        <v>13</v>
      </c>
      <c r="U209" s="15" t="n">
        <v>35</v>
      </c>
      <c r="V209" s="28" t="n">
        <v>100</v>
      </c>
      <c r="W209" t="n">
        <v>5</v>
      </c>
      <c r="Y209" s="9" t="n"/>
    </row>
    <row r="210">
      <c r="A210" s="24" t="n"/>
      <c r="B210" s="25" t="n"/>
      <c r="C210" s="25" t="n"/>
      <c r="D210" s="26" t="n"/>
      <c r="E210" s="25" t="n"/>
      <c r="F210" s="25" t="n"/>
      <c r="G210" s="14" t="n"/>
      <c r="H210" s="15" t="n"/>
      <c r="I210" s="15" t="n"/>
      <c r="J210" s="14" t="n"/>
      <c r="K210" s="14" t="n"/>
      <c r="L210" s="14" t="n"/>
      <c r="M210" s="14" t="n"/>
      <c r="N210" s="27" t="n"/>
      <c r="O210" s="14" t="n"/>
      <c r="P210" s="15" t="n"/>
      <c r="Q210" s="15" t="n"/>
      <c r="R210" s="15" t="n"/>
      <c r="S210" s="15" t="n"/>
      <c r="T210" s="15" t="n"/>
      <c r="U210" s="15" t="n"/>
      <c r="V210" s="28" t="n"/>
      <c r="Y210" s="9" t="n"/>
    </row>
    <row r="211">
      <c r="A211" s="24" t="n"/>
      <c r="B211" s="25" t="n"/>
      <c r="C211" s="25" t="n"/>
      <c r="D211" s="26" t="n"/>
      <c r="E211" s="25" t="n"/>
      <c r="F211" s="25" t="n"/>
      <c r="G211" s="14" t="n"/>
      <c r="H211" s="15" t="n"/>
      <c r="I211" s="15" t="n"/>
      <c r="J211" s="14" t="n"/>
      <c r="K211" s="14" t="n"/>
      <c r="L211" s="14" t="n"/>
      <c r="M211" s="14" t="n"/>
      <c r="N211" s="27" t="n"/>
      <c r="O211" s="14" t="n"/>
      <c r="P211" s="15" t="n"/>
      <c r="Q211" s="15" t="n"/>
      <c r="R211" s="15" t="n"/>
      <c r="S211" s="15" t="n"/>
      <c r="T211" s="15" t="n"/>
      <c r="U211" s="15" t="n"/>
      <c r="V211" s="28" t="n"/>
      <c r="Y211" s="9" t="n"/>
    </row>
    <row r="212">
      <c r="A212" s="24" t="n"/>
      <c r="B212" s="25" t="n"/>
      <c r="C212" s="25" t="n"/>
      <c r="D212" s="26" t="n"/>
      <c r="E212" s="25" t="n"/>
      <c r="F212" s="25" t="n"/>
      <c r="G212" s="14" t="n"/>
      <c r="H212" s="15" t="n"/>
      <c r="I212" s="15" t="n"/>
      <c r="J212" s="14" t="n"/>
      <c r="K212" s="14" t="n"/>
      <c r="L212" s="14" t="n"/>
      <c r="M212" s="14" t="n"/>
      <c r="N212" s="27" t="n"/>
      <c r="O212" s="14" t="n"/>
      <c r="P212" s="15" t="n"/>
      <c r="Q212" s="15" t="n"/>
      <c r="R212" s="15" t="n"/>
      <c r="S212" s="15" t="n"/>
      <c r="T212" s="15" t="n"/>
      <c r="U212" s="15" t="n"/>
      <c r="V212" s="28" t="n"/>
      <c r="Y212" s="9" t="n"/>
    </row>
    <row r="213">
      <c r="A213" s="24" t="n"/>
      <c r="B213" s="25" t="n"/>
      <c r="C213" s="25" t="n"/>
      <c r="D213" s="26" t="n"/>
      <c r="E213" s="25" t="n"/>
      <c r="F213" s="25" t="n"/>
      <c r="G213" s="14" t="n"/>
      <c r="H213" s="15" t="n"/>
      <c r="I213" s="15" t="n"/>
      <c r="J213" s="14" t="n"/>
      <c r="K213" s="14" t="n"/>
      <c r="L213" s="14" t="n"/>
      <c r="M213" s="14" t="n"/>
      <c r="N213" s="27" t="n"/>
      <c r="O213" s="14" t="n"/>
      <c r="P213" s="15" t="n"/>
      <c r="Q213" s="15" t="n"/>
      <c r="R213" s="15" t="n"/>
      <c r="S213" s="15" t="n"/>
      <c r="T213" s="15" t="n"/>
      <c r="U213" s="15" t="n"/>
      <c r="V213" s="28" t="n"/>
      <c r="Y213" s="9" t="n"/>
    </row>
    <row r="214">
      <c r="A214" s="24" t="n"/>
      <c r="B214" s="25" t="n"/>
      <c r="C214" s="25" t="n"/>
      <c r="D214" s="26" t="n"/>
      <c r="E214" s="25" t="n"/>
      <c r="F214" s="25" t="n"/>
      <c r="G214" s="14" t="n"/>
      <c r="H214" s="15" t="n"/>
      <c r="I214" s="15" t="n"/>
      <c r="J214" s="14" t="n"/>
      <c r="K214" s="14" t="n"/>
      <c r="L214" s="14" t="n"/>
      <c r="M214" s="14" t="n"/>
      <c r="N214" s="27" t="n"/>
      <c r="O214" s="14" t="n"/>
      <c r="P214" s="15" t="n"/>
      <c r="Q214" s="15" t="n"/>
      <c r="R214" s="15" t="n"/>
      <c r="S214" s="15" t="n"/>
      <c r="T214" s="15" t="n"/>
      <c r="U214" s="15" t="n"/>
      <c r="V214" s="28" t="n"/>
      <c r="Y214" s="9" t="n"/>
    </row>
    <row r="215">
      <c r="A215" s="24" t="n"/>
      <c r="B215" s="25" t="n"/>
      <c r="C215" s="25" t="n"/>
      <c r="D215" s="26" t="n"/>
      <c r="E215" s="25" t="n"/>
      <c r="F215" s="25" t="n"/>
      <c r="G215" s="14" t="n"/>
      <c r="H215" s="15" t="n"/>
      <c r="I215" s="15" t="n"/>
      <c r="J215" s="14" t="n"/>
      <c r="K215" s="14" t="n"/>
      <c r="L215" s="14" t="n"/>
      <c r="M215" s="14" t="n"/>
      <c r="N215" s="27" t="n"/>
      <c r="O215" s="14" t="n"/>
      <c r="P215" s="15" t="n"/>
      <c r="Q215" s="15" t="n"/>
      <c r="R215" s="15" t="n"/>
      <c r="S215" s="15" t="n"/>
      <c r="T215" s="15" t="n"/>
      <c r="U215" s="15" t="n"/>
      <c r="V215" s="28" t="n"/>
      <c r="Y215" s="9" t="n"/>
    </row>
    <row r="216">
      <c r="A216" s="29" t="n"/>
      <c r="B216" s="30" t="n"/>
      <c r="C216" s="30" t="n"/>
      <c r="D216" s="31" t="n"/>
      <c r="E216" s="30" t="n"/>
      <c r="F216" s="30" t="n"/>
      <c r="G216" s="12" t="n"/>
      <c r="H216" s="9" t="n"/>
      <c r="I216" s="9" t="n"/>
      <c r="J216" s="12" t="n"/>
      <c r="K216" s="12" t="n"/>
      <c r="L216" s="12" t="n"/>
      <c r="M216" s="12" t="n"/>
      <c r="N216" s="32" t="n"/>
      <c r="O216" s="12" t="n"/>
      <c r="P216" s="9" t="n"/>
      <c r="Q216" s="9" t="n"/>
      <c r="R216" s="9" t="n"/>
      <c r="S216" s="9" t="n"/>
      <c r="T216" s="9" t="n"/>
      <c r="U216" s="9" t="n"/>
      <c r="V216" s="54" t="n"/>
      <c r="Y216" s="9" t="n"/>
    </row>
    <row r="217">
      <c r="A217" s="34" t="n"/>
      <c r="B217" s="17" t="n"/>
      <c r="C217" s="17" t="n"/>
      <c r="D217" s="35" t="n"/>
      <c r="E217" s="30" t="n"/>
      <c r="F217" s="30" t="n"/>
      <c r="G217" s="12" t="n"/>
      <c r="H217" s="9" t="n"/>
      <c r="I217" s="9" t="n"/>
      <c r="J217" s="12" t="n"/>
      <c r="K217" s="12" t="n"/>
      <c r="L217" s="12" t="n"/>
      <c r="M217" s="12" t="n"/>
      <c r="N217" s="32" t="n"/>
      <c r="O217" s="12" t="n"/>
      <c r="P217" s="9" t="n"/>
      <c r="Q217" s="9" t="n"/>
      <c r="R217" s="9" t="n"/>
      <c r="S217" s="9" t="n"/>
      <c r="T217" s="9" t="n"/>
      <c r="U217" s="9" t="n"/>
      <c r="V217" s="54" t="n"/>
      <c r="Y217" s="9" t="n"/>
    </row>
    <row r="218">
      <c r="A218" s="34" t="n"/>
      <c r="B218" s="17" t="n"/>
      <c r="C218" s="17" t="n"/>
      <c r="D218" s="35" t="n"/>
      <c r="E218" s="30" t="n"/>
      <c r="F218" s="30" t="n"/>
      <c r="G218" s="12" t="n"/>
      <c r="H218" s="9" t="n"/>
      <c r="I218" s="9" t="n"/>
      <c r="J218" s="12" t="n"/>
      <c r="K218" s="12" t="n"/>
      <c r="L218" s="12" t="n"/>
      <c r="M218" s="12" t="n"/>
      <c r="N218" s="32" t="n"/>
      <c r="O218" s="12" t="n"/>
      <c r="P218" s="9" t="n"/>
      <c r="Q218" s="9" t="n"/>
      <c r="R218" s="9" t="n"/>
      <c r="S218" s="9" t="n"/>
      <c r="T218" s="9" t="n"/>
      <c r="U218" s="9" t="n"/>
      <c r="V218" s="54" t="n"/>
      <c r="Y218" s="9" t="n"/>
    </row>
    <row r="219">
      <c r="A219" s="34" t="n"/>
      <c r="B219" s="17" t="n"/>
      <c r="C219" s="17" t="n"/>
      <c r="D219" s="35" t="n"/>
      <c r="E219" s="30" t="n"/>
      <c r="F219" s="30" t="n"/>
      <c r="G219" s="12" t="n"/>
      <c r="H219" s="9" t="n"/>
      <c r="I219" s="9" t="n"/>
      <c r="J219" s="12" t="n"/>
      <c r="K219" s="12" t="n"/>
      <c r="L219" s="12" t="n"/>
      <c r="M219" s="12" t="n"/>
      <c r="N219" s="32" t="n"/>
      <c r="O219" s="12" t="n"/>
      <c r="P219" s="9" t="n"/>
      <c r="Q219" s="9" t="n"/>
      <c r="R219" s="9" t="n"/>
      <c r="S219" s="9" t="n"/>
      <c r="T219" s="9" t="n"/>
      <c r="U219" s="9" t="n"/>
      <c r="V219" s="54" t="n"/>
      <c r="Y219" s="9" t="n"/>
    </row>
    <row r="220">
      <c r="A220" s="34" t="n"/>
      <c r="B220" s="17" t="n"/>
      <c r="C220" s="17" t="n"/>
      <c r="D220" s="35" t="n"/>
      <c r="E220" s="30" t="n"/>
      <c r="F220" s="30" t="n"/>
      <c r="G220" s="12" t="n"/>
      <c r="H220" s="9" t="n"/>
      <c r="I220" s="9" t="n"/>
      <c r="J220" s="12" t="n"/>
      <c r="K220" s="12" t="n"/>
      <c r="L220" s="12" t="n"/>
      <c r="M220" s="12" t="n"/>
      <c r="N220" s="32" t="n"/>
      <c r="O220" s="12" t="n"/>
      <c r="P220" s="9" t="n"/>
      <c r="Q220" s="9" t="n"/>
      <c r="R220" s="9" t="n"/>
      <c r="S220" s="9" t="n"/>
      <c r="T220" s="9" t="n"/>
      <c r="U220" s="9" t="n"/>
      <c r="V220" s="54" t="n"/>
      <c r="Y220" s="9" t="n"/>
    </row>
    <row r="221">
      <c r="A221" s="34" t="n"/>
      <c r="B221" s="17" t="n"/>
      <c r="C221" s="17" t="n"/>
      <c r="D221" s="35" t="n"/>
      <c r="E221" s="30" t="n"/>
      <c r="F221" s="30" t="n"/>
      <c r="G221" s="18" t="n"/>
      <c r="H221" s="9" t="n"/>
      <c r="I221" s="9" t="n"/>
      <c r="J221" s="18" t="n"/>
      <c r="K221" s="12" t="n"/>
      <c r="L221" s="18" t="n"/>
      <c r="M221" s="18" t="n"/>
      <c r="N221" s="32" t="n"/>
      <c r="O221" s="12" t="n"/>
      <c r="P221" s="9" t="n"/>
      <c r="Q221" s="9" t="n"/>
      <c r="R221" s="9" t="n"/>
      <c r="S221" s="9" t="n"/>
      <c r="T221" s="9" t="n"/>
      <c r="U221" s="9" t="n"/>
      <c r="Y221" s="9" t="n"/>
    </row>
    <row r="222">
      <c r="A222" s="16" t="n"/>
      <c r="B222" s="9" t="n"/>
      <c r="C222" s="9" t="n"/>
      <c r="D222" s="36" t="n"/>
      <c r="E222" s="30" t="n"/>
      <c r="F222" s="30" t="n"/>
      <c r="G222" s="18" t="n"/>
      <c r="H222" s="9" t="n"/>
      <c r="I222" s="9" t="n"/>
      <c r="J222" s="18" t="n"/>
      <c r="K222" s="12" t="n"/>
      <c r="L222" s="18" t="n"/>
      <c r="M222" s="18" t="n"/>
      <c r="N222" s="32" t="n"/>
      <c r="O222" s="12" t="n"/>
      <c r="P222" s="9" t="n"/>
      <c r="Q222" s="9" t="n"/>
      <c r="R222" s="9" t="n"/>
      <c r="S222" s="9" t="n"/>
      <c r="T222" s="9" t="n"/>
      <c r="U222" s="9" t="n"/>
      <c r="Y222" s="9" t="n"/>
    </row>
    <row r="223">
      <c r="A223" s="16" t="n"/>
      <c r="B223" s="9" t="n"/>
      <c r="C223" s="9" t="n"/>
      <c r="D223" s="9" t="n"/>
      <c r="E223" s="30" t="n"/>
      <c r="F223" s="30" t="n"/>
      <c r="G223" s="18" t="n"/>
      <c r="H223" s="9" t="n"/>
      <c r="I223" s="9" t="n"/>
      <c r="J223" s="18" t="n"/>
      <c r="K223" s="12" t="n"/>
      <c r="L223" s="18" t="n"/>
      <c r="M223" s="18" t="n"/>
      <c r="N223" s="32" t="n"/>
      <c r="O223" s="12" t="n"/>
      <c r="P223" s="9" t="n"/>
      <c r="Q223" s="9" t="n"/>
      <c r="R223" s="9" t="n"/>
      <c r="S223" s="9" t="n"/>
      <c r="T223" s="9" t="n"/>
      <c r="U223" s="9" t="n"/>
      <c r="Y223" s="9" t="n"/>
    </row>
    <row r="224">
      <c r="A224" s="16" t="n"/>
      <c r="B224" s="9" t="n"/>
      <c r="C224" s="9" t="n"/>
      <c r="D224" s="9" t="n"/>
      <c r="E224" s="30" t="n"/>
      <c r="F224" s="30" t="n"/>
      <c r="G224" s="18" t="n"/>
      <c r="H224" s="9" t="n"/>
      <c r="I224" s="9" t="n"/>
      <c r="J224" s="18" t="n"/>
      <c r="K224" s="12" t="n"/>
      <c r="L224" s="18" t="n"/>
      <c r="M224" s="18" t="n"/>
      <c r="N224" s="32" t="n"/>
      <c r="O224" s="12" t="n"/>
      <c r="P224" s="9" t="n"/>
      <c r="Q224" s="9" t="n"/>
      <c r="R224" s="9" t="n"/>
      <c r="S224" s="9" t="n"/>
      <c r="T224" s="9" t="n"/>
      <c r="U224" s="9" t="n"/>
      <c r="Y224" s="9" t="n"/>
    </row>
    <row r="225">
      <c r="A225" s="16" t="n"/>
      <c r="B225" s="9" t="n"/>
      <c r="C225" s="9" t="n"/>
      <c r="D225" s="9" t="n"/>
      <c r="E225" s="30" t="n"/>
      <c r="F225" s="30" t="n"/>
      <c r="G225" s="18" t="n"/>
      <c r="H225" s="9" t="n"/>
      <c r="I225" s="9" t="n"/>
      <c r="J225" s="18" t="n"/>
      <c r="K225" s="12" t="n"/>
      <c r="L225" s="18" t="n"/>
      <c r="M225" s="18" t="n"/>
      <c r="N225" s="32" t="n"/>
      <c r="O225" s="12" t="n"/>
      <c r="P225" s="9" t="n"/>
      <c r="Q225" s="9" t="n"/>
      <c r="R225" s="9" t="n"/>
      <c r="S225" s="9" t="n"/>
      <c r="T225" s="9" t="n"/>
      <c r="U225" s="9" t="n"/>
      <c r="Y225" s="9" t="n"/>
    </row>
    <row r="226">
      <c r="A226" s="16" t="n"/>
      <c r="B226" s="9" t="n"/>
      <c r="C226" s="9" t="n"/>
      <c r="D226" s="9" t="n"/>
      <c r="E226" s="30" t="n"/>
      <c r="F226" s="30" t="n"/>
      <c r="G226" s="18" t="n"/>
      <c r="H226" s="9" t="n"/>
      <c r="I226" s="9" t="n"/>
      <c r="J226" s="18" t="n"/>
      <c r="K226" s="12" t="n"/>
      <c r="L226" s="18" t="n"/>
      <c r="M226" s="18" t="n"/>
      <c r="N226" s="32" t="n"/>
      <c r="O226" s="12" t="n"/>
      <c r="P226" s="9" t="n"/>
      <c r="Q226" s="9" t="n"/>
      <c r="R226" s="9" t="n"/>
      <c r="S226" s="9" t="n"/>
      <c r="T226" s="9" t="n"/>
      <c r="U226" s="9" t="n"/>
      <c r="Y226" s="9" t="n"/>
    </row>
    <row r="227">
      <c r="A227" s="16" t="n"/>
      <c r="B227" s="9" t="n"/>
      <c r="C227" s="9" t="n"/>
      <c r="D227" s="9" t="n"/>
      <c r="E227" s="30" t="n"/>
      <c r="F227" s="30" t="n"/>
      <c r="G227" s="18" t="n"/>
      <c r="H227" s="9" t="n"/>
      <c r="I227" s="9" t="n"/>
      <c r="J227" s="18" t="n"/>
      <c r="K227" s="12" t="n"/>
      <c r="L227" s="18" t="n"/>
      <c r="M227" s="18" t="n"/>
      <c r="N227" s="32" t="n"/>
      <c r="O227" s="12" t="n"/>
      <c r="P227" s="9" t="n"/>
      <c r="Q227" s="9" t="n"/>
      <c r="R227" s="9" t="n"/>
      <c r="S227" s="9" t="n"/>
      <c r="T227" s="9" t="n"/>
      <c r="U227" s="9" t="n"/>
      <c r="Y227" s="9" t="n"/>
    </row>
    <row r="228">
      <c r="A228" s="16" t="n"/>
      <c r="B228" s="9" t="n"/>
      <c r="C228" s="9" t="n"/>
      <c r="D228" s="9" t="n"/>
      <c r="E228" s="30" t="n"/>
      <c r="F228" s="30" t="n"/>
      <c r="G228" s="18" t="n"/>
      <c r="H228" s="9" t="n"/>
      <c r="I228" s="9" t="n"/>
      <c r="J228" s="18" t="n"/>
      <c r="K228" s="12" t="n"/>
      <c r="L228" s="18" t="n"/>
      <c r="M228" s="18" t="n"/>
      <c r="N228" s="32" t="n"/>
      <c r="O228" s="12" t="n"/>
      <c r="P228" s="9" t="n"/>
      <c r="Q228" s="9" t="n"/>
      <c r="R228" s="9" t="n"/>
      <c r="S228" s="9" t="n"/>
      <c r="T228" s="9" t="n"/>
      <c r="U228" s="9" t="n"/>
      <c r="Y228" s="9" t="n"/>
    </row>
    <row r="229">
      <c r="A229" s="16" t="n"/>
      <c r="B229" s="9" t="n"/>
      <c r="C229" s="9" t="n"/>
      <c r="D229" s="9" t="n"/>
      <c r="E229" s="30" t="n"/>
      <c r="F229" s="30" t="n"/>
      <c r="G229" s="18" t="n"/>
      <c r="H229" s="9" t="n"/>
      <c r="I229" s="9" t="n"/>
      <c r="J229" s="18" t="n"/>
      <c r="K229" s="12" t="n"/>
      <c r="L229" s="18" t="n"/>
      <c r="M229" s="18" t="n"/>
      <c r="N229" s="32" t="n"/>
      <c r="O229" s="12" t="n"/>
      <c r="P229" s="9" t="n"/>
      <c r="Q229" s="9" t="n"/>
      <c r="R229" s="9" t="n"/>
      <c r="S229" s="9" t="n"/>
      <c r="T229" s="9" t="n"/>
      <c r="U229" s="9" t="n"/>
      <c r="Y229" s="9" t="n"/>
    </row>
    <row r="230">
      <c r="A230" s="16" t="n"/>
      <c r="B230" s="9" t="n"/>
      <c r="C230" s="9" t="n"/>
      <c r="D230" s="9" t="n"/>
      <c r="E230" s="30" t="n"/>
      <c r="F230" s="30" t="n"/>
      <c r="G230" s="18" t="n"/>
      <c r="H230" s="9" t="n"/>
      <c r="I230" s="9" t="n"/>
      <c r="J230" s="18" t="n"/>
      <c r="K230" s="12" t="n"/>
      <c r="L230" s="18" t="n"/>
      <c r="M230" s="18" t="n"/>
      <c r="N230" s="32" t="n"/>
      <c r="O230" s="12" t="n"/>
      <c r="P230" s="9" t="n"/>
      <c r="Q230" s="9" t="n"/>
      <c r="R230" s="9" t="n"/>
      <c r="S230" s="9" t="n"/>
      <c r="T230" s="9" t="n"/>
      <c r="U230" s="9" t="n"/>
      <c r="Y230" s="9" t="n"/>
    </row>
    <row r="231">
      <c r="A231" s="16" t="n"/>
      <c r="B231" s="9" t="n"/>
      <c r="C231" s="9" t="n"/>
      <c r="D231" s="9" t="n"/>
      <c r="E231" s="30" t="n"/>
      <c r="F231" s="30" t="n"/>
      <c r="G231" s="18" t="n"/>
      <c r="H231" s="9" t="n"/>
      <c r="I231" s="9" t="n"/>
      <c r="J231" s="18" t="n"/>
      <c r="K231" s="12" t="n"/>
      <c r="L231" s="18" t="n"/>
      <c r="M231" s="18" t="n"/>
      <c r="N231" s="32" t="n"/>
      <c r="O231" s="12" t="n"/>
      <c r="P231" s="9" t="n"/>
      <c r="Q231" s="9" t="n"/>
      <c r="R231" s="9" t="n"/>
      <c r="S231" s="9" t="n"/>
      <c r="T231" s="9" t="n"/>
      <c r="U231" s="9" t="n"/>
      <c r="Y231" s="9" t="n"/>
    </row>
    <row r="232">
      <c r="A232" s="16" t="n"/>
      <c r="B232" s="9" t="n"/>
      <c r="C232" s="9" t="n"/>
      <c r="D232" s="9" t="n"/>
      <c r="E232" s="30" t="n"/>
      <c r="F232" s="30" t="n"/>
      <c r="G232" s="18" t="n"/>
      <c r="H232" s="9" t="n"/>
      <c r="I232" s="9" t="n"/>
      <c r="J232" s="18" t="n"/>
      <c r="K232" s="12" t="n"/>
      <c r="L232" s="18" t="n"/>
      <c r="M232" s="18" t="n"/>
      <c r="N232" s="32" t="n"/>
      <c r="O232" s="12" t="n"/>
      <c r="P232" s="9" t="n"/>
      <c r="Q232" s="9" t="n"/>
      <c r="R232" s="9" t="n"/>
      <c r="S232" s="9" t="n"/>
      <c r="T232" s="9" t="n"/>
      <c r="U232" s="9" t="n"/>
      <c r="Y232" s="9" t="n"/>
    </row>
    <row r="233">
      <c r="A233" s="16" t="n"/>
      <c r="B233" s="9" t="n"/>
      <c r="C233" s="9" t="n"/>
      <c r="D233" s="9" t="n"/>
      <c r="E233" s="30" t="n"/>
      <c r="F233" s="30" t="n"/>
      <c r="G233" s="18" t="n"/>
      <c r="H233" s="9" t="n"/>
      <c r="I233" s="9" t="n"/>
      <c r="J233" s="18" t="n"/>
      <c r="K233" s="12" t="n"/>
      <c r="L233" s="18" t="n"/>
      <c r="M233" s="18" t="n"/>
      <c r="N233" s="32" t="n"/>
      <c r="O233" s="12" t="n"/>
      <c r="P233" s="9" t="n"/>
      <c r="Q233" s="9" t="n"/>
      <c r="R233" s="9" t="n"/>
      <c r="S233" s="9" t="n"/>
      <c r="T233" s="9" t="n"/>
      <c r="U233" s="9" t="n"/>
      <c r="Y233" s="9" t="n"/>
    </row>
    <row r="234">
      <c r="A234" s="16" t="n"/>
      <c r="B234" s="9" t="n"/>
      <c r="C234" s="9" t="n"/>
      <c r="D234" s="9" t="n"/>
      <c r="E234" s="30" t="n"/>
      <c r="F234" s="30" t="n"/>
      <c r="G234" s="18" t="n"/>
      <c r="H234" s="9" t="n"/>
      <c r="I234" s="9" t="n"/>
      <c r="J234" s="18" t="n"/>
      <c r="K234" s="12" t="n"/>
      <c r="L234" s="18" t="n"/>
      <c r="M234" s="18" t="n"/>
      <c r="N234" s="32" t="n"/>
      <c r="O234" s="12" t="n"/>
      <c r="P234" s="9" t="n"/>
      <c r="Q234" s="9" t="n"/>
      <c r="R234" s="9" t="n"/>
      <c r="S234" s="9" t="n"/>
      <c r="T234" s="9" t="n"/>
      <c r="U234" s="9" t="n"/>
      <c r="Y234" s="9" t="n"/>
    </row>
    <row r="235">
      <c r="A235" s="16" t="n"/>
      <c r="B235" s="9" t="n"/>
      <c r="C235" s="9" t="n"/>
      <c r="D235" s="9" t="n"/>
      <c r="E235" s="30" t="n"/>
      <c r="F235" s="30" t="n"/>
      <c r="G235" s="18" t="n"/>
      <c r="H235" s="9" t="n"/>
      <c r="I235" s="9" t="n"/>
      <c r="J235" s="18" t="n"/>
      <c r="K235" s="12" t="n"/>
      <c r="L235" s="18" t="n"/>
      <c r="M235" s="18" t="n"/>
      <c r="N235" s="32" t="n"/>
      <c r="O235" s="12" t="n"/>
      <c r="P235" s="9" t="n"/>
      <c r="Q235" s="9" t="n"/>
      <c r="R235" s="9" t="n"/>
      <c r="S235" s="9" t="n"/>
      <c r="T235" s="9" t="n"/>
      <c r="U235" s="9" t="n"/>
      <c r="Y235" s="9" t="n"/>
    </row>
    <row r="236">
      <c r="A236" s="16" t="n"/>
      <c r="B236" s="9" t="n"/>
      <c r="C236" s="9" t="n"/>
      <c r="D236" s="9" t="n"/>
      <c r="E236" s="30" t="n"/>
      <c r="F236" s="30" t="n"/>
      <c r="G236" s="18" t="n"/>
      <c r="H236" s="9" t="n"/>
      <c r="I236" s="9" t="n"/>
      <c r="J236" s="18" t="n"/>
      <c r="K236" s="12" t="n"/>
      <c r="L236" s="18" t="n"/>
      <c r="M236" s="18" t="n"/>
      <c r="N236" s="32" t="n"/>
      <c r="O236" s="12" t="n"/>
      <c r="P236" s="9" t="n"/>
      <c r="Q236" s="9" t="n"/>
      <c r="R236" s="9" t="n"/>
      <c r="S236" s="9" t="n"/>
      <c r="T236" s="9" t="n"/>
      <c r="U236" s="9" t="n"/>
      <c r="Y236" s="9" t="n"/>
    </row>
    <row r="237">
      <c r="A237" s="16" t="n"/>
      <c r="B237" s="9" t="n"/>
      <c r="C237" s="9" t="n"/>
      <c r="D237" s="9" t="n"/>
      <c r="E237" s="30" t="n"/>
      <c r="F237" s="30" t="n"/>
      <c r="G237" s="18" t="n"/>
      <c r="H237" s="9" t="n"/>
      <c r="I237" s="9" t="n"/>
      <c r="J237" s="18" t="n"/>
      <c r="K237" s="12" t="n"/>
      <c r="L237" s="18" t="n"/>
      <c r="M237" s="18" t="n"/>
      <c r="N237" s="32" t="n"/>
      <c r="O237" s="12" t="n"/>
      <c r="P237" s="9" t="n"/>
      <c r="Q237" s="9" t="n"/>
      <c r="R237" s="9" t="n"/>
      <c r="S237" s="9" t="n"/>
      <c r="T237" s="9" t="n"/>
      <c r="U237" s="9" t="n"/>
      <c r="Y237" s="9" t="n"/>
    </row>
    <row r="238">
      <c r="A238" s="16" t="n"/>
      <c r="B238" s="9" t="n"/>
      <c r="C238" s="9" t="n"/>
      <c r="D238" s="9" t="n"/>
      <c r="E238" s="30" t="n"/>
      <c r="F238" s="30" t="n"/>
      <c r="G238" s="18" t="n"/>
      <c r="H238" s="9" t="n"/>
      <c r="I238" s="9" t="n"/>
      <c r="J238" s="18" t="n"/>
      <c r="K238" s="12" t="n"/>
      <c r="L238" s="18" t="n"/>
      <c r="M238" s="18" t="n"/>
      <c r="N238" s="32" t="n"/>
      <c r="O238" s="12" t="n"/>
      <c r="P238" s="9" t="n"/>
      <c r="Q238" s="9" t="n"/>
      <c r="R238" s="9" t="n"/>
      <c r="S238" s="9" t="n"/>
      <c r="T238" s="9" t="n"/>
      <c r="U238" s="9" t="n"/>
      <c r="Y238" s="9" t="n"/>
    </row>
    <row r="239">
      <c r="A239" s="16" t="n"/>
      <c r="B239" s="9" t="n"/>
      <c r="C239" s="9" t="n"/>
      <c r="D239" s="9" t="n"/>
      <c r="E239" s="30" t="n"/>
      <c r="F239" s="30" t="n"/>
      <c r="G239" s="18" t="n"/>
      <c r="H239" s="9" t="n"/>
      <c r="I239" s="9" t="n"/>
      <c r="J239" s="18" t="n"/>
      <c r="K239" s="12" t="n"/>
      <c r="L239" s="18" t="n"/>
      <c r="M239" s="18" t="n"/>
      <c r="N239" s="32" t="n"/>
      <c r="O239" s="12" t="n"/>
      <c r="P239" s="9" t="n"/>
      <c r="Q239" s="9" t="n"/>
      <c r="R239" s="9" t="n"/>
      <c r="S239" s="9" t="n"/>
      <c r="T239" s="9" t="n"/>
      <c r="U239" s="9" t="n"/>
      <c r="Y239" s="9" t="n"/>
    </row>
    <row r="240">
      <c r="A240" s="16" t="n"/>
      <c r="B240" s="9" t="n"/>
      <c r="C240" s="9" t="n"/>
      <c r="D240" s="9" t="n"/>
      <c r="E240" s="30" t="n"/>
      <c r="F240" s="30" t="n"/>
      <c r="G240" s="18" t="n"/>
      <c r="H240" s="9" t="n"/>
      <c r="I240" s="9" t="n"/>
      <c r="J240" s="18" t="n"/>
      <c r="K240" s="12" t="n"/>
      <c r="L240" s="18" t="n"/>
      <c r="M240" s="18" t="n"/>
      <c r="N240" s="32" t="n"/>
      <c r="O240" s="12" t="n"/>
      <c r="P240" s="9" t="n"/>
      <c r="Q240" s="9" t="n"/>
      <c r="R240" s="9" t="n"/>
      <c r="S240" s="9" t="n"/>
      <c r="T240" s="9" t="n"/>
      <c r="U240" s="9" t="n"/>
      <c r="Y240" s="9" t="n"/>
    </row>
    <row r="241">
      <c r="A241" s="16" t="n"/>
      <c r="B241" s="9" t="n"/>
      <c r="C241" s="9" t="n"/>
      <c r="D241" s="9" t="n"/>
      <c r="E241" s="30" t="n"/>
      <c r="F241" s="30" t="n"/>
      <c r="G241" s="18" t="n"/>
      <c r="H241" s="9" t="n"/>
      <c r="I241" s="9" t="n"/>
      <c r="J241" s="18" t="n"/>
      <c r="K241" s="12" t="n"/>
      <c r="L241" s="18" t="n"/>
      <c r="M241" s="18" t="n"/>
      <c r="N241" s="32" t="n"/>
      <c r="O241" s="12" t="n"/>
      <c r="P241" s="9" t="n"/>
      <c r="Q241" s="9" t="n"/>
      <c r="R241" s="9" t="n"/>
      <c r="S241" s="9" t="n"/>
      <c r="T241" s="9" t="n"/>
      <c r="U241" s="9" t="n"/>
      <c r="Y241" s="9" t="n"/>
    </row>
    <row r="242">
      <c r="A242" s="16" t="n"/>
      <c r="B242" s="9" t="n"/>
      <c r="C242" s="9" t="n"/>
      <c r="D242" s="9" t="n"/>
      <c r="E242" s="30" t="n"/>
      <c r="F242" s="30" t="n"/>
      <c r="G242" s="18" t="n"/>
      <c r="H242" s="9" t="n"/>
      <c r="I242" s="9" t="n"/>
      <c r="J242" s="18" t="n"/>
      <c r="K242" s="12" t="n"/>
      <c r="L242" s="18" t="n"/>
      <c r="M242" s="18" t="n"/>
      <c r="N242" s="32" t="n"/>
      <c r="O242" s="12" t="n"/>
      <c r="P242" s="9" t="n"/>
      <c r="Q242" s="9" t="n"/>
      <c r="R242" s="9" t="n"/>
      <c r="S242" s="9" t="n"/>
      <c r="T242" s="9" t="n"/>
      <c r="U242" s="9" t="n"/>
      <c r="Y242" s="9" t="n"/>
    </row>
    <row r="243">
      <c r="A243" s="16" t="n"/>
      <c r="B243" s="9" t="n"/>
      <c r="C243" s="9" t="n"/>
      <c r="D243" s="9" t="n"/>
      <c r="E243" s="30" t="n"/>
      <c r="F243" s="30" t="n"/>
      <c r="G243" s="18" t="n"/>
      <c r="H243" s="9" t="n"/>
      <c r="I243" s="9" t="n"/>
      <c r="J243" s="18" t="n"/>
      <c r="K243" s="12" t="n"/>
      <c r="L243" s="18" t="n"/>
      <c r="M243" s="18" t="n"/>
      <c r="N243" s="32" t="n"/>
      <c r="O243" s="12" t="n"/>
      <c r="P243" s="9" t="n"/>
      <c r="Q243" s="9" t="n"/>
      <c r="R243" s="9" t="n"/>
      <c r="S243" s="9" t="n"/>
      <c r="T243" s="9" t="n"/>
      <c r="U243" s="9" t="n"/>
      <c r="Y243" s="9" t="n"/>
    </row>
    <row r="244">
      <c r="A244" s="16" t="n"/>
      <c r="B244" s="9" t="n"/>
      <c r="C244" s="9" t="n"/>
      <c r="D244" s="9" t="n"/>
      <c r="E244" s="30" t="n"/>
      <c r="F244" s="30" t="n"/>
      <c r="G244" s="18" t="n"/>
      <c r="H244" s="9" t="n"/>
      <c r="I244" s="9" t="n"/>
      <c r="J244" s="18" t="n"/>
      <c r="K244" s="12" t="n"/>
      <c r="L244" s="18" t="n"/>
      <c r="M244" s="18" t="n"/>
      <c r="N244" s="32" t="n"/>
      <c r="O244" s="12" t="n"/>
      <c r="P244" s="9" t="n"/>
      <c r="Q244" s="9" t="n"/>
      <c r="R244" s="9" t="n"/>
      <c r="S244" s="9" t="n"/>
      <c r="T244" s="9" t="n"/>
      <c r="U244" s="9" t="n"/>
      <c r="Y244" s="9" t="n"/>
    </row>
    <row r="245">
      <c r="A245" s="16" t="n"/>
      <c r="B245" s="9" t="n"/>
      <c r="C245" s="9" t="n"/>
      <c r="D245" s="9" t="n"/>
      <c r="E245" s="30" t="n"/>
      <c r="F245" s="30" t="n"/>
      <c r="G245" s="18" t="n"/>
      <c r="H245" s="9" t="n"/>
      <c r="I245" s="9" t="n"/>
      <c r="J245" s="18" t="n"/>
      <c r="K245" s="12" t="n"/>
      <c r="L245" s="18" t="n"/>
      <c r="M245" s="18" t="n"/>
      <c r="N245" s="32" t="n"/>
      <c r="O245" s="12" t="n"/>
      <c r="P245" s="9" t="n"/>
      <c r="Q245" s="9" t="n"/>
      <c r="R245" s="9" t="n"/>
      <c r="S245" s="9" t="n"/>
      <c r="T245" s="9" t="n"/>
      <c r="U245" s="9" t="n"/>
      <c r="Y245" s="9" t="n"/>
    </row>
    <row r="246">
      <c r="A246" s="16" t="n"/>
      <c r="B246" s="9" t="n"/>
      <c r="C246" s="9" t="n"/>
      <c r="D246" s="9" t="n"/>
      <c r="E246" s="30" t="n"/>
      <c r="F246" s="30" t="n"/>
      <c r="G246" s="18" t="n"/>
      <c r="H246" s="9" t="n"/>
      <c r="I246" s="9" t="n"/>
      <c r="J246" s="18" t="n"/>
      <c r="K246" s="12" t="n"/>
      <c r="L246" s="18" t="n"/>
      <c r="M246" s="18" t="n"/>
      <c r="N246" s="32" t="n"/>
      <c r="O246" s="12" t="n"/>
      <c r="P246" s="9" t="n"/>
      <c r="Q246" s="9" t="n"/>
      <c r="R246" s="9" t="n"/>
      <c r="S246" s="9" t="n"/>
      <c r="T246" s="9" t="n"/>
      <c r="U246" s="9" t="n"/>
      <c r="Y246" s="9" t="n"/>
    </row>
    <row r="247">
      <c r="A247" s="16" t="n"/>
      <c r="B247" s="9" t="n"/>
      <c r="C247" s="9" t="n"/>
      <c r="D247" s="9" t="n"/>
      <c r="E247" s="30" t="n"/>
      <c r="F247" s="30" t="n"/>
      <c r="G247" s="18" t="n"/>
      <c r="H247" s="9" t="n"/>
      <c r="I247" s="9" t="n"/>
      <c r="J247" s="18" t="n"/>
      <c r="K247" s="12" t="n"/>
      <c r="L247" s="18" t="n"/>
      <c r="M247" s="18" t="n"/>
      <c r="N247" s="32" t="n"/>
      <c r="O247" s="12" t="n"/>
      <c r="P247" s="9" t="n"/>
      <c r="Q247" s="9" t="n"/>
      <c r="R247" s="9" t="n"/>
      <c r="S247" s="9" t="n"/>
      <c r="T247" s="9" t="n"/>
      <c r="U247" s="9" t="n"/>
      <c r="Y247" s="9" t="n"/>
    </row>
    <row r="248">
      <c r="A248" s="16" t="n"/>
      <c r="B248" s="9" t="n"/>
      <c r="C248" s="9" t="n"/>
      <c r="D248" s="9" t="n"/>
      <c r="E248" s="30" t="n"/>
      <c r="F248" s="30" t="n"/>
      <c r="G248" s="18" t="n"/>
      <c r="H248" s="9" t="n"/>
      <c r="I248" s="9" t="n"/>
      <c r="J248" s="18" t="n"/>
      <c r="K248" s="12" t="n"/>
      <c r="L248" s="18" t="n"/>
      <c r="M248" s="18" t="n"/>
      <c r="N248" s="32" t="n"/>
      <c r="O248" s="12" t="n"/>
      <c r="P248" s="9" t="n"/>
      <c r="Q248" s="9" t="n"/>
      <c r="R248" s="9" t="n"/>
      <c r="S248" s="9" t="n"/>
      <c r="T248" s="9" t="n"/>
      <c r="U248" s="9" t="n"/>
      <c r="Y248" s="9" t="n"/>
    </row>
    <row r="249">
      <c r="A249" s="16" t="n"/>
      <c r="B249" s="9" t="n"/>
      <c r="C249" s="9" t="n"/>
      <c r="D249" s="9" t="n"/>
      <c r="E249" s="30" t="n"/>
      <c r="F249" s="30" t="n"/>
      <c r="G249" s="18" t="n"/>
      <c r="H249" s="9" t="n"/>
      <c r="I249" s="9" t="n"/>
      <c r="J249" s="18" t="n"/>
      <c r="K249" s="12" t="n"/>
      <c r="L249" s="18" t="n"/>
      <c r="M249" s="18" t="n"/>
      <c r="N249" s="32" t="n"/>
      <c r="O249" s="12" t="n"/>
      <c r="P249" s="9" t="n"/>
      <c r="Q249" s="9" t="n"/>
      <c r="R249" s="9" t="n"/>
      <c r="S249" s="9" t="n"/>
      <c r="T249" s="9" t="n"/>
      <c r="U249" s="9" t="n"/>
      <c r="Y249" s="9" t="n"/>
    </row>
    <row r="250">
      <c r="A250" s="16" t="n"/>
      <c r="B250" s="9" t="n"/>
      <c r="C250" s="9" t="n"/>
      <c r="D250" s="9" t="n"/>
      <c r="E250" s="30" t="n"/>
      <c r="F250" s="30" t="n"/>
      <c r="G250" s="18" t="n"/>
      <c r="H250" s="9" t="n"/>
      <c r="I250" s="9" t="n"/>
      <c r="J250" s="18" t="n"/>
      <c r="K250" s="12" t="n"/>
      <c r="L250" s="18" t="n"/>
      <c r="M250" s="18" t="n"/>
      <c r="N250" s="32" t="n"/>
      <c r="O250" s="12" t="n"/>
      <c r="P250" s="9" t="n"/>
      <c r="Q250" s="9" t="n"/>
      <c r="R250" s="9" t="n"/>
      <c r="S250" s="9" t="n"/>
      <c r="T250" s="9" t="n"/>
      <c r="U250" s="9" t="n"/>
      <c r="Y250" s="9" t="n"/>
    </row>
    <row r="251">
      <c r="A251" s="16" t="n"/>
      <c r="B251" s="9" t="n"/>
      <c r="C251" s="9" t="n"/>
      <c r="D251" s="9" t="n"/>
      <c r="E251" s="30" t="n"/>
      <c r="F251" s="30" t="n"/>
      <c r="G251" s="18" t="n"/>
      <c r="H251" s="9" t="n"/>
      <c r="I251" s="9" t="n"/>
      <c r="J251" s="18" t="n"/>
      <c r="K251" s="12" t="n"/>
      <c r="L251" s="18" t="n"/>
      <c r="M251" s="18" t="n"/>
      <c r="N251" s="32" t="n"/>
      <c r="O251" s="12" t="n"/>
      <c r="P251" s="9" t="n"/>
      <c r="Q251" s="9" t="n"/>
      <c r="R251" s="9" t="n"/>
      <c r="S251" s="9" t="n"/>
      <c r="T251" s="9" t="n"/>
      <c r="U251" s="9" t="n"/>
      <c r="Y251" s="9" t="n"/>
    </row>
    <row r="252">
      <c r="A252" s="16" t="n"/>
      <c r="B252" s="9" t="n"/>
      <c r="C252" s="9" t="n"/>
      <c r="D252" s="9" t="n"/>
      <c r="E252" s="30" t="n"/>
      <c r="F252" s="30" t="n"/>
      <c r="G252" s="18" t="n"/>
      <c r="H252" s="9" t="n"/>
      <c r="I252" s="9" t="n"/>
      <c r="J252" s="18" t="n"/>
      <c r="K252" s="12" t="n"/>
      <c r="L252" s="18" t="n"/>
      <c r="M252" s="18" t="n"/>
      <c r="N252" s="32" t="n"/>
      <c r="O252" s="12" t="n"/>
      <c r="P252" s="9" t="n"/>
      <c r="Q252" s="9" t="n"/>
      <c r="R252" s="9" t="n"/>
      <c r="S252" s="9" t="n"/>
      <c r="T252" s="9" t="n"/>
      <c r="U252" s="9" t="n"/>
      <c r="Y252" s="9" t="n"/>
    </row>
    <row r="253">
      <c r="A253" s="16" t="n"/>
      <c r="B253" s="9" t="n"/>
      <c r="C253" s="9" t="n"/>
      <c r="D253" s="9" t="n"/>
      <c r="E253" s="30" t="n"/>
      <c r="F253" s="30" t="n"/>
      <c r="G253" s="18" t="n"/>
      <c r="H253" s="9" t="n"/>
      <c r="I253" s="9" t="n"/>
      <c r="J253" s="18" t="n"/>
      <c r="K253" s="12" t="n"/>
      <c r="L253" s="18" t="n"/>
      <c r="M253" s="18" t="n"/>
      <c r="N253" s="32" t="n"/>
      <c r="O253" s="12" t="n"/>
      <c r="P253" s="9" t="n"/>
      <c r="Q253" s="9" t="n"/>
      <c r="R253" s="9" t="n"/>
      <c r="S253" s="9" t="n"/>
      <c r="T253" s="9" t="n"/>
      <c r="U253" s="9" t="n"/>
      <c r="Y253" s="9" t="n"/>
    </row>
    <row r="254">
      <c r="A254" s="16" t="n"/>
      <c r="B254" s="9" t="n"/>
      <c r="C254" s="9" t="n"/>
      <c r="D254" s="9" t="n"/>
      <c r="E254" s="30" t="n"/>
      <c r="F254" s="30" t="n"/>
      <c r="G254" s="18" t="n"/>
      <c r="H254" s="9" t="n"/>
      <c r="I254" s="9" t="n"/>
      <c r="J254" s="18" t="n"/>
      <c r="K254" s="12" t="n"/>
      <c r="L254" s="18" t="n"/>
      <c r="M254" s="18" t="n"/>
      <c r="N254" s="32" t="n"/>
      <c r="O254" s="12" t="n"/>
      <c r="P254" s="9" t="n"/>
      <c r="Q254" s="9" t="n"/>
      <c r="R254" s="9" t="n"/>
      <c r="S254" s="9" t="n"/>
      <c r="T254" s="9" t="n"/>
      <c r="U254" s="9" t="n"/>
      <c r="Y254" s="9" t="n"/>
    </row>
    <row r="255">
      <c r="A255" s="16" t="n"/>
      <c r="B255" s="9" t="n"/>
      <c r="C255" s="9" t="n"/>
      <c r="D255" s="9" t="n"/>
      <c r="E255" s="30" t="n"/>
      <c r="F255" s="30" t="n"/>
      <c r="G255" s="18" t="n"/>
      <c r="H255" s="9" t="n"/>
      <c r="I255" s="9" t="n"/>
      <c r="J255" s="18" t="n"/>
      <c r="K255" s="12" t="n"/>
      <c r="L255" s="18" t="n"/>
      <c r="M255" s="18" t="n"/>
      <c r="N255" s="32" t="n"/>
      <c r="O255" s="12" t="n"/>
      <c r="P255" s="9" t="n"/>
      <c r="Q255" s="9" t="n"/>
      <c r="R255" s="9" t="n"/>
      <c r="S255" s="9" t="n"/>
      <c r="T255" s="9" t="n"/>
      <c r="U255" s="9" t="n"/>
      <c r="Y255" s="9" t="n"/>
    </row>
    <row r="256">
      <c r="A256" s="16" t="n"/>
      <c r="B256" s="9" t="n"/>
      <c r="C256" s="9" t="n"/>
      <c r="D256" s="9" t="n"/>
      <c r="E256" s="30" t="n"/>
      <c r="F256" s="30" t="n"/>
      <c r="G256" s="18" t="n"/>
      <c r="H256" s="9" t="n"/>
      <c r="I256" s="9" t="n"/>
      <c r="J256" s="18" t="n"/>
      <c r="K256" s="12" t="n"/>
      <c r="L256" s="18" t="n"/>
      <c r="M256" s="18" t="n"/>
      <c r="N256" s="32" t="n"/>
      <c r="O256" s="12" t="n"/>
      <c r="P256" s="9" t="n"/>
      <c r="Q256" s="9" t="n"/>
      <c r="R256" s="9" t="n"/>
      <c r="S256" s="9" t="n"/>
      <c r="T256" s="9" t="n"/>
      <c r="U256" s="9" t="n"/>
      <c r="Y256" s="9" t="n"/>
    </row>
    <row r="257">
      <c r="A257" s="16" t="n"/>
      <c r="B257" s="9" t="n"/>
      <c r="C257" s="9" t="n"/>
      <c r="D257" s="9" t="n"/>
      <c r="E257" s="30" t="n"/>
      <c r="F257" s="30" t="n"/>
      <c r="G257" s="18" t="n"/>
      <c r="H257" s="9" t="n"/>
      <c r="I257" s="9" t="n"/>
      <c r="J257" s="18" t="n"/>
      <c r="K257" s="12" t="n"/>
      <c r="L257" s="18" t="n"/>
      <c r="M257" s="18" t="n"/>
      <c r="N257" s="32" t="n"/>
      <c r="O257" s="12" t="n"/>
      <c r="P257" s="9" t="n"/>
      <c r="Q257" s="9" t="n"/>
      <c r="R257" s="9" t="n"/>
      <c r="S257" s="9" t="n"/>
      <c r="T257" s="9" t="n"/>
      <c r="U257" s="9" t="n"/>
      <c r="Y257" s="9" t="n"/>
    </row>
    <row r="258">
      <c r="A258" s="16" t="n"/>
      <c r="B258" s="9" t="n"/>
      <c r="C258" s="9" t="n"/>
      <c r="D258" s="9" t="n"/>
      <c r="E258" s="30" t="n"/>
      <c r="F258" s="30" t="n"/>
      <c r="G258" s="18" t="n"/>
      <c r="H258" s="9" t="n"/>
      <c r="I258" s="9" t="n"/>
      <c r="J258" s="18" t="n"/>
      <c r="K258" s="12" t="n"/>
      <c r="L258" s="18" t="n"/>
      <c r="M258" s="18" t="n"/>
      <c r="N258" s="32" t="n"/>
      <c r="O258" s="12" t="n"/>
      <c r="P258" s="9" t="n"/>
      <c r="Q258" s="9" t="n"/>
      <c r="R258" s="9" t="n"/>
      <c r="S258" s="9" t="n"/>
      <c r="T258" s="9" t="n"/>
      <c r="U258" s="9" t="n"/>
      <c r="Y258" s="9" t="n"/>
    </row>
    <row r="259">
      <c r="A259" s="16" t="n"/>
      <c r="B259" s="9" t="n"/>
      <c r="C259" s="9" t="n"/>
      <c r="D259" s="9" t="n"/>
      <c r="E259" s="30" t="n"/>
      <c r="F259" s="30" t="n"/>
      <c r="G259" s="18" t="n"/>
      <c r="H259" s="9" t="n"/>
      <c r="I259" s="9" t="n"/>
      <c r="J259" s="18" t="n"/>
      <c r="K259" s="12" t="n"/>
      <c r="L259" s="18" t="n"/>
      <c r="M259" s="18" t="n"/>
      <c r="N259" s="32" t="n"/>
      <c r="O259" s="12" t="n"/>
      <c r="P259" s="9" t="n"/>
      <c r="Q259" s="9" t="n"/>
      <c r="R259" s="9" t="n"/>
      <c r="S259" s="9" t="n"/>
      <c r="T259" s="9" t="n"/>
      <c r="U259" s="9" t="n"/>
      <c r="Y259" s="9" t="n"/>
    </row>
    <row r="260">
      <c r="A260" s="16" t="n"/>
      <c r="B260" s="9" t="n"/>
      <c r="C260" s="9" t="n"/>
      <c r="D260" s="9" t="n"/>
      <c r="E260" s="30" t="n"/>
      <c r="F260" s="30" t="n"/>
      <c r="G260" s="18" t="n"/>
      <c r="H260" s="9" t="n"/>
      <c r="I260" s="9" t="n"/>
      <c r="J260" s="18" t="n"/>
      <c r="K260" s="12" t="n"/>
      <c r="L260" s="18" t="n"/>
      <c r="M260" s="18" t="n"/>
      <c r="N260" s="32" t="n"/>
      <c r="O260" s="12" t="n"/>
      <c r="P260" s="9" t="n"/>
      <c r="Q260" s="9" t="n"/>
      <c r="R260" s="9" t="n"/>
      <c r="S260" s="9" t="n"/>
      <c r="T260" s="9" t="n"/>
      <c r="U260" s="9" t="n"/>
      <c r="Y260" s="9" t="n"/>
    </row>
    <row r="261">
      <c r="A261" s="16" t="n"/>
      <c r="B261" s="9" t="n"/>
      <c r="C261" s="9" t="n"/>
      <c r="D261" s="9" t="n"/>
      <c r="E261" s="30" t="n"/>
      <c r="F261" s="30" t="n"/>
      <c r="G261" s="18" t="n"/>
      <c r="H261" s="9" t="n"/>
      <c r="I261" s="9" t="n"/>
      <c r="J261" s="18" t="n"/>
      <c r="K261" s="12" t="n"/>
      <c r="L261" s="18" t="n"/>
      <c r="M261" s="18" t="n"/>
      <c r="N261" s="32" t="n"/>
      <c r="O261" s="12" t="n"/>
      <c r="P261" s="9" t="n"/>
      <c r="Q261" s="9" t="n"/>
      <c r="R261" s="9" t="n"/>
      <c r="S261" s="9" t="n"/>
      <c r="T261" s="9" t="n"/>
      <c r="U261" s="9" t="n"/>
      <c r="Y261" s="9" t="n"/>
    </row>
    <row r="262">
      <c r="A262" s="16" t="n"/>
      <c r="B262" s="9" t="n"/>
      <c r="C262" s="9" t="n"/>
      <c r="D262" s="9" t="n"/>
      <c r="E262" s="30" t="n"/>
      <c r="F262" s="30" t="n"/>
      <c r="G262" s="18" t="n"/>
      <c r="H262" s="9" t="n"/>
      <c r="I262" s="9" t="n"/>
      <c r="J262" s="18" t="n"/>
      <c r="K262" s="12" t="n"/>
      <c r="L262" s="18" t="n"/>
      <c r="M262" s="18" t="n"/>
      <c r="N262" s="32" t="n"/>
      <c r="O262" s="12" t="n"/>
      <c r="P262" s="9" t="n"/>
      <c r="Q262" s="9" t="n"/>
      <c r="R262" s="9" t="n"/>
      <c r="S262" s="9" t="n"/>
      <c r="T262" s="9" t="n"/>
      <c r="U262" s="9" t="n"/>
      <c r="Y262" s="9" t="n"/>
    </row>
    <row r="263">
      <c r="A263" s="16" t="n"/>
      <c r="B263" s="9" t="n"/>
      <c r="C263" s="9" t="n"/>
      <c r="D263" s="9" t="n"/>
      <c r="E263" s="30" t="n"/>
      <c r="F263" s="30" t="n"/>
      <c r="G263" s="18" t="n"/>
      <c r="H263" s="9" t="n"/>
      <c r="I263" s="9" t="n"/>
      <c r="J263" s="18" t="n"/>
      <c r="K263" s="12" t="n"/>
      <c r="L263" s="18" t="n"/>
      <c r="M263" s="18" t="n"/>
      <c r="N263" s="32" t="n"/>
      <c r="O263" s="12" t="n"/>
      <c r="P263" s="9" t="n"/>
      <c r="Q263" s="9" t="n"/>
      <c r="R263" s="9" t="n"/>
      <c r="S263" s="9" t="n"/>
      <c r="T263" s="9" t="n"/>
      <c r="U263" s="9" t="n"/>
      <c r="Y263" s="9" t="n"/>
    </row>
    <row r="264">
      <c r="A264" s="16" t="n"/>
      <c r="B264" s="9" t="n"/>
      <c r="C264" s="9" t="n"/>
      <c r="D264" s="9" t="n"/>
      <c r="E264" s="30" t="n"/>
      <c r="F264" s="30" t="n"/>
      <c r="G264" s="18" t="n"/>
      <c r="H264" s="9" t="n"/>
      <c r="I264" s="9" t="n"/>
      <c r="J264" s="18" t="n"/>
      <c r="K264" s="12" t="n"/>
      <c r="L264" s="18" t="n"/>
      <c r="M264" s="18" t="n"/>
      <c r="N264" s="32" t="n"/>
      <c r="O264" s="12" t="n"/>
      <c r="P264" s="9" t="n"/>
      <c r="Q264" s="9" t="n"/>
      <c r="R264" s="9" t="n"/>
      <c r="S264" s="9" t="n"/>
      <c r="T264" s="9" t="n"/>
      <c r="U264" s="9" t="n"/>
      <c r="Y264" s="9" t="n"/>
    </row>
    <row r="265">
      <c r="A265" s="16" t="n"/>
      <c r="B265" s="9" t="n"/>
      <c r="C265" s="9" t="n"/>
      <c r="D265" s="9" t="n"/>
      <c r="E265" s="30" t="n"/>
      <c r="F265" s="30" t="n"/>
      <c r="G265" s="18" t="n"/>
      <c r="H265" s="9" t="n"/>
      <c r="I265" s="9" t="n"/>
      <c r="J265" s="18" t="n"/>
      <c r="K265" s="12" t="n"/>
      <c r="L265" s="18" t="n"/>
      <c r="M265" s="18" t="n"/>
      <c r="N265" s="32" t="n"/>
      <c r="O265" s="12" t="n"/>
      <c r="P265" s="9" t="n"/>
      <c r="Q265" s="9" t="n"/>
      <c r="R265" s="9" t="n"/>
      <c r="S265" s="9" t="n"/>
      <c r="T265" s="9" t="n"/>
      <c r="U265" s="9" t="n"/>
      <c r="Y265" s="9" t="n"/>
    </row>
    <row r="266">
      <c r="A266" s="16" t="n"/>
      <c r="B266" s="9" t="n"/>
      <c r="C266" s="9" t="n"/>
      <c r="D266" s="9" t="n"/>
      <c r="E266" s="30" t="n"/>
      <c r="F266" s="30" t="n"/>
      <c r="G266" s="18" t="n"/>
      <c r="H266" s="9" t="n"/>
      <c r="I266" s="9" t="n"/>
      <c r="J266" s="18" t="n"/>
      <c r="K266" s="12" t="n"/>
      <c r="L266" s="18" t="n"/>
      <c r="M266" s="18" t="n"/>
      <c r="N266" s="32" t="n"/>
      <c r="O266" s="12" t="n"/>
      <c r="P266" s="9" t="n"/>
      <c r="Q266" s="9" t="n"/>
      <c r="R266" s="9" t="n"/>
      <c r="S266" s="9" t="n"/>
      <c r="T266" s="9" t="n"/>
      <c r="U266" s="9" t="n"/>
      <c r="Y266" s="9" t="n"/>
    </row>
    <row r="267">
      <c r="A267" s="16" t="n"/>
      <c r="B267" s="9" t="n"/>
      <c r="C267" s="9" t="n"/>
      <c r="D267" s="9" t="n"/>
      <c r="E267" s="30" t="n"/>
      <c r="F267" s="30" t="n"/>
      <c r="G267" s="18" t="n"/>
      <c r="H267" s="9" t="n"/>
      <c r="I267" s="9" t="n"/>
      <c r="J267" s="18" t="n"/>
      <c r="K267" s="12" t="n"/>
      <c r="L267" s="18" t="n"/>
      <c r="M267" s="18" t="n"/>
      <c r="N267" s="32" t="n"/>
      <c r="O267" s="12" t="n"/>
      <c r="P267" s="9" t="n"/>
      <c r="Q267" s="9" t="n"/>
      <c r="R267" s="9" t="n"/>
      <c r="S267" s="9" t="n"/>
      <c r="T267" s="9" t="n"/>
      <c r="U267" s="9" t="n"/>
      <c r="Y267" s="9" t="n"/>
    </row>
    <row r="268">
      <c r="A268" s="16" t="n"/>
      <c r="B268" s="9" t="n"/>
      <c r="C268" s="9" t="n"/>
      <c r="D268" s="9" t="n"/>
      <c r="E268" s="30" t="n"/>
      <c r="F268" s="30" t="n"/>
      <c r="G268" s="18" t="n"/>
      <c r="H268" s="9" t="n"/>
      <c r="I268" s="9" t="n"/>
      <c r="J268" s="18" t="n"/>
      <c r="K268" s="12" t="n"/>
      <c r="L268" s="18" t="n"/>
      <c r="M268" s="18" t="n"/>
      <c r="N268" s="32" t="n"/>
      <c r="O268" s="12" t="n"/>
      <c r="P268" s="9" t="n"/>
      <c r="Q268" s="9" t="n"/>
      <c r="R268" s="9" t="n"/>
      <c r="S268" s="9" t="n"/>
      <c r="T268" s="9" t="n"/>
      <c r="U268" s="9" t="n"/>
      <c r="Y268" s="9" t="n"/>
    </row>
    <row r="269">
      <c r="A269" s="16" t="n"/>
      <c r="B269" s="9" t="n"/>
      <c r="C269" s="9" t="n"/>
      <c r="D269" s="9" t="n"/>
      <c r="E269" s="30" t="n"/>
      <c r="F269" s="30" t="n"/>
      <c r="G269" s="18" t="n"/>
      <c r="H269" s="9" t="n"/>
      <c r="I269" s="9" t="n"/>
      <c r="J269" s="18" t="n"/>
      <c r="K269" s="12" t="n"/>
      <c r="L269" s="18" t="n"/>
      <c r="M269" s="18" t="n"/>
      <c r="N269" s="32" t="n"/>
      <c r="O269" s="12" t="n"/>
      <c r="P269" s="9" t="n"/>
      <c r="Q269" s="9" t="n"/>
      <c r="R269" s="9" t="n"/>
      <c r="S269" s="9" t="n"/>
      <c r="T269" s="9" t="n"/>
      <c r="U269" s="9" t="n"/>
      <c r="Y269" s="9" t="n"/>
    </row>
    <row r="270">
      <c r="A270" s="16" t="n"/>
      <c r="B270" s="9" t="n"/>
      <c r="C270" s="9" t="n"/>
      <c r="D270" s="9" t="n"/>
      <c r="E270" s="30" t="n"/>
      <c r="F270" s="30" t="n"/>
      <c r="G270" s="18" t="n"/>
      <c r="H270" s="9" t="n"/>
      <c r="I270" s="9" t="n"/>
      <c r="J270" s="18" t="n"/>
      <c r="K270" s="12" t="n"/>
      <c r="L270" s="18" t="n"/>
      <c r="M270" s="18" t="n"/>
      <c r="N270" s="32" t="n"/>
      <c r="O270" s="12" t="n"/>
      <c r="P270" s="9" t="n"/>
      <c r="Q270" s="9" t="n"/>
      <c r="R270" s="9" t="n"/>
      <c r="S270" s="9" t="n"/>
      <c r="T270" s="9" t="n"/>
      <c r="U270" s="9" t="n"/>
      <c r="Y270" s="9" t="n"/>
    </row>
    <row r="271">
      <c r="A271" s="16" t="n"/>
      <c r="B271" s="9" t="n"/>
      <c r="C271" s="9" t="n"/>
      <c r="D271" s="9" t="n"/>
      <c r="E271" s="30" t="n"/>
      <c r="F271" s="30" t="n"/>
      <c r="G271" s="18" t="n"/>
      <c r="H271" s="9" t="n"/>
      <c r="I271" s="9" t="n"/>
      <c r="J271" s="18" t="n"/>
      <c r="K271" s="12" t="n"/>
      <c r="L271" s="18" t="n"/>
      <c r="M271" s="18" t="n"/>
      <c r="N271" s="32" t="n"/>
      <c r="O271" s="12" t="n"/>
      <c r="P271" s="9" t="n"/>
      <c r="Q271" s="9" t="n"/>
      <c r="R271" s="9" t="n"/>
      <c r="S271" s="9" t="n"/>
      <c r="T271" s="9" t="n"/>
      <c r="U271" s="9" t="n"/>
      <c r="Y271" s="9" t="n"/>
    </row>
    <row r="272">
      <c r="A272" s="16" t="n"/>
      <c r="B272" s="9" t="n"/>
      <c r="C272" s="9" t="n"/>
      <c r="D272" s="9" t="n"/>
      <c r="E272" s="30" t="n"/>
      <c r="F272" s="30" t="n"/>
      <c r="G272" s="18" t="n"/>
      <c r="H272" s="9" t="n"/>
      <c r="I272" s="9" t="n"/>
      <c r="J272" s="18" t="n"/>
      <c r="K272" s="12" t="n"/>
      <c r="L272" s="18" t="n"/>
      <c r="M272" s="18" t="n"/>
      <c r="N272" s="32" t="n"/>
      <c r="O272" s="12" t="n"/>
      <c r="P272" s="9" t="n"/>
      <c r="Q272" s="9" t="n"/>
      <c r="R272" s="9" t="n"/>
      <c r="S272" s="9" t="n"/>
      <c r="T272" s="9" t="n"/>
      <c r="U272" s="9" t="n"/>
      <c r="Y272" s="9" t="n"/>
    </row>
    <row r="273">
      <c r="A273" s="16" t="n"/>
      <c r="B273" s="9" t="n"/>
      <c r="C273" s="9" t="n"/>
      <c r="D273" s="9" t="n"/>
      <c r="E273" s="30" t="n"/>
      <c r="F273" s="30" t="n"/>
      <c r="G273" s="18" t="n"/>
      <c r="H273" s="9" t="n"/>
      <c r="I273" s="9" t="n"/>
      <c r="J273" s="18" t="n"/>
      <c r="K273" s="12" t="n"/>
      <c r="L273" s="18" t="n"/>
      <c r="M273" s="18" t="n"/>
      <c r="N273" s="32" t="n"/>
      <c r="O273" s="12" t="n"/>
      <c r="P273" s="9" t="n"/>
      <c r="Q273" s="9" t="n"/>
      <c r="R273" s="9" t="n"/>
      <c r="S273" s="9" t="n"/>
      <c r="T273" s="9" t="n"/>
      <c r="U273" s="9" t="n"/>
      <c r="Y273" s="9" t="n"/>
    </row>
    <row r="274">
      <c r="A274" s="16" t="n"/>
      <c r="B274" s="9" t="n"/>
      <c r="C274" s="9" t="n"/>
      <c r="D274" s="9" t="n"/>
      <c r="E274" s="30" t="n"/>
      <c r="F274" s="30" t="n"/>
      <c r="G274" s="18" t="n"/>
      <c r="H274" s="9" t="n"/>
      <c r="I274" s="9" t="n"/>
      <c r="J274" s="18" t="n"/>
      <c r="K274" s="12" t="n"/>
      <c r="L274" s="18" t="n"/>
      <c r="M274" s="18" t="n"/>
      <c r="N274" s="32" t="n"/>
      <c r="O274" s="12" t="n"/>
      <c r="P274" s="9" t="n"/>
      <c r="Q274" s="9" t="n"/>
      <c r="R274" s="9" t="n"/>
      <c r="S274" s="9" t="n"/>
      <c r="T274" s="9" t="n"/>
      <c r="U274" s="9" t="n"/>
      <c r="Y274" s="9" t="n"/>
    </row>
    <row r="275">
      <c r="A275" s="16" t="n"/>
      <c r="B275" s="9" t="n"/>
      <c r="C275" s="9" t="n"/>
      <c r="D275" s="9" t="n"/>
      <c r="E275" s="30" t="n"/>
      <c r="F275" s="30" t="n"/>
      <c r="G275" s="18" t="n"/>
      <c r="H275" s="9" t="n"/>
      <c r="I275" s="9" t="n"/>
      <c r="J275" s="18" t="n"/>
      <c r="K275" s="12" t="n"/>
      <c r="L275" s="18" t="n"/>
      <c r="M275" s="18" t="n"/>
      <c r="N275" s="32" t="n"/>
      <c r="O275" s="12" t="n"/>
      <c r="P275" s="9" t="n"/>
      <c r="Q275" s="9" t="n"/>
      <c r="R275" s="9" t="n"/>
      <c r="S275" s="9" t="n"/>
      <c r="T275" s="9" t="n"/>
      <c r="U275" s="9" t="n"/>
      <c r="Y275" s="9" t="n"/>
    </row>
    <row r="276">
      <c r="A276" s="16" t="n"/>
      <c r="B276" s="9" t="n"/>
      <c r="C276" s="9" t="n"/>
      <c r="D276" s="9" t="n"/>
      <c r="E276" s="30" t="n"/>
      <c r="F276" s="30" t="n"/>
      <c r="G276" s="18" t="n"/>
      <c r="H276" s="9" t="n"/>
      <c r="I276" s="9" t="n"/>
      <c r="J276" s="18" t="n"/>
      <c r="K276" s="12" t="n"/>
      <c r="L276" s="18" t="n"/>
      <c r="M276" s="18" t="n"/>
      <c r="N276" s="32" t="n"/>
      <c r="O276" s="12" t="n"/>
      <c r="P276" s="9" t="n"/>
      <c r="Q276" s="9" t="n"/>
      <c r="R276" s="9" t="n"/>
      <c r="S276" s="9" t="n"/>
      <c r="T276" s="9" t="n"/>
      <c r="U276" s="9" t="n"/>
      <c r="Y276" s="9" t="n"/>
    </row>
    <row r="277">
      <c r="A277" s="16" t="n"/>
      <c r="B277" s="9" t="n"/>
      <c r="C277" s="9" t="n"/>
      <c r="D277" s="9" t="n"/>
      <c r="E277" s="17" t="n"/>
      <c r="F277" s="17" t="n"/>
      <c r="G277" s="18" t="n"/>
      <c r="H277" s="9" t="n"/>
      <c r="I277" s="9" t="n"/>
      <c r="J277" s="18" t="n"/>
      <c r="K277" s="18" t="n"/>
      <c r="L277" s="18" t="n"/>
      <c r="M277" s="18" t="n"/>
      <c r="N277" s="32" t="n"/>
      <c r="O277" s="12" t="n"/>
      <c r="P277" s="9" t="n"/>
      <c r="Q277" s="9" t="n"/>
      <c r="R277" s="9" t="n"/>
      <c r="V277" s="9" t="n"/>
      <c r="W277" s="9" t="n"/>
      <c r="X277" s="9" t="n"/>
      <c r="Y277" s="9" t="n"/>
    </row>
  </sheetData>
  <autoFilter ref="A4:V277">
    <sortState ref="A5:V277">
      <sortCondition ref="A4:A277"/>
    </sortState>
  </autoFilter>
  <conditionalFormatting sqref="G5:G277">
    <cfRule type="cellIs" priority="9" operator="greaterThan" dxfId="1">
      <formula>$G$2</formula>
    </cfRule>
    <cfRule type="cellIs" priority="10" operator="lessThan" dxfId="0">
      <formula>$G$3</formula>
    </cfRule>
  </conditionalFormatting>
  <conditionalFormatting sqref="J5:J277">
    <cfRule type="cellIs" priority="7" operator="greaterThan" dxfId="1">
      <formula>$J$2</formula>
    </cfRule>
    <cfRule type="cellIs" priority="8" operator="lessThan" dxfId="0">
      <formula>$J$3</formula>
    </cfRule>
  </conditionalFormatting>
  <conditionalFormatting sqref="K5:K277">
    <cfRule type="cellIs" priority="5" operator="greaterThan" dxfId="0">
      <formula>$K$3</formula>
    </cfRule>
    <cfRule type="cellIs" priority="6" operator="lessThan" dxfId="1">
      <formula>$K$2</formula>
    </cfRule>
  </conditionalFormatting>
  <conditionalFormatting sqref="L5:M277">
    <cfRule type="cellIs" priority="3" operator="lessThan" dxfId="0">
      <formula>L$3</formula>
    </cfRule>
    <cfRule type="cellIs" priority="4" operator="greaterThan" dxfId="1">
      <formula>L$2</formula>
    </cfRule>
  </conditionalFormatting>
  <conditionalFormatting sqref="O5:O277">
    <cfRule type="cellIs" priority="1" operator="greaterThan" dxfId="1">
      <formula>$O$2</formula>
    </cfRule>
    <cfRule type="cellIs" priority="2" operator="lessThan" dxfId="0">
      <formula>$O$3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selection activeCell="H26" sqref="H26"/>
    </sheetView>
  </sheetViews>
  <sheetFormatPr baseColWidth="10" defaultColWidth="11.5" defaultRowHeight="15"/>
  <cols>
    <col width="21.83203125" bestFit="1" customWidth="1" min="1" max="1"/>
    <col width="21.33203125" customWidth="1" min="2" max="2"/>
    <col width="21.1640625" customWidth="1" min="3" max="3"/>
    <col width="11.5" bestFit="1" customWidth="1" min="4" max="4"/>
  </cols>
  <sheetData>
    <row r="1" ht="16" customHeight="1">
      <c r="A1" s="2" t="inlineStr">
        <is>
          <t>Full Name</t>
        </is>
      </c>
      <c r="B1" s="3" t="inlineStr">
        <is>
          <t>Faculty Leader</t>
        </is>
      </c>
      <c r="C1" s="2" t="inlineStr">
        <is>
          <t>Professional/Adjunct</t>
        </is>
      </c>
      <c r="D1" s="2" t="inlineStr">
        <is>
          <t>Tier</t>
        </is>
      </c>
    </row>
    <row r="2">
      <c r="A2" t="inlineStr">
        <is>
          <t>Aaron Schneberger</t>
        </is>
      </c>
      <c r="B2" t="inlineStr">
        <is>
          <t>Ian Plamondon</t>
        </is>
      </c>
      <c r="C2" t="inlineStr">
        <is>
          <t>Professional</t>
        </is>
      </c>
      <c r="D2" t="inlineStr">
        <is>
          <t>Distinguished</t>
        </is>
      </c>
    </row>
    <row r="3">
      <c r="A3" t="inlineStr">
        <is>
          <t>Akeema Williams</t>
        </is>
      </c>
      <c r="B3" t="inlineStr">
        <is>
          <t>Geoff St. Marie</t>
        </is>
      </c>
      <c r="C3" t="inlineStr">
        <is>
          <t>Professional</t>
        </is>
      </c>
      <c r="D3" t="inlineStr">
        <is>
          <t>Distinguished</t>
        </is>
      </c>
    </row>
    <row r="4">
      <c r="A4" t="inlineStr">
        <is>
          <t>Alex Small</t>
        </is>
      </c>
      <c r="B4" t="inlineStr">
        <is>
          <t>Ela Cross</t>
        </is>
      </c>
      <c r="C4" t="inlineStr">
        <is>
          <t>Adjunct</t>
        </is>
      </c>
      <c r="D4" t="inlineStr">
        <is>
          <t>Premium</t>
        </is>
      </c>
    </row>
    <row r="5">
      <c r="A5" t="inlineStr">
        <is>
          <t>Alexa Pinera</t>
        </is>
      </c>
      <c r="B5" t="inlineStr">
        <is>
          <t>Ian Plamondon</t>
        </is>
      </c>
      <c r="C5" t="inlineStr">
        <is>
          <t>Professional</t>
        </is>
      </c>
      <c r="D5" t="inlineStr">
        <is>
          <t>Premium</t>
        </is>
      </c>
    </row>
    <row r="6">
      <c r="A6" t="inlineStr">
        <is>
          <t>Alexandra Berrios</t>
        </is>
      </c>
      <c r="B6" t="inlineStr">
        <is>
          <t>Kristin Haase-Alvey</t>
        </is>
      </c>
      <c r="C6" t="inlineStr">
        <is>
          <t>Adjunct</t>
        </is>
      </c>
      <c r="D6" t="inlineStr">
        <is>
          <t>Distinguished</t>
        </is>
      </c>
    </row>
    <row r="7">
      <c r="A7" t="inlineStr">
        <is>
          <t>Alexis Boucher</t>
        </is>
      </c>
      <c r="B7" t="inlineStr">
        <is>
          <t>Geoff St. Marie</t>
        </is>
      </c>
      <c r="C7" t="inlineStr">
        <is>
          <t>Professional</t>
        </is>
      </c>
      <c r="D7" t="inlineStr">
        <is>
          <t>Distinguished</t>
        </is>
      </c>
    </row>
    <row r="8">
      <c r="A8" t="inlineStr">
        <is>
          <t>Allison Peck</t>
        </is>
      </c>
      <c r="B8" t="inlineStr">
        <is>
          <t>Kristin Haase-Alvey</t>
        </is>
      </c>
      <c r="C8" t="inlineStr">
        <is>
          <t>Adjunct</t>
        </is>
      </c>
      <c r="D8" t="inlineStr">
        <is>
          <t>Distinguished</t>
        </is>
      </c>
    </row>
    <row r="9">
      <c r="A9" s="56" t="inlineStr">
        <is>
          <t>Amber Maldonado</t>
        </is>
      </c>
      <c r="B9" t="inlineStr">
        <is>
          <t>Annelies de Groot</t>
        </is>
      </c>
      <c r="C9" t="inlineStr">
        <is>
          <t>Professional</t>
        </is>
      </c>
      <c r="D9" t="inlineStr">
        <is>
          <t>Distinguished</t>
        </is>
      </c>
    </row>
    <row r="10">
      <c r="A10" t="inlineStr">
        <is>
          <t>Amelia Sain</t>
        </is>
      </c>
      <c r="B10" t="inlineStr">
        <is>
          <t>Geoff St. Marie</t>
        </is>
      </c>
      <c r="C10" t="inlineStr">
        <is>
          <t>Professional</t>
        </is>
      </c>
      <c r="D10" t="inlineStr">
        <is>
          <t>Premium</t>
        </is>
      </c>
    </row>
    <row r="11">
      <c r="A11" t="inlineStr">
        <is>
          <t>Ana Heiser</t>
        </is>
      </c>
      <c r="B11" t="inlineStr">
        <is>
          <t>Kristin Haase-Alvey</t>
        </is>
      </c>
      <c r="C11" t="inlineStr">
        <is>
          <t>Professional</t>
        </is>
      </c>
      <c r="D11" t="inlineStr">
        <is>
          <t>Distinguished</t>
        </is>
      </c>
    </row>
    <row r="12">
      <c r="A12" t="inlineStr">
        <is>
          <t>Andres Jarquin</t>
        </is>
      </c>
      <c r="B12" t="inlineStr">
        <is>
          <t>Ian Plamondon</t>
        </is>
      </c>
      <c r="C12" t="inlineStr">
        <is>
          <t>Professional</t>
        </is>
      </c>
      <c r="D12" t="inlineStr">
        <is>
          <t>Distinguished</t>
        </is>
      </c>
    </row>
    <row r="13">
      <c r="A13" t="inlineStr">
        <is>
          <t>Andrew Brown</t>
        </is>
      </c>
      <c r="B13" t="inlineStr">
        <is>
          <t>Geoff St. Marie</t>
        </is>
      </c>
      <c r="C13" t="inlineStr">
        <is>
          <t>Professional</t>
        </is>
      </c>
      <c r="D13" t="inlineStr">
        <is>
          <t>Distinguished</t>
        </is>
      </c>
    </row>
    <row r="14">
      <c r="A14" t="inlineStr">
        <is>
          <t>Andrew Frohmader</t>
        </is>
      </c>
      <c r="B14" t="inlineStr">
        <is>
          <t>Katherine Marino</t>
        </is>
      </c>
      <c r="C14" t="inlineStr">
        <is>
          <t>Professional</t>
        </is>
      </c>
      <c r="D14" t="inlineStr">
        <is>
          <t>Distinguished</t>
        </is>
      </c>
    </row>
    <row r="15">
      <c r="A15" t="inlineStr">
        <is>
          <t>Andrew Gehlot</t>
        </is>
      </c>
      <c r="B15" t="inlineStr">
        <is>
          <t>Ela Cross</t>
        </is>
      </c>
      <c r="C15" t="inlineStr">
        <is>
          <t>Professional</t>
        </is>
      </c>
      <c r="D15" t="inlineStr">
        <is>
          <t>Premium</t>
        </is>
      </c>
    </row>
    <row r="16">
      <c r="A16" t="inlineStr">
        <is>
          <t>Andrew League</t>
        </is>
      </c>
      <c r="B16" t="inlineStr">
        <is>
          <t>Ian Plamondon</t>
        </is>
      </c>
      <c r="C16" t="inlineStr">
        <is>
          <t>Professional</t>
        </is>
      </c>
      <c r="D16" t="inlineStr">
        <is>
          <t>Distinguished</t>
        </is>
      </c>
    </row>
    <row r="17">
      <c r="A17" t="inlineStr">
        <is>
          <t>Anna Jasko</t>
        </is>
      </c>
      <c r="B17" t="inlineStr">
        <is>
          <t>Ela Cross</t>
        </is>
      </c>
      <c r="C17" t="inlineStr">
        <is>
          <t>Professional</t>
        </is>
      </c>
      <c r="D17" t="inlineStr">
        <is>
          <t>Distinguished</t>
        </is>
      </c>
    </row>
    <row r="18">
      <c r="A18" t="inlineStr">
        <is>
          <t>Annie Sylvester</t>
        </is>
      </c>
      <c r="B18" t="inlineStr">
        <is>
          <t>Ela Cross</t>
        </is>
      </c>
      <c r="C18" t="inlineStr">
        <is>
          <t>Professional</t>
        </is>
      </c>
      <c r="D18" t="inlineStr">
        <is>
          <t>Distinguished</t>
        </is>
      </c>
    </row>
    <row r="19">
      <c r="A19" t="inlineStr">
        <is>
          <t>Armand Brouty</t>
        </is>
      </c>
      <c r="B19" t="inlineStr">
        <is>
          <t>Geoff St. Marie</t>
        </is>
      </c>
      <c r="C19" t="inlineStr">
        <is>
          <t>Professional</t>
        </is>
      </c>
      <c r="D19" t="inlineStr">
        <is>
          <t>Distinguished</t>
        </is>
      </c>
    </row>
    <row r="20">
      <c r="A20" t="inlineStr">
        <is>
          <t>Ashley Scorsone</t>
        </is>
      </c>
      <c r="B20" t="inlineStr">
        <is>
          <t>Geoff St. Marie</t>
        </is>
      </c>
      <c r="C20" t="inlineStr">
        <is>
          <t>Professional</t>
        </is>
      </c>
      <c r="D20" t="inlineStr">
        <is>
          <t>Premium</t>
        </is>
      </c>
    </row>
    <row r="21">
      <c r="A21" t="inlineStr">
        <is>
          <t>Autumn Reed</t>
        </is>
      </c>
      <c r="B21" t="inlineStr">
        <is>
          <t>Geoff St. Marie</t>
        </is>
      </c>
      <c r="C21" t="inlineStr">
        <is>
          <t>Adjunct</t>
        </is>
      </c>
      <c r="D21" t="inlineStr">
        <is>
          <t>Advanced</t>
        </is>
      </c>
    </row>
    <row r="22">
      <c r="A22" t="inlineStr">
        <is>
          <t>Ayman Smoot</t>
        </is>
      </c>
      <c r="B22" t="inlineStr">
        <is>
          <t>Annelies de Groot</t>
        </is>
      </c>
      <c r="C22" t="inlineStr">
        <is>
          <t>Adjunct</t>
        </is>
      </c>
      <c r="D22" t="inlineStr">
        <is>
          <t>Distinguished</t>
        </is>
      </c>
    </row>
    <row r="23">
      <c r="A23" t="inlineStr">
        <is>
          <t>Ben Taylor</t>
        </is>
      </c>
      <c r="B23" t="inlineStr">
        <is>
          <t>Kristin Haase-Alvey</t>
        </is>
      </c>
      <c r="C23" t="inlineStr">
        <is>
          <t>Professional</t>
        </is>
      </c>
      <c r="D23" t="inlineStr">
        <is>
          <t>Premium</t>
        </is>
      </c>
    </row>
    <row r="24">
      <c r="A24" t="inlineStr">
        <is>
          <t>Brandon Engle</t>
        </is>
      </c>
      <c r="B24" t="inlineStr">
        <is>
          <t>Annelies de Groot</t>
        </is>
      </c>
      <c r="C24" t="inlineStr">
        <is>
          <t>Professional</t>
        </is>
      </c>
      <c r="D24" t="inlineStr">
        <is>
          <t>Distinguished</t>
        </is>
      </c>
    </row>
    <row r="25">
      <c r="A25" t="inlineStr">
        <is>
          <t>Breille Duncan</t>
        </is>
      </c>
      <c r="B25" t="inlineStr">
        <is>
          <t>Nikki Pencak</t>
        </is>
      </c>
      <c r="C25" t="inlineStr">
        <is>
          <t>Professional</t>
        </is>
      </c>
      <c r="D25" t="inlineStr">
        <is>
          <t>Distinguished</t>
        </is>
      </c>
    </row>
    <row r="26">
      <c r="A26" t="inlineStr">
        <is>
          <t>Brenna Hubnik</t>
        </is>
      </c>
      <c r="B26" t="inlineStr">
        <is>
          <t>Annelies de Groot</t>
        </is>
      </c>
      <c r="C26" t="inlineStr">
        <is>
          <t>Adjunct</t>
        </is>
      </c>
      <c r="D26" t="inlineStr">
        <is>
          <t>Distinguished</t>
        </is>
      </c>
    </row>
    <row r="27">
      <c r="A27" t="inlineStr">
        <is>
          <t>Brian Cohen</t>
        </is>
      </c>
      <c r="B27" t="inlineStr">
        <is>
          <t>Annelies de Groot</t>
        </is>
      </c>
      <c r="C27" t="inlineStr">
        <is>
          <t>Adjunct</t>
        </is>
      </c>
      <c r="D27" t="inlineStr">
        <is>
          <t>Premium</t>
        </is>
      </c>
    </row>
    <row r="28">
      <c r="A28" t="inlineStr">
        <is>
          <t>Brian James</t>
        </is>
      </c>
      <c r="B28" t="inlineStr">
        <is>
          <t>Annelies de Groot</t>
        </is>
      </c>
      <c r="C28" t="inlineStr">
        <is>
          <t>Professional</t>
        </is>
      </c>
      <c r="D28" t="inlineStr">
        <is>
          <t>Distinguished</t>
        </is>
      </c>
    </row>
    <row r="29">
      <c r="A29" t="inlineStr">
        <is>
          <t>Brian Johnson</t>
        </is>
      </c>
      <c r="B29" t="inlineStr">
        <is>
          <t>Kristin Haase-Alvey</t>
        </is>
      </c>
      <c r="C29" t="inlineStr">
        <is>
          <t>Professional</t>
        </is>
      </c>
      <c r="D29" t="inlineStr">
        <is>
          <t>Distinguished</t>
        </is>
      </c>
    </row>
    <row r="30">
      <c r="A30" t="inlineStr">
        <is>
          <t>Brittany Drew</t>
        </is>
      </c>
      <c r="B30" t="inlineStr">
        <is>
          <t>Ela Cross</t>
        </is>
      </c>
      <c r="C30" t="inlineStr">
        <is>
          <t>Professional</t>
        </is>
      </c>
      <c r="D30" t="inlineStr">
        <is>
          <t>Distinguished</t>
        </is>
      </c>
    </row>
    <row r="31">
      <c r="A31" t="inlineStr">
        <is>
          <t>Brock Dilley</t>
        </is>
      </c>
      <c r="B31" t="inlineStr">
        <is>
          <t>Annelies de Groot</t>
        </is>
      </c>
      <c r="C31" t="inlineStr">
        <is>
          <t>Professional</t>
        </is>
      </c>
      <c r="D31" t="inlineStr">
        <is>
          <t>Distinguished</t>
        </is>
      </c>
    </row>
    <row r="32">
      <c r="A32" t="inlineStr">
        <is>
          <t>Bryant Salinas</t>
        </is>
      </c>
      <c r="B32" t="inlineStr">
        <is>
          <t>Geoff St. Marie</t>
        </is>
      </c>
      <c r="C32" t="inlineStr">
        <is>
          <t>Professional</t>
        </is>
      </c>
      <c r="D32" t="inlineStr">
        <is>
          <t>Premium</t>
        </is>
      </c>
    </row>
    <row r="33">
      <c r="A33" t="inlineStr">
        <is>
          <t>Cadence Liles</t>
        </is>
      </c>
      <c r="B33" t="inlineStr">
        <is>
          <t>Geoff St. Marie</t>
        </is>
      </c>
      <c r="C33" t="inlineStr">
        <is>
          <t>Adjunct</t>
        </is>
      </c>
      <c r="D33" t="inlineStr">
        <is>
          <t>Advanced</t>
        </is>
      </c>
    </row>
    <row r="34">
      <c r="A34" t="inlineStr">
        <is>
          <t>Cait White</t>
        </is>
      </c>
      <c r="B34" t="inlineStr">
        <is>
          <t>Ela Cross</t>
        </is>
      </c>
      <c r="C34" t="inlineStr">
        <is>
          <t>Adjunct</t>
        </is>
      </c>
      <c r="D34" t="inlineStr">
        <is>
          <t>Premium</t>
        </is>
      </c>
    </row>
    <row r="35">
      <c r="A35" t="inlineStr">
        <is>
          <t>Caitlin Tytler</t>
        </is>
      </c>
      <c r="B35" t="inlineStr">
        <is>
          <t>Annelies de Groot</t>
        </is>
      </c>
      <c r="C35" t="inlineStr">
        <is>
          <t>Adjunct</t>
        </is>
      </c>
      <c r="D35" t="inlineStr">
        <is>
          <t>Advanced</t>
        </is>
      </c>
    </row>
    <row r="36" ht="16" customHeight="1">
      <c r="A36" t="inlineStr">
        <is>
          <t>Carina Shanahan</t>
        </is>
      </c>
      <c r="B36" s="57" t="inlineStr">
        <is>
          <t>Kristin Haase-Alvey</t>
        </is>
      </c>
      <c r="C36" t="inlineStr">
        <is>
          <t>Professional</t>
        </is>
      </c>
      <c r="D36" t="inlineStr">
        <is>
          <t>Distinguished</t>
        </is>
      </c>
    </row>
    <row r="37">
      <c r="A37" t="inlineStr">
        <is>
          <t>Casey Young</t>
        </is>
      </c>
      <c r="B37" t="inlineStr">
        <is>
          <t>Ela Cross</t>
        </is>
      </c>
      <c r="C37" t="inlineStr">
        <is>
          <t>Professional</t>
        </is>
      </c>
      <c r="D37" t="inlineStr">
        <is>
          <t>Distinguished</t>
        </is>
      </c>
    </row>
    <row r="38">
      <c r="A38" t="inlineStr">
        <is>
          <t>Charlie Anderson</t>
        </is>
      </c>
      <c r="B38" t="inlineStr">
        <is>
          <t>Annelies de Groot</t>
        </is>
      </c>
      <c r="C38" t="inlineStr">
        <is>
          <t>Professional</t>
        </is>
      </c>
      <c r="D38" t="inlineStr">
        <is>
          <t>Distinguished</t>
        </is>
      </c>
    </row>
    <row r="39">
      <c r="A39" t="inlineStr">
        <is>
          <t>Chazlee Myers</t>
        </is>
      </c>
      <c r="B39" t="inlineStr">
        <is>
          <t>Geoff St. Marie</t>
        </is>
      </c>
      <c r="C39" t="inlineStr">
        <is>
          <t>Professional</t>
        </is>
      </c>
      <c r="D39" t="inlineStr">
        <is>
          <t>Distinguished</t>
        </is>
      </c>
    </row>
    <row r="40">
      <c r="A40" t="inlineStr">
        <is>
          <t>Chelsea Kobea</t>
        </is>
      </c>
      <c r="B40" t="inlineStr">
        <is>
          <t>Kristin Haase-Alvey</t>
        </is>
      </c>
      <c r="C40" t="inlineStr">
        <is>
          <t>Professional</t>
        </is>
      </c>
      <c r="D40" t="inlineStr">
        <is>
          <t>Distinguished</t>
        </is>
      </c>
    </row>
    <row r="41">
      <c r="A41" t="inlineStr">
        <is>
          <t>Cheyanne Jones</t>
        </is>
      </c>
      <c r="B41" t="inlineStr">
        <is>
          <t>Kristin Haase-Alvey</t>
        </is>
      </c>
      <c r="C41" t="inlineStr">
        <is>
          <t>Professional</t>
        </is>
      </c>
      <c r="D41" t="inlineStr">
        <is>
          <t>Distinguished</t>
        </is>
      </c>
    </row>
    <row r="42">
      <c r="A42" t="inlineStr">
        <is>
          <t>Chris Prouty</t>
        </is>
      </c>
      <c r="B42" t="inlineStr">
        <is>
          <t>Annelies de Groot</t>
        </is>
      </c>
      <c r="C42" t="inlineStr">
        <is>
          <t>Adjunct</t>
        </is>
      </c>
      <c r="D42" t="inlineStr">
        <is>
          <t>Premium</t>
        </is>
      </c>
    </row>
    <row r="43">
      <c r="A43" t="inlineStr">
        <is>
          <t>Chris Yoon</t>
        </is>
      </c>
      <c r="B43" t="inlineStr">
        <is>
          <t>Ian Plamondon</t>
        </is>
      </c>
      <c r="C43" t="inlineStr">
        <is>
          <t>Professional</t>
        </is>
      </c>
      <c r="D43" t="inlineStr">
        <is>
          <t>Distinguished</t>
        </is>
      </c>
    </row>
    <row r="44">
      <c r="A44" t="inlineStr">
        <is>
          <t>Christelle Rocha</t>
        </is>
      </c>
      <c r="B44" t="inlineStr">
        <is>
          <t>Annelies de Groot</t>
        </is>
      </c>
      <c r="C44" t="inlineStr">
        <is>
          <t>Professional</t>
        </is>
      </c>
      <c r="D44" t="inlineStr">
        <is>
          <t>Distinguished</t>
        </is>
      </c>
    </row>
    <row r="45">
      <c r="A45" t="inlineStr">
        <is>
          <t>Christian Collins</t>
        </is>
      </c>
      <c r="B45" t="inlineStr">
        <is>
          <t>Ian Plamondon</t>
        </is>
      </c>
      <c r="C45" t="inlineStr">
        <is>
          <t>Professional</t>
        </is>
      </c>
      <c r="D45" t="inlineStr">
        <is>
          <t>Premium</t>
        </is>
      </c>
    </row>
    <row r="46">
      <c r="A46" t="inlineStr">
        <is>
          <t>Christian Steiner</t>
        </is>
      </c>
      <c r="B46" t="inlineStr">
        <is>
          <t>Kristin Haase-Alvey</t>
        </is>
      </c>
      <c r="C46" t="inlineStr">
        <is>
          <t>Professional</t>
        </is>
      </c>
      <c r="D46" t="inlineStr">
        <is>
          <t>Distinguished</t>
        </is>
      </c>
    </row>
    <row r="47">
      <c r="A47" t="inlineStr">
        <is>
          <t>Christine Santos</t>
        </is>
      </c>
      <c r="B47" t="inlineStr">
        <is>
          <t>Ela Cross</t>
        </is>
      </c>
      <c r="C47" t="inlineStr">
        <is>
          <t>Adjunct</t>
        </is>
      </c>
      <c r="D47" t="inlineStr">
        <is>
          <t>Premium</t>
        </is>
      </c>
    </row>
    <row r="48">
      <c r="A48" t="inlineStr">
        <is>
          <t>Clark Howard</t>
        </is>
      </c>
      <c r="B48" t="inlineStr">
        <is>
          <t>Ela Cross</t>
        </is>
      </c>
      <c r="C48" t="inlineStr">
        <is>
          <t>Professional</t>
        </is>
      </c>
      <c r="D48" t="inlineStr">
        <is>
          <t>Distinguished</t>
        </is>
      </c>
    </row>
    <row r="49">
      <c r="A49" t="inlineStr">
        <is>
          <t>Colin Cody</t>
        </is>
      </c>
      <c r="B49" t="inlineStr">
        <is>
          <t>Ela Cross</t>
        </is>
      </c>
      <c r="C49" t="inlineStr">
        <is>
          <t>Professional</t>
        </is>
      </c>
      <c r="D49" t="inlineStr">
        <is>
          <t>Distinguished</t>
        </is>
      </c>
    </row>
    <row r="50">
      <c r="A50" t="inlineStr">
        <is>
          <t>Conifer O’Sullivan</t>
        </is>
      </c>
      <c r="B50" t="inlineStr">
        <is>
          <t>Annelies de Groot</t>
        </is>
      </c>
      <c r="C50" t="inlineStr">
        <is>
          <t>Professional</t>
        </is>
      </c>
      <c r="D50" t="inlineStr">
        <is>
          <t>Distinguished</t>
        </is>
      </c>
    </row>
    <row r="51">
      <c r="A51" t="inlineStr">
        <is>
          <t>Cristina Ascenzi Pettenuzzo</t>
        </is>
      </c>
      <c r="B51" t="inlineStr">
        <is>
          <t>Geoff St. Marie</t>
        </is>
      </c>
      <c r="C51" t="inlineStr">
        <is>
          <t>Professional</t>
        </is>
      </c>
      <c r="D51" t="inlineStr">
        <is>
          <t>Distinguished</t>
        </is>
      </c>
    </row>
    <row r="52">
      <c r="A52" t="inlineStr">
        <is>
          <t>Daniel Esquivel-Reynoso</t>
        </is>
      </c>
      <c r="B52" t="inlineStr">
        <is>
          <t>Annelies de Groot</t>
        </is>
      </c>
      <c r="C52" t="inlineStr">
        <is>
          <t>Adjunct</t>
        </is>
      </c>
      <c r="D52" t="inlineStr">
        <is>
          <t>Distinguished</t>
        </is>
      </c>
    </row>
    <row r="53">
      <c r="A53" t="inlineStr">
        <is>
          <t>Daniel Olson</t>
        </is>
      </c>
      <c r="B53" t="inlineStr">
        <is>
          <t>Annelies de Groot</t>
        </is>
      </c>
      <c r="C53" t="inlineStr">
        <is>
          <t>Professional</t>
        </is>
      </c>
      <c r="D53" t="inlineStr">
        <is>
          <t>Distinguished</t>
        </is>
      </c>
    </row>
    <row r="54">
      <c r="A54" t="inlineStr">
        <is>
          <t>Daniel Severance</t>
        </is>
      </c>
      <c r="B54" t="inlineStr">
        <is>
          <t>Annelies de Groot</t>
        </is>
      </c>
      <c r="C54" t="inlineStr">
        <is>
          <t>Professional</t>
        </is>
      </c>
      <c r="D54" t="inlineStr">
        <is>
          <t>Premium</t>
        </is>
      </c>
    </row>
    <row r="55">
      <c r="A55" t="inlineStr">
        <is>
          <t>David Alcantara</t>
        </is>
      </c>
      <c r="B55" t="inlineStr">
        <is>
          <t>Ela Cross</t>
        </is>
      </c>
      <c r="C55" t="inlineStr">
        <is>
          <t>Professional</t>
        </is>
      </c>
      <c r="D55" t="inlineStr">
        <is>
          <t>Distinguished</t>
        </is>
      </c>
    </row>
    <row r="56">
      <c r="A56" t="inlineStr">
        <is>
          <t>Dehavion Knight</t>
        </is>
      </c>
      <c r="B56" t="inlineStr">
        <is>
          <t>Ela Cross</t>
        </is>
      </c>
      <c r="C56" t="inlineStr">
        <is>
          <t>Adjunct</t>
        </is>
      </c>
      <c r="D56" t="inlineStr">
        <is>
          <t>Distinguished</t>
        </is>
      </c>
    </row>
    <row r="57">
      <c r="A57" t="inlineStr">
        <is>
          <t>Denise Jefferson</t>
        </is>
      </c>
      <c r="B57" t="inlineStr">
        <is>
          <t>Ela Cross</t>
        </is>
      </c>
      <c r="C57" t="inlineStr">
        <is>
          <t>Adjunct</t>
        </is>
      </c>
      <c r="D57" t="inlineStr">
        <is>
          <t>Advanced</t>
        </is>
      </c>
    </row>
    <row r="58">
      <c r="A58" t="inlineStr">
        <is>
          <t>Derek Fox</t>
        </is>
      </c>
      <c r="B58" t="inlineStr">
        <is>
          <t>Geoff St. Marie</t>
        </is>
      </c>
      <c r="C58" t="inlineStr">
        <is>
          <t>Adjunct</t>
        </is>
      </c>
      <c r="D58" t="inlineStr">
        <is>
          <t>Advanced</t>
        </is>
      </c>
    </row>
    <row r="59">
      <c r="A59" t="inlineStr">
        <is>
          <t>Diamond Anderson</t>
        </is>
      </c>
      <c r="B59" t="inlineStr">
        <is>
          <t>Kristin Haase-Alvey</t>
        </is>
      </c>
      <c r="C59" t="inlineStr">
        <is>
          <t>Adjunct</t>
        </is>
      </c>
      <c r="D59" t="inlineStr">
        <is>
          <t>Distinguished</t>
        </is>
      </c>
    </row>
    <row r="60">
      <c r="A60" t="inlineStr">
        <is>
          <t>Diana Hoyer</t>
        </is>
      </c>
      <c r="B60" t="inlineStr">
        <is>
          <t>Geoff St. Marie</t>
        </is>
      </c>
      <c r="C60" t="inlineStr">
        <is>
          <t>Professional</t>
        </is>
      </c>
      <c r="D60" t="inlineStr">
        <is>
          <t>Distinguished</t>
        </is>
      </c>
    </row>
    <row r="61">
      <c r="A61" t="inlineStr">
        <is>
          <t>Dorothy McDaniel</t>
        </is>
      </c>
      <c r="B61" t="inlineStr">
        <is>
          <t>Ian Plamondon</t>
        </is>
      </c>
      <c r="C61" t="inlineStr">
        <is>
          <t>Professional</t>
        </is>
      </c>
      <c r="D61" t="inlineStr">
        <is>
          <t>Premium</t>
        </is>
      </c>
    </row>
    <row r="62">
      <c r="A62" t="inlineStr">
        <is>
          <t>Eddie Cayia</t>
        </is>
      </c>
      <c r="B62" t="inlineStr">
        <is>
          <t>Annelies de Groot</t>
        </is>
      </c>
      <c r="C62" t="inlineStr">
        <is>
          <t>Professional</t>
        </is>
      </c>
      <c r="D62" t="inlineStr">
        <is>
          <t>Distinguished</t>
        </is>
      </c>
    </row>
    <row r="63">
      <c r="A63" t="inlineStr">
        <is>
          <t>Eddie Rodriguez</t>
        </is>
      </c>
      <c r="B63" t="inlineStr">
        <is>
          <t>Geoff St. Marie</t>
        </is>
      </c>
      <c r="C63" t="inlineStr">
        <is>
          <t>Professional</t>
        </is>
      </c>
      <c r="D63" t="inlineStr">
        <is>
          <t>Distinguished</t>
        </is>
      </c>
    </row>
    <row r="64">
      <c r="A64" t="inlineStr">
        <is>
          <t>Eden Rasmussen</t>
        </is>
      </c>
      <c r="B64" t="inlineStr">
        <is>
          <t>Geoff St. Marie</t>
        </is>
      </c>
      <c r="C64" t="inlineStr">
        <is>
          <t>Professional</t>
        </is>
      </c>
      <c r="D64" t="inlineStr">
        <is>
          <t>Distinguished</t>
        </is>
      </c>
    </row>
    <row r="65">
      <c r="A65" t="inlineStr">
        <is>
          <t>Edwin West</t>
        </is>
      </c>
      <c r="B65" t="inlineStr">
        <is>
          <t>Ela Cross</t>
        </is>
      </c>
      <c r="C65" t="inlineStr">
        <is>
          <t>Adjunct</t>
        </is>
      </c>
      <c r="D65" t="inlineStr">
        <is>
          <t>Distinguished</t>
        </is>
      </c>
    </row>
    <row r="66">
      <c r="A66" t="inlineStr">
        <is>
          <t>Eleanor Mancilla</t>
        </is>
      </c>
      <c r="B66" t="inlineStr">
        <is>
          <t>Katherine Marino</t>
        </is>
      </c>
      <c r="C66" t="inlineStr">
        <is>
          <t>Professional</t>
        </is>
      </c>
      <c r="D66" t="inlineStr">
        <is>
          <t>Distinguished</t>
        </is>
      </c>
    </row>
    <row r="67">
      <c r="A67" t="inlineStr">
        <is>
          <t>Elijah Ramirez</t>
        </is>
      </c>
      <c r="B67" t="inlineStr">
        <is>
          <t>Ian Plamondon</t>
        </is>
      </c>
      <c r="C67" t="inlineStr">
        <is>
          <t>Professional</t>
        </is>
      </c>
      <c r="D67" t="inlineStr">
        <is>
          <t>Premium</t>
        </is>
      </c>
    </row>
    <row r="68">
      <c r="A68" t="inlineStr">
        <is>
          <t>Elizabeth Simons</t>
        </is>
      </c>
      <c r="B68" t="inlineStr">
        <is>
          <t>Kristin Haase-Alvey</t>
        </is>
      </c>
      <c r="C68" t="inlineStr">
        <is>
          <t>Adjunct</t>
        </is>
      </c>
      <c r="D68" t="inlineStr">
        <is>
          <t>Distinguished</t>
        </is>
      </c>
    </row>
    <row r="69">
      <c r="A69" t="inlineStr">
        <is>
          <t>Eric Chang</t>
        </is>
      </c>
      <c r="B69" t="inlineStr">
        <is>
          <t>Annelies de Groot</t>
        </is>
      </c>
      <c r="C69" t="inlineStr">
        <is>
          <t>Professional</t>
        </is>
      </c>
      <c r="D69" t="inlineStr">
        <is>
          <t>Distinguished</t>
        </is>
      </c>
    </row>
    <row r="70">
      <c r="A70" t="inlineStr">
        <is>
          <t>Ernie Chu</t>
        </is>
      </c>
      <c r="B70" t="inlineStr">
        <is>
          <t>Geoff St. Marie</t>
        </is>
      </c>
      <c r="C70" t="inlineStr">
        <is>
          <t>Professional</t>
        </is>
      </c>
      <c r="D70" t="inlineStr">
        <is>
          <t>Distinguished</t>
        </is>
      </c>
    </row>
    <row r="71">
      <c r="A71" t="inlineStr">
        <is>
          <t>Eru Kyu</t>
        </is>
      </c>
      <c r="B71" t="inlineStr">
        <is>
          <t>Nikki Pencak</t>
        </is>
      </c>
      <c r="C71" t="inlineStr">
        <is>
          <t>Professional</t>
        </is>
      </c>
      <c r="D71" t="inlineStr">
        <is>
          <t>Distinguished</t>
        </is>
      </c>
    </row>
    <row r="72">
      <c r="A72" t="inlineStr">
        <is>
          <t>Faith Rogers</t>
        </is>
      </c>
      <c r="B72" t="inlineStr">
        <is>
          <t>Geoff St. Marie</t>
        </is>
      </c>
      <c r="C72" t="inlineStr">
        <is>
          <t>Professional</t>
        </is>
      </c>
      <c r="D72" t="inlineStr">
        <is>
          <t>Distinguished</t>
        </is>
      </c>
    </row>
    <row r="73">
      <c r="A73" t="inlineStr">
        <is>
          <t>Gabriel Saint Cyr</t>
        </is>
      </c>
      <c r="B73" t="inlineStr">
        <is>
          <t>Geoff St. Marie</t>
        </is>
      </c>
      <c r="C73" t="inlineStr">
        <is>
          <t>Adjunct</t>
        </is>
      </c>
      <c r="D73" t="inlineStr">
        <is>
          <t>Distinguished</t>
        </is>
      </c>
    </row>
    <row r="74">
      <c r="A74" t="inlineStr">
        <is>
          <t>Gale Hermes</t>
        </is>
      </c>
      <c r="B74" t="inlineStr">
        <is>
          <t>Ian Plamondon</t>
        </is>
      </c>
      <c r="C74" t="inlineStr">
        <is>
          <t>Professional</t>
        </is>
      </c>
      <c r="D74" t="inlineStr">
        <is>
          <t>Premium</t>
        </is>
      </c>
    </row>
    <row r="75">
      <c r="A75" t="inlineStr">
        <is>
          <t>Gene Costa</t>
        </is>
      </c>
      <c r="B75" t="inlineStr">
        <is>
          <t>Ela Cross</t>
        </is>
      </c>
      <c r="C75" t="inlineStr">
        <is>
          <t>Professional</t>
        </is>
      </c>
      <c r="D75" t="inlineStr">
        <is>
          <t>Distinguished</t>
        </is>
      </c>
    </row>
    <row r="76">
      <c r="A76" t="inlineStr">
        <is>
          <t>Gigi Glover</t>
        </is>
      </c>
      <c r="B76" t="inlineStr">
        <is>
          <t>Geoff St. Marie</t>
        </is>
      </c>
      <c r="C76" t="inlineStr">
        <is>
          <t>Professional</t>
        </is>
      </c>
      <c r="D76" t="inlineStr">
        <is>
          <t>Distinguished</t>
        </is>
      </c>
    </row>
    <row r="77">
      <c r="A77" t="inlineStr">
        <is>
          <t>Gina Benson</t>
        </is>
      </c>
      <c r="B77" t="inlineStr">
        <is>
          <t>Katherine Marino</t>
        </is>
      </c>
      <c r="C77" t="inlineStr">
        <is>
          <t>Adjunct</t>
        </is>
      </c>
      <c r="D77" t="inlineStr">
        <is>
          <t>Advanced</t>
        </is>
      </c>
    </row>
    <row r="78">
      <c r="A78" t="inlineStr">
        <is>
          <t>Hannah Ervitz</t>
        </is>
      </c>
      <c r="B78" t="inlineStr">
        <is>
          <t>Kristin Haase-Alvey</t>
        </is>
      </c>
      <c r="C78" t="inlineStr">
        <is>
          <t>Adjunct</t>
        </is>
      </c>
      <c r="D78" t="inlineStr">
        <is>
          <t>Distinguished</t>
        </is>
      </c>
    </row>
    <row r="79">
      <c r="A79" t="inlineStr">
        <is>
          <t>Hannah Lodge</t>
        </is>
      </c>
      <c r="B79" t="inlineStr">
        <is>
          <t>Ian Plamondon</t>
        </is>
      </c>
      <c r="C79" t="inlineStr">
        <is>
          <t>Professional</t>
        </is>
      </c>
      <c r="D79" t="inlineStr">
        <is>
          <t>Premium</t>
        </is>
      </c>
    </row>
    <row r="80">
      <c r="A80" t="inlineStr">
        <is>
          <t>Jacey Clifton</t>
        </is>
      </c>
      <c r="B80" t="inlineStr">
        <is>
          <t>Ela Cross</t>
        </is>
      </c>
      <c r="C80" t="inlineStr">
        <is>
          <t>Adjunct</t>
        </is>
      </c>
      <c r="D80" t="inlineStr">
        <is>
          <t>Distinguished</t>
        </is>
      </c>
    </row>
    <row r="81" ht="16" customHeight="1">
      <c r="A81" t="inlineStr">
        <is>
          <t>Jacob Karn</t>
        </is>
      </c>
      <c r="B81" s="57" t="inlineStr">
        <is>
          <t>Geoff St. Marie</t>
        </is>
      </c>
      <c r="C81" t="inlineStr">
        <is>
          <t>Professional</t>
        </is>
      </c>
      <c r="D81" t="inlineStr">
        <is>
          <t>Distinguished</t>
        </is>
      </c>
    </row>
    <row r="82">
      <c r="A82" t="inlineStr">
        <is>
          <t>Jake Corvino</t>
        </is>
      </c>
      <c r="B82" t="inlineStr">
        <is>
          <t>Ela Cross</t>
        </is>
      </c>
      <c r="C82" t="inlineStr">
        <is>
          <t>Adjunct</t>
        </is>
      </c>
      <c r="D82" t="inlineStr">
        <is>
          <t>Distinguished</t>
        </is>
      </c>
    </row>
    <row r="83">
      <c r="A83" t="inlineStr">
        <is>
          <t>James Falconer</t>
        </is>
      </c>
      <c r="B83" t="inlineStr">
        <is>
          <t>Geoff St. Marie</t>
        </is>
      </c>
      <c r="C83" t="inlineStr">
        <is>
          <t>Professional</t>
        </is>
      </c>
      <c r="D83" t="inlineStr">
        <is>
          <t>Distinguished</t>
        </is>
      </c>
    </row>
    <row r="84">
      <c r="A84" t="inlineStr">
        <is>
          <t>Jason Anderson</t>
        </is>
      </c>
      <c r="B84" t="inlineStr">
        <is>
          <t>Kristin Haase-Alvey</t>
        </is>
      </c>
      <c r="C84" t="inlineStr">
        <is>
          <t>Professional</t>
        </is>
      </c>
      <c r="D84" t="inlineStr">
        <is>
          <t>Advanced</t>
        </is>
      </c>
    </row>
    <row r="85" ht="16" customHeight="1">
      <c r="A85" t="inlineStr">
        <is>
          <t>Jason Keller</t>
        </is>
      </c>
      <c r="B85" s="57" t="inlineStr">
        <is>
          <t>Kristin Haase-Alvey</t>
        </is>
      </c>
      <c r="C85" t="inlineStr">
        <is>
          <t>Professional</t>
        </is>
      </c>
      <c r="D85" t="inlineStr">
        <is>
          <t>Premium</t>
        </is>
      </c>
    </row>
    <row r="86">
      <c r="A86" t="inlineStr">
        <is>
          <t>Jason Noble</t>
        </is>
      </c>
      <c r="B86" t="inlineStr">
        <is>
          <t>Kristin Haase-Alvey</t>
        </is>
      </c>
      <c r="C86" t="inlineStr">
        <is>
          <t>Professional</t>
        </is>
      </c>
      <c r="D86" t="inlineStr">
        <is>
          <t>Distinguished</t>
        </is>
      </c>
    </row>
    <row r="87">
      <c r="A87" t="inlineStr">
        <is>
          <t>Jayna Boaz</t>
        </is>
      </c>
      <c r="B87" t="inlineStr">
        <is>
          <t>Ela Cross</t>
        </is>
      </c>
      <c r="C87" t="inlineStr">
        <is>
          <t>Adjunct</t>
        </is>
      </c>
      <c r="D87" t="inlineStr">
        <is>
          <t>Advanced</t>
        </is>
      </c>
    </row>
    <row r="88">
      <c r="A88" t="inlineStr">
        <is>
          <t>Jenn Thompson</t>
        </is>
      </c>
      <c r="B88" t="inlineStr">
        <is>
          <t>Kristin Haase-Alvey</t>
        </is>
      </c>
      <c r="C88" t="inlineStr">
        <is>
          <t>Adjunct</t>
        </is>
      </c>
      <c r="D88" t="inlineStr">
        <is>
          <t>Advanced</t>
        </is>
      </c>
    </row>
    <row r="89">
      <c r="A89" t="inlineStr">
        <is>
          <t>Jennifer Hernandez</t>
        </is>
      </c>
      <c r="B89" t="inlineStr">
        <is>
          <t>Kristin Haase-Alvey</t>
        </is>
      </c>
      <c r="C89" t="inlineStr">
        <is>
          <t>Adjunct</t>
        </is>
      </c>
      <c r="D89" t="inlineStr">
        <is>
          <t>Distinguished</t>
        </is>
      </c>
    </row>
    <row r="90" ht="16" customHeight="1">
      <c r="A90" s="4" t="inlineStr">
        <is>
          <t>Jesse Squires</t>
        </is>
      </c>
      <c r="B90" s="57" t="inlineStr">
        <is>
          <t>Kristin Haase-Alvey</t>
        </is>
      </c>
      <c r="C90" t="inlineStr">
        <is>
          <t>Professional</t>
        </is>
      </c>
      <c r="D90" t="inlineStr">
        <is>
          <t>Distinguished</t>
        </is>
      </c>
    </row>
    <row r="91">
      <c r="A91" t="inlineStr">
        <is>
          <t>Jessica Menkhus</t>
        </is>
      </c>
      <c r="B91" t="inlineStr">
        <is>
          <t>Ela Cross</t>
        </is>
      </c>
      <c r="C91" t="inlineStr">
        <is>
          <t>Adjunct</t>
        </is>
      </c>
      <c r="D91" t="inlineStr">
        <is>
          <t>Premium</t>
        </is>
      </c>
    </row>
    <row r="92">
      <c r="A92" t="inlineStr">
        <is>
          <t>Jessica Peterson</t>
        </is>
      </c>
      <c r="B92" t="inlineStr">
        <is>
          <t>Annelies de Groot</t>
        </is>
      </c>
      <c r="C92" t="inlineStr">
        <is>
          <t>Adjunct</t>
        </is>
      </c>
      <c r="D92" t="inlineStr">
        <is>
          <t>Premium</t>
        </is>
      </c>
    </row>
    <row r="93">
      <c r="A93" t="inlineStr">
        <is>
          <t>Jessica Wall</t>
        </is>
      </c>
      <c r="B93" t="inlineStr">
        <is>
          <t>Kristin Haase-Alvey</t>
        </is>
      </c>
      <c r="C93" t="inlineStr">
        <is>
          <t>Professional</t>
        </is>
      </c>
      <c r="D93" t="inlineStr">
        <is>
          <t>Distinguished</t>
        </is>
      </c>
    </row>
    <row r="94">
      <c r="A94" t="inlineStr">
        <is>
          <t>Jill Watson</t>
        </is>
      </c>
      <c r="B94" t="inlineStr">
        <is>
          <t>Ian Plamondon</t>
        </is>
      </c>
      <c r="C94" t="inlineStr">
        <is>
          <t>Professional</t>
        </is>
      </c>
      <c r="D94" t="inlineStr">
        <is>
          <t>Distinguished</t>
        </is>
      </c>
    </row>
    <row r="95">
      <c r="A95" t="inlineStr">
        <is>
          <t>Jimmy Works</t>
        </is>
      </c>
      <c r="B95" t="inlineStr">
        <is>
          <t>Kristin Haase-Alvey</t>
        </is>
      </c>
      <c r="C95" t="inlineStr">
        <is>
          <t>Adjunct</t>
        </is>
      </c>
      <c r="D95" t="inlineStr">
        <is>
          <t>Distinguished</t>
        </is>
      </c>
    </row>
    <row r="96">
      <c r="A96" t="inlineStr">
        <is>
          <t>John Corbett</t>
        </is>
      </c>
      <c r="B96" t="inlineStr">
        <is>
          <t>Geoff St. Marie</t>
        </is>
      </c>
      <c r="C96" t="inlineStr">
        <is>
          <t>Adjunct</t>
        </is>
      </c>
      <c r="D96" t="inlineStr">
        <is>
          <t>Distinguished</t>
        </is>
      </c>
    </row>
    <row r="97">
      <c r="A97" t="inlineStr">
        <is>
          <t>John Licitra</t>
        </is>
      </c>
      <c r="B97" t="inlineStr">
        <is>
          <t>Geoff St. Marie</t>
        </is>
      </c>
      <c r="C97" t="inlineStr">
        <is>
          <t>Professional</t>
        </is>
      </c>
      <c r="D97" t="inlineStr">
        <is>
          <t>Distinguished</t>
        </is>
      </c>
    </row>
    <row r="98">
      <c r="A98" t="inlineStr">
        <is>
          <t>John Olmos</t>
        </is>
      </c>
      <c r="B98" t="inlineStr">
        <is>
          <t>Geoff St. Marie</t>
        </is>
      </c>
      <c r="C98" t="inlineStr">
        <is>
          <t>Professional</t>
        </is>
      </c>
      <c r="D98" t="inlineStr">
        <is>
          <t>Distinguished</t>
        </is>
      </c>
    </row>
    <row r="99">
      <c r="A99" t="inlineStr">
        <is>
          <t>John Salcedo</t>
        </is>
      </c>
      <c r="B99" t="inlineStr">
        <is>
          <t>Ela Cross</t>
        </is>
      </c>
      <c r="C99" t="inlineStr">
        <is>
          <t>Professional</t>
        </is>
      </c>
      <c r="D99" t="inlineStr">
        <is>
          <t>Distinguished</t>
        </is>
      </c>
    </row>
    <row r="100">
      <c r="A100" t="inlineStr">
        <is>
          <t>Johnny Kaplan</t>
        </is>
      </c>
      <c r="B100" t="inlineStr">
        <is>
          <t>Ian Plamondon</t>
        </is>
      </c>
      <c r="C100" t="inlineStr">
        <is>
          <t>Adjunct</t>
        </is>
      </c>
      <c r="D100" t="inlineStr">
        <is>
          <t>Advanced</t>
        </is>
      </c>
    </row>
    <row r="101">
      <c r="A101" t="inlineStr">
        <is>
          <t>Jon Cathapermal</t>
        </is>
      </c>
      <c r="B101" t="inlineStr">
        <is>
          <t>Geoff St. Marie</t>
        </is>
      </c>
      <c r="C101" t="inlineStr">
        <is>
          <t>Professional</t>
        </is>
      </c>
      <c r="D101" t="inlineStr">
        <is>
          <t>Distinguished</t>
        </is>
      </c>
    </row>
    <row r="102">
      <c r="A102" t="inlineStr">
        <is>
          <t>Joyraj D'souza</t>
        </is>
      </c>
      <c r="B102" t="inlineStr">
        <is>
          <t>Kristin Haase-Alvey</t>
        </is>
      </c>
      <c r="C102" t="inlineStr">
        <is>
          <t>Adjunct</t>
        </is>
      </c>
      <c r="D102" t="inlineStr">
        <is>
          <t>Distinguished</t>
        </is>
      </c>
    </row>
    <row r="103">
      <c r="A103" t="inlineStr">
        <is>
          <t>Juan Nunez</t>
        </is>
      </c>
      <c r="B103" t="inlineStr">
        <is>
          <t>Kristin Haase-Alvey</t>
        </is>
      </c>
      <c r="C103" t="inlineStr">
        <is>
          <t>Professional</t>
        </is>
      </c>
      <c r="D103" t="inlineStr">
        <is>
          <t>Distinguished</t>
        </is>
      </c>
    </row>
    <row r="104">
      <c r="A104" t="inlineStr">
        <is>
          <t>Judi Abo Hana</t>
        </is>
      </c>
      <c r="B104" t="inlineStr">
        <is>
          <t>Geoff St. Marie</t>
        </is>
      </c>
      <c r="C104" t="inlineStr">
        <is>
          <t>Adjunct</t>
        </is>
      </c>
      <c r="D104" t="inlineStr">
        <is>
          <t>Advanced</t>
        </is>
      </c>
    </row>
    <row r="105">
      <c r="A105" t="inlineStr">
        <is>
          <t>Julia Saderholm</t>
        </is>
      </c>
      <c r="B105" t="inlineStr">
        <is>
          <t>Ela Cross</t>
        </is>
      </c>
      <c r="C105" t="inlineStr">
        <is>
          <t>Professional</t>
        </is>
      </c>
      <c r="D105" t="inlineStr">
        <is>
          <t>Distinguished</t>
        </is>
      </c>
    </row>
    <row r="106">
      <c r="A106" t="inlineStr">
        <is>
          <t>Julie Byrom</t>
        </is>
      </c>
      <c r="B106" t="inlineStr">
        <is>
          <t>Ela Cross</t>
        </is>
      </c>
      <c r="C106" t="inlineStr">
        <is>
          <t>Professional</t>
        </is>
      </c>
      <c r="D106" t="inlineStr">
        <is>
          <t>Premium</t>
        </is>
      </c>
    </row>
    <row r="107">
      <c r="A107" t="inlineStr">
        <is>
          <t>Justin Hill</t>
        </is>
      </c>
      <c r="B107" t="inlineStr">
        <is>
          <t>Kristin Haase-Alvey</t>
        </is>
      </c>
      <c r="C107" t="inlineStr">
        <is>
          <t>Professional</t>
        </is>
      </c>
      <c r="D107" t="inlineStr">
        <is>
          <t>Distinguished</t>
        </is>
      </c>
    </row>
    <row r="108">
      <c r="A108" t="inlineStr">
        <is>
          <t>Kai Tsung</t>
        </is>
      </c>
      <c r="B108" t="inlineStr">
        <is>
          <t>Kristin Haase-Alvey</t>
        </is>
      </c>
      <c r="C108" t="inlineStr">
        <is>
          <t>Adjunct</t>
        </is>
      </c>
      <c r="D108" t="inlineStr">
        <is>
          <t>Advanced</t>
        </is>
      </c>
    </row>
    <row r="109">
      <c r="A109" t="inlineStr">
        <is>
          <t>Kailot Harris</t>
        </is>
      </c>
      <c r="B109" t="inlineStr">
        <is>
          <t>Kristin Haase-Alvey</t>
        </is>
      </c>
      <c r="C109" t="inlineStr">
        <is>
          <t>Professional</t>
        </is>
      </c>
      <c r="D109" t="inlineStr">
        <is>
          <t>Distinguished</t>
        </is>
      </c>
    </row>
    <row r="110">
      <c r="A110" t="inlineStr">
        <is>
          <t>Karleigh Arrington</t>
        </is>
      </c>
      <c r="B110" t="inlineStr">
        <is>
          <t>Annelies de Groot</t>
        </is>
      </c>
      <c r="C110" t="inlineStr">
        <is>
          <t>Professional</t>
        </is>
      </c>
      <c r="D110" t="inlineStr">
        <is>
          <t>Distinguished</t>
        </is>
      </c>
    </row>
    <row r="111">
      <c r="A111" t="inlineStr">
        <is>
          <t>Kate Haldeman</t>
        </is>
      </c>
      <c r="B111" t="inlineStr">
        <is>
          <t>Geoff St. Marie</t>
        </is>
      </c>
      <c r="C111" t="inlineStr">
        <is>
          <t>Professional</t>
        </is>
      </c>
      <c r="D111" t="inlineStr">
        <is>
          <t>Advanced</t>
        </is>
      </c>
    </row>
    <row r="112" ht="16" customHeight="1">
      <c r="A112" t="inlineStr">
        <is>
          <t>Katherine Clarke</t>
        </is>
      </c>
      <c r="B112" s="57" t="inlineStr">
        <is>
          <t>Kristin Haase-Alvey</t>
        </is>
      </c>
      <c r="C112" t="inlineStr">
        <is>
          <t>Professional</t>
        </is>
      </c>
      <c r="D112" t="inlineStr">
        <is>
          <t>Distinguished</t>
        </is>
      </c>
    </row>
    <row r="113">
      <c r="A113" t="inlineStr">
        <is>
          <t>Katherine Dickerson</t>
        </is>
      </c>
      <c r="B113" t="inlineStr">
        <is>
          <t>Geoff St. Marie</t>
        </is>
      </c>
      <c r="C113" t="inlineStr">
        <is>
          <t>Professional</t>
        </is>
      </c>
      <c r="D113" t="inlineStr">
        <is>
          <t>Premium</t>
        </is>
      </c>
    </row>
    <row r="114">
      <c r="A114" t="inlineStr">
        <is>
          <t>Kiersten Guetlein</t>
        </is>
      </c>
      <c r="B114" t="inlineStr">
        <is>
          <t>Ela Cross</t>
        </is>
      </c>
      <c r="C114" t="inlineStr">
        <is>
          <t>Professional</t>
        </is>
      </c>
      <c r="D114" t="inlineStr">
        <is>
          <t>Premium</t>
        </is>
      </c>
    </row>
    <row r="115">
      <c r="A115" t="inlineStr">
        <is>
          <t>Kristen Fox</t>
        </is>
      </c>
      <c r="B115" t="inlineStr">
        <is>
          <t>Kristin Haase-Alvey</t>
        </is>
      </c>
      <c r="C115" t="inlineStr">
        <is>
          <t>Professional</t>
        </is>
      </c>
      <c r="D115" t="inlineStr">
        <is>
          <t>Distinguished</t>
        </is>
      </c>
    </row>
    <row r="116">
      <c r="A116" t="inlineStr">
        <is>
          <t>Kristen Luigart</t>
        </is>
      </c>
      <c r="B116" t="inlineStr">
        <is>
          <t>Ian Plamondon</t>
        </is>
      </c>
      <c r="C116" t="inlineStr">
        <is>
          <t>Professional</t>
        </is>
      </c>
      <c r="D116" t="inlineStr">
        <is>
          <t>Distinguished</t>
        </is>
      </c>
    </row>
    <row r="117">
      <c r="A117" t="inlineStr">
        <is>
          <t>Krystal Ashley</t>
        </is>
      </c>
      <c r="B117" t="inlineStr">
        <is>
          <t>Katherine Marino</t>
        </is>
      </c>
      <c r="C117" t="inlineStr">
        <is>
          <t>Adjunct</t>
        </is>
      </c>
      <c r="D117" t="inlineStr">
        <is>
          <t>Advanced</t>
        </is>
      </c>
    </row>
    <row r="118">
      <c r="A118" t="inlineStr">
        <is>
          <t>Lana Kargetta</t>
        </is>
      </c>
      <c r="B118" t="inlineStr">
        <is>
          <t>Geoff St. Marie</t>
        </is>
      </c>
      <c r="C118" t="inlineStr">
        <is>
          <t>Adjunct</t>
        </is>
      </c>
      <c r="D118" t="inlineStr">
        <is>
          <t>Advanced</t>
        </is>
      </c>
    </row>
    <row r="119">
      <c r="A119" t="inlineStr">
        <is>
          <t>Levi Fox</t>
        </is>
      </c>
      <c r="B119" t="inlineStr">
        <is>
          <t>Geoff St. Marie</t>
        </is>
      </c>
      <c r="C119" t="inlineStr">
        <is>
          <t>Professional</t>
        </is>
      </c>
      <c r="D119" t="inlineStr">
        <is>
          <t>Premium</t>
        </is>
      </c>
    </row>
    <row r="120">
      <c r="A120" t="inlineStr">
        <is>
          <t>Lisa Bartle</t>
        </is>
      </c>
      <c r="B120" t="inlineStr">
        <is>
          <t>Annelies de Groot</t>
        </is>
      </c>
      <c r="C120" t="inlineStr">
        <is>
          <t>Adjunct</t>
        </is>
      </c>
      <c r="D120" t="inlineStr">
        <is>
          <t>Premium</t>
        </is>
      </c>
    </row>
    <row r="121">
      <c r="A121" t="inlineStr">
        <is>
          <t>Liz Garcia</t>
        </is>
      </c>
      <c r="B121" t="inlineStr">
        <is>
          <t>Geoff St. Marie</t>
        </is>
      </c>
      <c r="C121" t="inlineStr">
        <is>
          <t>Professional</t>
        </is>
      </c>
      <c r="D121" t="inlineStr">
        <is>
          <t>Distinguished</t>
        </is>
      </c>
    </row>
    <row r="122">
      <c r="A122" t="inlineStr">
        <is>
          <t>Liz Pirie</t>
        </is>
      </c>
      <c r="B122" t="inlineStr">
        <is>
          <t>Kristin Haase-Alvey</t>
        </is>
      </c>
      <c r="C122" t="inlineStr">
        <is>
          <t>Professional</t>
        </is>
      </c>
      <c r="D122" t="inlineStr">
        <is>
          <t>Distinguished</t>
        </is>
      </c>
    </row>
    <row r="123">
      <c r="A123" t="inlineStr">
        <is>
          <t>Loren Lijewski</t>
        </is>
      </c>
      <c r="B123" t="inlineStr">
        <is>
          <t>Annelies de Groot</t>
        </is>
      </c>
      <c r="C123" t="inlineStr">
        <is>
          <t>Adjunct</t>
        </is>
      </c>
      <c r="D123" t="inlineStr">
        <is>
          <t>Advanced</t>
        </is>
      </c>
    </row>
    <row r="124">
      <c r="A124" t="inlineStr">
        <is>
          <t>Machaela Verhage</t>
        </is>
      </c>
      <c r="B124" t="inlineStr">
        <is>
          <t>Annelies de Groot</t>
        </is>
      </c>
      <c r="C124" t="inlineStr">
        <is>
          <t>Professional</t>
        </is>
      </c>
      <c r="D124" t="inlineStr">
        <is>
          <t>Distinguished</t>
        </is>
      </c>
    </row>
    <row r="125">
      <c r="A125" t="inlineStr">
        <is>
          <t>Madia Banda</t>
        </is>
      </c>
      <c r="B125" t="inlineStr">
        <is>
          <t>Geoff St. Marie</t>
        </is>
      </c>
      <c r="C125" t="inlineStr">
        <is>
          <t>Professional</t>
        </is>
      </c>
      <c r="D125" t="inlineStr">
        <is>
          <t>Advanced</t>
        </is>
      </c>
    </row>
    <row r="126">
      <c r="A126" t="inlineStr">
        <is>
          <t>Maia Gerlinger</t>
        </is>
      </c>
      <c r="B126" t="inlineStr">
        <is>
          <t>Annelies de Groot</t>
        </is>
      </c>
      <c r="C126" t="inlineStr">
        <is>
          <t>Adjunct</t>
        </is>
      </c>
      <c r="D126" t="inlineStr">
        <is>
          <t>Distinguished</t>
        </is>
      </c>
    </row>
    <row r="127">
      <c r="A127" t="inlineStr">
        <is>
          <t>Margaret Webb</t>
        </is>
      </c>
      <c r="B127" t="inlineStr">
        <is>
          <t>Kristin Haase-Alvey</t>
        </is>
      </c>
      <c r="C127" t="inlineStr">
        <is>
          <t>Professional</t>
        </is>
      </c>
      <c r="D127" t="inlineStr">
        <is>
          <t>Distinguished</t>
        </is>
      </c>
    </row>
    <row r="128">
      <c r="A128" t="inlineStr">
        <is>
          <t>Mary Felix</t>
        </is>
      </c>
      <c r="B128" t="inlineStr">
        <is>
          <t>Ian Plamondon</t>
        </is>
      </c>
      <c r="C128" t="inlineStr">
        <is>
          <t>Professional</t>
        </is>
      </c>
      <c r="D128" t="inlineStr">
        <is>
          <t>Premium</t>
        </is>
      </c>
    </row>
    <row r="129">
      <c r="A129" t="inlineStr">
        <is>
          <t>Mary Logan</t>
        </is>
      </c>
      <c r="B129" t="inlineStr">
        <is>
          <t>Ela Cross</t>
        </is>
      </c>
      <c r="C129" t="inlineStr">
        <is>
          <t>Professional</t>
        </is>
      </c>
      <c r="D129" t="inlineStr">
        <is>
          <t>Distinguished</t>
        </is>
      </c>
    </row>
    <row r="130">
      <c r="A130" t="inlineStr">
        <is>
          <t>Matthew Urso</t>
        </is>
      </c>
      <c r="B130" t="inlineStr">
        <is>
          <t>Geoff St. Marie</t>
        </is>
      </c>
      <c r="C130" t="inlineStr">
        <is>
          <t>Professional</t>
        </is>
      </c>
      <c r="D130" t="inlineStr">
        <is>
          <t>Distinguished</t>
        </is>
      </c>
    </row>
    <row r="131">
      <c r="A131" t="inlineStr">
        <is>
          <t>Matthew Wert</t>
        </is>
      </c>
      <c r="B131" t="inlineStr">
        <is>
          <t>Geoff St. Marie</t>
        </is>
      </c>
      <c r="C131" t="inlineStr">
        <is>
          <t>Adjunct</t>
        </is>
      </c>
      <c r="D131" t="inlineStr">
        <is>
          <t>Distinguished</t>
        </is>
      </c>
    </row>
    <row r="132">
      <c r="A132" t="inlineStr">
        <is>
          <t>Matty Burge</t>
        </is>
      </c>
      <c r="B132" t="inlineStr">
        <is>
          <t>Annelies de Groot</t>
        </is>
      </c>
      <c r="C132" t="inlineStr">
        <is>
          <t>Adjunct</t>
        </is>
      </c>
      <c r="D132" t="inlineStr">
        <is>
          <t>Distinguished</t>
        </is>
      </c>
    </row>
    <row r="133">
      <c r="A133" t="inlineStr">
        <is>
          <t>Maximilian Tsimerman</t>
        </is>
      </c>
      <c r="B133" t="inlineStr">
        <is>
          <t>Geoff St. Marie</t>
        </is>
      </c>
      <c r="C133" t="inlineStr">
        <is>
          <t>Professional</t>
        </is>
      </c>
      <c r="D133" t="inlineStr">
        <is>
          <t>Distinguished</t>
        </is>
      </c>
    </row>
    <row r="134">
      <c r="A134" t="inlineStr">
        <is>
          <t>Megan Hoelting</t>
        </is>
      </c>
      <c r="B134" t="inlineStr">
        <is>
          <t>Annelies de Groot</t>
        </is>
      </c>
      <c r="C134" t="inlineStr">
        <is>
          <t>Adjunct</t>
        </is>
      </c>
      <c r="D134" t="inlineStr">
        <is>
          <t>Distinguished</t>
        </is>
      </c>
    </row>
    <row r="135">
      <c r="A135" t="inlineStr">
        <is>
          <t>Megan Ingle</t>
        </is>
      </c>
      <c r="B135" t="inlineStr">
        <is>
          <t>Geoff St. Marie</t>
        </is>
      </c>
      <c r="C135" t="inlineStr">
        <is>
          <t>Adjunct</t>
        </is>
      </c>
      <c r="D135" t="inlineStr">
        <is>
          <t>Advanced</t>
        </is>
      </c>
    </row>
    <row r="136">
      <c r="A136" t="inlineStr">
        <is>
          <t>Megan Osgood</t>
        </is>
      </c>
      <c r="B136" t="inlineStr">
        <is>
          <t>Annelies de Groot</t>
        </is>
      </c>
      <c r="C136" t="inlineStr">
        <is>
          <t>Professional</t>
        </is>
      </c>
      <c r="D136" t="inlineStr">
        <is>
          <t>Distinguished</t>
        </is>
      </c>
    </row>
    <row r="137">
      <c r="A137" t="inlineStr">
        <is>
          <t>Melanie Leong</t>
        </is>
      </c>
      <c r="B137" t="inlineStr">
        <is>
          <t>Kristin Haase-Alvey</t>
        </is>
      </c>
      <c r="C137" t="inlineStr">
        <is>
          <t>Adjunct</t>
        </is>
      </c>
      <c r="D137" t="inlineStr">
        <is>
          <t>Premium</t>
        </is>
      </c>
    </row>
    <row r="138">
      <c r="A138" t="inlineStr">
        <is>
          <t>Melinda Mergendahl</t>
        </is>
      </c>
      <c r="B138" t="inlineStr">
        <is>
          <t>Geoff St. Marie</t>
        </is>
      </c>
      <c r="C138" t="inlineStr">
        <is>
          <t>Adjunct</t>
        </is>
      </c>
      <c r="D138" t="inlineStr">
        <is>
          <t>Distinguished</t>
        </is>
      </c>
    </row>
    <row r="139">
      <c r="A139" t="inlineStr">
        <is>
          <t>Michelle Testerman</t>
        </is>
      </c>
      <c r="B139" t="inlineStr">
        <is>
          <t>Ela Cross</t>
        </is>
      </c>
      <c r="C139" t="inlineStr">
        <is>
          <t>Adjunct</t>
        </is>
      </c>
      <c r="D139" t="inlineStr">
        <is>
          <t>Distinguished</t>
        </is>
      </c>
    </row>
    <row r="140">
      <c r="A140" t="inlineStr">
        <is>
          <t>Miki Cornwell</t>
        </is>
      </c>
      <c r="B140" t="inlineStr">
        <is>
          <t>Ela Cross</t>
        </is>
      </c>
      <c r="C140" t="inlineStr">
        <is>
          <t>Adjunct</t>
        </is>
      </c>
      <c r="D140" t="inlineStr">
        <is>
          <t>Distinguished</t>
        </is>
      </c>
    </row>
    <row r="141">
      <c r="A141" t="inlineStr">
        <is>
          <t>Myles Oldroyd</t>
        </is>
      </c>
      <c r="B141" t="inlineStr">
        <is>
          <t>Ian Plamondon</t>
        </is>
      </c>
      <c r="C141" t="inlineStr">
        <is>
          <t>Professional</t>
        </is>
      </c>
      <c r="D141" t="inlineStr">
        <is>
          <t>Premium</t>
        </is>
      </c>
    </row>
    <row r="142">
      <c r="A142" t="inlineStr">
        <is>
          <t>Naima Chaudhry</t>
        </is>
      </c>
      <c r="B142" t="inlineStr">
        <is>
          <t>Kristin Haase-Alvey</t>
        </is>
      </c>
      <c r="C142" t="inlineStr">
        <is>
          <t>Adjunct</t>
        </is>
      </c>
      <c r="D142" t="inlineStr">
        <is>
          <t>Advanced</t>
        </is>
      </c>
    </row>
    <row r="143">
      <c r="A143" t="inlineStr">
        <is>
          <t>Nando Reyes</t>
        </is>
      </c>
      <c r="B143" t="inlineStr">
        <is>
          <t>Geoff St. Marie</t>
        </is>
      </c>
      <c r="C143" t="inlineStr">
        <is>
          <t>Professional</t>
        </is>
      </c>
      <c r="D143" t="inlineStr">
        <is>
          <t>Distinguished</t>
        </is>
      </c>
    </row>
    <row r="144">
      <c r="A144" t="inlineStr">
        <is>
          <t>Nayely Rolon-Gomez</t>
        </is>
      </c>
      <c r="B144" t="inlineStr">
        <is>
          <t>Ela Cross</t>
        </is>
      </c>
      <c r="C144" t="inlineStr">
        <is>
          <t>Professional</t>
        </is>
      </c>
      <c r="D144" t="inlineStr">
        <is>
          <t>Distinguished</t>
        </is>
      </c>
    </row>
    <row r="145">
      <c r="A145" t="inlineStr">
        <is>
          <t>Nicholas Ulfik</t>
        </is>
      </c>
      <c r="B145" t="inlineStr">
        <is>
          <t>Kristin Haase-Alvey</t>
        </is>
      </c>
      <c r="C145" t="inlineStr">
        <is>
          <t>Professional</t>
        </is>
      </c>
      <c r="D145" t="inlineStr">
        <is>
          <t>Distinguished</t>
        </is>
      </c>
    </row>
    <row r="146">
      <c r="A146" t="inlineStr">
        <is>
          <t>Nick Kocik</t>
        </is>
      </c>
      <c r="B146" t="inlineStr">
        <is>
          <t>Ela Cross</t>
        </is>
      </c>
      <c r="C146" t="inlineStr">
        <is>
          <t>Professional</t>
        </is>
      </c>
      <c r="D146" t="inlineStr">
        <is>
          <t>Distinguished</t>
        </is>
      </c>
    </row>
    <row r="147">
      <c r="A147" t="inlineStr">
        <is>
          <t>Nick Lucido</t>
        </is>
      </c>
      <c r="B147" t="inlineStr">
        <is>
          <t>Kristin Haase-Alvey</t>
        </is>
      </c>
      <c r="C147" t="inlineStr">
        <is>
          <t>Professional</t>
        </is>
      </c>
      <c r="D147" t="inlineStr">
        <is>
          <t>Distinguished</t>
        </is>
      </c>
    </row>
    <row r="148">
      <c r="A148" t="inlineStr">
        <is>
          <t>Nicole Bishop</t>
        </is>
      </c>
      <c r="B148" t="inlineStr">
        <is>
          <t>Ela Cross</t>
        </is>
      </c>
      <c r="C148" t="inlineStr">
        <is>
          <t>Professional</t>
        </is>
      </c>
      <c r="D148" t="inlineStr">
        <is>
          <t>Distinguished</t>
        </is>
      </c>
    </row>
    <row r="149">
      <c r="A149" t="inlineStr">
        <is>
          <t>Nik Kososik</t>
        </is>
      </c>
      <c r="B149" t="inlineStr">
        <is>
          <t>Geoff St. Marie</t>
        </is>
      </c>
      <c r="C149" t="inlineStr">
        <is>
          <t>Adjunct</t>
        </is>
      </c>
      <c r="D149" t="inlineStr">
        <is>
          <t>Distinguished</t>
        </is>
      </c>
    </row>
    <row r="150">
      <c r="A150" t="inlineStr">
        <is>
          <t>Nisan Hubbard</t>
        </is>
      </c>
      <c r="B150" t="inlineStr">
        <is>
          <t>Annelies de Groot</t>
        </is>
      </c>
      <c r="C150" t="inlineStr">
        <is>
          <t>Adjunct</t>
        </is>
      </c>
      <c r="D150" t="inlineStr">
        <is>
          <t>Distinguished</t>
        </is>
      </c>
    </row>
    <row r="151">
      <c r="A151" t="inlineStr">
        <is>
          <t>Nisha Fletcher</t>
        </is>
      </c>
      <c r="B151" t="inlineStr">
        <is>
          <t>Kristin Haase-Alvey</t>
        </is>
      </c>
      <c r="C151" t="inlineStr">
        <is>
          <t>Adjunct</t>
        </is>
      </c>
      <c r="D151" t="inlineStr">
        <is>
          <t>Advanced</t>
        </is>
      </c>
    </row>
    <row r="152">
      <c r="A152" t="inlineStr">
        <is>
          <t>Ore Williams</t>
        </is>
      </c>
      <c r="B152" t="inlineStr">
        <is>
          <t>Ela Cross</t>
        </is>
      </c>
      <c r="C152" t="inlineStr">
        <is>
          <t>Adjunct</t>
        </is>
      </c>
      <c r="D152" t="inlineStr">
        <is>
          <t>Advanced</t>
        </is>
      </c>
    </row>
    <row r="153">
      <c r="A153" t="inlineStr">
        <is>
          <t>Parthav Elangovan</t>
        </is>
      </c>
      <c r="B153" t="inlineStr">
        <is>
          <t>Ian Plamondon</t>
        </is>
      </c>
      <c r="C153" t="inlineStr">
        <is>
          <t>Adjunct</t>
        </is>
      </c>
      <c r="D153" t="inlineStr">
        <is>
          <t>Advanced</t>
        </is>
      </c>
    </row>
    <row r="154">
      <c r="A154" t="inlineStr">
        <is>
          <t>Patricia Flores</t>
        </is>
      </c>
      <c r="B154" t="inlineStr">
        <is>
          <t>Ela Cross</t>
        </is>
      </c>
      <c r="C154" t="inlineStr">
        <is>
          <t>Adjunct</t>
        </is>
      </c>
      <c r="D154" t="inlineStr">
        <is>
          <t>Distinguished</t>
        </is>
      </c>
    </row>
    <row r="155">
      <c r="A155" t="inlineStr">
        <is>
          <t>Penny Russell</t>
        </is>
      </c>
      <c r="B155" t="inlineStr">
        <is>
          <t>Ian Plamondon</t>
        </is>
      </c>
      <c r="C155" t="inlineStr">
        <is>
          <t>Professional</t>
        </is>
      </c>
      <c r="D155" t="inlineStr">
        <is>
          <t>Distinguished</t>
        </is>
      </c>
    </row>
    <row r="156" ht="16" customHeight="1">
      <c r="A156" t="inlineStr">
        <is>
          <t>Philip Thomas</t>
        </is>
      </c>
      <c r="B156" s="57" t="inlineStr">
        <is>
          <t>Annelies de Groot</t>
        </is>
      </c>
      <c r="C156" t="inlineStr">
        <is>
          <t>Professional</t>
        </is>
      </c>
      <c r="D156" t="inlineStr">
        <is>
          <t>Premium</t>
        </is>
      </c>
    </row>
    <row r="157">
      <c r="A157" t="inlineStr">
        <is>
          <t>Preston Peoples</t>
        </is>
      </c>
      <c r="B157" t="inlineStr">
        <is>
          <t>Annelies de Groot</t>
        </is>
      </c>
      <c r="C157" t="inlineStr">
        <is>
          <t>Professional</t>
        </is>
      </c>
      <c r="D157" t="inlineStr">
        <is>
          <t>Distinguished</t>
        </is>
      </c>
    </row>
    <row r="158">
      <c r="A158" t="inlineStr">
        <is>
          <t>Q. Monét Travis</t>
        </is>
      </c>
      <c r="B158" t="inlineStr">
        <is>
          <t>Ela Cross</t>
        </is>
      </c>
      <c r="C158" t="inlineStr">
        <is>
          <t>Adjunct</t>
        </is>
      </c>
      <c r="D158" t="inlineStr">
        <is>
          <t>Distinguished</t>
        </is>
      </c>
    </row>
    <row r="159">
      <c r="A159" t="inlineStr">
        <is>
          <t>Rafi Overton</t>
        </is>
      </c>
      <c r="B159" t="inlineStr">
        <is>
          <t>Geoff St. Marie</t>
        </is>
      </c>
      <c r="C159" t="inlineStr">
        <is>
          <t>Professional</t>
        </is>
      </c>
      <c r="D159" t="inlineStr">
        <is>
          <t>Distinguished</t>
        </is>
      </c>
    </row>
    <row r="160">
      <c r="A160" t="inlineStr">
        <is>
          <t>Rain Real</t>
        </is>
      </c>
      <c r="B160" t="inlineStr">
        <is>
          <t>Annelies de Groot</t>
        </is>
      </c>
      <c r="C160" t="inlineStr">
        <is>
          <t>Professional</t>
        </is>
      </c>
      <c r="D160" t="inlineStr">
        <is>
          <t>Distinguished</t>
        </is>
      </c>
    </row>
    <row r="161">
      <c r="A161" t="inlineStr">
        <is>
          <t>Ralph Strope</t>
        </is>
      </c>
      <c r="B161" t="inlineStr">
        <is>
          <t>Ela Cross</t>
        </is>
      </c>
      <c r="C161" t="inlineStr">
        <is>
          <t>Adjunct</t>
        </is>
      </c>
      <c r="D161" t="inlineStr">
        <is>
          <t>Distinguished</t>
        </is>
      </c>
    </row>
    <row r="162">
      <c r="A162" t="inlineStr">
        <is>
          <t>Raymond Elliot</t>
        </is>
      </c>
      <c r="B162" t="inlineStr">
        <is>
          <t>Kristin Haase-Alvey</t>
        </is>
      </c>
      <c r="C162" t="inlineStr">
        <is>
          <t>Adjunct</t>
        </is>
      </c>
      <c r="D162" t="inlineStr">
        <is>
          <t>Distinguished</t>
        </is>
      </c>
    </row>
    <row r="163">
      <c r="A163" t="inlineStr">
        <is>
          <t>Raymond Serrano</t>
        </is>
      </c>
      <c r="B163" t="inlineStr">
        <is>
          <t>Kristin Haase-Alvey</t>
        </is>
      </c>
      <c r="C163" t="inlineStr">
        <is>
          <t>Professional</t>
        </is>
      </c>
      <c r="D163" t="inlineStr">
        <is>
          <t>Distinguished</t>
        </is>
      </c>
    </row>
    <row r="164">
      <c r="A164" t="inlineStr">
        <is>
          <t>Rebekah Nachian</t>
        </is>
      </c>
      <c r="B164" t="inlineStr">
        <is>
          <t>Annelies de Groot</t>
        </is>
      </c>
      <c r="C164" t="inlineStr">
        <is>
          <t>Professional</t>
        </is>
      </c>
      <c r="D164" t="inlineStr">
        <is>
          <t>Distinguished</t>
        </is>
      </c>
    </row>
    <row r="165">
      <c r="A165" t="inlineStr">
        <is>
          <t>Rehan Zaib</t>
        </is>
      </c>
      <c r="B165" t="inlineStr">
        <is>
          <t>Ela Cross</t>
        </is>
      </c>
      <c r="C165" t="inlineStr">
        <is>
          <t>Professional</t>
        </is>
      </c>
      <c r="D165" t="inlineStr">
        <is>
          <t>Distinguished</t>
        </is>
      </c>
    </row>
    <row r="166">
      <c r="A166" t="inlineStr">
        <is>
          <t>Richard Kralik</t>
        </is>
      </c>
      <c r="B166" t="inlineStr">
        <is>
          <t>Geoff St. Marie</t>
        </is>
      </c>
      <c r="C166" t="inlineStr">
        <is>
          <t>Professional</t>
        </is>
      </c>
      <c r="D166" t="inlineStr">
        <is>
          <t>Distinguished</t>
        </is>
      </c>
    </row>
    <row r="167">
      <c r="A167" t="inlineStr">
        <is>
          <t>Ries Scerbin</t>
        </is>
      </c>
      <c r="B167" t="inlineStr">
        <is>
          <t>Annelies de Groot</t>
        </is>
      </c>
      <c r="C167" t="inlineStr">
        <is>
          <t>Adjunct</t>
        </is>
      </c>
      <c r="D167" t="inlineStr">
        <is>
          <t>Distinguished</t>
        </is>
      </c>
    </row>
    <row r="168">
      <c r="A168" t="inlineStr">
        <is>
          <t>River Nunez</t>
        </is>
      </c>
      <c r="B168" t="inlineStr">
        <is>
          <t>Annelies de Groot</t>
        </is>
      </c>
      <c r="C168" t="inlineStr">
        <is>
          <t>Professional</t>
        </is>
      </c>
      <c r="D168" t="inlineStr">
        <is>
          <t>Distinguished</t>
        </is>
      </c>
    </row>
    <row r="169">
      <c r="A169" t="inlineStr">
        <is>
          <t>Robert Nantze</t>
        </is>
      </c>
      <c r="B169" t="inlineStr">
        <is>
          <t>Ela Cross</t>
        </is>
      </c>
      <c r="C169" t="inlineStr">
        <is>
          <t>Professional</t>
        </is>
      </c>
      <c r="D169" t="inlineStr">
        <is>
          <t>Distinguished</t>
        </is>
      </c>
    </row>
    <row r="170">
      <c r="A170" t="inlineStr">
        <is>
          <t>Ruben Dorador</t>
        </is>
      </c>
      <c r="B170" t="inlineStr">
        <is>
          <t>Nikki Pencak</t>
        </is>
      </c>
      <c r="C170" t="inlineStr">
        <is>
          <t>Professional</t>
        </is>
      </c>
      <c r="D170" t="inlineStr">
        <is>
          <t>Distinguished</t>
        </is>
      </c>
    </row>
    <row r="171">
      <c r="A171" t="inlineStr">
        <is>
          <t>Samantha Wetz</t>
        </is>
      </c>
      <c r="B171" t="inlineStr">
        <is>
          <t>Ian Plamondon</t>
        </is>
      </c>
      <c r="C171" t="inlineStr">
        <is>
          <t>Professional</t>
        </is>
      </c>
      <c r="D171" t="inlineStr">
        <is>
          <t>Premium</t>
        </is>
      </c>
    </row>
    <row r="172">
      <c r="A172" t="inlineStr">
        <is>
          <t>Sarah Goodstein</t>
        </is>
      </c>
      <c r="B172" t="inlineStr">
        <is>
          <t>Kristin Haase-Alvey</t>
        </is>
      </c>
      <c r="C172" t="inlineStr">
        <is>
          <t>Professional</t>
        </is>
      </c>
      <c r="D172" t="inlineStr">
        <is>
          <t>Distinguished</t>
        </is>
      </c>
    </row>
    <row r="173">
      <c r="A173" t="inlineStr">
        <is>
          <t>Savannah Padgett</t>
        </is>
      </c>
      <c r="B173" t="inlineStr">
        <is>
          <t>Kristin Haase-Alvey</t>
        </is>
      </c>
      <c r="C173" t="inlineStr">
        <is>
          <t>Professional</t>
        </is>
      </c>
      <c r="D173" t="inlineStr">
        <is>
          <t>Distinguished</t>
        </is>
      </c>
    </row>
    <row r="174">
      <c r="A174" t="inlineStr">
        <is>
          <t>Scott Boyd</t>
        </is>
      </c>
      <c r="B174" t="inlineStr">
        <is>
          <t>Geoff St. Marie</t>
        </is>
      </c>
      <c r="C174" t="inlineStr">
        <is>
          <t>Adjunct</t>
        </is>
      </c>
      <c r="D174" t="inlineStr">
        <is>
          <t>Premium</t>
        </is>
      </c>
    </row>
    <row r="175">
      <c r="A175" t="inlineStr">
        <is>
          <t>Scott Holdcraft</t>
        </is>
      </c>
      <c r="B175" t="inlineStr">
        <is>
          <t>Ela Cross</t>
        </is>
      </c>
      <c r="C175" t="inlineStr">
        <is>
          <t>Professional</t>
        </is>
      </c>
      <c r="D175" t="inlineStr">
        <is>
          <t>Distinguished</t>
        </is>
      </c>
    </row>
    <row r="176">
      <c r="A176" t="inlineStr">
        <is>
          <t>Shannon Huang</t>
        </is>
      </c>
      <c r="B176" t="inlineStr">
        <is>
          <t>Ela Cross</t>
        </is>
      </c>
      <c r="C176" t="inlineStr">
        <is>
          <t>Professional</t>
        </is>
      </c>
      <c r="D176" t="inlineStr">
        <is>
          <t>Distinguished</t>
        </is>
      </c>
    </row>
    <row r="177">
      <c r="A177" t="inlineStr">
        <is>
          <t>Sharon Vincuilla</t>
        </is>
      </c>
      <c r="B177" t="inlineStr">
        <is>
          <t>Annelies de Groot</t>
        </is>
      </c>
      <c r="C177" t="inlineStr">
        <is>
          <t>Adjunct</t>
        </is>
      </c>
      <c r="D177" t="inlineStr">
        <is>
          <t>Distinguished</t>
        </is>
      </c>
    </row>
    <row r="178">
      <c r="A178" t="inlineStr">
        <is>
          <t>Shaun Leonard</t>
        </is>
      </c>
      <c r="B178" t="inlineStr">
        <is>
          <t>Kristin Haase-Alvey</t>
        </is>
      </c>
      <c r="C178" t="inlineStr">
        <is>
          <t>Adjunct</t>
        </is>
      </c>
      <c r="D178" t="inlineStr">
        <is>
          <t>Distinguished</t>
        </is>
      </c>
    </row>
    <row r="179">
      <c r="A179" t="inlineStr">
        <is>
          <t>Shawn Kane</t>
        </is>
      </c>
      <c r="B179" t="inlineStr">
        <is>
          <t>Ela Cross</t>
        </is>
      </c>
      <c r="C179" t="inlineStr">
        <is>
          <t>Adjunct</t>
        </is>
      </c>
      <c r="D179" t="inlineStr">
        <is>
          <t>Premium</t>
        </is>
      </c>
    </row>
    <row r="180">
      <c r="A180" t="inlineStr">
        <is>
          <t>Silvester Harrison</t>
        </is>
      </c>
      <c r="B180" t="inlineStr">
        <is>
          <t>Ela Cross</t>
        </is>
      </c>
      <c r="C180" t="inlineStr">
        <is>
          <t>Professional</t>
        </is>
      </c>
      <c r="D180" t="inlineStr">
        <is>
          <t>Distinguished</t>
        </is>
      </c>
    </row>
    <row r="181">
      <c r="A181" t="inlineStr">
        <is>
          <t>Skye Silmenna</t>
        </is>
      </c>
      <c r="B181" t="inlineStr">
        <is>
          <t>Annelies de Groot</t>
        </is>
      </c>
      <c r="C181" t="inlineStr">
        <is>
          <t>Professional</t>
        </is>
      </c>
      <c r="D181" t="inlineStr">
        <is>
          <t>Distinguished</t>
        </is>
      </c>
    </row>
    <row r="182">
      <c r="A182" t="inlineStr">
        <is>
          <t>Sonja Tomasko</t>
        </is>
      </c>
      <c r="B182" t="inlineStr">
        <is>
          <t>Ian Plamondon</t>
        </is>
      </c>
      <c r="C182" t="inlineStr">
        <is>
          <t>Professional</t>
        </is>
      </c>
      <c r="D182" t="inlineStr">
        <is>
          <t>Premium</t>
        </is>
      </c>
    </row>
    <row r="183">
      <c r="A183" t="inlineStr">
        <is>
          <t>Stacey Jones</t>
        </is>
      </c>
      <c r="B183" t="inlineStr">
        <is>
          <t>Annelies de Groot</t>
        </is>
      </c>
      <c r="C183" t="inlineStr">
        <is>
          <t>Adjunct</t>
        </is>
      </c>
      <c r="D183" t="inlineStr">
        <is>
          <t>Distinguished</t>
        </is>
      </c>
    </row>
    <row r="184">
      <c r="A184" t="inlineStr">
        <is>
          <t>Steven Colome</t>
        </is>
      </c>
      <c r="B184" t="inlineStr">
        <is>
          <t>Ela Cross</t>
        </is>
      </c>
      <c r="C184" t="inlineStr">
        <is>
          <t>Adjunct</t>
        </is>
      </c>
      <c r="D184" t="inlineStr">
        <is>
          <t>Distinguished</t>
        </is>
      </c>
    </row>
    <row r="185">
      <c r="A185" t="inlineStr">
        <is>
          <t>Sunho Kum</t>
        </is>
      </c>
      <c r="B185" t="inlineStr">
        <is>
          <t>Ela Cross</t>
        </is>
      </c>
      <c r="C185" t="inlineStr">
        <is>
          <t>Adjunct</t>
        </is>
      </c>
      <c r="D185" t="inlineStr">
        <is>
          <t>Distinguished</t>
        </is>
      </c>
    </row>
    <row r="186">
      <c r="A186" t="inlineStr">
        <is>
          <t>Syrae Arteaga</t>
        </is>
      </c>
      <c r="B186" t="inlineStr">
        <is>
          <t>Ian Plamondon</t>
        </is>
      </c>
      <c r="C186" t="inlineStr">
        <is>
          <t>Adjunct</t>
        </is>
      </c>
      <c r="D186" t="inlineStr">
        <is>
          <t>Advanced</t>
        </is>
      </c>
    </row>
    <row r="187">
      <c r="A187" t="inlineStr">
        <is>
          <t>Taryn Parks</t>
        </is>
      </c>
      <c r="B187" t="inlineStr">
        <is>
          <t>Annelies de Groot</t>
        </is>
      </c>
      <c r="C187" t="inlineStr">
        <is>
          <t>Adjunct</t>
        </is>
      </c>
      <c r="D187" t="inlineStr">
        <is>
          <t>Advanced</t>
        </is>
      </c>
    </row>
    <row r="188">
      <c r="A188" t="inlineStr">
        <is>
          <t>Tea Stewart</t>
        </is>
      </c>
      <c r="B188" t="inlineStr">
        <is>
          <t>Kristin Haase-Alvey</t>
        </is>
      </c>
      <c r="C188" t="inlineStr">
        <is>
          <t>Adjunct</t>
        </is>
      </c>
      <c r="D188" t="inlineStr">
        <is>
          <t>Distinguished</t>
        </is>
      </c>
    </row>
    <row r="189">
      <c r="A189" t="inlineStr">
        <is>
          <t>Teresa Fuller</t>
        </is>
      </c>
      <c r="B189" t="inlineStr">
        <is>
          <t>Ela Cross</t>
        </is>
      </c>
      <c r="C189" t="inlineStr">
        <is>
          <t>Adjunct</t>
        </is>
      </c>
      <c r="D189" t="inlineStr">
        <is>
          <t>Advanced</t>
        </is>
      </c>
    </row>
    <row r="190">
      <c r="A190" t="inlineStr">
        <is>
          <t>Tim Page</t>
        </is>
      </c>
      <c r="B190" t="inlineStr">
        <is>
          <t>Annelies de Groot</t>
        </is>
      </c>
      <c r="C190" t="inlineStr">
        <is>
          <t>Professional</t>
        </is>
      </c>
      <c r="D190" t="inlineStr">
        <is>
          <t>Advanced</t>
        </is>
      </c>
    </row>
    <row r="191">
      <c r="A191" t="inlineStr">
        <is>
          <t>Tim Schlotzhauer</t>
        </is>
      </c>
      <c r="B191" t="inlineStr">
        <is>
          <t>Geoff St. Marie</t>
        </is>
      </c>
      <c r="C191" t="inlineStr">
        <is>
          <t>Professional</t>
        </is>
      </c>
      <c r="D191" t="inlineStr">
        <is>
          <t>Premium</t>
        </is>
      </c>
    </row>
    <row r="192">
      <c r="A192" t="inlineStr">
        <is>
          <t>Tom Pluth</t>
        </is>
      </c>
      <c r="B192" t="inlineStr">
        <is>
          <t>Ela Cross</t>
        </is>
      </c>
      <c r="C192" t="inlineStr">
        <is>
          <t>Adjunct</t>
        </is>
      </c>
      <c r="D192" t="inlineStr">
        <is>
          <t>Distinguished</t>
        </is>
      </c>
    </row>
    <row r="193">
      <c r="A193" t="inlineStr">
        <is>
          <t>Tommaso Marsella</t>
        </is>
      </c>
      <c r="B193" t="inlineStr">
        <is>
          <t>Ian Plamondon</t>
        </is>
      </c>
      <c r="C193" t="inlineStr">
        <is>
          <t>Adjunct</t>
        </is>
      </c>
      <c r="D193" t="inlineStr">
        <is>
          <t>Distinguished</t>
        </is>
      </c>
    </row>
    <row r="194">
      <c r="A194" t="inlineStr">
        <is>
          <t>Trevor Ferguson</t>
        </is>
      </c>
      <c r="B194" t="inlineStr">
        <is>
          <t>Geoff St. Marie</t>
        </is>
      </c>
      <c r="C194" t="inlineStr">
        <is>
          <t>Professional</t>
        </is>
      </c>
      <c r="D194" t="inlineStr">
        <is>
          <t>Distinguished</t>
        </is>
      </c>
    </row>
    <row r="195">
      <c r="A195" t="inlineStr">
        <is>
          <t>Tyler Greer</t>
        </is>
      </c>
      <c r="B195" t="inlineStr">
        <is>
          <t>Kristin Haase-Alvey</t>
        </is>
      </c>
      <c r="C195" t="inlineStr">
        <is>
          <t>Professional</t>
        </is>
      </c>
      <c r="D195" t="inlineStr">
        <is>
          <t>Distinguished</t>
        </is>
      </c>
    </row>
    <row r="196">
      <c r="A196" t="inlineStr">
        <is>
          <t>Tyler Henry</t>
        </is>
      </c>
      <c r="B196" t="inlineStr">
        <is>
          <t>Annelies de Groot</t>
        </is>
      </c>
      <c r="C196" t="inlineStr">
        <is>
          <t>Professional</t>
        </is>
      </c>
      <c r="D196" t="inlineStr">
        <is>
          <t>Distinguished</t>
        </is>
      </c>
    </row>
    <row r="197">
      <c r="A197" t="inlineStr">
        <is>
          <t>Tyler Thornton</t>
        </is>
      </c>
      <c r="B197" t="inlineStr">
        <is>
          <t>Kristin Haase-Alvey</t>
        </is>
      </c>
      <c r="C197" t="inlineStr">
        <is>
          <t>Professional</t>
        </is>
      </c>
      <c r="D197" t="inlineStr">
        <is>
          <t>Distinguished</t>
        </is>
      </c>
    </row>
    <row r="198">
      <c r="A198" t="inlineStr">
        <is>
          <t>Valdenis Iancu</t>
        </is>
      </c>
      <c r="B198" t="inlineStr">
        <is>
          <t>Ian Plamondon</t>
        </is>
      </c>
      <c r="C198" t="inlineStr">
        <is>
          <t>Professional</t>
        </is>
      </c>
      <c r="D198" t="inlineStr">
        <is>
          <t>Premium</t>
        </is>
      </c>
    </row>
    <row r="199">
      <c r="A199" t="inlineStr">
        <is>
          <t>Valerie Duran</t>
        </is>
      </c>
      <c r="B199" t="inlineStr">
        <is>
          <t>Ela Cross</t>
        </is>
      </c>
      <c r="C199" t="inlineStr">
        <is>
          <t>Adjunct</t>
        </is>
      </c>
      <c r="D199" t="inlineStr">
        <is>
          <t>Advanced</t>
        </is>
      </c>
    </row>
    <row r="200">
      <c r="A200" t="inlineStr">
        <is>
          <t>Vincent Cross</t>
        </is>
      </c>
      <c r="B200" t="inlineStr">
        <is>
          <t>Kristin Haase-Alvey</t>
        </is>
      </c>
      <c r="C200" t="inlineStr">
        <is>
          <t>Professional</t>
        </is>
      </c>
      <c r="D200" t="inlineStr">
        <is>
          <t>Distinguished</t>
        </is>
      </c>
    </row>
    <row r="201">
      <c r="A201" t="inlineStr">
        <is>
          <t>Yvanna Ramirez</t>
        </is>
      </c>
      <c r="B201" t="inlineStr">
        <is>
          <t>Ela Cross</t>
        </is>
      </c>
      <c r="C201" t="inlineStr">
        <is>
          <t>Professional</t>
        </is>
      </c>
      <c r="D201" t="inlineStr">
        <is>
          <t>Distinguished</t>
        </is>
      </c>
    </row>
    <row r="202">
      <c r="A202" t="inlineStr">
        <is>
          <t>Zach McFatridge</t>
        </is>
      </c>
      <c r="B202" t="inlineStr">
        <is>
          <t>Annelies de Groot</t>
        </is>
      </c>
      <c r="C202" t="inlineStr">
        <is>
          <t>Professional</t>
        </is>
      </c>
      <c r="D202" t="inlineStr">
        <is>
          <t>Distinguished</t>
        </is>
      </c>
    </row>
    <row r="203">
      <c r="A203" t="inlineStr">
        <is>
          <t>Zachary Doenges</t>
        </is>
      </c>
      <c r="B203" t="inlineStr">
        <is>
          <t>Ian Plamondon</t>
        </is>
      </c>
      <c r="C203" t="inlineStr">
        <is>
          <t>Professional</t>
        </is>
      </c>
      <c r="D203" t="inlineStr">
        <is>
          <t>Premium</t>
        </is>
      </c>
    </row>
    <row r="204">
      <c r="A204" t="inlineStr">
        <is>
          <t>Zack Anthony</t>
        </is>
      </c>
      <c r="B204" t="inlineStr">
        <is>
          <t>Kristin Haase-Alvey</t>
        </is>
      </c>
      <c r="C204" t="inlineStr">
        <is>
          <t>Professional</t>
        </is>
      </c>
      <c r="D204" t="inlineStr">
        <is>
          <t>Distinguished</t>
        </is>
      </c>
    </row>
    <row r="205">
      <c r="A205" t="inlineStr">
        <is>
          <t>Zack Robertson</t>
        </is>
      </c>
      <c r="B205" t="inlineStr">
        <is>
          <t>Kristin Haase-Alvey</t>
        </is>
      </c>
      <c r="C205" t="inlineStr">
        <is>
          <t>Professional</t>
        </is>
      </c>
      <c r="D205" t="inlineStr">
        <is>
          <t>Distinguished</t>
        </is>
      </c>
    </row>
    <row r="206">
      <c r="A206" t="inlineStr">
        <is>
          <t>Zoe Shanley</t>
        </is>
      </c>
      <c r="B206" t="inlineStr">
        <is>
          <t>Ian Plamondon</t>
        </is>
      </c>
      <c r="C206" t="inlineStr">
        <is>
          <t>Professional</t>
        </is>
      </c>
      <c r="D206" t="inlineStr">
        <is>
          <t>Distinguished</t>
        </is>
      </c>
    </row>
    <row r="207">
      <c r="A207" s="48" t="n"/>
      <c r="B207" s="49" t="n"/>
      <c r="C207" s="48" t="n"/>
      <c r="D207" s="48" t="n"/>
    </row>
    <row r="208">
      <c r="A208" s="48" t="n"/>
      <c r="B208" s="49" t="n"/>
      <c r="C208" s="48" t="n"/>
      <c r="D208" s="48" t="n"/>
    </row>
    <row r="209">
      <c r="A209" s="48" t="n"/>
      <c r="B209" s="49" t="n"/>
      <c r="C209" s="48" t="n"/>
      <c r="D209" s="48" t="n"/>
    </row>
    <row r="210">
      <c r="A210" s="48" t="n"/>
      <c r="B210" s="49" t="n"/>
      <c r="C210" s="48" t="n"/>
      <c r="D210" s="48" t="n"/>
    </row>
    <row r="211">
      <c r="A211" s="4" t="n"/>
      <c r="B211" s="5" t="n"/>
      <c r="C211" s="4" t="n"/>
      <c r="D211" s="4" t="n"/>
    </row>
    <row r="212">
      <c r="A212" s="4" t="n"/>
      <c r="B212" s="5" t="n"/>
      <c r="C212" s="4" t="n"/>
      <c r="D212" s="4" t="n"/>
    </row>
    <row r="213">
      <c r="A213" s="4" t="n"/>
      <c r="B213" s="5" t="n"/>
      <c r="C213" s="4" t="n"/>
      <c r="D213" s="4" t="n"/>
    </row>
    <row r="214">
      <c r="A214" s="4" t="n"/>
      <c r="B214" s="5" t="n"/>
      <c r="C214" s="4" t="n"/>
      <c r="D214" s="4" t="n"/>
    </row>
    <row r="215">
      <c r="A215" s="4" t="n"/>
      <c r="B215" s="5" t="n"/>
      <c r="C215" s="4" t="n"/>
      <c r="D215" s="4" t="n"/>
    </row>
    <row r="216">
      <c r="A216" s="4" t="n"/>
      <c r="B216" s="5" t="n"/>
      <c r="C216" s="4" t="n"/>
      <c r="D216" s="4" t="n"/>
    </row>
    <row r="217">
      <c r="A217" s="4" t="n"/>
      <c r="B217" s="5" t="n"/>
      <c r="C217" s="4" t="n"/>
      <c r="D217" s="4" t="n"/>
    </row>
    <row r="218">
      <c r="A218" s="4" t="n"/>
      <c r="B218" s="5" t="n"/>
      <c r="C218" s="4" t="n"/>
      <c r="D218" s="4" t="n"/>
    </row>
    <row r="219">
      <c r="A219" s="4" t="n"/>
      <c r="B219" s="5" t="n"/>
      <c r="C219" s="4" t="n"/>
      <c r="D219" s="4" t="n"/>
    </row>
    <row r="220">
      <c r="A220" s="4" t="n"/>
      <c r="B220" s="5" t="n"/>
      <c r="C220" s="4" t="n"/>
      <c r="D220" s="4" t="n"/>
    </row>
    <row r="221">
      <c r="A221" s="4" t="n"/>
      <c r="B221" s="5" t="n"/>
      <c r="C221" s="4" t="n"/>
      <c r="D221" s="4" t="n"/>
    </row>
    <row r="222">
      <c r="A222" s="4" t="n"/>
      <c r="B222" s="5" t="n"/>
      <c r="C222" s="4" t="n"/>
      <c r="D222" s="4" t="n"/>
    </row>
    <row r="223">
      <c r="A223" s="4" t="n"/>
      <c r="B223" s="5" t="n"/>
      <c r="C223" s="4" t="n"/>
      <c r="D223" s="4" t="n"/>
    </row>
    <row r="224">
      <c r="A224" s="4" t="n"/>
      <c r="B224" s="5" t="n"/>
      <c r="C224" s="4" t="n"/>
      <c r="D224" s="4" t="n"/>
    </row>
    <row r="225">
      <c r="A225" s="4" t="n"/>
      <c r="B225" s="5" t="n"/>
      <c r="C225" s="4" t="n"/>
      <c r="D225" s="4" t="n"/>
    </row>
    <row r="226">
      <c r="A226" s="4" t="n"/>
      <c r="B226" s="5" t="n"/>
      <c r="C226" s="4" t="n"/>
      <c r="D226" s="4" t="n"/>
    </row>
    <row r="227">
      <c r="A227" s="4" t="n"/>
      <c r="B227" s="5" t="n"/>
      <c r="C227" s="4" t="n"/>
      <c r="D227" s="4" t="n"/>
    </row>
    <row r="228">
      <c r="A228" s="4" t="n"/>
      <c r="B228" s="5" t="n"/>
      <c r="C228" s="4" t="n"/>
      <c r="D228" s="4" t="n"/>
    </row>
    <row r="229">
      <c r="A229" s="4" t="n"/>
      <c r="B229" s="5" t="n"/>
      <c r="C229" s="4" t="n"/>
      <c r="D229" s="4" t="n"/>
    </row>
    <row r="230">
      <c r="A230" s="4" t="n"/>
      <c r="B230" s="5" t="n"/>
      <c r="C230" s="4" t="n"/>
      <c r="D230" s="4" t="n"/>
    </row>
    <row r="231">
      <c r="A231" s="4" t="n"/>
      <c r="B231" s="5" t="n"/>
      <c r="C231" s="4" t="n"/>
      <c r="D231" s="4" t="n"/>
    </row>
    <row r="232">
      <c r="A232" s="4" t="n"/>
      <c r="B232" s="5" t="n"/>
      <c r="C232" s="4" t="n"/>
      <c r="D232" s="4" t="n"/>
    </row>
    <row r="233">
      <c r="A233" s="4" t="n"/>
      <c r="B233" s="5" t="n"/>
      <c r="C233" s="4" t="n"/>
      <c r="D233" s="4" t="n"/>
    </row>
    <row r="234">
      <c r="A234" s="4" t="n"/>
      <c r="B234" s="5" t="n"/>
      <c r="C234" s="4" t="n"/>
      <c r="D234" s="4" t="n"/>
    </row>
    <row r="235">
      <c r="A235" s="4" t="n"/>
      <c r="B235" s="5" t="n"/>
      <c r="C235" s="4" t="n"/>
      <c r="D235" s="4" t="n"/>
    </row>
    <row r="236">
      <c r="A236" s="4" t="n"/>
      <c r="B236" s="5" t="n"/>
      <c r="C236" s="4" t="n"/>
      <c r="D236" s="4" t="n"/>
    </row>
    <row r="237">
      <c r="A237" s="4" t="n"/>
      <c r="B237" s="5" t="n"/>
      <c r="C237" s="4" t="n"/>
      <c r="D237" s="4" t="n"/>
    </row>
    <row r="238">
      <c r="A238" s="4" t="n"/>
      <c r="B238" s="5" t="n"/>
      <c r="C238" s="4" t="n"/>
      <c r="D238" s="4" t="n"/>
    </row>
    <row r="239">
      <c r="A239" s="4" t="n"/>
      <c r="B239" s="5" t="n"/>
      <c r="C239" s="4" t="n"/>
      <c r="D239" s="4" t="n"/>
    </row>
    <row r="240">
      <c r="A240" s="4" t="n"/>
      <c r="B240" s="5" t="n"/>
      <c r="C240" s="4" t="n"/>
      <c r="D240" s="4" t="n"/>
    </row>
    <row r="241">
      <c r="A241" s="4" t="n"/>
      <c r="B241" s="5" t="n"/>
      <c r="C241" s="4" t="n"/>
      <c r="D241" s="4" t="n"/>
    </row>
    <row r="242">
      <c r="A242" s="4" t="n"/>
      <c r="B242" s="5" t="n"/>
      <c r="C242" s="4" t="n"/>
      <c r="D242" s="4" t="n"/>
    </row>
    <row r="243">
      <c r="A243" s="4" t="n"/>
      <c r="B243" s="5" t="n"/>
      <c r="C243" s="4" t="n"/>
      <c r="D243" s="4" t="n"/>
    </row>
    <row r="244">
      <c r="A244" s="4" t="n"/>
      <c r="B244" s="5" t="n"/>
      <c r="C244" s="4" t="n"/>
      <c r="D244" s="4" t="n"/>
    </row>
    <row r="245">
      <c r="A245" s="4" t="n"/>
      <c r="B245" s="5" t="n"/>
      <c r="C245" s="4" t="n"/>
      <c r="D245" s="4" t="n"/>
    </row>
    <row r="246">
      <c r="A246" s="4" t="n"/>
      <c r="B246" s="5" t="n"/>
      <c r="C246" s="4" t="n"/>
      <c r="D246" s="4" t="n"/>
    </row>
    <row r="247">
      <c r="A247" s="4" t="n"/>
      <c r="B247" s="5" t="n"/>
      <c r="C247" s="4" t="n"/>
      <c r="D247" s="4" t="n"/>
    </row>
    <row r="248">
      <c r="A248" s="4" t="n"/>
      <c r="B248" s="5" t="n"/>
      <c r="C248" s="4" t="n"/>
      <c r="D248" s="4" t="n"/>
    </row>
    <row r="249">
      <c r="A249" s="4" t="n"/>
      <c r="B249" s="5" t="n"/>
      <c r="C249" s="4" t="n"/>
      <c r="D249" s="4" t="n"/>
    </row>
    <row r="250">
      <c r="A250" s="4" t="n"/>
      <c r="B250" s="5" t="n"/>
      <c r="C250" s="4" t="n"/>
      <c r="D250" s="4" t="n"/>
    </row>
    <row r="251">
      <c r="A251" s="4" t="n"/>
      <c r="B251" s="5" t="n"/>
      <c r="C251" s="4" t="n"/>
      <c r="D251" s="4" t="n"/>
    </row>
    <row r="252">
      <c r="A252" s="4" t="n"/>
      <c r="B252" s="5" t="n"/>
      <c r="C252" s="4" t="n"/>
      <c r="D252" s="4" t="n"/>
    </row>
    <row r="253">
      <c r="A253" s="4" t="n"/>
      <c r="B253" s="5" t="n"/>
      <c r="C253" s="4" t="n"/>
      <c r="D253" s="4" t="n"/>
    </row>
    <row r="254">
      <c r="A254" s="4" t="n"/>
      <c r="B254" s="5" t="n"/>
      <c r="C254" s="4" t="n"/>
      <c r="D254" s="4" t="n"/>
    </row>
    <row r="255">
      <c r="A255" s="4" t="n"/>
      <c r="B255" s="5" t="n"/>
      <c r="C255" s="4" t="n"/>
      <c r="D255" s="4" t="n"/>
    </row>
    <row r="256">
      <c r="A256" s="4" t="n"/>
      <c r="B256" s="5" t="n"/>
      <c r="C256" s="4" t="n"/>
      <c r="D256" s="4" t="n"/>
    </row>
    <row r="257">
      <c r="A257" s="4" t="n"/>
      <c r="B257" s="5" t="n"/>
      <c r="C257" s="4" t="n"/>
      <c r="D257" s="4" t="n"/>
    </row>
    <row r="258">
      <c r="A258" s="4" t="n"/>
      <c r="B258" s="5" t="n"/>
      <c r="C258" s="4" t="n"/>
      <c r="D258" s="4" t="n"/>
    </row>
    <row r="259">
      <c r="A259" s="4" t="n"/>
      <c r="B259" s="5" t="n"/>
      <c r="C259" s="4" t="n"/>
      <c r="D259" s="4" t="n"/>
    </row>
    <row r="260">
      <c r="A260" s="4" t="n"/>
      <c r="B260" s="5" t="n"/>
      <c r="C260" s="4" t="n"/>
      <c r="D260" s="4" t="n"/>
    </row>
    <row r="261">
      <c r="A261" s="4" t="n"/>
      <c r="B261" s="5" t="n"/>
      <c r="C261" s="4" t="n"/>
      <c r="D261" s="4" t="n"/>
    </row>
    <row r="262">
      <c r="A262" s="4" t="n"/>
      <c r="B262" s="5" t="n"/>
      <c r="C262" s="4" t="n"/>
      <c r="D262" s="4" t="n"/>
    </row>
    <row r="263">
      <c r="A263" s="4" t="n"/>
      <c r="B263" s="5" t="n"/>
      <c r="C263" s="4" t="n"/>
      <c r="D263" s="4" t="n"/>
    </row>
    <row r="264">
      <c r="A264" s="4" t="n"/>
      <c r="B264" s="5" t="n"/>
      <c r="C264" s="4" t="n"/>
      <c r="D264" s="4" t="n"/>
    </row>
    <row r="265">
      <c r="A265" s="4" t="n"/>
      <c r="B265" s="5" t="n"/>
      <c r="C265" s="4" t="n"/>
      <c r="D265" s="4" t="n"/>
    </row>
    <row r="266">
      <c r="A266" s="4" t="n"/>
      <c r="B266" s="5" t="n"/>
      <c r="C266" s="4" t="n"/>
      <c r="D266" s="4" t="n"/>
    </row>
    <row r="267">
      <c r="A267" s="4" t="n"/>
      <c r="B267" s="5" t="n"/>
      <c r="C267" s="4" t="n"/>
      <c r="D267" s="4" t="n"/>
    </row>
    <row r="268">
      <c r="A268" s="4" t="n"/>
      <c r="B268" s="5" t="n"/>
      <c r="C268" s="4" t="n"/>
      <c r="D268" s="4" t="n"/>
    </row>
    <row r="269">
      <c r="A269" s="4" t="n"/>
      <c r="B269" s="5" t="n"/>
      <c r="C269" s="4" t="n"/>
      <c r="D269" s="4" t="n"/>
    </row>
    <row r="270">
      <c r="A270" s="4" t="n"/>
      <c r="B270" s="5" t="n"/>
      <c r="C270" s="4" t="n"/>
      <c r="D270" s="4" t="n"/>
    </row>
    <row r="271">
      <c r="A271" s="4" t="n"/>
      <c r="B271" s="5" t="n"/>
      <c r="C271" s="4" t="n"/>
      <c r="D271" s="4" t="n"/>
    </row>
    <row r="272">
      <c r="A272" s="4" t="n"/>
      <c r="B272" s="5" t="n"/>
      <c r="C272" s="4" t="n"/>
      <c r="D272" s="4" t="n"/>
    </row>
    <row r="273">
      <c r="A273" s="4" t="n"/>
      <c r="B273" s="5" t="n"/>
      <c r="C273" s="4" t="n"/>
      <c r="D273" s="4" t="n"/>
    </row>
    <row r="274">
      <c r="A274" s="4" t="n"/>
      <c r="B274" s="5" t="n"/>
      <c r="C274" s="4" t="n"/>
      <c r="D274" s="4" t="n"/>
    </row>
    <row r="275">
      <c r="A275" s="4" t="n"/>
      <c r="B275" s="5" t="n"/>
      <c r="C275" s="4" t="n"/>
      <c r="D275" s="4" t="n"/>
    </row>
    <row r="276">
      <c r="A276" s="4" t="n"/>
      <c r="B276" s="5" t="n"/>
      <c r="C276" s="4" t="n"/>
      <c r="D276" s="4" t="n"/>
    </row>
    <row r="277">
      <c r="A277" s="4" t="n"/>
      <c r="B277" s="5" t="n"/>
      <c r="C277" s="4" t="n"/>
      <c r="D277" s="4" t="n"/>
    </row>
    <row r="278">
      <c r="A278" s="4" t="n"/>
      <c r="B278" s="5" t="n"/>
      <c r="C278" s="4" t="n"/>
      <c r="D278" s="4" t="n"/>
    </row>
    <row r="279">
      <c r="A279" s="4" t="n"/>
      <c r="B279" s="5" t="n"/>
      <c r="C279" s="4" t="n"/>
      <c r="D279" s="4" t="n"/>
    </row>
    <row r="280">
      <c r="A280" s="4" t="n"/>
      <c r="B280" s="5" t="n"/>
      <c r="C280" s="4" t="n"/>
      <c r="D280" s="4" t="n"/>
    </row>
    <row r="281">
      <c r="A281" s="4" t="n"/>
      <c r="B281" s="5" t="n"/>
      <c r="C281" s="4" t="n"/>
      <c r="D281" s="4" t="n"/>
    </row>
    <row r="282">
      <c r="A282" s="4" t="n"/>
      <c r="B282" s="5" t="n"/>
      <c r="C282" s="4" t="n"/>
      <c r="D282" s="4" t="n"/>
    </row>
    <row r="283">
      <c r="A283" s="4" t="n"/>
      <c r="B283" s="5" t="n"/>
      <c r="C283" s="4" t="n"/>
      <c r="D283" s="4" t="n"/>
    </row>
    <row r="284">
      <c r="A284" s="4" t="n"/>
      <c r="B284" s="5" t="n"/>
      <c r="C284" s="4" t="n"/>
      <c r="D284" s="4" t="n"/>
    </row>
    <row r="285">
      <c r="A285" s="4" t="n"/>
      <c r="B285" s="5" t="n"/>
      <c r="C285" s="4" t="n"/>
      <c r="D285" s="4" t="n"/>
    </row>
    <row r="286">
      <c r="A286" s="4" t="n"/>
      <c r="B286" s="5" t="n"/>
      <c r="C286" s="4" t="n"/>
      <c r="D286" s="4" t="n"/>
    </row>
    <row r="287">
      <c r="A287" s="4" t="n"/>
      <c r="B287" s="5" t="n"/>
      <c r="C287" s="4" t="n"/>
      <c r="D287" s="4" t="n"/>
    </row>
    <row r="288">
      <c r="A288" s="4" t="n"/>
      <c r="B288" s="5" t="n"/>
      <c r="C288" s="4" t="n"/>
      <c r="D288" s="4" t="n"/>
    </row>
    <row r="289">
      <c r="A289" s="4" t="n"/>
      <c r="B289" s="5" t="n"/>
      <c r="C289" s="4" t="n"/>
      <c r="D289" s="4" t="n"/>
    </row>
    <row r="290">
      <c r="A290" s="4" t="n"/>
      <c r="B290" s="5" t="n"/>
      <c r="C290" s="4" t="n"/>
      <c r="D290" s="4" t="n"/>
    </row>
    <row r="291">
      <c r="A291" s="4" t="n"/>
      <c r="B291" s="5" t="n"/>
      <c r="C291" s="4" t="n"/>
      <c r="D291" s="4" t="n"/>
    </row>
    <row r="292">
      <c r="A292" s="4" t="n"/>
      <c r="B292" s="5" t="n"/>
      <c r="C292" s="4" t="n"/>
      <c r="D292" s="4" t="n"/>
    </row>
    <row r="293">
      <c r="A293" s="4" t="n"/>
      <c r="B293" s="5" t="n"/>
      <c r="C293" s="4" t="n"/>
      <c r="D293" s="4" t="n"/>
    </row>
    <row r="294">
      <c r="A294" s="4" t="n"/>
      <c r="B294" s="5" t="n"/>
      <c r="C294" s="4" t="n"/>
      <c r="D294" s="4" t="n"/>
    </row>
    <row r="295">
      <c r="A295" s="4" t="n"/>
      <c r="B295" s="5" t="n"/>
      <c r="C295" s="4" t="n"/>
      <c r="D295" s="4" t="n"/>
    </row>
    <row r="296">
      <c r="A296" s="4" t="n"/>
      <c r="B296" s="5" t="n"/>
      <c r="C296" s="4" t="n"/>
      <c r="D296" s="4" t="n"/>
    </row>
    <row r="297">
      <c r="A297" s="4" t="n"/>
      <c r="B297" s="5" t="n"/>
      <c r="C297" s="4" t="n"/>
      <c r="D297" s="4" t="n"/>
    </row>
    <row r="298">
      <c r="A298" s="4" t="n"/>
      <c r="B298" s="5" t="n"/>
      <c r="C298" s="4" t="n"/>
      <c r="D298" s="4" t="n"/>
    </row>
    <row r="299">
      <c r="A299" s="4" t="n"/>
      <c r="B299" s="5" t="n"/>
      <c r="C299" s="4" t="n"/>
      <c r="D299" s="4" t="n"/>
    </row>
    <row r="300">
      <c r="A300" s="4" t="n"/>
      <c r="B300" s="5" t="n"/>
      <c r="C300" s="4" t="n"/>
      <c r="D300" s="4" t="n"/>
    </row>
    <row r="301">
      <c r="A301" s="4" t="n"/>
      <c r="B301" s="5" t="n"/>
      <c r="C301" s="4" t="n"/>
      <c r="D301" s="4" t="n"/>
    </row>
    <row r="302">
      <c r="A302" s="4" t="n"/>
      <c r="B302" s="5" t="n"/>
      <c r="C302" s="4" t="n"/>
      <c r="D302" s="4" t="n"/>
    </row>
    <row r="303">
      <c r="A303" s="4" t="n"/>
      <c r="B303" s="5" t="n"/>
      <c r="C303" s="4" t="n"/>
      <c r="D303" s="4" t="n"/>
    </row>
    <row r="304">
      <c r="A304" s="4" t="n"/>
      <c r="B304" s="5" t="n"/>
      <c r="C304" s="4" t="n"/>
      <c r="D304" s="4" t="n"/>
    </row>
    <row r="305">
      <c r="A305" s="4" t="n"/>
      <c r="B305" s="5" t="n"/>
      <c r="C305" s="4" t="n"/>
      <c r="D305" s="4" t="n"/>
    </row>
    <row r="306">
      <c r="A306" s="4" t="n"/>
      <c r="B306" s="5" t="n"/>
      <c r="C306" s="4" t="n"/>
      <c r="D306" s="4" t="n"/>
    </row>
    <row r="307">
      <c r="A307" s="4" t="n"/>
      <c r="B307" s="5" t="n"/>
      <c r="C307" s="4" t="n"/>
      <c r="D307" s="4" t="n"/>
    </row>
    <row r="308">
      <c r="A308" s="4" t="n"/>
      <c r="B308" s="5" t="n"/>
      <c r="C308" s="4" t="n"/>
      <c r="D308" s="4" t="n"/>
    </row>
    <row r="309">
      <c r="A309" s="4" t="n"/>
      <c r="B309" s="5" t="n"/>
      <c r="C309" s="4" t="n"/>
      <c r="D309" s="4" t="n"/>
    </row>
    <row r="310">
      <c r="A310" s="4" t="n"/>
      <c r="B310" s="5" t="n"/>
      <c r="C310" s="4" t="n"/>
      <c r="D310" s="4" t="n"/>
    </row>
    <row r="311">
      <c r="A311" s="4" t="n"/>
      <c r="B311" s="5" t="n"/>
      <c r="C311" s="4" t="n"/>
      <c r="D311" s="4" t="n"/>
    </row>
    <row r="312">
      <c r="A312" s="4" t="n"/>
      <c r="B312" s="5" t="n"/>
      <c r="C312" s="4" t="n"/>
      <c r="D312" s="4" t="n"/>
    </row>
    <row r="313">
      <c r="A313" s="4" t="n"/>
      <c r="B313" s="5" t="n"/>
      <c r="C313" s="4" t="n"/>
      <c r="D313" s="4" t="n"/>
    </row>
    <row r="314">
      <c r="A314" s="4" t="n"/>
      <c r="B314" s="5" t="n"/>
      <c r="C314" s="4" t="n"/>
      <c r="D314" s="4" t="n"/>
    </row>
    <row r="315">
      <c r="A315" s="4" t="n"/>
      <c r="B315" s="5" t="n"/>
      <c r="C315" s="4" t="n"/>
      <c r="D315" s="4" t="n"/>
    </row>
    <row r="316">
      <c r="A316" s="4" t="n"/>
      <c r="B316" s="5" t="n"/>
      <c r="C316" s="4" t="n"/>
      <c r="D316" s="4" t="n"/>
    </row>
    <row r="317">
      <c r="A317" s="4" t="n"/>
      <c r="B317" s="5" t="n"/>
      <c r="C317" s="4" t="n"/>
      <c r="D317" s="4" t="n"/>
    </row>
    <row r="318">
      <c r="A318" s="4" t="n"/>
      <c r="B318" s="5" t="n"/>
      <c r="C318" s="4" t="n"/>
      <c r="D318" s="4" t="n"/>
    </row>
    <row r="319">
      <c r="A319" s="4" t="n"/>
      <c r="B319" s="5" t="n"/>
      <c r="C319" s="4" t="n"/>
      <c r="D319" s="4" t="n"/>
    </row>
    <row r="320">
      <c r="A320" s="4" t="n"/>
      <c r="B320" s="5" t="n"/>
      <c r="C320" s="4" t="n"/>
      <c r="D320" s="4" t="n"/>
    </row>
    <row r="321">
      <c r="A321" s="4" t="n"/>
      <c r="B321" s="5" t="n"/>
      <c r="C321" s="4" t="n"/>
      <c r="D321" s="4" t="n"/>
    </row>
    <row r="322">
      <c r="A322" s="4" t="n"/>
      <c r="B322" s="5" t="n"/>
      <c r="C322" s="4" t="n"/>
      <c r="D322" s="4" t="n"/>
    </row>
    <row r="323">
      <c r="A323" s="4" t="n"/>
      <c r="B323" s="5" t="n"/>
      <c r="C323" s="4" t="n"/>
      <c r="D323" s="4" t="n"/>
    </row>
    <row r="324">
      <c r="A324" s="4" t="n"/>
      <c r="B324" s="5" t="n"/>
      <c r="C324" s="4" t="n"/>
      <c r="D324" s="4" t="n"/>
    </row>
    <row r="325">
      <c r="A325" s="4" t="n"/>
      <c r="B325" s="5" t="n"/>
      <c r="C325" s="4" t="n"/>
      <c r="D325" s="4" t="n"/>
    </row>
    <row r="326">
      <c r="A326" s="4" t="n"/>
      <c r="B326" s="5" t="n"/>
      <c r="C326" s="4" t="n"/>
      <c r="D326" s="4" t="n"/>
    </row>
    <row r="327">
      <c r="A327" s="4" t="n"/>
      <c r="B327" s="5" t="n"/>
      <c r="C327" s="4" t="n"/>
      <c r="D327" s="4" t="n"/>
    </row>
    <row r="328">
      <c r="A328" s="4" t="n"/>
      <c r="B328" s="5" t="n"/>
      <c r="C328" s="4" t="n"/>
      <c r="D328" s="4" t="n"/>
    </row>
    <row r="329">
      <c r="A329" s="4" t="n"/>
      <c r="B329" s="5" t="n"/>
      <c r="C329" s="4" t="n"/>
      <c r="D329" s="4" t="n"/>
    </row>
    <row r="330">
      <c r="A330" s="4" t="n"/>
      <c r="B330" s="5" t="n"/>
      <c r="C330" s="4" t="n"/>
      <c r="D330" s="4" t="n"/>
    </row>
    <row r="331">
      <c r="A331" s="4" t="n"/>
      <c r="B331" s="5" t="n"/>
      <c r="C331" s="4" t="n"/>
      <c r="D331" s="4" t="n"/>
    </row>
    <row r="332">
      <c r="A332" s="4" t="n"/>
      <c r="B332" s="5" t="n"/>
      <c r="C332" s="4" t="n"/>
      <c r="D332" s="4" t="n"/>
    </row>
    <row r="333">
      <c r="A333" s="4" t="n"/>
      <c r="B333" s="5" t="n"/>
      <c r="C333" s="4" t="n"/>
      <c r="D333" s="4" t="n"/>
    </row>
    <row r="334">
      <c r="A334" s="4" t="n"/>
      <c r="B334" s="5" t="n"/>
      <c r="C334" s="4" t="n"/>
      <c r="D334" s="4" t="n"/>
    </row>
    <row r="335">
      <c r="A335" s="4" t="n"/>
      <c r="B335" s="5" t="n"/>
      <c r="C335" s="4" t="n"/>
      <c r="D335" s="4" t="n"/>
    </row>
    <row r="336">
      <c r="A336" s="4" t="n"/>
      <c r="B336" s="5" t="n"/>
      <c r="C336" s="4" t="n"/>
      <c r="D336" s="4" t="n"/>
    </row>
    <row r="337">
      <c r="A337" s="4" t="n"/>
      <c r="B337" s="5" t="n"/>
      <c r="C337" s="4" t="n"/>
      <c r="D337" s="4" t="n"/>
    </row>
    <row r="338">
      <c r="A338" s="4" t="n"/>
      <c r="B338" s="5" t="n"/>
      <c r="C338" s="4" t="n"/>
      <c r="D338" s="4" t="n"/>
    </row>
    <row r="339">
      <c r="A339" s="4" t="n"/>
      <c r="B339" s="5" t="n"/>
      <c r="C339" s="4" t="n"/>
      <c r="D339" s="4" t="n"/>
    </row>
    <row r="340">
      <c r="A340" s="4" t="n"/>
      <c r="B340" s="5" t="n"/>
      <c r="C340" s="4" t="n"/>
      <c r="D340" s="4" t="n"/>
    </row>
    <row r="341">
      <c r="A341" s="4" t="n"/>
      <c r="B341" s="5" t="n"/>
      <c r="C341" s="4" t="n"/>
      <c r="D341" s="4" t="n"/>
    </row>
    <row r="342">
      <c r="A342" s="4" t="n"/>
      <c r="B342" s="5" t="n"/>
      <c r="C342" s="4" t="n"/>
      <c r="D342" s="4" t="n"/>
    </row>
    <row r="343">
      <c r="A343" s="4" t="n"/>
      <c r="B343" s="5" t="n"/>
      <c r="C343" s="4" t="n"/>
      <c r="D343" s="4" t="n"/>
    </row>
    <row r="344">
      <c r="A344" s="4" t="n"/>
      <c r="B344" s="5" t="n"/>
      <c r="C344" s="4" t="n"/>
      <c r="D344" s="4" t="n"/>
    </row>
    <row r="345">
      <c r="A345" s="4" t="n"/>
      <c r="B345" s="5" t="n"/>
      <c r="C345" s="4" t="n"/>
      <c r="D345" s="4" t="n"/>
    </row>
    <row r="346">
      <c r="A346" s="4" t="n"/>
      <c r="B346" s="5" t="n"/>
      <c r="C346" s="4" t="n"/>
      <c r="D346" s="4" t="n"/>
    </row>
    <row r="347">
      <c r="A347" s="4" t="n"/>
      <c r="B347" s="5" t="n"/>
      <c r="C347" s="4" t="n"/>
      <c r="D347" s="4" t="n"/>
    </row>
    <row r="348">
      <c r="A348" s="4" t="n"/>
      <c r="B348" s="5" t="n"/>
      <c r="C348" s="4" t="n"/>
      <c r="D348" s="4" t="n"/>
    </row>
    <row r="349">
      <c r="A349" s="4" t="n"/>
      <c r="B349" s="5" t="n"/>
      <c r="C349" s="4" t="n"/>
      <c r="D349" s="4" t="n"/>
    </row>
    <row r="350">
      <c r="A350" s="4" t="n"/>
      <c r="B350" s="5" t="n"/>
      <c r="C350" s="4" t="n"/>
      <c r="D350" s="4" t="n"/>
    </row>
    <row r="351">
      <c r="A351" s="4" t="n"/>
      <c r="B351" s="5" t="n"/>
      <c r="C351" s="4" t="n"/>
      <c r="D351" s="4" t="n"/>
    </row>
    <row r="352">
      <c r="A352" s="4" t="n"/>
      <c r="B352" s="5" t="n"/>
      <c r="C352" s="4" t="n"/>
      <c r="D352" s="4" t="n"/>
    </row>
    <row r="353">
      <c r="A353" s="4" t="n"/>
      <c r="B353" s="5" t="n"/>
      <c r="C353" s="4" t="n"/>
      <c r="D353" s="4" t="n"/>
    </row>
    <row r="354">
      <c r="A354" s="4" t="n"/>
      <c r="B354" s="5" t="n"/>
      <c r="C354" s="4" t="n"/>
      <c r="D354" s="4" t="n"/>
    </row>
    <row r="355">
      <c r="A355" s="4" t="n"/>
      <c r="B355" s="5" t="n"/>
      <c r="C355" s="4" t="n"/>
      <c r="D355" s="4" t="n"/>
    </row>
    <row r="356">
      <c r="A356" s="4" t="n"/>
      <c r="B356" s="5" t="n"/>
      <c r="C356" s="4" t="n"/>
      <c r="D356" s="4" t="n"/>
    </row>
    <row r="357">
      <c r="A357" s="4" t="n"/>
      <c r="B357" s="5" t="n"/>
      <c r="C357" s="4" t="n"/>
      <c r="D357" s="4" t="n"/>
    </row>
    <row r="358">
      <c r="A358" s="4" t="n"/>
      <c r="B358" s="5" t="n"/>
      <c r="C358" s="4" t="n"/>
      <c r="D358" s="4" t="n"/>
    </row>
    <row r="359">
      <c r="A359" s="4" t="n"/>
      <c r="B359" s="5" t="n"/>
      <c r="C359" s="4" t="n"/>
      <c r="D359" s="4" t="n"/>
    </row>
    <row r="360">
      <c r="A360" s="4" t="n"/>
      <c r="B360" s="5" t="n"/>
      <c r="C360" s="4" t="n"/>
      <c r="D360" s="4" t="n"/>
    </row>
    <row r="361">
      <c r="A361" s="4" t="n"/>
      <c r="B361" s="5" t="n"/>
      <c r="C361" s="4" t="n"/>
      <c r="D361" s="4" t="n"/>
    </row>
    <row r="362">
      <c r="A362" s="4" t="n"/>
      <c r="B362" s="5" t="n"/>
      <c r="C362" s="4" t="n"/>
      <c r="D362" s="4" t="n"/>
    </row>
    <row r="363">
      <c r="A363" s="4" t="n"/>
      <c r="B363" s="5" t="n"/>
      <c r="C363" s="4" t="n"/>
      <c r="D363" s="4" t="n"/>
    </row>
    <row r="364">
      <c r="A364" s="4" t="n"/>
      <c r="B364" s="5" t="n"/>
      <c r="C364" s="4" t="n"/>
      <c r="D364" s="4" t="n"/>
    </row>
    <row r="365">
      <c r="A365" s="4" t="n"/>
      <c r="B365" s="5" t="n"/>
      <c r="C365" s="4" t="n"/>
      <c r="D365" s="4" t="n"/>
    </row>
    <row r="366">
      <c r="A366" s="4" t="n"/>
      <c r="B366" s="5" t="n"/>
      <c r="C366" s="4" t="n"/>
      <c r="D366" s="4" t="n"/>
    </row>
    <row r="367">
      <c r="A367" s="4" t="n"/>
      <c r="B367" s="5" t="n"/>
      <c r="C367" s="4" t="n"/>
      <c r="D367" s="4" t="n"/>
    </row>
    <row r="368">
      <c r="A368" s="4" t="n"/>
      <c r="B368" s="5" t="n"/>
      <c r="C368" s="4" t="n"/>
      <c r="D368" s="4" t="n"/>
    </row>
    <row r="369">
      <c r="A369" s="4" t="n"/>
      <c r="B369" s="5" t="n"/>
      <c r="C369" s="4" t="n"/>
      <c r="D369" s="4" t="n"/>
    </row>
    <row r="370">
      <c r="A370" s="4" t="n"/>
      <c r="B370" s="5" t="n"/>
      <c r="C370" s="4" t="n"/>
      <c r="D370" s="4" t="n"/>
    </row>
    <row r="371">
      <c r="A371" s="4" t="n"/>
      <c r="B371" s="5" t="n"/>
      <c r="C371" s="4" t="n"/>
      <c r="D371" s="4" t="n"/>
    </row>
    <row r="372">
      <c r="A372" s="4" t="n"/>
      <c r="B372" s="5" t="n"/>
      <c r="C372" s="4" t="n"/>
      <c r="D372" s="4" t="n"/>
    </row>
    <row r="373">
      <c r="A373" s="4" t="n"/>
      <c r="B373" s="5" t="n"/>
      <c r="C373" s="4" t="n"/>
      <c r="D373" s="4" t="n"/>
    </row>
    <row r="374">
      <c r="A374" s="4" t="n"/>
      <c r="B374" s="5" t="n"/>
      <c r="C374" s="4" t="n"/>
      <c r="D374" s="4" t="n"/>
    </row>
    <row r="375">
      <c r="A375" s="4" t="n"/>
      <c r="B375" s="5" t="n"/>
      <c r="C375" s="4" t="n"/>
      <c r="D375" s="4" t="n"/>
    </row>
    <row r="376">
      <c r="A376" s="4" t="n"/>
      <c r="B376" s="5" t="n"/>
      <c r="C376" s="4" t="n"/>
      <c r="D376" s="4" t="n"/>
    </row>
    <row r="377">
      <c r="A377" s="4" t="n"/>
      <c r="B377" s="5" t="n"/>
      <c r="C377" s="4" t="n"/>
      <c r="D377" s="4" t="n"/>
    </row>
    <row r="378">
      <c r="A378" s="4" t="n"/>
      <c r="B378" s="5" t="n"/>
      <c r="C378" s="4" t="n"/>
      <c r="D378" s="4" t="n"/>
    </row>
    <row r="379">
      <c r="A379" s="4" t="n"/>
      <c r="B379" s="5" t="n"/>
      <c r="C379" s="4" t="n"/>
      <c r="D379" s="4" t="n"/>
    </row>
    <row r="380">
      <c r="A380" s="4" t="n"/>
      <c r="B380" s="5" t="n"/>
      <c r="C380" s="4" t="n"/>
      <c r="D380" s="4" t="n"/>
    </row>
    <row r="381">
      <c r="A381" s="4" t="n"/>
      <c r="B381" s="5" t="n"/>
      <c r="C381" s="4" t="n"/>
      <c r="D381" s="4" t="n"/>
    </row>
    <row r="382">
      <c r="A382" s="4" t="n"/>
      <c r="B382" s="5" t="n"/>
      <c r="C382" s="4" t="n"/>
      <c r="D382" s="4" t="n"/>
    </row>
    <row r="383">
      <c r="A383" s="4" t="n"/>
      <c r="B383" s="5" t="n"/>
      <c r="C383" s="4" t="n"/>
      <c r="D383" s="4" t="n"/>
    </row>
    <row r="384">
      <c r="A384" s="4" t="n"/>
      <c r="B384" s="5" t="n"/>
      <c r="C384" s="4" t="n"/>
      <c r="D384" s="4" t="n"/>
    </row>
    <row r="385">
      <c r="A385" s="4" t="n"/>
      <c r="B385" s="5" t="n"/>
      <c r="C385" s="4" t="n"/>
      <c r="D385" s="4" t="n"/>
    </row>
    <row r="386">
      <c r="A386" s="4" t="n"/>
      <c r="B386" s="5" t="n"/>
      <c r="C386" s="4" t="n"/>
      <c r="D386" s="4" t="n"/>
    </row>
    <row r="387">
      <c r="A387" s="4" t="n"/>
      <c r="B387" s="5" t="n"/>
      <c r="C387" s="4" t="n"/>
      <c r="D387" s="4" t="n"/>
    </row>
    <row r="388">
      <c r="A388" s="4" t="n"/>
      <c r="B388" s="5" t="n"/>
      <c r="C388" s="4" t="n"/>
      <c r="D388" s="4" t="n"/>
    </row>
    <row r="389">
      <c r="A389" s="4" t="n"/>
      <c r="B389" s="5" t="n"/>
      <c r="C389" s="4" t="n"/>
      <c r="D389" s="4" t="n"/>
    </row>
    <row r="390">
      <c r="A390" s="4" t="n"/>
      <c r="B390" s="5" t="n"/>
      <c r="C390" s="4" t="n"/>
      <c r="D390" s="4" t="n"/>
    </row>
    <row r="391">
      <c r="A391" s="4" t="n"/>
      <c r="B391" s="5" t="n"/>
      <c r="C391" s="4" t="n"/>
      <c r="D391" s="4" t="n"/>
    </row>
    <row r="392">
      <c r="A392" s="4" t="n"/>
      <c r="B392" s="5" t="n"/>
      <c r="C392" s="4" t="n"/>
      <c r="D392" s="4" t="n"/>
    </row>
    <row r="393">
      <c r="A393" s="4" t="n"/>
      <c r="B393" s="5" t="n"/>
      <c r="C393" s="4" t="n"/>
      <c r="D393" s="4" t="n"/>
    </row>
    <row r="394">
      <c r="A394" s="4" t="n"/>
      <c r="B394" s="5" t="n"/>
      <c r="C394" s="4" t="n"/>
      <c r="D394" s="4" t="n"/>
    </row>
    <row r="395">
      <c r="A395" s="4" t="n"/>
      <c r="B395" s="5" t="n"/>
      <c r="C395" s="4" t="n"/>
      <c r="D395" s="4" t="n"/>
    </row>
    <row r="396">
      <c r="A396" s="4" t="n"/>
      <c r="B396" s="5" t="n"/>
      <c r="C396" s="4" t="n"/>
      <c r="D396" s="4" t="n"/>
    </row>
    <row r="397">
      <c r="A397" s="4" t="n"/>
      <c r="B397" s="5" t="n"/>
      <c r="C397" s="4" t="n"/>
      <c r="D397" s="4" t="n"/>
    </row>
    <row r="398">
      <c r="A398" s="4" t="n"/>
      <c r="B398" s="5" t="n"/>
      <c r="C398" s="4" t="n"/>
      <c r="D398" s="4" t="n"/>
    </row>
    <row r="399">
      <c r="A399" s="4" t="n"/>
      <c r="B399" s="5" t="n"/>
      <c r="C399" s="4" t="n"/>
      <c r="D399" s="4" t="n"/>
    </row>
    <row r="400">
      <c r="A400" s="4" t="n"/>
      <c r="B400" s="5" t="n"/>
      <c r="C400" s="4" t="n"/>
      <c r="D400" s="4" t="n"/>
    </row>
    <row r="401">
      <c r="A401" s="4" t="n"/>
      <c r="B401" s="5" t="n"/>
      <c r="C401" s="4" t="n"/>
      <c r="D401" s="4" t="n"/>
    </row>
    <row r="402">
      <c r="A402" s="4" t="n"/>
      <c r="B402" s="5" t="n"/>
      <c r="C402" s="4" t="n"/>
      <c r="D402" s="4" t="n"/>
    </row>
    <row r="403">
      <c r="A403" s="4" t="n"/>
      <c r="B403" s="5" t="n"/>
      <c r="C403" s="4" t="n"/>
      <c r="D403" s="4" t="n"/>
    </row>
    <row r="404">
      <c r="A404" s="4" t="n"/>
      <c r="B404" s="5" t="n"/>
      <c r="C404" s="4" t="n"/>
      <c r="D404" s="4" t="n"/>
    </row>
    <row r="405">
      <c r="A405" s="4" t="n"/>
      <c r="B405" s="5" t="n"/>
      <c r="C405" s="4" t="n"/>
      <c r="D405" s="4" t="n"/>
    </row>
    <row r="406">
      <c r="A406" s="4" t="n"/>
      <c r="B406" s="5" t="n"/>
      <c r="C406" s="4" t="n"/>
      <c r="D406" s="4" t="n"/>
    </row>
    <row r="407">
      <c r="A407" s="4" t="n"/>
      <c r="B407" s="5" t="n"/>
      <c r="C407" s="4" t="n"/>
      <c r="D407" s="4" t="n"/>
    </row>
    <row r="408">
      <c r="A408" s="4" t="n"/>
      <c r="B408" s="5" t="n"/>
      <c r="C408" s="4" t="n"/>
      <c r="D408" s="4" t="n"/>
    </row>
    <row r="409">
      <c r="A409" s="4" t="n"/>
      <c r="B409" s="5" t="n"/>
      <c r="C409" s="4" t="n"/>
      <c r="D409" s="4" t="n"/>
    </row>
    <row r="410">
      <c r="A410" s="4" t="n"/>
      <c r="B410" s="5" t="n"/>
      <c r="C410" s="4" t="n"/>
      <c r="D410" s="4" t="n"/>
    </row>
    <row r="411">
      <c r="A411" s="4" t="n"/>
      <c r="B411" s="5" t="n"/>
      <c r="C411" s="4" t="n"/>
      <c r="D411" s="4" t="n"/>
    </row>
    <row r="412">
      <c r="A412" s="4" t="n"/>
      <c r="B412" s="5" t="n"/>
      <c r="C412" s="4" t="n"/>
      <c r="D412" s="4" t="n"/>
    </row>
    <row r="413">
      <c r="A413" s="4" t="n"/>
      <c r="B413" s="5" t="n"/>
      <c r="C413" s="4" t="n"/>
      <c r="D413" s="4" t="n"/>
    </row>
    <row r="414">
      <c r="A414" s="4" t="n"/>
      <c r="B414" s="5" t="n"/>
      <c r="C414" s="4" t="n"/>
      <c r="D414" s="4" t="n"/>
    </row>
    <row r="415">
      <c r="A415" s="4" t="n"/>
      <c r="B415" s="5" t="n"/>
      <c r="C415" s="4" t="n"/>
      <c r="D415" s="4" t="n"/>
    </row>
    <row r="416">
      <c r="A416" s="4" t="n"/>
      <c r="B416" s="5" t="n"/>
      <c r="C416" s="4" t="n"/>
      <c r="D416" s="4" t="n"/>
    </row>
    <row r="417">
      <c r="A417" s="4" t="n"/>
      <c r="B417" s="5" t="n"/>
      <c r="C417" s="4" t="n"/>
      <c r="D417" s="4" t="n"/>
    </row>
    <row r="418">
      <c r="A418" s="4" t="n"/>
      <c r="B418" s="5" t="n"/>
      <c r="C418" s="4" t="n"/>
      <c r="D418" s="4" t="n"/>
    </row>
    <row r="419">
      <c r="A419" s="4" t="n"/>
      <c r="B419" s="5" t="n"/>
      <c r="C419" s="4" t="n"/>
      <c r="D419" s="4" t="n"/>
    </row>
    <row r="420">
      <c r="A420" s="4" t="n"/>
      <c r="B420" s="5" t="n"/>
      <c r="C420" s="4" t="n"/>
      <c r="D420" s="4" t="n"/>
    </row>
    <row r="421">
      <c r="A421" s="4" t="n"/>
      <c r="B421" s="5" t="n"/>
      <c r="C421" s="4" t="n"/>
      <c r="D421" s="4" t="n"/>
    </row>
    <row r="422">
      <c r="A422" s="4" t="n"/>
      <c r="B422" s="5" t="n"/>
      <c r="C422" s="4" t="n"/>
      <c r="D422" s="4" t="n"/>
    </row>
    <row r="423">
      <c r="A423" s="4" t="n"/>
      <c r="B423" s="5" t="n"/>
      <c r="C423" s="4" t="n"/>
      <c r="D423" s="4" t="n"/>
    </row>
    <row r="424">
      <c r="A424" s="4" t="n"/>
      <c r="B424" s="5" t="n"/>
      <c r="C424" s="4" t="n"/>
      <c r="D424" s="4" t="n"/>
    </row>
    <row r="425">
      <c r="A425" s="4" t="n"/>
      <c r="B425" s="5" t="n"/>
      <c r="C425" s="4" t="n"/>
      <c r="D425" s="4" t="n"/>
    </row>
    <row r="426">
      <c r="A426" s="4" t="n"/>
      <c r="B426" s="5" t="n"/>
      <c r="C426" s="4" t="n"/>
      <c r="D426" s="4" t="n"/>
    </row>
    <row r="427">
      <c r="A427" s="4" t="n"/>
      <c r="B427" s="5" t="n"/>
      <c r="C427" s="4" t="n"/>
      <c r="D427" s="4" t="n"/>
    </row>
    <row r="428">
      <c r="A428" s="4" t="n"/>
      <c r="B428" s="5" t="n"/>
      <c r="C428" s="4" t="n"/>
      <c r="D428" s="4" t="n"/>
    </row>
    <row r="429">
      <c r="A429" s="4" t="n"/>
      <c r="B429" s="5" t="n"/>
      <c r="C429" s="4" t="n"/>
      <c r="D429" s="4" t="n"/>
    </row>
    <row r="430">
      <c r="A430" s="4" t="n"/>
      <c r="B430" s="5" t="n"/>
      <c r="C430" s="4" t="n"/>
      <c r="D430" s="4" t="n"/>
    </row>
    <row r="431">
      <c r="A431" s="4" t="n"/>
      <c r="B431" s="5" t="n"/>
      <c r="C431" s="4" t="n"/>
      <c r="D431" s="4" t="n"/>
    </row>
    <row r="432">
      <c r="A432" s="4" t="n"/>
      <c r="B432" s="5" t="n"/>
      <c r="C432" s="4" t="n"/>
      <c r="D432" s="4" t="n"/>
    </row>
    <row r="433">
      <c r="A433" s="4" t="n"/>
      <c r="B433" s="5" t="n"/>
      <c r="C433" s="4" t="n"/>
      <c r="D433" s="4" t="n"/>
    </row>
    <row r="434">
      <c r="A434" s="4" t="n"/>
      <c r="B434" s="5" t="n"/>
      <c r="C434" s="4" t="n"/>
      <c r="D434" s="4" t="n"/>
    </row>
    <row r="435">
      <c r="A435" s="4" t="n"/>
      <c r="B435" s="5" t="n"/>
      <c r="C435" s="4" t="n"/>
      <c r="D435" s="4" t="n"/>
    </row>
    <row r="436">
      <c r="A436" s="4" t="n"/>
      <c r="B436" s="5" t="n"/>
      <c r="C436" s="4" t="n"/>
      <c r="D436" s="4" t="n"/>
    </row>
    <row r="437">
      <c r="A437" s="4" t="n"/>
      <c r="B437" s="5" t="n"/>
      <c r="C437" s="4" t="n"/>
      <c r="D437" s="4" t="n"/>
    </row>
    <row r="438">
      <c r="A438" s="4" t="n"/>
      <c r="B438" s="5" t="n"/>
      <c r="C438" s="4" t="n"/>
      <c r="D438" s="4" t="n"/>
    </row>
    <row r="439">
      <c r="A439" s="4" t="n"/>
      <c r="B439" s="5" t="n"/>
      <c r="C439" s="4" t="n"/>
      <c r="D439" s="4" t="n"/>
    </row>
    <row r="440">
      <c r="A440" s="4" t="n"/>
      <c r="B440" s="5" t="n"/>
      <c r="C440" s="4" t="n"/>
      <c r="D440" s="4" t="n"/>
    </row>
    <row r="441">
      <c r="A441" s="4" t="n"/>
      <c r="B441" s="5" t="n"/>
      <c r="C441" s="4" t="n"/>
      <c r="D441" s="4" t="n"/>
    </row>
    <row r="442">
      <c r="A442" s="4" t="n"/>
      <c r="B442" s="5" t="n"/>
      <c r="C442" s="4" t="n"/>
      <c r="D442" s="4" t="n"/>
    </row>
    <row r="443">
      <c r="A443" s="4" t="n"/>
      <c r="B443" s="5" t="n"/>
      <c r="C443" s="4" t="n"/>
      <c r="D443" s="4" t="n"/>
    </row>
    <row r="444">
      <c r="A444" s="4" t="n"/>
      <c r="B444" s="5" t="n"/>
      <c r="C444" s="4" t="n"/>
      <c r="D444" s="4" t="n"/>
    </row>
    <row r="445">
      <c r="A445" s="4" t="n"/>
      <c r="B445" s="5" t="n"/>
      <c r="C445" s="4" t="n"/>
      <c r="D445" s="4" t="n"/>
    </row>
    <row r="446">
      <c r="A446" s="4" t="n"/>
      <c r="B446" s="5" t="n"/>
      <c r="C446" s="4" t="n"/>
      <c r="D446" s="4" t="n"/>
    </row>
    <row r="447">
      <c r="A447" s="4" t="n"/>
      <c r="B447" s="5" t="n"/>
      <c r="C447" s="4" t="n"/>
      <c r="D447" s="4" t="n"/>
    </row>
    <row r="448">
      <c r="A448" s="4" t="n"/>
      <c r="B448" s="5" t="n"/>
      <c r="C448" s="4" t="n"/>
      <c r="D448" s="4" t="n"/>
    </row>
    <row r="449">
      <c r="A449" s="4" t="n"/>
      <c r="B449" s="5" t="n"/>
      <c r="C449" s="4" t="n"/>
      <c r="D449" s="4" t="n"/>
    </row>
    <row r="450">
      <c r="A450" s="4" t="n"/>
      <c r="B450" s="5" t="n"/>
      <c r="C450" s="4" t="n"/>
      <c r="D450" s="4" t="n"/>
    </row>
    <row r="451">
      <c r="A451" s="4" t="n"/>
      <c r="B451" s="5" t="n"/>
      <c r="C451" s="4" t="n"/>
      <c r="D451" s="4" t="n"/>
    </row>
    <row r="452">
      <c r="A452" s="4" t="n"/>
      <c r="B452" s="5" t="n"/>
      <c r="C452" s="4" t="n"/>
      <c r="D452" s="4" t="n"/>
    </row>
    <row r="453">
      <c r="A453" s="4" t="n"/>
      <c r="B453" s="5" t="n"/>
      <c r="C453" s="4" t="n"/>
      <c r="D453" s="4" t="n"/>
    </row>
    <row r="454">
      <c r="A454" s="4" t="n"/>
      <c r="B454" s="5" t="n"/>
      <c r="C454" s="4" t="n"/>
      <c r="D454" s="4" t="n"/>
    </row>
    <row r="455">
      <c r="A455" s="4" t="n"/>
      <c r="B455" s="5" t="n"/>
      <c r="C455" s="4" t="n"/>
      <c r="D455" s="4" t="n"/>
    </row>
    <row r="456">
      <c r="A456" s="4" t="n"/>
      <c r="B456" s="5" t="n"/>
      <c r="C456" s="4" t="n"/>
      <c r="D456" s="4" t="n"/>
    </row>
    <row r="457">
      <c r="A457" s="4" t="n"/>
      <c r="B457" s="5" t="n"/>
      <c r="C457" s="4" t="n"/>
      <c r="D457" s="4" t="n"/>
    </row>
    <row r="458">
      <c r="A458" s="4" t="n"/>
      <c r="B458" s="5" t="n"/>
      <c r="C458" s="4" t="n"/>
      <c r="D458" s="4" t="n"/>
    </row>
    <row r="459">
      <c r="A459" s="4" t="n"/>
      <c r="B459" s="5" t="n"/>
      <c r="C459" s="4" t="n"/>
      <c r="D459" s="4" t="n"/>
    </row>
    <row r="460">
      <c r="A460" s="4" t="n"/>
      <c r="B460" s="5" t="n"/>
      <c r="C460" s="4" t="n"/>
      <c r="D460" s="4" t="n"/>
    </row>
    <row r="461">
      <c r="A461" s="4" t="n"/>
      <c r="B461" s="5" t="n"/>
      <c r="C461" s="4" t="n"/>
      <c r="D461" s="4" t="n"/>
    </row>
    <row r="462">
      <c r="A462" s="4" t="n"/>
      <c r="B462" s="5" t="n"/>
      <c r="C462" s="4" t="n"/>
      <c r="D462" s="4" t="n"/>
    </row>
    <row r="463">
      <c r="A463" s="4" t="n"/>
      <c r="B463" s="5" t="n"/>
      <c r="C463" s="4" t="n"/>
      <c r="D463" s="4" t="n"/>
    </row>
    <row r="464">
      <c r="A464" s="4" t="n"/>
      <c r="B464" s="5" t="n"/>
      <c r="C464" s="4" t="n"/>
      <c r="D464" s="4" t="n"/>
    </row>
    <row r="465">
      <c r="A465" s="4" t="n"/>
      <c r="B465" s="5" t="n"/>
      <c r="C465" s="4" t="n"/>
      <c r="D465" s="4" t="n"/>
    </row>
    <row r="466">
      <c r="A466" s="4" t="n"/>
      <c r="B466" s="5" t="n"/>
      <c r="C466" s="4" t="n"/>
      <c r="D466" s="4" t="n"/>
    </row>
    <row r="467">
      <c r="A467" s="4" t="n"/>
      <c r="B467" s="5" t="n"/>
      <c r="C467" s="4" t="n"/>
      <c r="D467" s="4" t="n"/>
    </row>
    <row r="468">
      <c r="A468" s="4" t="n"/>
      <c r="B468" s="5" t="n"/>
      <c r="C468" s="4" t="n"/>
      <c r="D468" s="4" t="n"/>
    </row>
    <row r="469">
      <c r="A469" s="4" t="n"/>
      <c r="B469" s="5" t="n"/>
      <c r="C469" s="4" t="n"/>
      <c r="D469" s="4" t="n"/>
    </row>
    <row r="470">
      <c r="A470" s="4" t="n"/>
      <c r="B470" s="5" t="n"/>
      <c r="C470" s="4" t="n"/>
      <c r="D470" s="4" t="n"/>
    </row>
    <row r="471">
      <c r="A471" s="4" t="n"/>
      <c r="B471" s="5" t="n"/>
      <c r="C471" s="4" t="n"/>
      <c r="D471" s="4" t="n"/>
    </row>
    <row r="472">
      <c r="A472" s="4" t="n"/>
      <c r="B472" s="5" t="n"/>
      <c r="C472" s="4" t="n"/>
      <c r="D472" s="4" t="n"/>
    </row>
    <row r="473">
      <c r="A473" s="4" t="n"/>
      <c r="B473" s="5" t="n"/>
      <c r="C473" s="4" t="n"/>
      <c r="D473" s="4" t="n"/>
    </row>
    <row r="474">
      <c r="A474" s="4" t="n"/>
      <c r="B474" s="5" t="n"/>
      <c r="C474" s="4" t="n"/>
      <c r="D474" s="4" t="n"/>
    </row>
    <row r="475">
      <c r="A475" s="4" t="n"/>
      <c r="B475" s="5" t="n"/>
      <c r="C475" s="4" t="n"/>
      <c r="D475" s="4" t="n"/>
    </row>
    <row r="476">
      <c r="A476" s="4" t="n"/>
      <c r="B476" s="5" t="n"/>
      <c r="C476" s="4" t="n"/>
      <c r="D476" s="4" t="n"/>
    </row>
    <row r="477">
      <c r="A477" s="4" t="n"/>
      <c r="B477" s="5" t="n"/>
      <c r="C477" s="4" t="n"/>
      <c r="D477" s="4" t="n"/>
    </row>
    <row r="478">
      <c r="A478" s="4" t="n"/>
      <c r="B478" s="5" t="n"/>
      <c r="C478" s="4" t="n"/>
      <c r="D478" s="4" t="n"/>
    </row>
    <row r="479">
      <c r="A479" s="4" t="n"/>
      <c r="B479" s="5" t="n"/>
      <c r="C479" s="4" t="n"/>
      <c r="D479" s="4" t="n"/>
    </row>
    <row r="480">
      <c r="A480" s="4" t="n"/>
      <c r="B480" s="5" t="n"/>
      <c r="C480" s="4" t="n"/>
      <c r="D480" s="4" t="n"/>
    </row>
    <row r="481">
      <c r="A481" s="4" t="n"/>
      <c r="B481" s="5" t="n"/>
      <c r="C481" s="4" t="n"/>
      <c r="D481" s="4" t="n"/>
    </row>
    <row r="482">
      <c r="A482" s="4" t="n"/>
      <c r="B482" s="5" t="n"/>
      <c r="C482" s="4" t="n"/>
      <c r="D482" s="4" t="n"/>
    </row>
    <row r="483">
      <c r="A483" s="4" t="n"/>
      <c r="B483" s="5" t="n"/>
      <c r="C483" s="4" t="n"/>
      <c r="D483" s="4" t="n"/>
    </row>
    <row r="484">
      <c r="A484" s="4" t="n"/>
      <c r="B484" s="5" t="n"/>
      <c r="C484" s="4" t="n"/>
      <c r="D484" s="4" t="n"/>
    </row>
    <row r="485">
      <c r="A485" s="4" t="n"/>
      <c r="B485" s="5" t="n"/>
      <c r="C485" s="4" t="n"/>
      <c r="D485" s="4" t="n"/>
    </row>
    <row r="486">
      <c r="A486" s="4" t="n"/>
      <c r="B486" s="5" t="n"/>
      <c r="C486" s="4" t="n"/>
      <c r="D486" s="4" t="n"/>
    </row>
    <row r="487">
      <c r="A487" s="4" t="n"/>
      <c r="B487" s="5" t="n"/>
      <c r="C487" s="4" t="n"/>
      <c r="D487" s="4" t="n"/>
    </row>
    <row r="488">
      <c r="A488" s="4" t="n"/>
      <c r="B488" s="5" t="n"/>
      <c r="C488" s="4" t="n"/>
      <c r="D488" s="4" t="n"/>
    </row>
    <row r="489">
      <c r="A489" s="4" t="n"/>
      <c r="B489" s="5" t="n"/>
      <c r="C489" s="4" t="n"/>
      <c r="D489" s="4" t="n"/>
    </row>
    <row r="490">
      <c r="A490" s="4" t="n"/>
      <c r="B490" s="5" t="n"/>
      <c r="C490" s="4" t="n"/>
      <c r="D490" s="4" t="n"/>
    </row>
    <row r="491">
      <c r="A491" s="4" t="n"/>
      <c r="B491" s="5" t="n"/>
      <c r="C491" s="4" t="n"/>
      <c r="D491" s="4" t="n"/>
    </row>
    <row r="492">
      <c r="A492" s="4" t="n"/>
      <c r="B492" s="5" t="n"/>
      <c r="C492" s="4" t="n"/>
      <c r="D492" s="4" t="n"/>
    </row>
    <row r="493">
      <c r="A493" s="4" t="n"/>
      <c r="B493" s="5" t="n"/>
      <c r="C493" s="4" t="n"/>
      <c r="D493" s="4" t="n"/>
    </row>
    <row r="494">
      <c r="A494" s="4" t="n"/>
      <c r="B494" s="5" t="n"/>
      <c r="C494" s="4" t="n"/>
      <c r="D494" s="4" t="n"/>
    </row>
    <row r="495">
      <c r="A495" s="4" t="n"/>
      <c r="B495" s="5" t="n"/>
      <c r="C495" s="4" t="n"/>
      <c r="D495" s="4" t="n"/>
    </row>
    <row r="496">
      <c r="A496" s="4" t="n"/>
      <c r="B496" s="5" t="n"/>
      <c r="C496" s="4" t="n"/>
      <c r="D496" s="4" t="n"/>
    </row>
    <row r="497">
      <c r="A497" s="4" t="n"/>
      <c r="B497" s="5" t="n"/>
      <c r="C497" s="4" t="n"/>
      <c r="D497" s="4" t="n"/>
    </row>
    <row r="498">
      <c r="A498" s="4" t="n"/>
      <c r="B498" s="5" t="n"/>
      <c r="C498" s="4" t="n"/>
      <c r="D498" s="4" t="n"/>
    </row>
    <row r="499">
      <c r="A499" s="4" t="n"/>
      <c r="B499" s="5" t="n"/>
      <c r="C499" s="4" t="n"/>
      <c r="D499" s="4" t="n"/>
    </row>
    <row r="500">
      <c r="A500" s="4" t="n"/>
      <c r="B500" s="5" t="n"/>
      <c r="C500" s="4" t="n"/>
      <c r="D500" s="4" t="n"/>
    </row>
    <row r="501">
      <c r="A501" s="4" t="n"/>
      <c r="B501" s="5" t="n"/>
      <c r="C501" s="4" t="n"/>
      <c r="D501" s="4" t="n"/>
    </row>
    <row r="502">
      <c r="A502" s="4" t="n"/>
      <c r="B502" s="5" t="n"/>
      <c r="C502" s="4" t="n"/>
      <c r="D502" s="4" t="n"/>
    </row>
    <row r="503">
      <c r="A503" s="4" t="n"/>
      <c r="B503" s="5" t="n"/>
      <c r="C503" s="4" t="n"/>
      <c r="D503" s="4" t="n"/>
    </row>
    <row r="504">
      <c r="A504" s="4" t="n"/>
      <c r="B504" s="5" t="n"/>
      <c r="C504" s="4" t="n"/>
      <c r="D504" s="4" t="n"/>
    </row>
    <row r="505">
      <c r="A505" s="4" t="n"/>
      <c r="B505" s="5" t="n"/>
      <c r="C505" s="4" t="n"/>
      <c r="D505" s="4" t="n"/>
    </row>
    <row r="506">
      <c r="A506" s="4" t="n"/>
      <c r="B506" s="5" t="n"/>
      <c r="C506" s="4" t="n"/>
      <c r="D506" s="4" t="n"/>
    </row>
    <row r="507">
      <c r="A507" s="4" t="n"/>
      <c r="B507" s="5" t="n"/>
      <c r="C507" s="4" t="n"/>
      <c r="D507" s="4" t="n"/>
    </row>
    <row r="508">
      <c r="A508" s="4" t="n"/>
      <c r="B508" s="5" t="n"/>
      <c r="C508" s="4" t="n"/>
      <c r="D508" s="4" t="n"/>
    </row>
    <row r="509">
      <c r="A509" s="4" t="n"/>
      <c r="B509" s="5" t="n"/>
      <c r="C509" s="4" t="n"/>
      <c r="D509" s="4" t="n"/>
    </row>
    <row r="510">
      <c r="A510" s="4" t="n"/>
      <c r="B510" s="5" t="n"/>
      <c r="C510" s="4" t="n"/>
      <c r="D510" s="4" t="n"/>
    </row>
    <row r="511">
      <c r="A511" s="4" t="n"/>
      <c r="B511" s="5" t="n"/>
      <c r="C511" s="4" t="n"/>
      <c r="D511" s="4" t="n"/>
    </row>
    <row r="512">
      <c r="A512" s="4" t="n"/>
      <c r="B512" s="5" t="n"/>
      <c r="C512" s="4" t="n"/>
      <c r="D512" s="4" t="n"/>
    </row>
    <row r="513">
      <c r="A513" s="4" t="n"/>
      <c r="B513" s="5" t="n"/>
      <c r="C513" s="4" t="n"/>
      <c r="D513" s="4" t="n"/>
    </row>
    <row r="514">
      <c r="A514" s="4" t="n"/>
      <c r="B514" s="5" t="n"/>
      <c r="C514" s="4" t="n"/>
      <c r="D514" s="4" t="n"/>
    </row>
    <row r="515">
      <c r="A515" s="4" t="n"/>
      <c r="B515" s="5" t="n"/>
      <c r="C515" s="4" t="n"/>
      <c r="D515" s="4" t="n"/>
    </row>
    <row r="516">
      <c r="A516" s="4" t="n"/>
      <c r="B516" s="5" t="n"/>
      <c r="C516" s="4" t="n"/>
      <c r="D516" s="4" t="n"/>
    </row>
    <row r="517">
      <c r="A517" s="4" t="n"/>
      <c r="B517" s="5" t="n"/>
      <c r="C517" s="4" t="n"/>
      <c r="D517" s="4" t="n"/>
    </row>
    <row r="518">
      <c r="A518" s="4" t="n"/>
      <c r="B518" s="5" t="n"/>
      <c r="C518" s="4" t="n"/>
      <c r="D518" s="4" t="n"/>
    </row>
    <row r="519">
      <c r="A519" s="4" t="n"/>
      <c r="B519" s="5" t="n"/>
      <c r="C519" s="4" t="n"/>
      <c r="D519" s="4" t="n"/>
    </row>
    <row r="520">
      <c r="A520" s="4" t="n"/>
      <c r="B520" s="5" t="n"/>
      <c r="C520" s="4" t="n"/>
      <c r="D520" s="4" t="n"/>
    </row>
    <row r="521">
      <c r="A521" s="4" t="n"/>
      <c r="B521" s="5" t="n"/>
      <c r="C521" s="4" t="n"/>
      <c r="D521" s="4" t="n"/>
    </row>
    <row r="522">
      <c r="A522" s="4" t="n"/>
      <c r="B522" s="5" t="n"/>
      <c r="C522" s="4" t="n"/>
      <c r="D522" s="4" t="n"/>
    </row>
    <row r="523">
      <c r="A523" s="4" t="n"/>
      <c r="B523" s="5" t="n"/>
      <c r="C523" s="4" t="n"/>
      <c r="D523" s="4" t="n"/>
    </row>
    <row r="524">
      <c r="A524" s="4" t="n"/>
      <c r="B524" s="5" t="n"/>
      <c r="C524" s="4" t="n"/>
      <c r="D524" s="4" t="n"/>
    </row>
    <row r="525">
      <c r="A525" s="4" t="n"/>
      <c r="B525" s="5" t="n"/>
      <c r="C525" s="4" t="n"/>
      <c r="D525" s="4" t="n"/>
    </row>
    <row r="526">
      <c r="A526" s="4" t="n"/>
      <c r="B526" s="5" t="n"/>
      <c r="C526" s="4" t="n"/>
      <c r="D526" s="4" t="n"/>
    </row>
    <row r="527">
      <c r="A527" s="4" t="n"/>
      <c r="B527" s="5" t="n"/>
      <c r="C527" s="4" t="n"/>
      <c r="D527" s="4" t="n"/>
    </row>
    <row r="528">
      <c r="A528" s="4" t="n"/>
      <c r="B528" s="5" t="n"/>
      <c r="C528" s="4" t="n"/>
      <c r="D528" s="4" t="n"/>
    </row>
    <row r="529">
      <c r="A529" s="4" t="n"/>
      <c r="B529" s="5" t="n"/>
      <c r="C529" s="4" t="n"/>
      <c r="D529" s="4" t="n"/>
    </row>
    <row r="530">
      <c r="A530" s="4" t="n"/>
      <c r="B530" s="5" t="n"/>
      <c r="C530" s="4" t="n"/>
      <c r="D530" s="4" t="n"/>
    </row>
    <row r="531">
      <c r="A531" s="4" t="n"/>
      <c r="B531" s="5" t="n"/>
      <c r="C531" s="4" t="n"/>
      <c r="D531" s="4" t="n"/>
    </row>
    <row r="532">
      <c r="A532" s="4" t="n"/>
      <c r="B532" s="5" t="n"/>
      <c r="C532" s="4" t="n"/>
      <c r="D532" s="4" t="n"/>
    </row>
    <row r="533">
      <c r="A533" s="4" t="n"/>
      <c r="B533" s="5" t="n"/>
      <c r="C533" s="4" t="n"/>
      <c r="D533" s="4" t="n"/>
    </row>
    <row r="534">
      <c r="A534" s="4" t="n"/>
      <c r="B534" s="5" t="n"/>
      <c r="C534" s="4" t="n"/>
      <c r="D534" s="4" t="n"/>
    </row>
    <row r="535">
      <c r="A535" s="4" t="n"/>
      <c r="B535" s="5" t="n"/>
      <c r="C535" s="4" t="n"/>
      <c r="D535" s="4" t="n"/>
    </row>
    <row r="536">
      <c r="A536" s="4" t="n"/>
      <c r="B536" s="5" t="n"/>
      <c r="C536" s="4" t="n"/>
      <c r="D536" s="4" t="n"/>
    </row>
    <row r="537">
      <c r="A537" s="4" t="n"/>
      <c r="B537" s="5" t="n"/>
      <c r="C537" s="4" t="n"/>
      <c r="D537" s="4" t="n"/>
    </row>
    <row r="538">
      <c r="A538" s="4" t="n"/>
      <c r="B538" s="5" t="n"/>
      <c r="C538" s="4" t="n"/>
      <c r="D538" s="4" t="n"/>
    </row>
    <row r="539">
      <c r="A539" s="4" t="n"/>
      <c r="B539" s="5" t="n"/>
      <c r="C539" s="4" t="n"/>
      <c r="D539" s="4" t="n"/>
    </row>
    <row r="540">
      <c r="A540" s="4" t="n"/>
      <c r="B540" s="5" t="n"/>
      <c r="C540" s="4" t="n"/>
      <c r="D540" s="4" t="n"/>
    </row>
    <row r="541">
      <c r="A541" s="4" t="n"/>
      <c r="B541" s="5" t="n"/>
      <c r="C541" s="4" t="n"/>
      <c r="D541" s="4" t="n"/>
    </row>
    <row r="542">
      <c r="A542" s="4" t="n"/>
      <c r="B542" s="5" t="n"/>
      <c r="C542" s="4" t="n"/>
      <c r="D542" s="4" t="n"/>
    </row>
    <row r="543">
      <c r="A543" s="4" t="n"/>
      <c r="B543" s="5" t="n"/>
      <c r="C543" s="4" t="n"/>
      <c r="D543" s="4" t="n"/>
    </row>
    <row r="544">
      <c r="A544" s="4" t="n"/>
      <c r="B544" s="5" t="n"/>
      <c r="C544" s="4" t="n"/>
      <c r="D544" s="4" t="n"/>
    </row>
    <row r="545">
      <c r="A545" s="4" t="n"/>
      <c r="B545" s="5" t="n"/>
      <c r="C545" s="4" t="n"/>
      <c r="D545" s="4" t="n"/>
    </row>
    <row r="546">
      <c r="A546" s="4" t="n"/>
      <c r="B546" s="5" t="n"/>
      <c r="C546" s="4" t="n"/>
      <c r="D546" s="4" t="n"/>
    </row>
    <row r="547">
      <c r="A547" s="4" t="n"/>
      <c r="B547" s="5" t="n"/>
      <c r="C547" s="4" t="n"/>
      <c r="D547" s="4" t="n"/>
    </row>
    <row r="548">
      <c r="A548" s="4" t="n"/>
      <c r="B548" s="5" t="n"/>
      <c r="C548" s="4" t="n"/>
      <c r="D548" s="4" t="n"/>
    </row>
    <row r="549">
      <c r="A549" s="4" t="n"/>
      <c r="B549" s="5" t="n"/>
      <c r="C549" s="4" t="n"/>
      <c r="D549" s="4" t="n"/>
    </row>
    <row r="550">
      <c r="A550" s="4" t="n"/>
      <c r="B550" s="5" t="n"/>
      <c r="C550" s="4" t="n"/>
      <c r="D550" s="4" t="n"/>
    </row>
    <row r="551">
      <c r="A551" s="4" t="n"/>
      <c r="B551" s="5" t="n"/>
      <c r="C551" s="4" t="n"/>
      <c r="D551" s="4" t="n"/>
    </row>
    <row r="552">
      <c r="A552" s="4" t="n"/>
      <c r="B552" s="5" t="n"/>
      <c r="C552" s="4" t="n"/>
      <c r="D552" s="4" t="n"/>
    </row>
    <row r="553">
      <c r="A553" s="4" t="n"/>
      <c r="B553" s="5" t="n"/>
      <c r="C553" s="4" t="n"/>
      <c r="D553" s="4" t="n"/>
    </row>
    <row r="554">
      <c r="A554" s="4" t="n"/>
      <c r="B554" s="5" t="n"/>
      <c r="C554" s="4" t="n"/>
      <c r="D554" s="4" t="n"/>
    </row>
    <row r="555">
      <c r="A555" s="4" t="n"/>
      <c r="B555" s="5" t="n"/>
      <c r="C555" s="4" t="n"/>
      <c r="D555" s="4" t="n"/>
    </row>
    <row r="556">
      <c r="A556" s="4" t="n"/>
      <c r="B556" s="5" t="n"/>
      <c r="C556" s="4" t="n"/>
      <c r="D556" s="4" t="n"/>
    </row>
    <row r="557">
      <c r="A557" s="4" t="n"/>
      <c r="B557" s="5" t="n"/>
      <c r="C557" s="4" t="n"/>
      <c r="D557" s="4" t="n"/>
    </row>
    <row r="558">
      <c r="A558" s="4" t="n"/>
      <c r="B558" s="5" t="n"/>
      <c r="C558" s="4" t="n"/>
      <c r="D558" s="4" t="n"/>
    </row>
    <row r="559">
      <c r="A559" s="4" t="n"/>
      <c r="B559" s="5" t="n"/>
      <c r="C559" s="4" t="n"/>
      <c r="D559" s="4" t="n"/>
    </row>
    <row r="560">
      <c r="A560" s="4" t="n"/>
      <c r="B560" s="5" t="n"/>
      <c r="C560" s="4" t="n"/>
      <c r="D560" s="4" t="n"/>
    </row>
    <row r="561">
      <c r="A561" s="4" t="n"/>
      <c r="B561" s="5" t="n"/>
      <c r="C561" s="4" t="n"/>
      <c r="D561" s="4" t="n"/>
    </row>
    <row r="562">
      <c r="A562" s="4" t="n"/>
      <c r="B562" s="5" t="n"/>
      <c r="C562" s="4" t="n"/>
      <c r="D562" s="4" t="n"/>
    </row>
    <row r="563">
      <c r="A563" s="4" t="n"/>
      <c r="B563" s="5" t="n"/>
      <c r="C563" s="4" t="n"/>
      <c r="D563" s="4" t="n"/>
    </row>
    <row r="564">
      <c r="A564" s="4" t="n"/>
      <c r="B564" s="5" t="n"/>
      <c r="C564" s="4" t="n"/>
      <c r="D564" s="4" t="n"/>
    </row>
    <row r="565">
      <c r="A565" s="4" t="n"/>
      <c r="B565" s="5" t="n"/>
      <c r="C565" s="4" t="n"/>
      <c r="D565" s="4" t="n"/>
    </row>
    <row r="566">
      <c r="A566" s="4" t="n"/>
      <c r="B566" s="5" t="n"/>
      <c r="C566" s="4" t="n"/>
      <c r="D566" s="4" t="n"/>
    </row>
    <row r="567">
      <c r="A567" s="4" t="n"/>
      <c r="B567" s="5" t="n"/>
      <c r="C567" s="4" t="n"/>
      <c r="D567" s="4" t="n"/>
    </row>
    <row r="568">
      <c r="A568" s="4" t="n"/>
      <c r="B568" s="5" t="n"/>
      <c r="C568" s="4" t="n"/>
      <c r="D568" s="4" t="n"/>
    </row>
    <row r="569">
      <c r="A569" s="4" t="n"/>
      <c r="B569" s="5" t="n"/>
      <c r="C569" s="4" t="n"/>
      <c r="D569" s="4" t="n"/>
    </row>
    <row r="570">
      <c r="A570" s="4" t="n"/>
      <c r="B570" s="5" t="n"/>
      <c r="C570" s="4" t="n"/>
      <c r="D570" s="4" t="n"/>
    </row>
    <row r="571">
      <c r="A571" s="4" t="n"/>
      <c r="B571" s="5" t="n"/>
      <c r="C571" s="4" t="n"/>
      <c r="D571" s="4" t="n"/>
    </row>
    <row r="572">
      <c r="A572" s="4" t="n"/>
      <c r="B572" s="5" t="n"/>
      <c r="C572" s="4" t="n"/>
      <c r="D572" s="4" t="n"/>
    </row>
    <row r="573">
      <c r="A573" s="4" t="n"/>
      <c r="B573" s="5" t="n"/>
      <c r="C573" s="4" t="n"/>
      <c r="D573" s="4" t="n"/>
    </row>
    <row r="574">
      <c r="A574" s="4" t="n"/>
      <c r="B574" s="5" t="n"/>
      <c r="C574" s="4" t="n"/>
      <c r="D574" s="4" t="n"/>
    </row>
    <row r="575">
      <c r="A575" s="4" t="n"/>
      <c r="B575" s="5" t="n"/>
      <c r="C575" s="4" t="n"/>
      <c r="D575" s="4" t="n"/>
    </row>
    <row r="576">
      <c r="A576" s="4" t="n"/>
      <c r="B576" s="5" t="n"/>
      <c r="C576" s="4" t="n"/>
      <c r="D576" s="4" t="n"/>
    </row>
    <row r="577">
      <c r="A577" s="4" t="n"/>
      <c r="B577" s="5" t="n"/>
      <c r="C577" s="4" t="n"/>
      <c r="D577" s="4" t="n"/>
    </row>
    <row r="578">
      <c r="A578" s="4" t="n"/>
      <c r="B578" s="5" t="n"/>
      <c r="C578" s="4" t="n"/>
      <c r="D578" s="4" t="n"/>
    </row>
    <row r="579">
      <c r="A579" s="4" t="n"/>
      <c r="B579" s="5" t="n"/>
      <c r="C579" s="4" t="n"/>
      <c r="D579" s="4" t="n"/>
    </row>
    <row r="580">
      <c r="A580" s="4" t="n"/>
      <c r="B580" s="5" t="n"/>
      <c r="C580" s="4" t="n"/>
      <c r="D580" s="4" t="n"/>
    </row>
    <row r="581">
      <c r="A581" s="4" t="n"/>
      <c r="B581" s="5" t="n"/>
      <c r="C581" s="4" t="n"/>
      <c r="D581" s="4" t="n"/>
    </row>
    <row r="582">
      <c r="A582" s="4" t="n"/>
      <c r="B582" s="5" t="n"/>
      <c r="C582" s="4" t="n"/>
      <c r="D582" s="4" t="n"/>
    </row>
    <row r="583">
      <c r="A583" s="4" t="n"/>
      <c r="B583" s="5" t="n"/>
      <c r="C583" s="4" t="n"/>
      <c r="D583" s="4" t="n"/>
    </row>
    <row r="584">
      <c r="A584" s="4" t="n"/>
      <c r="B584" s="5" t="n"/>
      <c r="C584" s="4" t="n"/>
      <c r="D584" s="4" t="n"/>
    </row>
    <row r="585">
      <c r="A585" s="4" t="n"/>
      <c r="B585" s="5" t="n"/>
      <c r="C585" s="4" t="n"/>
      <c r="D585" s="4" t="n"/>
    </row>
    <row r="586">
      <c r="A586" s="4" t="n"/>
      <c r="B586" s="5" t="n"/>
      <c r="C586" s="4" t="n"/>
      <c r="D586" s="4" t="n"/>
    </row>
    <row r="587">
      <c r="A587" s="4" t="n"/>
      <c r="B587" s="5" t="n"/>
      <c r="C587" s="4" t="n"/>
      <c r="D587" s="4" t="n"/>
    </row>
    <row r="588">
      <c r="A588" s="4" t="n"/>
      <c r="B588" s="5" t="n"/>
      <c r="C588" s="4" t="n"/>
      <c r="D588" s="4" t="n"/>
    </row>
    <row r="589">
      <c r="A589" s="4" t="n"/>
      <c r="B589" s="5" t="n"/>
      <c r="C589" s="4" t="n"/>
      <c r="D589" s="4" t="n"/>
    </row>
    <row r="590">
      <c r="A590" s="4" t="n"/>
      <c r="B590" s="5" t="n"/>
      <c r="C590" s="4" t="n"/>
      <c r="D590" s="4" t="n"/>
    </row>
    <row r="591">
      <c r="A591" s="4" t="n"/>
      <c r="B591" s="5" t="n"/>
      <c r="C591" s="4" t="n"/>
      <c r="D591" s="4" t="n"/>
    </row>
    <row r="592">
      <c r="A592" s="4" t="n"/>
      <c r="B592" s="5" t="n"/>
      <c r="C592" s="4" t="n"/>
      <c r="D592" s="4" t="n"/>
    </row>
    <row r="593">
      <c r="A593" s="4" t="n"/>
      <c r="B593" s="5" t="n"/>
      <c r="C593" s="4" t="n"/>
      <c r="D593" s="4" t="n"/>
    </row>
    <row r="594">
      <c r="A594" s="4" t="n"/>
      <c r="B594" s="5" t="n"/>
      <c r="C594" s="4" t="n"/>
      <c r="D594" s="4" t="n"/>
    </row>
    <row r="595">
      <c r="A595" s="4" t="n"/>
      <c r="B595" s="5" t="n"/>
      <c r="C595" s="4" t="n"/>
      <c r="D595" s="4" t="n"/>
    </row>
    <row r="596">
      <c r="A596" s="4" t="n"/>
      <c r="B596" s="5" t="n"/>
      <c r="C596" s="4" t="n"/>
      <c r="D596" s="4" t="n"/>
    </row>
    <row r="597">
      <c r="A597" s="4" t="n"/>
      <c r="B597" s="5" t="n"/>
      <c r="C597" s="4" t="n"/>
      <c r="D597" s="4" t="n"/>
    </row>
    <row r="598">
      <c r="A598" s="4" t="n"/>
      <c r="B598" s="5" t="n"/>
      <c r="C598" s="4" t="n"/>
      <c r="D598" s="4" t="n"/>
    </row>
    <row r="599">
      <c r="A599" s="4" t="n"/>
      <c r="B599" s="5" t="n"/>
      <c r="C599" s="4" t="n"/>
      <c r="D599" s="4" t="n"/>
    </row>
    <row r="600">
      <c r="A600" s="4" t="n"/>
      <c r="B600" s="5" t="n"/>
      <c r="C600" s="4" t="n"/>
      <c r="D600" s="4" t="n"/>
    </row>
    <row r="601">
      <c r="A601" s="4" t="n"/>
      <c r="B601" s="5" t="n"/>
      <c r="C601" s="4" t="n"/>
      <c r="D601" s="4" t="n"/>
    </row>
    <row r="602">
      <c r="A602" s="4" t="n"/>
      <c r="B602" s="5" t="n"/>
      <c r="C602" s="4" t="n"/>
      <c r="D602" s="4" t="n"/>
    </row>
    <row r="603">
      <c r="A603" s="4" t="n"/>
      <c r="B603" s="5" t="n"/>
      <c r="C603" s="4" t="n"/>
      <c r="D603" s="4" t="n"/>
    </row>
    <row r="604">
      <c r="A604" s="4" t="n"/>
      <c r="B604" s="5" t="n"/>
      <c r="C604" s="4" t="n"/>
      <c r="D604" s="4" t="n"/>
    </row>
    <row r="605">
      <c r="A605" s="4" t="n"/>
      <c r="B605" s="5" t="n"/>
      <c r="C605" s="4" t="n"/>
      <c r="D605" s="4" t="n"/>
    </row>
    <row r="606">
      <c r="A606" s="4" t="n"/>
      <c r="B606" s="5" t="n"/>
      <c r="C606" s="4" t="n"/>
      <c r="D606" s="4" t="n"/>
    </row>
    <row r="607">
      <c r="A607" s="4" t="n"/>
      <c r="B607" s="5" t="n"/>
      <c r="C607" s="4" t="n"/>
      <c r="D607" s="4" t="n"/>
    </row>
    <row r="608">
      <c r="A608" s="4" t="n"/>
      <c r="B608" s="5" t="n"/>
      <c r="C608" s="4" t="n"/>
      <c r="D608" s="4" t="n"/>
    </row>
    <row r="609">
      <c r="A609" s="4" t="n"/>
      <c r="B609" s="5" t="n"/>
      <c r="C609" s="4" t="n"/>
      <c r="D609" s="4" t="n"/>
    </row>
    <row r="610">
      <c r="A610" s="4" t="n"/>
      <c r="B610" s="5" t="n"/>
      <c r="C610" s="4" t="n"/>
      <c r="D610" s="4" t="n"/>
    </row>
    <row r="611">
      <c r="A611" s="4" t="n"/>
      <c r="B611" s="5" t="n"/>
      <c r="C611" s="4" t="n"/>
      <c r="D611" s="4" t="n"/>
    </row>
    <row r="612">
      <c r="A612" s="4" t="n"/>
      <c r="B612" s="5" t="n"/>
      <c r="C612" s="4" t="n"/>
      <c r="D612" s="4" t="n"/>
    </row>
    <row r="613">
      <c r="A613" s="4" t="n"/>
      <c r="B613" s="5" t="n"/>
      <c r="C613" s="4" t="n"/>
      <c r="D613" s="4" t="n"/>
    </row>
    <row r="614">
      <c r="A614" s="4" t="n"/>
      <c r="B614" s="5" t="n"/>
      <c r="C614" s="4" t="n"/>
      <c r="D614" s="4" t="n"/>
    </row>
    <row r="615">
      <c r="A615" s="4" t="n"/>
      <c r="B615" s="5" t="n"/>
      <c r="C615" s="4" t="n"/>
      <c r="D615" s="4" t="n"/>
    </row>
    <row r="616">
      <c r="A616" s="4" t="n"/>
      <c r="B616" s="5" t="n"/>
      <c r="C616" s="4" t="n"/>
      <c r="D616" s="4" t="n"/>
    </row>
    <row r="617">
      <c r="A617" s="4" t="n"/>
      <c r="B617" s="5" t="n"/>
      <c r="C617" s="4" t="n"/>
      <c r="D617" s="4" t="n"/>
    </row>
    <row r="618">
      <c r="A618" s="4" t="n"/>
      <c r="B618" s="5" t="n"/>
      <c r="C618" s="4" t="n"/>
      <c r="D618" s="4" t="n"/>
    </row>
    <row r="619">
      <c r="A619" s="4" t="n"/>
      <c r="B619" s="5" t="n"/>
      <c r="C619" s="4" t="n"/>
      <c r="D619" s="4" t="n"/>
    </row>
    <row r="620">
      <c r="A620" s="4" t="n"/>
      <c r="B620" s="5" t="n"/>
      <c r="C620" s="4" t="n"/>
      <c r="D620" s="4" t="n"/>
    </row>
    <row r="621">
      <c r="A621" s="4" t="n"/>
      <c r="B621" s="5" t="n"/>
      <c r="C621" s="4" t="n"/>
      <c r="D621" s="4" t="n"/>
    </row>
    <row r="622">
      <c r="A622" s="4" t="n"/>
      <c r="B622" s="5" t="n"/>
      <c r="C622" s="4" t="n"/>
      <c r="D622" s="4" t="n"/>
    </row>
    <row r="623">
      <c r="A623" s="4" t="n"/>
      <c r="B623" s="5" t="n"/>
      <c r="C623" s="4" t="n"/>
      <c r="D623" s="4" t="n"/>
    </row>
    <row r="624">
      <c r="A624" s="4" t="n"/>
      <c r="B624" s="5" t="n"/>
      <c r="C624" s="4" t="n"/>
      <c r="D624" s="4" t="n"/>
    </row>
    <row r="625">
      <c r="A625" s="4" t="n"/>
      <c r="B625" s="5" t="n"/>
      <c r="C625" s="4" t="n"/>
      <c r="D625" s="4" t="n"/>
    </row>
    <row r="626">
      <c r="A626" s="4" t="n"/>
      <c r="B626" s="5" t="n"/>
      <c r="C626" s="4" t="n"/>
      <c r="D626" s="4" t="n"/>
    </row>
    <row r="627">
      <c r="A627" s="4" t="n"/>
      <c r="B627" s="5" t="n"/>
      <c r="C627" s="4" t="n"/>
      <c r="D627" s="4" t="n"/>
    </row>
    <row r="628">
      <c r="A628" s="4" t="n"/>
      <c r="B628" s="5" t="n"/>
      <c r="C628" s="4" t="n"/>
      <c r="D628" s="4" t="n"/>
    </row>
    <row r="629">
      <c r="A629" s="4" t="n"/>
      <c r="B629" s="5" t="n"/>
      <c r="C629" s="4" t="n"/>
      <c r="D629" s="4" t="n"/>
    </row>
    <row r="630">
      <c r="A630" s="4" t="n"/>
      <c r="B630" s="5" t="n"/>
      <c r="C630" s="4" t="n"/>
      <c r="D630" s="4" t="n"/>
    </row>
    <row r="631">
      <c r="A631" s="4" t="n"/>
      <c r="B631" s="5" t="n"/>
      <c r="C631" s="4" t="n"/>
      <c r="D631" s="4" t="n"/>
    </row>
    <row r="632">
      <c r="A632" s="4" t="n"/>
      <c r="B632" s="5" t="n"/>
      <c r="C632" s="4" t="n"/>
      <c r="D632" s="4" t="n"/>
    </row>
    <row r="633">
      <c r="A633" s="4" t="n"/>
      <c r="B633" s="5" t="n"/>
      <c r="C633" s="4" t="n"/>
      <c r="D633" s="4" t="n"/>
    </row>
    <row r="634">
      <c r="A634" s="4" t="n"/>
      <c r="B634" s="5" t="n"/>
      <c r="C634" s="4" t="n"/>
      <c r="D634" s="4" t="n"/>
    </row>
    <row r="635">
      <c r="A635" s="4" t="n"/>
      <c r="B635" s="5" t="n"/>
      <c r="C635" s="4" t="n"/>
      <c r="D635" s="4" t="n"/>
    </row>
    <row r="636">
      <c r="A636" s="4" t="n"/>
      <c r="B636" s="5" t="n"/>
      <c r="C636" s="4" t="n"/>
      <c r="D636" s="4" t="n"/>
    </row>
    <row r="637">
      <c r="A637" s="4" t="n"/>
      <c r="B637" s="5" t="n"/>
      <c r="C637" s="4" t="n"/>
      <c r="D637" s="4" t="n"/>
    </row>
    <row r="638">
      <c r="A638" s="4" t="n"/>
      <c r="B638" s="5" t="n"/>
      <c r="C638" s="4" t="n"/>
      <c r="D638" s="4" t="n"/>
    </row>
    <row r="639">
      <c r="A639" s="4" t="n"/>
      <c r="B639" s="5" t="n"/>
      <c r="C639" s="4" t="n"/>
      <c r="D639" s="4" t="n"/>
    </row>
    <row r="640">
      <c r="A640" s="4" t="n"/>
      <c r="B640" s="5" t="n"/>
      <c r="C640" s="4" t="n"/>
      <c r="D640" s="4" t="n"/>
    </row>
    <row r="641">
      <c r="A641" s="4" t="n"/>
      <c r="B641" s="5" t="n"/>
      <c r="C641" s="4" t="n"/>
      <c r="D641" s="4" t="n"/>
    </row>
    <row r="642">
      <c r="A642" s="4" t="n"/>
      <c r="B642" s="5" t="n"/>
      <c r="C642" s="4" t="n"/>
      <c r="D642" s="4" t="n"/>
    </row>
    <row r="643">
      <c r="A643" s="4" t="n"/>
      <c r="B643" s="5" t="n"/>
      <c r="C643" s="4" t="n"/>
      <c r="D643" s="4" t="n"/>
    </row>
    <row r="644">
      <c r="A644" s="4" t="n"/>
      <c r="B644" s="5" t="n"/>
      <c r="C644" s="4" t="n"/>
      <c r="D644" s="4" t="n"/>
    </row>
    <row r="645">
      <c r="A645" s="4" t="n"/>
      <c r="B645" s="5" t="n"/>
      <c r="C645" s="4" t="n"/>
      <c r="D645" s="4" t="n"/>
    </row>
    <row r="646">
      <c r="A646" s="4" t="n"/>
      <c r="B646" s="5" t="n"/>
      <c r="C646" s="4" t="n"/>
      <c r="D646" s="4" t="n"/>
    </row>
    <row r="647">
      <c r="A647" s="4" t="n"/>
      <c r="B647" s="5" t="n"/>
      <c r="C647" s="4" t="n"/>
      <c r="D647" s="4" t="n"/>
    </row>
    <row r="648">
      <c r="A648" s="4" t="n"/>
      <c r="B648" s="5" t="n"/>
      <c r="C648" s="4" t="n"/>
      <c r="D648" s="4" t="n"/>
    </row>
    <row r="649">
      <c r="A649" s="4" t="n"/>
      <c r="B649" s="5" t="n"/>
      <c r="C649" s="4" t="n"/>
      <c r="D649" s="4" t="n"/>
    </row>
    <row r="650">
      <c r="A650" s="4" t="n"/>
      <c r="B650" s="5" t="n"/>
      <c r="C650" s="4" t="n"/>
      <c r="D650" s="4" t="n"/>
    </row>
    <row r="651">
      <c r="A651" s="4" t="n"/>
      <c r="B651" s="5" t="n"/>
      <c r="C651" s="4" t="n"/>
      <c r="D651" s="4" t="n"/>
    </row>
    <row r="652">
      <c r="A652" s="4" t="n"/>
      <c r="B652" s="5" t="n"/>
      <c r="C652" s="4" t="n"/>
      <c r="D652" s="4" t="n"/>
    </row>
    <row r="653">
      <c r="A653" s="4" t="n"/>
      <c r="B653" s="5" t="n"/>
      <c r="C653" s="4" t="n"/>
      <c r="D653" s="4" t="n"/>
    </row>
    <row r="654">
      <c r="A654" s="4" t="n"/>
      <c r="B654" s="5" t="n"/>
      <c r="C654" s="4" t="n"/>
      <c r="D654" s="4" t="n"/>
    </row>
    <row r="655">
      <c r="A655" s="4" t="n"/>
      <c r="B655" s="5" t="n"/>
      <c r="C655" s="4" t="n"/>
      <c r="D655" s="4" t="n"/>
    </row>
    <row r="656">
      <c r="A656" s="4" t="n"/>
      <c r="B656" s="5" t="n"/>
      <c r="C656" s="4" t="n"/>
      <c r="D656" s="4" t="n"/>
    </row>
    <row r="657">
      <c r="A657" s="4" t="n"/>
      <c r="B657" s="5" t="n"/>
      <c r="C657" s="4" t="n"/>
      <c r="D657" s="4" t="n"/>
    </row>
    <row r="658">
      <c r="A658" s="4" t="n"/>
      <c r="B658" s="5" t="n"/>
      <c r="C658" s="4" t="n"/>
      <c r="D658" s="4" t="n"/>
    </row>
    <row r="659">
      <c r="A659" s="4" t="n"/>
      <c r="B659" s="5" t="n"/>
      <c r="C659" s="4" t="n"/>
      <c r="D659" s="4" t="n"/>
    </row>
    <row r="660">
      <c r="A660" s="4" t="n"/>
      <c r="B660" s="5" t="n"/>
      <c r="C660" s="4" t="n"/>
      <c r="D660" s="4" t="n"/>
    </row>
    <row r="661">
      <c r="A661" s="4" t="n"/>
      <c r="B661" s="5" t="n"/>
      <c r="C661" s="4" t="n"/>
      <c r="D661" s="4" t="n"/>
    </row>
    <row r="662">
      <c r="A662" s="4" t="n"/>
      <c r="B662" s="5" t="n"/>
      <c r="C662" s="4" t="n"/>
      <c r="D662" s="4" t="n"/>
    </row>
    <row r="663">
      <c r="A663" s="4" t="n"/>
      <c r="B663" s="5" t="n"/>
      <c r="C663" s="4" t="n"/>
      <c r="D663" s="4" t="n"/>
    </row>
    <row r="664">
      <c r="A664" s="4" t="n"/>
      <c r="B664" s="5" t="n"/>
      <c r="C664" s="4" t="n"/>
      <c r="D664" s="4" t="n"/>
    </row>
    <row r="665">
      <c r="A665" s="4" t="n"/>
      <c r="B665" s="5" t="n"/>
      <c r="C665" s="4" t="n"/>
      <c r="D665" s="4" t="n"/>
    </row>
    <row r="666">
      <c r="A666" s="4" t="n"/>
      <c r="B666" s="5" t="n"/>
      <c r="C666" s="4" t="n"/>
      <c r="D666" s="4" t="n"/>
    </row>
    <row r="667">
      <c r="A667" s="4" t="n"/>
      <c r="B667" s="5" t="n"/>
      <c r="C667" s="4" t="n"/>
      <c r="D667" s="4" t="n"/>
    </row>
    <row r="668">
      <c r="A668" s="4" t="n"/>
      <c r="B668" s="5" t="n"/>
      <c r="C668" s="4" t="n"/>
      <c r="D668" s="4" t="n"/>
    </row>
    <row r="669">
      <c r="A669" s="4" t="n"/>
      <c r="B669" s="5" t="n"/>
      <c r="C669" s="4" t="n"/>
      <c r="D669" s="4" t="n"/>
    </row>
    <row r="670">
      <c r="A670" s="4" t="n"/>
      <c r="B670" s="5" t="n"/>
      <c r="C670" s="4" t="n"/>
      <c r="D670" s="4" t="n"/>
    </row>
    <row r="671">
      <c r="A671" s="4" t="n"/>
      <c r="B671" s="5" t="n"/>
      <c r="C671" s="4" t="n"/>
      <c r="D671" s="4" t="n"/>
    </row>
    <row r="672">
      <c r="A672" s="4" t="n"/>
      <c r="B672" s="5" t="n"/>
      <c r="C672" s="4" t="n"/>
      <c r="D672" s="4" t="n"/>
    </row>
    <row r="673">
      <c r="A673" s="4" t="n"/>
      <c r="B673" s="5" t="n"/>
      <c r="C673" s="4" t="n"/>
      <c r="D673" s="4" t="n"/>
    </row>
    <row r="674">
      <c r="A674" s="4" t="n"/>
      <c r="B674" s="5" t="n"/>
      <c r="C674" s="4" t="n"/>
      <c r="D674" s="4" t="n"/>
    </row>
    <row r="675">
      <c r="A675" s="4" t="n"/>
      <c r="B675" s="5" t="n"/>
      <c r="C675" s="4" t="n"/>
      <c r="D675" s="4" t="n"/>
    </row>
    <row r="676">
      <c r="A676" s="4" t="n"/>
      <c r="B676" s="5" t="n"/>
      <c r="C676" s="4" t="n"/>
      <c r="D676" s="4" t="n"/>
    </row>
    <row r="677">
      <c r="A677" s="4" t="n"/>
      <c r="B677" s="5" t="n"/>
      <c r="C677" s="4" t="n"/>
      <c r="D677" s="4" t="n"/>
    </row>
    <row r="678">
      <c r="A678" s="4" t="n"/>
      <c r="B678" s="5" t="n"/>
      <c r="C678" s="4" t="n"/>
      <c r="D678" s="4" t="n"/>
    </row>
    <row r="679">
      <c r="A679" s="4" t="n"/>
      <c r="B679" s="5" t="n"/>
      <c r="C679" s="4" t="n"/>
      <c r="D679" s="4" t="n"/>
    </row>
    <row r="680">
      <c r="A680" s="4" t="n"/>
      <c r="B680" s="5" t="n"/>
      <c r="C680" s="4" t="n"/>
      <c r="D680" s="4" t="n"/>
    </row>
    <row r="681">
      <c r="A681" s="4" t="n"/>
      <c r="B681" s="5" t="n"/>
      <c r="C681" s="4" t="n"/>
      <c r="D681" s="4" t="n"/>
    </row>
    <row r="682">
      <c r="A682" s="4" t="n"/>
      <c r="B682" s="5" t="n"/>
      <c r="C682" s="4" t="n"/>
      <c r="D682" s="4" t="n"/>
    </row>
    <row r="683">
      <c r="A683" s="4" t="n"/>
      <c r="B683" s="5" t="n"/>
      <c r="C683" s="4" t="n"/>
      <c r="D683" s="4" t="n"/>
    </row>
    <row r="684">
      <c r="A684" s="4" t="n"/>
      <c r="B684" s="5" t="n"/>
      <c r="C684" s="4" t="n"/>
      <c r="D684" s="4" t="n"/>
    </row>
    <row r="685">
      <c r="A685" s="4" t="n"/>
      <c r="B685" s="5" t="n"/>
      <c r="C685" s="4" t="n"/>
      <c r="D685" s="4" t="n"/>
    </row>
    <row r="686">
      <c r="A686" s="4" t="n"/>
      <c r="B686" s="5" t="n"/>
      <c r="C686" s="4" t="n"/>
      <c r="D686" s="4" t="n"/>
    </row>
    <row r="687">
      <c r="A687" s="4" t="n"/>
      <c r="B687" s="5" t="n"/>
      <c r="C687" s="4" t="n"/>
      <c r="D687" s="4" t="n"/>
    </row>
    <row r="688">
      <c r="A688" s="4" t="n"/>
      <c r="B688" s="5" t="n"/>
      <c r="C688" s="4" t="n"/>
      <c r="D688" s="4" t="n"/>
    </row>
    <row r="689">
      <c r="A689" s="4" t="n"/>
      <c r="B689" s="5" t="n"/>
      <c r="C689" s="4" t="n"/>
      <c r="D689" s="4" t="n"/>
    </row>
    <row r="690">
      <c r="A690" s="4" t="n"/>
      <c r="B690" s="5" t="n"/>
      <c r="C690" s="4" t="n"/>
      <c r="D690" s="4" t="n"/>
    </row>
    <row r="691">
      <c r="A691" s="4" t="n"/>
      <c r="B691" s="5" t="n"/>
      <c r="C691" s="4" t="n"/>
      <c r="D691" s="4" t="n"/>
    </row>
    <row r="692">
      <c r="A692" s="4" t="n"/>
      <c r="B692" s="5" t="n"/>
      <c r="C692" s="4" t="n"/>
      <c r="D692" s="4" t="n"/>
    </row>
    <row r="693">
      <c r="A693" s="4" t="n"/>
      <c r="B693" s="5" t="n"/>
      <c r="C693" s="4" t="n"/>
      <c r="D693" s="4" t="n"/>
    </row>
    <row r="694">
      <c r="A694" s="4" t="n"/>
      <c r="B694" s="5" t="n"/>
      <c r="C694" s="4" t="n"/>
      <c r="D694" s="4" t="n"/>
    </row>
    <row r="695">
      <c r="A695" s="4" t="n"/>
      <c r="B695" s="5" t="n"/>
      <c r="C695" s="4" t="n"/>
      <c r="D695" s="4" t="n"/>
    </row>
    <row r="696">
      <c r="A696" s="4" t="n"/>
      <c r="B696" s="5" t="n"/>
      <c r="C696" s="4" t="n"/>
      <c r="D696" s="4" t="n"/>
    </row>
    <row r="697">
      <c r="A697" s="4" t="n"/>
      <c r="B697" s="5" t="n"/>
      <c r="C697" s="4" t="n"/>
      <c r="D697" s="4" t="n"/>
    </row>
    <row r="698">
      <c r="A698" s="4" t="n"/>
      <c r="B698" s="5" t="n"/>
      <c r="C698" s="4" t="n"/>
      <c r="D698" s="4" t="n"/>
    </row>
    <row r="699">
      <c r="A699" s="4" t="n"/>
      <c r="B699" s="5" t="n"/>
      <c r="C699" s="4" t="n"/>
      <c r="D699" s="4" t="n"/>
    </row>
    <row r="700">
      <c r="A700" s="4" t="n"/>
      <c r="B700" s="5" t="n"/>
      <c r="C700" s="4" t="n"/>
      <c r="D700" s="4" t="n"/>
    </row>
    <row r="701">
      <c r="A701" s="4" t="n"/>
      <c r="B701" s="5" t="n"/>
      <c r="C701" s="4" t="n"/>
      <c r="D701" s="4" t="n"/>
    </row>
    <row r="702">
      <c r="A702" s="4" t="n"/>
      <c r="B702" s="5" t="n"/>
      <c r="C702" s="4" t="n"/>
      <c r="D702" s="4" t="n"/>
    </row>
    <row r="703">
      <c r="A703" s="4" t="n"/>
      <c r="B703" s="5" t="n"/>
      <c r="C703" s="4" t="n"/>
      <c r="D703" s="4" t="n"/>
    </row>
    <row r="704">
      <c r="A704" s="4" t="n"/>
      <c r="B704" s="5" t="n"/>
      <c r="C704" s="4" t="n"/>
      <c r="D704" s="4" t="n"/>
    </row>
    <row r="705">
      <c r="A705" s="4" t="n"/>
      <c r="B705" s="5" t="n"/>
      <c r="C705" s="4" t="n"/>
      <c r="D705" s="4" t="n"/>
    </row>
    <row r="706">
      <c r="A706" s="4" t="n"/>
      <c r="B706" s="5" t="n"/>
      <c r="C706" s="4" t="n"/>
      <c r="D706" s="4" t="n"/>
    </row>
    <row r="707">
      <c r="A707" s="4" t="n"/>
      <c r="B707" s="5" t="n"/>
      <c r="C707" s="4" t="n"/>
      <c r="D707" s="4" t="n"/>
    </row>
    <row r="708">
      <c r="A708" s="4" t="n"/>
      <c r="B708" s="5" t="n"/>
      <c r="C708" s="4" t="n"/>
      <c r="D708" s="4" t="n"/>
    </row>
    <row r="709">
      <c r="A709" s="4" t="n"/>
      <c r="B709" s="5" t="n"/>
      <c r="C709" s="4" t="n"/>
      <c r="D709" s="4" t="n"/>
    </row>
    <row r="710">
      <c r="A710" s="4" t="n"/>
      <c r="B710" s="5" t="n"/>
      <c r="C710" s="4" t="n"/>
      <c r="D710" s="4" t="n"/>
    </row>
    <row r="711">
      <c r="A711" s="4" t="n"/>
      <c r="B711" s="5" t="n"/>
      <c r="C711" s="4" t="n"/>
      <c r="D711" s="4" t="n"/>
    </row>
    <row r="712">
      <c r="A712" s="4" t="n"/>
      <c r="B712" s="5" t="n"/>
      <c r="C712" s="4" t="n"/>
      <c r="D712" s="4" t="n"/>
    </row>
    <row r="713">
      <c r="A713" s="4" t="n"/>
      <c r="B713" s="5" t="n"/>
      <c r="C713" s="4" t="n"/>
      <c r="D713" s="4" t="n"/>
    </row>
    <row r="714">
      <c r="A714" s="4" t="n"/>
      <c r="B714" s="5" t="n"/>
      <c r="C714" s="4" t="n"/>
      <c r="D714" s="4" t="n"/>
    </row>
    <row r="715">
      <c r="A715" s="4" t="n"/>
      <c r="B715" s="5" t="n"/>
      <c r="C715" s="4" t="n"/>
      <c r="D715" s="4" t="n"/>
    </row>
    <row r="716">
      <c r="A716" s="4" t="n"/>
      <c r="B716" s="5" t="n"/>
      <c r="C716" s="4" t="n"/>
      <c r="D716" s="4" t="n"/>
    </row>
    <row r="717">
      <c r="A717" s="4" t="n"/>
      <c r="B717" s="5" t="n"/>
      <c r="C717" s="4" t="n"/>
      <c r="D717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I13" sqref="I13"/>
    </sheetView>
  </sheetViews>
  <sheetFormatPr baseColWidth="10" defaultColWidth="11.5" defaultRowHeight="15"/>
  <cols>
    <col width="16" customWidth="1" min="2" max="2"/>
  </cols>
  <sheetData>
    <row r="1">
      <c r="A1" t="inlineStr">
        <is>
          <t>id</t>
        </is>
      </c>
      <c r="B1" t="inlineStr">
        <is>
          <t>tutor_name</t>
        </is>
      </c>
      <c r="C1" t="inlineStr">
        <is>
          <t>tier</t>
        </is>
      </c>
      <c r="D1" t="inlineStr">
        <is>
          <t>fl</t>
        </is>
      </c>
      <c r="E1" t="inlineStr">
        <is>
          <t>hire_date</t>
        </is>
      </c>
      <c r="F1" t="inlineStr">
        <is>
          <t>delivery_target</t>
        </is>
      </c>
      <c r="G1" t="inlineStr">
        <is>
          <t>sessions_on_time</t>
        </is>
      </c>
      <c r="H1" t="inlineStr">
        <is>
          <t>prep_time</t>
        </is>
      </c>
      <c r="I1" t="inlineStr">
        <is>
          <t>weighted_repurchase</t>
        </is>
      </c>
      <c r="J1" t="inlineStr">
        <is>
          <t>number_of_nps</t>
        </is>
      </c>
      <c r="K1" t="inlineStr">
        <is>
          <t>average_nps</t>
        </is>
      </c>
      <c r="L1" t="inlineStr">
        <is>
          <t>current_sci</t>
        </is>
      </c>
      <c r="M1" t="inlineStr">
        <is>
          <t>availability_percent</t>
        </is>
      </c>
    </row>
    <row r="2">
      <c r="E2" s="6" t="n"/>
    </row>
    <row r="3">
      <c r="E3" s="6" t="n"/>
    </row>
    <row r="4">
      <c r="E4" s="6" t="n"/>
    </row>
    <row r="5">
      <c r="E5" s="6" t="n"/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14"/>
  <sheetViews>
    <sheetView workbookViewId="0">
      <selection activeCell="G24" sqref="G24"/>
    </sheetView>
  </sheetViews>
  <sheetFormatPr baseColWidth="10" defaultColWidth="11.5" defaultRowHeight="15"/>
  <cols>
    <col width="27.83203125" customWidth="1" min="2" max="2"/>
  </cols>
  <sheetData>
    <row r="1">
      <c r="A1" t="inlineStr">
        <is>
          <t>emp_id</t>
        </is>
      </c>
      <c r="B1" t="inlineStr">
        <is>
          <t>tutor_name</t>
        </is>
      </c>
      <c r="C1" t="inlineStr">
        <is>
          <t>category</t>
        </is>
      </c>
      <c r="D1" t="inlineStr">
        <is>
          <t>subject</t>
        </is>
      </c>
      <c r="E1" t="inlineStr">
        <is>
          <t>created</t>
        </is>
      </c>
      <c r="F1" t="inlineStr">
        <is>
          <t>subject_sci</t>
        </is>
      </c>
    </row>
    <row r="2">
      <c r="E2" s="7" t="n"/>
    </row>
    <row r="3">
      <c r="E3" s="7" t="n"/>
    </row>
    <row r="4">
      <c r="E4" s="7" t="n"/>
    </row>
    <row r="5">
      <c r="E5" s="7" t="n"/>
    </row>
    <row r="6">
      <c r="E6" s="7" t="n"/>
    </row>
    <row r="7">
      <c r="E7" s="7" t="n"/>
    </row>
    <row r="8">
      <c r="E8" s="7" t="n"/>
    </row>
    <row r="9">
      <c r="E9" s="7" t="n"/>
    </row>
    <row r="10">
      <c r="E10" s="7" t="n"/>
    </row>
    <row r="11">
      <c r="E11" s="7" t="n"/>
    </row>
    <row r="12">
      <c r="E12" s="7" t="n"/>
    </row>
    <row r="13">
      <c r="E13" s="7" t="n"/>
    </row>
    <row r="14">
      <c r="E14" s="7" t="n"/>
    </row>
    <row r="15">
      <c r="E15" s="7" t="n"/>
    </row>
    <row r="16">
      <c r="E16" s="7" t="n"/>
    </row>
    <row r="17">
      <c r="E17" s="7" t="n"/>
    </row>
    <row r="18">
      <c r="E18" s="7" t="n"/>
    </row>
    <row r="19">
      <c r="E19" s="7" t="n"/>
    </row>
    <row r="20">
      <c r="E20" s="7" t="n"/>
    </row>
    <row r="21">
      <c r="E21" s="7" t="n"/>
    </row>
    <row r="22">
      <c r="E22" s="7" t="n"/>
    </row>
    <row r="23">
      <c r="E23" s="7" t="n"/>
    </row>
    <row r="24">
      <c r="E24" s="7" t="n"/>
    </row>
    <row r="25">
      <c r="E25" s="7" t="n"/>
    </row>
    <row r="26">
      <c r="E26" s="7" t="n"/>
    </row>
    <row r="27">
      <c r="E27" s="7" t="n"/>
    </row>
    <row r="28">
      <c r="E28" s="7" t="n"/>
    </row>
    <row r="29">
      <c r="E29" s="7" t="n"/>
    </row>
    <row r="30">
      <c r="E30" s="7" t="n"/>
    </row>
    <row r="31">
      <c r="E31" s="7" t="n"/>
    </row>
    <row r="32">
      <c r="E32" s="7" t="n"/>
    </row>
    <row r="33">
      <c r="E33" s="7" t="n"/>
    </row>
    <row r="34">
      <c r="E34" s="7" t="n"/>
    </row>
    <row r="35">
      <c r="E35" s="7" t="n"/>
    </row>
    <row r="36">
      <c r="E36" s="7" t="n"/>
    </row>
    <row r="37">
      <c r="E37" s="7" t="n"/>
    </row>
    <row r="38">
      <c r="E38" s="7" t="n"/>
    </row>
    <row r="39">
      <c r="E39" s="7" t="n"/>
    </row>
    <row r="40">
      <c r="E40" s="7" t="n"/>
    </row>
    <row r="41">
      <c r="E41" s="7" t="n"/>
    </row>
    <row r="42">
      <c r="E42" s="7" t="n"/>
    </row>
    <row r="43">
      <c r="E43" s="7" t="n"/>
    </row>
    <row r="44">
      <c r="E44" s="7" t="n"/>
    </row>
    <row r="45">
      <c r="E45" s="7" t="n"/>
    </row>
    <row r="46">
      <c r="E46" s="7" t="n"/>
    </row>
    <row r="47">
      <c r="E47" s="7" t="n"/>
    </row>
    <row r="48">
      <c r="E48" s="7" t="n"/>
    </row>
    <row r="49">
      <c r="E49" s="7" t="n"/>
    </row>
    <row r="50">
      <c r="E50" s="7" t="n"/>
    </row>
    <row r="51">
      <c r="E51" s="7" t="n"/>
    </row>
    <row r="52">
      <c r="E52" s="7" t="n"/>
    </row>
    <row r="53">
      <c r="E53" s="7" t="n"/>
    </row>
    <row r="54">
      <c r="E54" s="7" t="n"/>
    </row>
    <row r="55">
      <c r="E55" s="7" t="n"/>
    </row>
    <row r="56">
      <c r="E56" s="7" t="n"/>
    </row>
    <row r="57">
      <c r="E57" s="7" t="n"/>
    </row>
    <row r="58">
      <c r="E58" s="7" t="n"/>
    </row>
    <row r="59">
      <c r="E59" s="7" t="n"/>
    </row>
    <row r="60">
      <c r="E60" s="7" t="n"/>
    </row>
    <row r="61">
      <c r="E61" s="7" t="n"/>
    </row>
    <row r="62">
      <c r="E62" s="7" t="n"/>
    </row>
    <row r="63">
      <c r="E63" s="7" t="n"/>
    </row>
    <row r="64">
      <c r="E64" s="7" t="n"/>
    </row>
    <row r="65">
      <c r="E65" s="7" t="n"/>
    </row>
    <row r="66">
      <c r="E66" s="7" t="n"/>
    </row>
    <row r="67">
      <c r="E67" s="7" t="n"/>
    </row>
    <row r="68">
      <c r="E68" s="7" t="n"/>
    </row>
    <row r="69">
      <c r="E69" s="7" t="n"/>
    </row>
    <row r="70">
      <c r="E70" s="7" t="n"/>
    </row>
    <row r="71">
      <c r="E71" s="7" t="n"/>
    </row>
    <row r="72">
      <c r="E72" s="7" t="n"/>
    </row>
    <row r="73">
      <c r="E73" s="7" t="n"/>
    </row>
    <row r="74">
      <c r="E74" s="7" t="n"/>
    </row>
    <row r="75">
      <c r="E75" s="7" t="n"/>
    </row>
    <row r="76">
      <c r="E76" s="7" t="n"/>
    </row>
    <row r="77">
      <c r="E77" s="7" t="n"/>
    </row>
    <row r="78">
      <c r="E78" s="7" t="n"/>
    </row>
    <row r="79">
      <c r="E79" s="7" t="n"/>
    </row>
    <row r="80">
      <c r="E80" s="7" t="n"/>
    </row>
    <row r="81">
      <c r="E81" s="7" t="n"/>
    </row>
    <row r="82">
      <c r="E82" s="7" t="n"/>
    </row>
    <row r="83">
      <c r="E83" s="7" t="n"/>
    </row>
    <row r="84">
      <c r="E84" s="7" t="n"/>
    </row>
    <row r="85">
      <c r="E85" s="7" t="n"/>
    </row>
    <row r="86">
      <c r="E86" s="7" t="n"/>
    </row>
    <row r="87">
      <c r="E87" s="7" t="n"/>
    </row>
    <row r="88">
      <c r="E88" s="7" t="n"/>
    </row>
    <row r="89">
      <c r="E89" s="7" t="n"/>
    </row>
    <row r="90">
      <c r="E90" s="7" t="n"/>
    </row>
    <row r="91">
      <c r="E91" s="7" t="n"/>
    </row>
    <row r="92">
      <c r="E92" s="7" t="n"/>
    </row>
    <row r="93">
      <c r="E93" s="7" t="n"/>
    </row>
    <row r="94">
      <c r="E94" s="7" t="n"/>
    </row>
    <row r="95">
      <c r="E95" s="7" t="n"/>
    </row>
    <row r="96">
      <c r="E96" s="7" t="n"/>
    </row>
    <row r="97">
      <c r="E97" s="7" t="n"/>
    </row>
    <row r="98">
      <c r="E98" s="7" t="n"/>
    </row>
    <row r="99">
      <c r="E99" s="7" t="n"/>
    </row>
    <row r="100">
      <c r="E100" s="7" t="n"/>
    </row>
    <row r="101">
      <c r="E101" s="7" t="n"/>
    </row>
    <row r="102">
      <c r="E102" s="7" t="n"/>
    </row>
    <row r="103">
      <c r="E103" s="7" t="n"/>
    </row>
    <row r="104">
      <c r="E104" s="7" t="n"/>
    </row>
    <row r="105">
      <c r="E105" s="7" t="n"/>
    </row>
    <row r="106">
      <c r="E106" s="7" t="n"/>
    </row>
    <row r="107">
      <c r="E107" s="7" t="n"/>
    </row>
    <row r="108">
      <c r="E108" s="7" t="n"/>
    </row>
    <row r="109">
      <c r="E109" s="7" t="n"/>
    </row>
    <row r="110">
      <c r="E110" s="7" t="n"/>
    </row>
    <row r="111">
      <c r="E111" s="7" t="n"/>
    </row>
    <row r="112">
      <c r="E112" s="7" t="n"/>
    </row>
    <row r="113">
      <c r="E113" s="7" t="n"/>
    </row>
    <row r="114">
      <c r="E114" s="7" t="n"/>
    </row>
    <row r="115">
      <c r="E115" s="7" t="n"/>
    </row>
    <row r="116">
      <c r="E116" s="7" t="n"/>
    </row>
    <row r="117">
      <c r="E117" s="7" t="n"/>
    </row>
    <row r="118">
      <c r="E118" s="7" t="n"/>
    </row>
    <row r="119">
      <c r="E119" s="7" t="n"/>
    </row>
    <row r="120">
      <c r="E120" s="7" t="n"/>
    </row>
    <row r="121">
      <c r="E121" s="7" t="n"/>
    </row>
    <row r="122">
      <c r="E122" s="7" t="n"/>
    </row>
    <row r="123">
      <c r="E123" s="7" t="n"/>
    </row>
    <row r="124">
      <c r="E124" s="7" t="n"/>
    </row>
    <row r="125">
      <c r="E125" s="7" t="n"/>
    </row>
    <row r="126">
      <c r="E126" s="7" t="n"/>
    </row>
    <row r="127">
      <c r="E127" s="7" t="n"/>
    </row>
    <row r="128">
      <c r="E128" s="7" t="n"/>
    </row>
    <row r="129">
      <c r="E129" s="7" t="n"/>
    </row>
    <row r="130">
      <c r="E130" s="7" t="n"/>
    </row>
    <row r="131">
      <c r="E131" s="7" t="n"/>
    </row>
    <row r="132">
      <c r="E132" s="7" t="n"/>
    </row>
    <row r="133">
      <c r="E133" s="7" t="n"/>
    </row>
    <row r="134">
      <c r="E134" s="7" t="n"/>
    </row>
    <row r="135">
      <c r="E135" s="7" t="n"/>
    </row>
    <row r="136">
      <c r="E136" s="7" t="n"/>
    </row>
    <row r="137">
      <c r="E137" s="7" t="n"/>
    </row>
    <row r="138">
      <c r="E138" s="7" t="n"/>
    </row>
    <row r="139">
      <c r="E139" s="7" t="n"/>
    </row>
    <row r="140">
      <c r="E140" s="7" t="n"/>
    </row>
    <row r="141">
      <c r="E141" s="7" t="n"/>
    </row>
    <row r="142">
      <c r="E142" s="7" t="n"/>
    </row>
    <row r="143">
      <c r="E143" s="7" t="n"/>
    </row>
    <row r="144">
      <c r="E144" s="7" t="n"/>
    </row>
    <row r="145">
      <c r="E145" s="7" t="n"/>
    </row>
    <row r="146">
      <c r="E146" s="7" t="n"/>
    </row>
    <row r="147">
      <c r="E147" s="7" t="n"/>
    </row>
    <row r="148">
      <c r="E148" s="7" t="n"/>
    </row>
    <row r="149">
      <c r="E149" s="7" t="n"/>
    </row>
    <row r="150">
      <c r="E150" s="7" t="n"/>
    </row>
    <row r="151">
      <c r="E151" s="7" t="n"/>
    </row>
    <row r="152">
      <c r="E152" s="7" t="n"/>
    </row>
    <row r="153">
      <c r="E153" s="7" t="n"/>
    </row>
    <row r="154">
      <c r="E154" s="7" t="n"/>
    </row>
    <row r="155">
      <c r="E155" s="7" t="n"/>
    </row>
    <row r="156">
      <c r="E156" s="7" t="n"/>
    </row>
    <row r="157">
      <c r="E157" s="7" t="n"/>
    </row>
    <row r="158">
      <c r="E158" s="7" t="n"/>
    </row>
    <row r="159">
      <c r="E159" s="7" t="n"/>
    </row>
    <row r="160">
      <c r="E160" s="7" t="n"/>
    </row>
    <row r="161">
      <c r="E161" s="7" t="n"/>
    </row>
    <row r="162">
      <c r="E162" s="7" t="n"/>
    </row>
    <row r="163">
      <c r="E163" s="7" t="n"/>
    </row>
    <row r="164">
      <c r="E164" s="7" t="n"/>
    </row>
    <row r="165">
      <c r="E165" s="7" t="n"/>
    </row>
    <row r="166">
      <c r="E166" s="7" t="n"/>
    </row>
    <row r="167">
      <c r="E167" s="7" t="n"/>
    </row>
    <row r="168">
      <c r="E168" s="7" t="n"/>
    </row>
    <row r="169">
      <c r="E169" s="7" t="n"/>
    </row>
    <row r="170">
      <c r="E170" s="7" t="n"/>
    </row>
    <row r="171">
      <c r="E171" s="7" t="n"/>
    </row>
    <row r="172">
      <c r="E172" s="7" t="n"/>
    </row>
    <row r="173">
      <c r="E173" s="7" t="n"/>
    </row>
    <row r="174">
      <c r="E174" s="7" t="n"/>
    </row>
    <row r="175">
      <c r="E175" s="7" t="n"/>
    </row>
    <row r="176">
      <c r="E176" s="7" t="n"/>
    </row>
    <row r="177">
      <c r="E177" s="7" t="n"/>
    </row>
    <row r="178">
      <c r="E178" s="7" t="n"/>
    </row>
    <row r="179">
      <c r="E179" s="7" t="n"/>
    </row>
    <row r="180">
      <c r="E180" s="7" t="n"/>
    </row>
    <row r="181">
      <c r="E181" s="7" t="n"/>
    </row>
    <row r="182">
      <c r="E182" s="7" t="n"/>
    </row>
    <row r="183">
      <c r="E183" s="7" t="n"/>
    </row>
    <row r="184">
      <c r="E184" s="7" t="n"/>
    </row>
    <row r="185">
      <c r="E185" s="7" t="n"/>
    </row>
    <row r="186">
      <c r="E186" s="7" t="n"/>
    </row>
    <row r="187">
      <c r="E187" s="7" t="n"/>
    </row>
    <row r="188">
      <c r="E188" s="7" t="n"/>
    </row>
    <row r="189">
      <c r="E189" s="7" t="n"/>
    </row>
    <row r="190">
      <c r="E190" s="7" t="n"/>
    </row>
    <row r="191">
      <c r="E191" s="7" t="n"/>
    </row>
    <row r="192">
      <c r="E192" s="7" t="n"/>
    </row>
    <row r="193">
      <c r="E193" s="7" t="n"/>
    </row>
    <row r="194">
      <c r="E194" s="7" t="n"/>
    </row>
    <row r="195">
      <c r="E195" s="7" t="n"/>
    </row>
    <row r="196">
      <c r="E196" s="7" t="n"/>
    </row>
    <row r="197">
      <c r="E197" s="7" t="n"/>
    </row>
    <row r="198">
      <c r="E198" s="7" t="n"/>
    </row>
    <row r="199">
      <c r="E199" s="7" t="n"/>
    </row>
    <row r="200">
      <c r="E200" s="7" t="n"/>
    </row>
    <row r="201">
      <c r="E201" s="7" t="n"/>
    </row>
    <row r="202">
      <c r="E202" s="7" t="n"/>
    </row>
    <row r="203">
      <c r="E203" s="7" t="n"/>
    </row>
    <row r="204">
      <c r="E204" s="7" t="n"/>
    </row>
    <row r="205">
      <c r="E205" s="7" t="n"/>
    </row>
    <row r="206">
      <c r="E206" s="7" t="n"/>
    </row>
    <row r="207">
      <c r="E207" s="7" t="n"/>
    </row>
    <row r="208">
      <c r="E208" s="7" t="n"/>
    </row>
    <row r="209">
      <c r="E209" s="7" t="n"/>
    </row>
    <row r="210">
      <c r="E210" s="7" t="n"/>
    </row>
    <row r="211">
      <c r="E211" s="7" t="n"/>
    </row>
    <row r="212">
      <c r="E212" s="7" t="n"/>
    </row>
    <row r="213">
      <c r="E213" s="7" t="n"/>
    </row>
    <row r="214">
      <c r="E214" s="7" t="n"/>
    </row>
    <row r="215">
      <c r="E215" s="7" t="n"/>
    </row>
    <row r="216">
      <c r="E216" s="7" t="n"/>
    </row>
    <row r="217">
      <c r="E217" s="7" t="n"/>
    </row>
    <row r="218">
      <c r="E218" s="7" t="n"/>
    </row>
    <row r="219">
      <c r="E219" s="7" t="n"/>
    </row>
    <row r="220">
      <c r="E220" s="7" t="n"/>
    </row>
    <row r="221">
      <c r="E221" s="7" t="n"/>
    </row>
    <row r="222">
      <c r="E222" s="7" t="n"/>
    </row>
    <row r="223">
      <c r="E223" s="7" t="n"/>
    </row>
    <row r="224">
      <c r="E224" s="7" t="n"/>
    </row>
    <row r="225">
      <c r="E225" s="7" t="n"/>
    </row>
    <row r="226">
      <c r="E226" s="7" t="n"/>
    </row>
    <row r="227">
      <c r="E227" s="7" t="n"/>
    </row>
    <row r="228">
      <c r="E228" s="7" t="n"/>
    </row>
    <row r="229">
      <c r="E229" s="7" t="n"/>
    </row>
    <row r="230">
      <c r="E230" s="7" t="n"/>
    </row>
    <row r="231">
      <c r="E231" s="7" t="n"/>
    </row>
    <row r="232">
      <c r="E232" s="7" t="n"/>
    </row>
    <row r="233">
      <c r="E233" s="7" t="n"/>
    </row>
    <row r="234">
      <c r="E234" s="7" t="n"/>
    </row>
    <row r="235">
      <c r="E235" s="7" t="n"/>
    </row>
    <row r="236">
      <c r="E236" s="7" t="n"/>
    </row>
    <row r="237">
      <c r="E237" s="7" t="n"/>
    </row>
    <row r="238">
      <c r="E238" s="7" t="n"/>
    </row>
    <row r="239">
      <c r="E239" s="7" t="n"/>
    </row>
    <row r="240">
      <c r="E240" s="7" t="n"/>
    </row>
    <row r="241">
      <c r="E241" s="7" t="n"/>
    </row>
    <row r="242">
      <c r="E242" s="7" t="n"/>
    </row>
    <row r="243">
      <c r="E243" s="7" t="n"/>
    </row>
    <row r="244">
      <c r="E244" s="7" t="n"/>
    </row>
    <row r="245">
      <c r="E245" s="7" t="n"/>
    </row>
    <row r="246">
      <c r="E246" s="7" t="n"/>
    </row>
    <row r="247">
      <c r="E247" s="7" t="n"/>
    </row>
    <row r="248">
      <c r="E248" s="7" t="n"/>
    </row>
    <row r="249">
      <c r="E249" s="7" t="n"/>
    </row>
    <row r="250">
      <c r="E250" s="7" t="n"/>
    </row>
    <row r="251">
      <c r="E251" s="7" t="n"/>
    </row>
    <row r="252">
      <c r="E252" s="7" t="n"/>
    </row>
    <row r="253">
      <c r="E253" s="7" t="n"/>
    </row>
    <row r="254">
      <c r="E254" s="7" t="n"/>
    </row>
    <row r="255">
      <c r="E255" s="7" t="n"/>
    </row>
    <row r="256">
      <c r="E256" s="7" t="n"/>
    </row>
    <row r="257">
      <c r="E257" s="7" t="n"/>
    </row>
    <row r="258">
      <c r="E258" s="7" t="n"/>
    </row>
    <row r="259">
      <c r="E259" s="7" t="n"/>
    </row>
    <row r="260">
      <c r="E260" s="7" t="n"/>
    </row>
    <row r="261">
      <c r="E261" s="7" t="n"/>
    </row>
    <row r="262">
      <c r="E262" s="7" t="n"/>
    </row>
    <row r="263">
      <c r="E263" s="7" t="n"/>
    </row>
    <row r="264">
      <c r="E264" s="7" t="n"/>
    </row>
    <row r="265">
      <c r="E265" s="7" t="n"/>
    </row>
    <row r="266">
      <c r="E266" s="7" t="n"/>
    </row>
    <row r="267">
      <c r="E267" s="7" t="n"/>
    </row>
    <row r="268">
      <c r="E268" s="7" t="n"/>
    </row>
    <row r="269">
      <c r="E269" s="7" t="n"/>
    </row>
    <row r="270">
      <c r="E270" s="7" t="n"/>
    </row>
    <row r="271">
      <c r="E271" s="7" t="n"/>
    </row>
    <row r="272">
      <c r="E272" s="7" t="n"/>
    </row>
    <row r="273">
      <c r="E273" s="7" t="n"/>
    </row>
    <row r="274">
      <c r="E274" s="7" t="n"/>
    </row>
    <row r="275">
      <c r="E275" s="7" t="n"/>
    </row>
    <row r="276">
      <c r="E276" s="7" t="n"/>
    </row>
    <row r="277">
      <c r="E277" s="7" t="n"/>
    </row>
    <row r="278">
      <c r="E278" s="7" t="n"/>
    </row>
    <row r="279">
      <c r="E279" s="7" t="n"/>
    </row>
    <row r="280">
      <c r="E280" s="7" t="n"/>
    </row>
    <row r="281">
      <c r="E281" s="7" t="n"/>
    </row>
    <row r="282">
      <c r="E282" s="7" t="n"/>
    </row>
    <row r="283">
      <c r="E283" s="7" t="n"/>
    </row>
    <row r="284">
      <c r="E284" s="7" t="n"/>
    </row>
    <row r="285">
      <c r="E285" s="7" t="n"/>
    </row>
    <row r="286">
      <c r="E286" s="7" t="n"/>
    </row>
    <row r="287">
      <c r="E287" s="7" t="n"/>
    </row>
    <row r="288">
      <c r="E288" s="7" t="n"/>
    </row>
    <row r="289">
      <c r="E289" s="7" t="n"/>
    </row>
    <row r="290">
      <c r="E290" s="7" t="n"/>
    </row>
    <row r="291">
      <c r="E291" s="7" t="n"/>
    </row>
    <row r="292">
      <c r="E292" s="7" t="n"/>
    </row>
    <row r="293">
      <c r="E293" s="7" t="n"/>
    </row>
    <row r="294">
      <c r="E294" s="7" t="n"/>
    </row>
    <row r="295">
      <c r="E295" s="7" t="n"/>
    </row>
    <row r="296">
      <c r="E296" s="7" t="n"/>
    </row>
    <row r="297">
      <c r="E297" s="7" t="n"/>
    </row>
    <row r="298">
      <c r="E298" s="7" t="n"/>
    </row>
    <row r="299">
      <c r="E299" s="7" t="n"/>
    </row>
    <row r="300">
      <c r="E300" s="7" t="n"/>
    </row>
    <row r="301">
      <c r="E301" s="7" t="n"/>
    </row>
    <row r="302">
      <c r="E302" s="7" t="n"/>
    </row>
    <row r="303">
      <c r="E303" s="7" t="n"/>
    </row>
    <row r="304">
      <c r="E304" s="7" t="n"/>
    </row>
    <row r="305">
      <c r="E305" s="7" t="n"/>
    </row>
    <row r="306">
      <c r="E306" s="7" t="n"/>
    </row>
    <row r="307">
      <c r="E307" s="7" t="n"/>
    </row>
    <row r="308">
      <c r="E308" s="7" t="n"/>
    </row>
    <row r="309">
      <c r="E309" s="7" t="n"/>
    </row>
    <row r="310">
      <c r="E310" s="7" t="n"/>
    </row>
    <row r="311">
      <c r="E311" s="7" t="n"/>
    </row>
    <row r="312">
      <c r="E312" s="7" t="n"/>
    </row>
    <row r="313">
      <c r="E313" s="7" t="n"/>
    </row>
    <row r="314">
      <c r="E314" s="7" t="n"/>
    </row>
    <row r="315">
      <c r="E315" s="7" t="n"/>
    </row>
    <row r="316">
      <c r="E316" s="7" t="n"/>
    </row>
    <row r="317">
      <c r="E317" s="7" t="n"/>
    </row>
    <row r="318">
      <c r="E318" s="7" t="n"/>
    </row>
    <row r="319">
      <c r="E319" s="7" t="n"/>
    </row>
    <row r="320">
      <c r="E320" s="7" t="n"/>
    </row>
    <row r="321">
      <c r="E321" s="7" t="n"/>
    </row>
    <row r="322">
      <c r="E322" s="7" t="n"/>
    </row>
    <row r="323">
      <c r="E323" s="7" t="n"/>
    </row>
    <row r="324">
      <c r="E324" s="7" t="n"/>
    </row>
    <row r="325">
      <c r="E325" s="7" t="n"/>
    </row>
    <row r="326">
      <c r="E326" s="7" t="n"/>
    </row>
    <row r="327">
      <c r="E327" s="7" t="n"/>
    </row>
    <row r="328">
      <c r="E328" s="7" t="n"/>
    </row>
    <row r="329">
      <c r="E329" s="7" t="n"/>
    </row>
    <row r="330">
      <c r="E330" s="7" t="n"/>
    </row>
    <row r="331">
      <c r="E331" s="7" t="n"/>
    </row>
    <row r="332">
      <c r="E332" s="7" t="n"/>
    </row>
    <row r="333">
      <c r="E333" s="7" t="n"/>
    </row>
    <row r="334">
      <c r="E334" s="7" t="n"/>
    </row>
    <row r="335">
      <c r="E335" s="7" t="n"/>
    </row>
    <row r="336">
      <c r="E336" s="7" t="n"/>
    </row>
    <row r="337">
      <c r="E337" s="7" t="n"/>
    </row>
    <row r="338">
      <c r="E338" s="7" t="n"/>
    </row>
    <row r="339">
      <c r="E339" s="7" t="n"/>
    </row>
    <row r="340">
      <c r="E340" s="7" t="n"/>
    </row>
    <row r="341">
      <c r="E341" s="7" t="n"/>
    </row>
    <row r="342">
      <c r="E342" s="7" t="n"/>
    </row>
    <row r="343">
      <c r="E343" s="7" t="n"/>
    </row>
    <row r="344">
      <c r="E344" s="7" t="n"/>
    </row>
    <row r="345">
      <c r="E345" s="7" t="n"/>
    </row>
    <row r="346">
      <c r="E346" s="7" t="n"/>
    </row>
    <row r="347">
      <c r="E347" s="7" t="n"/>
    </row>
    <row r="348">
      <c r="E348" s="7" t="n"/>
    </row>
    <row r="349">
      <c r="E349" s="7" t="n"/>
    </row>
    <row r="350">
      <c r="E350" s="7" t="n"/>
    </row>
    <row r="351">
      <c r="E351" s="7" t="n"/>
    </row>
    <row r="352">
      <c r="E352" s="7" t="n"/>
    </row>
    <row r="353">
      <c r="E353" s="7" t="n"/>
    </row>
    <row r="354">
      <c r="E354" s="7" t="n"/>
    </row>
    <row r="355">
      <c r="E355" s="7" t="n"/>
    </row>
    <row r="356">
      <c r="E356" s="7" t="n"/>
    </row>
    <row r="357">
      <c r="E357" s="7" t="n"/>
    </row>
    <row r="358">
      <c r="E358" s="7" t="n"/>
    </row>
    <row r="359">
      <c r="E359" s="7" t="n"/>
    </row>
    <row r="360">
      <c r="E360" s="7" t="n"/>
    </row>
    <row r="361">
      <c r="E361" s="7" t="n"/>
    </row>
    <row r="362">
      <c r="E362" s="7" t="n"/>
    </row>
    <row r="363">
      <c r="E363" s="7" t="n"/>
    </row>
    <row r="364">
      <c r="E364" s="7" t="n"/>
    </row>
    <row r="365">
      <c r="E365" s="7" t="n"/>
    </row>
    <row r="366">
      <c r="E366" s="7" t="n"/>
    </row>
    <row r="367">
      <c r="E367" s="7" t="n"/>
    </row>
    <row r="368">
      <c r="E368" s="7" t="n"/>
    </row>
    <row r="369">
      <c r="E369" s="7" t="n"/>
    </row>
    <row r="370">
      <c r="E370" s="7" t="n"/>
    </row>
    <row r="371">
      <c r="E371" s="7" t="n"/>
    </row>
    <row r="372">
      <c r="E372" s="7" t="n"/>
    </row>
    <row r="373">
      <c r="E373" s="7" t="n"/>
    </row>
    <row r="374">
      <c r="E374" s="7" t="n"/>
    </row>
    <row r="375">
      <c r="E375" s="7" t="n"/>
    </row>
    <row r="376">
      <c r="E376" s="7" t="n"/>
    </row>
    <row r="377">
      <c r="E377" s="7" t="n"/>
    </row>
    <row r="378">
      <c r="E378" s="7" t="n"/>
    </row>
    <row r="379">
      <c r="E379" s="7" t="n"/>
    </row>
    <row r="380">
      <c r="E380" s="7" t="n"/>
    </row>
    <row r="381">
      <c r="E381" s="7" t="n"/>
    </row>
    <row r="382">
      <c r="E382" s="7" t="n"/>
    </row>
    <row r="383">
      <c r="E383" s="7" t="n"/>
    </row>
    <row r="384">
      <c r="E384" s="7" t="n"/>
    </row>
    <row r="385">
      <c r="E385" s="7" t="n"/>
    </row>
    <row r="386">
      <c r="E386" s="7" t="n"/>
    </row>
    <row r="387">
      <c r="E387" s="7" t="n"/>
    </row>
    <row r="388">
      <c r="E388" s="7" t="n"/>
    </row>
    <row r="389">
      <c r="E389" s="7" t="n"/>
    </row>
    <row r="390">
      <c r="E390" s="7" t="n"/>
    </row>
    <row r="391">
      <c r="E391" s="7" t="n"/>
    </row>
    <row r="392">
      <c r="E392" s="7" t="n"/>
    </row>
    <row r="393">
      <c r="E393" s="7" t="n"/>
    </row>
    <row r="394">
      <c r="E394" s="7" t="n"/>
    </row>
    <row r="395">
      <c r="E395" s="7" t="n"/>
    </row>
    <row r="396">
      <c r="E396" s="7" t="n"/>
    </row>
    <row r="397">
      <c r="E397" s="7" t="n"/>
    </row>
    <row r="398">
      <c r="E398" s="7" t="n"/>
    </row>
    <row r="399">
      <c r="E399" s="7" t="n"/>
    </row>
    <row r="400">
      <c r="E400" s="7" t="n"/>
    </row>
    <row r="401">
      <c r="E401" s="7" t="n"/>
    </row>
    <row r="402">
      <c r="E402" s="7" t="n"/>
    </row>
    <row r="403">
      <c r="E403" s="7" t="n"/>
    </row>
    <row r="404">
      <c r="E404" s="7" t="n"/>
    </row>
    <row r="405">
      <c r="E405" s="7" t="n"/>
    </row>
    <row r="406">
      <c r="E406" s="7" t="n"/>
    </row>
    <row r="407">
      <c r="E407" s="7" t="n"/>
    </row>
    <row r="408">
      <c r="E408" s="7" t="n"/>
    </row>
    <row r="409">
      <c r="E409" s="7" t="n"/>
    </row>
    <row r="410">
      <c r="E410" s="7" t="n"/>
    </row>
    <row r="411">
      <c r="E411" s="7" t="n"/>
    </row>
    <row r="412">
      <c r="E412" s="7" t="n"/>
    </row>
    <row r="413">
      <c r="E413" s="7" t="n"/>
    </row>
    <row r="414">
      <c r="E414" s="7" t="n"/>
    </row>
    <row r="415">
      <c r="E415" s="7" t="n"/>
    </row>
    <row r="416">
      <c r="E416" s="7" t="n"/>
    </row>
    <row r="417">
      <c r="E417" s="7" t="n"/>
    </row>
    <row r="418">
      <c r="E418" s="7" t="n"/>
    </row>
    <row r="419">
      <c r="E419" s="7" t="n"/>
    </row>
    <row r="420">
      <c r="E420" s="7" t="n"/>
    </row>
    <row r="421">
      <c r="E421" s="7" t="n"/>
    </row>
    <row r="422">
      <c r="E422" s="7" t="n"/>
    </row>
    <row r="423">
      <c r="E423" s="7" t="n"/>
    </row>
    <row r="424">
      <c r="E424" s="7" t="n"/>
    </row>
    <row r="425">
      <c r="E425" s="7" t="n"/>
    </row>
    <row r="426">
      <c r="E426" s="7" t="n"/>
    </row>
    <row r="427">
      <c r="E427" s="7" t="n"/>
    </row>
    <row r="428">
      <c r="E428" s="7" t="n"/>
    </row>
    <row r="429">
      <c r="E429" s="7" t="n"/>
    </row>
    <row r="430">
      <c r="E430" s="7" t="n"/>
    </row>
    <row r="431">
      <c r="E431" s="7" t="n"/>
    </row>
    <row r="432">
      <c r="E432" s="7" t="n"/>
    </row>
    <row r="433">
      <c r="E433" s="7" t="n"/>
    </row>
    <row r="434">
      <c r="E434" s="7" t="n"/>
    </row>
    <row r="435">
      <c r="E435" s="7" t="n"/>
    </row>
    <row r="436">
      <c r="E436" s="7" t="n"/>
    </row>
    <row r="437">
      <c r="E437" s="7" t="n"/>
    </row>
    <row r="438">
      <c r="E438" s="7" t="n"/>
    </row>
    <row r="439">
      <c r="E439" s="7" t="n"/>
    </row>
    <row r="440">
      <c r="E440" s="7" t="n"/>
    </row>
    <row r="441">
      <c r="E441" s="7" t="n"/>
    </row>
    <row r="442">
      <c r="E442" s="7" t="n"/>
    </row>
    <row r="443">
      <c r="E443" s="7" t="n"/>
    </row>
    <row r="444">
      <c r="E444" s="7" t="n"/>
    </row>
    <row r="445">
      <c r="E445" s="7" t="n"/>
    </row>
    <row r="446">
      <c r="E446" s="7" t="n"/>
    </row>
    <row r="447">
      <c r="E447" s="7" t="n"/>
    </row>
    <row r="448">
      <c r="E448" s="7" t="n"/>
    </row>
    <row r="449">
      <c r="E449" s="7" t="n"/>
    </row>
    <row r="450">
      <c r="E450" s="7" t="n"/>
    </row>
    <row r="451">
      <c r="E451" s="7" t="n"/>
    </row>
    <row r="452">
      <c r="E452" s="7" t="n"/>
    </row>
    <row r="453">
      <c r="E453" s="7" t="n"/>
    </row>
    <row r="454">
      <c r="E454" s="7" t="n"/>
    </row>
    <row r="455">
      <c r="E455" s="7" t="n"/>
    </row>
    <row r="456">
      <c r="E456" s="7" t="n"/>
    </row>
    <row r="457">
      <c r="E457" s="7" t="n"/>
    </row>
    <row r="458">
      <c r="E458" s="7" t="n"/>
    </row>
    <row r="459">
      <c r="E459" s="7" t="n"/>
    </row>
    <row r="460">
      <c r="E460" s="7" t="n"/>
    </row>
    <row r="461">
      <c r="E461" s="7" t="n"/>
    </row>
    <row r="462">
      <c r="E462" s="7" t="n"/>
    </row>
    <row r="463">
      <c r="E463" s="7" t="n"/>
    </row>
    <row r="464">
      <c r="E464" s="7" t="n"/>
    </row>
    <row r="465">
      <c r="E465" s="7" t="n"/>
    </row>
    <row r="466">
      <c r="E466" s="7" t="n"/>
    </row>
    <row r="467">
      <c r="E467" s="7" t="n"/>
    </row>
    <row r="468">
      <c r="E468" s="7" t="n"/>
    </row>
    <row r="469">
      <c r="E469" s="7" t="n"/>
    </row>
    <row r="470">
      <c r="E470" s="7" t="n"/>
    </row>
    <row r="471">
      <c r="E471" s="7" t="n"/>
    </row>
    <row r="472">
      <c r="E472" s="7" t="n"/>
    </row>
    <row r="473">
      <c r="E473" s="7" t="n"/>
    </row>
    <row r="474">
      <c r="E474" s="7" t="n"/>
    </row>
    <row r="475">
      <c r="E475" s="7" t="n"/>
    </row>
    <row r="476">
      <c r="E476" s="7" t="n"/>
    </row>
    <row r="477">
      <c r="E477" s="7" t="n"/>
    </row>
    <row r="478">
      <c r="E478" s="7" t="n"/>
    </row>
    <row r="479">
      <c r="E479" s="7" t="n"/>
    </row>
    <row r="480">
      <c r="E480" s="7" t="n"/>
    </row>
    <row r="481">
      <c r="E481" s="7" t="n"/>
    </row>
    <row r="482">
      <c r="E482" s="7" t="n"/>
    </row>
    <row r="483">
      <c r="E483" s="7" t="n"/>
    </row>
    <row r="484">
      <c r="E484" s="7" t="n"/>
    </row>
    <row r="485">
      <c r="E485" s="7" t="n"/>
    </row>
    <row r="486">
      <c r="E486" s="7" t="n"/>
    </row>
    <row r="487">
      <c r="E487" s="7" t="n"/>
    </row>
    <row r="488">
      <c r="E488" s="7" t="n"/>
    </row>
    <row r="489">
      <c r="E489" s="7" t="n"/>
    </row>
    <row r="490">
      <c r="E490" s="7" t="n"/>
    </row>
    <row r="491">
      <c r="E491" s="7" t="n"/>
    </row>
    <row r="492">
      <c r="E492" s="7" t="n"/>
    </row>
    <row r="493">
      <c r="E493" s="7" t="n"/>
    </row>
    <row r="494">
      <c r="E494" s="7" t="n"/>
    </row>
    <row r="495">
      <c r="E495" s="7" t="n"/>
    </row>
    <row r="496">
      <c r="E496" s="7" t="n"/>
    </row>
    <row r="497">
      <c r="E497" s="7" t="n"/>
    </row>
    <row r="498">
      <c r="E498" s="7" t="n"/>
    </row>
    <row r="499">
      <c r="E499" s="7" t="n"/>
    </row>
    <row r="500">
      <c r="E500" s="7" t="n"/>
    </row>
    <row r="501">
      <c r="E501" s="7" t="n"/>
    </row>
    <row r="502">
      <c r="E502" s="7" t="n"/>
    </row>
    <row r="503">
      <c r="E503" s="7" t="n"/>
    </row>
    <row r="504">
      <c r="E504" s="7" t="n"/>
    </row>
    <row r="505">
      <c r="E505" s="7" t="n"/>
    </row>
    <row r="506">
      <c r="E506" s="7" t="n"/>
    </row>
    <row r="507">
      <c r="E507" s="7" t="n"/>
    </row>
    <row r="508">
      <c r="E508" s="7" t="n"/>
    </row>
    <row r="509">
      <c r="E509" s="7" t="n"/>
    </row>
    <row r="510">
      <c r="E510" s="7" t="n"/>
    </row>
    <row r="511">
      <c r="E511" s="7" t="n"/>
    </row>
    <row r="512">
      <c r="E512" s="7" t="n"/>
    </row>
    <row r="513">
      <c r="E513" s="7" t="n"/>
    </row>
    <row r="514">
      <c r="E514" s="7" t="n"/>
    </row>
    <row r="515">
      <c r="E515" s="7" t="n"/>
    </row>
    <row r="516">
      <c r="E516" s="7" t="n"/>
    </row>
    <row r="517">
      <c r="E517" s="7" t="n"/>
    </row>
    <row r="518">
      <c r="E518" s="7" t="n"/>
    </row>
    <row r="519">
      <c r="E519" s="7" t="n"/>
    </row>
    <row r="520">
      <c r="E520" s="7" t="n"/>
    </row>
    <row r="521">
      <c r="E521" s="7" t="n"/>
    </row>
    <row r="522">
      <c r="E522" s="7" t="n"/>
    </row>
    <row r="523">
      <c r="E523" s="7" t="n"/>
    </row>
    <row r="524">
      <c r="E524" s="7" t="n"/>
    </row>
    <row r="525">
      <c r="E525" s="7" t="n"/>
    </row>
    <row r="526">
      <c r="E526" s="7" t="n"/>
    </row>
    <row r="527">
      <c r="E527" s="7" t="n"/>
    </row>
    <row r="528">
      <c r="E528" s="7" t="n"/>
    </row>
    <row r="529">
      <c r="E529" s="7" t="n"/>
    </row>
    <row r="530">
      <c r="E530" s="7" t="n"/>
    </row>
    <row r="531">
      <c r="E531" s="7" t="n"/>
    </row>
    <row r="532">
      <c r="E532" s="7" t="n"/>
    </row>
    <row r="533">
      <c r="E533" s="7" t="n"/>
    </row>
    <row r="534">
      <c r="E534" s="7" t="n"/>
    </row>
    <row r="535">
      <c r="E535" s="7" t="n"/>
    </row>
    <row r="536">
      <c r="E536" s="7" t="n"/>
    </row>
    <row r="537">
      <c r="E537" s="7" t="n"/>
    </row>
    <row r="538">
      <c r="E538" s="7" t="n"/>
    </row>
    <row r="539">
      <c r="E539" s="7" t="n"/>
    </row>
    <row r="540">
      <c r="E540" s="7" t="n"/>
    </row>
    <row r="541">
      <c r="E541" s="7" t="n"/>
    </row>
    <row r="542">
      <c r="E542" s="7" t="n"/>
    </row>
    <row r="543">
      <c r="E543" s="7" t="n"/>
    </row>
    <row r="544">
      <c r="E544" s="7" t="n"/>
    </row>
    <row r="545">
      <c r="E545" s="7" t="n"/>
    </row>
    <row r="546">
      <c r="E546" s="7" t="n"/>
    </row>
    <row r="547">
      <c r="E547" s="7" t="n"/>
    </row>
    <row r="548">
      <c r="E548" s="7" t="n"/>
    </row>
    <row r="549">
      <c r="E549" s="7" t="n"/>
    </row>
    <row r="550">
      <c r="E550" s="7" t="n"/>
    </row>
    <row r="551">
      <c r="E551" s="7" t="n"/>
    </row>
    <row r="552">
      <c r="E552" s="7" t="n"/>
    </row>
    <row r="553">
      <c r="E553" s="7" t="n"/>
    </row>
    <row r="554">
      <c r="E554" s="7" t="n"/>
    </row>
    <row r="555">
      <c r="E555" s="7" t="n"/>
    </row>
    <row r="556">
      <c r="E556" s="7" t="n"/>
    </row>
    <row r="557">
      <c r="E557" s="7" t="n"/>
    </row>
    <row r="558">
      <c r="E558" s="7" t="n"/>
    </row>
    <row r="559">
      <c r="E559" s="7" t="n"/>
    </row>
    <row r="560">
      <c r="E560" s="7" t="n"/>
    </row>
    <row r="561">
      <c r="E561" s="7" t="n"/>
    </row>
    <row r="562">
      <c r="E562" s="7" t="n"/>
    </row>
    <row r="563">
      <c r="E563" s="7" t="n"/>
    </row>
    <row r="564">
      <c r="E564" s="7" t="n"/>
    </row>
    <row r="565">
      <c r="E565" s="7" t="n"/>
    </row>
    <row r="566">
      <c r="E566" s="7" t="n"/>
    </row>
    <row r="567">
      <c r="E567" s="7" t="n"/>
    </row>
    <row r="568">
      <c r="E568" s="7" t="n"/>
    </row>
    <row r="569">
      <c r="E569" s="7" t="n"/>
    </row>
    <row r="570">
      <c r="E570" s="7" t="n"/>
    </row>
    <row r="571">
      <c r="E571" s="7" t="n"/>
    </row>
    <row r="572">
      <c r="E572" s="7" t="n"/>
    </row>
    <row r="573">
      <c r="E573" s="7" t="n"/>
    </row>
    <row r="574">
      <c r="E574" s="7" t="n"/>
    </row>
    <row r="575">
      <c r="E575" s="7" t="n"/>
    </row>
    <row r="576">
      <c r="E576" s="7" t="n"/>
    </row>
    <row r="577">
      <c r="E577" s="7" t="n"/>
    </row>
    <row r="578">
      <c r="E578" s="7" t="n"/>
    </row>
    <row r="579">
      <c r="E579" s="7" t="n"/>
    </row>
    <row r="580">
      <c r="E580" s="7" t="n"/>
    </row>
    <row r="581">
      <c r="E581" s="7" t="n"/>
    </row>
    <row r="582">
      <c r="E582" s="7" t="n"/>
    </row>
    <row r="583">
      <c r="E583" s="7" t="n"/>
    </row>
    <row r="584">
      <c r="E584" s="7" t="n"/>
    </row>
    <row r="585">
      <c r="E585" s="7" t="n"/>
    </row>
    <row r="586">
      <c r="E586" s="7" t="n"/>
    </row>
    <row r="587">
      <c r="E587" s="7" t="n"/>
    </row>
    <row r="588">
      <c r="E588" s="7" t="n"/>
    </row>
    <row r="589">
      <c r="E589" s="7" t="n"/>
    </row>
    <row r="590">
      <c r="E590" s="7" t="n"/>
    </row>
    <row r="591">
      <c r="E591" s="7" t="n"/>
    </row>
    <row r="592">
      <c r="E592" s="7" t="n"/>
    </row>
    <row r="593">
      <c r="E593" s="7" t="n"/>
    </row>
    <row r="594">
      <c r="E594" s="7" t="n"/>
    </row>
    <row r="595">
      <c r="E595" s="7" t="n"/>
    </row>
    <row r="596">
      <c r="E596" s="7" t="n"/>
    </row>
    <row r="597">
      <c r="E597" s="7" t="n"/>
    </row>
    <row r="598">
      <c r="E598" s="7" t="n"/>
    </row>
    <row r="599">
      <c r="E599" s="7" t="n"/>
    </row>
    <row r="600">
      <c r="E600" s="7" t="n"/>
    </row>
    <row r="601">
      <c r="E601" s="7" t="n"/>
    </row>
    <row r="602">
      <c r="E602" s="7" t="n"/>
    </row>
    <row r="603">
      <c r="E603" s="7" t="n"/>
    </row>
    <row r="604">
      <c r="E604" s="7" t="n"/>
    </row>
    <row r="605">
      <c r="E605" s="7" t="n"/>
    </row>
    <row r="606">
      <c r="E606" s="7" t="n"/>
    </row>
    <row r="607">
      <c r="E607" s="7" t="n"/>
    </row>
    <row r="608">
      <c r="E608" s="7" t="n"/>
    </row>
    <row r="609">
      <c r="E609" s="7" t="n"/>
    </row>
    <row r="610">
      <c r="E610" s="7" t="n"/>
    </row>
    <row r="611">
      <c r="E611" s="7" t="n"/>
    </row>
    <row r="612">
      <c r="E612" s="7" t="n"/>
    </row>
    <row r="613">
      <c r="E613" s="7" t="n"/>
    </row>
    <row r="614">
      <c r="E614" s="7" t="n"/>
    </row>
    <row r="615">
      <c r="E615" s="7" t="n"/>
    </row>
    <row r="616">
      <c r="E616" s="7" t="n"/>
    </row>
    <row r="617">
      <c r="E617" s="7" t="n"/>
    </row>
    <row r="618">
      <c r="E618" s="7" t="n"/>
    </row>
    <row r="619">
      <c r="E619" s="7" t="n"/>
    </row>
    <row r="620">
      <c r="E620" s="7" t="n"/>
    </row>
    <row r="621">
      <c r="E621" s="7" t="n"/>
    </row>
    <row r="622">
      <c r="E622" s="7" t="n"/>
    </row>
    <row r="623">
      <c r="E623" s="7" t="n"/>
    </row>
    <row r="624">
      <c r="E624" s="7" t="n"/>
    </row>
    <row r="625">
      <c r="E625" s="7" t="n"/>
    </row>
    <row r="626">
      <c r="E626" s="7" t="n"/>
    </row>
    <row r="627">
      <c r="E627" s="7" t="n"/>
    </row>
    <row r="628">
      <c r="E628" s="7" t="n"/>
    </row>
    <row r="629">
      <c r="E629" s="7" t="n"/>
    </row>
    <row r="630">
      <c r="E630" s="7" t="n"/>
    </row>
    <row r="631">
      <c r="E631" s="7" t="n"/>
    </row>
    <row r="632">
      <c r="E632" s="7" t="n"/>
    </row>
    <row r="633">
      <c r="E633" s="7" t="n"/>
    </row>
    <row r="634">
      <c r="E634" s="7" t="n"/>
    </row>
    <row r="635">
      <c r="E635" s="7" t="n"/>
    </row>
    <row r="636">
      <c r="E636" s="7" t="n"/>
    </row>
    <row r="637">
      <c r="E637" s="7" t="n"/>
    </row>
    <row r="638">
      <c r="E638" s="7" t="n"/>
    </row>
    <row r="639">
      <c r="E639" s="7" t="n"/>
    </row>
    <row r="640">
      <c r="E640" s="7" t="n"/>
    </row>
    <row r="641">
      <c r="E641" s="7" t="n"/>
    </row>
    <row r="642">
      <c r="E642" s="7" t="n"/>
    </row>
    <row r="643">
      <c r="E643" s="7" t="n"/>
    </row>
    <row r="644">
      <c r="E644" s="7" t="n"/>
    </row>
    <row r="645">
      <c r="E645" s="7" t="n"/>
    </row>
    <row r="646">
      <c r="E646" s="7" t="n"/>
    </row>
    <row r="647">
      <c r="E647" s="7" t="n"/>
    </row>
    <row r="648">
      <c r="E648" s="7" t="n"/>
    </row>
    <row r="649">
      <c r="E649" s="7" t="n"/>
    </row>
    <row r="650">
      <c r="E650" s="7" t="n"/>
    </row>
    <row r="651">
      <c r="E651" s="7" t="n"/>
    </row>
    <row r="652">
      <c r="E652" s="7" t="n"/>
    </row>
    <row r="653">
      <c r="E653" s="7" t="n"/>
    </row>
    <row r="654">
      <c r="E654" s="7" t="n"/>
    </row>
    <row r="655">
      <c r="E655" s="7" t="n"/>
    </row>
    <row r="656">
      <c r="E656" s="7" t="n"/>
    </row>
    <row r="657">
      <c r="E657" s="7" t="n"/>
    </row>
    <row r="658">
      <c r="E658" s="7" t="n"/>
    </row>
    <row r="659">
      <c r="E659" s="7" t="n"/>
    </row>
    <row r="660">
      <c r="E660" s="7" t="n"/>
    </row>
    <row r="661">
      <c r="E661" s="7" t="n"/>
    </row>
    <row r="662">
      <c r="E662" s="7" t="n"/>
    </row>
    <row r="663">
      <c r="E663" s="7" t="n"/>
    </row>
    <row r="664">
      <c r="E664" s="7" t="n"/>
    </row>
    <row r="665">
      <c r="E665" s="7" t="n"/>
    </row>
    <row r="666">
      <c r="E666" s="7" t="n"/>
    </row>
    <row r="667">
      <c r="E667" s="7" t="n"/>
    </row>
    <row r="668">
      <c r="E668" s="7" t="n"/>
    </row>
    <row r="669">
      <c r="E669" s="7" t="n"/>
    </row>
    <row r="670">
      <c r="E670" s="7" t="n"/>
    </row>
    <row r="671">
      <c r="E671" s="7" t="n"/>
    </row>
    <row r="672">
      <c r="E672" s="7" t="n"/>
    </row>
    <row r="673">
      <c r="E673" s="7" t="n"/>
    </row>
    <row r="674">
      <c r="E674" s="7" t="n"/>
    </row>
    <row r="675">
      <c r="E675" s="7" t="n"/>
    </row>
    <row r="676">
      <c r="E676" s="7" t="n"/>
    </row>
    <row r="677">
      <c r="E677" s="7" t="n"/>
    </row>
    <row r="678">
      <c r="E678" s="7" t="n"/>
    </row>
    <row r="679">
      <c r="E679" s="7" t="n"/>
    </row>
    <row r="680">
      <c r="E680" s="7" t="n"/>
    </row>
    <row r="681">
      <c r="E681" s="7" t="n"/>
    </row>
    <row r="682">
      <c r="E682" s="7" t="n"/>
    </row>
    <row r="683">
      <c r="E683" s="7" t="n"/>
    </row>
    <row r="684">
      <c r="E684" s="7" t="n"/>
    </row>
    <row r="685">
      <c r="E685" s="7" t="n"/>
    </row>
    <row r="686">
      <c r="E686" s="7" t="n"/>
    </row>
    <row r="687">
      <c r="E687" s="7" t="n"/>
    </row>
    <row r="688">
      <c r="E688" s="7" t="n"/>
    </row>
    <row r="689">
      <c r="E689" s="7" t="n"/>
    </row>
    <row r="690">
      <c r="E690" s="7" t="n"/>
    </row>
    <row r="691">
      <c r="E691" s="7" t="n"/>
    </row>
    <row r="692">
      <c r="E692" s="7" t="n"/>
    </row>
    <row r="693">
      <c r="E693" s="7" t="n"/>
    </row>
    <row r="694">
      <c r="E694" s="7" t="n"/>
    </row>
    <row r="695">
      <c r="E695" s="7" t="n"/>
    </row>
    <row r="696">
      <c r="E696" s="7" t="n"/>
    </row>
    <row r="697">
      <c r="E697" s="7" t="n"/>
    </row>
    <row r="698">
      <c r="E698" s="7" t="n"/>
    </row>
    <row r="699">
      <c r="E699" s="7" t="n"/>
    </row>
    <row r="700">
      <c r="E700" s="7" t="n"/>
    </row>
    <row r="701">
      <c r="E701" s="7" t="n"/>
    </row>
    <row r="702">
      <c r="E702" s="7" t="n"/>
    </row>
    <row r="703">
      <c r="E703" s="7" t="n"/>
    </row>
    <row r="704">
      <c r="E704" s="7" t="n"/>
    </row>
    <row r="705">
      <c r="E705" s="7" t="n"/>
    </row>
    <row r="706">
      <c r="E706" s="7" t="n"/>
    </row>
    <row r="707">
      <c r="E707" s="7" t="n"/>
    </row>
    <row r="708">
      <c r="E708" s="7" t="n"/>
    </row>
    <row r="709">
      <c r="E709" s="7" t="n"/>
    </row>
    <row r="710">
      <c r="E710" s="7" t="n"/>
    </row>
    <row r="711">
      <c r="E711" s="7" t="n"/>
    </row>
    <row r="712">
      <c r="E712" s="7" t="n"/>
    </row>
    <row r="713">
      <c r="E713" s="7" t="n"/>
    </row>
    <row r="714">
      <c r="E714" s="7" t="n"/>
    </row>
    <row r="715">
      <c r="E715" s="7" t="n"/>
    </row>
    <row r="716">
      <c r="E716" s="7" t="n"/>
    </row>
    <row r="717">
      <c r="E717" s="7" t="n"/>
    </row>
    <row r="718">
      <c r="E718" s="7" t="n"/>
    </row>
    <row r="719">
      <c r="E719" s="7" t="n"/>
    </row>
    <row r="720">
      <c r="E720" s="7" t="n"/>
    </row>
    <row r="721">
      <c r="E721" s="7" t="n"/>
    </row>
    <row r="722">
      <c r="E722" s="7" t="n"/>
    </row>
    <row r="723">
      <c r="E723" s="7" t="n"/>
    </row>
    <row r="724">
      <c r="E724" s="7" t="n"/>
    </row>
    <row r="725">
      <c r="E725" s="7" t="n"/>
    </row>
    <row r="726">
      <c r="E726" s="7" t="n"/>
    </row>
    <row r="727">
      <c r="E727" s="7" t="n"/>
    </row>
    <row r="728">
      <c r="E728" s="7" t="n"/>
    </row>
    <row r="729">
      <c r="E729" s="7" t="n"/>
    </row>
    <row r="730">
      <c r="E730" s="7" t="n"/>
    </row>
    <row r="731">
      <c r="E731" s="7" t="n"/>
    </row>
    <row r="732">
      <c r="E732" s="7" t="n"/>
    </row>
    <row r="733">
      <c r="E733" s="7" t="n"/>
    </row>
    <row r="734">
      <c r="E734" s="7" t="n"/>
    </row>
    <row r="735">
      <c r="E735" s="7" t="n"/>
    </row>
    <row r="736">
      <c r="E736" s="7" t="n"/>
    </row>
    <row r="737">
      <c r="E737" s="7" t="n"/>
    </row>
    <row r="738">
      <c r="E738" s="7" t="n"/>
    </row>
    <row r="739">
      <c r="E739" s="7" t="n"/>
    </row>
    <row r="740">
      <c r="E740" s="7" t="n"/>
    </row>
    <row r="741">
      <c r="E741" s="7" t="n"/>
    </row>
    <row r="742">
      <c r="E742" s="7" t="n"/>
    </row>
    <row r="743">
      <c r="E743" s="7" t="n"/>
    </row>
    <row r="744">
      <c r="E744" s="7" t="n"/>
    </row>
    <row r="745">
      <c r="E745" s="7" t="n"/>
    </row>
    <row r="746">
      <c r="E746" s="7" t="n"/>
    </row>
    <row r="747">
      <c r="E747" s="7" t="n"/>
    </row>
    <row r="748">
      <c r="E748" s="7" t="n"/>
    </row>
    <row r="749">
      <c r="E749" s="7" t="n"/>
    </row>
    <row r="750">
      <c r="E750" s="7" t="n"/>
    </row>
    <row r="751">
      <c r="E751" s="7" t="n"/>
    </row>
    <row r="752">
      <c r="E752" s="7" t="n"/>
    </row>
    <row r="753">
      <c r="E753" s="7" t="n"/>
    </row>
    <row r="754">
      <c r="E754" s="7" t="n"/>
    </row>
    <row r="755">
      <c r="E755" s="7" t="n"/>
    </row>
    <row r="756">
      <c r="E756" s="7" t="n"/>
    </row>
    <row r="757">
      <c r="E757" s="7" t="n"/>
    </row>
    <row r="758">
      <c r="E758" s="7" t="n"/>
    </row>
    <row r="759">
      <c r="E759" s="7" t="n"/>
    </row>
    <row r="760">
      <c r="E760" s="7" t="n"/>
    </row>
    <row r="761">
      <c r="E761" s="7" t="n"/>
    </row>
    <row r="762">
      <c r="E762" s="7" t="n"/>
    </row>
    <row r="763">
      <c r="E763" s="7" t="n"/>
    </row>
    <row r="764">
      <c r="E764" s="7" t="n"/>
    </row>
    <row r="765">
      <c r="E765" s="7" t="n"/>
    </row>
    <row r="766">
      <c r="E766" s="7" t="n"/>
    </row>
    <row r="767">
      <c r="E767" s="7" t="n"/>
    </row>
    <row r="768">
      <c r="E768" s="7" t="n"/>
    </row>
    <row r="769">
      <c r="E769" s="7" t="n"/>
    </row>
    <row r="770">
      <c r="E770" s="7" t="n"/>
    </row>
    <row r="771">
      <c r="E771" s="7" t="n"/>
    </row>
    <row r="772">
      <c r="E772" s="7" t="n"/>
    </row>
    <row r="773">
      <c r="E773" s="7" t="n"/>
    </row>
    <row r="774">
      <c r="E774" s="7" t="n"/>
    </row>
    <row r="775">
      <c r="E775" s="7" t="n"/>
    </row>
    <row r="776">
      <c r="E776" s="7" t="n"/>
    </row>
    <row r="777">
      <c r="E777" s="7" t="n"/>
    </row>
    <row r="778">
      <c r="E778" s="7" t="n"/>
    </row>
    <row r="779">
      <c r="E779" s="7" t="n"/>
    </row>
    <row r="780">
      <c r="E780" s="7" t="n"/>
    </row>
    <row r="781">
      <c r="E781" s="7" t="n"/>
    </row>
    <row r="782">
      <c r="E782" s="7" t="n"/>
    </row>
    <row r="783">
      <c r="E783" s="7" t="n"/>
    </row>
    <row r="784">
      <c r="E784" s="7" t="n"/>
    </row>
    <row r="785">
      <c r="E785" s="7" t="n"/>
    </row>
    <row r="786">
      <c r="E786" s="7" t="n"/>
    </row>
    <row r="787">
      <c r="E787" s="7" t="n"/>
    </row>
    <row r="788">
      <c r="E788" s="7" t="n"/>
    </row>
    <row r="789">
      <c r="E789" s="7" t="n"/>
    </row>
    <row r="790">
      <c r="E790" s="7" t="n"/>
    </row>
    <row r="791">
      <c r="E791" s="7" t="n"/>
    </row>
    <row r="792">
      <c r="E792" s="7" t="n"/>
    </row>
    <row r="793">
      <c r="E793" s="7" t="n"/>
    </row>
    <row r="794">
      <c r="E794" s="7" t="n"/>
    </row>
    <row r="795">
      <c r="E795" s="7" t="n"/>
    </row>
    <row r="796">
      <c r="E796" s="7" t="n"/>
    </row>
    <row r="797">
      <c r="E797" s="7" t="n"/>
    </row>
    <row r="798">
      <c r="E798" s="7" t="n"/>
    </row>
    <row r="799">
      <c r="E799" s="7" t="n"/>
    </row>
    <row r="800">
      <c r="E800" s="7" t="n"/>
    </row>
    <row r="801">
      <c r="E801" s="7" t="n"/>
    </row>
    <row r="802">
      <c r="E802" s="7" t="n"/>
    </row>
    <row r="803">
      <c r="E803" s="7" t="n"/>
    </row>
    <row r="804">
      <c r="E804" s="7" t="n"/>
    </row>
    <row r="805">
      <c r="E805" s="7" t="n"/>
    </row>
    <row r="806">
      <c r="E806" s="7" t="n"/>
    </row>
    <row r="807">
      <c r="E807" s="7" t="n"/>
    </row>
    <row r="808">
      <c r="E808" s="7" t="n"/>
    </row>
    <row r="809">
      <c r="E809" s="7" t="n"/>
    </row>
    <row r="810">
      <c r="E810" s="7" t="n"/>
    </row>
    <row r="811">
      <c r="E811" s="7" t="n"/>
    </row>
    <row r="812">
      <c r="E812" s="7" t="n"/>
    </row>
    <row r="813">
      <c r="E813" s="7" t="n"/>
    </row>
    <row r="814">
      <c r="E814" s="7" t="n"/>
    </row>
    <row r="815">
      <c r="E815" s="7" t="n"/>
    </row>
    <row r="816">
      <c r="E816" s="7" t="n"/>
    </row>
    <row r="817">
      <c r="E817" s="7" t="n"/>
    </row>
    <row r="818">
      <c r="E818" s="7" t="n"/>
    </row>
    <row r="819">
      <c r="E819" s="7" t="n"/>
    </row>
    <row r="820">
      <c r="E820" s="7" t="n"/>
    </row>
    <row r="821">
      <c r="E821" s="7" t="n"/>
    </row>
    <row r="822">
      <c r="E822" s="7" t="n"/>
    </row>
    <row r="823">
      <c r="E823" s="7" t="n"/>
    </row>
    <row r="824">
      <c r="E824" s="7" t="n"/>
    </row>
    <row r="825">
      <c r="E825" s="7" t="n"/>
    </row>
    <row r="826">
      <c r="E826" s="7" t="n"/>
    </row>
    <row r="827">
      <c r="E827" s="7" t="n"/>
    </row>
    <row r="828">
      <c r="E828" s="7" t="n"/>
    </row>
    <row r="829">
      <c r="E829" s="7" t="n"/>
    </row>
    <row r="830">
      <c r="E830" s="7" t="n"/>
    </row>
    <row r="831">
      <c r="E831" s="7" t="n"/>
    </row>
    <row r="832">
      <c r="E832" s="7" t="n"/>
    </row>
    <row r="833">
      <c r="E833" s="7" t="n"/>
    </row>
    <row r="834">
      <c r="E834" s="7" t="n"/>
    </row>
    <row r="835">
      <c r="E835" s="7" t="n"/>
    </row>
    <row r="836">
      <c r="E836" s="7" t="n"/>
    </row>
    <row r="837">
      <c r="E837" s="7" t="n"/>
    </row>
    <row r="838">
      <c r="E838" s="7" t="n"/>
    </row>
    <row r="839">
      <c r="E839" s="7" t="n"/>
    </row>
    <row r="840">
      <c r="E840" s="7" t="n"/>
    </row>
    <row r="841">
      <c r="E841" s="7" t="n"/>
    </row>
    <row r="842">
      <c r="E842" s="7" t="n"/>
    </row>
    <row r="843">
      <c r="E843" s="7" t="n"/>
    </row>
    <row r="844">
      <c r="E844" s="7" t="n"/>
    </row>
    <row r="845">
      <c r="E845" s="7" t="n"/>
    </row>
    <row r="846">
      <c r="E846" s="7" t="n"/>
    </row>
    <row r="847">
      <c r="E847" s="7" t="n"/>
    </row>
    <row r="848">
      <c r="E848" s="7" t="n"/>
    </row>
    <row r="849">
      <c r="E849" s="7" t="n"/>
    </row>
    <row r="850">
      <c r="E850" s="7" t="n"/>
    </row>
    <row r="851">
      <c r="E851" s="7" t="n"/>
    </row>
    <row r="852">
      <c r="E852" s="7" t="n"/>
    </row>
    <row r="853">
      <c r="E853" s="7" t="n"/>
    </row>
    <row r="854">
      <c r="E854" s="7" t="n"/>
    </row>
    <row r="855">
      <c r="E855" s="7" t="n"/>
    </row>
    <row r="856">
      <c r="E856" s="7" t="n"/>
    </row>
    <row r="857">
      <c r="E857" s="7" t="n"/>
    </row>
    <row r="858">
      <c r="E858" s="7" t="n"/>
    </row>
    <row r="859">
      <c r="E859" s="7" t="n"/>
    </row>
    <row r="860">
      <c r="E860" s="7" t="n"/>
    </row>
    <row r="861">
      <c r="E861" s="7" t="n"/>
    </row>
    <row r="862">
      <c r="E862" s="7" t="n"/>
    </row>
    <row r="863">
      <c r="E863" s="7" t="n"/>
    </row>
    <row r="864">
      <c r="E864" s="7" t="n"/>
    </row>
    <row r="865">
      <c r="E865" s="7" t="n"/>
    </row>
    <row r="866">
      <c r="E866" s="7" t="n"/>
    </row>
    <row r="867">
      <c r="E867" s="7" t="n"/>
    </row>
    <row r="868">
      <c r="E868" s="7" t="n"/>
    </row>
    <row r="869">
      <c r="E869" s="7" t="n"/>
    </row>
    <row r="870">
      <c r="E870" s="7" t="n"/>
    </row>
    <row r="871">
      <c r="E871" s="7" t="n"/>
    </row>
    <row r="872">
      <c r="E872" s="7" t="n"/>
    </row>
    <row r="873">
      <c r="E873" s="7" t="n"/>
    </row>
    <row r="874">
      <c r="E874" s="7" t="n"/>
    </row>
    <row r="875">
      <c r="E875" s="7" t="n"/>
    </row>
    <row r="876">
      <c r="E876" s="7" t="n"/>
    </row>
    <row r="877">
      <c r="E877" s="7" t="n"/>
    </row>
    <row r="878">
      <c r="E878" s="7" t="n"/>
    </row>
    <row r="879">
      <c r="E879" s="7" t="n"/>
    </row>
    <row r="880">
      <c r="E880" s="7" t="n"/>
    </row>
    <row r="881">
      <c r="E881" s="7" t="n"/>
    </row>
    <row r="882">
      <c r="E882" s="7" t="n"/>
    </row>
    <row r="883">
      <c r="E883" s="7" t="n"/>
    </row>
    <row r="884">
      <c r="E884" s="7" t="n"/>
    </row>
    <row r="885">
      <c r="E885" s="7" t="n"/>
    </row>
    <row r="886">
      <c r="E886" s="7" t="n"/>
    </row>
    <row r="887">
      <c r="E887" s="7" t="n"/>
    </row>
    <row r="888">
      <c r="E888" s="7" t="n"/>
    </row>
    <row r="889">
      <c r="E889" s="7" t="n"/>
    </row>
    <row r="890">
      <c r="E890" s="7" t="n"/>
    </row>
    <row r="891">
      <c r="E891" s="7" t="n"/>
    </row>
    <row r="892">
      <c r="E892" s="7" t="n"/>
    </row>
    <row r="893">
      <c r="E893" s="7" t="n"/>
    </row>
    <row r="894">
      <c r="E894" s="7" t="n"/>
    </row>
    <row r="895">
      <c r="E895" s="7" t="n"/>
    </row>
    <row r="896">
      <c r="E896" s="7" t="n"/>
    </row>
    <row r="897">
      <c r="E897" s="7" t="n"/>
    </row>
    <row r="898">
      <c r="E898" s="7" t="n"/>
    </row>
    <row r="899">
      <c r="E899" s="7" t="n"/>
    </row>
    <row r="900">
      <c r="E900" s="7" t="n"/>
    </row>
    <row r="901">
      <c r="E901" s="7" t="n"/>
    </row>
    <row r="902">
      <c r="E902" s="7" t="n"/>
    </row>
    <row r="903">
      <c r="E903" s="7" t="n"/>
    </row>
    <row r="904">
      <c r="E904" s="7" t="n"/>
    </row>
    <row r="905">
      <c r="E905" s="7" t="n"/>
    </row>
    <row r="906">
      <c r="E906" s="7" t="n"/>
    </row>
    <row r="907">
      <c r="E907" s="7" t="n"/>
    </row>
    <row r="908">
      <c r="E908" s="7" t="n"/>
    </row>
    <row r="909">
      <c r="E909" s="7" t="n"/>
    </row>
    <row r="910">
      <c r="E910" s="7" t="n"/>
    </row>
    <row r="911">
      <c r="E911" s="7" t="n"/>
    </row>
    <row r="912">
      <c r="E912" s="7" t="n"/>
    </row>
    <row r="913">
      <c r="E913" s="7" t="n"/>
    </row>
    <row r="914">
      <c r="E914" s="7" t="n"/>
    </row>
    <row r="915">
      <c r="E915" s="7" t="n"/>
    </row>
    <row r="916">
      <c r="E916" s="7" t="n"/>
    </row>
    <row r="917">
      <c r="E917" s="7" t="n"/>
    </row>
    <row r="918">
      <c r="E918" s="7" t="n"/>
    </row>
    <row r="919">
      <c r="E919" s="7" t="n"/>
    </row>
    <row r="920">
      <c r="E920" s="7" t="n"/>
    </row>
    <row r="921">
      <c r="E921" s="7" t="n"/>
    </row>
    <row r="922">
      <c r="E922" s="7" t="n"/>
    </row>
    <row r="923">
      <c r="E923" s="7" t="n"/>
    </row>
    <row r="924">
      <c r="E924" s="7" t="n"/>
    </row>
    <row r="925">
      <c r="E925" s="7" t="n"/>
    </row>
    <row r="926">
      <c r="E926" s="7" t="n"/>
    </row>
    <row r="927">
      <c r="E927" s="7" t="n"/>
    </row>
    <row r="928">
      <c r="E928" s="7" t="n"/>
    </row>
    <row r="929">
      <c r="E929" s="7" t="n"/>
    </row>
    <row r="930">
      <c r="E930" s="7" t="n"/>
    </row>
    <row r="931">
      <c r="E931" s="7" t="n"/>
    </row>
    <row r="932">
      <c r="E932" s="7" t="n"/>
    </row>
    <row r="933">
      <c r="E933" s="7" t="n"/>
    </row>
    <row r="934">
      <c r="E934" s="7" t="n"/>
    </row>
    <row r="935">
      <c r="E935" s="7" t="n"/>
    </row>
    <row r="936">
      <c r="E936" s="7" t="n"/>
    </row>
    <row r="937">
      <c r="E937" s="7" t="n"/>
    </row>
    <row r="938">
      <c r="E938" s="7" t="n"/>
    </row>
    <row r="939">
      <c r="E939" s="7" t="n"/>
    </row>
    <row r="940">
      <c r="E940" s="7" t="n"/>
    </row>
    <row r="941">
      <c r="E941" s="7" t="n"/>
    </row>
    <row r="942">
      <c r="E942" s="7" t="n"/>
    </row>
    <row r="943">
      <c r="E943" s="7" t="n"/>
    </row>
    <row r="944">
      <c r="E944" s="7" t="n"/>
    </row>
    <row r="945">
      <c r="E945" s="7" t="n"/>
    </row>
    <row r="946">
      <c r="E946" s="7" t="n"/>
    </row>
    <row r="947">
      <c r="E947" s="7" t="n"/>
    </row>
    <row r="948">
      <c r="E948" s="7" t="n"/>
    </row>
    <row r="949">
      <c r="E949" s="7" t="n"/>
    </row>
    <row r="950">
      <c r="E950" s="7" t="n"/>
    </row>
    <row r="951">
      <c r="E951" s="7" t="n"/>
    </row>
    <row r="952">
      <c r="E952" s="7" t="n"/>
    </row>
    <row r="953">
      <c r="E953" s="7" t="n"/>
    </row>
    <row r="954">
      <c r="E954" s="7" t="n"/>
    </row>
    <row r="955">
      <c r="E955" s="7" t="n"/>
    </row>
    <row r="956">
      <c r="E956" s="7" t="n"/>
    </row>
    <row r="957">
      <c r="E957" s="7" t="n"/>
    </row>
    <row r="958">
      <c r="E958" s="7" t="n"/>
    </row>
    <row r="959">
      <c r="E959" s="7" t="n"/>
    </row>
    <row r="960">
      <c r="E960" s="7" t="n"/>
    </row>
    <row r="961">
      <c r="E961" s="7" t="n"/>
    </row>
    <row r="962">
      <c r="E962" s="7" t="n"/>
    </row>
    <row r="963">
      <c r="E963" s="7" t="n"/>
    </row>
    <row r="964">
      <c r="E964" s="7" t="n"/>
    </row>
    <row r="965">
      <c r="E965" s="7" t="n"/>
    </row>
    <row r="966">
      <c r="E966" s="7" t="n"/>
    </row>
    <row r="967">
      <c r="E967" s="7" t="n"/>
    </row>
    <row r="968">
      <c r="E968" s="7" t="n"/>
    </row>
    <row r="969">
      <c r="E969" s="7" t="n"/>
    </row>
    <row r="970">
      <c r="E970" s="7" t="n"/>
    </row>
    <row r="971">
      <c r="E971" s="7" t="n"/>
    </row>
    <row r="972">
      <c r="E972" s="7" t="n"/>
    </row>
    <row r="973">
      <c r="E973" s="7" t="n"/>
    </row>
    <row r="974">
      <c r="E974" s="7" t="n"/>
    </row>
    <row r="975">
      <c r="E975" s="7" t="n"/>
    </row>
    <row r="976">
      <c r="E976" s="7" t="n"/>
    </row>
    <row r="977">
      <c r="E977" s="7" t="n"/>
    </row>
    <row r="978">
      <c r="E978" s="7" t="n"/>
    </row>
    <row r="979">
      <c r="E979" s="7" t="n"/>
    </row>
    <row r="980">
      <c r="E980" s="7" t="n"/>
    </row>
    <row r="981">
      <c r="E981" s="7" t="n"/>
    </row>
    <row r="982">
      <c r="E982" s="7" t="n"/>
    </row>
    <row r="983">
      <c r="E983" s="7" t="n"/>
    </row>
    <row r="984">
      <c r="E984" s="7" t="n"/>
    </row>
    <row r="985">
      <c r="E985" s="7" t="n"/>
    </row>
    <row r="986">
      <c r="E986" s="7" t="n"/>
    </row>
    <row r="987">
      <c r="E987" s="7" t="n"/>
    </row>
    <row r="988">
      <c r="E988" s="7" t="n"/>
    </row>
    <row r="989">
      <c r="E989" s="7" t="n"/>
    </row>
    <row r="990">
      <c r="E990" s="7" t="n"/>
    </row>
    <row r="991">
      <c r="E991" s="7" t="n"/>
    </row>
    <row r="992">
      <c r="E992" s="7" t="n"/>
    </row>
    <row r="993">
      <c r="E993" s="7" t="n"/>
    </row>
    <row r="994">
      <c r="E994" s="7" t="n"/>
    </row>
    <row r="995">
      <c r="E995" s="7" t="n"/>
    </row>
    <row r="996">
      <c r="E996" s="7" t="n"/>
    </row>
    <row r="997">
      <c r="E997" s="7" t="n"/>
    </row>
    <row r="998">
      <c r="E998" s="7" t="n"/>
    </row>
    <row r="999">
      <c r="E999" s="7" t="n"/>
    </row>
    <row r="1000">
      <c r="E1000" s="7" t="n"/>
    </row>
    <row r="1001">
      <c r="E1001" s="7" t="n"/>
    </row>
    <row r="1002">
      <c r="E1002" s="7" t="n"/>
    </row>
    <row r="1003">
      <c r="E1003" s="7" t="n"/>
    </row>
    <row r="1004">
      <c r="E1004" s="7" t="n"/>
    </row>
    <row r="1005">
      <c r="E1005" s="7" t="n"/>
    </row>
    <row r="1006">
      <c r="E1006" s="7" t="n"/>
    </row>
    <row r="1007">
      <c r="E1007" s="7" t="n"/>
    </row>
    <row r="1008">
      <c r="E1008" s="7" t="n"/>
    </row>
    <row r="1009">
      <c r="E1009" s="7" t="n"/>
    </row>
    <row r="1010">
      <c r="E1010" s="7" t="n"/>
    </row>
    <row r="1011">
      <c r="E1011" s="7" t="n"/>
    </row>
    <row r="1012">
      <c r="E1012" s="7" t="n"/>
    </row>
    <row r="1013">
      <c r="E1013" s="7" t="n"/>
    </row>
    <row r="1014">
      <c r="E1014" s="7" t="n"/>
    </row>
    <row r="1015">
      <c r="E1015" s="7" t="n"/>
    </row>
    <row r="1016">
      <c r="E1016" s="7" t="n"/>
    </row>
    <row r="1017">
      <c r="E1017" s="7" t="n"/>
    </row>
    <row r="1018">
      <c r="E1018" s="7" t="n"/>
    </row>
    <row r="1019">
      <c r="E1019" s="7" t="n"/>
    </row>
    <row r="1020">
      <c r="E1020" s="7" t="n"/>
    </row>
    <row r="1021">
      <c r="E1021" s="7" t="n"/>
    </row>
    <row r="1022">
      <c r="E1022" s="7" t="n"/>
    </row>
    <row r="1023">
      <c r="E1023" s="7" t="n"/>
    </row>
    <row r="1024">
      <c r="E1024" s="7" t="n"/>
    </row>
    <row r="1025">
      <c r="E1025" s="7" t="n"/>
    </row>
    <row r="1026">
      <c r="E1026" s="7" t="n"/>
    </row>
    <row r="1027">
      <c r="E1027" s="7" t="n"/>
    </row>
    <row r="1028">
      <c r="E1028" s="7" t="n"/>
    </row>
    <row r="1029">
      <c r="E1029" s="7" t="n"/>
    </row>
    <row r="1030">
      <c r="E1030" s="7" t="n"/>
    </row>
    <row r="1031">
      <c r="E1031" s="7" t="n"/>
    </row>
    <row r="1032">
      <c r="E1032" s="7" t="n"/>
    </row>
    <row r="1033">
      <c r="E1033" s="7" t="n"/>
    </row>
    <row r="1034">
      <c r="E1034" s="7" t="n"/>
    </row>
    <row r="1035">
      <c r="E1035" s="7" t="n"/>
    </row>
    <row r="1036">
      <c r="E1036" s="7" t="n"/>
    </row>
    <row r="1037">
      <c r="E1037" s="7" t="n"/>
    </row>
    <row r="1038">
      <c r="E1038" s="7" t="n"/>
    </row>
    <row r="1039">
      <c r="E1039" s="7" t="n"/>
    </row>
    <row r="1040">
      <c r="E1040" s="7" t="n"/>
    </row>
    <row r="1041">
      <c r="E1041" s="7" t="n"/>
    </row>
    <row r="1042">
      <c r="E1042" s="7" t="n"/>
    </row>
    <row r="1043">
      <c r="E1043" s="7" t="n"/>
    </row>
    <row r="1044">
      <c r="E1044" s="7" t="n"/>
    </row>
    <row r="1045">
      <c r="E1045" s="7" t="n"/>
    </row>
    <row r="1046">
      <c r="E1046" s="7" t="n"/>
    </row>
    <row r="1047">
      <c r="E1047" s="7" t="n"/>
    </row>
    <row r="1048">
      <c r="E1048" s="7" t="n"/>
    </row>
    <row r="1049">
      <c r="E1049" s="7" t="n"/>
    </row>
    <row r="1050">
      <c r="E1050" s="7" t="n"/>
    </row>
    <row r="1051">
      <c r="E1051" s="7" t="n"/>
    </row>
    <row r="1052">
      <c r="E1052" s="7" t="n"/>
    </row>
    <row r="1053">
      <c r="E1053" s="7" t="n"/>
    </row>
    <row r="1054">
      <c r="E1054" s="7" t="n"/>
    </row>
    <row r="1055">
      <c r="E1055" s="7" t="n"/>
    </row>
    <row r="1056">
      <c r="E1056" s="7" t="n"/>
    </row>
    <row r="1057">
      <c r="E1057" s="7" t="n"/>
    </row>
    <row r="1058">
      <c r="E1058" s="7" t="n"/>
    </row>
    <row r="1059">
      <c r="E1059" s="7" t="n"/>
    </row>
    <row r="1060">
      <c r="E1060" s="7" t="n"/>
    </row>
    <row r="1061">
      <c r="E1061" s="7" t="n"/>
    </row>
    <row r="1062">
      <c r="E1062" s="7" t="n"/>
    </row>
    <row r="1063">
      <c r="E1063" s="7" t="n"/>
    </row>
    <row r="1064">
      <c r="E1064" s="7" t="n"/>
    </row>
    <row r="1065">
      <c r="E1065" s="7" t="n"/>
    </row>
    <row r="1066">
      <c r="E1066" s="7" t="n"/>
    </row>
    <row r="1067">
      <c r="E1067" s="7" t="n"/>
    </row>
    <row r="1068">
      <c r="E1068" s="7" t="n"/>
    </row>
    <row r="1069">
      <c r="E1069" s="7" t="n"/>
    </row>
    <row r="1070">
      <c r="E1070" s="7" t="n"/>
    </row>
    <row r="1071">
      <c r="E1071" s="7" t="n"/>
    </row>
    <row r="1072">
      <c r="E1072" s="7" t="n"/>
    </row>
    <row r="1073">
      <c r="E1073" s="7" t="n"/>
    </row>
    <row r="1074">
      <c r="E1074" s="7" t="n"/>
    </row>
    <row r="1075">
      <c r="E1075" s="7" t="n"/>
    </row>
    <row r="1076">
      <c r="E1076" s="7" t="n"/>
    </row>
    <row r="1077">
      <c r="E1077" s="7" t="n"/>
    </row>
    <row r="1078">
      <c r="E1078" s="7" t="n"/>
    </row>
    <row r="1079">
      <c r="E1079" s="7" t="n"/>
    </row>
    <row r="1080">
      <c r="E1080" s="7" t="n"/>
    </row>
    <row r="1081">
      <c r="E1081" s="7" t="n"/>
    </row>
    <row r="1082">
      <c r="E1082" s="7" t="n"/>
    </row>
    <row r="1083">
      <c r="E1083" s="7" t="n"/>
    </row>
    <row r="1084">
      <c r="E1084" s="7" t="n"/>
    </row>
    <row r="1085">
      <c r="E1085" s="7" t="n"/>
    </row>
    <row r="1086">
      <c r="E1086" s="7" t="n"/>
    </row>
    <row r="1087">
      <c r="E1087" s="7" t="n"/>
    </row>
    <row r="1088">
      <c r="E1088" s="7" t="n"/>
    </row>
    <row r="1089">
      <c r="E1089" s="7" t="n"/>
    </row>
    <row r="1090">
      <c r="E1090" s="7" t="n"/>
    </row>
    <row r="1091">
      <c r="E1091" s="7" t="n"/>
    </row>
    <row r="1092">
      <c r="E1092" s="7" t="n"/>
    </row>
    <row r="1093">
      <c r="E1093" s="7" t="n"/>
    </row>
    <row r="1094">
      <c r="E1094" s="7" t="n"/>
    </row>
    <row r="1095">
      <c r="E1095" s="7" t="n"/>
    </row>
    <row r="1096">
      <c r="E1096" s="7" t="n"/>
    </row>
    <row r="1097">
      <c r="E1097" s="7" t="n"/>
    </row>
    <row r="1098">
      <c r="E1098" s="7" t="n"/>
    </row>
    <row r="1099">
      <c r="E1099" s="7" t="n"/>
    </row>
    <row r="1100">
      <c r="E1100" s="7" t="n"/>
    </row>
    <row r="1101">
      <c r="E1101" s="7" t="n"/>
    </row>
    <row r="1102">
      <c r="E1102" s="7" t="n"/>
    </row>
    <row r="1103">
      <c r="E1103" s="7" t="n"/>
    </row>
    <row r="1104">
      <c r="E1104" s="7" t="n"/>
    </row>
    <row r="1105">
      <c r="E1105" s="7" t="n"/>
    </row>
    <row r="1106">
      <c r="E1106" s="7" t="n"/>
    </row>
    <row r="1107">
      <c r="E1107" s="7" t="n"/>
    </row>
    <row r="1108">
      <c r="E1108" s="7" t="n"/>
    </row>
    <row r="1109">
      <c r="E1109" s="7" t="n"/>
    </row>
    <row r="1110">
      <c r="E1110" s="7" t="n"/>
    </row>
    <row r="1111">
      <c r="E1111" s="7" t="n"/>
    </row>
    <row r="1112">
      <c r="E1112" s="7" t="n"/>
    </row>
    <row r="1113">
      <c r="E1113" s="7" t="n"/>
    </row>
    <row r="1114">
      <c r="E1114" s="7" t="n"/>
    </row>
    <row r="1115">
      <c r="E1115" s="7" t="n"/>
    </row>
    <row r="1116">
      <c r="E1116" s="7" t="n"/>
    </row>
    <row r="1117">
      <c r="E1117" s="7" t="n"/>
    </row>
    <row r="1118">
      <c r="E1118" s="7" t="n"/>
    </row>
    <row r="1119">
      <c r="E1119" s="7" t="n"/>
    </row>
    <row r="1120">
      <c r="E1120" s="7" t="n"/>
    </row>
    <row r="1121">
      <c r="E1121" s="7" t="n"/>
    </row>
    <row r="1122">
      <c r="E1122" s="7" t="n"/>
    </row>
    <row r="1123">
      <c r="E1123" s="7" t="n"/>
    </row>
    <row r="1124">
      <c r="E1124" s="7" t="n"/>
    </row>
    <row r="1125">
      <c r="E1125" s="7" t="n"/>
    </row>
    <row r="1126">
      <c r="E1126" s="7" t="n"/>
    </row>
    <row r="1127">
      <c r="E1127" s="7" t="n"/>
    </row>
    <row r="1128">
      <c r="E1128" s="7" t="n"/>
    </row>
    <row r="1129">
      <c r="E1129" s="7" t="n"/>
    </row>
    <row r="1130">
      <c r="E1130" s="7" t="n"/>
    </row>
    <row r="1131">
      <c r="E1131" s="7" t="n"/>
    </row>
    <row r="1132">
      <c r="E1132" s="7" t="n"/>
    </row>
    <row r="1133">
      <c r="E1133" s="7" t="n"/>
    </row>
    <row r="1134">
      <c r="E1134" s="7" t="n"/>
    </row>
    <row r="1135">
      <c r="E1135" s="7" t="n"/>
    </row>
    <row r="1136">
      <c r="E1136" s="7" t="n"/>
    </row>
    <row r="1137">
      <c r="E1137" s="7" t="n"/>
    </row>
    <row r="1138">
      <c r="E1138" s="7" t="n"/>
    </row>
    <row r="1139">
      <c r="E1139" s="7" t="n"/>
    </row>
    <row r="1140">
      <c r="E1140" s="7" t="n"/>
    </row>
    <row r="1141">
      <c r="E1141" s="7" t="n"/>
    </row>
    <row r="1142">
      <c r="E1142" s="7" t="n"/>
    </row>
    <row r="1143">
      <c r="E1143" s="7" t="n"/>
    </row>
    <row r="1144">
      <c r="E1144" s="7" t="n"/>
    </row>
    <row r="1145">
      <c r="E1145" s="7" t="n"/>
    </row>
    <row r="1146">
      <c r="E1146" s="7" t="n"/>
    </row>
    <row r="1147">
      <c r="E1147" s="7" t="n"/>
    </row>
    <row r="1148">
      <c r="E1148" s="7" t="n"/>
    </row>
    <row r="1149">
      <c r="E1149" s="7" t="n"/>
    </row>
    <row r="1150">
      <c r="E1150" s="7" t="n"/>
    </row>
    <row r="1151">
      <c r="E1151" s="7" t="n"/>
    </row>
    <row r="1152">
      <c r="E1152" s="7" t="n"/>
    </row>
    <row r="1153">
      <c r="E1153" s="7" t="n"/>
    </row>
    <row r="1154">
      <c r="E1154" s="7" t="n"/>
    </row>
    <row r="1155">
      <c r="E1155" s="7" t="n"/>
    </row>
    <row r="1156">
      <c r="E1156" s="7" t="n"/>
    </row>
    <row r="1157">
      <c r="E1157" s="7" t="n"/>
    </row>
    <row r="1158">
      <c r="E1158" s="7" t="n"/>
    </row>
    <row r="1159">
      <c r="E1159" s="7" t="n"/>
    </row>
    <row r="1160">
      <c r="E1160" s="7" t="n"/>
    </row>
    <row r="1161">
      <c r="E1161" s="7" t="n"/>
    </row>
    <row r="1162">
      <c r="E1162" s="7" t="n"/>
    </row>
    <row r="1163">
      <c r="E1163" s="7" t="n"/>
    </row>
    <row r="1164">
      <c r="E1164" s="7" t="n"/>
    </row>
    <row r="1165">
      <c r="E1165" s="7" t="n"/>
    </row>
    <row r="1166">
      <c r="E1166" s="7" t="n"/>
    </row>
    <row r="1167">
      <c r="E1167" s="7" t="n"/>
    </row>
    <row r="1168">
      <c r="E1168" s="7" t="n"/>
    </row>
    <row r="1169">
      <c r="E1169" s="7" t="n"/>
    </row>
    <row r="1170">
      <c r="E1170" s="7" t="n"/>
    </row>
    <row r="1171">
      <c r="E1171" s="7" t="n"/>
    </row>
    <row r="1172">
      <c r="E1172" s="7" t="n"/>
    </row>
    <row r="1173">
      <c r="E1173" s="7" t="n"/>
    </row>
    <row r="1174">
      <c r="E1174" s="7" t="n"/>
    </row>
    <row r="1175">
      <c r="E1175" s="7" t="n"/>
    </row>
    <row r="1176">
      <c r="E1176" s="7" t="n"/>
    </row>
    <row r="1177">
      <c r="E1177" s="7" t="n"/>
    </row>
    <row r="1178">
      <c r="E1178" s="7" t="n"/>
    </row>
    <row r="1179">
      <c r="E1179" s="7" t="n"/>
    </row>
    <row r="1180">
      <c r="E1180" s="7" t="n"/>
    </row>
    <row r="1181">
      <c r="E1181" s="7" t="n"/>
    </row>
    <row r="1182">
      <c r="E1182" s="7" t="n"/>
    </row>
    <row r="1183">
      <c r="E1183" s="7" t="n"/>
    </row>
    <row r="1184">
      <c r="E1184" s="7" t="n"/>
    </row>
    <row r="1185">
      <c r="E1185" s="7" t="n"/>
    </row>
    <row r="1186">
      <c r="E1186" s="7" t="n"/>
    </row>
    <row r="1187">
      <c r="E1187" s="7" t="n"/>
    </row>
    <row r="1188">
      <c r="E1188" s="7" t="n"/>
    </row>
    <row r="1189">
      <c r="E1189" s="7" t="n"/>
    </row>
    <row r="1190">
      <c r="E1190" s="7" t="n"/>
    </row>
    <row r="1191">
      <c r="E1191" s="7" t="n"/>
    </row>
    <row r="1192">
      <c r="E1192" s="7" t="n"/>
    </row>
    <row r="1193">
      <c r="E1193" s="7" t="n"/>
    </row>
    <row r="1194">
      <c r="E1194" s="7" t="n"/>
    </row>
    <row r="1195">
      <c r="E1195" s="7" t="n"/>
    </row>
    <row r="1196">
      <c r="E1196" s="7" t="n"/>
    </row>
    <row r="1197">
      <c r="E1197" s="7" t="n"/>
    </row>
    <row r="1198">
      <c r="E1198" s="7" t="n"/>
    </row>
    <row r="1199">
      <c r="E1199" s="7" t="n"/>
    </row>
    <row r="1200">
      <c r="E1200" s="7" t="n"/>
    </row>
    <row r="1201">
      <c r="E1201" s="7" t="n"/>
    </row>
    <row r="1202">
      <c r="E1202" s="7" t="n"/>
    </row>
    <row r="1203">
      <c r="E1203" s="7" t="n"/>
    </row>
    <row r="1204">
      <c r="E1204" s="7" t="n"/>
    </row>
    <row r="1205">
      <c r="E1205" s="7" t="n"/>
    </row>
    <row r="1206">
      <c r="E1206" s="7" t="n"/>
    </row>
    <row r="1207">
      <c r="E1207" s="7" t="n"/>
    </row>
    <row r="1208">
      <c r="E1208" s="7" t="n"/>
    </row>
    <row r="1209">
      <c r="E1209" s="7" t="n"/>
    </row>
    <row r="1210">
      <c r="E1210" s="7" t="n"/>
    </row>
    <row r="1211">
      <c r="E1211" s="7" t="n"/>
    </row>
    <row r="1212">
      <c r="E1212" s="7" t="n"/>
    </row>
    <row r="1213">
      <c r="E1213" s="7" t="n"/>
    </row>
    <row r="1214">
      <c r="E1214" s="7" t="n"/>
    </row>
    <row r="1215">
      <c r="E1215" s="7" t="n"/>
    </row>
    <row r="1216">
      <c r="E1216" s="7" t="n"/>
    </row>
    <row r="1217">
      <c r="E1217" s="7" t="n"/>
    </row>
    <row r="1218">
      <c r="E1218" s="7" t="n"/>
    </row>
    <row r="1219">
      <c r="E1219" s="7" t="n"/>
    </row>
    <row r="1220">
      <c r="E1220" s="7" t="n"/>
    </row>
    <row r="1221">
      <c r="E1221" s="7" t="n"/>
    </row>
    <row r="1222">
      <c r="E1222" s="7" t="n"/>
    </row>
    <row r="1223">
      <c r="E1223" s="7" t="n"/>
    </row>
    <row r="1224">
      <c r="E1224" s="7" t="n"/>
    </row>
    <row r="1225">
      <c r="E1225" s="7" t="n"/>
    </row>
    <row r="1226">
      <c r="E1226" s="7" t="n"/>
    </row>
    <row r="1227">
      <c r="E1227" s="7" t="n"/>
    </row>
    <row r="1228">
      <c r="E1228" s="7" t="n"/>
    </row>
    <row r="1229">
      <c r="E1229" s="7" t="n"/>
    </row>
    <row r="1230">
      <c r="E1230" s="7" t="n"/>
    </row>
    <row r="1231">
      <c r="E1231" s="7" t="n"/>
    </row>
    <row r="1232">
      <c r="E1232" s="7" t="n"/>
    </row>
    <row r="1233">
      <c r="E1233" s="7" t="n"/>
    </row>
    <row r="1234">
      <c r="E1234" s="7" t="n"/>
    </row>
    <row r="1235">
      <c r="E1235" s="7" t="n"/>
    </row>
    <row r="1236">
      <c r="E1236" s="7" t="n"/>
    </row>
    <row r="1237">
      <c r="E1237" s="7" t="n"/>
    </row>
    <row r="1238">
      <c r="E1238" s="7" t="n"/>
    </row>
    <row r="1239">
      <c r="E1239" s="7" t="n"/>
    </row>
    <row r="1240">
      <c r="E1240" s="7" t="n"/>
    </row>
    <row r="1241">
      <c r="E1241" s="7" t="n"/>
    </row>
    <row r="1242">
      <c r="E1242" s="7" t="n"/>
    </row>
    <row r="1243">
      <c r="E1243" s="7" t="n"/>
    </row>
    <row r="1244">
      <c r="E1244" s="7" t="n"/>
    </row>
    <row r="1245">
      <c r="E1245" s="7" t="n"/>
    </row>
    <row r="1246">
      <c r="E1246" s="7" t="n"/>
    </row>
    <row r="1247">
      <c r="E1247" s="7" t="n"/>
    </row>
    <row r="1248">
      <c r="E1248" s="7" t="n"/>
    </row>
    <row r="1249">
      <c r="E1249" s="7" t="n"/>
    </row>
    <row r="1250">
      <c r="E1250" s="7" t="n"/>
    </row>
    <row r="1251">
      <c r="E1251" s="7" t="n"/>
    </row>
    <row r="1252">
      <c r="E1252" s="7" t="n"/>
    </row>
    <row r="1253">
      <c r="E1253" s="7" t="n"/>
    </row>
    <row r="1254">
      <c r="E1254" s="7" t="n"/>
    </row>
    <row r="1255">
      <c r="E1255" s="7" t="n"/>
    </row>
    <row r="1256">
      <c r="E1256" s="7" t="n"/>
    </row>
    <row r="1257">
      <c r="E1257" s="7" t="n"/>
    </row>
    <row r="1258">
      <c r="E1258" s="7" t="n"/>
    </row>
    <row r="1259">
      <c r="E1259" s="7" t="n"/>
    </row>
    <row r="1260">
      <c r="E1260" s="7" t="n"/>
    </row>
    <row r="1261">
      <c r="E1261" s="7" t="n"/>
    </row>
    <row r="1262">
      <c r="E1262" s="7" t="n"/>
    </row>
    <row r="1263">
      <c r="E1263" s="7" t="n"/>
    </row>
    <row r="1264">
      <c r="E1264" s="7" t="n"/>
    </row>
    <row r="1265">
      <c r="E1265" s="7" t="n"/>
    </row>
    <row r="1266">
      <c r="E1266" s="7" t="n"/>
    </row>
    <row r="1267">
      <c r="E1267" s="7" t="n"/>
    </row>
    <row r="1268">
      <c r="E1268" s="7" t="n"/>
    </row>
    <row r="1269">
      <c r="E1269" s="7" t="n"/>
    </row>
    <row r="1270">
      <c r="E1270" s="7" t="n"/>
    </row>
    <row r="1271">
      <c r="E1271" s="7" t="n"/>
    </row>
    <row r="1272">
      <c r="E1272" s="7" t="n"/>
    </row>
    <row r="1273">
      <c r="E1273" s="7" t="n"/>
    </row>
    <row r="1274">
      <c r="E1274" s="7" t="n"/>
    </row>
    <row r="1275">
      <c r="E1275" s="7" t="n"/>
    </row>
    <row r="1276">
      <c r="E1276" s="7" t="n"/>
    </row>
    <row r="1277">
      <c r="E1277" s="7" t="n"/>
    </row>
    <row r="1278">
      <c r="E1278" s="7" t="n"/>
    </row>
    <row r="1279">
      <c r="E1279" s="7" t="n"/>
    </row>
    <row r="1280">
      <c r="E1280" s="7" t="n"/>
    </row>
    <row r="1281">
      <c r="E1281" s="7" t="n"/>
    </row>
    <row r="1282">
      <c r="E1282" s="7" t="n"/>
    </row>
    <row r="1283">
      <c r="E1283" s="7" t="n"/>
    </row>
    <row r="1284">
      <c r="E1284" s="7" t="n"/>
    </row>
    <row r="1285">
      <c r="E1285" s="7" t="n"/>
    </row>
    <row r="1286">
      <c r="E1286" s="7" t="n"/>
    </row>
    <row r="1287">
      <c r="E1287" s="7" t="n"/>
    </row>
    <row r="1288">
      <c r="E1288" s="7" t="n"/>
    </row>
    <row r="1289">
      <c r="E1289" s="7" t="n"/>
    </row>
    <row r="1290">
      <c r="E1290" s="7" t="n"/>
    </row>
    <row r="1291">
      <c r="E1291" s="7" t="n"/>
    </row>
    <row r="1292">
      <c r="E1292" s="7" t="n"/>
    </row>
    <row r="1293">
      <c r="E1293" s="7" t="n"/>
    </row>
    <row r="1294">
      <c r="E1294" s="7" t="n"/>
    </row>
    <row r="1295">
      <c r="E1295" s="7" t="n"/>
    </row>
    <row r="1296">
      <c r="E1296" s="7" t="n"/>
    </row>
    <row r="1297">
      <c r="E1297" s="7" t="n"/>
    </row>
    <row r="1298">
      <c r="E1298" s="7" t="n"/>
    </row>
    <row r="1299">
      <c r="E1299" s="7" t="n"/>
    </row>
    <row r="1300">
      <c r="E1300" s="7" t="n"/>
    </row>
    <row r="1301">
      <c r="E1301" s="7" t="n"/>
    </row>
    <row r="1302">
      <c r="E1302" s="7" t="n"/>
    </row>
    <row r="1303">
      <c r="E1303" s="7" t="n"/>
    </row>
    <row r="1304">
      <c r="E1304" s="7" t="n"/>
    </row>
    <row r="1305">
      <c r="E1305" s="7" t="n"/>
    </row>
    <row r="1306">
      <c r="E1306" s="7" t="n"/>
    </row>
    <row r="1307">
      <c r="E1307" s="7" t="n"/>
    </row>
    <row r="1308">
      <c r="E1308" s="7" t="n"/>
    </row>
    <row r="1309">
      <c r="E1309" s="7" t="n"/>
    </row>
    <row r="1310">
      <c r="E1310" s="7" t="n"/>
    </row>
    <row r="1311">
      <c r="E1311" s="7" t="n"/>
    </row>
    <row r="1312">
      <c r="E1312" s="7" t="n"/>
    </row>
    <row r="1313">
      <c r="E1313" s="7" t="n"/>
    </row>
    <row r="1314">
      <c r="E1314" s="7" t="n"/>
    </row>
    <row r="1315">
      <c r="E1315" s="7" t="n"/>
    </row>
    <row r="1316">
      <c r="E1316" s="7" t="n"/>
    </row>
    <row r="1317">
      <c r="E1317" s="7" t="n"/>
    </row>
    <row r="1318">
      <c r="E1318" s="7" t="n"/>
    </row>
    <row r="1319">
      <c r="E1319" s="7" t="n"/>
    </row>
    <row r="1320">
      <c r="E1320" s="7" t="n"/>
    </row>
    <row r="1321">
      <c r="E1321" s="7" t="n"/>
    </row>
    <row r="1322">
      <c r="E1322" s="7" t="n"/>
    </row>
    <row r="1323">
      <c r="E1323" s="7" t="n"/>
    </row>
    <row r="1324">
      <c r="E1324" s="7" t="n"/>
    </row>
    <row r="1325">
      <c r="E1325" s="7" t="n"/>
    </row>
    <row r="1326">
      <c r="E1326" s="7" t="n"/>
    </row>
    <row r="1327">
      <c r="E1327" s="7" t="n"/>
    </row>
    <row r="1328">
      <c r="E1328" s="7" t="n"/>
    </row>
    <row r="1329">
      <c r="E1329" s="7" t="n"/>
    </row>
    <row r="1330">
      <c r="E1330" s="7" t="n"/>
    </row>
    <row r="1331">
      <c r="E1331" s="7" t="n"/>
    </row>
    <row r="1332">
      <c r="E1332" s="7" t="n"/>
    </row>
    <row r="1333">
      <c r="E1333" s="7" t="n"/>
    </row>
    <row r="1334">
      <c r="E1334" s="7" t="n"/>
    </row>
    <row r="1335">
      <c r="E1335" s="7" t="n"/>
    </row>
    <row r="1336">
      <c r="E1336" s="7" t="n"/>
    </row>
    <row r="1337">
      <c r="E1337" s="7" t="n"/>
    </row>
    <row r="1338">
      <c r="E1338" s="7" t="n"/>
    </row>
    <row r="1339">
      <c r="E1339" s="7" t="n"/>
    </row>
    <row r="1340">
      <c r="E1340" s="7" t="n"/>
    </row>
    <row r="1341">
      <c r="E1341" s="7" t="n"/>
    </row>
    <row r="1342">
      <c r="E1342" s="7" t="n"/>
    </row>
    <row r="1343">
      <c r="E1343" s="7" t="n"/>
    </row>
    <row r="1344">
      <c r="E1344" s="7" t="n"/>
    </row>
    <row r="1345">
      <c r="E1345" s="7" t="n"/>
    </row>
    <row r="1346">
      <c r="E1346" s="7" t="n"/>
    </row>
    <row r="1347">
      <c r="E1347" s="7" t="n"/>
    </row>
    <row r="1348">
      <c r="E1348" s="7" t="n"/>
    </row>
    <row r="1349">
      <c r="E1349" s="7" t="n"/>
    </row>
    <row r="1350">
      <c r="E1350" s="7" t="n"/>
    </row>
    <row r="1351">
      <c r="E1351" s="7" t="n"/>
    </row>
    <row r="1352">
      <c r="E1352" s="7" t="n"/>
    </row>
    <row r="1353">
      <c r="E1353" s="7" t="n"/>
    </row>
    <row r="1354">
      <c r="E1354" s="7" t="n"/>
    </row>
    <row r="1355">
      <c r="E1355" s="7" t="n"/>
    </row>
    <row r="1356">
      <c r="E1356" s="7" t="n"/>
    </row>
    <row r="1357">
      <c r="E1357" s="7" t="n"/>
    </row>
    <row r="1358">
      <c r="E1358" s="7" t="n"/>
    </row>
    <row r="1359">
      <c r="E1359" s="7" t="n"/>
    </row>
    <row r="1360">
      <c r="E1360" s="7" t="n"/>
    </row>
    <row r="1361">
      <c r="E1361" s="7" t="n"/>
    </row>
    <row r="1362">
      <c r="E1362" s="7" t="n"/>
    </row>
    <row r="1363">
      <c r="E1363" s="7" t="n"/>
    </row>
    <row r="1364">
      <c r="E1364" s="7" t="n"/>
    </row>
    <row r="1365">
      <c r="E1365" s="7" t="n"/>
    </row>
    <row r="1366">
      <c r="E1366" s="7" t="n"/>
    </row>
    <row r="1367">
      <c r="E1367" s="7" t="n"/>
    </row>
    <row r="1368">
      <c r="E1368" s="7" t="n"/>
    </row>
    <row r="1369">
      <c r="E1369" s="7" t="n"/>
    </row>
    <row r="1370">
      <c r="E1370" s="7" t="n"/>
    </row>
    <row r="1371">
      <c r="E1371" s="7" t="n"/>
    </row>
    <row r="1372">
      <c r="E1372" s="7" t="n"/>
    </row>
    <row r="1373">
      <c r="E1373" s="7" t="n"/>
    </row>
    <row r="1374">
      <c r="E1374" s="7" t="n"/>
    </row>
    <row r="1375">
      <c r="E1375" s="7" t="n"/>
    </row>
    <row r="1376">
      <c r="E1376" s="7" t="n"/>
    </row>
    <row r="1377">
      <c r="E1377" s="7" t="n"/>
    </row>
    <row r="1378">
      <c r="E1378" s="7" t="n"/>
    </row>
    <row r="1379">
      <c r="E1379" s="7" t="n"/>
    </row>
    <row r="1380">
      <c r="E1380" s="7" t="n"/>
    </row>
    <row r="1381">
      <c r="E1381" s="7" t="n"/>
    </row>
    <row r="1382">
      <c r="E1382" s="7" t="n"/>
    </row>
    <row r="1383">
      <c r="E1383" s="7" t="n"/>
    </row>
    <row r="1384">
      <c r="E1384" s="7" t="n"/>
    </row>
    <row r="1385">
      <c r="E1385" s="7" t="n"/>
    </row>
    <row r="1386">
      <c r="E1386" s="7" t="n"/>
    </row>
    <row r="1387">
      <c r="E1387" s="7" t="n"/>
    </row>
    <row r="1388">
      <c r="E1388" s="7" t="n"/>
    </row>
    <row r="1389">
      <c r="E1389" s="7" t="n"/>
    </row>
    <row r="1390">
      <c r="E1390" s="7" t="n"/>
    </row>
    <row r="1391">
      <c r="E1391" s="7" t="n"/>
    </row>
    <row r="1392">
      <c r="E1392" s="7" t="n"/>
    </row>
    <row r="1393">
      <c r="E1393" s="7" t="n"/>
    </row>
    <row r="1394">
      <c r="E1394" s="7" t="n"/>
    </row>
    <row r="1395">
      <c r="E1395" s="7" t="n"/>
    </row>
    <row r="1396">
      <c r="E1396" s="7" t="n"/>
    </row>
    <row r="1397">
      <c r="E1397" s="7" t="n"/>
    </row>
    <row r="1398">
      <c r="E1398" s="7" t="n"/>
    </row>
    <row r="1399">
      <c r="E1399" s="7" t="n"/>
    </row>
    <row r="1400">
      <c r="E1400" s="7" t="n"/>
    </row>
    <row r="1401">
      <c r="E1401" s="7" t="n"/>
    </row>
    <row r="1402">
      <c r="E1402" s="7" t="n"/>
    </row>
    <row r="1403">
      <c r="E1403" s="7" t="n"/>
    </row>
    <row r="1404">
      <c r="E1404" s="7" t="n"/>
    </row>
    <row r="1405">
      <c r="E1405" s="7" t="n"/>
    </row>
    <row r="1406">
      <c r="E1406" s="7" t="n"/>
    </row>
    <row r="1407">
      <c r="E1407" s="7" t="n"/>
    </row>
    <row r="1408">
      <c r="E1408" s="7" t="n"/>
    </row>
    <row r="1409">
      <c r="E1409" s="7" t="n"/>
    </row>
    <row r="1410">
      <c r="E1410" s="7" t="n"/>
    </row>
    <row r="1411">
      <c r="E1411" s="7" t="n"/>
    </row>
    <row r="1412">
      <c r="E1412" s="7" t="n"/>
    </row>
    <row r="1413">
      <c r="E1413" s="7" t="n"/>
    </row>
    <row r="1414">
      <c r="E1414" s="7" t="n"/>
    </row>
    <row r="1415">
      <c r="E1415" s="7" t="n"/>
    </row>
    <row r="1416">
      <c r="E1416" s="7" t="n"/>
    </row>
    <row r="1417">
      <c r="E1417" s="7" t="n"/>
    </row>
    <row r="1418">
      <c r="E1418" s="7" t="n"/>
    </row>
    <row r="1419">
      <c r="E1419" s="7" t="n"/>
    </row>
    <row r="1420">
      <c r="E1420" s="7" t="n"/>
    </row>
    <row r="1421">
      <c r="E1421" s="7" t="n"/>
    </row>
    <row r="1422">
      <c r="E1422" s="7" t="n"/>
    </row>
    <row r="1423">
      <c r="E1423" s="7" t="n"/>
    </row>
    <row r="1424">
      <c r="E1424" s="7" t="n"/>
    </row>
    <row r="1425">
      <c r="E1425" s="7" t="n"/>
    </row>
    <row r="1426">
      <c r="E1426" s="7" t="n"/>
    </row>
    <row r="1427">
      <c r="E1427" s="7" t="n"/>
    </row>
    <row r="1428">
      <c r="E1428" s="7" t="n"/>
    </row>
    <row r="1429">
      <c r="E1429" s="7" t="n"/>
    </row>
    <row r="1430">
      <c r="E1430" s="7" t="n"/>
    </row>
    <row r="1431">
      <c r="E1431" s="7" t="n"/>
    </row>
    <row r="1432">
      <c r="E1432" s="7" t="n"/>
    </row>
    <row r="1433">
      <c r="E1433" s="7" t="n"/>
    </row>
    <row r="1434">
      <c r="E1434" s="7" t="n"/>
    </row>
    <row r="1435">
      <c r="E1435" s="7" t="n"/>
    </row>
    <row r="1436">
      <c r="E1436" s="7" t="n"/>
    </row>
    <row r="1437">
      <c r="E1437" s="7" t="n"/>
    </row>
    <row r="1438">
      <c r="E1438" s="7" t="n"/>
    </row>
    <row r="1439">
      <c r="E1439" s="7" t="n"/>
    </row>
    <row r="1440">
      <c r="E1440" s="7" t="n"/>
    </row>
    <row r="1441">
      <c r="E1441" s="7" t="n"/>
    </row>
    <row r="1442">
      <c r="E1442" s="7" t="n"/>
    </row>
    <row r="1443">
      <c r="E1443" s="7" t="n"/>
    </row>
    <row r="1444">
      <c r="E1444" s="7" t="n"/>
    </row>
    <row r="1445">
      <c r="E1445" s="7" t="n"/>
    </row>
    <row r="1446">
      <c r="E1446" s="7" t="n"/>
    </row>
    <row r="1447">
      <c r="E1447" s="7" t="n"/>
    </row>
    <row r="1448">
      <c r="E1448" s="7" t="n"/>
    </row>
    <row r="1449">
      <c r="E1449" s="7" t="n"/>
    </row>
    <row r="1450">
      <c r="E1450" s="7" t="n"/>
    </row>
    <row r="1451">
      <c r="E1451" s="7" t="n"/>
    </row>
    <row r="1452">
      <c r="E1452" s="7" t="n"/>
    </row>
    <row r="1453">
      <c r="E1453" s="7" t="n"/>
    </row>
    <row r="1454">
      <c r="E1454" s="7" t="n"/>
    </row>
    <row r="1455">
      <c r="E1455" s="7" t="n"/>
    </row>
    <row r="1456">
      <c r="E1456" s="7" t="n"/>
    </row>
    <row r="1457">
      <c r="E1457" s="7" t="n"/>
    </row>
    <row r="1458">
      <c r="E1458" s="7" t="n"/>
    </row>
    <row r="1459">
      <c r="E1459" s="7" t="n"/>
    </row>
    <row r="1460">
      <c r="E1460" s="7" t="n"/>
    </row>
    <row r="1461">
      <c r="E1461" s="7" t="n"/>
    </row>
    <row r="1462">
      <c r="E1462" s="7" t="n"/>
    </row>
    <row r="1463">
      <c r="E1463" s="7" t="n"/>
    </row>
    <row r="1464">
      <c r="E1464" s="7" t="n"/>
    </row>
    <row r="1465">
      <c r="E1465" s="7" t="n"/>
    </row>
    <row r="1466">
      <c r="E1466" s="7" t="n"/>
    </row>
    <row r="1467">
      <c r="E1467" s="7" t="n"/>
    </row>
    <row r="1468">
      <c r="E1468" s="7" t="n"/>
    </row>
    <row r="1469">
      <c r="E1469" s="7" t="n"/>
    </row>
    <row r="1470">
      <c r="E1470" s="7" t="n"/>
    </row>
    <row r="1471">
      <c r="E1471" s="7" t="n"/>
    </row>
    <row r="1472">
      <c r="E1472" s="7" t="n"/>
    </row>
    <row r="1473">
      <c r="E1473" s="7" t="n"/>
    </row>
    <row r="1474">
      <c r="E1474" s="7" t="n"/>
    </row>
    <row r="1475">
      <c r="E1475" s="7" t="n"/>
    </row>
    <row r="1476">
      <c r="E1476" s="7" t="n"/>
    </row>
    <row r="1477">
      <c r="E1477" s="7" t="n"/>
    </row>
    <row r="1478">
      <c r="E1478" s="7" t="n"/>
    </row>
    <row r="1479">
      <c r="E1479" s="7" t="n"/>
    </row>
    <row r="1480">
      <c r="E1480" s="7" t="n"/>
    </row>
    <row r="1481">
      <c r="E1481" s="7" t="n"/>
    </row>
    <row r="1482">
      <c r="E1482" s="7" t="n"/>
    </row>
    <row r="1483">
      <c r="E1483" s="7" t="n"/>
    </row>
    <row r="1484">
      <c r="E1484" s="7" t="n"/>
    </row>
    <row r="1485">
      <c r="E1485" s="7" t="n"/>
    </row>
    <row r="1486">
      <c r="E1486" s="7" t="n"/>
    </row>
    <row r="1487">
      <c r="E1487" s="7" t="n"/>
    </row>
    <row r="1488">
      <c r="E1488" s="7" t="n"/>
    </row>
    <row r="1489">
      <c r="E1489" s="7" t="n"/>
    </row>
    <row r="1490">
      <c r="E1490" s="7" t="n"/>
    </row>
    <row r="1491">
      <c r="E1491" s="7" t="n"/>
    </row>
    <row r="1492">
      <c r="E1492" s="7" t="n"/>
    </row>
    <row r="1493">
      <c r="E1493" s="7" t="n"/>
    </row>
    <row r="1494">
      <c r="E1494" s="7" t="n"/>
    </row>
    <row r="1495">
      <c r="E1495" s="7" t="n"/>
    </row>
    <row r="1496">
      <c r="E1496" s="7" t="n"/>
    </row>
    <row r="1497">
      <c r="E1497" s="7" t="n"/>
    </row>
    <row r="1498">
      <c r="E1498" s="7" t="n"/>
    </row>
    <row r="1499">
      <c r="E1499" s="7" t="n"/>
    </row>
    <row r="1500">
      <c r="E1500" s="7" t="n"/>
    </row>
    <row r="1501">
      <c r="E1501" s="7" t="n"/>
    </row>
    <row r="1502">
      <c r="E1502" s="7" t="n"/>
    </row>
    <row r="1503">
      <c r="E1503" s="7" t="n"/>
    </row>
    <row r="1504">
      <c r="E1504" s="7" t="n"/>
    </row>
    <row r="1505">
      <c r="E1505" s="7" t="n"/>
    </row>
    <row r="1506">
      <c r="E1506" s="7" t="n"/>
    </row>
    <row r="1507">
      <c r="E1507" s="7" t="n"/>
    </row>
    <row r="1508">
      <c r="E1508" s="7" t="n"/>
    </row>
    <row r="1509">
      <c r="E1509" s="7" t="n"/>
    </row>
    <row r="1510">
      <c r="E1510" s="7" t="n"/>
    </row>
    <row r="1511">
      <c r="E1511" s="7" t="n"/>
    </row>
    <row r="1512">
      <c r="E1512" s="7" t="n"/>
    </row>
    <row r="1513">
      <c r="E1513" s="7" t="n"/>
    </row>
    <row r="1514">
      <c r="E1514" s="7" t="n"/>
    </row>
    <row r="1515">
      <c r="E1515" s="7" t="n"/>
    </row>
    <row r="1516">
      <c r="E1516" s="7" t="n"/>
    </row>
    <row r="1517">
      <c r="E1517" s="7" t="n"/>
    </row>
    <row r="1518">
      <c r="E1518" s="7" t="n"/>
    </row>
    <row r="1519">
      <c r="E1519" s="7" t="n"/>
    </row>
    <row r="1520">
      <c r="E1520" s="7" t="n"/>
    </row>
    <row r="1521">
      <c r="E1521" s="7" t="n"/>
    </row>
    <row r="1522">
      <c r="E1522" s="7" t="n"/>
    </row>
    <row r="1523">
      <c r="E1523" s="7" t="n"/>
    </row>
    <row r="1524">
      <c r="E1524" s="7" t="n"/>
    </row>
    <row r="1525">
      <c r="E1525" s="7" t="n"/>
    </row>
    <row r="1526">
      <c r="E1526" s="7" t="n"/>
    </row>
    <row r="1527">
      <c r="E1527" s="7" t="n"/>
    </row>
    <row r="1528">
      <c r="E1528" s="7" t="n"/>
    </row>
    <row r="1529">
      <c r="E1529" s="7" t="n"/>
    </row>
    <row r="1530">
      <c r="E1530" s="7" t="n"/>
    </row>
    <row r="1531">
      <c r="E1531" s="7" t="n"/>
    </row>
    <row r="1532">
      <c r="E1532" s="7" t="n"/>
    </row>
    <row r="1533">
      <c r="E1533" s="7" t="n"/>
    </row>
    <row r="1534">
      <c r="E1534" s="7" t="n"/>
    </row>
    <row r="1535">
      <c r="E1535" s="7" t="n"/>
    </row>
    <row r="1536">
      <c r="E1536" s="7" t="n"/>
    </row>
    <row r="1537">
      <c r="E1537" s="7" t="n"/>
    </row>
    <row r="1538">
      <c r="E1538" s="7" t="n"/>
    </row>
    <row r="1539">
      <c r="E1539" s="7" t="n"/>
    </row>
    <row r="1540">
      <c r="E1540" s="7" t="n"/>
    </row>
    <row r="1541">
      <c r="E1541" s="7" t="n"/>
    </row>
    <row r="1542">
      <c r="E1542" s="7" t="n"/>
    </row>
    <row r="1543">
      <c r="E1543" s="7" t="n"/>
    </row>
    <row r="1544">
      <c r="E1544" s="7" t="n"/>
    </row>
    <row r="1545">
      <c r="E1545" s="7" t="n"/>
    </row>
    <row r="1546">
      <c r="E1546" s="7" t="n"/>
    </row>
    <row r="1547">
      <c r="E1547" s="7" t="n"/>
    </row>
    <row r="1548">
      <c r="E1548" s="7" t="n"/>
    </row>
    <row r="1549">
      <c r="E1549" s="7" t="n"/>
    </row>
    <row r="1550">
      <c r="E1550" s="7" t="n"/>
    </row>
    <row r="1551">
      <c r="E1551" s="7" t="n"/>
    </row>
    <row r="1552">
      <c r="E1552" s="7" t="n"/>
    </row>
    <row r="1553">
      <c r="E1553" s="7" t="n"/>
    </row>
    <row r="1554">
      <c r="E1554" s="7" t="n"/>
    </row>
    <row r="1555">
      <c r="E1555" s="7" t="n"/>
    </row>
    <row r="1556">
      <c r="E1556" s="7" t="n"/>
    </row>
    <row r="1557">
      <c r="E1557" s="7" t="n"/>
    </row>
    <row r="1558">
      <c r="E1558" s="7" t="n"/>
    </row>
    <row r="1559">
      <c r="E1559" s="7" t="n"/>
    </row>
    <row r="1560">
      <c r="E1560" s="7" t="n"/>
    </row>
    <row r="1561">
      <c r="E1561" s="7" t="n"/>
    </row>
    <row r="1562">
      <c r="E1562" s="7" t="n"/>
    </row>
    <row r="1563">
      <c r="E1563" s="7" t="n"/>
    </row>
    <row r="1564">
      <c r="E1564" s="7" t="n"/>
    </row>
    <row r="1565">
      <c r="E1565" s="7" t="n"/>
    </row>
    <row r="1566">
      <c r="E1566" s="7" t="n"/>
    </row>
    <row r="1567">
      <c r="E1567" s="7" t="n"/>
    </row>
    <row r="1568">
      <c r="E1568" s="7" t="n"/>
    </row>
    <row r="1569">
      <c r="E1569" s="7" t="n"/>
    </row>
    <row r="1570">
      <c r="E1570" s="7" t="n"/>
    </row>
    <row r="1571">
      <c r="E1571" s="7" t="n"/>
    </row>
    <row r="1572">
      <c r="E1572" s="7" t="n"/>
    </row>
    <row r="1573">
      <c r="E1573" s="7" t="n"/>
    </row>
    <row r="1574">
      <c r="E1574" s="7" t="n"/>
    </row>
    <row r="1575">
      <c r="E1575" s="7" t="n"/>
    </row>
    <row r="1576">
      <c r="E1576" s="7" t="n"/>
    </row>
    <row r="1577">
      <c r="E1577" s="7" t="n"/>
    </row>
    <row r="1578">
      <c r="E1578" s="7" t="n"/>
    </row>
    <row r="1579">
      <c r="E1579" s="7" t="n"/>
    </row>
    <row r="1580">
      <c r="E1580" s="7" t="n"/>
    </row>
    <row r="1581">
      <c r="E1581" s="7" t="n"/>
    </row>
    <row r="1582">
      <c r="E1582" s="7" t="n"/>
    </row>
    <row r="1583">
      <c r="E1583" s="7" t="n"/>
    </row>
    <row r="1584">
      <c r="E1584" s="7" t="n"/>
    </row>
    <row r="1585">
      <c r="E1585" s="7" t="n"/>
    </row>
    <row r="1586">
      <c r="E1586" s="7" t="n"/>
    </row>
    <row r="1587">
      <c r="E1587" s="7" t="n"/>
    </row>
    <row r="1588">
      <c r="E1588" s="7" t="n"/>
    </row>
    <row r="1589">
      <c r="E1589" s="7" t="n"/>
    </row>
    <row r="1590">
      <c r="E1590" s="7" t="n"/>
    </row>
    <row r="1591">
      <c r="E1591" s="7" t="n"/>
    </row>
    <row r="1592">
      <c r="E1592" s="7" t="n"/>
    </row>
    <row r="1593">
      <c r="E1593" s="7" t="n"/>
    </row>
    <row r="1594">
      <c r="E1594" s="7" t="n"/>
    </row>
    <row r="1595">
      <c r="E1595" s="7" t="n"/>
    </row>
    <row r="1596">
      <c r="E1596" s="7" t="n"/>
    </row>
    <row r="1597">
      <c r="E1597" s="7" t="n"/>
    </row>
    <row r="1598">
      <c r="E1598" s="7" t="n"/>
    </row>
    <row r="1599">
      <c r="E1599" s="7" t="n"/>
    </row>
    <row r="1600">
      <c r="E1600" s="7" t="n"/>
    </row>
    <row r="1601">
      <c r="E1601" s="7" t="n"/>
    </row>
    <row r="1602">
      <c r="E1602" s="7" t="n"/>
    </row>
    <row r="1603">
      <c r="E1603" s="7" t="n"/>
    </row>
    <row r="1604">
      <c r="E1604" s="7" t="n"/>
    </row>
    <row r="1605">
      <c r="E1605" s="7" t="n"/>
    </row>
    <row r="1606">
      <c r="E1606" s="7" t="n"/>
    </row>
    <row r="1607">
      <c r="E1607" s="7" t="n"/>
    </row>
    <row r="1608">
      <c r="E1608" s="7" t="n"/>
    </row>
    <row r="1609">
      <c r="E1609" s="7" t="n"/>
    </row>
    <row r="1610">
      <c r="E1610" s="7" t="n"/>
    </row>
    <row r="1611">
      <c r="E1611" s="7" t="n"/>
    </row>
    <row r="1612">
      <c r="E1612" s="7" t="n"/>
    </row>
    <row r="1613">
      <c r="E1613" s="7" t="n"/>
    </row>
    <row r="1614">
      <c r="E1614" s="7" t="n"/>
    </row>
    <row r="1615">
      <c r="E1615" s="7" t="n"/>
    </row>
    <row r="1616">
      <c r="E1616" s="7" t="n"/>
    </row>
    <row r="1617">
      <c r="E1617" s="7" t="n"/>
    </row>
    <row r="1618">
      <c r="E1618" s="7" t="n"/>
    </row>
    <row r="1619">
      <c r="E1619" s="7" t="n"/>
    </row>
    <row r="1620">
      <c r="E1620" s="7" t="n"/>
    </row>
    <row r="1621">
      <c r="E1621" s="7" t="n"/>
    </row>
    <row r="1622">
      <c r="E1622" s="7" t="n"/>
    </row>
    <row r="1623">
      <c r="E1623" s="7" t="n"/>
    </row>
    <row r="1624">
      <c r="E1624" s="7" t="n"/>
    </row>
    <row r="1625">
      <c r="E1625" s="7" t="n"/>
    </row>
    <row r="1626">
      <c r="E1626" s="7" t="n"/>
    </row>
    <row r="1627">
      <c r="E1627" s="7" t="n"/>
    </row>
    <row r="1628">
      <c r="E1628" s="7" t="n"/>
    </row>
    <row r="1629">
      <c r="E1629" s="7" t="n"/>
    </row>
    <row r="1630">
      <c r="E1630" s="7" t="n"/>
    </row>
    <row r="1631">
      <c r="E1631" s="7" t="n"/>
    </row>
    <row r="1632">
      <c r="E1632" s="7" t="n"/>
    </row>
    <row r="1633">
      <c r="E1633" s="7" t="n"/>
    </row>
    <row r="1634">
      <c r="E1634" s="7" t="n"/>
    </row>
    <row r="1635">
      <c r="E1635" s="7" t="n"/>
    </row>
    <row r="1636">
      <c r="E1636" s="7" t="n"/>
    </row>
    <row r="1637">
      <c r="E1637" s="7" t="n"/>
    </row>
    <row r="1638">
      <c r="E1638" s="7" t="n"/>
    </row>
    <row r="1639">
      <c r="E1639" s="7" t="n"/>
    </row>
    <row r="1640">
      <c r="E1640" s="7" t="n"/>
    </row>
    <row r="1641">
      <c r="E1641" s="7" t="n"/>
    </row>
    <row r="1642">
      <c r="E1642" s="7" t="n"/>
    </row>
    <row r="1643">
      <c r="E1643" s="7" t="n"/>
    </row>
    <row r="1644">
      <c r="E1644" s="7" t="n"/>
    </row>
    <row r="1645">
      <c r="E1645" s="7" t="n"/>
    </row>
    <row r="1646">
      <c r="E1646" s="7" t="n"/>
    </row>
    <row r="1647">
      <c r="E1647" s="7" t="n"/>
    </row>
    <row r="1648">
      <c r="E1648" s="7" t="n"/>
    </row>
    <row r="1649">
      <c r="E1649" s="7" t="n"/>
    </row>
    <row r="1650">
      <c r="E1650" s="7" t="n"/>
    </row>
    <row r="1651">
      <c r="E1651" s="7" t="n"/>
    </row>
    <row r="1652">
      <c r="E1652" s="7" t="n"/>
    </row>
    <row r="1653">
      <c r="E1653" s="7" t="n"/>
    </row>
    <row r="1654">
      <c r="E1654" s="7" t="n"/>
    </row>
    <row r="1655">
      <c r="E1655" s="7" t="n"/>
    </row>
    <row r="1656">
      <c r="E1656" s="7" t="n"/>
    </row>
    <row r="1657">
      <c r="E1657" s="7" t="n"/>
    </row>
    <row r="1658">
      <c r="E1658" s="7" t="n"/>
    </row>
    <row r="1659">
      <c r="E1659" s="7" t="n"/>
    </row>
    <row r="1660">
      <c r="E1660" s="7" t="n"/>
    </row>
    <row r="1661">
      <c r="E1661" s="7" t="n"/>
    </row>
    <row r="1662">
      <c r="E1662" s="7" t="n"/>
    </row>
    <row r="1663">
      <c r="E1663" s="7" t="n"/>
    </row>
    <row r="1664">
      <c r="E1664" s="7" t="n"/>
    </row>
    <row r="1665">
      <c r="E1665" s="7" t="n"/>
    </row>
    <row r="1666">
      <c r="E1666" s="7" t="n"/>
    </row>
    <row r="1667">
      <c r="E1667" s="7" t="n"/>
    </row>
    <row r="1668">
      <c r="E1668" s="7" t="n"/>
    </row>
    <row r="1669">
      <c r="E1669" s="7" t="n"/>
    </row>
    <row r="1670">
      <c r="E1670" s="7" t="n"/>
    </row>
    <row r="1671">
      <c r="E1671" s="7" t="n"/>
    </row>
    <row r="1672">
      <c r="E1672" s="7" t="n"/>
    </row>
    <row r="1673">
      <c r="E1673" s="7" t="n"/>
    </row>
    <row r="1674">
      <c r="E1674" s="7" t="n"/>
    </row>
    <row r="1675">
      <c r="E1675" s="7" t="n"/>
    </row>
    <row r="1676">
      <c r="E1676" s="7" t="n"/>
    </row>
    <row r="1677">
      <c r="E1677" s="7" t="n"/>
    </row>
    <row r="1678">
      <c r="E1678" s="7" t="n"/>
    </row>
    <row r="1679">
      <c r="E1679" s="7" t="n"/>
    </row>
    <row r="1680">
      <c r="E1680" s="7" t="n"/>
    </row>
    <row r="1681">
      <c r="E1681" s="7" t="n"/>
    </row>
    <row r="1682">
      <c r="E1682" s="7" t="n"/>
    </row>
    <row r="1683">
      <c r="E1683" s="7" t="n"/>
    </row>
    <row r="1684">
      <c r="E1684" s="7" t="n"/>
    </row>
    <row r="1685">
      <c r="E1685" s="7" t="n"/>
    </row>
    <row r="1686">
      <c r="E1686" s="7" t="n"/>
    </row>
    <row r="1687">
      <c r="E1687" s="7" t="n"/>
    </row>
    <row r="1688">
      <c r="E1688" s="7" t="n"/>
    </row>
    <row r="1689">
      <c r="E1689" s="7" t="n"/>
    </row>
    <row r="1690">
      <c r="E1690" s="7" t="n"/>
    </row>
    <row r="1691">
      <c r="E1691" s="7" t="n"/>
    </row>
    <row r="1692">
      <c r="E1692" s="7" t="n"/>
    </row>
    <row r="1693">
      <c r="E1693" s="7" t="n"/>
    </row>
    <row r="1694">
      <c r="E1694" s="7" t="n"/>
    </row>
    <row r="1695">
      <c r="E1695" s="7" t="n"/>
    </row>
    <row r="1696">
      <c r="E1696" s="7" t="n"/>
    </row>
    <row r="1697">
      <c r="E1697" s="7" t="n"/>
    </row>
    <row r="1698">
      <c r="E1698" s="7" t="n"/>
    </row>
    <row r="1699">
      <c r="E1699" s="7" t="n"/>
    </row>
    <row r="1700">
      <c r="E1700" s="7" t="n"/>
    </row>
    <row r="1701">
      <c r="E1701" s="7" t="n"/>
    </row>
    <row r="1702">
      <c r="E1702" s="7" t="n"/>
    </row>
    <row r="1703">
      <c r="E1703" s="7" t="n"/>
    </row>
    <row r="1704">
      <c r="E1704" s="7" t="n"/>
    </row>
    <row r="1705">
      <c r="E1705" s="7" t="n"/>
    </row>
    <row r="1706">
      <c r="E1706" s="7" t="n"/>
    </row>
    <row r="1707">
      <c r="E1707" s="7" t="n"/>
    </row>
    <row r="1708">
      <c r="E1708" s="7" t="n"/>
    </row>
    <row r="1709">
      <c r="E1709" s="7" t="n"/>
    </row>
    <row r="1710">
      <c r="E1710" s="7" t="n"/>
    </row>
    <row r="1711">
      <c r="E1711" s="7" t="n"/>
    </row>
    <row r="1712">
      <c r="E1712" s="7" t="n"/>
    </row>
    <row r="1713">
      <c r="E1713" s="7" t="n"/>
    </row>
    <row r="1714">
      <c r="E1714" s="7" t="n"/>
    </row>
    <row r="1715">
      <c r="E1715" s="7" t="n"/>
    </row>
    <row r="1716">
      <c r="E1716" s="7" t="n"/>
    </row>
    <row r="1717">
      <c r="E1717" s="7" t="n"/>
    </row>
    <row r="1718">
      <c r="E1718" s="7" t="n"/>
    </row>
    <row r="1719">
      <c r="E1719" s="7" t="n"/>
    </row>
    <row r="1720">
      <c r="E1720" s="7" t="n"/>
    </row>
    <row r="1721">
      <c r="E1721" s="7" t="n"/>
    </row>
    <row r="1722">
      <c r="E1722" s="7" t="n"/>
    </row>
    <row r="1723">
      <c r="E1723" s="7" t="n"/>
    </row>
    <row r="1724">
      <c r="E1724" s="7" t="n"/>
    </row>
    <row r="1725">
      <c r="E1725" s="7" t="n"/>
    </row>
    <row r="1726">
      <c r="E1726" s="7" t="n"/>
    </row>
    <row r="1727">
      <c r="E1727" s="7" t="n"/>
    </row>
    <row r="1728">
      <c r="E1728" s="7" t="n"/>
    </row>
    <row r="1729">
      <c r="E1729" s="7" t="n"/>
    </row>
    <row r="1730">
      <c r="E1730" s="7" t="n"/>
    </row>
    <row r="1731">
      <c r="E1731" s="7" t="n"/>
    </row>
    <row r="1732">
      <c r="E1732" s="7" t="n"/>
    </row>
    <row r="1733">
      <c r="E1733" s="7" t="n"/>
    </row>
    <row r="1734">
      <c r="E1734" s="7" t="n"/>
    </row>
    <row r="1735">
      <c r="E1735" s="7" t="n"/>
    </row>
    <row r="1736">
      <c r="E1736" s="7" t="n"/>
    </row>
    <row r="1737">
      <c r="E1737" s="7" t="n"/>
    </row>
    <row r="1738">
      <c r="E1738" s="7" t="n"/>
    </row>
    <row r="1739">
      <c r="E1739" s="7" t="n"/>
    </row>
    <row r="1740">
      <c r="E1740" s="7" t="n"/>
    </row>
    <row r="1741">
      <c r="E1741" s="7" t="n"/>
    </row>
    <row r="1742">
      <c r="E1742" s="7" t="n"/>
    </row>
    <row r="1743">
      <c r="E1743" s="7" t="n"/>
    </row>
    <row r="1744">
      <c r="E1744" s="7" t="n"/>
    </row>
    <row r="1745">
      <c r="E1745" s="7" t="n"/>
    </row>
    <row r="1746">
      <c r="E1746" s="7" t="n"/>
    </row>
    <row r="1747">
      <c r="E1747" s="7" t="n"/>
    </row>
    <row r="1748">
      <c r="E1748" s="7" t="n"/>
    </row>
    <row r="1749">
      <c r="E1749" s="7" t="n"/>
    </row>
    <row r="1750">
      <c r="E1750" s="7" t="n"/>
    </row>
    <row r="1751">
      <c r="E1751" s="7" t="n"/>
    </row>
    <row r="1752">
      <c r="E1752" s="7" t="n"/>
    </row>
    <row r="1753">
      <c r="E1753" s="7" t="n"/>
    </row>
    <row r="1754">
      <c r="E1754" s="7" t="n"/>
    </row>
    <row r="1755">
      <c r="E1755" s="7" t="n"/>
    </row>
    <row r="1756">
      <c r="E1756" s="7" t="n"/>
    </row>
    <row r="1757">
      <c r="E1757" s="7" t="n"/>
    </row>
    <row r="1758">
      <c r="E1758" s="7" t="n"/>
    </row>
    <row r="1759">
      <c r="E1759" s="7" t="n"/>
    </row>
    <row r="1760">
      <c r="E1760" s="7" t="n"/>
    </row>
    <row r="1761">
      <c r="E1761" s="7" t="n"/>
    </row>
    <row r="1762">
      <c r="E1762" s="7" t="n"/>
    </row>
    <row r="1763">
      <c r="E1763" s="7" t="n"/>
    </row>
    <row r="1764">
      <c r="E1764" s="7" t="n"/>
    </row>
    <row r="1765">
      <c r="E1765" s="7" t="n"/>
    </row>
    <row r="1766">
      <c r="E1766" s="7" t="n"/>
    </row>
    <row r="1767">
      <c r="E1767" s="7" t="n"/>
    </row>
    <row r="1768">
      <c r="E1768" s="7" t="n"/>
    </row>
    <row r="1769">
      <c r="E1769" s="7" t="n"/>
    </row>
    <row r="1770">
      <c r="E1770" s="7" t="n"/>
    </row>
    <row r="1771">
      <c r="E1771" s="7" t="n"/>
    </row>
    <row r="1772">
      <c r="E1772" s="7" t="n"/>
    </row>
    <row r="1773">
      <c r="E1773" s="7" t="n"/>
    </row>
    <row r="1774">
      <c r="E1774" s="7" t="n"/>
    </row>
    <row r="1775">
      <c r="E1775" s="7" t="n"/>
    </row>
    <row r="1776">
      <c r="E1776" s="7" t="n"/>
    </row>
    <row r="1777">
      <c r="E1777" s="7" t="n"/>
    </row>
    <row r="1778">
      <c r="E1778" s="7" t="n"/>
    </row>
    <row r="1779">
      <c r="E1779" s="7" t="n"/>
    </row>
    <row r="1780">
      <c r="E1780" s="7" t="n"/>
    </row>
    <row r="1781">
      <c r="E1781" s="7" t="n"/>
    </row>
    <row r="1782">
      <c r="E1782" s="7" t="n"/>
    </row>
    <row r="1783">
      <c r="E1783" s="7" t="n"/>
    </row>
    <row r="1784">
      <c r="E1784" s="7" t="n"/>
    </row>
    <row r="1785">
      <c r="E1785" s="7" t="n"/>
    </row>
    <row r="1786">
      <c r="E1786" s="7" t="n"/>
    </row>
    <row r="1787">
      <c r="E1787" s="7" t="n"/>
    </row>
    <row r="1788">
      <c r="E1788" s="7" t="n"/>
    </row>
    <row r="1789">
      <c r="E1789" s="7" t="n"/>
    </row>
    <row r="1790">
      <c r="E1790" s="7" t="n"/>
    </row>
    <row r="1791">
      <c r="E1791" s="7" t="n"/>
    </row>
    <row r="1792">
      <c r="E1792" s="7" t="n"/>
    </row>
    <row r="1793">
      <c r="E1793" s="7" t="n"/>
    </row>
    <row r="1794">
      <c r="E1794" s="7" t="n"/>
    </row>
    <row r="1795">
      <c r="E1795" s="7" t="n"/>
    </row>
    <row r="1796">
      <c r="E1796" s="7" t="n"/>
    </row>
    <row r="1797">
      <c r="E1797" s="7" t="n"/>
    </row>
    <row r="1798">
      <c r="E1798" s="7" t="n"/>
    </row>
    <row r="1799">
      <c r="E1799" s="7" t="n"/>
    </row>
    <row r="1800">
      <c r="E1800" s="7" t="n"/>
    </row>
    <row r="1801">
      <c r="E1801" s="7" t="n"/>
    </row>
    <row r="1802">
      <c r="E1802" s="7" t="n"/>
    </row>
    <row r="1803">
      <c r="E1803" s="7" t="n"/>
    </row>
    <row r="1804">
      <c r="E1804" s="7" t="n"/>
    </row>
    <row r="1805">
      <c r="E1805" s="7" t="n"/>
    </row>
    <row r="1806">
      <c r="E1806" s="7" t="n"/>
    </row>
    <row r="1807">
      <c r="E1807" s="7" t="n"/>
    </row>
    <row r="1808">
      <c r="E1808" s="7" t="n"/>
    </row>
    <row r="1809">
      <c r="E1809" s="7" t="n"/>
    </row>
    <row r="1810">
      <c r="E1810" s="7" t="n"/>
    </row>
    <row r="1811">
      <c r="E1811" s="7" t="n"/>
    </row>
    <row r="1812">
      <c r="E1812" s="7" t="n"/>
    </row>
    <row r="1813">
      <c r="E1813" s="7" t="n"/>
    </row>
    <row r="1814">
      <c r="E1814" s="7" t="n"/>
    </row>
    <row r="1815">
      <c r="E1815" s="7" t="n"/>
    </row>
    <row r="1816">
      <c r="E1816" s="7" t="n"/>
    </row>
    <row r="1817">
      <c r="E1817" s="7" t="n"/>
    </row>
    <row r="1818">
      <c r="E1818" s="7" t="n"/>
    </row>
    <row r="1819">
      <c r="E1819" s="7" t="n"/>
    </row>
    <row r="1820">
      <c r="E1820" s="7" t="n"/>
    </row>
    <row r="1821">
      <c r="E1821" s="7" t="n"/>
    </row>
    <row r="1822">
      <c r="E1822" s="7" t="n"/>
    </row>
    <row r="1823">
      <c r="E1823" s="7" t="n"/>
    </row>
    <row r="1824">
      <c r="E1824" s="7" t="n"/>
    </row>
    <row r="1825">
      <c r="E1825" s="7" t="n"/>
    </row>
    <row r="1826">
      <c r="E1826" s="7" t="n"/>
    </row>
    <row r="1827">
      <c r="E1827" s="7" t="n"/>
    </row>
    <row r="1828">
      <c r="E1828" s="7" t="n"/>
    </row>
    <row r="1829">
      <c r="E1829" s="7" t="n"/>
    </row>
    <row r="1830">
      <c r="E1830" s="7" t="n"/>
    </row>
    <row r="1831">
      <c r="E1831" s="7" t="n"/>
    </row>
    <row r="1832">
      <c r="E1832" s="7" t="n"/>
    </row>
    <row r="1833">
      <c r="E1833" s="7" t="n"/>
    </row>
    <row r="1834">
      <c r="E1834" s="7" t="n"/>
    </row>
    <row r="1835">
      <c r="E1835" s="7" t="n"/>
    </row>
    <row r="1836">
      <c r="E1836" s="7" t="n"/>
    </row>
    <row r="1837">
      <c r="E1837" s="7" t="n"/>
    </row>
    <row r="1838">
      <c r="E1838" s="7" t="n"/>
    </row>
    <row r="1839">
      <c r="E1839" s="7" t="n"/>
    </row>
    <row r="1840">
      <c r="E1840" s="7" t="n"/>
    </row>
    <row r="1841">
      <c r="E1841" s="7" t="n"/>
    </row>
    <row r="1842">
      <c r="E1842" s="7" t="n"/>
    </row>
    <row r="1843">
      <c r="E1843" s="7" t="n"/>
    </row>
    <row r="1844">
      <c r="E1844" s="7" t="n"/>
    </row>
    <row r="1845">
      <c r="E1845" s="7" t="n"/>
    </row>
    <row r="1846">
      <c r="E1846" s="7" t="n"/>
    </row>
    <row r="1847">
      <c r="E1847" s="7" t="n"/>
    </row>
    <row r="1848">
      <c r="E1848" s="7" t="n"/>
    </row>
    <row r="1849">
      <c r="E1849" s="7" t="n"/>
    </row>
    <row r="1850">
      <c r="E1850" s="7" t="n"/>
    </row>
    <row r="1851">
      <c r="E1851" s="7" t="n"/>
    </row>
    <row r="1852">
      <c r="E1852" s="7" t="n"/>
    </row>
    <row r="1853">
      <c r="E1853" s="7" t="n"/>
    </row>
    <row r="1854">
      <c r="E1854" s="7" t="n"/>
    </row>
    <row r="1855">
      <c r="E1855" s="7" t="n"/>
    </row>
    <row r="1856">
      <c r="E1856" s="7" t="n"/>
    </row>
    <row r="1857">
      <c r="E1857" s="7" t="n"/>
    </row>
    <row r="1858">
      <c r="E1858" s="7" t="n"/>
    </row>
    <row r="1859">
      <c r="E1859" s="7" t="n"/>
    </row>
    <row r="1860">
      <c r="E1860" s="7" t="n"/>
    </row>
    <row r="1861">
      <c r="E1861" s="7" t="n"/>
    </row>
    <row r="1862">
      <c r="E1862" s="7" t="n"/>
    </row>
    <row r="1863">
      <c r="E1863" s="7" t="n"/>
    </row>
    <row r="1864">
      <c r="E1864" s="7" t="n"/>
    </row>
    <row r="1865">
      <c r="E1865" s="7" t="n"/>
    </row>
    <row r="1866">
      <c r="E1866" s="7" t="n"/>
    </row>
    <row r="1867">
      <c r="E1867" s="7" t="n"/>
    </row>
    <row r="1868">
      <c r="E1868" s="7" t="n"/>
    </row>
    <row r="1869">
      <c r="E1869" s="7" t="n"/>
    </row>
    <row r="1870">
      <c r="E1870" s="7" t="n"/>
    </row>
    <row r="1871">
      <c r="E1871" s="7" t="n"/>
    </row>
    <row r="1872">
      <c r="E1872" s="7" t="n"/>
    </row>
    <row r="1873">
      <c r="E1873" s="7" t="n"/>
    </row>
    <row r="1874">
      <c r="E1874" s="7" t="n"/>
    </row>
    <row r="1875">
      <c r="E1875" s="7" t="n"/>
    </row>
    <row r="1876">
      <c r="E1876" s="7" t="n"/>
    </row>
    <row r="1877">
      <c r="E1877" s="7" t="n"/>
    </row>
    <row r="1878">
      <c r="E1878" s="7" t="n"/>
    </row>
    <row r="1879">
      <c r="E1879" s="7" t="n"/>
    </row>
    <row r="1880">
      <c r="E1880" s="7" t="n"/>
    </row>
    <row r="1881">
      <c r="E1881" s="7" t="n"/>
    </row>
    <row r="1882">
      <c r="E1882" s="7" t="n"/>
    </row>
    <row r="1883">
      <c r="E1883" s="7" t="n"/>
    </row>
    <row r="1884">
      <c r="E1884" s="7" t="n"/>
    </row>
    <row r="1885">
      <c r="E1885" s="7" t="n"/>
    </row>
    <row r="1886">
      <c r="E1886" s="7" t="n"/>
    </row>
    <row r="1887">
      <c r="E1887" s="7" t="n"/>
    </row>
    <row r="1888">
      <c r="E1888" s="7" t="n"/>
    </row>
    <row r="1889">
      <c r="E1889" s="7" t="n"/>
    </row>
    <row r="1890">
      <c r="E1890" s="7" t="n"/>
    </row>
    <row r="1891">
      <c r="E1891" s="7" t="n"/>
    </row>
    <row r="1892">
      <c r="E1892" s="7" t="n"/>
    </row>
    <row r="1893">
      <c r="E1893" s="7" t="n"/>
    </row>
    <row r="1894">
      <c r="E1894" s="7" t="n"/>
    </row>
    <row r="1895">
      <c r="E1895" s="7" t="n"/>
    </row>
    <row r="1896">
      <c r="E1896" s="7" t="n"/>
    </row>
    <row r="1897">
      <c r="E1897" s="7" t="n"/>
    </row>
    <row r="1898">
      <c r="E1898" s="7" t="n"/>
    </row>
    <row r="1899">
      <c r="E1899" s="7" t="n"/>
    </row>
    <row r="1900">
      <c r="E1900" s="7" t="n"/>
    </row>
    <row r="1901">
      <c r="E1901" s="7" t="n"/>
    </row>
    <row r="1902">
      <c r="E1902" s="7" t="n"/>
    </row>
    <row r="1903">
      <c r="E1903" s="7" t="n"/>
    </row>
    <row r="1904">
      <c r="E1904" s="7" t="n"/>
    </row>
    <row r="1905">
      <c r="E1905" s="7" t="n"/>
    </row>
    <row r="1906">
      <c r="E1906" s="7" t="n"/>
    </row>
    <row r="1907">
      <c r="E1907" s="7" t="n"/>
    </row>
    <row r="1908">
      <c r="E1908" s="7" t="n"/>
    </row>
    <row r="1909">
      <c r="E1909" s="7" t="n"/>
    </row>
    <row r="1910">
      <c r="E1910" s="7" t="n"/>
    </row>
    <row r="1911">
      <c r="E1911" s="7" t="n"/>
    </row>
    <row r="1912">
      <c r="E1912" s="7" t="n"/>
    </row>
    <row r="1913">
      <c r="E1913" s="7" t="n"/>
    </row>
    <row r="1914">
      <c r="E1914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2025-10-09T16:13:00Z</dcterms:created>
  <dcterms:modified xmlns:dcterms="http://purl.org/dc/terms/" xmlns:xsi="http://www.w3.org/2001/XMLSchema-instance" xsi:type="dcterms:W3CDTF">2026-10-16T12:58:24Z</dcterms:modified>
  <cp:lastModifiedBy>Tyler Harrington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0x01010019A133D36113844AADD28E1104104AAD</vt:lpwstr>
  </property>
  <property name="MediaServiceImageTags" fmtid="{D5CDD505-2E9C-101B-9397-08002B2CF9AE}" pid="3">
    <vt:lpwstr xmlns:vt="http://schemas.openxmlformats.org/officeDocument/2006/docPropsVTypes"/>
  </property>
</Properties>
</file>