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tyler_harrington2/Desktop/FL_Dashboards/"/>
    </mc:Choice>
  </mc:AlternateContent>
  <xr:revisionPtr revIDLastSave="0" documentId="13_ncr:1_{256C8CD0-BA76-6640-A4A5-DD918C5FBA4C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MonthlyMetric" sheetId="1" r:id="rId1"/>
    <sheet name="MonthlyMetricFullData" sheetId="6" r:id="rId2"/>
    <sheet name="MasterTutor" sheetId="2" r:id="rId3"/>
    <sheet name="AnnualReview" sheetId="3" r:id="rId4"/>
    <sheet name="SubjectAddition" sheetId="4" r:id="rId5"/>
  </sheets>
  <definedNames>
    <definedName name="_xlnm._FilterDatabase" localSheetId="0" hidden="1">MonthlyMetric!$A$1:$M$2278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" i="3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071" i="1"/>
  <c r="B2071" i="1"/>
  <c r="C2071" i="1"/>
  <c r="D2071" i="1"/>
  <c r="B2072" i="1"/>
  <c r="C2072" i="1"/>
  <c r="D2072" i="1"/>
  <c r="B2073" i="1"/>
  <c r="C2073" i="1"/>
  <c r="D2073" i="1"/>
  <c r="B2074" i="1"/>
  <c r="C2074" i="1"/>
  <c r="D2074" i="1"/>
  <c r="B2075" i="1"/>
  <c r="C2075" i="1"/>
  <c r="D2075" i="1"/>
  <c r="B2076" i="1"/>
  <c r="C2076" i="1"/>
  <c r="D2076" i="1"/>
  <c r="B2077" i="1"/>
  <c r="C2077" i="1"/>
  <c r="D2077" i="1"/>
  <c r="B2078" i="1"/>
  <c r="C2078" i="1"/>
  <c r="D2078" i="1"/>
  <c r="B2079" i="1"/>
  <c r="C2079" i="1"/>
  <c r="D2079" i="1"/>
  <c r="B2080" i="1"/>
  <c r="C2080" i="1"/>
  <c r="D2080" i="1"/>
  <c r="B2081" i="1"/>
  <c r="C2081" i="1"/>
  <c r="D2081" i="1"/>
  <c r="B2082" i="1"/>
  <c r="C2082" i="1"/>
  <c r="D2082" i="1"/>
  <c r="B2083" i="1"/>
  <c r="C2083" i="1"/>
  <c r="D2083" i="1"/>
  <c r="B2084" i="1"/>
  <c r="C2084" i="1"/>
  <c r="D2084" i="1"/>
  <c r="B2085" i="1"/>
  <c r="C2085" i="1"/>
  <c r="D2085" i="1"/>
  <c r="B2086" i="1"/>
  <c r="C2086" i="1"/>
  <c r="D2086" i="1"/>
  <c r="B2087" i="1"/>
  <c r="C2087" i="1"/>
  <c r="D2087" i="1"/>
  <c r="B2088" i="1"/>
  <c r="C2088" i="1"/>
  <c r="D2088" i="1"/>
  <c r="B2089" i="1"/>
  <c r="C2089" i="1"/>
  <c r="D2089" i="1"/>
  <c r="B2090" i="1"/>
  <c r="C2090" i="1"/>
  <c r="D2090" i="1"/>
  <c r="B2091" i="1"/>
  <c r="C2091" i="1"/>
  <c r="D2091" i="1"/>
  <c r="B2092" i="1"/>
  <c r="C2092" i="1"/>
  <c r="D2092" i="1"/>
  <c r="B2093" i="1"/>
  <c r="C2093" i="1"/>
  <c r="D2093" i="1"/>
  <c r="B2094" i="1"/>
  <c r="C2094" i="1"/>
  <c r="D2094" i="1"/>
  <c r="B2095" i="1"/>
  <c r="C2095" i="1"/>
  <c r="D2095" i="1"/>
  <c r="B2096" i="1"/>
  <c r="C2096" i="1"/>
  <c r="D2096" i="1"/>
  <c r="B2097" i="1"/>
  <c r="C2097" i="1"/>
  <c r="D2097" i="1"/>
  <c r="B2098" i="1"/>
  <c r="C2098" i="1"/>
  <c r="D2098" i="1"/>
  <c r="B2099" i="1"/>
  <c r="C2099" i="1"/>
  <c r="D2099" i="1"/>
  <c r="B2100" i="1"/>
  <c r="C2100" i="1"/>
  <c r="D2100" i="1"/>
  <c r="B2101" i="1"/>
  <c r="C2101" i="1"/>
  <c r="D2101" i="1"/>
  <c r="B2102" i="1"/>
  <c r="C2102" i="1"/>
  <c r="D2102" i="1"/>
  <c r="B2103" i="1"/>
  <c r="C2103" i="1"/>
  <c r="D2103" i="1"/>
  <c r="B2104" i="1"/>
  <c r="C2104" i="1"/>
  <c r="D2104" i="1"/>
  <c r="B2105" i="1"/>
  <c r="C2105" i="1"/>
  <c r="D2105" i="1"/>
  <c r="B2106" i="1"/>
  <c r="C2106" i="1"/>
  <c r="D2106" i="1"/>
  <c r="B2107" i="1"/>
  <c r="C2107" i="1"/>
  <c r="D2107" i="1"/>
  <c r="B2108" i="1"/>
  <c r="C2108" i="1"/>
  <c r="D2108" i="1"/>
  <c r="B2109" i="1"/>
  <c r="C2109" i="1"/>
  <c r="D2109" i="1"/>
  <c r="B2110" i="1"/>
  <c r="C2110" i="1"/>
  <c r="D2110" i="1"/>
  <c r="B2111" i="1"/>
  <c r="C2111" i="1"/>
  <c r="D2111" i="1"/>
  <c r="B2112" i="1"/>
  <c r="C2112" i="1"/>
  <c r="D2112" i="1"/>
  <c r="B2113" i="1"/>
  <c r="C2113" i="1"/>
  <c r="D2113" i="1"/>
  <c r="B2114" i="1"/>
  <c r="C2114" i="1"/>
  <c r="D2114" i="1"/>
  <c r="B2115" i="1"/>
  <c r="C2115" i="1"/>
  <c r="D2115" i="1"/>
  <c r="B2116" i="1"/>
  <c r="C2116" i="1"/>
  <c r="D2116" i="1"/>
  <c r="B2117" i="1"/>
  <c r="C2117" i="1"/>
  <c r="D2117" i="1"/>
  <c r="B2118" i="1"/>
  <c r="C2118" i="1"/>
  <c r="D2118" i="1"/>
  <c r="B2119" i="1"/>
  <c r="C2119" i="1"/>
  <c r="D2119" i="1"/>
  <c r="B2120" i="1"/>
  <c r="C2120" i="1"/>
  <c r="D2120" i="1"/>
  <c r="B2121" i="1"/>
  <c r="C2121" i="1"/>
  <c r="D2121" i="1"/>
  <c r="B2122" i="1"/>
  <c r="C2122" i="1"/>
  <c r="D2122" i="1"/>
  <c r="B2123" i="1"/>
  <c r="C2123" i="1"/>
  <c r="D2123" i="1"/>
  <c r="B2124" i="1"/>
  <c r="C2124" i="1"/>
  <c r="D2124" i="1"/>
  <c r="B2125" i="1"/>
  <c r="C2125" i="1"/>
  <c r="D2125" i="1"/>
  <c r="B2126" i="1"/>
  <c r="C2126" i="1"/>
  <c r="D2126" i="1"/>
  <c r="B2127" i="1"/>
  <c r="C2127" i="1"/>
  <c r="D2127" i="1"/>
  <c r="B2128" i="1"/>
  <c r="C2128" i="1"/>
  <c r="D2128" i="1"/>
  <c r="B2129" i="1"/>
  <c r="C2129" i="1"/>
  <c r="D2129" i="1"/>
  <c r="B2130" i="1"/>
  <c r="C2130" i="1"/>
  <c r="D2130" i="1"/>
  <c r="B2131" i="1"/>
  <c r="C2131" i="1"/>
  <c r="D2131" i="1"/>
  <c r="B2132" i="1"/>
  <c r="C2132" i="1"/>
  <c r="D2132" i="1"/>
  <c r="B2133" i="1"/>
  <c r="C2133" i="1"/>
  <c r="D2133" i="1"/>
  <c r="B2134" i="1"/>
  <c r="C2134" i="1"/>
  <c r="D2134" i="1"/>
  <c r="B2135" i="1"/>
  <c r="C2135" i="1"/>
  <c r="D2135" i="1"/>
  <c r="B2136" i="1"/>
  <c r="C2136" i="1"/>
  <c r="D2136" i="1"/>
  <c r="B2137" i="1"/>
  <c r="C2137" i="1"/>
  <c r="D2137" i="1"/>
  <c r="B2138" i="1"/>
  <c r="C2138" i="1"/>
  <c r="D2138" i="1"/>
  <c r="B2139" i="1"/>
  <c r="C2139" i="1"/>
  <c r="D2139" i="1"/>
  <c r="B2140" i="1"/>
  <c r="C2140" i="1"/>
  <c r="D2140" i="1"/>
  <c r="B2141" i="1"/>
  <c r="C2141" i="1"/>
  <c r="D2141" i="1"/>
  <c r="B2142" i="1"/>
  <c r="C2142" i="1"/>
  <c r="D2142" i="1"/>
  <c r="B2143" i="1"/>
  <c r="C2143" i="1"/>
  <c r="D2143" i="1"/>
  <c r="B2144" i="1"/>
  <c r="C2144" i="1"/>
  <c r="D2144" i="1"/>
  <c r="B2145" i="1"/>
  <c r="C2145" i="1"/>
  <c r="D2145" i="1"/>
  <c r="B2146" i="1"/>
  <c r="C2146" i="1"/>
  <c r="D2146" i="1"/>
  <c r="B2147" i="1"/>
  <c r="C2147" i="1"/>
  <c r="D2147" i="1"/>
  <c r="B2148" i="1"/>
  <c r="C2148" i="1"/>
  <c r="D2148" i="1"/>
  <c r="B2149" i="1"/>
  <c r="C2149" i="1"/>
  <c r="D2149" i="1"/>
  <c r="B2150" i="1"/>
  <c r="C2150" i="1"/>
  <c r="D2150" i="1"/>
  <c r="B2151" i="1"/>
  <c r="C2151" i="1"/>
  <c r="D2151" i="1"/>
  <c r="B2152" i="1"/>
  <c r="C2152" i="1"/>
  <c r="D2152" i="1"/>
  <c r="B2153" i="1"/>
  <c r="C2153" i="1"/>
  <c r="D2153" i="1"/>
  <c r="B2154" i="1"/>
  <c r="C2154" i="1"/>
  <c r="D2154" i="1"/>
  <c r="B2155" i="1"/>
  <c r="C2155" i="1"/>
  <c r="D2155" i="1"/>
  <c r="B2156" i="1"/>
  <c r="C2156" i="1"/>
  <c r="D2156" i="1"/>
  <c r="B2157" i="1"/>
  <c r="C2157" i="1"/>
  <c r="D2157" i="1"/>
  <c r="B2158" i="1"/>
  <c r="C2158" i="1"/>
  <c r="D2158" i="1"/>
  <c r="B2159" i="1"/>
  <c r="C2159" i="1"/>
  <c r="D2159" i="1"/>
  <c r="B2160" i="1"/>
  <c r="C2160" i="1"/>
  <c r="D2160" i="1"/>
  <c r="B2161" i="1"/>
  <c r="C2161" i="1"/>
  <c r="D2161" i="1"/>
  <c r="B2162" i="1"/>
  <c r="C2162" i="1"/>
  <c r="D2162" i="1"/>
  <c r="B2163" i="1"/>
  <c r="C2163" i="1"/>
  <c r="D2163" i="1"/>
  <c r="B2164" i="1"/>
  <c r="C2164" i="1"/>
  <c r="D2164" i="1"/>
  <c r="B2165" i="1"/>
  <c r="C2165" i="1"/>
  <c r="D2165" i="1"/>
  <c r="B2166" i="1"/>
  <c r="C2166" i="1"/>
  <c r="D2166" i="1"/>
  <c r="B2167" i="1"/>
  <c r="C2167" i="1"/>
  <c r="D2167" i="1"/>
  <c r="B2168" i="1"/>
  <c r="C2168" i="1"/>
  <c r="D2168" i="1"/>
  <c r="B2169" i="1"/>
  <c r="C2169" i="1"/>
  <c r="D2169" i="1"/>
  <c r="B2170" i="1"/>
  <c r="C2170" i="1"/>
  <c r="D2170" i="1"/>
  <c r="B2171" i="1"/>
  <c r="C2171" i="1"/>
  <c r="D2171" i="1"/>
  <c r="B2172" i="1"/>
  <c r="C2172" i="1"/>
  <c r="D2172" i="1"/>
  <c r="B2173" i="1"/>
  <c r="C2173" i="1"/>
  <c r="D2173" i="1"/>
  <c r="B2174" i="1"/>
  <c r="C2174" i="1"/>
  <c r="D2174" i="1"/>
  <c r="B2175" i="1"/>
  <c r="C2175" i="1"/>
  <c r="D2175" i="1"/>
  <c r="B2176" i="1"/>
  <c r="C2176" i="1"/>
  <c r="D2176" i="1"/>
  <c r="B2177" i="1"/>
  <c r="C2177" i="1"/>
  <c r="D2177" i="1"/>
  <c r="B2178" i="1"/>
  <c r="C2178" i="1"/>
  <c r="D2178" i="1"/>
  <c r="B2179" i="1"/>
  <c r="C2179" i="1"/>
  <c r="D2179" i="1"/>
  <c r="B2180" i="1"/>
  <c r="C2180" i="1"/>
  <c r="D2180" i="1"/>
  <c r="B2181" i="1"/>
  <c r="C2181" i="1"/>
  <c r="D2181" i="1"/>
  <c r="B2182" i="1"/>
  <c r="C2182" i="1"/>
  <c r="D2182" i="1"/>
  <c r="B2183" i="1"/>
  <c r="C2183" i="1"/>
  <c r="D2183" i="1"/>
  <c r="B2184" i="1"/>
  <c r="C2184" i="1"/>
  <c r="D2184" i="1"/>
  <c r="B2185" i="1"/>
  <c r="C2185" i="1"/>
  <c r="D2185" i="1"/>
  <c r="B2186" i="1"/>
  <c r="C2186" i="1"/>
  <c r="D2186" i="1"/>
  <c r="B2187" i="1"/>
  <c r="C2187" i="1"/>
  <c r="D2187" i="1"/>
  <c r="B2188" i="1"/>
  <c r="C2188" i="1"/>
  <c r="D2188" i="1"/>
  <c r="B2189" i="1"/>
  <c r="C2189" i="1"/>
  <c r="D2189" i="1"/>
  <c r="B2190" i="1"/>
  <c r="C2190" i="1"/>
  <c r="D2190" i="1"/>
  <c r="B2191" i="1"/>
  <c r="C2191" i="1"/>
  <c r="D2191" i="1"/>
  <c r="B2192" i="1"/>
  <c r="C2192" i="1"/>
  <c r="D2192" i="1"/>
  <c r="B2193" i="1"/>
  <c r="C2193" i="1"/>
  <c r="D2193" i="1"/>
  <c r="B2194" i="1"/>
  <c r="C2194" i="1"/>
  <c r="D2194" i="1"/>
  <c r="B2195" i="1"/>
  <c r="C2195" i="1"/>
  <c r="D2195" i="1"/>
  <c r="B2196" i="1"/>
  <c r="C2196" i="1"/>
  <c r="D2196" i="1"/>
  <c r="B2197" i="1"/>
  <c r="C2197" i="1"/>
  <c r="D2197" i="1"/>
  <c r="B2198" i="1"/>
  <c r="C2198" i="1"/>
  <c r="D2198" i="1"/>
  <c r="B2199" i="1"/>
  <c r="C2199" i="1"/>
  <c r="D2199" i="1"/>
  <c r="B2200" i="1"/>
  <c r="C2200" i="1"/>
  <c r="D2200" i="1"/>
  <c r="B2201" i="1"/>
  <c r="C2201" i="1"/>
  <c r="D2201" i="1"/>
  <c r="B2202" i="1"/>
  <c r="C2202" i="1"/>
  <c r="D2202" i="1"/>
  <c r="B2203" i="1"/>
  <c r="C2203" i="1"/>
  <c r="D2203" i="1"/>
  <c r="B2204" i="1"/>
  <c r="C2204" i="1"/>
  <c r="D2204" i="1"/>
  <c r="B2205" i="1"/>
  <c r="C2205" i="1"/>
  <c r="D2205" i="1"/>
  <c r="B2206" i="1"/>
  <c r="C2206" i="1"/>
  <c r="D2206" i="1"/>
  <c r="B2207" i="1"/>
  <c r="C2207" i="1"/>
  <c r="D2207" i="1"/>
  <c r="B2208" i="1"/>
  <c r="C2208" i="1"/>
  <c r="D2208" i="1"/>
  <c r="B2209" i="1"/>
  <c r="C2209" i="1"/>
  <c r="D2209" i="1"/>
  <c r="B2210" i="1"/>
  <c r="C2210" i="1"/>
  <c r="D2210" i="1"/>
  <c r="B2211" i="1"/>
  <c r="C2211" i="1"/>
  <c r="D2211" i="1"/>
  <c r="B2212" i="1"/>
  <c r="C2212" i="1"/>
  <c r="D2212" i="1"/>
  <c r="B2213" i="1"/>
  <c r="C2213" i="1"/>
  <c r="D2213" i="1"/>
  <c r="B2214" i="1"/>
  <c r="C2214" i="1"/>
  <c r="D2214" i="1"/>
  <c r="B2215" i="1"/>
  <c r="C2215" i="1"/>
  <c r="D2215" i="1"/>
  <c r="B2216" i="1"/>
  <c r="C2216" i="1"/>
  <c r="D2216" i="1"/>
  <c r="B2217" i="1"/>
  <c r="C2217" i="1"/>
  <c r="D2217" i="1"/>
  <c r="B2218" i="1"/>
  <c r="C2218" i="1"/>
  <c r="D2218" i="1"/>
  <c r="B2219" i="1"/>
  <c r="C2219" i="1"/>
  <c r="D2219" i="1"/>
  <c r="B2220" i="1"/>
  <c r="C2220" i="1"/>
  <c r="D2220" i="1"/>
  <c r="B2221" i="1"/>
  <c r="C2221" i="1"/>
  <c r="D2221" i="1"/>
  <c r="B2222" i="1"/>
  <c r="C2222" i="1"/>
  <c r="D2222" i="1"/>
  <c r="B2223" i="1"/>
  <c r="C2223" i="1"/>
  <c r="D2223" i="1"/>
  <c r="B2224" i="1"/>
  <c r="C2224" i="1"/>
  <c r="D2224" i="1"/>
  <c r="B2225" i="1"/>
  <c r="C2225" i="1"/>
  <c r="D2225" i="1"/>
  <c r="B2226" i="1"/>
  <c r="C2226" i="1"/>
  <c r="D2226" i="1"/>
  <c r="B2227" i="1"/>
  <c r="C2227" i="1"/>
  <c r="D2227" i="1"/>
  <c r="B2228" i="1"/>
  <c r="C2228" i="1"/>
  <c r="D2228" i="1"/>
  <c r="B2229" i="1"/>
  <c r="C2229" i="1"/>
  <c r="D2229" i="1"/>
  <c r="B2230" i="1"/>
  <c r="C2230" i="1"/>
  <c r="D2230" i="1"/>
  <c r="B2231" i="1"/>
  <c r="C2231" i="1"/>
  <c r="D2231" i="1"/>
  <c r="B2232" i="1"/>
  <c r="C2232" i="1"/>
  <c r="D2232" i="1"/>
  <c r="B2233" i="1"/>
  <c r="C2233" i="1"/>
  <c r="D2233" i="1"/>
  <c r="B2234" i="1"/>
  <c r="C2234" i="1"/>
  <c r="D2234" i="1"/>
  <c r="B2235" i="1"/>
  <c r="C2235" i="1"/>
  <c r="D2235" i="1"/>
  <c r="B2236" i="1"/>
  <c r="C2236" i="1"/>
  <c r="D2236" i="1"/>
  <c r="B2237" i="1"/>
  <c r="C2237" i="1"/>
  <c r="D2237" i="1"/>
  <c r="B2238" i="1"/>
  <c r="C2238" i="1"/>
  <c r="D2238" i="1"/>
  <c r="B2239" i="1"/>
  <c r="C2239" i="1"/>
  <c r="D2239" i="1"/>
  <c r="B2240" i="1"/>
  <c r="C2240" i="1"/>
  <c r="D2240" i="1"/>
  <c r="B2241" i="1"/>
  <c r="C2241" i="1"/>
  <c r="D2241" i="1"/>
  <c r="B2242" i="1"/>
  <c r="C2242" i="1"/>
  <c r="D2242" i="1"/>
  <c r="B2243" i="1"/>
  <c r="C2243" i="1"/>
  <c r="D2243" i="1"/>
  <c r="B2244" i="1"/>
  <c r="C2244" i="1"/>
  <c r="D2244" i="1"/>
  <c r="B2245" i="1"/>
  <c r="C2245" i="1"/>
  <c r="D2245" i="1"/>
  <c r="B2246" i="1"/>
  <c r="C2246" i="1"/>
  <c r="D2246" i="1"/>
  <c r="B2247" i="1"/>
  <c r="C2247" i="1"/>
  <c r="D2247" i="1"/>
  <c r="B2248" i="1"/>
  <c r="C2248" i="1"/>
  <c r="D2248" i="1"/>
  <c r="B2249" i="1"/>
  <c r="C2249" i="1"/>
  <c r="D2249" i="1"/>
  <c r="B2250" i="1"/>
  <c r="C2250" i="1"/>
  <c r="D2250" i="1"/>
  <c r="B2251" i="1"/>
  <c r="C2251" i="1"/>
  <c r="D2251" i="1"/>
  <c r="B2252" i="1"/>
  <c r="C2252" i="1"/>
  <c r="D2252" i="1"/>
  <c r="B2253" i="1"/>
  <c r="C2253" i="1"/>
  <c r="D2253" i="1"/>
  <c r="B2254" i="1"/>
  <c r="C2254" i="1"/>
  <c r="D2254" i="1"/>
  <c r="B2255" i="1"/>
  <c r="C2255" i="1"/>
  <c r="D2255" i="1"/>
  <c r="B2256" i="1"/>
  <c r="C2256" i="1"/>
  <c r="D2256" i="1"/>
  <c r="B2257" i="1"/>
  <c r="C2257" i="1"/>
  <c r="D2257" i="1"/>
  <c r="B2258" i="1"/>
  <c r="C2258" i="1"/>
  <c r="D2258" i="1"/>
  <c r="B2259" i="1"/>
  <c r="C2259" i="1"/>
  <c r="D2259" i="1"/>
  <c r="B2260" i="1"/>
  <c r="C2260" i="1"/>
  <c r="D2260" i="1"/>
  <c r="B2261" i="1"/>
  <c r="C2261" i="1"/>
  <c r="D2261" i="1"/>
  <c r="B2262" i="1"/>
  <c r="C2262" i="1"/>
  <c r="D2262" i="1"/>
  <c r="B2263" i="1"/>
  <c r="C2263" i="1"/>
  <c r="D2263" i="1"/>
  <c r="B2264" i="1"/>
  <c r="C2264" i="1"/>
  <c r="D2264" i="1"/>
  <c r="B2265" i="1"/>
  <c r="C2265" i="1"/>
  <c r="D2265" i="1"/>
  <c r="B2266" i="1"/>
  <c r="C2266" i="1"/>
  <c r="D2266" i="1"/>
  <c r="B2267" i="1"/>
  <c r="C2267" i="1"/>
  <c r="D2267" i="1"/>
  <c r="B2268" i="1"/>
  <c r="C2268" i="1"/>
  <c r="D2268" i="1"/>
  <c r="B2269" i="1"/>
  <c r="C2269" i="1"/>
  <c r="D2269" i="1"/>
  <c r="B2270" i="1"/>
  <c r="C2270" i="1"/>
  <c r="D2270" i="1"/>
  <c r="B2271" i="1"/>
  <c r="C2271" i="1"/>
  <c r="D2271" i="1"/>
  <c r="B2272" i="1"/>
  <c r="C2272" i="1"/>
  <c r="D2272" i="1"/>
  <c r="B2273" i="1"/>
  <c r="C2273" i="1"/>
  <c r="D2273" i="1"/>
  <c r="B2274" i="1"/>
  <c r="C2274" i="1"/>
  <c r="D2274" i="1"/>
  <c r="B2275" i="1"/>
  <c r="C2275" i="1"/>
  <c r="D2275" i="1"/>
  <c r="B2276" i="1"/>
  <c r="C2276" i="1"/>
  <c r="D2276" i="1"/>
  <c r="B2277" i="1"/>
  <c r="C2277" i="1"/>
  <c r="D2277" i="1"/>
  <c r="B2278" i="1"/>
  <c r="C2278" i="1"/>
  <c r="D2278" i="1"/>
  <c r="M1022" i="1" l="1"/>
  <c r="M399" i="1"/>
  <c r="M234" i="1"/>
  <c r="M1288" i="1"/>
  <c r="M640" i="1"/>
  <c r="M441" i="1"/>
  <c r="M646" i="1"/>
  <c r="M1511" i="1"/>
  <c r="M1085" i="1"/>
  <c r="M869" i="1"/>
  <c r="M1534" i="1"/>
  <c r="M676" i="1"/>
  <c r="M275" i="1"/>
  <c r="M279" i="1"/>
  <c r="M475" i="1"/>
  <c r="M281" i="1"/>
  <c r="M905" i="1"/>
  <c r="M1352" i="1"/>
  <c r="M1562" i="1"/>
  <c r="M497" i="1"/>
  <c r="M1353" i="1"/>
  <c r="M923" i="1"/>
  <c r="M1144" i="1"/>
  <c r="M506" i="1"/>
  <c r="M931" i="1"/>
  <c r="M724" i="1"/>
  <c r="M521" i="1"/>
  <c r="M333" i="1"/>
  <c r="M737" i="1"/>
  <c r="M334" i="1"/>
  <c r="M1185" i="1"/>
  <c r="M540" i="1"/>
  <c r="M1190" i="1"/>
  <c r="M544" i="1"/>
  <c r="M1624" i="1"/>
  <c r="M559" i="1"/>
  <c r="M565" i="1"/>
  <c r="M784" i="1"/>
  <c r="M1644" i="1"/>
  <c r="M1009" i="1"/>
  <c r="M583" i="1"/>
  <c r="M586" i="1"/>
  <c r="M589" i="1"/>
  <c r="M592" i="1"/>
  <c r="M594" i="1"/>
  <c r="M1246" i="1"/>
  <c r="M204" i="1"/>
  <c r="M810" i="1"/>
  <c r="M814" i="1"/>
  <c r="M1465" i="1"/>
  <c r="M12" i="1"/>
  <c r="M402" i="1"/>
  <c r="M603" i="1"/>
  <c r="M1035" i="1"/>
  <c r="M1255" i="1"/>
  <c r="M14" i="1"/>
  <c r="M212" i="1"/>
  <c r="M404" i="1"/>
  <c r="M605" i="1"/>
  <c r="M405" i="1"/>
  <c r="M819" i="1"/>
  <c r="M21" i="1"/>
  <c r="M220" i="1"/>
  <c r="M1263" i="1"/>
  <c r="M1476" i="1"/>
  <c r="M22" i="1"/>
  <c r="M412" i="1"/>
  <c r="M614" i="1"/>
  <c r="M827" i="1"/>
  <c r="M1044" i="1"/>
  <c r="M1264" i="1"/>
  <c r="M1477" i="1"/>
  <c r="M23" i="1"/>
  <c r="M222" i="1"/>
  <c r="M615" i="1"/>
  <c r="M225" i="1"/>
  <c r="M416" i="1"/>
  <c r="M227" i="1"/>
  <c r="M1051" i="1"/>
  <c r="M1486" i="1"/>
  <c r="M626" i="1"/>
  <c r="M839" i="1"/>
  <c r="M35" i="1"/>
  <c r="M840" i="1"/>
  <c r="M1056" i="1"/>
  <c r="M1057" i="1"/>
  <c r="M428" i="1"/>
  <c r="M429" i="1"/>
  <c r="M1281" i="1"/>
  <c r="M847" i="1"/>
  <c r="M635" i="1"/>
  <c r="M242" i="1"/>
  <c r="M1498" i="1"/>
  <c r="M855" i="1"/>
  <c r="M1072" i="1"/>
  <c r="M644" i="1"/>
  <c r="M50" i="1"/>
  <c r="M247" i="1"/>
  <c r="M645" i="1"/>
  <c r="M859" i="1"/>
  <c r="M1507" i="1"/>
  <c r="M647" i="1"/>
  <c r="M1297" i="1"/>
  <c r="M651" i="1"/>
  <c r="M1081" i="1"/>
  <c r="M1300" i="1"/>
  <c r="M1301" i="1"/>
  <c r="M448" i="1"/>
  <c r="M866" i="1"/>
  <c r="M1303" i="1"/>
  <c r="M451" i="1"/>
  <c r="M1516" i="1"/>
  <c r="M658" i="1"/>
  <c r="M259" i="1"/>
  <c r="M659" i="1"/>
  <c r="M660" i="1"/>
  <c r="M64" i="1"/>
  <c r="M456" i="1"/>
  <c r="M1315" i="1"/>
  <c r="M458" i="1"/>
  <c r="M1528" i="1"/>
  <c r="M264" i="1"/>
  <c r="M459" i="1"/>
  <c r="M666" i="1"/>
  <c r="M1098" i="1"/>
  <c r="M1317" i="1"/>
  <c r="M70" i="1"/>
  <c r="M470" i="1"/>
  <c r="M1330" i="1"/>
  <c r="M1113" i="1"/>
  <c r="M80" i="1"/>
  <c r="M277" i="1"/>
  <c r="M473" i="1"/>
  <c r="M896" i="1"/>
  <c r="M1117" i="1"/>
  <c r="M282" i="1"/>
  <c r="M477" i="1"/>
  <c r="M1119" i="1"/>
  <c r="M286" i="1"/>
  <c r="M1340" i="1"/>
  <c r="M287" i="1"/>
  <c r="M1124" i="1"/>
  <c r="M692" i="1"/>
  <c r="M1551" i="1"/>
  <c r="M289" i="1"/>
  <c r="M693" i="1"/>
  <c r="M1552" i="1"/>
  <c r="M909" i="1"/>
  <c r="M1127" i="1"/>
  <c r="M910" i="1"/>
  <c r="M1554" i="1"/>
  <c r="M294" i="1"/>
  <c r="M916" i="1"/>
  <c r="M1133" i="1"/>
  <c r="M1134" i="1"/>
  <c r="M1349" i="1"/>
  <c r="M1559" i="1"/>
  <c r="M299" i="1"/>
  <c r="M703" i="1"/>
  <c r="M1350" i="1"/>
  <c r="M495" i="1"/>
  <c r="M920" i="1"/>
  <c r="M705" i="1"/>
  <c r="M921" i="1"/>
  <c r="M1137" i="1"/>
  <c r="M1563" i="1"/>
  <c r="M109" i="1"/>
  <c r="M304" i="1"/>
  <c r="M499" i="1"/>
  <c r="M708" i="1"/>
  <c r="M1140" i="1"/>
  <c r="M1565" i="1"/>
  <c r="M1141" i="1"/>
  <c r="M111" i="1"/>
  <c r="M306" i="1"/>
  <c r="M926" i="1"/>
  <c r="M1146" i="1"/>
  <c r="M1360" i="1"/>
  <c r="M505" i="1"/>
  <c r="M118" i="1"/>
  <c r="M313" i="1"/>
  <c r="M932" i="1"/>
  <c r="M1149" i="1"/>
  <c r="M1363" i="1"/>
  <c r="M1573" i="1"/>
  <c r="M933" i="1"/>
  <c r="M511" i="1"/>
  <c r="M123" i="1"/>
  <c r="M512" i="1"/>
  <c r="M721" i="1"/>
  <c r="M938" i="1"/>
  <c r="M1579" i="1"/>
  <c r="M124" i="1"/>
  <c r="M319" i="1"/>
  <c r="M513" i="1"/>
  <c r="M722" i="1"/>
  <c r="M1370" i="1"/>
  <c r="M1580" i="1"/>
  <c r="M320" i="1"/>
  <c r="M723" i="1"/>
  <c r="M1371" i="1"/>
  <c r="M941" i="1"/>
  <c r="M1158" i="1"/>
  <c r="M1372" i="1"/>
  <c r="M1582" i="1"/>
  <c r="M126" i="1"/>
  <c r="M321" i="1"/>
  <c r="M516" i="1"/>
  <c r="M725" i="1"/>
  <c r="M942" i="1"/>
  <c r="M1159" i="1"/>
  <c r="M1373" i="1"/>
  <c r="M1583" i="1"/>
  <c r="M1160" i="1"/>
  <c r="M730" i="1"/>
  <c r="M1165" i="1"/>
  <c r="M1379" i="1"/>
  <c r="M329" i="1"/>
  <c r="M951" i="1"/>
  <c r="M136" i="1"/>
  <c r="M331" i="1"/>
  <c r="M735" i="1"/>
  <c r="M952" i="1"/>
  <c r="M1384" i="1"/>
  <c r="M332" i="1"/>
  <c r="M527" i="1"/>
  <c r="M1171" i="1"/>
  <c r="M1385" i="1"/>
  <c r="M1594" i="1"/>
  <c r="M1595" i="1"/>
  <c r="M738" i="1"/>
  <c r="M1387" i="1"/>
  <c r="M1596" i="1"/>
  <c r="M529" i="1"/>
  <c r="M739" i="1"/>
  <c r="M1176" i="1"/>
  <c r="M1390" i="1"/>
  <c r="M1599" i="1"/>
  <c r="M337" i="1"/>
  <c r="M532" i="1"/>
  <c r="M743" i="1"/>
  <c r="M960" i="1"/>
  <c r="M1178" i="1"/>
  <c r="M1392" i="1"/>
  <c r="M1601" i="1"/>
  <c r="M143" i="1"/>
  <c r="M338" i="1"/>
  <c r="M1396" i="1"/>
  <c r="M1605" i="1"/>
  <c r="M964" i="1"/>
  <c r="M146" i="1"/>
  <c r="M341" i="1"/>
  <c r="M965" i="1"/>
  <c r="M147" i="1"/>
  <c r="M342" i="1"/>
  <c r="M538" i="1"/>
  <c r="M748" i="1"/>
  <c r="M539" i="1"/>
  <c r="M151" i="1"/>
  <c r="M346" i="1"/>
  <c r="M541" i="1"/>
  <c r="M970" i="1"/>
  <c r="M1403" i="1"/>
  <c r="M153" i="1"/>
  <c r="M348" i="1"/>
  <c r="M753" i="1"/>
  <c r="M349" i="1"/>
  <c r="M972" i="1"/>
  <c r="M545" i="1"/>
  <c r="M755" i="1"/>
  <c r="M351" i="1"/>
  <c r="M546" i="1"/>
  <c r="M974" i="1"/>
  <c r="M1616" i="1"/>
  <c r="M1195" i="1"/>
  <c r="M158" i="1"/>
  <c r="M548" i="1"/>
  <c r="M1619" i="1"/>
  <c r="M1620" i="1"/>
  <c r="M1198" i="1"/>
  <c r="M1412" i="1"/>
  <c r="M160" i="1"/>
  <c r="M550" i="1"/>
  <c r="M761" i="1"/>
  <c r="M1199" i="1"/>
  <c r="M1413" i="1"/>
  <c r="M356" i="1"/>
  <c r="M1201" i="1"/>
  <c r="M1625" i="1"/>
  <c r="M164" i="1"/>
  <c r="M765" i="1"/>
  <c r="M984" i="1"/>
  <c r="M1205" i="1"/>
  <c r="M1419" i="1"/>
  <c r="M1628" i="1"/>
  <c r="M166" i="1"/>
  <c r="M360" i="1"/>
  <c r="M556" i="1"/>
  <c r="M768" i="1"/>
  <c r="M167" i="1"/>
  <c r="M1207" i="1"/>
  <c r="M363" i="1"/>
  <c r="M772" i="1"/>
  <c r="M989" i="1"/>
  <c r="M1210" i="1"/>
  <c r="M1427" i="1"/>
  <c r="M993" i="1"/>
  <c r="M1214" i="1"/>
  <c r="M368" i="1"/>
  <c r="M778" i="1"/>
  <c r="M995" i="1"/>
  <c r="M1216" i="1"/>
  <c r="M1430" i="1"/>
  <c r="M1638" i="1"/>
  <c r="M1640" i="1"/>
  <c r="M569" i="1"/>
  <c r="M999" i="1"/>
  <c r="M1220" i="1"/>
  <c r="M1434" i="1"/>
  <c r="M1642" i="1"/>
  <c r="M372" i="1"/>
  <c r="M570" i="1"/>
  <c r="M1643" i="1"/>
  <c r="M1437" i="1"/>
  <c r="M1224" i="1"/>
  <c r="M184" i="1"/>
  <c r="M377" i="1"/>
  <c r="M576" i="1"/>
  <c r="M792" i="1"/>
  <c r="M382" i="1"/>
  <c r="M1012" i="1"/>
  <c r="M190" i="1"/>
  <c r="M383" i="1"/>
  <c r="M1446" i="1"/>
  <c r="M1014" i="1"/>
  <c r="M1015" i="1"/>
  <c r="M386" i="1"/>
  <c r="M584" i="1"/>
  <c r="M1237" i="1"/>
  <c r="M585" i="1"/>
  <c r="M800" i="1"/>
  <c r="M1018" i="1"/>
  <c r="M1238" i="1"/>
  <c r="M1657" i="1"/>
  <c r="M1453" i="1"/>
  <c r="M1659" i="1"/>
  <c r="M1661" i="1"/>
  <c r="M1243" i="1"/>
  <c r="M139" i="1"/>
  <c r="M106" i="1"/>
  <c r="M107" i="1"/>
  <c r="M163" i="1"/>
  <c r="M177" i="1"/>
  <c r="M193" i="1"/>
  <c r="M38" i="1"/>
  <c r="M73" i="1"/>
  <c r="M11" i="1"/>
  <c r="M82" i="1"/>
  <c r="M102" i="1"/>
  <c r="M127" i="1"/>
  <c r="M131" i="1"/>
  <c r="M152" i="1"/>
  <c r="M157" i="1"/>
  <c r="M192" i="1"/>
  <c r="M174" i="1"/>
  <c r="M2" i="1"/>
  <c r="M24" i="1"/>
  <c r="M29" i="1"/>
  <c r="M37" i="1"/>
  <c r="M56" i="1"/>
  <c r="M72" i="1"/>
  <c r="M83" i="1"/>
  <c r="M95" i="1"/>
  <c r="M105" i="1"/>
  <c r="M116" i="1"/>
  <c r="M128" i="1"/>
  <c r="M144" i="1"/>
  <c r="M78" i="1"/>
  <c r="M120" i="1"/>
  <c r="M140" i="1"/>
  <c r="M57" i="1"/>
  <c r="M74" i="1"/>
  <c r="M117" i="1"/>
  <c r="M15" i="1"/>
  <c r="M30" i="1"/>
  <c r="M45" i="1"/>
  <c r="M47" i="1"/>
  <c r="M53" i="1"/>
  <c r="M104" i="1"/>
  <c r="M129" i="1"/>
  <c r="M135" i="1"/>
  <c r="M191" i="1"/>
  <c r="M161" i="1"/>
  <c r="M92" i="1"/>
  <c r="M112" i="1"/>
  <c r="M113" i="1"/>
  <c r="M114" i="1"/>
  <c r="M119" i="1"/>
  <c r="M141" i="1"/>
  <c r="M149" i="1"/>
  <c r="M165" i="1"/>
  <c r="M81" i="1"/>
  <c r="M145" i="1"/>
  <c r="M9" i="1"/>
  <c r="M60" i="1"/>
  <c r="M76" i="1"/>
  <c r="M98" i="1"/>
  <c r="M115" i="1"/>
  <c r="M155" i="1"/>
  <c r="M198" i="1"/>
  <c r="M66" i="1"/>
  <c r="M122" i="1"/>
  <c r="M159" i="1"/>
  <c r="M199" i="1"/>
  <c r="M19" i="1"/>
  <c r="M43" i="1"/>
  <c r="M188" i="1"/>
  <c r="M77" i="1"/>
  <c r="M138" i="1"/>
  <c r="M180" i="1"/>
  <c r="M806" i="1"/>
  <c r="M1025" i="1"/>
  <c r="M1458" i="1"/>
  <c r="M807" i="1"/>
  <c r="M5" i="1"/>
  <c r="M6" i="1"/>
  <c r="M205" i="1"/>
  <c r="M1248" i="1"/>
  <c r="M1461" i="1"/>
  <c r="M811" i="1"/>
  <c r="M1462" i="1"/>
  <c r="M7" i="1"/>
  <c r="M206" i="1"/>
  <c r="M397" i="1"/>
  <c r="M1250" i="1"/>
  <c r="M1463" i="1"/>
  <c r="M207" i="1"/>
  <c r="M813" i="1"/>
  <c r="M1251" i="1"/>
  <c r="M600" i="1"/>
  <c r="M1252" i="1"/>
  <c r="M10" i="1"/>
  <c r="M400" i="1"/>
  <c r="M1466" i="1"/>
  <c r="M1034" i="1"/>
  <c r="M1254" i="1"/>
  <c r="M13" i="1"/>
  <c r="M211" i="1"/>
  <c r="M818" i="1"/>
  <c r="M1036" i="1"/>
  <c r="M1256" i="1"/>
  <c r="M1257" i="1"/>
  <c r="M16" i="1"/>
  <c r="M214" i="1"/>
  <c r="M406" i="1"/>
  <c r="M607" i="1"/>
  <c r="M820" i="1"/>
  <c r="M1038" i="1"/>
  <c r="M1471" i="1"/>
  <c r="M17" i="1"/>
  <c r="M407" i="1"/>
  <c r="M608" i="1"/>
  <c r="M1039" i="1"/>
  <c r="M18" i="1"/>
  <c r="M1040" i="1"/>
  <c r="M1260" i="1"/>
  <c r="M1473" i="1"/>
  <c r="M610" i="1"/>
  <c r="M823" i="1"/>
  <c r="M1261" i="1"/>
  <c r="M1474" i="1"/>
  <c r="M611" i="1"/>
  <c r="M824" i="1"/>
  <c r="M20" i="1"/>
  <c r="M219" i="1"/>
  <c r="M410" i="1"/>
  <c r="M612" i="1"/>
  <c r="M1475" i="1"/>
  <c r="M829" i="1"/>
  <c r="M1478" i="1"/>
  <c r="M415" i="1"/>
  <c r="M617" i="1"/>
  <c r="M1266" i="1"/>
  <c r="M1479" i="1"/>
  <c r="M27" i="1"/>
  <c r="M226" i="1"/>
  <c r="M619" i="1"/>
  <c r="M1268" i="1"/>
  <c r="M28" i="1"/>
  <c r="M418" i="1"/>
  <c r="M1049" i="1"/>
  <c r="M1269" i="1"/>
  <c r="M420" i="1"/>
  <c r="M835" i="1"/>
  <c r="M1484" i="1"/>
  <c r="M1272" i="1"/>
  <c r="M32" i="1"/>
  <c r="M422" i="1"/>
  <c r="M33" i="1"/>
  <c r="M232" i="1"/>
  <c r="M423" i="1"/>
  <c r="M625" i="1"/>
  <c r="M838" i="1"/>
  <c r="M233" i="1"/>
  <c r="M424" i="1"/>
  <c r="M1487" i="1"/>
  <c r="M1488" i="1"/>
  <c r="M841" i="1"/>
  <c r="M1276" i="1"/>
  <c r="M36" i="1"/>
  <c r="M1058" i="1"/>
  <c r="M1059" i="1"/>
  <c r="M1278" i="1"/>
  <c r="M1490" i="1"/>
  <c r="M844" i="1"/>
  <c r="M39" i="1"/>
  <c r="M632" i="1"/>
  <c r="M1062" i="1"/>
  <c r="M1493" i="1"/>
  <c r="M1063" i="1"/>
  <c r="M1494" i="1"/>
  <c r="M239" i="1"/>
  <c r="M431" i="1"/>
  <c r="M848" i="1"/>
  <c r="M1064" i="1"/>
  <c r="M1283" i="1"/>
  <c r="M240" i="1"/>
  <c r="M1284" i="1"/>
  <c r="M241" i="1"/>
  <c r="M433" i="1"/>
  <c r="M1066" i="1"/>
  <c r="M1285" i="1"/>
  <c r="M44" i="1"/>
  <c r="M1067" i="1"/>
  <c r="M1286" i="1"/>
  <c r="M852" i="1"/>
  <c r="M1068" i="1"/>
  <c r="M1500" i="1"/>
  <c r="M436" i="1"/>
  <c r="M854" i="1"/>
  <c r="M1070" i="1"/>
  <c r="M1501" i="1"/>
  <c r="M1291" i="1"/>
  <c r="M642" i="1"/>
  <c r="M856" i="1"/>
  <c r="M1073" i="1"/>
  <c r="M1292" i="1"/>
  <c r="M48" i="1"/>
  <c r="M438" i="1"/>
  <c r="M643" i="1"/>
  <c r="M857" i="1"/>
  <c r="M1074" i="1"/>
  <c r="M1293" i="1"/>
  <c r="M1504" i="1"/>
  <c r="M439" i="1"/>
  <c r="M1294" i="1"/>
  <c r="M1505" i="1"/>
  <c r="M1506" i="1"/>
  <c r="M249" i="1"/>
  <c r="M442" i="1"/>
  <c r="M1508" i="1"/>
  <c r="M250" i="1"/>
  <c r="M443" i="1"/>
  <c r="M648" i="1"/>
  <c r="M862" i="1"/>
  <c r="M1079" i="1"/>
  <c r="M1298" i="1"/>
  <c r="M1509" i="1"/>
  <c r="M54" i="1"/>
  <c r="M444" i="1"/>
  <c r="M649" i="1"/>
  <c r="M863" i="1"/>
  <c r="M1080" i="1"/>
  <c r="M55" i="1"/>
  <c r="M58" i="1"/>
  <c r="M254" i="1"/>
  <c r="M449" i="1"/>
  <c r="M253" i="1"/>
  <c r="M1084" i="1"/>
  <c r="M1514" i="1"/>
  <c r="M59" i="1"/>
  <c r="M450" i="1"/>
  <c r="M1304" i="1"/>
  <c r="M1515" i="1"/>
  <c r="M257" i="1"/>
  <c r="M1087" i="1"/>
  <c r="M1306" i="1"/>
  <c r="M258" i="1"/>
  <c r="M871" i="1"/>
  <c r="M1088" i="1"/>
  <c r="M1518" i="1"/>
  <c r="M62" i="1"/>
  <c r="M872" i="1"/>
  <c r="M1308" i="1"/>
  <c r="M63" i="1"/>
  <c r="M260" i="1"/>
  <c r="M454" i="1"/>
  <c r="M874" i="1"/>
  <c r="M1522" i="1"/>
  <c r="M875" i="1"/>
  <c r="M1092" i="1"/>
  <c r="M1523" i="1"/>
  <c r="M877" i="1"/>
  <c r="M1094" i="1"/>
  <c r="M1313" i="1"/>
  <c r="M65" i="1"/>
  <c r="M262" i="1"/>
  <c r="M879" i="1"/>
  <c r="M1096" i="1"/>
  <c r="M67" i="1"/>
  <c r="M265" i="1"/>
  <c r="M667" i="1"/>
  <c r="M882" i="1"/>
  <c r="M461" i="1"/>
  <c r="M668" i="1"/>
  <c r="M1100" i="1"/>
  <c r="M1318" i="1"/>
  <c r="M1530" i="1"/>
  <c r="M669" i="1"/>
  <c r="M71" i="1"/>
  <c r="M267" i="1"/>
  <c r="M1104" i="1"/>
  <c r="M1322" i="1"/>
  <c r="M1533" i="1"/>
  <c r="M268" i="1"/>
  <c r="M1106" i="1"/>
  <c r="M674" i="1"/>
  <c r="M1325" i="1"/>
  <c r="M1536" i="1"/>
  <c r="M75" i="1"/>
  <c r="M271" i="1"/>
  <c r="M467" i="1"/>
  <c r="M468" i="1"/>
  <c r="M891" i="1"/>
  <c r="M1109" i="1"/>
  <c r="M1537" i="1"/>
  <c r="M274" i="1"/>
  <c r="M677" i="1"/>
  <c r="M678" i="1"/>
  <c r="M1329" i="1"/>
  <c r="M1112" i="1"/>
  <c r="M79" i="1"/>
  <c r="M895" i="1"/>
  <c r="M278" i="1"/>
  <c r="M681" i="1"/>
  <c r="M1332" i="1"/>
  <c r="M682" i="1"/>
  <c r="M897" i="1"/>
  <c r="M1115" i="1"/>
  <c r="M1543" i="1"/>
  <c r="M280" i="1"/>
  <c r="M683" i="1"/>
  <c r="M898" i="1"/>
  <c r="M1334" i="1"/>
  <c r="M84" i="1"/>
  <c r="M476" i="1"/>
  <c r="M684" i="1"/>
  <c r="M1335" i="1"/>
  <c r="M85" i="1"/>
  <c r="M685" i="1"/>
  <c r="M1118" i="1"/>
  <c r="M1546" i="1"/>
  <c r="M901" i="1"/>
  <c r="M1547" i="1"/>
  <c r="M87" i="1"/>
  <c r="M283" i="1"/>
  <c r="M479" i="1"/>
  <c r="M687" i="1"/>
  <c r="M902" i="1"/>
  <c r="M1120" i="1"/>
  <c r="M1548" i="1"/>
  <c r="M89" i="1"/>
  <c r="M285" i="1"/>
  <c r="M689" i="1"/>
  <c r="M1122" i="1"/>
  <c r="M90" i="1"/>
  <c r="M481" i="1"/>
  <c r="M1123" i="1"/>
  <c r="M691" i="1"/>
  <c r="M288" i="1"/>
  <c r="M1125" i="1"/>
  <c r="M1341" i="1"/>
  <c r="M93" i="1"/>
  <c r="M1126" i="1"/>
  <c r="M1342" i="1"/>
  <c r="M94" i="1"/>
  <c r="M694" i="1"/>
  <c r="M486" i="1"/>
  <c r="M96" i="1"/>
  <c r="M292" i="1"/>
  <c r="M1345" i="1"/>
  <c r="M1555" i="1"/>
  <c r="M97" i="1"/>
  <c r="M697" i="1"/>
  <c r="M1130" i="1"/>
  <c r="M1346" i="1"/>
  <c r="M99" i="1"/>
  <c r="M489" i="1"/>
  <c r="M698" i="1"/>
  <c r="M914" i="1"/>
  <c r="M1131" i="1"/>
  <c r="M100" i="1"/>
  <c r="M295" i="1"/>
  <c r="M490" i="1"/>
  <c r="M699" i="1"/>
  <c r="M915" i="1"/>
  <c r="M101" i="1"/>
  <c r="M103" i="1"/>
  <c r="M1135" i="1"/>
  <c r="M1560" i="1"/>
  <c r="M300" i="1"/>
  <c r="M704" i="1"/>
  <c r="M1136" i="1"/>
  <c r="M1561" i="1"/>
  <c r="M922" i="1"/>
  <c r="M108" i="1"/>
  <c r="M1139" i="1"/>
  <c r="M1354" i="1"/>
  <c r="M1564" i="1"/>
  <c r="M709" i="1"/>
  <c r="M925" i="1"/>
  <c r="M1356" i="1"/>
  <c r="M1566" i="1"/>
  <c r="M501" i="1"/>
  <c r="M1142" i="1"/>
  <c r="M1357" i="1"/>
  <c r="M1567" i="1"/>
  <c r="M307" i="1"/>
  <c r="M1143" i="1"/>
  <c r="M712" i="1"/>
  <c r="M1568" i="1"/>
  <c r="M309" i="1"/>
  <c r="M504" i="1"/>
  <c r="M1569" i="1"/>
  <c r="M311" i="1"/>
  <c r="M714" i="1"/>
  <c r="M930" i="1"/>
  <c r="M1361" i="1"/>
  <c r="M1571" i="1"/>
  <c r="M715" i="1"/>
  <c r="M1148" i="1"/>
  <c r="M1362" i="1"/>
  <c r="M1572" i="1"/>
  <c r="M314" i="1"/>
  <c r="M717" i="1"/>
  <c r="M1150" i="1"/>
  <c r="M1574" i="1"/>
  <c r="M718" i="1"/>
  <c r="M934" i="1"/>
  <c r="M1151" i="1"/>
  <c r="M1365" i="1"/>
  <c r="M1575" i="1"/>
  <c r="M121" i="1"/>
  <c r="M719" i="1"/>
  <c r="M935" i="1"/>
  <c r="M1366" i="1"/>
  <c r="M1576" i="1"/>
  <c r="M936" i="1"/>
  <c r="M1367" i="1"/>
  <c r="M1154" i="1"/>
  <c r="M726" i="1"/>
  <c r="M943" i="1"/>
  <c r="M1374" i="1"/>
  <c r="M323" i="1"/>
  <c r="M727" i="1"/>
  <c r="M944" i="1"/>
  <c r="M1375" i="1"/>
  <c r="M1585" i="1"/>
  <c r="M519" i="1"/>
  <c r="M325" i="1"/>
  <c r="M1378" i="1"/>
  <c r="M327" i="1"/>
  <c r="M948" i="1"/>
  <c r="M133" i="1"/>
  <c r="M523" i="1"/>
  <c r="M949" i="1"/>
  <c r="M1381" i="1"/>
  <c r="M524" i="1"/>
  <c r="M950" i="1"/>
  <c r="M1168" i="1"/>
  <c r="M1382" i="1"/>
  <c r="M1591" i="1"/>
  <c r="M330" i="1"/>
  <c r="M525" i="1"/>
  <c r="M734" i="1"/>
  <c r="M1383" i="1"/>
  <c r="M1593" i="1"/>
  <c r="M528" i="1"/>
  <c r="M1172" i="1"/>
  <c r="M955" i="1"/>
  <c r="M530" i="1"/>
  <c r="M1598" i="1"/>
  <c r="M1600" i="1"/>
  <c r="M1602" i="1"/>
  <c r="M961" i="1"/>
  <c r="M1180" i="1"/>
  <c r="M1603" i="1"/>
  <c r="M536" i="1"/>
  <c r="M1607" i="1"/>
  <c r="M1608" i="1"/>
  <c r="M148" i="1"/>
  <c r="M344" i="1"/>
  <c r="M1186" i="1"/>
  <c r="M150" i="1"/>
  <c r="M345" i="1"/>
  <c r="M750" i="1"/>
  <c r="M968" i="1"/>
  <c r="M1401" i="1"/>
  <c r="M1610" i="1"/>
  <c r="M969" i="1"/>
  <c r="M1611" i="1"/>
  <c r="M154" i="1"/>
  <c r="M1614" i="1"/>
  <c r="M973" i="1"/>
  <c r="M352" i="1"/>
  <c r="M975" i="1"/>
  <c r="M1194" i="1"/>
  <c r="M1408" i="1"/>
  <c r="M1618" i="1"/>
  <c r="M1410" i="1"/>
  <c r="M1416" i="1"/>
  <c r="M357" i="1"/>
  <c r="M981" i="1"/>
  <c r="M1202" i="1"/>
  <c r="M358" i="1"/>
  <c r="M982" i="1"/>
  <c r="M1203" i="1"/>
  <c r="M1626" i="1"/>
  <c r="M359" i="1"/>
  <c r="M555" i="1"/>
  <c r="M1418" i="1"/>
  <c r="M1627" i="1"/>
  <c r="M767" i="1"/>
  <c r="M1420" i="1"/>
  <c r="M769" i="1"/>
  <c r="M1422" i="1"/>
  <c r="M1630" i="1"/>
  <c r="M168" i="1"/>
  <c r="M362" i="1"/>
  <c r="M771" i="1"/>
  <c r="M1631" i="1"/>
  <c r="M170" i="1"/>
  <c r="M1211" i="1"/>
  <c r="M774" i="1"/>
  <c r="M563" i="1"/>
  <c r="M992" i="1"/>
  <c r="M172" i="1"/>
  <c r="M366" i="1"/>
  <c r="M564" i="1"/>
  <c r="M776" i="1"/>
  <c r="M1428" i="1"/>
  <c r="M173" i="1"/>
  <c r="M777" i="1"/>
  <c r="M994" i="1"/>
  <c r="M1637" i="1"/>
  <c r="M567" i="1"/>
  <c r="M779" i="1"/>
  <c r="M1217" i="1"/>
  <c r="M1431" i="1"/>
  <c r="M1639" i="1"/>
  <c r="M997" i="1"/>
  <c r="M998" i="1"/>
  <c r="M1219" i="1"/>
  <c r="M1433" i="1"/>
  <c r="M179" i="1"/>
  <c r="M374" i="1"/>
  <c r="M783" i="1"/>
  <c r="M1001" i="1"/>
  <c r="M1436" i="1"/>
  <c r="M572" i="1"/>
  <c r="M182" i="1"/>
  <c r="M1004" i="1"/>
  <c r="M1225" i="1"/>
  <c r="M1439" i="1"/>
  <c r="M1646" i="1"/>
  <c r="M183" i="1"/>
  <c r="M575" i="1"/>
  <c r="M1647" i="1"/>
  <c r="M378" i="1"/>
  <c r="M1228" i="1"/>
  <c r="M1441" i="1"/>
  <c r="M1648" i="1"/>
  <c r="M186" i="1"/>
  <c r="M379" i="1"/>
  <c r="M577" i="1"/>
  <c r="M1008" i="1"/>
  <c r="M1229" i="1"/>
  <c r="M1442" i="1"/>
  <c r="M380" i="1"/>
  <c r="M578" i="1"/>
  <c r="M1010" i="1"/>
  <c r="M1231" i="1"/>
  <c r="M1651" i="1"/>
  <c r="M381" i="1"/>
  <c r="M579" i="1"/>
  <c r="M793" i="1"/>
  <c r="M796" i="1"/>
  <c r="M1235" i="1"/>
  <c r="M1448" i="1"/>
  <c r="M1655" i="1"/>
  <c r="M385" i="1"/>
  <c r="M1236" i="1"/>
  <c r="M1449" i="1"/>
  <c r="M1656" i="1"/>
  <c r="M387" i="1"/>
  <c r="M196" i="1"/>
  <c r="M1019" i="1"/>
  <c r="M1239" i="1"/>
  <c r="M588" i="1"/>
  <c r="M1456" i="1"/>
  <c r="M1662" i="1"/>
  <c r="M1024" i="1"/>
  <c r="M1244" i="1"/>
  <c r="M4" i="1"/>
  <c r="B217" i="1"/>
  <c r="C217" i="1"/>
  <c r="D217" i="1"/>
  <c r="B201" i="1"/>
  <c r="C201" i="1"/>
  <c r="D201" i="1"/>
  <c r="B392" i="1"/>
  <c r="C392" i="1"/>
  <c r="D392" i="1"/>
  <c r="B592" i="1"/>
  <c r="C592" i="1"/>
  <c r="D592" i="1"/>
  <c r="B806" i="1"/>
  <c r="C806" i="1"/>
  <c r="D806" i="1"/>
  <c r="B1025" i="1"/>
  <c r="C1025" i="1"/>
  <c r="D1025" i="1"/>
  <c r="B1245" i="1"/>
  <c r="C1245" i="1"/>
  <c r="D1245" i="1"/>
  <c r="B1458" i="1"/>
  <c r="C1458" i="1"/>
  <c r="D1458" i="1"/>
  <c r="B1664" i="1"/>
  <c r="C1664" i="1"/>
  <c r="D1664" i="1"/>
  <c r="B1864" i="1"/>
  <c r="C1864" i="1"/>
  <c r="D1864" i="1"/>
  <c r="B3" i="1"/>
  <c r="C3" i="1"/>
  <c r="D3" i="1"/>
  <c r="B202" i="1"/>
  <c r="C202" i="1"/>
  <c r="D202" i="1"/>
  <c r="B393" i="1"/>
  <c r="C393" i="1"/>
  <c r="D393" i="1"/>
  <c r="B593" i="1"/>
  <c r="C593" i="1"/>
  <c r="D593" i="1"/>
  <c r="B807" i="1"/>
  <c r="C807" i="1"/>
  <c r="D807" i="1"/>
  <c r="B4" i="1"/>
  <c r="C4" i="1"/>
  <c r="D4" i="1"/>
  <c r="B203" i="1"/>
  <c r="C203" i="1"/>
  <c r="D203" i="1"/>
  <c r="B394" i="1"/>
  <c r="C394" i="1"/>
  <c r="D394" i="1"/>
  <c r="B594" i="1"/>
  <c r="C594" i="1"/>
  <c r="D594" i="1"/>
  <c r="B808" i="1"/>
  <c r="C808" i="1"/>
  <c r="D808" i="1"/>
  <c r="B1026" i="1"/>
  <c r="C1026" i="1"/>
  <c r="D1026" i="1"/>
  <c r="B1246" i="1"/>
  <c r="C1246" i="1"/>
  <c r="D1246" i="1"/>
  <c r="B1459" i="1"/>
  <c r="C1459" i="1"/>
  <c r="D1459" i="1"/>
  <c r="B1665" i="1"/>
  <c r="C1665" i="1"/>
  <c r="D1665" i="1"/>
  <c r="B1865" i="1"/>
  <c r="C1865" i="1"/>
  <c r="D1865" i="1"/>
  <c r="B5" i="1"/>
  <c r="C5" i="1"/>
  <c r="D5" i="1"/>
  <c r="B204" i="1"/>
  <c r="C204" i="1"/>
  <c r="D204" i="1"/>
  <c r="B395" i="1"/>
  <c r="C395" i="1"/>
  <c r="D395" i="1"/>
  <c r="B595" i="1"/>
  <c r="C595" i="1"/>
  <c r="D595" i="1"/>
  <c r="B809" i="1"/>
  <c r="C809" i="1"/>
  <c r="D809" i="1"/>
  <c r="B1027" i="1"/>
  <c r="C1027" i="1"/>
  <c r="D1027" i="1"/>
  <c r="B1247" i="1"/>
  <c r="C1247" i="1"/>
  <c r="D1247" i="1"/>
  <c r="B1460" i="1"/>
  <c r="C1460" i="1"/>
  <c r="D1460" i="1"/>
  <c r="B1666" i="1"/>
  <c r="C1666" i="1"/>
  <c r="D1666" i="1"/>
  <c r="B1866" i="1"/>
  <c r="C1866" i="1"/>
  <c r="D1866" i="1"/>
  <c r="B6" i="1"/>
  <c r="C6" i="1"/>
  <c r="D6" i="1"/>
  <c r="B205" i="1"/>
  <c r="C205" i="1"/>
  <c r="D205" i="1"/>
  <c r="B396" i="1"/>
  <c r="C396" i="1"/>
  <c r="D396" i="1"/>
  <c r="B596" i="1"/>
  <c r="C596" i="1"/>
  <c r="D596" i="1"/>
  <c r="B810" i="1"/>
  <c r="C810" i="1"/>
  <c r="D810" i="1"/>
  <c r="B1028" i="1"/>
  <c r="C1028" i="1"/>
  <c r="D1028" i="1"/>
  <c r="B1248" i="1"/>
  <c r="C1248" i="1"/>
  <c r="D1248" i="1"/>
  <c r="B1461" i="1"/>
  <c r="C1461" i="1"/>
  <c r="D1461" i="1"/>
  <c r="B1667" i="1"/>
  <c r="C1667" i="1"/>
  <c r="D1667" i="1"/>
  <c r="B1867" i="1"/>
  <c r="C1867" i="1"/>
  <c r="D1867" i="1"/>
  <c r="B597" i="1"/>
  <c r="C597" i="1"/>
  <c r="D597" i="1"/>
  <c r="B811" i="1"/>
  <c r="C811" i="1"/>
  <c r="D811" i="1"/>
  <c r="B1029" i="1"/>
  <c r="C1029" i="1"/>
  <c r="D1029" i="1"/>
  <c r="B1249" i="1"/>
  <c r="C1249" i="1"/>
  <c r="D1249" i="1"/>
  <c r="B1462" i="1"/>
  <c r="C1462" i="1"/>
  <c r="D1462" i="1"/>
  <c r="B1668" i="1"/>
  <c r="C1668" i="1"/>
  <c r="D1668" i="1"/>
  <c r="B1868" i="1"/>
  <c r="C1868" i="1"/>
  <c r="D1868" i="1"/>
  <c r="B7" i="1"/>
  <c r="C7" i="1"/>
  <c r="D7" i="1"/>
  <c r="B206" i="1"/>
  <c r="C206" i="1"/>
  <c r="D206" i="1"/>
  <c r="B397" i="1"/>
  <c r="C397" i="1"/>
  <c r="D397" i="1"/>
  <c r="B598" i="1"/>
  <c r="C598" i="1"/>
  <c r="D598" i="1"/>
  <c r="B812" i="1"/>
  <c r="C812" i="1"/>
  <c r="D812" i="1"/>
  <c r="B1030" i="1"/>
  <c r="C1030" i="1"/>
  <c r="D1030" i="1"/>
  <c r="B1250" i="1"/>
  <c r="C1250" i="1"/>
  <c r="D1250" i="1"/>
  <c r="B1463" i="1"/>
  <c r="C1463" i="1"/>
  <c r="D1463" i="1"/>
  <c r="B1669" i="1"/>
  <c r="C1669" i="1"/>
  <c r="D1669" i="1"/>
  <c r="B1869" i="1"/>
  <c r="C1869" i="1"/>
  <c r="D1869" i="1"/>
  <c r="B8" i="1"/>
  <c r="C8" i="1"/>
  <c r="D8" i="1"/>
  <c r="B207" i="1"/>
  <c r="C207" i="1"/>
  <c r="D207" i="1"/>
  <c r="B398" i="1"/>
  <c r="C398" i="1"/>
  <c r="D398" i="1"/>
  <c r="B599" i="1"/>
  <c r="C599" i="1"/>
  <c r="D599" i="1"/>
  <c r="B813" i="1"/>
  <c r="C813" i="1"/>
  <c r="D813" i="1"/>
  <c r="B1031" i="1"/>
  <c r="C1031" i="1"/>
  <c r="D1031" i="1"/>
  <c r="B1251" i="1"/>
  <c r="C1251" i="1"/>
  <c r="D1251" i="1"/>
  <c r="B1464" i="1"/>
  <c r="C1464" i="1"/>
  <c r="D1464" i="1"/>
  <c r="B1670" i="1"/>
  <c r="C1670" i="1"/>
  <c r="D1670" i="1"/>
  <c r="B1870" i="1"/>
  <c r="C1870" i="1"/>
  <c r="D1870" i="1"/>
  <c r="B9" i="1"/>
  <c r="C9" i="1"/>
  <c r="D9" i="1"/>
  <c r="B208" i="1"/>
  <c r="C208" i="1"/>
  <c r="D208" i="1"/>
  <c r="B399" i="1"/>
  <c r="C399" i="1"/>
  <c r="D399" i="1"/>
  <c r="B600" i="1"/>
  <c r="C600" i="1"/>
  <c r="D600" i="1"/>
  <c r="B814" i="1"/>
  <c r="C814" i="1"/>
  <c r="D814" i="1"/>
  <c r="B1032" i="1"/>
  <c r="C1032" i="1"/>
  <c r="D1032" i="1"/>
  <c r="B1252" i="1"/>
  <c r="C1252" i="1"/>
  <c r="D1252" i="1"/>
  <c r="B1465" i="1"/>
  <c r="C1465" i="1"/>
  <c r="D1465" i="1"/>
  <c r="B10" i="1"/>
  <c r="C10" i="1"/>
  <c r="D10" i="1"/>
  <c r="B209" i="1"/>
  <c r="C209" i="1"/>
  <c r="D209" i="1"/>
  <c r="B400" i="1"/>
  <c r="C400" i="1"/>
  <c r="D400" i="1"/>
  <c r="B601" i="1"/>
  <c r="C601" i="1"/>
  <c r="D601" i="1"/>
  <c r="B815" i="1"/>
  <c r="C815" i="1"/>
  <c r="D815" i="1"/>
  <c r="B1033" i="1"/>
  <c r="C1033" i="1"/>
  <c r="D1033" i="1"/>
  <c r="B1253" i="1"/>
  <c r="C1253" i="1"/>
  <c r="D1253" i="1"/>
  <c r="B1466" i="1"/>
  <c r="C1466" i="1"/>
  <c r="D1466" i="1"/>
  <c r="B1671" i="1"/>
  <c r="C1671" i="1"/>
  <c r="D1671" i="1"/>
  <c r="B1871" i="1"/>
  <c r="C1871" i="1"/>
  <c r="D1871" i="1"/>
  <c r="B11" i="1"/>
  <c r="C11" i="1"/>
  <c r="D11" i="1"/>
  <c r="B401" i="1"/>
  <c r="C401" i="1"/>
  <c r="D401" i="1"/>
  <c r="B602" i="1"/>
  <c r="C602" i="1"/>
  <c r="D602" i="1"/>
  <c r="B816" i="1"/>
  <c r="C816" i="1"/>
  <c r="D816" i="1"/>
  <c r="B1034" i="1"/>
  <c r="C1034" i="1"/>
  <c r="D1034" i="1"/>
  <c r="B1254" i="1"/>
  <c r="C1254" i="1"/>
  <c r="D1254" i="1"/>
  <c r="B1467" i="1"/>
  <c r="C1467" i="1"/>
  <c r="D1467" i="1"/>
  <c r="B1672" i="1"/>
  <c r="C1672" i="1"/>
  <c r="D1672" i="1"/>
  <c r="B1872" i="1"/>
  <c r="C1872" i="1"/>
  <c r="D1872" i="1"/>
  <c r="B12" i="1"/>
  <c r="C12" i="1"/>
  <c r="D12" i="1"/>
  <c r="B210" i="1"/>
  <c r="C210" i="1"/>
  <c r="D210" i="1"/>
  <c r="B402" i="1"/>
  <c r="C402" i="1"/>
  <c r="D402" i="1"/>
  <c r="B603" i="1"/>
  <c r="C603" i="1"/>
  <c r="D603" i="1"/>
  <c r="B817" i="1"/>
  <c r="C817" i="1"/>
  <c r="D817" i="1"/>
  <c r="B1035" i="1"/>
  <c r="C1035" i="1"/>
  <c r="D1035" i="1"/>
  <c r="B1255" i="1"/>
  <c r="C1255" i="1"/>
  <c r="D1255" i="1"/>
  <c r="B1468" i="1"/>
  <c r="C1468" i="1"/>
  <c r="D1468" i="1"/>
  <c r="B1673" i="1"/>
  <c r="C1673" i="1"/>
  <c r="D1673" i="1"/>
  <c r="B1873" i="1"/>
  <c r="C1873" i="1"/>
  <c r="D1873" i="1"/>
  <c r="B13" i="1"/>
  <c r="C13" i="1"/>
  <c r="D13" i="1"/>
  <c r="B211" i="1"/>
  <c r="C211" i="1"/>
  <c r="D211" i="1"/>
  <c r="B403" i="1"/>
  <c r="C403" i="1"/>
  <c r="D403" i="1"/>
  <c r="B604" i="1"/>
  <c r="C604" i="1"/>
  <c r="D604" i="1"/>
  <c r="B818" i="1"/>
  <c r="C818" i="1"/>
  <c r="D818" i="1"/>
  <c r="B1036" i="1"/>
  <c r="C1036" i="1"/>
  <c r="D1036" i="1"/>
  <c r="B1256" i="1"/>
  <c r="C1256" i="1"/>
  <c r="D1256" i="1"/>
  <c r="B1469" i="1"/>
  <c r="C1469" i="1"/>
  <c r="D1469" i="1"/>
  <c r="B1674" i="1"/>
  <c r="C1674" i="1"/>
  <c r="D1674" i="1"/>
  <c r="B1874" i="1"/>
  <c r="C1874" i="1"/>
  <c r="D1874" i="1"/>
  <c r="B14" i="1"/>
  <c r="C14" i="1"/>
  <c r="D14" i="1"/>
  <c r="B212" i="1"/>
  <c r="C212" i="1"/>
  <c r="D212" i="1"/>
  <c r="B404" i="1"/>
  <c r="C404" i="1"/>
  <c r="D404" i="1"/>
  <c r="B605" i="1"/>
  <c r="C605" i="1"/>
  <c r="D605" i="1"/>
  <c r="B1875" i="1"/>
  <c r="C1875" i="1"/>
  <c r="D1875" i="1"/>
  <c r="B15" i="1"/>
  <c r="C15" i="1"/>
  <c r="D15" i="1"/>
  <c r="B213" i="1"/>
  <c r="C213" i="1"/>
  <c r="D213" i="1"/>
  <c r="B405" i="1"/>
  <c r="C405" i="1"/>
  <c r="D405" i="1"/>
  <c r="B606" i="1"/>
  <c r="C606" i="1"/>
  <c r="D606" i="1"/>
  <c r="B819" i="1"/>
  <c r="C819" i="1"/>
  <c r="D819" i="1"/>
  <c r="B1037" i="1"/>
  <c r="C1037" i="1"/>
  <c r="D1037" i="1"/>
  <c r="B1257" i="1"/>
  <c r="C1257" i="1"/>
  <c r="D1257" i="1"/>
  <c r="B1470" i="1"/>
  <c r="C1470" i="1"/>
  <c r="D1470" i="1"/>
  <c r="B1675" i="1"/>
  <c r="C1675" i="1"/>
  <c r="D1675" i="1"/>
  <c r="B1876" i="1"/>
  <c r="C1876" i="1"/>
  <c r="D1876" i="1"/>
  <c r="B16" i="1"/>
  <c r="C16" i="1"/>
  <c r="D16" i="1"/>
  <c r="B214" i="1"/>
  <c r="C214" i="1"/>
  <c r="D214" i="1"/>
  <c r="B406" i="1"/>
  <c r="C406" i="1"/>
  <c r="D406" i="1"/>
  <c r="B607" i="1"/>
  <c r="C607" i="1"/>
  <c r="D607" i="1"/>
  <c r="B820" i="1"/>
  <c r="C820" i="1"/>
  <c r="D820" i="1"/>
  <c r="B1038" i="1"/>
  <c r="C1038" i="1"/>
  <c r="D1038" i="1"/>
  <c r="B1258" i="1"/>
  <c r="C1258" i="1"/>
  <c r="D1258" i="1"/>
  <c r="B1471" i="1"/>
  <c r="C1471" i="1"/>
  <c r="D1471" i="1"/>
  <c r="B1676" i="1"/>
  <c r="C1676" i="1"/>
  <c r="D1676" i="1"/>
  <c r="B1877" i="1"/>
  <c r="C1877" i="1"/>
  <c r="D1877" i="1"/>
  <c r="B17" i="1"/>
  <c r="C17" i="1"/>
  <c r="D17" i="1"/>
  <c r="B215" i="1"/>
  <c r="C215" i="1"/>
  <c r="D215" i="1"/>
  <c r="B407" i="1"/>
  <c r="C407" i="1"/>
  <c r="D407" i="1"/>
  <c r="B608" i="1"/>
  <c r="C608" i="1"/>
  <c r="D608" i="1"/>
  <c r="B821" i="1"/>
  <c r="C821" i="1"/>
  <c r="D821" i="1"/>
  <c r="B1039" i="1"/>
  <c r="C1039" i="1"/>
  <c r="D1039" i="1"/>
  <c r="B1259" i="1"/>
  <c r="C1259" i="1"/>
  <c r="D1259" i="1"/>
  <c r="B1472" i="1"/>
  <c r="C1472" i="1"/>
  <c r="D1472" i="1"/>
  <c r="B1677" i="1"/>
  <c r="C1677" i="1"/>
  <c r="D1677" i="1"/>
  <c r="B1878" i="1"/>
  <c r="C1878" i="1"/>
  <c r="D1878" i="1"/>
  <c r="B18" i="1"/>
  <c r="C18" i="1"/>
  <c r="D18" i="1"/>
  <c r="B216" i="1"/>
  <c r="C216" i="1"/>
  <c r="D216" i="1"/>
  <c r="B408" i="1"/>
  <c r="C408" i="1"/>
  <c r="D408" i="1"/>
  <c r="B609" i="1"/>
  <c r="C609" i="1"/>
  <c r="D609" i="1"/>
  <c r="B822" i="1"/>
  <c r="C822" i="1"/>
  <c r="D822" i="1"/>
  <c r="B1040" i="1"/>
  <c r="C1040" i="1"/>
  <c r="D1040" i="1"/>
  <c r="B1260" i="1"/>
  <c r="C1260" i="1"/>
  <c r="D1260" i="1"/>
  <c r="B1473" i="1"/>
  <c r="C1473" i="1"/>
  <c r="D1473" i="1"/>
  <c r="B1678" i="1"/>
  <c r="C1678" i="1"/>
  <c r="D1678" i="1"/>
  <c r="B1879" i="1"/>
  <c r="C1879" i="1"/>
  <c r="D1879" i="1"/>
  <c r="B25" i="1"/>
  <c r="C25" i="1"/>
  <c r="D25" i="1"/>
  <c r="B224" i="1"/>
  <c r="C224" i="1"/>
  <c r="D224" i="1"/>
  <c r="B415" i="1"/>
  <c r="C415" i="1"/>
  <c r="D415" i="1"/>
  <c r="B617" i="1"/>
  <c r="C617" i="1"/>
  <c r="D617" i="1"/>
  <c r="B830" i="1"/>
  <c r="C830" i="1"/>
  <c r="D830" i="1"/>
  <c r="B1046" i="1"/>
  <c r="C1046" i="1"/>
  <c r="D1046" i="1"/>
  <c r="B1266" i="1"/>
  <c r="C1266" i="1"/>
  <c r="D1266" i="1"/>
  <c r="B1479" i="1"/>
  <c r="C1479" i="1"/>
  <c r="D1479" i="1"/>
  <c r="B19" i="1"/>
  <c r="C19" i="1"/>
  <c r="D19" i="1"/>
  <c r="B218" i="1"/>
  <c r="C218" i="1"/>
  <c r="D218" i="1"/>
  <c r="B409" i="1"/>
  <c r="C409" i="1"/>
  <c r="D409" i="1"/>
  <c r="B610" i="1"/>
  <c r="C610" i="1"/>
  <c r="D610" i="1"/>
  <c r="B823" i="1"/>
  <c r="C823" i="1"/>
  <c r="D823" i="1"/>
  <c r="B1041" i="1"/>
  <c r="C1041" i="1"/>
  <c r="D1041" i="1"/>
  <c r="B1261" i="1"/>
  <c r="C1261" i="1"/>
  <c r="D1261" i="1"/>
  <c r="B1474" i="1"/>
  <c r="C1474" i="1"/>
  <c r="D1474" i="1"/>
  <c r="B1679" i="1"/>
  <c r="C1679" i="1"/>
  <c r="D1679" i="1"/>
  <c r="B1880" i="1"/>
  <c r="C1880" i="1"/>
  <c r="D1880" i="1"/>
  <c r="B611" i="1"/>
  <c r="C611" i="1"/>
  <c r="D611" i="1"/>
  <c r="B824" i="1"/>
  <c r="C824" i="1"/>
  <c r="D824" i="1"/>
  <c r="B20" i="1"/>
  <c r="C20" i="1"/>
  <c r="D20" i="1"/>
  <c r="B219" i="1"/>
  <c r="C219" i="1"/>
  <c r="D219" i="1"/>
  <c r="B410" i="1"/>
  <c r="C410" i="1"/>
  <c r="D410" i="1"/>
  <c r="B612" i="1"/>
  <c r="C612" i="1"/>
  <c r="D612" i="1"/>
  <c r="B825" i="1"/>
  <c r="C825" i="1"/>
  <c r="D825" i="1"/>
  <c r="B1042" i="1"/>
  <c r="C1042" i="1"/>
  <c r="D1042" i="1"/>
  <c r="B1262" i="1"/>
  <c r="C1262" i="1"/>
  <c r="D1262" i="1"/>
  <c r="B1475" i="1"/>
  <c r="C1475" i="1"/>
  <c r="D1475" i="1"/>
  <c r="B1680" i="1"/>
  <c r="C1680" i="1"/>
  <c r="D1680" i="1"/>
  <c r="B1881" i="1"/>
  <c r="C1881" i="1"/>
  <c r="D1881" i="1"/>
  <c r="B21" i="1"/>
  <c r="C21" i="1"/>
  <c r="D21" i="1"/>
  <c r="B220" i="1"/>
  <c r="C220" i="1"/>
  <c r="D220" i="1"/>
  <c r="B411" i="1"/>
  <c r="C411" i="1"/>
  <c r="D411" i="1"/>
  <c r="B613" i="1"/>
  <c r="C613" i="1"/>
  <c r="D613" i="1"/>
  <c r="B826" i="1"/>
  <c r="C826" i="1"/>
  <c r="D826" i="1"/>
  <c r="B1043" i="1"/>
  <c r="C1043" i="1"/>
  <c r="D1043" i="1"/>
  <c r="B1263" i="1"/>
  <c r="C1263" i="1"/>
  <c r="D1263" i="1"/>
  <c r="B1476" i="1"/>
  <c r="C1476" i="1"/>
  <c r="D1476" i="1"/>
  <c r="B1681" i="1"/>
  <c r="C1681" i="1"/>
  <c r="D1681" i="1"/>
  <c r="B1882" i="1"/>
  <c r="C1882" i="1"/>
  <c r="D1882" i="1"/>
  <c r="B22" i="1"/>
  <c r="C22" i="1"/>
  <c r="D22" i="1"/>
  <c r="B221" i="1"/>
  <c r="C221" i="1"/>
  <c r="D221" i="1"/>
  <c r="B412" i="1"/>
  <c r="C412" i="1"/>
  <c r="D412" i="1"/>
  <c r="B614" i="1"/>
  <c r="C614" i="1"/>
  <c r="D614" i="1"/>
  <c r="B827" i="1"/>
  <c r="C827" i="1"/>
  <c r="D827" i="1"/>
  <c r="B1044" i="1"/>
  <c r="C1044" i="1"/>
  <c r="D1044" i="1"/>
  <c r="B1264" i="1"/>
  <c r="C1264" i="1"/>
  <c r="D1264" i="1"/>
  <c r="B1477" i="1"/>
  <c r="C1477" i="1"/>
  <c r="D1477" i="1"/>
  <c r="B1682" i="1"/>
  <c r="C1682" i="1"/>
  <c r="D1682" i="1"/>
  <c r="B1883" i="1"/>
  <c r="C1883" i="1"/>
  <c r="D1883" i="1"/>
  <c r="B23" i="1"/>
  <c r="C23" i="1"/>
  <c r="D23" i="1"/>
  <c r="B222" i="1"/>
  <c r="C222" i="1"/>
  <c r="D222" i="1"/>
  <c r="B413" i="1"/>
  <c r="C413" i="1"/>
  <c r="D413" i="1"/>
  <c r="B615" i="1"/>
  <c r="C615" i="1"/>
  <c r="D615" i="1"/>
  <c r="B828" i="1"/>
  <c r="C828" i="1"/>
  <c r="D828" i="1"/>
  <c r="B24" i="1"/>
  <c r="C24" i="1"/>
  <c r="D24" i="1"/>
  <c r="B223" i="1"/>
  <c r="C223" i="1"/>
  <c r="D223" i="1"/>
  <c r="B414" i="1"/>
  <c r="C414" i="1"/>
  <c r="D414" i="1"/>
  <c r="B616" i="1"/>
  <c r="C616" i="1"/>
  <c r="D616" i="1"/>
  <c r="B829" i="1"/>
  <c r="C829" i="1"/>
  <c r="D829" i="1"/>
  <c r="B1045" i="1"/>
  <c r="C1045" i="1"/>
  <c r="D1045" i="1"/>
  <c r="B1265" i="1"/>
  <c r="C1265" i="1"/>
  <c r="D1265" i="1"/>
  <c r="B1478" i="1"/>
  <c r="C1478" i="1"/>
  <c r="D1478" i="1"/>
  <c r="B1683" i="1"/>
  <c r="C1683" i="1"/>
  <c r="D1683" i="1"/>
  <c r="B1884" i="1"/>
  <c r="C1884" i="1"/>
  <c r="D1884" i="1"/>
  <c r="B1684" i="1"/>
  <c r="C1684" i="1"/>
  <c r="D1684" i="1"/>
  <c r="B1885" i="1"/>
  <c r="C1885" i="1"/>
  <c r="D1885" i="1"/>
  <c r="B26" i="1"/>
  <c r="C26" i="1"/>
  <c r="D26" i="1"/>
  <c r="B225" i="1"/>
  <c r="C225" i="1"/>
  <c r="D225" i="1"/>
  <c r="B416" i="1"/>
  <c r="C416" i="1"/>
  <c r="D416" i="1"/>
  <c r="B618" i="1"/>
  <c r="C618" i="1"/>
  <c r="D618" i="1"/>
  <c r="B831" i="1"/>
  <c r="C831" i="1"/>
  <c r="D831" i="1"/>
  <c r="B1047" i="1"/>
  <c r="C1047" i="1"/>
  <c r="D1047" i="1"/>
  <c r="B1267" i="1"/>
  <c r="C1267" i="1"/>
  <c r="D1267" i="1"/>
  <c r="B1480" i="1"/>
  <c r="C1480" i="1"/>
  <c r="D1480" i="1"/>
  <c r="B1685" i="1"/>
  <c r="C1685" i="1"/>
  <c r="D1685" i="1"/>
  <c r="B1686" i="1"/>
  <c r="C1686" i="1"/>
  <c r="D1686" i="1"/>
  <c r="B1886" i="1"/>
  <c r="C1886" i="1"/>
  <c r="D1886" i="1"/>
  <c r="B27" i="1"/>
  <c r="C27" i="1"/>
  <c r="D27" i="1"/>
  <c r="B226" i="1"/>
  <c r="C226" i="1"/>
  <c r="D226" i="1"/>
  <c r="B417" i="1"/>
  <c r="C417" i="1"/>
  <c r="D417" i="1"/>
  <c r="B619" i="1"/>
  <c r="C619" i="1"/>
  <c r="D619" i="1"/>
  <c r="B832" i="1"/>
  <c r="C832" i="1"/>
  <c r="D832" i="1"/>
  <c r="B1048" i="1"/>
  <c r="C1048" i="1"/>
  <c r="D1048" i="1"/>
  <c r="B1268" i="1"/>
  <c r="C1268" i="1"/>
  <c r="D1268" i="1"/>
  <c r="B1481" i="1"/>
  <c r="C1481" i="1"/>
  <c r="D1481" i="1"/>
  <c r="B1687" i="1"/>
  <c r="C1687" i="1"/>
  <c r="D1687" i="1"/>
  <c r="B1887" i="1"/>
  <c r="C1887" i="1"/>
  <c r="D1887" i="1"/>
  <c r="B28" i="1"/>
  <c r="C28" i="1"/>
  <c r="D28" i="1"/>
  <c r="B227" i="1"/>
  <c r="C227" i="1"/>
  <c r="D227" i="1"/>
  <c r="B418" i="1"/>
  <c r="C418" i="1"/>
  <c r="D418" i="1"/>
  <c r="B620" i="1"/>
  <c r="C620" i="1"/>
  <c r="D620" i="1"/>
  <c r="B833" i="1"/>
  <c r="C833" i="1"/>
  <c r="D833" i="1"/>
  <c r="B1049" i="1"/>
  <c r="C1049" i="1"/>
  <c r="D1049" i="1"/>
  <c r="B1269" i="1"/>
  <c r="C1269" i="1"/>
  <c r="D1269" i="1"/>
  <c r="B1482" i="1"/>
  <c r="C1482" i="1"/>
  <c r="D1482" i="1"/>
  <c r="B1688" i="1"/>
  <c r="C1688" i="1"/>
  <c r="D1688" i="1"/>
  <c r="B1888" i="1"/>
  <c r="C1888" i="1"/>
  <c r="D1888" i="1"/>
  <c r="B29" i="1"/>
  <c r="C29" i="1"/>
  <c r="D29" i="1"/>
  <c r="B228" i="1"/>
  <c r="C228" i="1"/>
  <c r="D228" i="1"/>
  <c r="B419" i="1"/>
  <c r="C419" i="1"/>
  <c r="D419" i="1"/>
  <c r="B621" i="1"/>
  <c r="C621" i="1"/>
  <c r="D621" i="1"/>
  <c r="B834" i="1"/>
  <c r="C834" i="1"/>
  <c r="D834" i="1"/>
  <c r="B1050" i="1"/>
  <c r="C1050" i="1"/>
  <c r="D1050" i="1"/>
  <c r="B1270" i="1"/>
  <c r="C1270" i="1"/>
  <c r="D1270" i="1"/>
  <c r="B1483" i="1"/>
  <c r="C1483" i="1"/>
  <c r="D1483" i="1"/>
  <c r="B1689" i="1"/>
  <c r="C1689" i="1"/>
  <c r="D1689" i="1"/>
  <c r="B1889" i="1"/>
  <c r="C1889" i="1"/>
  <c r="D1889" i="1"/>
  <c r="B30" i="1"/>
  <c r="C30" i="1"/>
  <c r="D30" i="1"/>
  <c r="B229" i="1"/>
  <c r="C229" i="1"/>
  <c r="D229" i="1"/>
  <c r="B420" i="1"/>
  <c r="C420" i="1"/>
  <c r="D420" i="1"/>
  <c r="B622" i="1"/>
  <c r="C622" i="1"/>
  <c r="D622" i="1"/>
  <c r="B835" i="1"/>
  <c r="C835" i="1"/>
  <c r="D835" i="1"/>
  <c r="B1051" i="1"/>
  <c r="C1051" i="1"/>
  <c r="D1051" i="1"/>
  <c r="B1271" i="1"/>
  <c r="C1271" i="1"/>
  <c r="D1271" i="1"/>
  <c r="B1484" i="1"/>
  <c r="C1484" i="1"/>
  <c r="D1484" i="1"/>
  <c r="B1690" i="1"/>
  <c r="C1690" i="1"/>
  <c r="D1690" i="1"/>
  <c r="B1890" i="1"/>
  <c r="C1890" i="1"/>
  <c r="D1890" i="1"/>
  <c r="B1891" i="1"/>
  <c r="C1891" i="1"/>
  <c r="D1891" i="1"/>
  <c r="B31" i="1"/>
  <c r="C31" i="1"/>
  <c r="D31" i="1"/>
  <c r="B230" i="1"/>
  <c r="C230" i="1"/>
  <c r="D230" i="1"/>
  <c r="B421" i="1"/>
  <c r="C421" i="1"/>
  <c r="D421" i="1"/>
  <c r="B623" i="1"/>
  <c r="C623" i="1"/>
  <c r="D623" i="1"/>
  <c r="B836" i="1"/>
  <c r="C836" i="1"/>
  <c r="D836" i="1"/>
  <c r="B1052" i="1"/>
  <c r="C1052" i="1"/>
  <c r="D1052" i="1"/>
  <c r="B1272" i="1"/>
  <c r="C1272" i="1"/>
  <c r="D1272" i="1"/>
  <c r="B1485" i="1"/>
  <c r="C1485" i="1"/>
  <c r="D1485" i="1"/>
  <c r="B1691" i="1"/>
  <c r="C1691" i="1"/>
  <c r="D1691" i="1"/>
  <c r="B1892" i="1"/>
  <c r="C1892" i="1"/>
  <c r="D1892" i="1"/>
  <c r="B32" i="1"/>
  <c r="C32" i="1"/>
  <c r="D32" i="1"/>
  <c r="B231" i="1"/>
  <c r="C231" i="1"/>
  <c r="D231" i="1"/>
  <c r="B422" i="1"/>
  <c r="C422" i="1"/>
  <c r="D422" i="1"/>
  <c r="B624" i="1"/>
  <c r="C624" i="1"/>
  <c r="D624" i="1"/>
  <c r="B837" i="1"/>
  <c r="C837" i="1"/>
  <c r="D837" i="1"/>
  <c r="B1053" i="1"/>
  <c r="C1053" i="1"/>
  <c r="D1053" i="1"/>
  <c r="B1273" i="1"/>
  <c r="C1273" i="1"/>
  <c r="D1273" i="1"/>
  <c r="B1486" i="1"/>
  <c r="C1486" i="1"/>
  <c r="D1486" i="1"/>
  <c r="B33" i="1"/>
  <c r="C33" i="1"/>
  <c r="D33" i="1"/>
  <c r="B232" i="1"/>
  <c r="C232" i="1"/>
  <c r="D232" i="1"/>
  <c r="B423" i="1"/>
  <c r="C423" i="1"/>
  <c r="D423" i="1"/>
  <c r="B625" i="1"/>
  <c r="C625" i="1"/>
  <c r="D625" i="1"/>
  <c r="B838" i="1"/>
  <c r="C838" i="1"/>
  <c r="D838" i="1"/>
  <c r="B1054" i="1"/>
  <c r="C1054" i="1"/>
  <c r="D1054" i="1"/>
  <c r="B34" i="1"/>
  <c r="C34" i="1"/>
  <c r="D34" i="1"/>
  <c r="B233" i="1"/>
  <c r="C233" i="1"/>
  <c r="D233" i="1"/>
  <c r="B424" i="1"/>
  <c r="C424" i="1"/>
  <c r="D424" i="1"/>
  <c r="B626" i="1"/>
  <c r="C626" i="1"/>
  <c r="D626" i="1"/>
  <c r="B839" i="1"/>
  <c r="C839" i="1"/>
  <c r="D839" i="1"/>
  <c r="B1055" i="1"/>
  <c r="C1055" i="1"/>
  <c r="D1055" i="1"/>
  <c r="B1274" i="1"/>
  <c r="C1274" i="1"/>
  <c r="D1274" i="1"/>
  <c r="B1487" i="1"/>
  <c r="C1487" i="1"/>
  <c r="D1487" i="1"/>
  <c r="B1692" i="1"/>
  <c r="C1692" i="1"/>
  <c r="D1692" i="1"/>
  <c r="B1893" i="1"/>
  <c r="C1893" i="1"/>
  <c r="D1893" i="1"/>
  <c r="B35" i="1"/>
  <c r="C35" i="1"/>
  <c r="D35" i="1"/>
  <c r="B234" i="1"/>
  <c r="C234" i="1"/>
  <c r="D234" i="1"/>
  <c r="B425" i="1"/>
  <c r="C425" i="1"/>
  <c r="D425" i="1"/>
  <c r="B627" i="1"/>
  <c r="C627" i="1"/>
  <c r="D627" i="1"/>
  <c r="B840" i="1"/>
  <c r="C840" i="1"/>
  <c r="D840" i="1"/>
  <c r="B1056" i="1"/>
  <c r="C1056" i="1"/>
  <c r="D1056" i="1"/>
  <c r="B1275" i="1"/>
  <c r="C1275" i="1"/>
  <c r="D1275" i="1"/>
  <c r="B1488" i="1"/>
  <c r="C1488" i="1"/>
  <c r="D1488" i="1"/>
  <c r="B1693" i="1"/>
  <c r="C1693" i="1"/>
  <c r="D1693" i="1"/>
  <c r="B1894" i="1"/>
  <c r="C1894" i="1"/>
  <c r="D1894" i="1"/>
  <c r="B628" i="1"/>
  <c r="C628" i="1"/>
  <c r="D628" i="1"/>
  <c r="B841" i="1"/>
  <c r="C841" i="1"/>
  <c r="D841" i="1"/>
  <c r="B1057" i="1"/>
  <c r="C1057" i="1"/>
  <c r="D1057" i="1"/>
  <c r="B1276" i="1"/>
  <c r="C1276" i="1"/>
  <c r="D1276" i="1"/>
  <c r="B1489" i="1"/>
  <c r="C1489" i="1"/>
  <c r="D1489" i="1"/>
  <c r="B1694" i="1"/>
  <c r="C1694" i="1"/>
  <c r="D1694" i="1"/>
  <c r="B1895" i="1"/>
  <c r="C1895" i="1"/>
  <c r="D1895" i="1"/>
  <c r="B842" i="1"/>
  <c r="C842" i="1"/>
  <c r="D842" i="1"/>
  <c r="B36" i="1"/>
  <c r="C36" i="1"/>
  <c r="D36" i="1"/>
  <c r="B235" i="1"/>
  <c r="C235" i="1"/>
  <c r="D235" i="1"/>
  <c r="B426" i="1"/>
  <c r="C426" i="1"/>
  <c r="D426" i="1"/>
  <c r="B629" i="1"/>
  <c r="C629" i="1"/>
  <c r="D629" i="1"/>
  <c r="B843" i="1"/>
  <c r="C843" i="1"/>
  <c r="D843" i="1"/>
  <c r="B1058" i="1"/>
  <c r="C1058" i="1"/>
  <c r="D1058" i="1"/>
  <c r="B1277" i="1"/>
  <c r="C1277" i="1"/>
  <c r="D1277" i="1"/>
  <c r="B1059" i="1"/>
  <c r="C1059" i="1"/>
  <c r="D1059" i="1"/>
  <c r="B1278" i="1"/>
  <c r="C1278" i="1"/>
  <c r="D1278" i="1"/>
  <c r="B1490" i="1"/>
  <c r="C1490" i="1"/>
  <c r="D1490" i="1"/>
  <c r="B1695" i="1"/>
  <c r="C1695" i="1"/>
  <c r="D1695" i="1"/>
  <c r="B1896" i="1"/>
  <c r="C1896" i="1"/>
  <c r="D1896" i="1"/>
  <c r="B1897" i="1"/>
  <c r="C1897" i="1"/>
  <c r="D1897" i="1"/>
  <c r="B37" i="1"/>
  <c r="C37" i="1"/>
  <c r="D37" i="1"/>
  <c r="B427" i="1"/>
  <c r="C427" i="1"/>
  <c r="D427" i="1"/>
  <c r="B630" i="1"/>
  <c r="C630" i="1"/>
  <c r="D630" i="1"/>
  <c r="B844" i="1"/>
  <c r="C844" i="1"/>
  <c r="D844" i="1"/>
  <c r="B1060" i="1"/>
  <c r="C1060" i="1"/>
  <c r="D1060" i="1"/>
  <c r="B1279" i="1"/>
  <c r="C1279" i="1"/>
  <c r="D1279" i="1"/>
  <c r="B1491" i="1"/>
  <c r="C1491" i="1"/>
  <c r="D1491" i="1"/>
  <c r="B1696" i="1"/>
  <c r="C1696" i="1"/>
  <c r="D1696" i="1"/>
  <c r="B1898" i="1"/>
  <c r="C1898" i="1"/>
  <c r="D1898" i="1"/>
  <c r="B38" i="1"/>
  <c r="C38" i="1"/>
  <c r="D38" i="1"/>
  <c r="B236" i="1"/>
  <c r="C236" i="1"/>
  <c r="D236" i="1"/>
  <c r="B428" i="1"/>
  <c r="C428" i="1"/>
  <c r="D428" i="1"/>
  <c r="B631" i="1"/>
  <c r="C631" i="1"/>
  <c r="D631" i="1"/>
  <c r="B845" i="1"/>
  <c r="C845" i="1"/>
  <c r="D845" i="1"/>
  <c r="B1061" i="1"/>
  <c r="C1061" i="1"/>
  <c r="D1061" i="1"/>
  <c r="B1280" i="1"/>
  <c r="C1280" i="1"/>
  <c r="D1280" i="1"/>
  <c r="B1492" i="1"/>
  <c r="C1492" i="1"/>
  <c r="D1492" i="1"/>
  <c r="B1697" i="1"/>
  <c r="C1697" i="1"/>
  <c r="D1697" i="1"/>
  <c r="B1899" i="1"/>
  <c r="C1899" i="1"/>
  <c r="D1899" i="1"/>
  <c r="B39" i="1"/>
  <c r="C39" i="1"/>
  <c r="D39" i="1"/>
  <c r="B237" i="1"/>
  <c r="C237" i="1"/>
  <c r="D237" i="1"/>
  <c r="B429" i="1"/>
  <c r="C429" i="1"/>
  <c r="D429" i="1"/>
  <c r="B632" i="1"/>
  <c r="C632" i="1"/>
  <c r="D632" i="1"/>
  <c r="B846" i="1"/>
  <c r="C846" i="1"/>
  <c r="D846" i="1"/>
  <c r="B1062" i="1"/>
  <c r="C1062" i="1"/>
  <c r="D1062" i="1"/>
  <c r="B1281" i="1"/>
  <c r="C1281" i="1"/>
  <c r="D1281" i="1"/>
  <c r="B1493" i="1"/>
  <c r="C1493" i="1"/>
  <c r="D1493" i="1"/>
  <c r="B1698" i="1"/>
  <c r="C1698" i="1"/>
  <c r="D1698" i="1"/>
  <c r="B1900" i="1"/>
  <c r="C1900" i="1"/>
  <c r="D1900" i="1"/>
  <c r="B40" i="1"/>
  <c r="C40" i="1"/>
  <c r="D40" i="1"/>
  <c r="B238" i="1"/>
  <c r="C238" i="1"/>
  <c r="D238" i="1"/>
  <c r="B430" i="1"/>
  <c r="C430" i="1"/>
  <c r="D430" i="1"/>
  <c r="B633" i="1"/>
  <c r="C633" i="1"/>
  <c r="D633" i="1"/>
  <c r="B847" i="1"/>
  <c r="C847" i="1"/>
  <c r="D847" i="1"/>
  <c r="B1063" i="1"/>
  <c r="C1063" i="1"/>
  <c r="D1063" i="1"/>
  <c r="B1282" i="1"/>
  <c r="C1282" i="1"/>
  <c r="D1282" i="1"/>
  <c r="B1494" i="1"/>
  <c r="C1494" i="1"/>
  <c r="D1494" i="1"/>
  <c r="B1699" i="1"/>
  <c r="C1699" i="1"/>
  <c r="D1699" i="1"/>
  <c r="B1901" i="1"/>
  <c r="C1901" i="1"/>
  <c r="D1901" i="1"/>
  <c r="B41" i="1"/>
  <c r="C41" i="1"/>
  <c r="D41" i="1"/>
  <c r="B239" i="1"/>
  <c r="C239" i="1"/>
  <c r="D239" i="1"/>
  <c r="B431" i="1"/>
  <c r="C431" i="1"/>
  <c r="D431" i="1"/>
  <c r="B634" i="1"/>
  <c r="C634" i="1"/>
  <c r="D634" i="1"/>
  <c r="B848" i="1"/>
  <c r="C848" i="1"/>
  <c r="D848" i="1"/>
  <c r="B1064" i="1"/>
  <c r="C1064" i="1"/>
  <c r="D1064" i="1"/>
  <c r="B1283" i="1"/>
  <c r="C1283" i="1"/>
  <c r="D1283" i="1"/>
  <c r="B1495" i="1"/>
  <c r="C1495" i="1"/>
  <c r="D1495" i="1"/>
  <c r="B1700" i="1"/>
  <c r="C1700" i="1"/>
  <c r="D1700" i="1"/>
  <c r="B1902" i="1"/>
  <c r="C1902" i="1"/>
  <c r="D1902" i="1"/>
  <c r="B42" i="1"/>
  <c r="C42" i="1"/>
  <c r="D42" i="1"/>
  <c r="B240" i="1"/>
  <c r="C240" i="1"/>
  <c r="D240" i="1"/>
  <c r="B432" i="1"/>
  <c r="C432" i="1"/>
  <c r="D432" i="1"/>
  <c r="B635" i="1"/>
  <c r="C635" i="1"/>
  <c r="D635" i="1"/>
  <c r="B849" i="1"/>
  <c r="C849" i="1"/>
  <c r="D849" i="1"/>
  <c r="B1065" i="1"/>
  <c r="C1065" i="1"/>
  <c r="D1065" i="1"/>
  <c r="B1284" i="1"/>
  <c r="C1284" i="1"/>
  <c r="D1284" i="1"/>
  <c r="B1496" i="1"/>
  <c r="C1496" i="1"/>
  <c r="D1496" i="1"/>
  <c r="B1701" i="1"/>
  <c r="C1701" i="1"/>
  <c r="D1701" i="1"/>
  <c r="B1903" i="1"/>
  <c r="C1903" i="1"/>
  <c r="D1903" i="1"/>
  <c r="B43" i="1"/>
  <c r="C43" i="1"/>
  <c r="D43" i="1"/>
  <c r="B241" i="1"/>
  <c r="C241" i="1"/>
  <c r="D241" i="1"/>
  <c r="B433" i="1"/>
  <c r="C433" i="1"/>
  <c r="D433" i="1"/>
  <c r="B636" i="1"/>
  <c r="C636" i="1"/>
  <c r="D636" i="1"/>
  <c r="B850" i="1"/>
  <c r="C850" i="1"/>
  <c r="D850" i="1"/>
  <c r="B1066" i="1"/>
  <c r="C1066" i="1"/>
  <c r="D1066" i="1"/>
  <c r="B1285" i="1"/>
  <c r="C1285" i="1"/>
  <c r="D1285" i="1"/>
  <c r="B1497" i="1"/>
  <c r="C1497" i="1"/>
  <c r="D1497" i="1"/>
  <c r="B1702" i="1"/>
  <c r="C1702" i="1"/>
  <c r="D1702" i="1"/>
  <c r="B1904" i="1"/>
  <c r="C1904" i="1"/>
  <c r="D1904" i="1"/>
  <c r="B44" i="1"/>
  <c r="C44" i="1"/>
  <c r="D44" i="1"/>
  <c r="B242" i="1"/>
  <c r="C242" i="1"/>
  <c r="D242" i="1"/>
  <c r="B434" i="1"/>
  <c r="C434" i="1"/>
  <c r="D434" i="1"/>
  <c r="B637" i="1"/>
  <c r="C637" i="1"/>
  <c r="D637" i="1"/>
  <c r="B851" i="1"/>
  <c r="C851" i="1"/>
  <c r="D851" i="1"/>
  <c r="B1067" i="1"/>
  <c r="C1067" i="1"/>
  <c r="D1067" i="1"/>
  <c r="B1286" i="1"/>
  <c r="C1286" i="1"/>
  <c r="D1286" i="1"/>
  <c r="B1498" i="1"/>
  <c r="C1498" i="1"/>
  <c r="D1498" i="1"/>
  <c r="B1703" i="1"/>
  <c r="C1703" i="1"/>
  <c r="D1703" i="1"/>
  <c r="B1905" i="1"/>
  <c r="C1905" i="1"/>
  <c r="D1905" i="1"/>
  <c r="B45" i="1"/>
  <c r="C45" i="1"/>
  <c r="D45" i="1"/>
  <c r="B243" i="1"/>
  <c r="C243" i="1"/>
  <c r="D243" i="1"/>
  <c r="B435" i="1"/>
  <c r="C435" i="1"/>
  <c r="D435" i="1"/>
  <c r="B638" i="1"/>
  <c r="C638" i="1"/>
  <c r="D638" i="1"/>
  <c r="B852" i="1"/>
  <c r="C852" i="1"/>
  <c r="D852" i="1"/>
  <c r="B1068" i="1"/>
  <c r="C1068" i="1"/>
  <c r="D1068" i="1"/>
  <c r="B1287" i="1"/>
  <c r="C1287" i="1"/>
  <c r="D1287" i="1"/>
  <c r="B1499" i="1"/>
  <c r="C1499" i="1"/>
  <c r="D1499" i="1"/>
  <c r="B1704" i="1"/>
  <c r="C1704" i="1"/>
  <c r="D1704" i="1"/>
  <c r="B1906" i="1"/>
  <c r="C1906" i="1"/>
  <c r="D1906" i="1"/>
  <c r="B639" i="1"/>
  <c r="C639" i="1"/>
  <c r="D639" i="1"/>
  <c r="B853" i="1"/>
  <c r="C853" i="1"/>
  <c r="D853" i="1"/>
  <c r="B1069" i="1"/>
  <c r="C1069" i="1"/>
  <c r="D1069" i="1"/>
  <c r="B1288" i="1"/>
  <c r="C1288" i="1"/>
  <c r="D1288" i="1"/>
  <c r="B1500" i="1"/>
  <c r="C1500" i="1"/>
  <c r="D1500" i="1"/>
  <c r="B1705" i="1"/>
  <c r="C1705" i="1"/>
  <c r="D1705" i="1"/>
  <c r="B1907" i="1"/>
  <c r="C1907" i="1"/>
  <c r="D1907" i="1"/>
  <c r="B46" i="1"/>
  <c r="C46" i="1"/>
  <c r="D46" i="1"/>
  <c r="B436" i="1"/>
  <c r="C436" i="1"/>
  <c r="D436" i="1"/>
  <c r="B640" i="1"/>
  <c r="C640" i="1"/>
  <c r="D640" i="1"/>
  <c r="B854" i="1"/>
  <c r="C854" i="1"/>
  <c r="D854" i="1"/>
  <c r="B1070" i="1"/>
  <c r="C1070" i="1"/>
  <c r="D1070" i="1"/>
  <c r="B1289" i="1"/>
  <c r="C1289" i="1"/>
  <c r="D1289" i="1"/>
  <c r="B1706" i="1"/>
  <c r="C1706" i="1"/>
  <c r="D1706" i="1"/>
  <c r="B1908" i="1"/>
  <c r="C1908" i="1"/>
  <c r="D1908" i="1"/>
  <c r="B1071" i="1"/>
  <c r="C1071" i="1"/>
  <c r="D1071" i="1"/>
  <c r="B1290" i="1"/>
  <c r="C1290" i="1"/>
  <c r="D1290" i="1"/>
  <c r="B1501" i="1"/>
  <c r="C1501" i="1"/>
  <c r="D1501" i="1"/>
  <c r="B1707" i="1"/>
  <c r="C1707" i="1"/>
  <c r="D1707" i="1"/>
  <c r="B1909" i="1"/>
  <c r="C1909" i="1"/>
  <c r="D1909" i="1"/>
  <c r="B641" i="1"/>
  <c r="C641" i="1"/>
  <c r="D641" i="1"/>
  <c r="B855" i="1"/>
  <c r="C855" i="1"/>
  <c r="D855" i="1"/>
  <c r="B1072" i="1"/>
  <c r="C1072" i="1"/>
  <c r="D1072" i="1"/>
  <c r="B1291" i="1"/>
  <c r="C1291" i="1"/>
  <c r="D1291" i="1"/>
  <c r="B1502" i="1"/>
  <c r="C1502" i="1"/>
  <c r="D1502" i="1"/>
  <c r="B1708" i="1"/>
  <c r="C1708" i="1"/>
  <c r="D1708" i="1"/>
  <c r="B1910" i="1"/>
  <c r="C1910" i="1"/>
  <c r="D1910" i="1"/>
  <c r="B1911" i="1"/>
  <c r="C1911" i="1"/>
  <c r="D1911" i="1"/>
  <c r="B47" i="1"/>
  <c r="C47" i="1"/>
  <c r="D47" i="1"/>
  <c r="B244" i="1"/>
  <c r="C244" i="1"/>
  <c r="D244" i="1"/>
  <c r="B437" i="1"/>
  <c r="C437" i="1"/>
  <c r="D437" i="1"/>
  <c r="B642" i="1"/>
  <c r="C642" i="1"/>
  <c r="D642" i="1"/>
  <c r="B856" i="1"/>
  <c r="C856" i="1"/>
  <c r="D856" i="1"/>
  <c r="B1073" i="1"/>
  <c r="C1073" i="1"/>
  <c r="D1073" i="1"/>
  <c r="B1292" i="1"/>
  <c r="C1292" i="1"/>
  <c r="D1292" i="1"/>
  <c r="B1503" i="1"/>
  <c r="C1503" i="1"/>
  <c r="D1503" i="1"/>
  <c r="B1709" i="1"/>
  <c r="C1709" i="1"/>
  <c r="D1709" i="1"/>
  <c r="B1912" i="1"/>
  <c r="C1912" i="1"/>
  <c r="D1912" i="1"/>
  <c r="B48" i="1"/>
  <c r="C48" i="1"/>
  <c r="D48" i="1"/>
  <c r="B245" i="1"/>
  <c r="C245" i="1"/>
  <c r="D245" i="1"/>
  <c r="B438" i="1"/>
  <c r="C438" i="1"/>
  <c r="D438" i="1"/>
  <c r="B643" i="1"/>
  <c r="C643" i="1"/>
  <c r="D643" i="1"/>
  <c r="B857" i="1"/>
  <c r="C857" i="1"/>
  <c r="D857" i="1"/>
  <c r="B1074" i="1"/>
  <c r="C1074" i="1"/>
  <c r="D1074" i="1"/>
  <c r="B1293" i="1"/>
  <c r="C1293" i="1"/>
  <c r="D1293" i="1"/>
  <c r="B1504" i="1"/>
  <c r="C1504" i="1"/>
  <c r="D1504" i="1"/>
  <c r="B1710" i="1"/>
  <c r="C1710" i="1"/>
  <c r="D1710" i="1"/>
  <c r="B1913" i="1"/>
  <c r="C1913" i="1"/>
  <c r="D1913" i="1"/>
  <c r="B49" i="1"/>
  <c r="C49" i="1"/>
  <c r="D49" i="1"/>
  <c r="B246" i="1"/>
  <c r="C246" i="1"/>
  <c r="D246" i="1"/>
  <c r="B439" i="1"/>
  <c r="C439" i="1"/>
  <c r="D439" i="1"/>
  <c r="B644" i="1"/>
  <c r="C644" i="1"/>
  <c r="D644" i="1"/>
  <c r="B858" i="1"/>
  <c r="C858" i="1"/>
  <c r="D858" i="1"/>
  <c r="B1075" i="1"/>
  <c r="C1075" i="1"/>
  <c r="D1075" i="1"/>
  <c r="B1294" i="1"/>
  <c r="C1294" i="1"/>
  <c r="D1294" i="1"/>
  <c r="B1505" i="1"/>
  <c r="C1505" i="1"/>
  <c r="D1505" i="1"/>
  <c r="B1711" i="1"/>
  <c r="C1711" i="1"/>
  <c r="D1711" i="1"/>
  <c r="B1914" i="1"/>
  <c r="C1914" i="1"/>
  <c r="D1914" i="1"/>
  <c r="B50" i="1"/>
  <c r="C50" i="1"/>
  <c r="D50" i="1"/>
  <c r="B247" i="1"/>
  <c r="C247" i="1"/>
  <c r="D247" i="1"/>
  <c r="B440" i="1"/>
  <c r="C440" i="1"/>
  <c r="D440" i="1"/>
  <c r="B645" i="1"/>
  <c r="C645" i="1"/>
  <c r="D645" i="1"/>
  <c r="B859" i="1"/>
  <c r="C859" i="1"/>
  <c r="D859" i="1"/>
  <c r="B1076" i="1"/>
  <c r="C1076" i="1"/>
  <c r="D1076" i="1"/>
  <c r="B1295" i="1"/>
  <c r="C1295" i="1"/>
  <c r="D1295" i="1"/>
  <c r="B1506" i="1"/>
  <c r="C1506" i="1"/>
  <c r="D1506" i="1"/>
  <c r="B1712" i="1"/>
  <c r="C1712" i="1"/>
  <c r="D1712" i="1"/>
  <c r="B1915" i="1"/>
  <c r="C1915" i="1"/>
  <c r="D1915" i="1"/>
  <c r="B51" i="1"/>
  <c r="C51" i="1"/>
  <c r="D51" i="1"/>
  <c r="B248" i="1"/>
  <c r="C248" i="1"/>
  <c r="D248" i="1"/>
  <c r="B441" i="1"/>
  <c r="C441" i="1"/>
  <c r="D441" i="1"/>
  <c r="B646" i="1"/>
  <c r="C646" i="1"/>
  <c r="D646" i="1"/>
  <c r="B860" i="1"/>
  <c r="C860" i="1"/>
  <c r="D860" i="1"/>
  <c r="B1077" i="1"/>
  <c r="C1077" i="1"/>
  <c r="D1077" i="1"/>
  <c r="B1296" i="1"/>
  <c r="C1296" i="1"/>
  <c r="D1296" i="1"/>
  <c r="B1507" i="1"/>
  <c r="C1507" i="1"/>
  <c r="D1507" i="1"/>
  <c r="B1713" i="1"/>
  <c r="C1713" i="1"/>
  <c r="D1713" i="1"/>
  <c r="B1916" i="1"/>
  <c r="C1916" i="1"/>
  <c r="D1916" i="1"/>
  <c r="B52" i="1"/>
  <c r="C52" i="1"/>
  <c r="D52" i="1"/>
  <c r="B249" i="1"/>
  <c r="C249" i="1"/>
  <c r="D249" i="1"/>
  <c r="B442" i="1"/>
  <c r="C442" i="1"/>
  <c r="D442" i="1"/>
  <c r="B647" i="1"/>
  <c r="C647" i="1"/>
  <c r="D647" i="1"/>
  <c r="B861" i="1"/>
  <c r="C861" i="1"/>
  <c r="D861" i="1"/>
  <c r="B1078" i="1"/>
  <c r="C1078" i="1"/>
  <c r="D1078" i="1"/>
  <c r="B1297" i="1"/>
  <c r="C1297" i="1"/>
  <c r="D1297" i="1"/>
  <c r="B1508" i="1"/>
  <c r="C1508" i="1"/>
  <c r="D1508" i="1"/>
  <c r="B1714" i="1"/>
  <c r="C1714" i="1"/>
  <c r="D1714" i="1"/>
  <c r="B1917" i="1"/>
  <c r="C1917" i="1"/>
  <c r="D1917" i="1"/>
  <c r="B53" i="1"/>
  <c r="C53" i="1"/>
  <c r="D53" i="1"/>
  <c r="B250" i="1"/>
  <c r="C250" i="1"/>
  <c r="D250" i="1"/>
  <c r="B443" i="1"/>
  <c r="C443" i="1"/>
  <c r="D443" i="1"/>
  <c r="B648" i="1"/>
  <c r="C648" i="1"/>
  <c r="D648" i="1"/>
  <c r="B862" i="1"/>
  <c r="C862" i="1"/>
  <c r="D862" i="1"/>
  <c r="B1079" i="1"/>
  <c r="C1079" i="1"/>
  <c r="D1079" i="1"/>
  <c r="B1298" i="1"/>
  <c r="C1298" i="1"/>
  <c r="D1298" i="1"/>
  <c r="B1509" i="1"/>
  <c r="C1509" i="1"/>
  <c r="D1509" i="1"/>
  <c r="B1715" i="1"/>
  <c r="C1715" i="1"/>
  <c r="D1715" i="1"/>
  <c r="B1918" i="1"/>
  <c r="C1918" i="1"/>
  <c r="D1918" i="1"/>
  <c r="B54" i="1"/>
  <c r="C54" i="1"/>
  <c r="D54" i="1"/>
  <c r="B251" i="1"/>
  <c r="C251" i="1"/>
  <c r="D251" i="1"/>
  <c r="B444" i="1"/>
  <c r="C444" i="1"/>
  <c r="D444" i="1"/>
  <c r="B649" i="1"/>
  <c r="C649" i="1"/>
  <c r="D649" i="1"/>
  <c r="B863" i="1"/>
  <c r="C863" i="1"/>
  <c r="D863" i="1"/>
  <c r="B1080" i="1"/>
  <c r="C1080" i="1"/>
  <c r="D1080" i="1"/>
  <c r="B1299" i="1"/>
  <c r="C1299" i="1"/>
  <c r="D1299" i="1"/>
  <c r="B1510" i="1"/>
  <c r="C1510" i="1"/>
  <c r="D1510" i="1"/>
  <c r="B1716" i="1"/>
  <c r="C1716" i="1"/>
  <c r="D1716" i="1"/>
  <c r="B1919" i="1"/>
  <c r="C1919" i="1"/>
  <c r="D1919" i="1"/>
  <c r="B55" i="1"/>
  <c r="C55" i="1"/>
  <c r="D55" i="1"/>
  <c r="B445" i="1"/>
  <c r="C445" i="1"/>
  <c r="D445" i="1"/>
  <c r="B650" i="1"/>
  <c r="C650" i="1"/>
  <c r="D650" i="1"/>
  <c r="B58" i="1"/>
  <c r="C58" i="1"/>
  <c r="D58" i="1"/>
  <c r="B254" i="1"/>
  <c r="C254" i="1"/>
  <c r="D254" i="1"/>
  <c r="B449" i="1"/>
  <c r="C449" i="1"/>
  <c r="D449" i="1"/>
  <c r="B446" i="1"/>
  <c r="C446" i="1"/>
  <c r="D446" i="1"/>
  <c r="B651" i="1"/>
  <c r="C651" i="1"/>
  <c r="D651" i="1"/>
  <c r="B864" i="1"/>
  <c r="C864" i="1"/>
  <c r="D864" i="1"/>
  <c r="B1081" i="1"/>
  <c r="C1081" i="1"/>
  <c r="D1081" i="1"/>
  <c r="B1300" i="1"/>
  <c r="C1300" i="1"/>
  <c r="D1300" i="1"/>
  <c r="B1511" i="1"/>
  <c r="C1511" i="1"/>
  <c r="D1511" i="1"/>
  <c r="B1717" i="1"/>
  <c r="C1717" i="1"/>
  <c r="D1717" i="1"/>
  <c r="B1920" i="1"/>
  <c r="C1920" i="1"/>
  <c r="D1920" i="1"/>
  <c r="B56" i="1"/>
  <c r="C56" i="1"/>
  <c r="D56" i="1"/>
  <c r="B252" i="1"/>
  <c r="C252" i="1"/>
  <c r="D252" i="1"/>
  <c r="B447" i="1"/>
  <c r="C447" i="1"/>
  <c r="D447" i="1"/>
  <c r="B652" i="1"/>
  <c r="C652" i="1"/>
  <c r="D652" i="1"/>
  <c r="B865" i="1"/>
  <c r="C865" i="1"/>
  <c r="D865" i="1"/>
  <c r="B1082" i="1"/>
  <c r="C1082" i="1"/>
  <c r="D1082" i="1"/>
  <c r="B1301" i="1"/>
  <c r="C1301" i="1"/>
  <c r="D1301" i="1"/>
  <c r="B1512" i="1"/>
  <c r="C1512" i="1"/>
  <c r="D1512" i="1"/>
  <c r="B1718" i="1"/>
  <c r="C1718" i="1"/>
  <c r="D1718" i="1"/>
  <c r="B1921" i="1"/>
  <c r="C1921" i="1"/>
  <c r="D1921" i="1"/>
  <c r="B57" i="1"/>
  <c r="C57" i="1"/>
  <c r="D57" i="1"/>
  <c r="B253" i="1"/>
  <c r="C253" i="1"/>
  <c r="D253" i="1"/>
  <c r="B448" i="1"/>
  <c r="C448" i="1"/>
  <c r="D448" i="1"/>
  <c r="B653" i="1"/>
  <c r="C653" i="1"/>
  <c r="D653" i="1"/>
  <c r="B866" i="1"/>
  <c r="C866" i="1"/>
  <c r="D866" i="1"/>
  <c r="B1083" i="1"/>
  <c r="C1083" i="1"/>
  <c r="D1083" i="1"/>
  <c r="B1302" i="1"/>
  <c r="C1302" i="1"/>
  <c r="D1302" i="1"/>
  <c r="B1513" i="1"/>
  <c r="C1513" i="1"/>
  <c r="D1513" i="1"/>
  <c r="B1719" i="1"/>
  <c r="C1719" i="1"/>
  <c r="D1719" i="1"/>
  <c r="B1922" i="1"/>
  <c r="C1922" i="1"/>
  <c r="D1922" i="1"/>
  <c r="B654" i="1"/>
  <c r="C654" i="1"/>
  <c r="D654" i="1"/>
  <c r="B867" i="1"/>
  <c r="C867" i="1"/>
  <c r="D867" i="1"/>
  <c r="B1084" i="1"/>
  <c r="C1084" i="1"/>
  <c r="D1084" i="1"/>
  <c r="B1303" i="1"/>
  <c r="C1303" i="1"/>
  <c r="D1303" i="1"/>
  <c r="B1514" i="1"/>
  <c r="C1514" i="1"/>
  <c r="D1514" i="1"/>
  <c r="B1720" i="1"/>
  <c r="C1720" i="1"/>
  <c r="D1720" i="1"/>
  <c r="B1923" i="1"/>
  <c r="C1923" i="1"/>
  <c r="D1923" i="1"/>
  <c r="B255" i="1"/>
  <c r="C255" i="1"/>
  <c r="D255" i="1"/>
  <c r="B59" i="1"/>
  <c r="C59" i="1"/>
  <c r="D59" i="1"/>
  <c r="B256" i="1"/>
  <c r="C256" i="1"/>
  <c r="D256" i="1"/>
  <c r="B450" i="1"/>
  <c r="C450" i="1"/>
  <c r="D450" i="1"/>
  <c r="B655" i="1"/>
  <c r="C655" i="1"/>
  <c r="D655" i="1"/>
  <c r="B868" i="1"/>
  <c r="C868" i="1"/>
  <c r="D868" i="1"/>
  <c r="B1085" i="1"/>
  <c r="C1085" i="1"/>
  <c r="D1085" i="1"/>
  <c r="B1304" i="1"/>
  <c r="C1304" i="1"/>
  <c r="D1304" i="1"/>
  <c r="B1515" i="1"/>
  <c r="C1515" i="1"/>
  <c r="D1515" i="1"/>
  <c r="B1721" i="1"/>
  <c r="C1721" i="1"/>
  <c r="D1721" i="1"/>
  <c r="B1924" i="1"/>
  <c r="C1924" i="1"/>
  <c r="D1924" i="1"/>
  <c r="B60" i="1"/>
  <c r="C60" i="1"/>
  <c r="D60" i="1"/>
  <c r="B257" i="1"/>
  <c r="C257" i="1"/>
  <c r="D257" i="1"/>
  <c r="B451" i="1"/>
  <c r="C451" i="1"/>
  <c r="D451" i="1"/>
  <c r="B656" i="1"/>
  <c r="C656" i="1"/>
  <c r="D656" i="1"/>
  <c r="B869" i="1"/>
  <c r="C869" i="1"/>
  <c r="D869" i="1"/>
  <c r="B1086" i="1"/>
  <c r="C1086" i="1"/>
  <c r="D1086" i="1"/>
  <c r="B1305" i="1"/>
  <c r="C1305" i="1"/>
  <c r="D1305" i="1"/>
  <c r="B1516" i="1"/>
  <c r="C1516" i="1"/>
  <c r="D1516" i="1"/>
  <c r="B1722" i="1"/>
  <c r="C1722" i="1"/>
  <c r="D1722" i="1"/>
  <c r="B1925" i="1"/>
  <c r="C1925" i="1"/>
  <c r="D1925" i="1"/>
  <c r="B657" i="1"/>
  <c r="C657" i="1"/>
  <c r="D657" i="1"/>
  <c r="B870" i="1"/>
  <c r="C870" i="1"/>
  <c r="D870" i="1"/>
  <c r="B1087" i="1"/>
  <c r="C1087" i="1"/>
  <c r="D1087" i="1"/>
  <c r="B1306" i="1"/>
  <c r="C1306" i="1"/>
  <c r="D1306" i="1"/>
  <c r="B1517" i="1"/>
  <c r="C1517" i="1"/>
  <c r="D1517" i="1"/>
  <c r="B1723" i="1"/>
  <c r="C1723" i="1"/>
  <c r="D1723" i="1"/>
  <c r="B1926" i="1"/>
  <c r="C1926" i="1"/>
  <c r="D1926" i="1"/>
  <c r="B1724" i="1"/>
  <c r="C1724" i="1"/>
  <c r="D1724" i="1"/>
  <c r="B1927" i="1"/>
  <c r="C1927" i="1"/>
  <c r="D1927" i="1"/>
  <c r="B61" i="1"/>
  <c r="C61" i="1"/>
  <c r="D61" i="1"/>
  <c r="B258" i="1"/>
  <c r="C258" i="1"/>
  <c r="D258" i="1"/>
  <c r="B452" i="1"/>
  <c r="C452" i="1"/>
  <c r="D452" i="1"/>
  <c r="B658" i="1"/>
  <c r="C658" i="1"/>
  <c r="D658" i="1"/>
  <c r="B871" i="1"/>
  <c r="C871" i="1"/>
  <c r="D871" i="1"/>
  <c r="B1088" i="1"/>
  <c r="C1088" i="1"/>
  <c r="D1088" i="1"/>
  <c r="B1307" i="1"/>
  <c r="C1307" i="1"/>
  <c r="D1307" i="1"/>
  <c r="B1518" i="1"/>
  <c r="C1518" i="1"/>
  <c r="D1518" i="1"/>
  <c r="B1725" i="1"/>
  <c r="C1725" i="1"/>
  <c r="D1725" i="1"/>
  <c r="B1928" i="1"/>
  <c r="C1928" i="1"/>
  <c r="D1928" i="1"/>
  <c r="B1519" i="1"/>
  <c r="C1519" i="1"/>
  <c r="D1519" i="1"/>
  <c r="B1726" i="1"/>
  <c r="C1726" i="1"/>
  <c r="D1726" i="1"/>
  <c r="B1929" i="1"/>
  <c r="C1929" i="1"/>
  <c r="D1929" i="1"/>
  <c r="B62" i="1"/>
  <c r="C62" i="1"/>
  <c r="D62" i="1"/>
  <c r="B259" i="1"/>
  <c r="C259" i="1"/>
  <c r="D259" i="1"/>
  <c r="B453" i="1"/>
  <c r="C453" i="1"/>
  <c r="D453" i="1"/>
  <c r="B659" i="1"/>
  <c r="C659" i="1"/>
  <c r="D659" i="1"/>
  <c r="B872" i="1"/>
  <c r="C872" i="1"/>
  <c r="D872" i="1"/>
  <c r="B1089" i="1"/>
  <c r="C1089" i="1"/>
  <c r="D1089" i="1"/>
  <c r="B1308" i="1"/>
  <c r="C1308" i="1"/>
  <c r="D1308" i="1"/>
  <c r="B1520" i="1"/>
  <c r="C1520" i="1"/>
  <c r="D1520" i="1"/>
  <c r="B1727" i="1"/>
  <c r="C1727" i="1"/>
  <c r="D1727" i="1"/>
  <c r="B1930" i="1"/>
  <c r="C1930" i="1"/>
  <c r="D1930" i="1"/>
  <c r="B873" i="1"/>
  <c r="C873" i="1"/>
  <c r="D873" i="1"/>
  <c r="B1090" i="1"/>
  <c r="C1090" i="1"/>
  <c r="D1090" i="1"/>
  <c r="B1309" i="1"/>
  <c r="C1309" i="1"/>
  <c r="D1309" i="1"/>
  <c r="B1521" i="1"/>
  <c r="C1521" i="1"/>
  <c r="D1521" i="1"/>
  <c r="B1728" i="1"/>
  <c r="C1728" i="1"/>
  <c r="D1728" i="1"/>
  <c r="B1931" i="1"/>
  <c r="C1931" i="1"/>
  <c r="D1931" i="1"/>
  <c r="B63" i="1"/>
  <c r="C63" i="1"/>
  <c r="D63" i="1"/>
  <c r="B260" i="1"/>
  <c r="C260" i="1"/>
  <c r="D260" i="1"/>
  <c r="B454" i="1"/>
  <c r="C454" i="1"/>
  <c r="D454" i="1"/>
  <c r="B660" i="1"/>
  <c r="C660" i="1"/>
  <c r="D660" i="1"/>
  <c r="B874" i="1"/>
  <c r="C874" i="1"/>
  <c r="D874" i="1"/>
  <c r="B1091" i="1"/>
  <c r="C1091" i="1"/>
  <c r="D1091" i="1"/>
  <c r="B1310" i="1"/>
  <c r="C1310" i="1"/>
  <c r="D1310" i="1"/>
  <c r="B1522" i="1"/>
  <c r="C1522" i="1"/>
  <c r="D1522" i="1"/>
  <c r="B1729" i="1"/>
  <c r="C1729" i="1"/>
  <c r="D1729" i="1"/>
  <c r="B1932" i="1"/>
  <c r="C1932" i="1"/>
  <c r="D1932" i="1"/>
  <c r="B875" i="1"/>
  <c r="C875" i="1"/>
  <c r="D875" i="1"/>
  <c r="B1092" i="1"/>
  <c r="C1092" i="1"/>
  <c r="D1092" i="1"/>
  <c r="B1311" i="1"/>
  <c r="C1311" i="1"/>
  <c r="D1311" i="1"/>
  <c r="B1523" i="1"/>
  <c r="C1523" i="1"/>
  <c r="D1523" i="1"/>
  <c r="B1730" i="1"/>
  <c r="C1730" i="1"/>
  <c r="D1730" i="1"/>
  <c r="B1933" i="1"/>
  <c r="C1933" i="1"/>
  <c r="D1933" i="1"/>
  <c r="B64" i="1"/>
  <c r="C64" i="1"/>
  <c r="D64" i="1"/>
  <c r="B455" i="1"/>
  <c r="C455" i="1"/>
  <c r="D455" i="1"/>
  <c r="B661" i="1"/>
  <c r="C661" i="1"/>
  <c r="D661" i="1"/>
  <c r="B876" i="1"/>
  <c r="C876" i="1"/>
  <c r="D876" i="1"/>
  <c r="B1093" i="1"/>
  <c r="C1093" i="1"/>
  <c r="D1093" i="1"/>
  <c r="B1312" i="1"/>
  <c r="C1312" i="1"/>
  <c r="D1312" i="1"/>
  <c r="B1524" i="1"/>
  <c r="C1524" i="1"/>
  <c r="D1524" i="1"/>
  <c r="B1731" i="1"/>
  <c r="C1731" i="1"/>
  <c r="D1731" i="1"/>
  <c r="B1934" i="1"/>
  <c r="C1934" i="1"/>
  <c r="D1934" i="1"/>
  <c r="B662" i="1"/>
  <c r="C662" i="1"/>
  <c r="D662" i="1"/>
  <c r="B877" i="1"/>
  <c r="C877" i="1"/>
  <c r="D877" i="1"/>
  <c r="B1094" i="1"/>
  <c r="C1094" i="1"/>
  <c r="D1094" i="1"/>
  <c r="B1313" i="1"/>
  <c r="C1313" i="1"/>
  <c r="D1313" i="1"/>
  <c r="B1525" i="1"/>
  <c r="C1525" i="1"/>
  <c r="D1525" i="1"/>
  <c r="B1732" i="1"/>
  <c r="C1732" i="1"/>
  <c r="D1732" i="1"/>
  <c r="B1935" i="1"/>
  <c r="C1935" i="1"/>
  <c r="D1935" i="1"/>
  <c r="B65" i="1"/>
  <c r="C65" i="1"/>
  <c r="D65" i="1"/>
  <c r="B261" i="1"/>
  <c r="C261" i="1"/>
  <c r="D261" i="1"/>
  <c r="B456" i="1"/>
  <c r="C456" i="1"/>
  <c r="D456" i="1"/>
  <c r="B663" i="1"/>
  <c r="C663" i="1"/>
  <c r="D663" i="1"/>
  <c r="B878" i="1"/>
  <c r="C878" i="1"/>
  <c r="D878" i="1"/>
  <c r="B1095" i="1"/>
  <c r="C1095" i="1"/>
  <c r="D1095" i="1"/>
  <c r="B1314" i="1"/>
  <c r="C1314" i="1"/>
  <c r="D1314" i="1"/>
  <c r="B1526" i="1"/>
  <c r="C1526" i="1"/>
  <c r="D1526" i="1"/>
  <c r="B66" i="1"/>
  <c r="C66" i="1"/>
  <c r="D66" i="1"/>
  <c r="B262" i="1"/>
  <c r="C262" i="1"/>
  <c r="D262" i="1"/>
  <c r="B457" i="1"/>
  <c r="C457" i="1"/>
  <c r="D457" i="1"/>
  <c r="B664" i="1"/>
  <c r="C664" i="1"/>
  <c r="D664" i="1"/>
  <c r="B879" i="1"/>
  <c r="C879" i="1"/>
  <c r="D879" i="1"/>
  <c r="B1096" i="1"/>
  <c r="C1096" i="1"/>
  <c r="D1096" i="1"/>
  <c r="B1315" i="1"/>
  <c r="C1315" i="1"/>
  <c r="D1315" i="1"/>
  <c r="B1527" i="1"/>
  <c r="C1527" i="1"/>
  <c r="D1527" i="1"/>
  <c r="B1733" i="1"/>
  <c r="C1733" i="1"/>
  <c r="D1733" i="1"/>
  <c r="B1936" i="1"/>
  <c r="C1936" i="1"/>
  <c r="D1936" i="1"/>
  <c r="B67" i="1"/>
  <c r="C67" i="1"/>
  <c r="D67" i="1"/>
  <c r="B263" i="1"/>
  <c r="C263" i="1"/>
  <c r="D263" i="1"/>
  <c r="B458" i="1"/>
  <c r="C458" i="1"/>
  <c r="D458" i="1"/>
  <c r="B665" i="1"/>
  <c r="C665" i="1"/>
  <c r="D665" i="1"/>
  <c r="B880" i="1"/>
  <c r="C880" i="1"/>
  <c r="D880" i="1"/>
  <c r="B1097" i="1"/>
  <c r="C1097" i="1"/>
  <c r="D1097" i="1"/>
  <c r="B1316" i="1"/>
  <c r="C1316" i="1"/>
  <c r="D1316" i="1"/>
  <c r="B1528" i="1"/>
  <c r="C1528" i="1"/>
  <c r="D1528" i="1"/>
  <c r="B1734" i="1"/>
  <c r="C1734" i="1"/>
  <c r="D1734" i="1"/>
  <c r="B1937" i="1"/>
  <c r="C1937" i="1"/>
  <c r="D1937" i="1"/>
  <c r="B68" i="1"/>
  <c r="C68" i="1"/>
  <c r="D68" i="1"/>
  <c r="B264" i="1"/>
  <c r="C264" i="1"/>
  <c r="D264" i="1"/>
  <c r="B459" i="1"/>
  <c r="C459" i="1"/>
  <c r="D459" i="1"/>
  <c r="B666" i="1"/>
  <c r="C666" i="1"/>
  <c r="D666" i="1"/>
  <c r="B881" i="1"/>
  <c r="C881" i="1"/>
  <c r="D881" i="1"/>
  <c r="B1098" i="1"/>
  <c r="C1098" i="1"/>
  <c r="D1098" i="1"/>
  <c r="B1317" i="1"/>
  <c r="C1317" i="1"/>
  <c r="D1317" i="1"/>
  <c r="B1529" i="1"/>
  <c r="C1529" i="1"/>
  <c r="D1529" i="1"/>
  <c r="B1735" i="1"/>
  <c r="C1735" i="1"/>
  <c r="D1735" i="1"/>
  <c r="B1938" i="1"/>
  <c r="C1938" i="1"/>
  <c r="D1938" i="1"/>
  <c r="B1939" i="1"/>
  <c r="C1939" i="1"/>
  <c r="D1939" i="1"/>
  <c r="B69" i="1"/>
  <c r="C69" i="1"/>
  <c r="D69" i="1"/>
  <c r="B265" i="1"/>
  <c r="C265" i="1"/>
  <c r="D265" i="1"/>
  <c r="B460" i="1"/>
  <c r="C460" i="1"/>
  <c r="D460" i="1"/>
  <c r="B667" i="1"/>
  <c r="C667" i="1"/>
  <c r="D667" i="1"/>
  <c r="B882" i="1"/>
  <c r="C882" i="1"/>
  <c r="D882" i="1"/>
  <c r="B1099" i="1"/>
  <c r="C1099" i="1"/>
  <c r="D1099" i="1"/>
  <c r="B70" i="1"/>
  <c r="C70" i="1"/>
  <c r="D70" i="1"/>
  <c r="B266" i="1"/>
  <c r="C266" i="1"/>
  <c r="D266" i="1"/>
  <c r="B461" i="1"/>
  <c r="C461" i="1"/>
  <c r="D461" i="1"/>
  <c r="B668" i="1"/>
  <c r="C668" i="1"/>
  <c r="D668" i="1"/>
  <c r="B883" i="1"/>
  <c r="C883" i="1"/>
  <c r="D883" i="1"/>
  <c r="B1100" i="1"/>
  <c r="C1100" i="1"/>
  <c r="D1100" i="1"/>
  <c r="B1318" i="1"/>
  <c r="C1318" i="1"/>
  <c r="D1318" i="1"/>
  <c r="B1530" i="1"/>
  <c r="C1530" i="1"/>
  <c r="D1530" i="1"/>
  <c r="B1736" i="1"/>
  <c r="C1736" i="1"/>
  <c r="D1736" i="1"/>
  <c r="B1940" i="1"/>
  <c r="C1940" i="1"/>
  <c r="D1940" i="1"/>
  <c r="B669" i="1"/>
  <c r="C669" i="1"/>
  <c r="D669" i="1"/>
  <c r="B884" i="1"/>
  <c r="C884" i="1"/>
  <c r="D884" i="1"/>
  <c r="B1101" i="1"/>
  <c r="C1101" i="1"/>
  <c r="D1101" i="1"/>
  <c r="B1319" i="1"/>
  <c r="C1319" i="1"/>
  <c r="D1319" i="1"/>
  <c r="B1531" i="1"/>
  <c r="C1531" i="1"/>
  <c r="D1531" i="1"/>
  <c r="B1737" i="1"/>
  <c r="C1737" i="1"/>
  <c r="D1737" i="1"/>
  <c r="B1941" i="1"/>
  <c r="C1941" i="1"/>
  <c r="D1941" i="1"/>
  <c r="B462" i="1"/>
  <c r="C462" i="1"/>
  <c r="D462" i="1"/>
  <c r="B670" i="1"/>
  <c r="C670" i="1"/>
  <c r="D670" i="1"/>
  <c r="B885" i="1"/>
  <c r="C885" i="1"/>
  <c r="D885" i="1"/>
  <c r="B1102" i="1"/>
  <c r="C1102" i="1"/>
  <c r="D1102" i="1"/>
  <c r="B1320" i="1"/>
  <c r="C1320" i="1"/>
  <c r="D1320" i="1"/>
  <c r="B1103" i="1"/>
  <c r="C1103" i="1"/>
  <c r="D1103" i="1"/>
  <c r="B1321" i="1"/>
  <c r="C1321" i="1"/>
  <c r="D1321" i="1"/>
  <c r="B1532" i="1"/>
  <c r="C1532" i="1"/>
  <c r="D1532" i="1"/>
  <c r="B1738" i="1"/>
  <c r="C1738" i="1"/>
  <c r="D1738" i="1"/>
  <c r="B1942" i="1"/>
  <c r="C1942" i="1"/>
  <c r="D1942" i="1"/>
  <c r="B71" i="1"/>
  <c r="C71" i="1"/>
  <c r="D71" i="1"/>
  <c r="B267" i="1"/>
  <c r="C267" i="1"/>
  <c r="D267" i="1"/>
  <c r="B463" i="1"/>
  <c r="C463" i="1"/>
  <c r="D463" i="1"/>
  <c r="B671" i="1"/>
  <c r="C671" i="1"/>
  <c r="D671" i="1"/>
  <c r="B886" i="1"/>
  <c r="C886" i="1"/>
  <c r="D886" i="1"/>
  <c r="B1104" i="1"/>
  <c r="C1104" i="1"/>
  <c r="D1104" i="1"/>
  <c r="B1322" i="1"/>
  <c r="C1322" i="1"/>
  <c r="D1322" i="1"/>
  <c r="B1533" i="1"/>
  <c r="C1533" i="1"/>
  <c r="D1533" i="1"/>
  <c r="B1739" i="1"/>
  <c r="C1739" i="1"/>
  <c r="D1739" i="1"/>
  <c r="B1943" i="1"/>
  <c r="C1943" i="1"/>
  <c r="D1943" i="1"/>
  <c r="B72" i="1"/>
  <c r="C72" i="1"/>
  <c r="D72" i="1"/>
  <c r="B268" i="1"/>
  <c r="C268" i="1"/>
  <c r="D268" i="1"/>
  <c r="B464" i="1"/>
  <c r="C464" i="1"/>
  <c r="D464" i="1"/>
  <c r="B672" i="1"/>
  <c r="C672" i="1"/>
  <c r="D672" i="1"/>
  <c r="B887" i="1"/>
  <c r="C887" i="1"/>
  <c r="D887" i="1"/>
  <c r="B1105" i="1"/>
  <c r="C1105" i="1"/>
  <c r="D1105" i="1"/>
  <c r="B1323" i="1"/>
  <c r="C1323" i="1"/>
  <c r="D1323" i="1"/>
  <c r="B1534" i="1"/>
  <c r="C1534" i="1"/>
  <c r="D1534" i="1"/>
  <c r="B1740" i="1"/>
  <c r="C1740" i="1"/>
  <c r="D1740" i="1"/>
  <c r="B1944" i="1"/>
  <c r="C1944" i="1"/>
  <c r="D1944" i="1"/>
  <c r="B73" i="1"/>
  <c r="C73" i="1"/>
  <c r="D73" i="1"/>
  <c r="B269" i="1"/>
  <c r="C269" i="1"/>
  <c r="D269" i="1"/>
  <c r="B465" i="1"/>
  <c r="C465" i="1"/>
  <c r="D465" i="1"/>
  <c r="B673" i="1"/>
  <c r="C673" i="1"/>
  <c r="D673" i="1"/>
  <c r="B888" i="1"/>
  <c r="C888" i="1"/>
  <c r="D888" i="1"/>
  <c r="B1106" i="1"/>
  <c r="C1106" i="1"/>
  <c r="D1106" i="1"/>
  <c r="B1324" i="1"/>
  <c r="C1324" i="1"/>
  <c r="D1324" i="1"/>
  <c r="B1535" i="1"/>
  <c r="C1535" i="1"/>
  <c r="D1535" i="1"/>
  <c r="B1741" i="1"/>
  <c r="C1741" i="1"/>
  <c r="D1741" i="1"/>
  <c r="B1945" i="1"/>
  <c r="C1945" i="1"/>
  <c r="D1945" i="1"/>
  <c r="B74" i="1"/>
  <c r="C74" i="1"/>
  <c r="D74" i="1"/>
  <c r="B270" i="1"/>
  <c r="C270" i="1"/>
  <c r="D270" i="1"/>
  <c r="B466" i="1"/>
  <c r="C466" i="1"/>
  <c r="D466" i="1"/>
  <c r="B674" i="1"/>
  <c r="C674" i="1"/>
  <c r="D674" i="1"/>
  <c r="B889" i="1"/>
  <c r="C889" i="1"/>
  <c r="D889" i="1"/>
  <c r="B1107" i="1"/>
  <c r="C1107" i="1"/>
  <c r="D1107" i="1"/>
  <c r="B1325" i="1"/>
  <c r="C1325" i="1"/>
  <c r="D1325" i="1"/>
  <c r="B1536" i="1"/>
  <c r="C1536" i="1"/>
  <c r="D1536" i="1"/>
  <c r="B1742" i="1"/>
  <c r="C1742" i="1"/>
  <c r="D1742" i="1"/>
  <c r="B1946" i="1"/>
  <c r="C1946" i="1"/>
  <c r="D1946" i="1"/>
  <c r="B75" i="1"/>
  <c r="C75" i="1"/>
  <c r="D75" i="1"/>
  <c r="B271" i="1"/>
  <c r="C271" i="1"/>
  <c r="D271" i="1"/>
  <c r="B467" i="1"/>
  <c r="C467" i="1"/>
  <c r="D467" i="1"/>
  <c r="B675" i="1"/>
  <c r="C675" i="1"/>
  <c r="D675" i="1"/>
  <c r="B890" i="1"/>
  <c r="C890" i="1"/>
  <c r="D890" i="1"/>
  <c r="B1108" i="1"/>
  <c r="C1108" i="1"/>
  <c r="D1108" i="1"/>
  <c r="B1326" i="1"/>
  <c r="C1326" i="1"/>
  <c r="D1326" i="1"/>
  <c r="B272" i="1"/>
  <c r="C272" i="1"/>
  <c r="D272" i="1"/>
  <c r="B76" i="1"/>
  <c r="C76" i="1"/>
  <c r="D76" i="1"/>
  <c r="B273" i="1"/>
  <c r="C273" i="1"/>
  <c r="D273" i="1"/>
  <c r="B468" i="1"/>
  <c r="C468" i="1"/>
  <c r="D468" i="1"/>
  <c r="B676" i="1"/>
  <c r="C676" i="1"/>
  <c r="D676" i="1"/>
  <c r="B891" i="1"/>
  <c r="C891" i="1"/>
  <c r="D891" i="1"/>
  <c r="B1109" i="1"/>
  <c r="C1109" i="1"/>
  <c r="D1109" i="1"/>
  <c r="B1327" i="1"/>
  <c r="C1327" i="1"/>
  <c r="D1327" i="1"/>
  <c r="B1537" i="1"/>
  <c r="C1537" i="1"/>
  <c r="D1537" i="1"/>
  <c r="B1743" i="1"/>
  <c r="C1743" i="1"/>
  <c r="D1743" i="1"/>
  <c r="B1947" i="1"/>
  <c r="C1947" i="1"/>
  <c r="D1947" i="1"/>
  <c r="B77" i="1"/>
  <c r="C77" i="1"/>
  <c r="D77" i="1"/>
  <c r="B274" i="1"/>
  <c r="C274" i="1"/>
  <c r="D274" i="1"/>
  <c r="B469" i="1"/>
  <c r="C469" i="1"/>
  <c r="D469" i="1"/>
  <c r="B677" i="1"/>
  <c r="C677" i="1"/>
  <c r="D677" i="1"/>
  <c r="B892" i="1"/>
  <c r="C892" i="1"/>
  <c r="D892" i="1"/>
  <c r="B1110" i="1"/>
  <c r="C1110" i="1"/>
  <c r="D1110" i="1"/>
  <c r="B1328" i="1"/>
  <c r="C1328" i="1"/>
  <c r="D1328" i="1"/>
  <c r="B1538" i="1"/>
  <c r="C1538" i="1"/>
  <c r="D1538" i="1"/>
  <c r="B1744" i="1"/>
  <c r="C1744" i="1"/>
  <c r="D1744" i="1"/>
  <c r="B1948" i="1"/>
  <c r="C1948" i="1"/>
  <c r="D1948" i="1"/>
  <c r="B470" i="1"/>
  <c r="C470" i="1"/>
  <c r="D470" i="1"/>
  <c r="B678" i="1"/>
  <c r="C678" i="1"/>
  <c r="D678" i="1"/>
  <c r="B893" i="1"/>
  <c r="C893" i="1"/>
  <c r="D893" i="1"/>
  <c r="B1111" i="1"/>
  <c r="C1111" i="1"/>
  <c r="D1111" i="1"/>
  <c r="B1329" i="1"/>
  <c r="C1329" i="1"/>
  <c r="D1329" i="1"/>
  <c r="B1539" i="1"/>
  <c r="C1539" i="1"/>
  <c r="D1539" i="1"/>
  <c r="B1745" i="1"/>
  <c r="C1745" i="1"/>
  <c r="D1745" i="1"/>
  <c r="B1949" i="1"/>
  <c r="C1949" i="1"/>
  <c r="D1949" i="1"/>
  <c r="B78" i="1"/>
  <c r="C78" i="1"/>
  <c r="D78" i="1"/>
  <c r="B275" i="1"/>
  <c r="C275" i="1"/>
  <c r="D275" i="1"/>
  <c r="B471" i="1"/>
  <c r="C471" i="1"/>
  <c r="D471" i="1"/>
  <c r="B679" i="1"/>
  <c r="C679" i="1"/>
  <c r="D679" i="1"/>
  <c r="B894" i="1"/>
  <c r="C894" i="1"/>
  <c r="D894" i="1"/>
  <c r="B1112" i="1"/>
  <c r="C1112" i="1"/>
  <c r="D1112" i="1"/>
  <c r="B1330" i="1"/>
  <c r="C1330" i="1"/>
  <c r="D1330" i="1"/>
  <c r="B1540" i="1"/>
  <c r="C1540" i="1"/>
  <c r="D1540" i="1"/>
  <c r="B79" i="1"/>
  <c r="C79" i="1"/>
  <c r="D79" i="1"/>
  <c r="B276" i="1"/>
  <c r="C276" i="1"/>
  <c r="D276" i="1"/>
  <c r="B472" i="1"/>
  <c r="C472" i="1"/>
  <c r="D472" i="1"/>
  <c r="B680" i="1"/>
  <c r="C680" i="1"/>
  <c r="D680" i="1"/>
  <c r="B895" i="1"/>
  <c r="C895" i="1"/>
  <c r="D895" i="1"/>
  <c r="B1113" i="1"/>
  <c r="C1113" i="1"/>
  <c r="D1113" i="1"/>
  <c r="B1331" i="1"/>
  <c r="C1331" i="1"/>
  <c r="D1331" i="1"/>
  <c r="B1541" i="1"/>
  <c r="C1541" i="1"/>
  <c r="D1541" i="1"/>
  <c r="B1746" i="1"/>
  <c r="C1746" i="1"/>
  <c r="D1746" i="1"/>
  <c r="B1950" i="1"/>
  <c r="C1950" i="1"/>
  <c r="D1950" i="1"/>
  <c r="B80" i="1"/>
  <c r="C80" i="1"/>
  <c r="D80" i="1"/>
  <c r="B277" i="1"/>
  <c r="C277" i="1"/>
  <c r="D277" i="1"/>
  <c r="B81" i="1"/>
  <c r="C81" i="1"/>
  <c r="D81" i="1"/>
  <c r="B278" i="1"/>
  <c r="C278" i="1"/>
  <c r="D278" i="1"/>
  <c r="B473" i="1"/>
  <c r="C473" i="1"/>
  <c r="D473" i="1"/>
  <c r="B681" i="1"/>
  <c r="C681" i="1"/>
  <c r="D681" i="1"/>
  <c r="B896" i="1"/>
  <c r="C896" i="1"/>
  <c r="D896" i="1"/>
  <c r="B1114" i="1"/>
  <c r="C1114" i="1"/>
  <c r="D1114" i="1"/>
  <c r="B1332" i="1"/>
  <c r="C1332" i="1"/>
  <c r="D1332" i="1"/>
  <c r="B1542" i="1"/>
  <c r="C1542" i="1"/>
  <c r="D1542" i="1"/>
  <c r="B1747" i="1"/>
  <c r="C1747" i="1"/>
  <c r="D1747" i="1"/>
  <c r="B1951" i="1"/>
  <c r="C1951" i="1"/>
  <c r="D1951" i="1"/>
  <c r="B82" i="1"/>
  <c r="C82" i="1"/>
  <c r="D82" i="1"/>
  <c r="B279" i="1"/>
  <c r="C279" i="1"/>
  <c r="D279" i="1"/>
  <c r="B474" i="1"/>
  <c r="C474" i="1"/>
  <c r="D474" i="1"/>
  <c r="B682" i="1"/>
  <c r="C682" i="1"/>
  <c r="D682" i="1"/>
  <c r="B897" i="1"/>
  <c r="C897" i="1"/>
  <c r="D897" i="1"/>
  <c r="B1115" i="1"/>
  <c r="C1115" i="1"/>
  <c r="D1115" i="1"/>
  <c r="B1333" i="1"/>
  <c r="C1333" i="1"/>
  <c r="D1333" i="1"/>
  <c r="B1543" i="1"/>
  <c r="C1543" i="1"/>
  <c r="D1543" i="1"/>
  <c r="B1748" i="1"/>
  <c r="C1748" i="1"/>
  <c r="D1748" i="1"/>
  <c r="B1952" i="1"/>
  <c r="C1952" i="1"/>
  <c r="D1952" i="1"/>
  <c r="B83" i="1"/>
  <c r="C83" i="1"/>
  <c r="D83" i="1"/>
  <c r="B280" i="1"/>
  <c r="C280" i="1"/>
  <c r="D280" i="1"/>
  <c r="B475" i="1"/>
  <c r="C475" i="1"/>
  <c r="D475" i="1"/>
  <c r="B683" i="1"/>
  <c r="C683" i="1"/>
  <c r="D683" i="1"/>
  <c r="B898" i="1"/>
  <c r="C898" i="1"/>
  <c r="D898" i="1"/>
  <c r="B1116" i="1"/>
  <c r="C1116" i="1"/>
  <c r="D1116" i="1"/>
  <c r="B1334" i="1"/>
  <c r="C1334" i="1"/>
  <c r="D1334" i="1"/>
  <c r="B1544" i="1"/>
  <c r="C1544" i="1"/>
  <c r="D1544" i="1"/>
  <c r="B1749" i="1"/>
  <c r="C1749" i="1"/>
  <c r="D1749" i="1"/>
  <c r="B1953" i="1"/>
  <c r="C1953" i="1"/>
  <c r="D1953" i="1"/>
  <c r="B84" i="1"/>
  <c r="C84" i="1"/>
  <c r="D84" i="1"/>
  <c r="B281" i="1"/>
  <c r="C281" i="1"/>
  <c r="D281" i="1"/>
  <c r="B476" i="1"/>
  <c r="C476" i="1"/>
  <c r="D476" i="1"/>
  <c r="B684" i="1"/>
  <c r="C684" i="1"/>
  <c r="D684" i="1"/>
  <c r="B899" i="1"/>
  <c r="C899" i="1"/>
  <c r="D899" i="1"/>
  <c r="B1117" i="1"/>
  <c r="C1117" i="1"/>
  <c r="D1117" i="1"/>
  <c r="B1335" i="1"/>
  <c r="C1335" i="1"/>
  <c r="D1335" i="1"/>
  <c r="B1545" i="1"/>
  <c r="C1545" i="1"/>
  <c r="D1545" i="1"/>
  <c r="B1750" i="1"/>
  <c r="C1750" i="1"/>
  <c r="D1750" i="1"/>
  <c r="B1954" i="1"/>
  <c r="C1954" i="1"/>
  <c r="D1954" i="1"/>
  <c r="B1955" i="1"/>
  <c r="C1955" i="1"/>
  <c r="D1955" i="1"/>
  <c r="B85" i="1"/>
  <c r="C85" i="1"/>
  <c r="D85" i="1"/>
  <c r="B282" i="1"/>
  <c r="C282" i="1"/>
  <c r="D282" i="1"/>
  <c r="B477" i="1"/>
  <c r="C477" i="1"/>
  <c r="D477" i="1"/>
  <c r="B685" i="1"/>
  <c r="C685" i="1"/>
  <c r="D685" i="1"/>
  <c r="B900" i="1"/>
  <c r="C900" i="1"/>
  <c r="D900" i="1"/>
  <c r="B1118" i="1"/>
  <c r="C1118" i="1"/>
  <c r="D1118" i="1"/>
  <c r="B1336" i="1"/>
  <c r="C1336" i="1"/>
  <c r="D1336" i="1"/>
  <c r="B1546" i="1"/>
  <c r="C1546" i="1"/>
  <c r="D1546" i="1"/>
  <c r="B1751" i="1"/>
  <c r="C1751" i="1"/>
  <c r="D1751" i="1"/>
  <c r="B1956" i="1"/>
  <c r="C1956" i="1"/>
  <c r="D1956" i="1"/>
  <c r="B86" i="1"/>
  <c r="C86" i="1"/>
  <c r="D86" i="1"/>
  <c r="B478" i="1"/>
  <c r="C478" i="1"/>
  <c r="D478" i="1"/>
  <c r="B686" i="1"/>
  <c r="C686" i="1"/>
  <c r="D686" i="1"/>
  <c r="B901" i="1"/>
  <c r="C901" i="1"/>
  <c r="D901" i="1"/>
  <c r="B1119" i="1"/>
  <c r="C1119" i="1"/>
  <c r="D1119" i="1"/>
  <c r="B1337" i="1"/>
  <c r="C1337" i="1"/>
  <c r="D1337" i="1"/>
  <c r="B1547" i="1"/>
  <c r="C1547" i="1"/>
  <c r="D1547" i="1"/>
  <c r="B1752" i="1"/>
  <c r="C1752" i="1"/>
  <c r="D1752" i="1"/>
  <c r="B1957" i="1"/>
  <c r="C1957" i="1"/>
  <c r="D1957" i="1"/>
  <c r="B87" i="1"/>
  <c r="C87" i="1"/>
  <c r="D87" i="1"/>
  <c r="B283" i="1"/>
  <c r="C283" i="1"/>
  <c r="D283" i="1"/>
  <c r="B479" i="1"/>
  <c r="C479" i="1"/>
  <c r="D479" i="1"/>
  <c r="B687" i="1"/>
  <c r="C687" i="1"/>
  <c r="D687" i="1"/>
  <c r="B902" i="1"/>
  <c r="C902" i="1"/>
  <c r="D902" i="1"/>
  <c r="B1120" i="1"/>
  <c r="C1120" i="1"/>
  <c r="D1120" i="1"/>
  <c r="B1338" i="1"/>
  <c r="C1338" i="1"/>
  <c r="D1338" i="1"/>
  <c r="B1548" i="1"/>
  <c r="C1548" i="1"/>
  <c r="D1548" i="1"/>
  <c r="B1753" i="1"/>
  <c r="C1753" i="1"/>
  <c r="D1753" i="1"/>
  <c r="B1958" i="1"/>
  <c r="C1958" i="1"/>
  <c r="D1958" i="1"/>
  <c r="B88" i="1"/>
  <c r="C88" i="1"/>
  <c r="D88" i="1"/>
  <c r="B284" i="1"/>
  <c r="C284" i="1"/>
  <c r="D284" i="1"/>
  <c r="B688" i="1"/>
  <c r="C688" i="1"/>
  <c r="D688" i="1"/>
  <c r="B903" i="1"/>
  <c r="C903" i="1"/>
  <c r="D903" i="1"/>
  <c r="B1121" i="1"/>
  <c r="C1121" i="1"/>
  <c r="D1121" i="1"/>
  <c r="B89" i="1"/>
  <c r="C89" i="1"/>
  <c r="D89" i="1"/>
  <c r="B285" i="1"/>
  <c r="C285" i="1"/>
  <c r="D285" i="1"/>
  <c r="B480" i="1"/>
  <c r="C480" i="1"/>
  <c r="D480" i="1"/>
  <c r="B689" i="1"/>
  <c r="C689" i="1"/>
  <c r="D689" i="1"/>
  <c r="B904" i="1"/>
  <c r="C904" i="1"/>
  <c r="D904" i="1"/>
  <c r="B1122" i="1"/>
  <c r="C1122" i="1"/>
  <c r="D1122" i="1"/>
  <c r="B1339" i="1"/>
  <c r="C1339" i="1"/>
  <c r="D1339" i="1"/>
  <c r="B1549" i="1"/>
  <c r="C1549" i="1"/>
  <c r="D1549" i="1"/>
  <c r="B1754" i="1"/>
  <c r="C1754" i="1"/>
  <c r="D1754" i="1"/>
  <c r="B1959" i="1"/>
  <c r="C1959" i="1"/>
  <c r="D1959" i="1"/>
  <c r="B90" i="1"/>
  <c r="C90" i="1"/>
  <c r="D90" i="1"/>
  <c r="B286" i="1"/>
  <c r="C286" i="1"/>
  <c r="D286" i="1"/>
  <c r="B481" i="1"/>
  <c r="C481" i="1"/>
  <c r="D481" i="1"/>
  <c r="B690" i="1"/>
  <c r="C690" i="1"/>
  <c r="D690" i="1"/>
  <c r="B905" i="1"/>
  <c r="C905" i="1"/>
  <c r="D905" i="1"/>
  <c r="B1123" i="1"/>
  <c r="C1123" i="1"/>
  <c r="D1123" i="1"/>
  <c r="B1340" i="1"/>
  <c r="C1340" i="1"/>
  <c r="D1340" i="1"/>
  <c r="B1550" i="1"/>
  <c r="C1550" i="1"/>
  <c r="D1550" i="1"/>
  <c r="B1755" i="1"/>
  <c r="C1755" i="1"/>
  <c r="D1755" i="1"/>
  <c r="B1960" i="1"/>
  <c r="C1960" i="1"/>
  <c r="D1960" i="1"/>
  <c r="B91" i="1"/>
  <c r="C91" i="1"/>
  <c r="D91" i="1"/>
  <c r="B287" i="1"/>
  <c r="C287" i="1"/>
  <c r="D287" i="1"/>
  <c r="B482" i="1"/>
  <c r="C482" i="1"/>
  <c r="D482" i="1"/>
  <c r="B691" i="1"/>
  <c r="C691" i="1"/>
  <c r="D691" i="1"/>
  <c r="B906" i="1"/>
  <c r="C906" i="1"/>
  <c r="D906" i="1"/>
  <c r="B1124" i="1"/>
  <c r="C1124" i="1"/>
  <c r="D1124" i="1"/>
  <c r="B92" i="1"/>
  <c r="C92" i="1"/>
  <c r="D92" i="1"/>
  <c r="B288" i="1"/>
  <c r="C288" i="1"/>
  <c r="D288" i="1"/>
  <c r="B483" i="1"/>
  <c r="C483" i="1"/>
  <c r="D483" i="1"/>
  <c r="B692" i="1"/>
  <c r="C692" i="1"/>
  <c r="D692" i="1"/>
  <c r="B907" i="1"/>
  <c r="C907" i="1"/>
  <c r="D907" i="1"/>
  <c r="B1125" i="1"/>
  <c r="C1125" i="1"/>
  <c r="D1125" i="1"/>
  <c r="B1341" i="1"/>
  <c r="C1341" i="1"/>
  <c r="D1341" i="1"/>
  <c r="B1551" i="1"/>
  <c r="C1551" i="1"/>
  <c r="D1551" i="1"/>
  <c r="B1756" i="1"/>
  <c r="C1756" i="1"/>
  <c r="D1756" i="1"/>
  <c r="B1961" i="1"/>
  <c r="C1961" i="1"/>
  <c r="D1961" i="1"/>
  <c r="B93" i="1"/>
  <c r="C93" i="1"/>
  <c r="D93" i="1"/>
  <c r="B289" i="1"/>
  <c r="C289" i="1"/>
  <c r="D289" i="1"/>
  <c r="B484" i="1"/>
  <c r="C484" i="1"/>
  <c r="D484" i="1"/>
  <c r="B693" i="1"/>
  <c r="C693" i="1"/>
  <c r="D693" i="1"/>
  <c r="B908" i="1"/>
  <c r="C908" i="1"/>
  <c r="D908" i="1"/>
  <c r="B1126" i="1"/>
  <c r="C1126" i="1"/>
  <c r="D1126" i="1"/>
  <c r="B1342" i="1"/>
  <c r="C1342" i="1"/>
  <c r="D1342" i="1"/>
  <c r="B1552" i="1"/>
  <c r="C1552" i="1"/>
  <c r="D1552" i="1"/>
  <c r="B1757" i="1"/>
  <c r="C1757" i="1"/>
  <c r="D1757" i="1"/>
  <c r="B1962" i="1"/>
  <c r="C1962" i="1"/>
  <c r="D1962" i="1"/>
  <c r="B94" i="1"/>
  <c r="C94" i="1"/>
  <c r="D94" i="1"/>
  <c r="B290" i="1"/>
  <c r="C290" i="1"/>
  <c r="D290" i="1"/>
  <c r="B485" i="1"/>
  <c r="C485" i="1"/>
  <c r="D485" i="1"/>
  <c r="B694" i="1"/>
  <c r="C694" i="1"/>
  <c r="D694" i="1"/>
  <c r="B909" i="1"/>
  <c r="C909" i="1"/>
  <c r="D909" i="1"/>
  <c r="B1127" i="1"/>
  <c r="C1127" i="1"/>
  <c r="D1127" i="1"/>
  <c r="B1343" i="1"/>
  <c r="C1343" i="1"/>
  <c r="D1343" i="1"/>
  <c r="B1553" i="1"/>
  <c r="C1553" i="1"/>
  <c r="D1553" i="1"/>
  <c r="B1758" i="1"/>
  <c r="C1758" i="1"/>
  <c r="D1758" i="1"/>
  <c r="B1963" i="1"/>
  <c r="C1963" i="1"/>
  <c r="D1963" i="1"/>
  <c r="B910" i="1"/>
  <c r="C910" i="1"/>
  <c r="D910" i="1"/>
  <c r="B1128" i="1"/>
  <c r="C1128" i="1"/>
  <c r="D1128" i="1"/>
  <c r="B1344" i="1"/>
  <c r="C1344" i="1"/>
  <c r="D1344" i="1"/>
  <c r="B1554" i="1"/>
  <c r="C1554" i="1"/>
  <c r="D1554" i="1"/>
  <c r="B1759" i="1"/>
  <c r="C1759" i="1"/>
  <c r="D1759" i="1"/>
  <c r="B1964" i="1"/>
  <c r="C1964" i="1"/>
  <c r="D1964" i="1"/>
  <c r="B95" i="1"/>
  <c r="C95" i="1"/>
  <c r="D95" i="1"/>
  <c r="B291" i="1"/>
  <c r="C291" i="1"/>
  <c r="D291" i="1"/>
  <c r="B486" i="1"/>
  <c r="C486" i="1"/>
  <c r="D486" i="1"/>
  <c r="B695" i="1"/>
  <c r="C695" i="1"/>
  <c r="D695" i="1"/>
  <c r="B911" i="1"/>
  <c r="C911" i="1"/>
  <c r="D911" i="1"/>
  <c r="B1965" i="1"/>
  <c r="C1965" i="1"/>
  <c r="D1965" i="1"/>
  <c r="B96" i="1"/>
  <c r="C96" i="1"/>
  <c r="D96" i="1"/>
  <c r="B292" i="1"/>
  <c r="C292" i="1"/>
  <c r="D292" i="1"/>
  <c r="B487" i="1"/>
  <c r="C487" i="1"/>
  <c r="D487" i="1"/>
  <c r="B696" i="1"/>
  <c r="C696" i="1"/>
  <c r="D696" i="1"/>
  <c r="B912" i="1"/>
  <c r="C912" i="1"/>
  <c r="D912" i="1"/>
  <c r="B1129" i="1"/>
  <c r="C1129" i="1"/>
  <c r="D1129" i="1"/>
  <c r="B1345" i="1"/>
  <c r="C1345" i="1"/>
  <c r="D1345" i="1"/>
  <c r="B1555" i="1"/>
  <c r="C1555" i="1"/>
  <c r="D1555" i="1"/>
  <c r="B1760" i="1"/>
  <c r="C1760" i="1"/>
  <c r="D1760" i="1"/>
  <c r="B1966" i="1"/>
  <c r="C1966" i="1"/>
  <c r="D1966" i="1"/>
  <c r="B97" i="1"/>
  <c r="C97" i="1"/>
  <c r="D97" i="1"/>
  <c r="B293" i="1"/>
  <c r="C293" i="1"/>
  <c r="D293" i="1"/>
  <c r="B488" i="1"/>
  <c r="C488" i="1"/>
  <c r="D488" i="1"/>
  <c r="B697" i="1"/>
  <c r="C697" i="1"/>
  <c r="D697" i="1"/>
  <c r="B913" i="1"/>
  <c r="C913" i="1"/>
  <c r="D913" i="1"/>
  <c r="B1130" i="1"/>
  <c r="C1130" i="1"/>
  <c r="D1130" i="1"/>
  <c r="B1346" i="1"/>
  <c r="C1346" i="1"/>
  <c r="D1346" i="1"/>
  <c r="B1556" i="1"/>
  <c r="C1556" i="1"/>
  <c r="D1556" i="1"/>
  <c r="B1761" i="1"/>
  <c r="C1761" i="1"/>
  <c r="D1761" i="1"/>
  <c r="B1967" i="1"/>
  <c r="C1967" i="1"/>
  <c r="D1967" i="1"/>
  <c r="B98" i="1"/>
  <c r="C98" i="1"/>
  <c r="D98" i="1"/>
  <c r="B99" i="1"/>
  <c r="C99" i="1"/>
  <c r="D99" i="1"/>
  <c r="B294" i="1"/>
  <c r="C294" i="1"/>
  <c r="D294" i="1"/>
  <c r="B489" i="1"/>
  <c r="C489" i="1"/>
  <c r="D489" i="1"/>
  <c r="B698" i="1"/>
  <c r="C698" i="1"/>
  <c r="D698" i="1"/>
  <c r="B914" i="1"/>
  <c r="C914" i="1"/>
  <c r="D914" i="1"/>
  <c r="B1131" i="1"/>
  <c r="C1131" i="1"/>
  <c r="D1131" i="1"/>
  <c r="B100" i="1"/>
  <c r="C100" i="1"/>
  <c r="D100" i="1"/>
  <c r="B295" i="1"/>
  <c r="C295" i="1"/>
  <c r="D295" i="1"/>
  <c r="B490" i="1"/>
  <c r="C490" i="1"/>
  <c r="D490" i="1"/>
  <c r="B699" i="1"/>
  <c r="C699" i="1"/>
  <c r="D699" i="1"/>
  <c r="B915" i="1"/>
  <c r="C915" i="1"/>
  <c r="D915" i="1"/>
  <c r="B1132" i="1"/>
  <c r="C1132" i="1"/>
  <c r="D1132" i="1"/>
  <c r="B1347" i="1"/>
  <c r="C1347" i="1"/>
  <c r="D1347" i="1"/>
  <c r="B1557" i="1"/>
  <c r="C1557" i="1"/>
  <c r="D1557" i="1"/>
  <c r="B1762" i="1"/>
  <c r="C1762" i="1"/>
  <c r="D1762" i="1"/>
  <c r="B1968" i="1"/>
  <c r="C1968" i="1"/>
  <c r="D1968" i="1"/>
  <c r="B700" i="1"/>
  <c r="C700" i="1"/>
  <c r="D700" i="1"/>
  <c r="B916" i="1"/>
  <c r="C916" i="1"/>
  <c r="D916" i="1"/>
  <c r="B1133" i="1"/>
  <c r="C1133" i="1"/>
  <c r="D1133" i="1"/>
  <c r="B1348" i="1"/>
  <c r="C1348" i="1"/>
  <c r="D1348" i="1"/>
  <c r="B1558" i="1"/>
  <c r="C1558" i="1"/>
  <c r="D1558" i="1"/>
  <c r="B1763" i="1"/>
  <c r="C1763" i="1"/>
  <c r="D1763" i="1"/>
  <c r="B1969" i="1"/>
  <c r="C1969" i="1"/>
  <c r="D1969" i="1"/>
  <c r="B101" i="1"/>
  <c r="C101" i="1"/>
  <c r="D101" i="1"/>
  <c r="B296" i="1"/>
  <c r="C296" i="1"/>
  <c r="D296" i="1"/>
  <c r="B491" i="1"/>
  <c r="C491" i="1"/>
  <c r="D491" i="1"/>
  <c r="B701" i="1"/>
  <c r="C701" i="1"/>
  <c r="D701" i="1"/>
  <c r="B917" i="1"/>
  <c r="C917" i="1"/>
  <c r="D917" i="1"/>
  <c r="B102" i="1"/>
  <c r="C102" i="1"/>
  <c r="D102" i="1"/>
  <c r="B297" i="1"/>
  <c r="C297" i="1"/>
  <c r="D297" i="1"/>
  <c r="B492" i="1"/>
  <c r="C492" i="1"/>
  <c r="D492" i="1"/>
  <c r="B702" i="1"/>
  <c r="C702" i="1"/>
  <c r="D702" i="1"/>
  <c r="B918" i="1"/>
  <c r="C918" i="1"/>
  <c r="D918" i="1"/>
  <c r="B1134" i="1"/>
  <c r="C1134" i="1"/>
  <c r="D1134" i="1"/>
  <c r="B1349" i="1"/>
  <c r="C1349" i="1"/>
  <c r="D1349" i="1"/>
  <c r="B1559" i="1"/>
  <c r="C1559" i="1"/>
  <c r="D1559" i="1"/>
  <c r="B1764" i="1"/>
  <c r="C1764" i="1"/>
  <c r="D1764" i="1"/>
  <c r="B103" i="1"/>
  <c r="C103" i="1"/>
  <c r="D103" i="1"/>
  <c r="B298" i="1"/>
  <c r="C298" i="1"/>
  <c r="D298" i="1"/>
  <c r="B493" i="1"/>
  <c r="C493" i="1"/>
  <c r="D493" i="1"/>
  <c r="B104" i="1"/>
  <c r="C104" i="1"/>
  <c r="D104" i="1"/>
  <c r="B299" i="1"/>
  <c r="C299" i="1"/>
  <c r="D299" i="1"/>
  <c r="B494" i="1"/>
  <c r="C494" i="1"/>
  <c r="D494" i="1"/>
  <c r="B703" i="1"/>
  <c r="C703" i="1"/>
  <c r="D703" i="1"/>
  <c r="B919" i="1"/>
  <c r="C919" i="1"/>
  <c r="D919" i="1"/>
  <c r="B1135" i="1"/>
  <c r="C1135" i="1"/>
  <c r="D1135" i="1"/>
  <c r="B1350" i="1"/>
  <c r="C1350" i="1"/>
  <c r="D1350" i="1"/>
  <c r="B1560" i="1"/>
  <c r="C1560" i="1"/>
  <c r="D1560" i="1"/>
  <c r="B1765" i="1"/>
  <c r="C1765" i="1"/>
  <c r="D1765" i="1"/>
  <c r="B1970" i="1"/>
  <c r="C1970" i="1"/>
  <c r="D1970" i="1"/>
  <c r="B1971" i="1"/>
  <c r="C1971" i="1"/>
  <c r="D1971" i="1"/>
  <c r="B1972" i="1"/>
  <c r="C1972" i="1"/>
  <c r="D1972" i="1"/>
  <c r="B105" i="1"/>
  <c r="C105" i="1"/>
  <c r="D105" i="1"/>
  <c r="B300" i="1"/>
  <c r="C300" i="1"/>
  <c r="D300" i="1"/>
  <c r="B495" i="1"/>
  <c r="C495" i="1"/>
  <c r="D495" i="1"/>
  <c r="B704" i="1"/>
  <c r="C704" i="1"/>
  <c r="D704" i="1"/>
  <c r="B920" i="1"/>
  <c r="C920" i="1"/>
  <c r="D920" i="1"/>
  <c r="B1136" i="1"/>
  <c r="C1136" i="1"/>
  <c r="D1136" i="1"/>
  <c r="B1351" i="1"/>
  <c r="C1351" i="1"/>
  <c r="D1351" i="1"/>
  <c r="B1561" i="1"/>
  <c r="C1561" i="1"/>
  <c r="D1561" i="1"/>
  <c r="B1766" i="1"/>
  <c r="C1766" i="1"/>
  <c r="D1766" i="1"/>
  <c r="B1973" i="1"/>
  <c r="C1973" i="1"/>
  <c r="D1973" i="1"/>
  <c r="B106" i="1"/>
  <c r="C106" i="1"/>
  <c r="D106" i="1"/>
  <c r="B301" i="1"/>
  <c r="C301" i="1"/>
  <c r="D301" i="1"/>
  <c r="B496" i="1"/>
  <c r="C496" i="1"/>
  <c r="D496" i="1"/>
  <c r="B705" i="1"/>
  <c r="C705" i="1"/>
  <c r="D705" i="1"/>
  <c r="B921" i="1"/>
  <c r="C921" i="1"/>
  <c r="D921" i="1"/>
  <c r="B1137" i="1"/>
  <c r="C1137" i="1"/>
  <c r="D1137" i="1"/>
  <c r="B1352" i="1"/>
  <c r="C1352" i="1"/>
  <c r="D1352" i="1"/>
  <c r="B1562" i="1"/>
  <c r="C1562" i="1"/>
  <c r="D1562" i="1"/>
  <c r="B1767" i="1"/>
  <c r="C1767" i="1"/>
  <c r="D1767" i="1"/>
  <c r="B1974" i="1"/>
  <c r="C1974" i="1"/>
  <c r="D1974" i="1"/>
  <c r="B107" i="1"/>
  <c r="C107" i="1"/>
  <c r="D107" i="1"/>
  <c r="B302" i="1"/>
  <c r="C302" i="1"/>
  <c r="D302" i="1"/>
  <c r="B497" i="1"/>
  <c r="C497" i="1"/>
  <c r="D497" i="1"/>
  <c r="B706" i="1"/>
  <c r="C706" i="1"/>
  <c r="D706" i="1"/>
  <c r="B922" i="1"/>
  <c r="C922" i="1"/>
  <c r="D922" i="1"/>
  <c r="B1138" i="1"/>
  <c r="C1138" i="1"/>
  <c r="D1138" i="1"/>
  <c r="B1353" i="1"/>
  <c r="C1353" i="1"/>
  <c r="D1353" i="1"/>
  <c r="B1563" i="1"/>
  <c r="C1563" i="1"/>
  <c r="D1563" i="1"/>
  <c r="B108" i="1"/>
  <c r="C108" i="1"/>
  <c r="D108" i="1"/>
  <c r="B303" i="1"/>
  <c r="C303" i="1"/>
  <c r="D303" i="1"/>
  <c r="B498" i="1"/>
  <c r="C498" i="1"/>
  <c r="D498" i="1"/>
  <c r="B707" i="1"/>
  <c r="C707" i="1"/>
  <c r="D707" i="1"/>
  <c r="B923" i="1"/>
  <c r="C923" i="1"/>
  <c r="D923" i="1"/>
  <c r="B1139" i="1"/>
  <c r="C1139" i="1"/>
  <c r="D1139" i="1"/>
  <c r="B1354" i="1"/>
  <c r="C1354" i="1"/>
  <c r="D1354" i="1"/>
  <c r="B1564" i="1"/>
  <c r="C1564" i="1"/>
  <c r="D1564" i="1"/>
  <c r="B1768" i="1"/>
  <c r="C1768" i="1"/>
  <c r="D1768" i="1"/>
  <c r="B1975" i="1"/>
  <c r="C1975" i="1"/>
  <c r="D1975" i="1"/>
  <c r="B109" i="1"/>
  <c r="C109" i="1"/>
  <c r="D109" i="1"/>
  <c r="B304" i="1"/>
  <c r="C304" i="1"/>
  <c r="D304" i="1"/>
  <c r="B499" i="1"/>
  <c r="C499" i="1"/>
  <c r="D499" i="1"/>
  <c r="B708" i="1"/>
  <c r="C708" i="1"/>
  <c r="D708" i="1"/>
  <c r="B924" i="1"/>
  <c r="C924" i="1"/>
  <c r="D924" i="1"/>
  <c r="B1140" i="1"/>
  <c r="C1140" i="1"/>
  <c r="D1140" i="1"/>
  <c r="B1355" i="1"/>
  <c r="C1355" i="1"/>
  <c r="D1355" i="1"/>
  <c r="B1565" i="1"/>
  <c r="C1565" i="1"/>
  <c r="D1565" i="1"/>
  <c r="B1769" i="1"/>
  <c r="C1769" i="1"/>
  <c r="D1769" i="1"/>
  <c r="B1976" i="1"/>
  <c r="C1976" i="1"/>
  <c r="D1976" i="1"/>
  <c r="B110" i="1"/>
  <c r="C110" i="1"/>
  <c r="D110" i="1"/>
  <c r="B305" i="1"/>
  <c r="C305" i="1"/>
  <c r="D305" i="1"/>
  <c r="B500" i="1"/>
  <c r="C500" i="1"/>
  <c r="D500" i="1"/>
  <c r="B709" i="1"/>
  <c r="C709" i="1"/>
  <c r="D709" i="1"/>
  <c r="B925" i="1"/>
  <c r="C925" i="1"/>
  <c r="D925" i="1"/>
  <c r="B1141" i="1"/>
  <c r="C1141" i="1"/>
  <c r="D1141" i="1"/>
  <c r="B1356" i="1"/>
  <c r="C1356" i="1"/>
  <c r="D1356" i="1"/>
  <c r="B1566" i="1"/>
  <c r="C1566" i="1"/>
  <c r="D1566" i="1"/>
  <c r="B1770" i="1"/>
  <c r="C1770" i="1"/>
  <c r="D1770" i="1"/>
  <c r="B1977" i="1"/>
  <c r="C1977" i="1"/>
  <c r="D1977" i="1"/>
  <c r="B111" i="1"/>
  <c r="C111" i="1"/>
  <c r="D111" i="1"/>
  <c r="B112" i="1"/>
  <c r="C112" i="1"/>
  <c r="D112" i="1"/>
  <c r="B306" i="1"/>
  <c r="C306" i="1"/>
  <c r="D306" i="1"/>
  <c r="B501" i="1"/>
  <c r="C501" i="1"/>
  <c r="D501" i="1"/>
  <c r="B710" i="1"/>
  <c r="C710" i="1"/>
  <c r="D710" i="1"/>
  <c r="B926" i="1"/>
  <c r="C926" i="1"/>
  <c r="D926" i="1"/>
  <c r="B1142" i="1"/>
  <c r="C1142" i="1"/>
  <c r="D1142" i="1"/>
  <c r="B1357" i="1"/>
  <c r="C1357" i="1"/>
  <c r="D1357" i="1"/>
  <c r="B1567" i="1"/>
  <c r="C1567" i="1"/>
  <c r="D1567" i="1"/>
  <c r="B1771" i="1"/>
  <c r="C1771" i="1"/>
  <c r="D1771" i="1"/>
  <c r="B1978" i="1"/>
  <c r="C1978" i="1"/>
  <c r="D1978" i="1"/>
  <c r="B113" i="1"/>
  <c r="C113" i="1"/>
  <c r="D113" i="1"/>
  <c r="B307" i="1"/>
  <c r="C307" i="1"/>
  <c r="D307" i="1"/>
  <c r="B502" i="1"/>
  <c r="C502" i="1"/>
  <c r="D502" i="1"/>
  <c r="B711" i="1"/>
  <c r="C711" i="1"/>
  <c r="D711" i="1"/>
  <c r="B927" i="1"/>
  <c r="C927" i="1"/>
  <c r="D927" i="1"/>
  <c r="B1143" i="1"/>
  <c r="C1143" i="1"/>
  <c r="D1143" i="1"/>
  <c r="B114" i="1"/>
  <c r="C114" i="1"/>
  <c r="D114" i="1"/>
  <c r="B308" i="1"/>
  <c r="C308" i="1"/>
  <c r="D308" i="1"/>
  <c r="B503" i="1"/>
  <c r="C503" i="1"/>
  <c r="D503" i="1"/>
  <c r="B712" i="1"/>
  <c r="C712" i="1"/>
  <c r="D712" i="1"/>
  <c r="B928" i="1"/>
  <c r="C928" i="1"/>
  <c r="D928" i="1"/>
  <c r="B1144" i="1"/>
  <c r="C1144" i="1"/>
  <c r="D1144" i="1"/>
  <c r="B1358" i="1"/>
  <c r="C1358" i="1"/>
  <c r="D1358" i="1"/>
  <c r="B1568" i="1"/>
  <c r="C1568" i="1"/>
  <c r="D1568" i="1"/>
  <c r="B1772" i="1"/>
  <c r="C1772" i="1"/>
  <c r="D1772" i="1"/>
  <c r="B1979" i="1"/>
  <c r="C1979" i="1"/>
  <c r="D1979" i="1"/>
  <c r="B115" i="1"/>
  <c r="C115" i="1"/>
  <c r="D115" i="1"/>
  <c r="B309" i="1"/>
  <c r="C309" i="1"/>
  <c r="D309" i="1"/>
  <c r="B504" i="1"/>
  <c r="C504" i="1"/>
  <c r="D504" i="1"/>
  <c r="B713" i="1"/>
  <c r="C713" i="1"/>
  <c r="D713" i="1"/>
  <c r="B929" i="1"/>
  <c r="C929" i="1"/>
  <c r="D929" i="1"/>
  <c r="B1145" i="1"/>
  <c r="C1145" i="1"/>
  <c r="D1145" i="1"/>
  <c r="B1359" i="1"/>
  <c r="C1359" i="1"/>
  <c r="D1359" i="1"/>
  <c r="B1569" i="1"/>
  <c r="C1569" i="1"/>
  <c r="D1569" i="1"/>
  <c r="B1773" i="1"/>
  <c r="C1773" i="1"/>
  <c r="D1773" i="1"/>
  <c r="B1980" i="1"/>
  <c r="C1980" i="1"/>
  <c r="D1980" i="1"/>
  <c r="B310" i="1"/>
  <c r="C310" i="1"/>
  <c r="D310" i="1"/>
  <c r="B1146" i="1"/>
  <c r="C1146" i="1"/>
  <c r="D1146" i="1"/>
  <c r="B1360" i="1"/>
  <c r="C1360" i="1"/>
  <c r="D1360" i="1"/>
  <c r="B1570" i="1"/>
  <c r="C1570" i="1"/>
  <c r="D1570" i="1"/>
  <c r="B1774" i="1"/>
  <c r="C1774" i="1"/>
  <c r="D1774" i="1"/>
  <c r="B116" i="1"/>
  <c r="C116" i="1"/>
  <c r="D116" i="1"/>
  <c r="B311" i="1"/>
  <c r="C311" i="1"/>
  <c r="D311" i="1"/>
  <c r="B505" i="1"/>
  <c r="C505" i="1"/>
  <c r="D505" i="1"/>
  <c r="B714" i="1"/>
  <c r="C714" i="1"/>
  <c r="D714" i="1"/>
  <c r="B930" i="1"/>
  <c r="C930" i="1"/>
  <c r="D930" i="1"/>
  <c r="B1147" i="1"/>
  <c r="C1147" i="1"/>
  <c r="D1147" i="1"/>
  <c r="B1361" i="1"/>
  <c r="C1361" i="1"/>
  <c r="D1361" i="1"/>
  <c r="B1571" i="1"/>
  <c r="C1571" i="1"/>
  <c r="D1571" i="1"/>
  <c r="B1775" i="1"/>
  <c r="C1775" i="1"/>
  <c r="D1775" i="1"/>
  <c r="B1981" i="1"/>
  <c r="C1981" i="1"/>
  <c r="D1981" i="1"/>
  <c r="B117" i="1"/>
  <c r="C117" i="1"/>
  <c r="D117" i="1"/>
  <c r="B312" i="1"/>
  <c r="C312" i="1"/>
  <c r="D312" i="1"/>
  <c r="B506" i="1"/>
  <c r="C506" i="1"/>
  <c r="D506" i="1"/>
  <c r="B715" i="1"/>
  <c r="C715" i="1"/>
  <c r="D715" i="1"/>
  <c r="B931" i="1"/>
  <c r="C931" i="1"/>
  <c r="D931" i="1"/>
  <c r="B1148" i="1"/>
  <c r="C1148" i="1"/>
  <c r="D1148" i="1"/>
  <c r="B1362" i="1"/>
  <c r="C1362" i="1"/>
  <c r="D1362" i="1"/>
  <c r="B1572" i="1"/>
  <c r="C1572" i="1"/>
  <c r="D1572" i="1"/>
  <c r="B1776" i="1"/>
  <c r="C1776" i="1"/>
  <c r="D1776" i="1"/>
  <c r="B1982" i="1"/>
  <c r="C1982" i="1"/>
  <c r="D1982" i="1"/>
  <c r="B118" i="1"/>
  <c r="C118" i="1"/>
  <c r="D118" i="1"/>
  <c r="B313" i="1"/>
  <c r="C313" i="1"/>
  <c r="D313" i="1"/>
  <c r="B507" i="1"/>
  <c r="C507" i="1"/>
  <c r="D507" i="1"/>
  <c r="B716" i="1"/>
  <c r="C716" i="1"/>
  <c r="D716" i="1"/>
  <c r="B932" i="1"/>
  <c r="C932" i="1"/>
  <c r="D932" i="1"/>
  <c r="B1149" i="1"/>
  <c r="C1149" i="1"/>
  <c r="D1149" i="1"/>
  <c r="B1363" i="1"/>
  <c r="C1363" i="1"/>
  <c r="D1363" i="1"/>
  <c r="B1573" i="1"/>
  <c r="C1573" i="1"/>
  <c r="D1573" i="1"/>
  <c r="B1777" i="1"/>
  <c r="C1777" i="1"/>
  <c r="D1777" i="1"/>
  <c r="B1983" i="1"/>
  <c r="C1983" i="1"/>
  <c r="D1983" i="1"/>
  <c r="B119" i="1"/>
  <c r="C119" i="1"/>
  <c r="D119" i="1"/>
  <c r="B314" i="1"/>
  <c r="C314" i="1"/>
  <c r="D314" i="1"/>
  <c r="B508" i="1"/>
  <c r="C508" i="1"/>
  <c r="D508" i="1"/>
  <c r="B717" i="1"/>
  <c r="C717" i="1"/>
  <c r="D717" i="1"/>
  <c r="B933" i="1"/>
  <c r="C933" i="1"/>
  <c r="D933" i="1"/>
  <c r="B1150" i="1"/>
  <c r="C1150" i="1"/>
  <c r="D1150" i="1"/>
  <c r="B1364" i="1"/>
  <c r="C1364" i="1"/>
  <c r="D1364" i="1"/>
  <c r="B1574" i="1"/>
  <c r="C1574" i="1"/>
  <c r="D1574" i="1"/>
  <c r="B1778" i="1"/>
  <c r="C1778" i="1"/>
  <c r="D1778" i="1"/>
  <c r="B1984" i="1"/>
  <c r="C1984" i="1"/>
  <c r="D1984" i="1"/>
  <c r="B120" i="1"/>
  <c r="C120" i="1"/>
  <c r="D120" i="1"/>
  <c r="B315" i="1"/>
  <c r="C315" i="1"/>
  <c r="D315" i="1"/>
  <c r="B509" i="1"/>
  <c r="C509" i="1"/>
  <c r="D509" i="1"/>
  <c r="B718" i="1"/>
  <c r="C718" i="1"/>
  <c r="D718" i="1"/>
  <c r="B934" i="1"/>
  <c r="C934" i="1"/>
  <c r="D934" i="1"/>
  <c r="B1151" i="1"/>
  <c r="C1151" i="1"/>
  <c r="D1151" i="1"/>
  <c r="B1365" i="1"/>
  <c r="C1365" i="1"/>
  <c r="D1365" i="1"/>
  <c r="B1575" i="1"/>
  <c r="C1575" i="1"/>
  <c r="D1575" i="1"/>
  <c r="B1779" i="1"/>
  <c r="C1779" i="1"/>
  <c r="D1779" i="1"/>
  <c r="B1985" i="1"/>
  <c r="C1985" i="1"/>
  <c r="D1985" i="1"/>
  <c r="B121" i="1"/>
  <c r="C121" i="1"/>
  <c r="D121" i="1"/>
  <c r="B316" i="1"/>
  <c r="C316" i="1"/>
  <c r="D316" i="1"/>
  <c r="B510" i="1"/>
  <c r="C510" i="1"/>
  <c r="D510" i="1"/>
  <c r="B719" i="1"/>
  <c r="C719" i="1"/>
  <c r="D719" i="1"/>
  <c r="B935" i="1"/>
  <c r="C935" i="1"/>
  <c r="D935" i="1"/>
  <c r="B1152" i="1"/>
  <c r="C1152" i="1"/>
  <c r="D1152" i="1"/>
  <c r="B1366" i="1"/>
  <c r="C1366" i="1"/>
  <c r="D1366" i="1"/>
  <c r="B1576" i="1"/>
  <c r="C1576" i="1"/>
  <c r="D1576" i="1"/>
  <c r="B1780" i="1"/>
  <c r="C1780" i="1"/>
  <c r="D1780" i="1"/>
  <c r="B1986" i="1"/>
  <c r="C1986" i="1"/>
  <c r="D1986" i="1"/>
  <c r="B122" i="1"/>
  <c r="C122" i="1"/>
  <c r="D122" i="1"/>
  <c r="B317" i="1"/>
  <c r="C317" i="1"/>
  <c r="D317" i="1"/>
  <c r="B511" i="1"/>
  <c r="C511" i="1"/>
  <c r="D511" i="1"/>
  <c r="B720" i="1"/>
  <c r="C720" i="1"/>
  <c r="D720" i="1"/>
  <c r="B936" i="1"/>
  <c r="C936" i="1"/>
  <c r="D936" i="1"/>
  <c r="B1153" i="1"/>
  <c r="C1153" i="1"/>
  <c r="D1153" i="1"/>
  <c r="B1367" i="1"/>
  <c r="C1367" i="1"/>
  <c r="D1367" i="1"/>
  <c r="B1577" i="1"/>
  <c r="C1577" i="1"/>
  <c r="D1577" i="1"/>
  <c r="B1781" i="1"/>
  <c r="C1781" i="1"/>
  <c r="D1781" i="1"/>
  <c r="B1987" i="1"/>
  <c r="C1987" i="1"/>
  <c r="D1987" i="1"/>
  <c r="B1988" i="1"/>
  <c r="C1988" i="1"/>
  <c r="D1988" i="1"/>
  <c r="B123" i="1"/>
  <c r="C123" i="1"/>
  <c r="D123" i="1"/>
  <c r="B318" i="1"/>
  <c r="C318" i="1"/>
  <c r="D318" i="1"/>
  <c r="B512" i="1"/>
  <c r="C512" i="1"/>
  <c r="D512" i="1"/>
  <c r="B721" i="1"/>
  <c r="C721" i="1"/>
  <c r="D721" i="1"/>
  <c r="B937" i="1"/>
  <c r="C937" i="1"/>
  <c r="D937" i="1"/>
  <c r="B1154" i="1"/>
  <c r="C1154" i="1"/>
  <c r="D1154" i="1"/>
  <c r="B1368" i="1"/>
  <c r="C1368" i="1"/>
  <c r="D1368" i="1"/>
  <c r="B1578" i="1"/>
  <c r="C1578" i="1"/>
  <c r="D1578" i="1"/>
  <c r="B1782" i="1"/>
  <c r="C1782" i="1"/>
  <c r="D1782" i="1"/>
  <c r="B1989" i="1"/>
  <c r="C1989" i="1"/>
  <c r="D1989" i="1"/>
  <c r="B938" i="1"/>
  <c r="C938" i="1"/>
  <c r="D938" i="1"/>
  <c r="B1155" i="1"/>
  <c r="C1155" i="1"/>
  <c r="D1155" i="1"/>
  <c r="B1369" i="1"/>
  <c r="C1369" i="1"/>
  <c r="D1369" i="1"/>
  <c r="B1579" i="1"/>
  <c r="C1579" i="1"/>
  <c r="D1579" i="1"/>
  <c r="B124" i="1"/>
  <c r="C124" i="1"/>
  <c r="D124" i="1"/>
  <c r="B319" i="1"/>
  <c r="C319" i="1"/>
  <c r="D319" i="1"/>
  <c r="B513" i="1"/>
  <c r="C513" i="1"/>
  <c r="D513" i="1"/>
  <c r="B722" i="1"/>
  <c r="C722" i="1"/>
  <c r="D722" i="1"/>
  <c r="B939" i="1"/>
  <c r="C939" i="1"/>
  <c r="D939" i="1"/>
  <c r="B1156" i="1"/>
  <c r="C1156" i="1"/>
  <c r="D1156" i="1"/>
  <c r="B1370" i="1"/>
  <c r="C1370" i="1"/>
  <c r="D1370" i="1"/>
  <c r="B1580" i="1"/>
  <c r="C1580" i="1"/>
  <c r="D1580" i="1"/>
  <c r="B1783" i="1"/>
  <c r="C1783" i="1"/>
  <c r="D1783" i="1"/>
  <c r="B1990" i="1"/>
  <c r="C1990" i="1"/>
  <c r="D1990" i="1"/>
  <c r="B125" i="1"/>
  <c r="C125" i="1"/>
  <c r="D125" i="1"/>
  <c r="B320" i="1"/>
  <c r="C320" i="1"/>
  <c r="D320" i="1"/>
  <c r="B514" i="1"/>
  <c r="C514" i="1"/>
  <c r="D514" i="1"/>
  <c r="B723" i="1"/>
  <c r="C723" i="1"/>
  <c r="D723" i="1"/>
  <c r="B940" i="1"/>
  <c r="C940" i="1"/>
  <c r="D940" i="1"/>
  <c r="B1157" i="1"/>
  <c r="C1157" i="1"/>
  <c r="D1157" i="1"/>
  <c r="B1371" i="1"/>
  <c r="C1371" i="1"/>
  <c r="D1371" i="1"/>
  <c r="B1581" i="1"/>
  <c r="C1581" i="1"/>
  <c r="D1581" i="1"/>
  <c r="B1784" i="1"/>
  <c r="C1784" i="1"/>
  <c r="D1784" i="1"/>
  <c r="B1991" i="1"/>
  <c r="C1991" i="1"/>
  <c r="D1991" i="1"/>
  <c r="B515" i="1"/>
  <c r="C515" i="1"/>
  <c r="D515" i="1"/>
  <c r="B724" i="1"/>
  <c r="C724" i="1"/>
  <c r="D724" i="1"/>
  <c r="B941" i="1"/>
  <c r="C941" i="1"/>
  <c r="D941" i="1"/>
  <c r="B1158" i="1"/>
  <c r="C1158" i="1"/>
  <c r="D1158" i="1"/>
  <c r="B1372" i="1"/>
  <c r="C1372" i="1"/>
  <c r="D1372" i="1"/>
  <c r="B1582" i="1"/>
  <c r="C1582" i="1"/>
  <c r="D1582" i="1"/>
  <c r="B1785" i="1"/>
  <c r="C1785" i="1"/>
  <c r="D1785" i="1"/>
  <c r="B1992" i="1"/>
  <c r="C1992" i="1"/>
  <c r="D1992" i="1"/>
  <c r="B126" i="1"/>
  <c r="C126" i="1"/>
  <c r="D126" i="1"/>
  <c r="B321" i="1"/>
  <c r="C321" i="1"/>
  <c r="D321" i="1"/>
  <c r="B516" i="1"/>
  <c r="C516" i="1"/>
  <c r="D516" i="1"/>
  <c r="B725" i="1"/>
  <c r="C725" i="1"/>
  <c r="D725" i="1"/>
  <c r="B942" i="1"/>
  <c r="C942" i="1"/>
  <c r="D942" i="1"/>
  <c r="B1159" i="1"/>
  <c r="C1159" i="1"/>
  <c r="D1159" i="1"/>
  <c r="B1373" i="1"/>
  <c r="C1373" i="1"/>
  <c r="D1373" i="1"/>
  <c r="B1583" i="1"/>
  <c r="C1583" i="1"/>
  <c r="D1583" i="1"/>
  <c r="B1786" i="1"/>
  <c r="C1786" i="1"/>
  <c r="D1786" i="1"/>
  <c r="B1993" i="1"/>
  <c r="C1993" i="1"/>
  <c r="D1993" i="1"/>
  <c r="B127" i="1"/>
  <c r="C127" i="1"/>
  <c r="D127" i="1"/>
  <c r="B322" i="1"/>
  <c r="C322" i="1"/>
  <c r="D322" i="1"/>
  <c r="B517" i="1"/>
  <c r="C517" i="1"/>
  <c r="D517" i="1"/>
  <c r="B726" i="1"/>
  <c r="C726" i="1"/>
  <c r="D726" i="1"/>
  <c r="B943" i="1"/>
  <c r="C943" i="1"/>
  <c r="D943" i="1"/>
  <c r="B1160" i="1"/>
  <c r="C1160" i="1"/>
  <c r="D1160" i="1"/>
  <c r="B1374" i="1"/>
  <c r="C1374" i="1"/>
  <c r="D1374" i="1"/>
  <c r="B1584" i="1"/>
  <c r="C1584" i="1"/>
  <c r="D1584" i="1"/>
  <c r="B1787" i="1"/>
  <c r="C1787" i="1"/>
  <c r="D1787" i="1"/>
  <c r="B1994" i="1"/>
  <c r="C1994" i="1"/>
  <c r="D1994" i="1"/>
  <c r="B128" i="1"/>
  <c r="C128" i="1"/>
  <c r="D128" i="1"/>
  <c r="B323" i="1"/>
  <c r="C323" i="1"/>
  <c r="D323" i="1"/>
  <c r="B518" i="1"/>
  <c r="C518" i="1"/>
  <c r="D518" i="1"/>
  <c r="B727" i="1"/>
  <c r="C727" i="1"/>
  <c r="D727" i="1"/>
  <c r="B944" i="1"/>
  <c r="C944" i="1"/>
  <c r="D944" i="1"/>
  <c r="B1161" i="1"/>
  <c r="C1161" i="1"/>
  <c r="D1161" i="1"/>
  <c r="B1375" i="1"/>
  <c r="C1375" i="1"/>
  <c r="D1375" i="1"/>
  <c r="B1585" i="1"/>
  <c r="C1585" i="1"/>
  <c r="D1585" i="1"/>
  <c r="B1788" i="1"/>
  <c r="C1788" i="1"/>
  <c r="D1788" i="1"/>
  <c r="B1995" i="1"/>
  <c r="C1995" i="1"/>
  <c r="D1995" i="1"/>
  <c r="B129" i="1"/>
  <c r="C129" i="1"/>
  <c r="D129" i="1"/>
  <c r="B324" i="1"/>
  <c r="C324" i="1"/>
  <c r="D324" i="1"/>
  <c r="B519" i="1"/>
  <c r="C519" i="1"/>
  <c r="D519" i="1"/>
  <c r="B728" i="1"/>
  <c r="C728" i="1"/>
  <c r="D728" i="1"/>
  <c r="B945" i="1"/>
  <c r="C945" i="1"/>
  <c r="D945" i="1"/>
  <c r="B1162" i="1"/>
  <c r="C1162" i="1"/>
  <c r="D1162" i="1"/>
  <c r="B1376" i="1"/>
  <c r="C1376" i="1"/>
  <c r="D1376" i="1"/>
  <c r="B1586" i="1"/>
  <c r="C1586" i="1"/>
  <c r="D1586" i="1"/>
  <c r="B1789" i="1"/>
  <c r="C1789" i="1"/>
  <c r="D1789" i="1"/>
  <c r="B1996" i="1"/>
  <c r="C1996" i="1"/>
  <c r="D1996" i="1"/>
  <c r="B130" i="1"/>
  <c r="C130" i="1"/>
  <c r="D130" i="1"/>
  <c r="B325" i="1"/>
  <c r="C325" i="1"/>
  <c r="D325" i="1"/>
  <c r="B520" i="1"/>
  <c r="C520" i="1"/>
  <c r="D520" i="1"/>
  <c r="B729" i="1"/>
  <c r="C729" i="1"/>
  <c r="D729" i="1"/>
  <c r="B946" i="1"/>
  <c r="C946" i="1"/>
  <c r="D946" i="1"/>
  <c r="B1163" i="1"/>
  <c r="C1163" i="1"/>
  <c r="D1163" i="1"/>
  <c r="B1377" i="1"/>
  <c r="C1377" i="1"/>
  <c r="D1377" i="1"/>
  <c r="B1587" i="1"/>
  <c r="C1587" i="1"/>
  <c r="D1587" i="1"/>
  <c r="B1790" i="1"/>
  <c r="C1790" i="1"/>
  <c r="D1790" i="1"/>
  <c r="B1997" i="1"/>
  <c r="C1997" i="1"/>
  <c r="D1997" i="1"/>
  <c r="B131" i="1"/>
  <c r="C131" i="1"/>
  <c r="D131" i="1"/>
  <c r="B326" i="1"/>
  <c r="C326" i="1"/>
  <c r="D326" i="1"/>
  <c r="B521" i="1"/>
  <c r="C521" i="1"/>
  <c r="D521" i="1"/>
  <c r="B730" i="1"/>
  <c r="C730" i="1"/>
  <c r="D730" i="1"/>
  <c r="B947" i="1"/>
  <c r="C947" i="1"/>
  <c r="D947" i="1"/>
  <c r="B1164" i="1"/>
  <c r="C1164" i="1"/>
  <c r="D1164" i="1"/>
  <c r="B1378" i="1"/>
  <c r="C1378" i="1"/>
  <c r="D1378" i="1"/>
  <c r="B1588" i="1"/>
  <c r="C1588" i="1"/>
  <c r="D1588" i="1"/>
  <c r="B1791" i="1"/>
  <c r="C1791" i="1"/>
  <c r="D1791" i="1"/>
  <c r="B1998" i="1"/>
  <c r="C1998" i="1"/>
  <c r="D1998" i="1"/>
  <c r="B1165" i="1"/>
  <c r="C1165" i="1"/>
  <c r="D1165" i="1"/>
  <c r="B1379" i="1"/>
  <c r="C1379" i="1"/>
  <c r="D1379" i="1"/>
  <c r="B132" i="1"/>
  <c r="C132" i="1"/>
  <c r="D132" i="1"/>
  <c r="B327" i="1"/>
  <c r="C327" i="1"/>
  <c r="D327" i="1"/>
  <c r="B522" i="1"/>
  <c r="C522" i="1"/>
  <c r="D522" i="1"/>
  <c r="B731" i="1"/>
  <c r="C731" i="1"/>
  <c r="D731" i="1"/>
  <c r="B948" i="1"/>
  <c r="C948" i="1"/>
  <c r="D948" i="1"/>
  <c r="B1166" i="1"/>
  <c r="C1166" i="1"/>
  <c r="D1166" i="1"/>
  <c r="B1380" i="1"/>
  <c r="C1380" i="1"/>
  <c r="D1380" i="1"/>
  <c r="B1589" i="1"/>
  <c r="C1589" i="1"/>
  <c r="D1589" i="1"/>
  <c r="B1792" i="1"/>
  <c r="C1792" i="1"/>
  <c r="D1792" i="1"/>
  <c r="B1999" i="1"/>
  <c r="C1999" i="1"/>
  <c r="D1999" i="1"/>
  <c r="B133" i="1"/>
  <c r="C133" i="1"/>
  <c r="D133" i="1"/>
  <c r="B328" i="1"/>
  <c r="C328" i="1"/>
  <c r="D328" i="1"/>
  <c r="B523" i="1"/>
  <c r="C523" i="1"/>
  <c r="D523" i="1"/>
  <c r="B732" i="1"/>
  <c r="C732" i="1"/>
  <c r="D732" i="1"/>
  <c r="B949" i="1"/>
  <c r="C949" i="1"/>
  <c r="D949" i="1"/>
  <c r="B1167" i="1"/>
  <c r="C1167" i="1"/>
  <c r="D1167" i="1"/>
  <c r="B1381" i="1"/>
  <c r="C1381" i="1"/>
  <c r="D1381" i="1"/>
  <c r="B1590" i="1"/>
  <c r="C1590" i="1"/>
  <c r="D1590" i="1"/>
  <c r="B1793" i="1"/>
  <c r="C1793" i="1"/>
  <c r="D1793" i="1"/>
  <c r="B2000" i="1"/>
  <c r="C2000" i="1"/>
  <c r="D2000" i="1"/>
  <c r="B134" i="1"/>
  <c r="C134" i="1"/>
  <c r="D134" i="1"/>
  <c r="B329" i="1"/>
  <c r="C329" i="1"/>
  <c r="D329" i="1"/>
  <c r="B524" i="1"/>
  <c r="C524" i="1"/>
  <c r="D524" i="1"/>
  <c r="B733" i="1"/>
  <c r="C733" i="1"/>
  <c r="D733" i="1"/>
  <c r="B950" i="1"/>
  <c r="C950" i="1"/>
  <c r="D950" i="1"/>
  <c r="B1168" i="1"/>
  <c r="C1168" i="1"/>
  <c r="D1168" i="1"/>
  <c r="B1382" i="1"/>
  <c r="C1382" i="1"/>
  <c r="D1382" i="1"/>
  <c r="B1591" i="1"/>
  <c r="C1591" i="1"/>
  <c r="D1591" i="1"/>
  <c r="B1794" i="1"/>
  <c r="C1794" i="1"/>
  <c r="D1794" i="1"/>
  <c r="B2001" i="1"/>
  <c r="C2001" i="1"/>
  <c r="D2001" i="1"/>
  <c r="B135" i="1"/>
  <c r="C135" i="1"/>
  <c r="D135" i="1"/>
  <c r="B330" i="1"/>
  <c r="C330" i="1"/>
  <c r="D330" i="1"/>
  <c r="B525" i="1"/>
  <c r="C525" i="1"/>
  <c r="D525" i="1"/>
  <c r="B734" i="1"/>
  <c r="C734" i="1"/>
  <c r="D734" i="1"/>
  <c r="B951" i="1"/>
  <c r="C951" i="1"/>
  <c r="D951" i="1"/>
  <c r="B1169" i="1"/>
  <c r="C1169" i="1"/>
  <c r="D1169" i="1"/>
  <c r="B1383" i="1"/>
  <c r="C1383" i="1"/>
  <c r="D1383" i="1"/>
  <c r="B1592" i="1"/>
  <c r="C1592" i="1"/>
  <c r="D1592" i="1"/>
  <c r="B1795" i="1"/>
  <c r="C1795" i="1"/>
  <c r="D1795" i="1"/>
  <c r="B2002" i="1"/>
  <c r="C2002" i="1"/>
  <c r="D2002" i="1"/>
  <c r="B136" i="1"/>
  <c r="C136" i="1"/>
  <c r="D136" i="1"/>
  <c r="B331" i="1"/>
  <c r="C331" i="1"/>
  <c r="D331" i="1"/>
  <c r="B526" i="1"/>
  <c r="C526" i="1"/>
  <c r="D526" i="1"/>
  <c r="B735" i="1"/>
  <c r="C735" i="1"/>
  <c r="D735" i="1"/>
  <c r="B952" i="1"/>
  <c r="C952" i="1"/>
  <c r="D952" i="1"/>
  <c r="B1170" i="1"/>
  <c r="C1170" i="1"/>
  <c r="D1170" i="1"/>
  <c r="B1384" i="1"/>
  <c r="C1384" i="1"/>
  <c r="D1384" i="1"/>
  <c r="B1593" i="1"/>
  <c r="C1593" i="1"/>
  <c r="D1593" i="1"/>
  <c r="B1796" i="1"/>
  <c r="C1796" i="1"/>
  <c r="D1796" i="1"/>
  <c r="B2003" i="1"/>
  <c r="C2003" i="1"/>
  <c r="D2003" i="1"/>
  <c r="B137" i="1"/>
  <c r="C137" i="1"/>
  <c r="D137" i="1"/>
  <c r="B332" i="1"/>
  <c r="C332" i="1"/>
  <c r="D332" i="1"/>
  <c r="B527" i="1"/>
  <c r="C527" i="1"/>
  <c r="D527" i="1"/>
  <c r="B736" i="1"/>
  <c r="C736" i="1"/>
  <c r="D736" i="1"/>
  <c r="B953" i="1"/>
  <c r="C953" i="1"/>
  <c r="D953" i="1"/>
  <c r="B1171" i="1"/>
  <c r="C1171" i="1"/>
  <c r="D1171" i="1"/>
  <c r="B1385" i="1"/>
  <c r="C1385" i="1"/>
  <c r="D1385" i="1"/>
  <c r="B1594" i="1"/>
  <c r="C1594" i="1"/>
  <c r="D1594" i="1"/>
  <c r="B1797" i="1"/>
  <c r="C1797" i="1"/>
  <c r="D1797" i="1"/>
  <c r="B2004" i="1"/>
  <c r="C2004" i="1"/>
  <c r="D2004" i="1"/>
  <c r="B138" i="1"/>
  <c r="C138" i="1"/>
  <c r="D138" i="1"/>
  <c r="B333" i="1"/>
  <c r="C333" i="1"/>
  <c r="D333" i="1"/>
  <c r="B528" i="1"/>
  <c r="C528" i="1"/>
  <c r="D528" i="1"/>
  <c r="B737" i="1"/>
  <c r="C737" i="1"/>
  <c r="D737" i="1"/>
  <c r="B954" i="1"/>
  <c r="C954" i="1"/>
  <c r="D954" i="1"/>
  <c r="B1172" i="1"/>
  <c r="C1172" i="1"/>
  <c r="D1172" i="1"/>
  <c r="B1386" i="1"/>
  <c r="C1386" i="1"/>
  <c r="D1386" i="1"/>
  <c r="B1595" i="1"/>
  <c r="C1595" i="1"/>
  <c r="D1595" i="1"/>
  <c r="B1798" i="1"/>
  <c r="C1798" i="1"/>
  <c r="D1798" i="1"/>
  <c r="B2005" i="1"/>
  <c r="C2005" i="1"/>
  <c r="D2005" i="1"/>
  <c r="B738" i="1"/>
  <c r="C738" i="1"/>
  <c r="D738" i="1"/>
  <c r="B955" i="1"/>
  <c r="C955" i="1"/>
  <c r="D955" i="1"/>
  <c r="B1173" i="1"/>
  <c r="C1173" i="1"/>
  <c r="D1173" i="1"/>
  <c r="B1387" i="1"/>
  <c r="C1387" i="1"/>
  <c r="D1387" i="1"/>
  <c r="B1596" i="1"/>
  <c r="C1596" i="1"/>
  <c r="D1596" i="1"/>
  <c r="B1799" i="1"/>
  <c r="C1799" i="1"/>
  <c r="D1799" i="1"/>
  <c r="B139" i="1"/>
  <c r="C139" i="1"/>
  <c r="D139" i="1"/>
  <c r="B334" i="1"/>
  <c r="C334" i="1"/>
  <c r="D334" i="1"/>
  <c r="B529" i="1"/>
  <c r="C529" i="1"/>
  <c r="D529" i="1"/>
  <c r="B739" i="1"/>
  <c r="C739" i="1"/>
  <c r="D739" i="1"/>
  <c r="B956" i="1"/>
  <c r="C956" i="1"/>
  <c r="D956" i="1"/>
  <c r="B1174" i="1"/>
  <c r="C1174" i="1"/>
  <c r="D1174" i="1"/>
  <c r="B1388" i="1"/>
  <c r="C1388" i="1"/>
  <c r="D1388" i="1"/>
  <c r="B1597" i="1"/>
  <c r="C1597" i="1"/>
  <c r="D1597" i="1"/>
  <c r="B1800" i="1"/>
  <c r="C1800" i="1"/>
  <c r="D1800" i="1"/>
  <c r="B2006" i="1"/>
  <c r="C2006" i="1"/>
  <c r="D2006" i="1"/>
  <c r="B2007" i="1"/>
  <c r="C2007" i="1"/>
  <c r="D2007" i="1"/>
  <c r="B140" i="1"/>
  <c r="C140" i="1"/>
  <c r="D140" i="1"/>
  <c r="B335" i="1"/>
  <c r="C335" i="1"/>
  <c r="D335" i="1"/>
  <c r="B530" i="1"/>
  <c r="C530" i="1"/>
  <c r="D530" i="1"/>
  <c r="B740" i="1"/>
  <c r="C740" i="1"/>
  <c r="D740" i="1"/>
  <c r="B957" i="1"/>
  <c r="C957" i="1"/>
  <c r="D957" i="1"/>
  <c r="B1175" i="1"/>
  <c r="C1175" i="1"/>
  <c r="D1175" i="1"/>
  <c r="B1389" i="1"/>
  <c r="C1389" i="1"/>
  <c r="D1389" i="1"/>
  <c r="B1598" i="1"/>
  <c r="C1598" i="1"/>
  <c r="D1598" i="1"/>
  <c r="B1801" i="1"/>
  <c r="C1801" i="1"/>
  <c r="D1801" i="1"/>
  <c r="B2008" i="1"/>
  <c r="C2008" i="1"/>
  <c r="D2008" i="1"/>
  <c r="B1816" i="1"/>
  <c r="C1816" i="1"/>
  <c r="D1816" i="1"/>
  <c r="B741" i="1"/>
  <c r="C741" i="1"/>
  <c r="D741" i="1"/>
  <c r="B958" i="1"/>
  <c r="C958" i="1"/>
  <c r="D958" i="1"/>
  <c r="B1176" i="1"/>
  <c r="C1176" i="1"/>
  <c r="D1176" i="1"/>
  <c r="B1390" i="1"/>
  <c r="C1390" i="1"/>
  <c r="D1390" i="1"/>
  <c r="B1599" i="1"/>
  <c r="C1599" i="1"/>
  <c r="D1599" i="1"/>
  <c r="B1802" i="1"/>
  <c r="C1802" i="1"/>
  <c r="D1802" i="1"/>
  <c r="B2009" i="1"/>
  <c r="C2009" i="1"/>
  <c r="D2009" i="1"/>
  <c r="B141" i="1"/>
  <c r="C141" i="1"/>
  <c r="D141" i="1"/>
  <c r="B336" i="1"/>
  <c r="C336" i="1"/>
  <c r="D336" i="1"/>
  <c r="B531" i="1"/>
  <c r="C531" i="1"/>
  <c r="D531" i="1"/>
  <c r="B742" i="1"/>
  <c r="C742" i="1"/>
  <c r="D742" i="1"/>
  <c r="B959" i="1"/>
  <c r="C959" i="1"/>
  <c r="D959" i="1"/>
  <c r="B1177" i="1"/>
  <c r="C1177" i="1"/>
  <c r="D1177" i="1"/>
  <c r="B1391" i="1"/>
  <c r="C1391" i="1"/>
  <c r="D1391" i="1"/>
  <c r="B1600" i="1"/>
  <c r="C1600" i="1"/>
  <c r="D1600" i="1"/>
  <c r="B1803" i="1"/>
  <c r="C1803" i="1"/>
  <c r="D1803" i="1"/>
  <c r="B2010" i="1"/>
  <c r="C2010" i="1"/>
  <c r="D2010" i="1"/>
  <c r="B142" i="1"/>
  <c r="C142" i="1"/>
  <c r="D142" i="1"/>
  <c r="B337" i="1"/>
  <c r="C337" i="1"/>
  <c r="D337" i="1"/>
  <c r="B532" i="1"/>
  <c r="C532" i="1"/>
  <c r="D532" i="1"/>
  <c r="B743" i="1"/>
  <c r="C743" i="1"/>
  <c r="D743" i="1"/>
  <c r="B960" i="1"/>
  <c r="C960" i="1"/>
  <c r="D960" i="1"/>
  <c r="B1178" i="1"/>
  <c r="C1178" i="1"/>
  <c r="D1178" i="1"/>
  <c r="B1392" i="1"/>
  <c r="C1392" i="1"/>
  <c r="D1392" i="1"/>
  <c r="B1601" i="1"/>
  <c r="C1601" i="1"/>
  <c r="D1601" i="1"/>
  <c r="B1804" i="1"/>
  <c r="C1804" i="1"/>
  <c r="D1804" i="1"/>
  <c r="B2011" i="1"/>
  <c r="C2011" i="1"/>
  <c r="D2011" i="1"/>
  <c r="B143" i="1"/>
  <c r="C143" i="1"/>
  <c r="D143" i="1"/>
  <c r="B338" i="1"/>
  <c r="C338" i="1"/>
  <c r="D338" i="1"/>
  <c r="B533" i="1"/>
  <c r="C533" i="1"/>
  <c r="D533" i="1"/>
  <c r="B2012" i="1"/>
  <c r="C2012" i="1"/>
  <c r="D2012" i="1"/>
  <c r="B1179" i="1"/>
  <c r="C1179" i="1"/>
  <c r="D1179" i="1"/>
  <c r="B1393" i="1"/>
  <c r="C1393" i="1"/>
  <c r="D1393" i="1"/>
  <c r="B1602" i="1"/>
  <c r="C1602" i="1"/>
  <c r="D1602" i="1"/>
  <c r="B1805" i="1"/>
  <c r="C1805" i="1"/>
  <c r="D1805" i="1"/>
  <c r="B2013" i="1"/>
  <c r="C2013" i="1"/>
  <c r="D2013" i="1"/>
  <c r="B144" i="1"/>
  <c r="C144" i="1"/>
  <c r="D144" i="1"/>
  <c r="B339" i="1"/>
  <c r="C339" i="1"/>
  <c r="D339" i="1"/>
  <c r="B534" i="1"/>
  <c r="C534" i="1"/>
  <c r="D534" i="1"/>
  <c r="B744" i="1"/>
  <c r="C744" i="1"/>
  <c r="D744" i="1"/>
  <c r="B961" i="1"/>
  <c r="C961" i="1"/>
  <c r="D961" i="1"/>
  <c r="B1180" i="1"/>
  <c r="C1180" i="1"/>
  <c r="D1180" i="1"/>
  <c r="B1394" i="1"/>
  <c r="C1394" i="1"/>
  <c r="D1394" i="1"/>
  <c r="B1603" i="1"/>
  <c r="C1603" i="1"/>
  <c r="D1603" i="1"/>
  <c r="B1806" i="1"/>
  <c r="C1806" i="1"/>
  <c r="D1806" i="1"/>
  <c r="B2014" i="1"/>
  <c r="C2014" i="1"/>
  <c r="D2014" i="1"/>
  <c r="B535" i="1"/>
  <c r="C535" i="1"/>
  <c r="D535" i="1"/>
  <c r="B745" i="1"/>
  <c r="C745" i="1"/>
  <c r="D745" i="1"/>
  <c r="B962" i="1"/>
  <c r="C962" i="1"/>
  <c r="D962" i="1"/>
  <c r="B1181" i="1"/>
  <c r="C1181" i="1"/>
  <c r="D1181" i="1"/>
  <c r="B1395" i="1"/>
  <c r="C1395" i="1"/>
  <c r="D1395" i="1"/>
  <c r="B1604" i="1"/>
  <c r="C1604" i="1"/>
  <c r="D1604" i="1"/>
  <c r="B1807" i="1"/>
  <c r="C1807" i="1"/>
  <c r="D1807" i="1"/>
  <c r="B2015" i="1"/>
  <c r="C2015" i="1"/>
  <c r="D2015" i="1"/>
  <c r="B963" i="1"/>
  <c r="C963" i="1"/>
  <c r="D963" i="1"/>
  <c r="B1182" i="1"/>
  <c r="C1182" i="1"/>
  <c r="D1182" i="1"/>
  <c r="B1396" i="1"/>
  <c r="C1396" i="1"/>
  <c r="D1396" i="1"/>
  <c r="B1605" i="1"/>
  <c r="C1605" i="1"/>
  <c r="D1605" i="1"/>
  <c r="B1808" i="1"/>
  <c r="C1808" i="1"/>
  <c r="D1808" i="1"/>
  <c r="B2016" i="1"/>
  <c r="C2016" i="1"/>
  <c r="D2016" i="1"/>
  <c r="B145" i="1"/>
  <c r="C145" i="1"/>
  <c r="D145" i="1"/>
  <c r="B340" i="1"/>
  <c r="C340" i="1"/>
  <c r="D340" i="1"/>
  <c r="B536" i="1"/>
  <c r="C536" i="1"/>
  <c r="D536" i="1"/>
  <c r="B746" i="1"/>
  <c r="C746" i="1"/>
  <c r="D746" i="1"/>
  <c r="B964" i="1"/>
  <c r="C964" i="1"/>
  <c r="D964" i="1"/>
  <c r="B1183" i="1"/>
  <c r="C1183" i="1"/>
  <c r="D1183" i="1"/>
  <c r="B1397" i="1"/>
  <c r="C1397" i="1"/>
  <c r="D1397" i="1"/>
  <c r="B1606" i="1"/>
  <c r="C1606" i="1"/>
  <c r="D1606" i="1"/>
  <c r="B1809" i="1"/>
  <c r="C1809" i="1"/>
  <c r="D1809" i="1"/>
  <c r="B146" i="1"/>
  <c r="C146" i="1"/>
  <c r="D146" i="1"/>
  <c r="B341" i="1"/>
  <c r="C341" i="1"/>
  <c r="D341" i="1"/>
  <c r="B537" i="1"/>
  <c r="C537" i="1"/>
  <c r="D537" i="1"/>
  <c r="B747" i="1"/>
  <c r="C747" i="1"/>
  <c r="D747" i="1"/>
  <c r="B965" i="1"/>
  <c r="C965" i="1"/>
  <c r="D965" i="1"/>
  <c r="B1184" i="1"/>
  <c r="C1184" i="1"/>
  <c r="D1184" i="1"/>
  <c r="B1398" i="1"/>
  <c r="C1398" i="1"/>
  <c r="D1398" i="1"/>
  <c r="B1607" i="1"/>
  <c r="C1607" i="1"/>
  <c r="D1607" i="1"/>
  <c r="B1810" i="1"/>
  <c r="C1810" i="1"/>
  <c r="D1810" i="1"/>
  <c r="B2017" i="1"/>
  <c r="C2017" i="1"/>
  <c r="D2017" i="1"/>
  <c r="B147" i="1"/>
  <c r="C147" i="1"/>
  <c r="D147" i="1"/>
  <c r="B342" i="1"/>
  <c r="C342" i="1"/>
  <c r="D342" i="1"/>
  <c r="B538" i="1"/>
  <c r="C538" i="1"/>
  <c r="D538" i="1"/>
  <c r="B748" i="1"/>
  <c r="C748" i="1"/>
  <c r="D748" i="1"/>
  <c r="B966" i="1"/>
  <c r="C966" i="1"/>
  <c r="D966" i="1"/>
  <c r="B1185" i="1"/>
  <c r="C1185" i="1"/>
  <c r="D1185" i="1"/>
  <c r="B1399" i="1"/>
  <c r="C1399" i="1"/>
  <c r="D1399" i="1"/>
  <c r="B1608" i="1"/>
  <c r="C1608" i="1"/>
  <c r="D1608" i="1"/>
  <c r="B1811" i="1"/>
  <c r="C1811" i="1"/>
  <c r="D1811" i="1"/>
  <c r="B2018" i="1"/>
  <c r="C2018" i="1"/>
  <c r="D2018" i="1"/>
  <c r="B148" i="1"/>
  <c r="C148" i="1"/>
  <c r="D148" i="1"/>
  <c r="B343" i="1"/>
  <c r="C343" i="1"/>
  <c r="D343" i="1"/>
  <c r="B149" i="1"/>
  <c r="C149" i="1"/>
  <c r="D149" i="1"/>
  <c r="B344" i="1"/>
  <c r="C344" i="1"/>
  <c r="D344" i="1"/>
  <c r="B539" i="1"/>
  <c r="C539" i="1"/>
  <c r="D539" i="1"/>
  <c r="B749" i="1"/>
  <c r="C749" i="1"/>
  <c r="D749" i="1"/>
  <c r="B967" i="1"/>
  <c r="C967" i="1"/>
  <c r="D967" i="1"/>
  <c r="B1186" i="1"/>
  <c r="C1186" i="1"/>
  <c r="D1186" i="1"/>
  <c r="B1400" i="1"/>
  <c r="C1400" i="1"/>
  <c r="D1400" i="1"/>
  <c r="B1609" i="1"/>
  <c r="C1609" i="1"/>
  <c r="D1609" i="1"/>
  <c r="B1812" i="1"/>
  <c r="C1812" i="1"/>
  <c r="D1812" i="1"/>
  <c r="B2019" i="1"/>
  <c r="C2019" i="1"/>
  <c r="D2019" i="1"/>
  <c r="B150" i="1"/>
  <c r="C150" i="1"/>
  <c r="D150" i="1"/>
  <c r="B345" i="1"/>
  <c r="C345" i="1"/>
  <c r="D345" i="1"/>
  <c r="B540" i="1"/>
  <c r="C540" i="1"/>
  <c r="D540" i="1"/>
  <c r="B750" i="1"/>
  <c r="C750" i="1"/>
  <c r="D750" i="1"/>
  <c r="B968" i="1"/>
  <c r="C968" i="1"/>
  <c r="D968" i="1"/>
  <c r="B1187" i="1"/>
  <c r="C1187" i="1"/>
  <c r="D1187" i="1"/>
  <c r="B1401" i="1"/>
  <c r="C1401" i="1"/>
  <c r="D1401" i="1"/>
  <c r="B1610" i="1"/>
  <c r="C1610" i="1"/>
  <c r="D1610" i="1"/>
  <c r="B1813" i="1"/>
  <c r="C1813" i="1"/>
  <c r="D1813" i="1"/>
  <c r="B2020" i="1"/>
  <c r="C2020" i="1"/>
  <c r="D2020" i="1"/>
  <c r="B151" i="1"/>
  <c r="C151" i="1"/>
  <c r="D151" i="1"/>
  <c r="B346" i="1"/>
  <c r="C346" i="1"/>
  <c r="D346" i="1"/>
  <c r="B541" i="1"/>
  <c r="C541" i="1"/>
  <c r="D541" i="1"/>
  <c r="B751" i="1"/>
  <c r="C751" i="1"/>
  <c r="D751" i="1"/>
  <c r="B969" i="1"/>
  <c r="C969" i="1"/>
  <c r="D969" i="1"/>
  <c r="B1188" i="1"/>
  <c r="C1188" i="1"/>
  <c r="D1188" i="1"/>
  <c r="B1402" i="1"/>
  <c r="C1402" i="1"/>
  <c r="D1402" i="1"/>
  <c r="B1611" i="1"/>
  <c r="C1611" i="1"/>
  <c r="D1611" i="1"/>
  <c r="B152" i="1"/>
  <c r="C152" i="1"/>
  <c r="D152" i="1"/>
  <c r="B347" i="1"/>
  <c r="C347" i="1"/>
  <c r="D347" i="1"/>
  <c r="B542" i="1"/>
  <c r="C542" i="1"/>
  <c r="D542" i="1"/>
  <c r="B752" i="1"/>
  <c r="C752" i="1"/>
  <c r="D752" i="1"/>
  <c r="B970" i="1"/>
  <c r="C970" i="1"/>
  <c r="D970" i="1"/>
  <c r="B1189" i="1"/>
  <c r="C1189" i="1"/>
  <c r="D1189" i="1"/>
  <c r="B1403" i="1"/>
  <c r="C1403" i="1"/>
  <c r="D1403" i="1"/>
  <c r="B1612" i="1"/>
  <c r="C1612" i="1"/>
  <c r="D1612" i="1"/>
  <c r="B1814" i="1"/>
  <c r="C1814" i="1"/>
  <c r="D1814" i="1"/>
  <c r="B2021" i="1"/>
  <c r="C2021" i="1"/>
  <c r="D2021" i="1"/>
  <c r="B153" i="1"/>
  <c r="C153" i="1"/>
  <c r="D153" i="1"/>
  <c r="B348" i="1"/>
  <c r="C348" i="1"/>
  <c r="D348" i="1"/>
  <c r="B543" i="1"/>
  <c r="C543" i="1"/>
  <c r="D543" i="1"/>
  <c r="B753" i="1"/>
  <c r="C753" i="1"/>
  <c r="D753" i="1"/>
  <c r="B971" i="1"/>
  <c r="C971" i="1"/>
  <c r="D971" i="1"/>
  <c r="B1190" i="1"/>
  <c r="C1190" i="1"/>
  <c r="D1190" i="1"/>
  <c r="B1404" i="1"/>
  <c r="C1404" i="1"/>
  <c r="D1404" i="1"/>
  <c r="B1613" i="1"/>
  <c r="C1613" i="1"/>
  <c r="D1613" i="1"/>
  <c r="B1815" i="1"/>
  <c r="C1815" i="1"/>
  <c r="D1815" i="1"/>
  <c r="B2022" i="1"/>
  <c r="C2022" i="1"/>
  <c r="D2022" i="1"/>
  <c r="B2023" i="1"/>
  <c r="C2023" i="1"/>
  <c r="D2023" i="1"/>
  <c r="B154" i="1"/>
  <c r="C154" i="1"/>
  <c r="D154" i="1"/>
  <c r="B349" i="1"/>
  <c r="C349" i="1"/>
  <c r="D349" i="1"/>
  <c r="B544" i="1"/>
  <c r="C544" i="1"/>
  <c r="D544" i="1"/>
  <c r="B754" i="1"/>
  <c r="C754" i="1"/>
  <c r="D754" i="1"/>
  <c r="B972" i="1"/>
  <c r="C972" i="1"/>
  <c r="D972" i="1"/>
  <c r="B1191" i="1"/>
  <c r="C1191" i="1"/>
  <c r="D1191" i="1"/>
  <c r="B1405" i="1"/>
  <c r="C1405" i="1"/>
  <c r="D1405" i="1"/>
  <c r="B1614" i="1"/>
  <c r="C1614" i="1"/>
  <c r="D1614" i="1"/>
  <c r="B155" i="1"/>
  <c r="C155" i="1"/>
  <c r="D155" i="1"/>
  <c r="B350" i="1"/>
  <c r="C350" i="1"/>
  <c r="D350" i="1"/>
  <c r="B545" i="1"/>
  <c r="C545" i="1"/>
  <c r="D545" i="1"/>
  <c r="B755" i="1"/>
  <c r="C755" i="1"/>
  <c r="D755" i="1"/>
  <c r="B973" i="1"/>
  <c r="C973" i="1"/>
  <c r="D973" i="1"/>
  <c r="B1192" i="1"/>
  <c r="C1192" i="1"/>
  <c r="D1192" i="1"/>
  <c r="B1406" i="1"/>
  <c r="C1406" i="1"/>
  <c r="D1406" i="1"/>
  <c r="B1615" i="1"/>
  <c r="C1615" i="1"/>
  <c r="D1615" i="1"/>
  <c r="B1817" i="1"/>
  <c r="C1817" i="1"/>
  <c r="D1817" i="1"/>
  <c r="B2024" i="1"/>
  <c r="C2024" i="1"/>
  <c r="D2024" i="1"/>
  <c r="B156" i="1"/>
  <c r="C156" i="1"/>
  <c r="D156" i="1"/>
  <c r="B351" i="1"/>
  <c r="C351" i="1"/>
  <c r="D351" i="1"/>
  <c r="B546" i="1"/>
  <c r="C546" i="1"/>
  <c r="D546" i="1"/>
  <c r="B756" i="1"/>
  <c r="C756" i="1"/>
  <c r="D756" i="1"/>
  <c r="B974" i="1"/>
  <c r="C974" i="1"/>
  <c r="D974" i="1"/>
  <c r="B1193" i="1"/>
  <c r="C1193" i="1"/>
  <c r="D1193" i="1"/>
  <c r="B1407" i="1"/>
  <c r="C1407" i="1"/>
  <c r="D1407" i="1"/>
  <c r="B1616" i="1"/>
  <c r="C1616" i="1"/>
  <c r="D1616" i="1"/>
  <c r="B1818" i="1"/>
  <c r="C1818" i="1"/>
  <c r="D1818" i="1"/>
  <c r="B2025" i="1"/>
  <c r="C2025" i="1"/>
  <c r="D2025" i="1"/>
  <c r="B157" i="1"/>
  <c r="C157" i="1"/>
  <c r="D157" i="1"/>
  <c r="B352" i="1"/>
  <c r="C352" i="1"/>
  <c r="D352" i="1"/>
  <c r="B547" i="1"/>
  <c r="C547" i="1"/>
  <c r="D547" i="1"/>
  <c r="B757" i="1"/>
  <c r="C757" i="1"/>
  <c r="D757" i="1"/>
  <c r="B975" i="1"/>
  <c r="C975" i="1"/>
  <c r="D975" i="1"/>
  <c r="B1194" i="1"/>
  <c r="C1194" i="1"/>
  <c r="D1194" i="1"/>
  <c r="B1408" i="1"/>
  <c r="C1408" i="1"/>
  <c r="D1408" i="1"/>
  <c r="B1617" i="1"/>
  <c r="C1617" i="1"/>
  <c r="D1617" i="1"/>
  <c r="B1819" i="1"/>
  <c r="C1819" i="1"/>
  <c r="D1819" i="1"/>
  <c r="B2026" i="1"/>
  <c r="C2026" i="1"/>
  <c r="D2026" i="1"/>
  <c r="B1195" i="1"/>
  <c r="C1195" i="1"/>
  <c r="D1195" i="1"/>
  <c r="B1409" i="1"/>
  <c r="C1409" i="1"/>
  <c r="D1409" i="1"/>
  <c r="B1618" i="1"/>
  <c r="C1618" i="1"/>
  <c r="D1618" i="1"/>
  <c r="B1820" i="1"/>
  <c r="C1820" i="1"/>
  <c r="D1820" i="1"/>
  <c r="B2027" i="1"/>
  <c r="C2027" i="1"/>
  <c r="D2027" i="1"/>
  <c r="B158" i="1"/>
  <c r="C158" i="1"/>
  <c r="D158" i="1"/>
  <c r="B353" i="1"/>
  <c r="C353" i="1"/>
  <c r="D353" i="1"/>
  <c r="B548" i="1"/>
  <c r="C548" i="1"/>
  <c r="D548" i="1"/>
  <c r="B758" i="1"/>
  <c r="C758" i="1"/>
  <c r="D758" i="1"/>
  <c r="B976" i="1"/>
  <c r="C976" i="1"/>
  <c r="D976" i="1"/>
  <c r="B1196" i="1"/>
  <c r="C1196" i="1"/>
  <c r="D1196" i="1"/>
  <c r="B1410" i="1"/>
  <c r="C1410" i="1"/>
  <c r="D1410" i="1"/>
  <c r="B1619" i="1"/>
  <c r="C1619" i="1"/>
  <c r="D1619" i="1"/>
  <c r="B159" i="1"/>
  <c r="C159" i="1"/>
  <c r="D159" i="1"/>
  <c r="B354" i="1"/>
  <c r="C354" i="1"/>
  <c r="D354" i="1"/>
  <c r="B549" i="1"/>
  <c r="C549" i="1"/>
  <c r="D549" i="1"/>
  <c r="B759" i="1"/>
  <c r="C759" i="1"/>
  <c r="D759" i="1"/>
  <c r="B977" i="1"/>
  <c r="C977" i="1"/>
  <c r="D977" i="1"/>
  <c r="B1197" i="1"/>
  <c r="C1197" i="1"/>
  <c r="D1197" i="1"/>
  <c r="B1411" i="1"/>
  <c r="C1411" i="1"/>
  <c r="D1411" i="1"/>
  <c r="B1620" i="1"/>
  <c r="C1620" i="1"/>
  <c r="D1620" i="1"/>
  <c r="B1821" i="1"/>
  <c r="C1821" i="1"/>
  <c r="D1821" i="1"/>
  <c r="B2028" i="1"/>
  <c r="C2028" i="1"/>
  <c r="D2028" i="1"/>
  <c r="B760" i="1"/>
  <c r="C760" i="1"/>
  <c r="D760" i="1"/>
  <c r="B978" i="1"/>
  <c r="C978" i="1"/>
  <c r="D978" i="1"/>
  <c r="B1198" i="1"/>
  <c r="C1198" i="1"/>
  <c r="D1198" i="1"/>
  <c r="B1412" i="1"/>
  <c r="C1412" i="1"/>
  <c r="D1412" i="1"/>
  <c r="B1621" i="1"/>
  <c r="C1621" i="1"/>
  <c r="D1621" i="1"/>
  <c r="B1822" i="1"/>
  <c r="C1822" i="1"/>
  <c r="D1822" i="1"/>
  <c r="B2029" i="1"/>
  <c r="C2029" i="1"/>
  <c r="D2029" i="1"/>
  <c r="B160" i="1"/>
  <c r="C160" i="1"/>
  <c r="D160" i="1"/>
  <c r="B355" i="1"/>
  <c r="C355" i="1"/>
  <c r="D355" i="1"/>
  <c r="B550" i="1"/>
  <c r="C550" i="1"/>
  <c r="D550" i="1"/>
  <c r="B761" i="1"/>
  <c r="C761" i="1"/>
  <c r="D761" i="1"/>
  <c r="B979" i="1"/>
  <c r="C979" i="1"/>
  <c r="D979" i="1"/>
  <c r="B1199" i="1"/>
  <c r="C1199" i="1"/>
  <c r="D1199" i="1"/>
  <c r="B1413" i="1"/>
  <c r="C1413" i="1"/>
  <c r="D1413" i="1"/>
  <c r="B1622" i="1"/>
  <c r="C1622" i="1"/>
  <c r="D1622" i="1"/>
  <c r="B1823" i="1"/>
  <c r="C1823" i="1"/>
  <c r="D1823" i="1"/>
  <c r="B2030" i="1"/>
  <c r="C2030" i="1"/>
  <c r="D2030" i="1"/>
  <c r="B1200" i="1"/>
  <c r="C1200" i="1"/>
  <c r="D1200" i="1"/>
  <c r="B1414" i="1"/>
  <c r="C1414" i="1"/>
  <c r="D1414" i="1"/>
  <c r="B1623" i="1"/>
  <c r="C1623" i="1"/>
  <c r="D1623" i="1"/>
  <c r="B1824" i="1"/>
  <c r="C1824" i="1"/>
  <c r="D1824" i="1"/>
  <c r="B2031" i="1"/>
  <c r="C2031" i="1"/>
  <c r="D2031" i="1"/>
  <c r="B1415" i="1"/>
  <c r="C1415" i="1"/>
  <c r="D1415" i="1"/>
  <c r="B1624" i="1"/>
  <c r="C1624" i="1"/>
  <c r="D1624" i="1"/>
  <c r="B1825" i="1"/>
  <c r="C1825" i="1"/>
  <c r="D1825" i="1"/>
  <c r="B2032" i="1"/>
  <c r="C2032" i="1"/>
  <c r="D2032" i="1"/>
  <c r="B161" i="1"/>
  <c r="C161" i="1"/>
  <c r="D161" i="1"/>
  <c r="B356" i="1"/>
  <c r="C356" i="1"/>
  <c r="D356" i="1"/>
  <c r="B551" i="1"/>
  <c r="C551" i="1"/>
  <c r="D551" i="1"/>
  <c r="B762" i="1"/>
  <c r="C762" i="1"/>
  <c r="D762" i="1"/>
  <c r="B980" i="1"/>
  <c r="C980" i="1"/>
  <c r="D980" i="1"/>
  <c r="B1201" i="1"/>
  <c r="C1201" i="1"/>
  <c r="D1201" i="1"/>
  <c r="B1416" i="1"/>
  <c r="C1416" i="1"/>
  <c r="D1416" i="1"/>
  <c r="B1625" i="1"/>
  <c r="C1625" i="1"/>
  <c r="D1625" i="1"/>
  <c r="B162" i="1"/>
  <c r="C162" i="1"/>
  <c r="D162" i="1"/>
  <c r="B357" i="1"/>
  <c r="C357" i="1"/>
  <c r="D357" i="1"/>
  <c r="B552" i="1"/>
  <c r="C552" i="1"/>
  <c r="D552" i="1"/>
  <c r="B763" i="1"/>
  <c r="C763" i="1"/>
  <c r="D763" i="1"/>
  <c r="B163" i="1"/>
  <c r="C163" i="1"/>
  <c r="D163" i="1"/>
  <c r="B553" i="1"/>
  <c r="C553" i="1"/>
  <c r="D553" i="1"/>
  <c r="B764" i="1"/>
  <c r="C764" i="1"/>
  <c r="D764" i="1"/>
  <c r="B981" i="1"/>
  <c r="C981" i="1"/>
  <c r="D981" i="1"/>
  <c r="B1202" i="1"/>
  <c r="C1202" i="1"/>
  <c r="D1202" i="1"/>
  <c r="B1826" i="1"/>
  <c r="C1826" i="1"/>
  <c r="D1826" i="1"/>
  <c r="B2033" i="1"/>
  <c r="C2033" i="1"/>
  <c r="D2033" i="1"/>
  <c r="B164" i="1"/>
  <c r="C164" i="1"/>
  <c r="D164" i="1"/>
  <c r="B358" i="1"/>
  <c r="C358" i="1"/>
  <c r="D358" i="1"/>
  <c r="B554" i="1"/>
  <c r="C554" i="1"/>
  <c r="D554" i="1"/>
  <c r="B765" i="1"/>
  <c r="C765" i="1"/>
  <c r="D765" i="1"/>
  <c r="B982" i="1"/>
  <c r="C982" i="1"/>
  <c r="D982" i="1"/>
  <c r="B1203" i="1"/>
  <c r="C1203" i="1"/>
  <c r="D1203" i="1"/>
  <c r="B1417" i="1"/>
  <c r="C1417" i="1"/>
  <c r="D1417" i="1"/>
  <c r="B1626" i="1"/>
  <c r="C1626" i="1"/>
  <c r="D1626" i="1"/>
  <c r="B1827" i="1"/>
  <c r="C1827" i="1"/>
  <c r="D1827" i="1"/>
  <c r="B2034" i="1"/>
  <c r="C2034" i="1"/>
  <c r="D2034" i="1"/>
  <c r="B165" i="1"/>
  <c r="C165" i="1"/>
  <c r="D165" i="1"/>
  <c r="B359" i="1"/>
  <c r="C359" i="1"/>
  <c r="D359" i="1"/>
  <c r="B555" i="1"/>
  <c r="C555" i="1"/>
  <c r="D555" i="1"/>
  <c r="B766" i="1"/>
  <c r="C766" i="1"/>
  <c r="D766" i="1"/>
  <c r="B983" i="1"/>
  <c r="C983" i="1"/>
  <c r="D983" i="1"/>
  <c r="B1204" i="1"/>
  <c r="C1204" i="1"/>
  <c r="D1204" i="1"/>
  <c r="B1418" i="1"/>
  <c r="C1418" i="1"/>
  <c r="D1418" i="1"/>
  <c r="B1627" i="1"/>
  <c r="C1627" i="1"/>
  <c r="D1627" i="1"/>
  <c r="B1828" i="1"/>
  <c r="C1828" i="1"/>
  <c r="D1828" i="1"/>
  <c r="B2035" i="1"/>
  <c r="C2035" i="1"/>
  <c r="D2035" i="1"/>
  <c r="B767" i="1"/>
  <c r="C767" i="1"/>
  <c r="D767" i="1"/>
  <c r="B984" i="1"/>
  <c r="C984" i="1"/>
  <c r="D984" i="1"/>
  <c r="B1205" i="1"/>
  <c r="C1205" i="1"/>
  <c r="D1205" i="1"/>
  <c r="B1419" i="1"/>
  <c r="C1419" i="1"/>
  <c r="D1419" i="1"/>
  <c r="B1628" i="1"/>
  <c r="C1628" i="1"/>
  <c r="D1628" i="1"/>
  <c r="B1829" i="1"/>
  <c r="C1829" i="1"/>
  <c r="D1829" i="1"/>
  <c r="B2036" i="1"/>
  <c r="C2036" i="1"/>
  <c r="D2036" i="1"/>
  <c r="B166" i="1"/>
  <c r="C166" i="1"/>
  <c r="D166" i="1"/>
  <c r="B360" i="1"/>
  <c r="C360" i="1"/>
  <c r="D360" i="1"/>
  <c r="B556" i="1"/>
  <c r="C556" i="1"/>
  <c r="D556" i="1"/>
  <c r="B768" i="1"/>
  <c r="C768" i="1"/>
  <c r="D768" i="1"/>
  <c r="B985" i="1"/>
  <c r="C985" i="1"/>
  <c r="D985" i="1"/>
  <c r="B1206" i="1"/>
  <c r="C1206" i="1"/>
  <c r="D1206" i="1"/>
  <c r="B1420" i="1"/>
  <c r="C1420" i="1"/>
  <c r="D1420" i="1"/>
  <c r="B1629" i="1"/>
  <c r="C1629" i="1"/>
  <c r="D1629" i="1"/>
  <c r="B2037" i="1"/>
  <c r="C2037" i="1"/>
  <c r="D2037" i="1"/>
  <c r="B167" i="1"/>
  <c r="C167" i="1"/>
  <c r="D167" i="1"/>
  <c r="B361" i="1"/>
  <c r="C361" i="1"/>
  <c r="D361" i="1"/>
  <c r="B557" i="1"/>
  <c r="C557" i="1"/>
  <c r="D557" i="1"/>
  <c r="B769" i="1"/>
  <c r="C769" i="1"/>
  <c r="D769" i="1"/>
  <c r="B986" i="1"/>
  <c r="C986" i="1"/>
  <c r="D986" i="1"/>
  <c r="B1207" i="1"/>
  <c r="C1207" i="1"/>
  <c r="D1207" i="1"/>
  <c r="B1421" i="1"/>
  <c r="C1421" i="1"/>
  <c r="D1421" i="1"/>
  <c r="B558" i="1"/>
  <c r="C558" i="1"/>
  <c r="D558" i="1"/>
  <c r="B770" i="1"/>
  <c r="C770" i="1"/>
  <c r="D770" i="1"/>
  <c r="B987" i="1"/>
  <c r="C987" i="1"/>
  <c r="D987" i="1"/>
  <c r="B1208" i="1"/>
  <c r="C1208" i="1"/>
  <c r="D1208" i="1"/>
  <c r="B1422" i="1"/>
  <c r="C1422" i="1"/>
  <c r="D1422" i="1"/>
  <c r="B1630" i="1"/>
  <c r="C1630" i="1"/>
  <c r="D1630" i="1"/>
  <c r="B1830" i="1"/>
  <c r="C1830" i="1"/>
  <c r="D1830" i="1"/>
  <c r="B2038" i="1"/>
  <c r="C2038" i="1"/>
  <c r="D2038" i="1"/>
  <c r="B168" i="1"/>
  <c r="C168" i="1"/>
  <c r="D168" i="1"/>
  <c r="B362" i="1"/>
  <c r="C362" i="1"/>
  <c r="D362" i="1"/>
  <c r="B559" i="1"/>
  <c r="C559" i="1"/>
  <c r="D559" i="1"/>
  <c r="B771" i="1"/>
  <c r="C771" i="1"/>
  <c r="D771" i="1"/>
  <c r="B988" i="1"/>
  <c r="C988" i="1"/>
  <c r="D988" i="1"/>
  <c r="B1209" i="1"/>
  <c r="C1209" i="1"/>
  <c r="D1209" i="1"/>
  <c r="B1423" i="1"/>
  <c r="C1423" i="1"/>
  <c r="D1423" i="1"/>
  <c r="B1631" i="1"/>
  <c r="C1631" i="1"/>
  <c r="D1631" i="1"/>
  <c r="B1831" i="1"/>
  <c r="C1831" i="1"/>
  <c r="D1831" i="1"/>
  <c r="B2039" i="1"/>
  <c r="C2039" i="1"/>
  <c r="D2039" i="1"/>
  <c r="B169" i="1"/>
  <c r="C169" i="1"/>
  <c r="D169" i="1"/>
  <c r="B363" i="1"/>
  <c r="C363" i="1"/>
  <c r="D363" i="1"/>
  <c r="B560" i="1"/>
  <c r="C560" i="1"/>
  <c r="D560" i="1"/>
  <c r="B772" i="1"/>
  <c r="C772" i="1"/>
  <c r="D772" i="1"/>
  <c r="B989" i="1"/>
  <c r="C989" i="1"/>
  <c r="D989" i="1"/>
  <c r="B1210" i="1"/>
  <c r="C1210" i="1"/>
  <c r="D1210" i="1"/>
  <c r="B1424" i="1"/>
  <c r="C1424" i="1"/>
  <c r="D1424" i="1"/>
  <c r="B1632" i="1"/>
  <c r="C1632" i="1"/>
  <c r="D1632" i="1"/>
  <c r="B1832" i="1"/>
  <c r="C1832" i="1"/>
  <c r="D1832" i="1"/>
  <c r="B2040" i="1"/>
  <c r="C2040" i="1"/>
  <c r="D2040" i="1"/>
  <c r="B170" i="1"/>
  <c r="C170" i="1"/>
  <c r="D170" i="1"/>
  <c r="B364" i="1"/>
  <c r="C364" i="1"/>
  <c r="D364" i="1"/>
  <c r="B561" i="1"/>
  <c r="C561" i="1"/>
  <c r="D561" i="1"/>
  <c r="B773" i="1"/>
  <c r="C773" i="1"/>
  <c r="D773" i="1"/>
  <c r="B990" i="1"/>
  <c r="C990" i="1"/>
  <c r="D990" i="1"/>
  <c r="B1211" i="1"/>
  <c r="C1211" i="1"/>
  <c r="D1211" i="1"/>
  <c r="B1425" i="1"/>
  <c r="C1425" i="1"/>
  <c r="D1425" i="1"/>
  <c r="B1633" i="1"/>
  <c r="C1633" i="1"/>
  <c r="D1633" i="1"/>
  <c r="B1833" i="1"/>
  <c r="C1833" i="1"/>
  <c r="D1833" i="1"/>
  <c r="B2041" i="1"/>
  <c r="C2041" i="1"/>
  <c r="D2041" i="1"/>
  <c r="B171" i="1"/>
  <c r="C171" i="1"/>
  <c r="D171" i="1"/>
  <c r="B365" i="1"/>
  <c r="C365" i="1"/>
  <c r="D365" i="1"/>
  <c r="B562" i="1"/>
  <c r="C562" i="1"/>
  <c r="D562" i="1"/>
  <c r="B774" i="1"/>
  <c r="C774" i="1"/>
  <c r="D774" i="1"/>
  <c r="B991" i="1"/>
  <c r="C991" i="1"/>
  <c r="D991" i="1"/>
  <c r="B1212" i="1"/>
  <c r="C1212" i="1"/>
  <c r="D1212" i="1"/>
  <c r="B1426" i="1"/>
  <c r="C1426" i="1"/>
  <c r="D1426" i="1"/>
  <c r="B1634" i="1"/>
  <c r="C1634" i="1"/>
  <c r="D1634" i="1"/>
  <c r="B1834" i="1"/>
  <c r="C1834" i="1"/>
  <c r="D1834" i="1"/>
  <c r="B2042" i="1"/>
  <c r="C2042" i="1"/>
  <c r="D2042" i="1"/>
  <c r="B563" i="1"/>
  <c r="C563" i="1"/>
  <c r="D563" i="1"/>
  <c r="B775" i="1"/>
  <c r="C775" i="1"/>
  <c r="D775" i="1"/>
  <c r="B992" i="1"/>
  <c r="C992" i="1"/>
  <c r="D992" i="1"/>
  <c r="B1213" i="1"/>
  <c r="C1213" i="1"/>
  <c r="D1213" i="1"/>
  <c r="B1427" i="1"/>
  <c r="C1427" i="1"/>
  <c r="D1427" i="1"/>
  <c r="B1635" i="1"/>
  <c r="C1635" i="1"/>
  <c r="D1635" i="1"/>
  <c r="B1835" i="1"/>
  <c r="C1835" i="1"/>
  <c r="D1835" i="1"/>
  <c r="B2043" i="1"/>
  <c r="C2043" i="1"/>
  <c r="D2043" i="1"/>
  <c r="B172" i="1"/>
  <c r="C172" i="1"/>
  <c r="D172" i="1"/>
  <c r="B366" i="1"/>
  <c r="C366" i="1"/>
  <c r="D366" i="1"/>
  <c r="B564" i="1"/>
  <c r="C564" i="1"/>
  <c r="D564" i="1"/>
  <c r="B776" i="1"/>
  <c r="C776" i="1"/>
  <c r="D776" i="1"/>
  <c r="B993" i="1"/>
  <c r="C993" i="1"/>
  <c r="D993" i="1"/>
  <c r="B1214" i="1"/>
  <c r="C1214" i="1"/>
  <c r="D1214" i="1"/>
  <c r="B1428" i="1"/>
  <c r="C1428" i="1"/>
  <c r="D1428" i="1"/>
  <c r="B1636" i="1"/>
  <c r="C1636" i="1"/>
  <c r="D1636" i="1"/>
  <c r="B1836" i="1"/>
  <c r="C1836" i="1"/>
  <c r="D1836" i="1"/>
  <c r="B2044" i="1"/>
  <c r="C2044" i="1"/>
  <c r="D2044" i="1"/>
  <c r="B173" i="1"/>
  <c r="C173" i="1"/>
  <c r="D173" i="1"/>
  <c r="B367" i="1"/>
  <c r="C367" i="1"/>
  <c r="D367" i="1"/>
  <c r="B565" i="1"/>
  <c r="C565" i="1"/>
  <c r="D565" i="1"/>
  <c r="B777" i="1"/>
  <c r="C777" i="1"/>
  <c r="D777" i="1"/>
  <c r="B994" i="1"/>
  <c r="C994" i="1"/>
  <c r="D994" i="1"/>
  <c r="B1215" i="1"/>
  <c r="C1215" i="1"/>
  <c r="D1215" i="1"/>
  <c r="B1429" i="1"/>
  <c r="C1429" i="1"/>
  <c r="D1429" i="1"/>
  <c r="B1637" i="1"/>
  <c r="C1637" i="1"/>
  <c r="D1637" i="1"/>
  <c r="B1837" i="1"/>
  <c r="C1837" i="1"/>
  <c r="D1837" i="1"/>
  <c r="B2045" i="1"/>
  <c r="C2045" i="1"/>
  <c r="D2045" i="1"/>
  <c r="B174" i="1"/>
  <c r="C174" i="1"/>
  <c r="D174" i="1"/>
  <c r="B368" i="1"/>
  <c r="C368" i="1"/>
  <c r="D368" i="1"/>
  <c r="B566" i="1"/>
  <c r="C566" i="1"/>
  <c r="D566" i="1"/>
  <c r="B778" i="1"/>
  <c r="C778" i="1"/>
  <c r="D778" i="1"/>
  <c r="B995" i="1"/>
  <c r="C995" i="1"/>
  <c r="D995" i="1"/>
  <c r="B1216" i="1"/>
  <c r="C1216" i="1"/>
  <c r="D1216" i="1"/>
  <c r="B1430" i="1"/>
  <c r="C1430" i="1"/>
  <c r="D1430" i="1"/>
  <c r="B1638" i="1"/>
  <c r="C1638" i="1"/>
  <c r="D1638" i="1"/>
  <c r="B1838" i="1"/>
  <c r="C1838" i="1"/>
  <c r="D1838" i="1"/>
  <c r="B2046" i="1"/>
  <c r="C2046" i="1"/>
  <c r="D2046" i="1"/>
  <c r="B175" i="1"/>
  <c r="C175" i="1"/>
  <c r="D175" i="1"/>
  <c r="B369" i="1"/>
  <c r="C369" i="1"/>
  <c r="D369" i="1"/>
  <c r="B567" i="1"/>
  <c r="C567" i="1"/>
  <c r="D567" i="1"/>
  <c r="B779" i="1"/>
  <c r="C779" i="1"/>
  <c r="D779" i="1"/>
  <c r="B996" i="1"/>
  <c r="C996" i="1"/>
  <c r="D996" i="1"/>
  <c r="B1217" i="1"/>
  <c r="C1217" i="1"/>
  <c r="D1217" i="1"/>
  <c r="B1431" i="1"/>
  <c r="C1431" i="1"/>
  <c r="D1431" i="1"/>
  <c r="B1639" i="1"/>
  <c r="C1639" i="1"/>
  <c r="D1639" i="1"/>
  <c r="B1839" i="1"/>
  <c r="C1839" i="1"/>
  <c r="D1839" i="1"/>
  <c r="B2047" i="1"/>
  <c r="C2047" i="1"/>
  <c r="D2047" i="1"/>
  <c r="B997" i="1"/>
  <c r="C997" i="1"/>
  <c r="D997" i="1"/>
  <c r="B1218" i="1"/>
  <c r="C1218" i="1"/>
  <c r="D1218" i="1"/>
  <c r="B1432" i="1"/>
  <c r="C1432" i="1"/>
  <c r="D1432" i="1"/>
  <c r="B1640" i="1"/>
  <c r="C1640" i="1"/>
  <c r="D1640" i="1"/>
  <c r="B1840" i="1"/>
  <c r="C1840" i="1"/>
  <c r="D1840" i="1"/>
  <c r="B2048" i="1"/>
  <c r="C2048" i="1"/>
  <c r="D2048" i="1"/>
  <c r="B176" i="1"/>
  <c r="C176" i="1"/>
  <c r="D176" i="1"/>
  <c r="B370" i="1"/>
  <c r="C370" i="1"/>
  <c r="D370" i="1"/>
  <c r="B568" i="1"/>
  <c r="C568" i="1"/>
  <c r="D568" i="1"/>
  <c r="B780" i="1"/>
  <c r="C780" i="1"/>
  <c r="D780" i="1"/>
  <c r="B998" i="1"/>
  <c r="C998" i="1"/>
  <c r="D998" i="1"/>
  <c r="B1219" i="1"/>
  <c r="C1219" i="1"/>
  <c r="D1219" i="1"/>
  <c r="B1433" i="1"/>
  <c r="C1433" i="1"/>
  <c r="D1433" i="1"/>
  <c r="B1641" i="1"/>
  <c r="C1641" i="1"/>
  <c r="D1641" i="1"/>
  <c r="B1841" i="1"/>
  <c r="C1841" i="1"/>
  <c r="D1841" i="1"/>
  <c r="B2049" i="1"/>
  <c r="C2049" i="1"/>
  <c r="D2049" i="1"/>
  <c r="B177" i="1"/>
  <c r="C177" i="1"/>
  <c r="D177" i="1"/>
  <c r="B371" i="1"/>
  <c r="C371" i="1"/>
  <c r="D371" i="1"/>
  <c r="B569" i="1"/>
  <c r="C569" i="1"/>
  <c r="D569" i="1"/>
  <c r="B781" i="1"/>
  <c r="C781" i="1"/>
  <c r="D781" i="1"/>
  <c r="B999" i="1"/>
  <c r="C999" i="1"/>
  <c r="D999" i="1"/>
  <c r="B1220" i="1"/>
  <c r="C1220" i="1"/>
  <c r="D1220" i="1"/>
  <c r="B1434" i="1"/>
  <c r="C1434" i="1"/>
  <c r="D1434" i="1"/>
  <c r="B1642" i="1"/>
  <c r="C1642" i="1"/>
  <c r="D1642" i="1"/>
  <c r="B1842" i="1"/>
  <c r="C1842" i="1"/>
  <c r="D1842" i="1"/>
  <c r="B2050" i="1"/>
  <c r="C2050" i="1"/>
  <c r="D2050" i="1"/>
  <c r="B178" i="1"/>
  <c r="C178" i="1"/>
  <c r="D178" i="1"/>
  <c r="B372" i="1"/>
  <c r="C372" i="1"/>
  <c r="D372" i="1"/>
  <c r="B570" i="1"/>
  <c r="C570" i="1"/>
  <c r="D570" i="1"/>
  <c r="B782" i="1"/>
  <c r="C782" i="1"/>
  <c r="D782" i="1"/>
  <c r="B1000" i="1"/>
  <c r="C1000" i="1"/>
  <c r="D1000" i="1"/>
  <c r="B1221" i="1"/>
  <c r="C1221" i="1"/>
  <c r="D1221" i="1"/>
  <c r="B1435" i="1"/>
  <c r="C1435" i="1"/>
  <c r="D1435" i="1"/>
  <c r="B1643" i="1"/>
  <c r="C1643" i="1"/>
  <c r="D1643" i="1"/>
  <c r="B1843" i="1"/>
  <c r="C1843" i="1"/>
  <c r="D1843" i="1"/>
  <c r="B2051" i="1"/>
  <c r="C2051" i="1"/>
  <c r="D2051" i="1"/>
  <c r="B179" i="1"/>
  <c r="C179" i="1"/>
  <c r="D179" i="1"/>
  <c r="B373" i="1"/>
  <c r="C373" i="1"/>
  <c r="D373" i="1"/>
  <c r="B180" i="1"/>
  <c r="C180" i="1"/>
  <c r="D180" i="1"/>
  <c r="B374" i="1"/>
  <c r="C374" i="1"/>
  <c r="D374" i="1"/>
  <c r="B571" i="1"/>
  <c r="C571" i="1"/>
  <c r="D571" i="1"/>
  <c r="B783" i="1"/>
  <c r="C783" i="1"/>
  <c r="D783" i="1"/>
  <c r="B1001" i="1"/>
  <c r="C1001" i="1"/>
  <c r="D1001" i="1"/>
  <c r="B1222" i="1"/>
  <c r="C1222" i="1"/>
  <c r="D1222" i="1"/>
  <c r="B1436" i="1"/>
  <c r="C1436" i="1"/>
  <c r="D1436" i="1"/>
  <c r="B784" i="1"/>
  <c r="C784" i="1"/>
  <c r="D784" i="1"/>
  <c r="B1002" i="1"/>
  <c r="C1002" i="1"/>
  <c r="D1002" i="1"/>
  <c r="B1223" i="1"/>
  <c r="C1223" i="1"/>
  <c r="D1223" i="1"/>
  <c r="B1437" i="1"/>
  <c r="C1437" i="1"/>
  <c r="D1437" i="1"/>
  <c r="B1644" i="1"/>
  <c r="C1644" i="1"/>
  <c r="D1644" i="1"/>
  <c r="B1844" i="1"/>
  <c r="C1844" i="1"/>
  <c r="D1844" i="1"/>
  <c r="B2052" i="1"/>
  <c r="C2052" i="1"/>
  <c r="D2052" i="1"/>
  <c r="B181" i="1"/>
  <c r="C181" i="1"/>
  <c r="D181" i="1"/>
  <c r="B375" i="1"/>
  <c r="C375" i="1"/>
  <c r="D375" i="1"/>
  <c r="B572" i="1"/>
  <c r="C572" i="1"/>
  <c r="D572" i="1"/>
  <c r="B785" i="1"/>
  <c r="C785" i="1"/>
  <c r="D785" i="1"/>
  <c r="B1003" i="1"/>
  <c r="C1003" i="1"/>
  <c r="D1003" i="1"/>
  <c r="B1224" i="1"/>
  <c r="C1224" i="1"/>
  <c r="D1224" i="1"/>
  <c r="B1438" i="1"/>
  <c r="C1438" i="1"/>
  <c r="D1438" i="1"/>
  <c r="B1645" i="1"/>
  <c r="C1645" i="1"/>
  <c r="D1645" i="1"/>
  <c r="B1845" i="1"/>
  <c r="C1845" i="1"/>
  <c r="D1845" i="1"/>
  <c r="B2053" i="1"/>
  <c r="C2053" i="1"/>
  <c r="D2053" i="1"/>
  <c r="B182" i="1"/>
  <c r="C182" i="1"/>
  <c r="D182" i="1"/>
  <c r="B573" i="1"/>
  <c r="C573" i="1"/>
  <c r="D573" i="1"/>
  <c r="B786" i="1"/>
  <c r="C786" i="1"/>
  <c r="D786" i="1"/>
  <c r="B1004" i="1"/>
  <c r="C1004" i="1"/>
  <c r="D1004" i="1"/>
  <c r="B1225" i="1"/>
  <c r="C1225" i="1"/>
  <c r="D1225" i="1"/>
  <c r="B1439" i="1"/>
  <c r="C1439" i="1"/>
  <c r="D1439" i="1"/>
  <c r="B1646" i="1"/>
  <c r="C1646" i="1"/>
  <c r="D1646" i="1"/>
  <c r="B1846" i="1"/>
  <c r="C1846" i="1"/>
  <c r="D1846" i="1"/>
  <c r="B2054" i="1"/>
  <c r="C2054" i="1"/>
  <c r="D2054" i="1"/>
  <c r="B183" i="1"/>
  <c r="C183" i="1"/>
  <c r="D183" i="1"/>
  <c r="B376" i="1"/>
  <c r="C376" i="1"/>
  <c r="D376" i="1"/>
  <c r="B574" i="1"/>
  <c r="C574" i="1"/>
  <c r="D574" i="1"/>
  <c r="B787" i="1"/>
  <c r="C787" i="1"/>
  <c r="D787" i="1"/>
  <c r="B1005" i="1"/>
  <c r="C1005" i="1"/>
  <c r="D1005" i="1"/>
  <c r="B1226" i="1"/>
  <c r="C1226" i="1"/>
  <c r="D1226" i="1"/>
  <c r="B184" i="1"/>
  <c r="C184" i="1"/>
  <c r="D184" i="1"/>
  <c r="B377" i="1"/>
  <c r="C377" i="1"/>
  <c r="D377" i="1"/>
  <c r="B575" i="1"/>
  <c r="C575" i="1"/>
  <c r="D575" i="1"/>
  <c r="B788" i="1"/>
  <c r="C788" i="1"/>
  <c r="D788" i="1"/>
  <c r="B1006" i="1"/>
  <c r="C1006" i="1"/>
  <c r="D1006" i="1"/>
  <c r="B1227" i="1"/>
  <c r="C1227" i="1"/>
  <c r="D1227" i="1"/>
  <c r="B1440" i="1"/>
  <c r="C1440" i="1"/>
  <c r="D1440" i="1"/>
  <c r="B1647" i="1"/>
  <c r="C1647" i="1"/>
  <c r="D1647" i="1"/>
  <c r="B1847" i="1"/>
  <c r="C1847" i="1"/>
  <c r="D1847" i="1"/>
  <c r="B185" i="1"/>
  <c r="C185" i="1"/>
  <c r="D185" i="1"/>
  <c r="B378" i="1"/>
  <c r="C378" i="1"/>
  <c r="D378" i="1"/>
  <c r="B576" i="1"/>
  <c r="C576" i="1"/>
  <c r="D576" i="1"/>
  <c r="B789" i="1"/>
  <c r="C789" i="1"/>
  <c r="D789" i="1"/>
  <c r="B1007" i="1"/>
  <c r="C1007" i="1"/>
  <c r="D1007" i="1"/>
  <c r="B1228" i="1"/>
  <c r="C1228" i="1"/>
  <c r="D1228" i="1"/>
  <c r="B1441" i="1"/>
  <c r="C1441" i="1"/>
  <c r="D1441" i="1"/>
  <c r="B1648" i="1"/>
  <c r="C1648" i="1"/>
  <c r="D1648" i="1"/>
  <c r="B1848" i="1"/>
  <c r="C1848" i="1"/>
  <c r="D1848" i="1"/>
  <c r="B2055" i="1"/>
  <c r="C2055" i="1"/>
  <c r="D2055" i="1"/>
  <c r="B186" i="1"/>
  <c r="C186" i="1"/>
  <c r="D186" i="1"/>
  <c r="B379" i="1"/>
  <c r="C379" i="1"/>
  <c r="D379" i="1"/>
  <c r="B577" i="1"/>
  <c r="C577" i="1"/>
  <c r="D577" i="1"/>
  <c r="B790" i="1"/>
  <c r="C790" i="1"/>
  <c r="D790" i="1"/>
  <c r="B1008" i="1"/>
  <c r="C1008" i="1"/>
  <c r="D1008" i="1"/>
  <c r="B1229" i="1"/>
  <c r="C1229" i="1"/>
  <c r="D1229" i="1"/>
  <c r="B1442" i="1"/>
  <c r="C1442" i="1"/>
  <c r="D1442" i="1"/>
  <c r="B1649" i="1"/>
  <c r="C1649" i="1"/>
  <c r="D1649" i="1"/>
  <c r="B1849" i="1"/>
  <c r="C1849" i="1"/>
  <c r="D1849" i="1"/>
  <c r="B2056" i="1"/>
  <c r="C2056" i="1"/>
  <c r="D2056" i="1"/>
  <c r="B791" i="1"/>
  <c r="C791" i="1"/>
  <c r="D791" i="1"/>
  <c r="B1009" i="1"/>
  <c r="C1009" i="1"/>
  <c r="D1009" i="1"/>
  <c r="B1230" i="1"/>
  <c r="C1230" i="1"/>
  <c r="D1230" i="1"/>
  <c r="B1443" i="1"/>
  <c r="C1443" i="1"/>
  <c r="D1443" i="1"/>
  <c r="B1650" i="1"/>
  <c r="C1650" i="1"/>
  <c r="D1650" i="1"/>
  <c r="B1850" i="1"/>
  <c r="C1850" i="1"/>
  <c r="D1850" i="1"/>
  <c r="B2057" i="1"/>
  <c r="C2057" i="1"/>
  <c r="D2057" i="1"/>
  <c r="B187" i="1"/>
  <c r="C187" i="1"/>
  <c r="D187" i="1"/>
  <c r="B380" i="1"/>
  <c r="C380" i="1"/>
  <c r="D380" i="1"/>
  <c r="B578" i="1"/>
  <c r="C578" i="1"/>
  <c r="D578" i="1"/>
  <c r="B792" i="1"/>
  <c r="C792" i="1"/>
  <c r="D792" i="1"/>
  <c r="B1010" i="1"/>
  <c r="C1010" i="1"/>
  <c r="D1010" i="1"/>
  <c r="B1231" i="1"/>
  <c r="C1231" i="1"/>
  <c r="D1231" i="1"/>
  <c r="B1444" i="1"/>
  <c r="C1444" i="1"/>
  <c r="D1444" i="1"/>
  <c r="B1651" i="1"/>
  <c r="C1651" i="1"/>
  <c r="D1651" i="1"/>
  <c r="B1851" i="1"/>
  <c r="C1851" i="1"/>
  <c r="D1851" i="1"/>
  <c r="B2058" i="1"/>
  <c r="C2058" i="1"/>
  <c r="D2058" i="1"/>
  <c r="B188" i="1"/>
  <c r="C188" i="1"/>
  <c r="D188" i="1"/>
  <c r="B381" i="1"/>
  <c r="C381" i="1"/>
  <c r="D381" i="1"/>
  <c r="B579" i="1"/>
  <c r="C579" i="1"/>
  <c r="D579" i="1"/>
  <c r="B793" i="1"/>
  <c r="C793" i="1"/>
  <c r="D793" i="1"/>
  <c r="B1011" i="1"/>
  <c r="C1011" i="1"/>
  <c r="D1011" i="1"/>
  <c r="B189" i="1"/>
  <c r="C189" i="1"/>
  <c r="D189" i="1"/>
  <c r="B382" i="1"/>
  <c r="C382" i="1"/>
  <c r="D382" i="1"/>
  <c r="B580" i="1"/>
  <c r="C580" i="1"/>
  <c r="D580" i="1"/>
  <c r="B794" i="1"/>
  <c r="C794" i="1"/>
  <c r="D794" i="1"/>
  <c r="B1012" i="1"/>
  <c r="C1012" i="1"/>
  <c r="D1012" i="1"/>
  <c r="B1232" i="1"/>
  <c r="C1232" i="1"/>
  <c r="D1232" i="1"/>
  <c r="B1445" i="1"/>
  <c r="C1445" i="1"/>
  <c r="D1445" i="1"/>
  <c r="B1652" i="1"/>
  <c r="C1652" i="1"/>
  <c r="D1652" i="1"/>
  <c r="B1852" i="1"/>
  <c r="C1852" i="1"/>
  <c r="D1852" i="1"/>
  <c r="B190" i="1"/>
  <c r="C190" i="1"/>
  <c r="D190" i="1"/>
  <c r="B383" i="1"/>
  <c r="C383" i="1"/>
  <c r="D383" i="1"/>
  <c r="B581" i="1"/>
  <c r="C581" i="1"/>
  <c r="D581" i="1"/>
  <c r="B795" i="1"/>
  <c r="C795" i="1"/>
  <c r="D795" i="1"/>
  <c r="B1013" i="1"/>
  <c r="C1013" i="1"/>
  <c r="D1013" i="1"/>
  <c r="B1233" i="1"/>
  <c r="C1233" i="1"/>
  <c r="D1233" i="1"/>
  <c r="B1446" i="1"/>
  <c r="C1446" i="1"/>
  <c r="D1446" i="1"/>
  <c r="B1653" i="1"/>
  <c r="C1653" i="1"/>
  <c r="D1653" i="1"/>
  <c r="B1853" i="1"/>
  <c r="C1853" i="1"/>
  <c r="D1853" i="1"/>
  <c r="B2059" i="1"/>
  <c r="C2059" i="1"/>
  <c r="D2059" i="1"/>
  <c r="B1234" i="1"/>
  <c r="C1234" i="1"/>
  <c r="D1234" i="1"/>
  <c r="B1447" i="1"/>
  <c r="C1447" i="1"/>
  <c r="D1447" i="1"/>
  <c r="B1654" i="1"/>
  <c r="C1654" i="1"/>
  <c r="D1654" i="1"/>
  <c r="B1854" i="1"/>
  <c r="C1854" i="1"/>
  <c r="D1854" i="1"/>
  <c r="B2060" i="1"/>
  <c r="C2060" i="1"/>
  <c r="D2060" i="1"/>
  <c r="B191" i="1"/>
  <c r="C191" i="1"/>
  <c r="D191" i="1"/>
  <c r="B384" i="1"/>
  <c r="C384" i="1"/>
  <c r="D384" i="1"/>
  <c r="B582" i="1"/>
  <c r="C582" i="1"/>
  <c r="D582" i="1"/>
  <c r="B796" i="1"/>
  <c r="C796" i="1"/>
  <c r="D796" i="1"/>
  <c r="B1014" i="1"/>
  <c r="C1014" i="1"/>
  <c r="D1014" i="1"/>
  <c r="B1235" i="1"/>
  <c r="C1235" i="1"/>
  <c r="D1235" i="1"/>
  <c r="B1448" i="1"/>
  <c r="C1448" i="1"/>
  <c r="D1448" i="1"/>
  <c r="B1655" i="1"/>
  <c r="C1655" i="1"/>
  <c r="D1655" i="1"/>
  <c r="B1855" i="1"/>
  <c r="C1855" i="1"/>
  <c r="D1855" i="1"/>
  <c r="B2061" i="1"/>
  <c r="C2061" i="1"/>
  <c r="D2061" i="1"/>
  <c r="B2062" i="1"/>
  <c r="C2062" i="1"/>
  <c r="D2062" i="1"/>
  <c r="B192" i="1"/>
  <c r="C192" i="1"/>
  <c r="D192" i="1"/>
  <c r="B385" i="1"/>
  <c r="C385" i="1"/>
  <c r="D385" i="1"/>
  <c r="B583" i="1"/>
  <c r="C583" i="1"/>
  <c r="D583" i="1"/>
  <c r="B797" i="1"/>
  <c r="C797" i="1"/>
  <c r="D797" i="1"/>
  <c r="B1015" i="1"/>
  <c r="C1015" i="1"/>
  <c r="D1015" i="1"/>
  <c r="B1236" i="1"/>
  <c r="C1236" i="1"/>
  <c r="D1236" i="1"/>
  <c r="B1449" i="1"/>
  <c r="C1449" i="1"/>
  <c r="D1449" i="1"/>
  <c r="B1656" i="1"/>
  <c r="C1656" i="1"/>
  <c r="D1656" i="1"/>
  <c r="B1856" i="1"/>
  <c r="C1856" i="1"/>
  <c r="D1856" i="1"/>
  <c r="B2063" i="1"/>
  <c r="C2063" i="1"/>
  <c r="D2063" i="1"/>
  <c r="B193" i="1"/>
  <c r="C193" i="1"/>
  <c r="D193" i="1"/>
  <c r="B386" i="1"/>
  <c r="C386" i="1"/>
  <c r="D386" i="1"/>
  <c r="B584" i="1"/>
  <c r="C584" i="1"/>
  <c r="D584" i="1"/>
  <c r="B798" i="1"/>
  <c r="C798" i="1"/>
  <c r="D798" i="1"/>
  <c r="B1016" i="1"/>
  <c r="C1016" i="1"/>
  <c r="D1016" i="1"/>
  <c r="B1237" i="1"/>
  <c r="C1237" i="1"/>
  <c r="D1237" i="1"/>
  <c r="B1450" i="1"/>
  <c r="C1450" i="1"/>
  <c r="D1450" i="1"/>
  <c r="B194" i="1"/>
  <c r="C194" i="1"/>
  <c r="D194" i="1"/>
  <c r="B387" i="1"/>
  <c r="C387" i="1"/>
  <c r="D387" i="1"/>
  <c r="B585" i="1"/>
  <c r="C585" i="1"/>
  <c r="D585" i="1"/>
  <c r="B799" i="1"/>
  <c r="C799" i="1"/>
  <c r="D799" i="1"/>
  <c r="B1017" i="1"/>
  <c r="C1017" i="1"/>
  <c r="D1017" i="1"/>
  <c r="B195" i="1"/>
  <c r="C195" i="1"/>
  <c r="D195" i="1"/>
  <c r="B586" i="1"/>
  <c r="C586" i="1"/>
  <c r="D586" i="1"/>
  <c r="B800" i="1"/>
  <c r="C800" i="1"/>
  <c r="D800" i="1"/>
  <c r="B1018" i="1"/>
  <c r="C1018" i="1"/>
  <c r="D1018" i="1"/>
  <c r="B1238" i="1"/>
  <c r="C1238" i="1"/>
  <c r="D1238" i="1"/>
  <c r="B1451" i="1"/>
  <c r="C1451" i="1"/>
  <c r="D1451" i="1"/>
  <c r="B1657" i="1"/>
  <c r="C1657" i="1"/>
  <c r="D1657" i="1"/>
  <c r="B1857" i="1"/>
  <c r="C1857" i="1"/>
  <c r="D1857" i="1"/>
  <c r="B196" i="1"/>
  <c r="C196" i="1"/>
  <c r="D196" i="1"/>
  <c r="B388" i="1"/>
  <c r="C388" i="1"/>
  <c r="D388" i="1"/>
  <c r="B587" i="1"/>
  <c r="C587" i="1"/>
  <c r="D587" i="1"/>
  <c r="B801" i="1"/>
  <c r="C801" i="1"/>
  <c r="D801" i="1"/>
  <c r="B1019" i="1"/>
  <c r="C1019" i="1"/>
  <c r="D1019" i="1"/>
  <c r="B1239" i="1"/>
  <c r="C1239" i="1"/>
  <c r="D1239" i="1"/>
  <c r="B1452" i="1"/>
  <c r="C1452" i="1"/>
  <c r="D1452" i="1"/>
  <c r="B1658" i="1"/>
  <c r="C1658" i="1"/>
  <c r="D1658" i="1"/>
  <c r="B1858" i="1"/>
  <c r="C1858" i="1"/>
  <c r="D1858" i="1"/>
  <c r="B2064" i="1"/>
  <c r="C2064" i="1"/>
  <c r="D2064" i="1"/>
  <c r="B389" i="1"/>
  <c r="C389" i="1"/>
  <c r="D389" i="1"/>
  <c r="B1020" i="1"/>
  <c r="C1020" i="1"/>
  <c r="D1020" i="1"/>
  <c r="B1240" i="1"/>
  <c r="C1240" i="1"/>
  <c r="D1240" i="1"/>
  <c r="B1453" i="1"/>
  <c r="C1453" i="1"/>
  <c r="D1453" i="1"/>
  <c r="B1659" i="1"/>
  <c r="C1659" i="1"/>
  <c r="D1659" i="1"/>
  <c r="B1859" i="1"/>
  <c r="C1859" i="1"/>
  <c r="D1859" i="1"/>
  <c r="B2065" i="1"/>
  <c r="C2065" i="1"/>
  <c r="D2065" i="1"/>
  <c r="B197" i="1"/>
  <c r="C197" i="1"/>
  <c r="D197" i="1"/>
  <c r="B390" i="1"/>
  <c r="C390" i="1"/>
  <c r="D390" i="1"/>
  <c r="B588" i="1"/>
  <c r="C588" i="1"/>
  <c r="D588" i="1"/>
  <c r="B802" i="1"/>
  <c r="C802" i="1"/>
  <c r="D802" i="1"/>
  <c r="B1021" i="1"/>
  <c r="C1021" i="1"/>
  <c r="D1021" i="1"/>
  <c r="B1241" i="1"/>
  <c r="C1241" i="1"/>
  <c r="D1241" i="1"/>
  <c r="B1454" i="1"/>
  <c r="C1454" i="1"/>
  <c r="D1454" i="1"/>
  <c r="B1660" i="1"/>
  <c r="C1660" i="1"/>
  <c r="D1660" i="1"/>
  <c r="B1860" i="1"/>
  <c r="C1860" i="1"/>
  <c r="D1860" i="1"/>
  <c r="B2066" i="1"/>
  <c r="C2066" i="1"/>
  <c r="D2066" i="1"/>
  <c r="B198" i="1"/>
  <c r="C198" i="1"/>
  <c r="D198" i="1"/>
  <c r="B391" i="1"/>
  <c r="C391" i="1"/>
  <c r="D391" i="1"/>
  <c r="B589" i="1"/>
  <c r="C589" i="1"/>
  <c r="D589" i="1"/>
  <c r="B803" i="1"/>
  <c r="C803" i="1"/>
  <c r="D803" i="1"/>
  <c r="B1022" i="1"/>
  <c r="C1022" i="1"/>
  <c r="D1022" i="1"/>
  <c r="B1242" i="1"/>
  <c r="C1242" i="1"/>
  <c r="D1242" i="1"/>
  <c r="B1455" i="1"/>
  <c r="C1455" i="1"/>
  <c r="D1455" i="1"/>
  <c r="B1661" i="1"/>
  <c r="C1661" i="1"/>
  <c r="D1661" i="1"/>
  <c r="B1861" i="1"/>
  <c r="C1861" i="1"/>
  <c r="D1861" i="1"/>
  <c r="B2067" i="1"/>
  <c r="C2067" i="1"/>
  <c r="D2067" i="1"/>
  <c r="B199" i="1"/>
  <c r="C199" i="1"/>
  <c r="D199" i="1"/>
  <c r="B590" i="1"/>
  <c r="C590" i="1"/>
  <c r="D590" i="1"/>
  <c r="B804" i="1"/>
  <c r="C804" i="1"/>
  <c r="D804" i="1"/>
  <c r="B1023" i="1"/>
  <c r="C1023" i="1"/>
  <c r="D1023" i="1"/>
  <c r="B1243" i="1"/>
  <c r="C1243" i="1"/>
  <c r="D1243" i="1"/>
  <c r="B1456" i="1"/>
  <c r="C1456" i="1"/>
  <c r="D1456" i="1"/>
  <c r="B1662" i="1"/>
  <c r="C1662" i="1"/>
  <c r="D1662" i="1"/>
  <c r="B1862" i="1"/>
  <c r="C1862" i="1"/>
  <c r="D1862" i="1"/>
  <c r="B2068" i="1"/>
  <c r="C2068" i="1"/>
  <c r="D2068" i="1"/>
  <c r="B200" i="1"/>
  <c r="C200" i="1"/>
  <c r="D200" i="1"/>
  <c r="B591" i="1"/>
  <c r="C591" i="1"/>
  <c r="D591" i="1"/>
  <c r="B805" i="1"/>
  <c r="C805" i="1"/>
  <c r="D805" i="1"/>
  <c r="B1024" i="1"/>
  <c r="C1024" i="1"/>
  <c r="D1024" i="1"/>
  <c r="B1244" i="1"/>
  <c r="C1244" i="1"/>
  <c r="D1244" i="1"/>
  <c r="B1457" i="1"/>
  <c r="C1457" i="1"/>
  <c r="D1457" i="1"/>
  <c r="B1663" i="1"/>
  <c r="C1663" i="1"/>
  <c r="D1663" i="1"/>
  <c r="B1863" i="1"/>
  <c r="C1863" i="1"/>
  <c r="D1863" i="1"/>
  <c r="B2069" i="1"/>
  <c r="C2069" i="1"/>
  <c r="D2069" i="1"/>
  <c r="B2070" i="1"/>
  <c r="C2070" i="1"/>
  <c r="D2070" i="1"/>
  <c r="D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tc={AF5CE772-A590-7C46-8E80-DCDCD548F69B}</author>
    <author>tc={546C8E02-1F3E-D646-8248-3B8BB95DF5B3}</author>
    <author>tc={1521B930-FE77-DD40-9D4B-AF118E7D37A0}</author>
  </authors>
  <commentList>
    <comment ref="K1" authorId="0" shapeId="0" xr:uid="{AF5CE772-A590-7C46-8E80-DCDCD548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 Tiime % is  (Unattended Sessions +'Session Preparation'+ 'Email or Slack Communication' )/Attended Sessions</t>
      </text>
    </comment>
    <comment ref="N1" authorId="1" shapeId="0" xr:uid="{546C8E02-1F3E-D646-8248-3B8BB95DF5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Now includes requirement to submit within 72 hours of session</t>
      </text>
    </comment>
    <comment ref="O1" authorId="2" shapeId="0" xr:uid="{1521B930-FE77-DD40-9D4B-AF118E7D37A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Checking for progress updates within 2 months of last session during time period</t>
      </text>
    </comment>
  </commentList>
</comments>
</file>

<file path=xl/sharedStrings.xml><?xml version="1.0" encoding="utf-8"?>
<sst xmlns="http://schemas.openxmlformats.org/spreadsheetml/2006/main" count="14997" uniqueCount="647">
  <si>
    <t>Tutor Name</t>
  </si>
  <si>
    <t>Tier</t>
  </si>
  <si>
    <t>Adjunct/Professional</t>
  </si>
  <si>
    <t>Faculty Leader</t>
  </si>
  <si>
    <t>Date Range</t>
  </si>
  <si>
    <t>% to Delivery Target</t>
  </si>
  <si>
    <t>% to Availability Target</t>
  </si>
  <si>
    <t>% Sessions on Time</t>
  </si>
  <si>
    <t>% Parents Updates Done on Time</t>
  </si>
  <si>
    <t>% of Active Students with Progress Updates Completed in last 2 months</t>
  </si>
  <si>
    <t>Weighted Repurchases</t>
  </si>
  <si>
    <t>Ratio of PPW Events with Attached PPWs</t>
  </si>
  <si>
    <t>Aaron Schneberger</t>
  </si>
  <si>
    <t>1/26/25 - 2/22/25</t>
  </si>
  <si>
    <t>Aidan Thomason</t>
  </si>
  <si>
    <t>Akeema Williams</t>
  </si>
  <si>
    <t>Alex Small</t>
  </si>
  <si>
    <t>Alexa Pinera</t>
  </si>
  <si>
    <t>Alexis Boucher</t>
  </si>
  <si>
    <t>Alison Trumbull</t>
  </si>
  <si>
    <t>Alli Winkelmann</t>
  </si>
  <si>
    <t>Allison Peck</t>
  </si>
  <si>
    <t>Amber Maldonado</t>
  </si>
  <si>
    <t>Amelia Sain</t>
  </si>
  <si>
    <t>Ana Heiser</t>
  </si>
  <si>
    <t>Andrea Comstock</t>
  </si>
  <si>
    <t>Andrew Brown</t>
  </si>
  <si>
    <t>Andrew Gehlot</t>
  </si>
  <si>
    <t>Angelina Guzman</t>
  </si>
  <si>
    <t>Anna Gilbert</t>
  </si>
  <si>
    <t>Armand Brouty</t>
  </si>
  <si>
    <t>Aryan Jazayeri</t>
  </si>
  <si>
    <t>Ashley Lang</t>
  </si>
  <si>
    <t>Ashley Scorsone</t>
  </si>
  <si>
    <t>Asiyah Ahmed</t>
  </si>
  <si>
    <t>Ayman Smoot</t>
  </si>
  <si>
    <t>Ben Taylor</t>
  </si>
  <si>
    <t>Blake Johnson</t>
  </si>
  <si>
    <t>Brenna Hubnik</t>
  </si>
  <si>
    <t>Brian Cohen</t>
  </si>
  <si>
    <t>Brian James</t>
  </si>
  <si>
    <t>Bryant Salinas</t>
  </si>
  <si>
    <t>Cait White</t>
  </si>
  <si>
    <t>Camila Calderon</t>
  </si>
  <si>
    <t>Camila Hernandez</t>
  </si>
  <si>
    <t>Camryn To</t>
  </si>
  <si>
    <t>Cara Rabaev (McLaughlin)</t>
  </si>
  <si>
    <t>Carson Hsiao</t>
  </si>
  <si>
    <t>Charlie Anderson</t>
  </si>
  <si>
    <t>Chazlee Myers</t>
  </si>
  <si>
    <t>Cheryl Lambert</t>
  </si>
  <si>
    <t>Chris Prouty</t>
  </si>
  <si>
    <t>Christian Collins</t>
  </si>
  <si>
    <t>Christian Steiner</t>
  </si>
  <si>
    <t>Christina Hayes</t>
  </si>
  <si>
    <t>Christine Santos</t>
  </si>
  <si>
    <t>Clark Howard</t>
  </si>
  <si>
    <t>Cristina Ascenzi Pettenuzzo</t>
  </si>
  <si>
    <t>Daniel Severance</t>
  </si>
  <si>
    <t>David Alcantara</t>
  </si>
  <si>
    <t>David Keder</t>
  </si>
  <si>
    <t>Dehavion Knight</t>
  </si>
  <si>
    <t>Desmond Inglis</t>
  </si>
  <si>
    <t>Diamond Anderson</t>
  </si>
  <si>
    <t>Diana Hoyer</t>
  </si>
  <si>
    <t>Dorothy McDaniel</t>
  </si>
  <si>
    <t>Doug Childers</t>
  </si>
  <si>
    <t>Eddie Rodriguez</t>
  </si>
  <si>
    <t>Eden Rasmussen</t>
  </si>
  <si>
    <t>Edwin West</t>
  </si>
  <si>
    <t>Elain Ng</t>
  </si>
  <si>
    <t>Elijah Ramirez</t>
  </si>
  <si>
    <t>Ellyn Schinke</t>
  </si>
  <si>
    <t>Eric Alexander</t>
  </si>
  <si>
    <t>Erica Ichikawa</t>
  </si>
  <si>
    <t>Ernie Chu</t>
  </si>
  <si>
    <t>Eve Shames</t>
  </si>
  <si>
    <t>Faith Rogers</t>
  </si>
  <si>
    <t>Gabriel Saint Cyr</t>
  </si>
  <si>
    <t>Gale Hermes</t>
  </si>
  <si>
    <t>Geoff St. Marie</t>
  </si>
  <si>
    <t>Gigi Glover</t>
  </si>
  <si>
    <t>Hailey Caudill</t>
  </si>
  <si>
    <t>Hannah Duliere</t>
  </si>
  <si>
    <t>Hannah Ervitz</t>
  </si>
  <si>
    <t>Hannah Lodge</t>
  </si>
  <si>
    <t>Himshikha Nath</t>
  </si>
  <si>
    <t>Jacey Clifton</t>
  </si>
  <si>
    <t>Jackson Byars</t>
  </si>
  <si>
    <t>Jacqueline Le</t>
  </si>
  <si>
    <t>Jake Corvino</t>
  </si>
  <si>
    <t>Jakob O’Neal</t>
  </si>
  <si>
    <t>Jamaul Pemberton</t>
  </si>
  <si>
    <t>James Falconer</t>
  </si>
  <si>
    <t>Jason Keller</t>
  </si>
  <si>
    <t>Jason Noble</t>
  </si>
  <si>
    <t>Jennifer Hernandez</t>
  </si>
  <si>
    <t>Jesse Squires</t>
  </si>
  <si>
    <t>Jessica Menkhus</t>
  </si>
  <si>
    <t>Jessica Milner</t>
  </si>
  <si>
    <t>Jessica Peterson</t>
  </si>
  <si>
    <t>Jessica Wall</t>
  </si>
  <si>
    <t>Jia Yin</t>
  </si>
  <si>
    <t>Jimmy Works</t>
  </si>
  <si>
    <t>Joe Rotondo</t>
  </si>
  <si>
    <t>Johann Shetti</t>
  </si>
  <si>
    <t>John Kear</t>
  </si>
  <si>
    <t>John Olmos</t>
  </si>
  <si>
    <t>Jon Cathapermal</t>
  </si>
  <si>
    <t>Jon Sheppard</t>
  </si>
  <si>
    <t>Jonathan Getscher</t>
  </si>
  <si>
    <t>Jonathan Grams</t>
  </si>
  <si>
    <t>Joshua Ciorciari</t>
  </si>
  <si>
    <t>Joshua Duff</t>
  </si>
  <si>
    <t>Joshua West</t>
  </si>
  <si>
    <t>Joyraj D'souza</t>
  </si>
  <si>
    <t>Julie Byrom</t>
  </si>
  <si>
    <t>Kailot Harris</t>
  </si>
  <si>
    <t>Karen Gonzalez</t>
  </si>
  <si>
    <t>Katherine Clarke</t>
  </si>
  <si>
    <t>Katherine Dickerson</t>
  </si>
  <si>
    <t>Katie Lykens</t>
  </si>
  <si>
    <t>Ken Downer</t>
  </si>
  <si>
    <t>Kiersten Guetlein</t>
  </si>
  <si>
    <t>Kris Gamble</t>
  </si>
  <si>
    <t>Kristen Fox</t>
  </si>
  <si>
    <t>Kristen Luigart</t>
  </si>
  <si>
    <t>Levi Fox</t>
  </si>
  <si>
    <t>Linda Hindi</t>
  </si>
  <si>
    <t>Lisa Bartle</t>
  </si>
  <si>
    <t>Lisa Berkman</t>
  </si>
  <si>
    <t>Liz Garcia</t>
  </si>
  <si>
    <t>Liz Pirie</t>
  </si>
  <si>
    <t>Luc Freiburg</t>
  </si>
  <si>
    <t>Machaela Verhage</t>
  </si>
  <si>
    <t>Maia Gerlinger</t>
  </si>
  <si>
    <t>Marcela Castanos</t>
  </si>
  <si>
    <t>Mary Felix</t>
  </si>
  <si>
    <t>Mary Logan</t>
  </si>
  <si>
    <t>Matthew Urso</t>
  </si>
  <si>
    <t>Matthew Wert</t>
  </si>
  <si>
    <t>Matty Burge</t>
  </si>
  <si>
    <t>Maximilian Tsimerman</t>
  </si>
  <si>
    <t>Megan Hoelting</t>
  </si>
  <si>
    <t>Megan Osgood</t>
  </si>
  <si>
    <t>Melanie Leong</t>
  </si>
  <si>
    <t>Melinda Mergendahl</t>
  </si>
  <si>
    <t>Michael Haddad</t>
  </si>
  <si>
    <t>Michelle Testerman</t>
  </si>
  <si>
    <t>Mike Davis</t>
  </si>
  <si>
    <t>Miki Cornwell</t>
  </si>
  <si>
    <t>Molly Rhodes</t>
  </si>
  <si>
    <t>Myles Oldroyd</t>
  </si>
  <si>
    <t>Nando Reyes</t>
  </si>
  <si>
    <t>Natasha Moore</t>
  </si>
  <si>
    <t>Nicholas Ulfik</t>
  </si>
  <si>
    <t>Nicole Kim</t>
  </si>
  <si>
    <t>Nik Kososik</t>
  </si>
  <si>
    <t>Nisan Hubbard</t>
  </si>
  <si>
    <t>Obada Aladib</t>
  </si>
  <si>
    <t>Patricia Flores</t>
  </si>
  <si>
    <t>Patrick Bell</t>
  </si>
  <si>
    <t>Pearl Chen</t>
  </si>
  <si>
    <t>Philip Thomas</t>
  </si>
  <si>
    <t>Preston Peoples</t>
  </si>
  <si>
    <t>Q. Monét Travis</t>
  </si>
  <si>
    <t>Rachel Daku</t>
  </si>
  <si>
    <t>Ralph Strope</t>
  </si>
  <si>
    <t>Raymond Elliot</t>
  </si>
  <si>
    <t>Rebekah Cole</t>
  </si>
  <si>
    <t>Rehan Zaib</t>
  </si>
  <si>
    <t>Ries Scerbin</t>
  </si>
  <si>
    <t>Robert Sawyer</t>
  </si>
  <si>
    <t>Ruben Solis</t>
  </si>
  <si>
    <t>Ruth Cisneros</t>
  </si>
  <si>
    <t>Samantha Hudson</t>
  </si>
  <si>
    <t>Samantha Wetz</t>
  </si>
  <si>
    <t>Sandra Solis</t>
  </si>
  <si>
    <t>Sarah Johnston</t>
  </si>
  <si>
    <t>Schon Gonzalez</t>
  </si>
  <si>
    <t>Scott Boyd</t>
  </si>
  <si>
    <t>Scott Holdcraft</t>
  </si>
  <si>
    <t>Sean Ulfik</t>
  </si>
  <si>
    <t>Sharon Vincuilla</t>
  </si>
  <si>
    <t>Shaun Leonard</t>
  </si>
  <si>
    <t>Shaun O'Neil</t>
  </si>
  <si>
    <t>Shawn Kane</t>
  </si>
  <si>
    <t>Sofia Munoz</t>
  </si>
  <si>
    <t>Sonja Tomasko</t>
  </si>
  <si>
    <t>Stacey Jones</t>
  </si>
  <si>
    <t>Stellanie Krimm</t>
  </si>
  <si>
    <t>Stephanie Robey</t>
  </si>
  <si>
    <t>Sunho Kum</t>
  </si>
  <si>
    <t>Susanna Strotz</t>
  </si>
  <si>
    <t>Sydney Hawkins</t>
  </si>
  <si>
    <t>Szabi Varga</t>
  </si>
  <si>
    <t>Tea Stewart</t>
  </si>
  <si>
    <t>Tim Schlotzhauer</t>
  </si>
  <si>
    <t>Tommaso Marsella</t>
  </si>
  <si>
    <t>Tommy Perez</t>
  </si>
  <si>
    <t>Traevon Cole</t>
  </si>
  <si>
    <t>Trevor Ferguson</t>
  </si>
  <si>
    <t>Tyler Henry</t>
  </si>
  <si>
    <t>Valdenis Iancu</t>
  </si>
  <si>
    <t>Valerie Duran</t>
  </si>
  <si>
    <t>Vanessa Gonzalez</t>
  </si>
  <si>
    <t>Victor Prado</t>
  </si>
  <si>
    <t>Will Clashe</t>
  </si>
  <si>
    <t>Yvrine Nguiwenga-Nketcha</t>
  </si>
  <si>
    <t>Zachary Doenges</t>
  </si>
  <si>
    <t>Zack Anthony</t>
  </si>
  <si>
    <t>Zack Robertson</t>
  </si>
  <si>
    <t>10/5/25 - 11/1/25</t>
  </si>
  <si>
    <t>2/4</t>
  </si>
  <si>
    <t>6/10</t>
  </si>
  <si>
    <t>1/1</t>
  </si>
  <si>
    <t>4/4</t>
  </si>
  <si>
    <t>Alexandra Berrios</t>
  </si>
  <si>
    <t>2/3</t>
  </si>
  <si>
    <t>0/1</t>
  </si>
  <si>
    <t>6/7</t>
  </si>
  <si>
    <t>6/6</t>
  </si>
  <si>
    <t>Andres Jarquin</t>
  </si>
  <si>
    <t>1/10</t>
  </si>
  <si>
    <t>0/5</t>
  </si>
  <si>
    <t>1/2</t>
  </si>
  <si>
    <t>3/4</t>
  </si>
  <si>
    <t>2/2</t>
  </si>
  <si>
    <t>0/2</t>
  </si>
  <si>
    <t>3/5</t>
  </si>
  <si>
    <t>6/12</t>
  </si>
  <si>
    <t>Brandon Engle</t>
  </si>
  <si>
    <t>5/7</t>
  </si>
  <si>
    <t>Brandon Lora</t>
  </si>
  <si>
    <t>3/3</t>
  </si>
  <si>
    <t>Cameron Hojecki</t>
  </si>
  <si>
    <t>Carina Shanahan</t>
  </si>
  <si>
    <t>5/10</t>
  </si>
  <si>
    <t>Casey Young</t>
  </si>
  <si>
    <t>Cesar Moreno</t>
  </si>
  <si>
    <t>8/10</t>
  </si>
  <si>
    <t>4/6</t>
  </si>
  <si>
    <t>2/5</t>
  </si>
  <si>
    <t>1/3</t>
  </si>
  <si>
    <t>4/5</t>
  </si>
  <si>
    <t>Colin Cody</t>
  </si>
  <si>
    <t>1/8</t>
  </si>
  <si>
    <t>7/10</t>
  </si>
  <si>
    <t>Cynthia Skariah</t>
  </si>
  <si>
    <t>Daniel Esquivel-Reynoso</t>
  </si>
  <si>
    <t>Daniel Olson</t>
  </si>
  <si>
    <t>2/17</t>
  </si>
  <si>
    <t>Delphine Hintz</t>
  </si>
  <si>
    <t>5/5</t>
  </si>
  <si>
    <t>Eddie Cayia</t>
  </si>
  <si>
    <t>3/19</t>
  </si>
  <si>
    <t>5/6</t>
  </si>
  <si>
    <t>2/12</t>
  </si>
  <si>
    <t>Elizabeth Simons</t>
  </si>
  <si>
    <t>Elliot Emadian</t>
  </si>
  <si>
    <t>1/6</t>
  </si>
  <si>
    <t>Emma Brugman</t>
  </si>
  <si>
    <t>1/4</t>
  </si>
  <si>
    <t>Eric Chang</t>
  </si>
  <si>
    <t>7/18</t>
  </si>
  <si>
    <t>Eryn Self</t>
  </si>
  <si>
    <t>0/3</t>
  </si>
  <si>
    <t>0/4</t>
  </si>
  <si>
    <t>Gillian Ware</t>
  </si>
  <si>
    <t>3/9</t>
  </si>
  <si>
    <t>Greg Carroll</t>
  </si>
  <si>
    <t>Grigori Martirosyan</t>
  </si>
  <si>
    <t>Jacob Karn</t>
  </si>
  <si>
    <t>4/7</t>
  </si>
  <si>
    <t>Jayna Boaz</t>
  </si>
  <si>
    <t>1/5</t>
  </si>
  <si>
    <t>John Corbett</t>
  </si>
  <si>
    <t>3/8</t>
  </si>
  <si>
    <t>John Licitra</t>
  </si>
  <si>
    <t>0/8</t>
  </si>
  <si>
    <t>15/18</t>
  </si>
  <si>
    <t>Jose Falconi</t>
  </si>
  <si>
    <t>0/7</t>
  </si>
  <si>
    <t>Judi Abo Hana</t>
  </si>
  <si>
    <t>7/9</t>
  </si>
  <si>
    <t>Julia Saderholm</t>
  </si>
  <si>
    <t>6/9</t>
  </si>
  <si>
    <t>4/8</t>
  </si>
  <si>
    <t>Lana Kargetta</t>
  </si>
  <si>
    <t>Luke Sellmayer</t>
  </si>
  <si>
    <t>11/17</t>
  </si>
  <si>
    <t>Madia Banda</t>
  </si>
  <si>
    <t>Margaret Webb</t>
  </si>
  <si>
    <t>10/10</t>
  </si>
  <si>
    <t>Mark Duncan</t>
  </si>
  <si>
    <t>Mitchell Mabanag</t>
  </si>
  <si>
    <t>10/14</t>
  </si>
  <si>
    <t>Morgan Wiley</t>
  </si>
  <si>
    <t>3/6</t>
  </si>
  <si>
    <t>Nayely Rolon-Gomez</t>
  </si>
  <si>
    <t>Nick Kocik</t>
  </si>
  <si>
    <t>Nick Lucido</t>
  </si>
  <si>
    <t>Nicole Bishop</t>
  </si>
  <si>
    <t>Penny Russell</t>
  </si>
  <si>
    <t>Raymond Serrano</t>
  </si>
  <si>
    <t>Richard Kralik</t>
  </si>
  <si>
    <t>0/6</t>
  </si>
  <si>
    <t>2/7</t>
  </si>
  <si>
    <t>River Nunez</t>
  </si>
  <si>
    <t>15/15</t>
  </si>
  <si>
    <t>Robert Nantze</t>
  </si>
  <si>
    <t>2/6</t>
  </si>
  <si>
    <t>Ryan Cauwenberghs</t>
  </si>
  <si>
    <t>Sarah Goodstein</t>
  </si>
  <si>
    <t>Sarah Vollero</t>
  </si>
  <si>
    <t>Shannon Huang</t>
  </si>
  <si>
    <t>Skye Silmenna</t>
  </si>
  <si>
    <t>5/9</t>
  </si>
  <si>
    <t>Steven Colome</t>
  </si>
  <si>
    <t>Tom Pluth</t>
  </si>
  <si>
    <t>Tyler Greer</t>
  </si>
  <si>
    <t>4/12</t>
  </si>
  <si>
    <t>7/12</t>
  </si>
  <si>
    <t>Tyler Thornton</t>
  </si>
  <si>
    <t>4/10</t>
  </si>
  <si>
    <t>Yvanna Ramirez</t>
  </si>
  <si>
    <t>5/8</t>
  </si>
  <si>
    <t>Zoe Shanley</t>
  </si>
  <si>
    <t>12/29/24 - 1/25/25</t>
  </si>
  <si>
    <t xml:space="preserve"> 3/4</t>
  </si>
  <si>
    <t xml:space="preserve"> 2/3</t>
  </si>
  <si>
    <t xml:space="preserve"> 1/2</t>
  </si>
  <si>
    <t xml:space="preserve"> 5/7</t>
  </si>
  <si>
    <t>Annelies de Groot</t>
  </si>
  <si>
    <t xml:space="preserve"> 6/7</t>
  </si>
  <si>
    <t xml:space="preserve"> 1/4</t>
  </si>
  <si>
    <t xml:space="preserve"> 3/5</t>
  </si>
  <si>
    <t xml:space="preserve"> 1/3</t>
  </si>
  <si>
    <t xml:space="preserve"> 4/5</t>
  </si>
  <si>
    <t>Ela Cross</t>
  </si>
  <si>
    <t>Ian Plamondon</t>
  </si>
  <si>
    <t xml:space="preserve"> 5/9</t>
  </si>
  <si>
    <t>Kristin Haase-Alvey</t>
  </si>
  <si>
    <t xml:space="preserve"> 8/9</t>
  </si>
  <si>
    <t xml:space="preserve"> 5/6</t>
  </si>
  <si>
    <t xml:space="preserve"> 1/5</t>
  </si>
  <si>
    <t xml:space="preserve"> 7/9</t>
  </si>
  <si>
    <t xml:space="preserve"> 4/7</t>
  </si>
  <si>
    <t>William Wineinger</t>
  </si>
  <si>
    <t>2/23/25 - 3/22/25</t>
  </si>
  <si>
    <t xml:space="preserve"> 2/7</t>
  </si>
  <si>
    <t xml:space="preserve"> 4/9</t>
  </si>
  <si>
    <t xml:space="preserve"> 5/8</t>
  </si>
  <si>
    <t>Grace Yoo</t>
  </si>
  <si>
    <t xml:space="preserve"> 3/7</t>
  </si>
  <si>
    <t xml:space="preserve"> 1/7</t>
  </si>
  <si>
    <t xml:space="preserve"> 7/8</t>
  </si>
  <si>
    <t xml:space="preserve"> 1/6</t>
  </si>
  <si>
    <t>3/23/25 - 4/19/25</t>
  </si>
  <si>
    <t>Arthur Newell</t>
  </si>
  <si>
    <t xml:space="preserve"> 2/5</t>
  </si>
  <si>
    <t>Mike Gilb</t>
  </si>
  <si>
    <t>Sana Saqibo</t>
  </si>
  <si>
    <t>4/20/25 - 5/17/25</t>
  </si>
  <si>
    <t>Carlos Flores</t>
  </si>
  <si>
    <t>Erin Hicks</t>
  </si>
  <si>
    <t>Madison Sandquist</t>
  </si>
  <si>
    <t xml:space="preserve"> 1/8</t>
  </si>
  <si>
    <t>5/18/25 - 6/14/25</t>
  </si>
  <si>
    <t>Laurel Turner</t>
  </si>
  <si>
    <t>McKenzie Coleman</t>
  </si>
  <si>
    <t xml:space="preserve"> 3/8</t>
  </si>
  <si>
    <t>6/15/25 - 7/12/25</t>
  </si>
  <si>
    <t>7/13/25 - 8/10/25</t>
  </si>
  <si>
    <t xml:space="preserve"> 2/9</t>
  </si>
  <si>
    <t>8/10/25 - 9/6/25</t>
  </si>
  <si>
    <t>8/13</t>
  </si>
  <si>
    <t>2/8</t>
  </si>
  <si>
    <t>5/12</t>
  </si>
  <si>
    <t>8/9</t>
  </si>
  <si>
    <t>6/8</t>
  </si>
  <si>
    <t>0/10</t>
  </si>
  <si>
    <t>8/8</t>
  </si>
  <si>
    <t>9/7/25 - 10/4/25</t>
  </si>
  <si>
    <t>12/14</t>
  </si>
  <si>
    <t>Caelyn Sobie</t>
  </si>
  <si>
    <t>7/7</t>
  </si>
  <si>
    <t>3/14</t>
  </si>
  <si>
    <t>13/16</t>
  </si>
  <si>
    <t>2/11</t>
  </si>
  <si>
    <t>3/12</t>
  </si>
  <si>
    <t>Garrett Shields</t>
  </si>
  <si>
    <t>6/11</t>
  </si>
  <si>
    <t>1/7</t>
  </si>
  <si>
    <t>11/11</t>
  </si>
  <si>
    <t>0/13</t>
  </si>
  <si>
    <t>Nathanuel Dixon</t>
  </si>
  <si>
    <t>2/16</t>
  </si>
  <si>
    <t>7/8</t>
  </si>
  <si>
    <t>9/11</t>
  </si>
  <si>
    <t>9/13</t>
  </si>
  <si>
    <t>Full Name</t>
  </si>
  <si>
    <t>Professional/Adjunct</t>
  </si>
  <si>
    <t>Preferred Pronouns</t>
  </si>
  <si>
    <t>Adjunct</t>
  </si>
  <si>
    <t>Advanced</t>
  </si>
  <si>
    <t>He/Him/His</t>
  </si>
  <si>
    <t>Professional</t>
  </si>
  <si>
    <t>She/Her/Hers</t>
  </si>
  <si>
    <t>Premium</t>
  </si>
  <si>
    <t>Distinguished</t>
  </si>
  <si>
    <t>They/Them/Theirs</t>
  </si>
  <si>
    <t xml:space="preserve">Professional </t>
  </si>
  <si>
    <t xml:space="preserve">Adjunct </t>
  </si>
  <si>
    <t>Adjunct- BUC</t>
  </si>
  <si>
    <t>She/Her/Hers/They/Them/Theirs</t>
  </si>
  <si>
    <t>id</t>
  </si>
  <si>
    <t>tutor_name</t>
  </si>
  <si>
    <t>tier</t>
  </si>
  <si>
    <t>fl</t>
  </si>
  <si>
    <t>hire_date</t>
  </si>
  <si>
    <t>delivery_target</t>
  </si>
  <si>
    <t>sessions_on_time</t>
  </si>
  <si>
    <t>prep_time</t>
  </si>
  <si>
    <t>weighted_repurchase</t>
  </si>
  <si>
    <t>number_of_nps</t>
  </si>
  <si>
    <t>average_nps</t>
  </si>
  <si>
    <t>current_sci</t>
  </si>
  <si>
    <t>availability_percent</t>
  </si>
  <si>
    <t>Nikki Pencak</t>
  </si>
  <si>
    <t>Katherine Marino</t>
  </si>
  <si>
    <t>emp_id</t>
  </si>
  <si>
    <t>category</t>
  </si>
  <si>
    <t>subject</t>
  </si>
  <si>
    <t>created</t>
  </si>
  <si>
    <t>subject_sci</t>
  </si>
  <si>
    <t>Humanities</t>
  </si>
  <si>
    <t>AP Microeconomics</t>
  </si>
  <si>
    <t>Science</t>
  </si>
  <si>
    <t>AP Physics C: Electricity and Magnetism</t>
  </si>
  <si>
    <t>General Chemistry (College-Level)</t>
  </si>
  <si>
    <t>AP United States Government and Politics</t>
  </si>
  <si>
    <t>AP Physics C: Mechanics</t>
  </si>
  <si>
    <t>Organic Chemistry (College-Level)</t>
  </si>
  <si>
    <t>Macroeconomics (College-Level)</t>
  </si>
  <si>
    <t>AP Macroeconomics</t>
  </si>
  <si>
    <t>Biology (College-Level)</t>
  </si>
  <si>
    <t>AP Physics 1: Algebra-Based</t>
  </si>
  <si>
    <t>Psychology (College-Level)</t>
  </si>
  <si>
    <t>Math</t>
  </si>
  <si>
    <t>Linear Algebra (College-Level)</t>
  </si>
  <si>
    <t>Ryan Chaffee</t>
  </si>
  <si>
    <t>Differential Equations</t>
  </si>
  <si>
    <t>Transfer-Level Statistics (College-level)</t>
  </si>
  <si>
    <t>AP Calculus BC</t>
  </si>
  <si>
    <t>Physics (College-Level)</t>
  </si>
  <si>
    <t>AP Physics 2: Algebra-Based</t>
  </si>
  <si>
    <t>AP Chemistry</t>
  </si>
  <si>
    <t>Multivariable Calculus</t>
  </si>
  <si>
    <t>AP Calculus AB</t>
  </si>
  <si>
    <t>AP Biology</t>
  </si>
  <si>
    <t>Anatomy &amp; Physiology (College-Level)</t>
  </si>
  <si>
    <t>Language</t>
  </si>
  <si>
    <t>AP French Language and Culture</t>
  </si>
  <si>
    <t>French (College-Level)</t>
  </si>
  <si>
    <t>Spanish (College-Level)</t>
  </si>
  <si>
    <t>Computer Science</t>
  </si>
  <si>
    <t>Javascript</t>
  </si>
  <si>
    <t>C++</t>
  </si>
  <si>
    <t>AP Computer Science Principles</t>
  </si>
  <si>
    <t>Python</t>
  </si>
  <si>
    <t>Web Design (HTML/CSS)</t>
  </si>
  <si>
    <t>AP Computer Science A</t>
  </si>
  <si>
    <t>Calculus (College-Level)</t>
  </si>
  <si>
    <t>International Baccalaureate</t>
  </si>
  <si>
    <t>IB Biology</t>
  </si>
  <si>
    <t>IB Spanish</t>
  </si>
  <si>
    <t>Java</t>
  </si>
  <si>
    <t>IB Latin</t>
  </si>
  <si>
    <t>IB Physics</t>
  </si>
  <si>
    <t>IB French</t>
  </si>
  <si>
    <t>IB Computer Science</t>
  </si>
  <si>
    <t>IB Chemistry</t>
  </si>
  <si>
    <t xml:space="preserve">Physics </t>
  </si>
  <si>
    <t>AP Statistics</t>
  </si>
  <si>
    <t>AP Environmental Science</t>
  </si>
  <si>
    <t>Statistics</t>
  </si>
  <si>
    <t>AP Spanish Language and Culture</t>
  </si>
  <si>
    <t>AP Psychology</t>
  </si>
  <si>
    <t>Trigonometry</t>
  </si>
  <si>
    <t>AP Precalculus</t>
  </si>
  <si>
    <t>Calculus</t>
  </si>
  <si>
    <t>Pre-Calculus</t>
  </si>
  <si>
    <t>Integrated Math (with Calculus)</t>
  </si>
  <si>
    <t>Statistics (College-Level)</t>
  </si>
  <si>
    <t>IB Sports, Exercise, and Health Science</t>
  </si>
  <si>
    <t>IB Mathematics: Applications and Interpretation</t>
  </si>
  <si>
    <t>IB Mathematics: Analysis and Approaches</t>
  </si>
  <si>
    <t>Biology</t>
  </si>
  <si>
    <t>Geometry</t>
  </si>
  <si>
    <t>Environmental Science</t>
  </si>
  <si>
    <t>Chemistry</t>
  </si>
  <si>
    <t>Middle School Computer Science</t>
  </si>
  <si>
    <t>AP United States History</t>
  </si>
  <si>
    <t>U.S. History (College-Level)</t>
  </si>
  <si>
    <t>AP Music Theory</t>
  </si>
  <si>
    <t>AP European History</t>
  </si>
  <si>
    <t>Microeconomics</t>
  </si>
  <si>
    <t>Introductory Philosophy (College-Level)</t>
  </si>
  <si>
    <t>World History (College-Level)</t>
  </si>
  <si>
    <t>European History (College-Level)</t>
  </si>
  <si>
    <t>Western Civilization (College-Level)</t>
  </si>
  <si>
    <t>AP Comparative Government and Politics</t>
  </si>
  <si>
    <t>U.S. Government (College-Level)</t>
  </si>
  <si>
    <t>AP World History: Modern</t>
  </si>
  <si>
    <t>Algebra II</t>
  </si>
  <si>
    <t>AP Human Geography</t>
  </si>
  <si>
    <t>Macroeconomics</t>
  </si>
  <si>
    <t>English</t>
  </si>
  <si>
    <t>Writing (College-Level)</t>
  </si>
  <si>
    <t>Integrated Math (without Calculus)</t>
  </si>
  <si>
    <t>Test Prep</t>
  </si>
  <si>
    <t>GMAT</t>
  </si>
  <si>
    <t>GED</t>
  </si>
  <si>
    <t>MCAT</t>
  </si>
  <si>
    <t>LSAT</t>
  </si>
  <si>
    <t>SSAT: Middle Level (Grades 5-7)</t>
  </si>
  <si>
    <t>ISEE: Upper Level (Grade 9-12)</t>
  </si>
  <si>
    <t>SSAT: Upper Level (Grades 8-11)</t>
  </si>
  <si>
    <t>GRE</t>
  </si>
  <si>
    <t>ISEE: Middle Level (Grades 7-8)</t>
  </si>
  <si>
    <t>IB Global Politics</t>
  </si>
  <si>
    <t>IB World Religions</t>
  </si>
  <si>
    <t>IB Geography</t>
  </si>
  <si>
    <t xml:space="preserve">IB Economics </t>
  </si>
  <si>
    <t>IB Literature and Performance</t>
  </si>
  <si>
    <t>IB Literature</t>
  </si>
  <si>
    <t>IB Environmental Systems and Societies</t>
  </si>
  <si>
    <t>IB Theory of Knowledge</t>
  </si>
  <si>
    <t>IB Extended Essay</t>
  </si>
  <si>
    <t>IB Anthropology</t>
  </si>
  <si>
    <t>IB Psychology</t>
  </si>
  <si>
    <t>IB Philosophy</t>
  </si>
  <si>
    <t>IB Business Management</t>
  </si>
  <si>
    <t>IB Language and Literature</t>
  </si>
  <si>
    <t>IB History</t>
  </si>
  <si>
    <t xml:space="preserve">Anatomy &amp; Physiology </t>
  </si>
  <si>
    <t>Algebra I</t>
  </si>
  <si>
    <t>Middle School Spanish</t>
  </si>
  <si>
    <t>Elementary Spanish</t>
  </si>
  <si>
    <t>French</t>
  </si>
  <si>
    <t>Spanish</t>
  </si>
  <si>
    <t>High School Writing</t>
  </si>
  <si>
    <t>English Literature (College-Level)</t>
  </si>
  <si>
    <t>American Literature (College-Level)</t>
  </si>
  <si>
    <t>AP English Language and Composition</t>
  </si>
  <si>
    <t>Introductory Composition (College-Level)</t>
  </si>
  <si>
    <t>AP English Literature and Composition</t>
  </si>
  <si>
    <t>Psychology</t>
  </si>
  <si>
    <t>CLT10</t>
  </si>
  <si>
    <t>CLT</t>
  </si>
  <si>
    <t>ISEE: Primary 3 Level (Grade 3)</t>
  </si>
  <si>
    <t>ISEE: Lower Level (Grades 5-6)</t>
  </si>
  <si>
    <t>ISEE: Primary 4 Level (Grade 4)</t>
  </si>
  <si>
    <t>SSAT: Elementary Level (Grades 3-4)</t>
  </si>
  <si>
    <t>ISEE: Primary 2 Level (Grade 2)</t>
  </si>
  <si>
    <t>Presentation Topic</t>
  </si>
  <si>
    <t>Navigating the Critical Changes in Admissions Testing</t>
  </si>
  <si>
    <t>HSPT</t>
  </si>
  <si>
    <t>U.S. Government</t>
  </si>
  <si>
    <t>Economics</t>
  </si>
  <si>
    <t>World History</t>
  </si>
  <si>
    <t>TOEFL</t>
  </si>
  <si>
    <t>Music Theory</t>
  </si>
  <si>
    <t>College Essay Writing</t>
  </si>
  <si>
    <t>European History</t>
  </si>
  <si>
    <t>U.S. History</t>
  </si>
  <si>
    <t>Art History</t>
  </si>
  <si>
    <t xml:space="preserve">Human Geography </t>
  </si>
  <si>
    <t>Middle School Social Studies</t>
  </si>
  <si>
    <t>Learning Skills</t>
  </si>
  <si>
    <t>Executive Functioning</t>
  </si>
  <si>
    <t>Pre-Algebra</t>
  </si>
  <si>
    <t>Executive Function: Foundations (College)</t>
  </si>
  <si>
    <t>Executive Function: Foundations (Elementary)</t>
  </si>
  <si>
    <t>Elementary Executive Functioning</t>
  </si>
  <si>
    <t>Middle School-Level Math</t>
  </si>
  <si>
    <t>Middle School Executive Functioning</t>
  </si>
  <si>
    <t>Executive Function: Foundations (High School)</t>
  </si>
  <si>
    <t>Executive Function: Foundations (Middle School)</t>
  </si>
  <si>
    <t>Elementary-Level Math</t>
  </si>
  <si>
    <t>Elementary-Level English Language Arts</t>
  </si>
  <si>
    <t>Digital ACT</t>
  </si>
  <si>
    <t>PSAT/NMSQT</t>
  </si>
  <si>
    <t>Reading Comprehension</t>
  </si>
  <si>
    <t>High School English</t>
  </si>
  <si>
    <t>Middle School-Level English</t>
  </si>
  <si>
    <t>Elementary-Level Science</t>
  </si>
  <si>
    <t>Middle School-Level Science</t>
  </si>
  <si>
    <t>SAT 101</t>
  </si>
  <si>
    <t>ACT</t>
  </si>
  <si>
    <t>Paper PSAT 101</t>
  </si>
  <si>
    <t>Ben Neely</t>
  </si>
  <si>
    <t>College Planning Case Study</t>
  </si>
  <si>
    <t>ACT 101</t>
  </si>
  <si>
    <t>SAT</t>
  </si>
  <si>
    <t>Executive Function Skill Set Estimator</t>
  </si>
  <si>
    <t>PSAT 101</t>
  </si>
  <si>
    <t>PSAT 8/9</t>
  </si>
  <si>
    <t>SHSAT</t>
  </si>
  <si>
    <t>0/0</t>
  </si>
  <si>
    <t>OLD PPW</t>
  </si>
  <si>
    <t>Nicholas Kocik</t>
  </si>
  <si>
    <t>Ben Chamberlain</t>
  </si>
  <si>
    <t>Jill Watson</t>
  </si>
  <si>
    <t>Lauren Seidl</t>
  </si>
  <si>
    <t>Silvester Harrison</t>
  </si>
  <si>
    <t>Discrete Math</t>
  </si>
  <si>
    <t>delivery_percent</t>
  </si>
  <si>
    <t>Current Tier</t>
  </si>
  <si>
    <t>Faculty Leader Name</t>
  </si>
  <si>
    <t>Hire Date</t>
  </si>
  <si>
    <t xml:space="preserve">Delivery Target </t>
  </si>
  <si>
    <t>Avg. Delivery Actual</t>
  </si>
  <si>
    <t>Availability Target</t>
  </si>
  <si>
    <t>Avg. Availability Actual</t>
  </si>
  <si>
    <t>Prep Time %</t>
  </si>
  <si>
    <t>% of Active Students with Progress Updates Completed</t>
  </si>
  <si>
    <t># of NPS Scores</t>
  </si>
  <si>
    <t>Avg. NPS Score</t>
  </si>
  <si>
    <t>Autoattendance</t>
  </si>
  <si>
    <t>New 1 on 1 Students</t>
  </si>
  <si>
    <t>total 1 on 1 students</t>
  </si>
  <si>
    <t>Average AI Score for Progress Updates</t>
  </si>
  <si>
    <t>Brock Dilley</t>
  </si>
  <si>
    <t>Cayden Koselak</t>
  </si>
  <si>
    <t>Christelle Rocha</t>
  </si>
  <si>
    <t>Zach McFatridge</t>
  </si>
  <si>
    <t>11/2/25 - 11/29/25</t>
  </si>
  <si>
    <t>0/11</t>
  </si>
  <si>
    <t>0/15</t>
  </si>
  <si>
    <t>1/11</t>
  </si>
  <si>
    <t>11/13</t>
  </si>
  <si>
    <t>11/12</t>
  </si>
  <si>
    <t>8/14</t>
  </si>
  <si>
    <t>1/9</t>
  </si>
  <si>
    <t>2/9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</si>
</sst>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0.0%"/>
    <numFmt numFmtId="166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C1F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wrapText="1"/>
    </xf>
    <xf numFmtId="10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4" fontId="0" fillId="0" borderId="0" xfId="0" applyNumberFormat="1"/>
    <xf numFmtId="47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/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2" fontId="0" fillId="0" borderId="0" xfId="0" applyNumberForma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/>
    <xf numFmtId="49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mara Tedder" id="{1BE20E2A-E47A-9842-B0DE-7A434426E0A5}" userId="S::tamara.tedder@revolutionprep.com::e9897693-a2dc-4790-bbfe-ab6d3ae5a5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09-09T16:20:14.76" personId="{1BE20E2A-E47A-9842-B0DE-7A434426E0A5}" id="{AF5CE772-A590-7C46-8E80-DCDCD548F69B}">
    <text>Prep Tiime % is  (Unattended Sessions +'Session Preparation'+ 'Email or Slack Communication' )/Attended Sessions</text>
  </threadedComment>
  <threadedComment ref="N1" dT="2025-09-09T16:49:21.66" personId="{1BE20E2A-E47A-9842-B0DE-7A434426E0A5}" id="{546C8E02-1F3E-D646-8248-3B8BB95DF5B3}">
    <text>Now includes requirement to submit within 72 hours of session</text>
  </threadedComment>
  <threadedComment ref="O1" dT="2025-09-09T16:16:42.09" personId="{1BE20E2A-E47A-9842-B0DE-7A434426E0A5}" id="{1521B930-FE77-DD40-9D4B-AF118E7D37A0}">
    <text>Checking for progress updates within 2 months of last session during time period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89"/>
  <sheetViews>
    <sheetView workbookViewId="0">
      <pane ySplit="1" topLeftCell="A2267" activePane="bottomLeft" state="frozen"/>
      <selection pane="bottomLeft" activeCell="O2294" sqref="O2294"/>
    </sheetView>
  </sheetViews>
  <sheetFormatPr baseColWidth="10" defaultColWidth="8.83203125" defaultRowHeight="15" x14ac:dyDescent="0.2"/>
  <cols>
    <col min="1" max="11" width="19.33203125" customWidth="1"/>
    <col min="12" max="12" width="19.33203125" style="18" customWidth="1"/>
    <col min="13" max="13" width="13.33203125" style="18" bestFit="1" customWidth="1"/>
  </cols>
  <sheetData>
    <row r="1" spans="1:13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7" t="s">
        <v>611</v>
      </c>
      <c r="M1" s="17" t="s">
        <v>11</v>
      </c>
    </row>
    <row r="2" spans="1:13" x14ac:dyDescent="0.2">
      <c r="A2" t="s">
        <v>12</v>
      </c>
      <c r="B2" t="str">
        <f>VLOOKUP(A2,MasterTutor!A:E,4,FALSE)</f>
        <v>Advanced</v>
      </c>
      <c r="C2" t="str">
        <f>VLOOKUP(A2,MasterTutor!A:E,3,FALSE)</f>
        <v>Adjunct</v>
      </c>
      <c r="D2" t="str">
        <f>VLOOKUP(A2,MasterTutor!A:E,2,FALSE)</f>
        <v>Ian Plamondon</v>
      </c>
      <c r="E2" t="s">
        <v>13</v>
      </c>
      <c r="F2" s="2">
        <v>1.07</v>
      </c>
      <c r="G2" s="2">
        <v>1.06</v>
      </c>
      <c r="H2" s="2">
        <v>1</v>
      </c>
      <c r="I2" s="2">
        <v>1</v>
      </c>
      <c r="J2" s="2">
        <v>0.82799999999999996</v>
      </c>
      <c r="K2">
        <v>9</v>
      </c>
      <c r="L2" s="19">
        <v>0.5</v>
      </c>
      <c r="M2" s="21">
        <f>L2</f>
        <v>0.5</v>
      </c>
    </row>
    <row r="3" spans="1:13" x14ac:dyDescent="0.2">
      <c r="A3" t="s">
        <v>14</v>
      </c>
      <c r="B3" t="e">
        <f>VLOOKUP(A3,MasterTutor!A:E,4,FALSE)</f>
        <v>#N/A</v>
      </c>
      <c r="C3" t="e">
        <f>VLOOKUP(A3,MasterTutor!A:E,3,FALSE)</f>
        <v>#N/A</v>
      </c>
      <c r="D3" t="e">
        <f>VLOOKUP(A3,MasterTutor!A:E,2,FALSE)</f>
        <v>#N/A</v>
      </c>
      <c r="E3" t="s">
        <v>13</v>
      </c>
      <c r="F3" s="2">
        <v>1.08</v>
      </c>
      <c r="G3" s="2">
        <v>1.1399999999999999</v>
      </c>
      <c r="H3" s="2">
        <v>0.88600000000000001</v>
      </c>
      <c r="I3" s="2">
        <v>1</v>
      </c>
      <c r="J3" s="2">
        <v>0.58299999999999996</v>
      </c>
      <c r="K3">
        <v>2</v>
      </c>
      <c r="L3" s="19"/>
      <c r="M3" s="21"/>
    </row>
    <row r="4" spans="1:13" x14ac:dyDescent="0.2">
      <c r="A4" t="s">
        <v>15</v>
      </c>
      <c r="B4" t="str">
        <f>VLOOKUP(A4,MasterTutor!A:E,4,FALSE)</f>
        <v>Advanced</v>
      </c>
      <c r="C4" t="str">
        <f>VLOOKUP(A4,MasterTutor!A:E,3,FALSE)</f>
        <v>Professional</v>
      </c>
      <c r="D4" t="str">
        <f>VLOOKUP(A4,MasterTutor!A:E,2,FALSE)</f>
        <v>Ian Plamondon</v>
      </c>
      <c r="E4" t="s">
        <v>13</v>
      </c>
      <c r="F4" s="2">
        <v>0.97</v>
      </c>
      <c r="G4" s="2">
        <v>1.01</v>
      </c>
      <c r="H4" s="2">
        <v>1</v>
      </c>
      <c r="I4" s="2">
        <v>1</v>
      </c>
      <c r="J4" s="2">
        <v>0.32</v>
      </c>
      <c r="K4">
        <v>6</v>
      </c>
      <c r="L4" s="19">
        <v>0</v>
      </c>
      <c r="M4" s="21">
        <f>L4</f>
        <v>0</v>
      </c>
    </row>
    <row r="5" spans="1:13" x14ac:dyDescent="0.2">
      <c r="A5" t="s">
        <v>16</v>
      </c>
      <c r="B5" t="str">
        <f>VLOOKUP(A5,MasterTutor!A:E,4,FALSE)</f>
        <v>Premium</v>
      </c>
      <c r="C5" t="str">
        <f>VLOOKUP(A5,MasterTutor!A:E,3,FALSE)</f>
        <v>Adjunct</v>
      </c>
      <c r="D5" t="str">
        <f>VLOOKUP(A5,MasterTutor!A:E,2,FALSE)</f>
        <v>Ela Cross</v>
      </c>
      <c r="E5" t="s">
        <v>13</v>
      </c>
      <c r="F5" s="2">
        <v>0.99</v>
      </c>
      <c r="G5" s="2">
        <v>1</v>
      </c>
      <c r="H5" s="2">
        <v>1</v>
      </c>
      <c r="I5" s="2">
        <v>1</v>
      </c>
      <c r="J5" s="2">
        <v>0.77800000000000002</v>
      </c>
      <c r="K5">
        <v>1</v>
      </c>
      <c r="L5" s="19">
        <v>1</v>
      </c>
      <c r="M5" s="21">
        <f>L5</f>
        <v>1</v>
      </c>
    </row>
    <row r="6" spans="1:13" x14ac:dyDescent="0.2">
      <c r="A6" t="s">
        <v>17</v>
      </c>
      <c r="B6" t="str">
        <f>VLOOKUP(A6,MasterTutor!A:E,4,FALSE)</f>
        <v>Premium</v>
      </c>
      <c r="C6" t="str">
        <f>VLOOKUP(A6,MasterTutor!A:E,3,FALSE)</f>
        <v>Professional</v>
      </c>
      <c r="D6" t="str">
        <f>VLOOKUP(A6,MasterTutor!A:E,2,FALSE)</f>
        <v>Ian Plamondon</v>
      </c>
      <c r="E6" t="s">
        <v>13</v>
      </c>
      <c r="F6" s="2">
        <v>1.1599999999999999</v>
      </c>
      <c r="G6" s="2">
        <v>1.1299999999999999</v>
      </c>
      <c r="H6" s="2">
        <v>0.98270000000000002</v>
      </c>
      <c r="I6" s="2">
        <v>1</v>
      </c>
      <c r="J6" s="2">
        <v>0.73699999999999999</v>
      </c>
      <c r="K6">
        <v>0</v>
      </c>
      <c r="L6" s="19">
        <v>1</v>
      </c>
      <c r="M6" s="21">
        <f>L6</f>
        <v>1</v>
      </c>
    </row>
    <row r="7" spans="1:13" x14ac:dyDescent="0.2">
      <c r="A7" t="s">
        <v>18</v>
      </c>
      <c r="B7" t="str">
        <f>VLOOKUP(A7,MasterTutor!A:E,4,FALSE)</f>
        <v>Distinguished</v>
      </c>
      <c r="C7" t="str">
        <f>VLOOKUP(A7,MasterTutor!A:E,3,FALSE)</f>
        <v>Professional</v>
      </c>
      <c r="D7" t="str">
        <f>VLOOKUP(A7,MasterTutor!A:E,2,FALSE)</f>
        <v>Ian Plamondon</v>
      </c>
      <c r="E7" t="s">
        <v>13</v>
      </c>
      <c r="F7" s="2">
        <v>1.04</v>
      </c>
      <c r="G7" s="2">
        <v>1.02</v>
      </c>
      <c r="H7" s="2">
        <v>1</v>
      </c>
      <c r="I7" s="2">
        <v>1</v>
      </c>
      <c r="J7" s="2">
        <v>1</v>
      </c>
      <c r="K7">
        <v>5</v>
      </c>
      <c r="L7" s="19">
        <v>1</v>
      </c>
      <c r="M7" s="21">
        <f>L7</f>
        <v>1</v>
      </c>
    </row>
    <row r="8" spans="1:13" x14ac:dyDescent="0.2">
      <c r="A8" t="s">
        <v>19</v>
      </c>
      <c r="B8" t="str">
        <f>VLOOKUP(A8,MasterTutor!A:E,4,FALSE)</f>
        <v>Premium</v>
      </c>
      <c r="C8" t="str">
        <f>VLOOKUP(A8,MasterTutor!A:E,3,FALSE)</f>
        <v>Adjunct</v>
      </c>
      <c r="D8" t="str">
        <f>VLOOKUP(A8,MasterTutor!A:E,2,FALSE)</f>
        <v>Geoff St. Marie</v>
      </c>
      <c r="E8" t="s">
        <v>13</v>
      </c>
      <c r="F8" s="2">
        <v>1.39</v>
      </c>
      <c r="G8" s="2">
        <v>1.19</v>
      </c>
      <c r="H8" s="2">
        <v>1</v>
      </c>
      <c r="I8" s="2">
        <v>0.95650000000000002</v>
      </c>
      <c r="J8" s="2">
        <v>0.91700000000000004</v>
      </c>
      <c r="K8">
        <v>2</v>
      </c>
      <c r="L8" s="19"/>
      <c r="M8" s="21"/>
    </row>
    <row r="9" spans="1:13" x14ac:dyDescent="0.2">
      <c r="A9" t="s">
        <v>20</v>
      </c>
      <c r="B9" t="e">
        <f>VLOOKUP(A9,MasterTutor!A:E,4,FALSE)</f>
        <v>#N/A</v>
      </c>
      <c r="C9" t="e">
        <f>VLOOKUP(A9,MasterTutor!A:E,3,FALSE)</f>
        <v>#N/A</v>
      </c>
      <c r="D9" t="e">
        <f>VLOOKUP(A9,MasterTutor!A:E,2,FALSE)</f>
        <v>#N/A</v>
      </c>
      <c r="E9" t="s">
        <v>13</v>
      </c>
      <c r="F9" s="2">
        <v>1.38</v>
      </c>
      <c r="G9" s="2">
        <v>1.2</v>
      </c>
      <c r="H9" s="2">
        <v>0.97060000000000002</v>
      </c>
      <c r="I9" s="2">
        <v>0.98109999999999997</v>
      </c>
      <c r="J9" s="2">
        <v>1</v>
      </c>
      <c r="K9">
        <v>4</v>
      </c>
      <c r="L9" s="19">
        <v>0.8</v>
      </c>
      <c r="M9" s="21">
        <f t="shared" ref="M9:M24" si="0">L9</f>
        <v>0.8</v>
      </c>
    </row>
    <row r="10" spans="1:13" x14ac:dyDescent="0.2">
      <c r="A10" t="s">
        <v>21</v>
      </c>
      <c r="B10" t="str">
        <f>VLOOKUP(A10,MasterTutor!A:E,4,FALSE)</f>
        <v>Distinguished</v>
      </c>
      <c r="C10" t="str">
        <f>VLOOKUP(A10,MasterTutor!A:E,3,FALSE)</f>
        <v>Adjunct</v>
      </c>
      <c r="D10" t="str">
        <f>VLOOKUP(A10,MasterTutor!A:E,2,FALSE)</f>
        <v>Kristin Haase-Alvey</v>
      </c>
      <c r="E10" t="s">
        <v>13</v>
      </c>
      <c r="F10" s="2">
        <v>0.99</v>
      </c>
      <c r="G10" s="2">
        <v>1.19</v>
      </c>
      <c r="H10" s="2">
        <v>1</v>
      </c>
      <c r="I10" s="2">
        <v>0.9355</v>
      </c>
      <c r="J10" s="2">
        <v>1</v>
      </c>
      <c r="K10">
        <v>3</v>
      </c>
      <c r="L10" s="19">
        <v>1</v>
      </c>
      <c r="M10" s="21">
        <f t="shared" si="0"/>
        <v>1</v>
      </c>
    </row>
    <row r="11" spans="1:13" x14ac:dyDescent="0.2">
      <c r="A11" t="s">
        <v>22</v>
      </c>
      <c r="B11" t="str">
        <f>VLOOKUP(A11,MasterTutor!A:E,4,FALSE)</f>
        <v>Advanced</v>
      </c>
      <c r="C11" t="str">
        <f>VLOOKUP(A11,MasterTutor!A:E,3,FALSE)</f>
        <v>Professional</v>
      </c>
      <c r="D11" t="str">
        <f>VLOOKUP(A11,MasterTutor!A:E,2,FALSE)</f>
        <v>Annelies de Groot</v>
      </c>
      <c r="E11" t="s">
        <v>13</v>
      </c>
      <c r="F11" s="2">
        <v>0.41</v>
      </c>
      <c r="G11" s="2">
        <v>0.88</v>
      </c>
      <c r="H11" s="2">
        <v>1</v>
      </c>
      <c r="I11" s="2">
        <v>0.94120000000000004</v>
      </c>
      <c r="J11" s="2">
        <v>0.56299999999999994</v>
      </c>
      <c r="K11" t="e">
        <v>#N/A</v>
      </c>
      <c r="L11" s="19">
        <v>0.33333333333333331</v>
      </c>
      <c r="M11" s="21">
        <f t="shared" si="0"/>
        <v>0.33333333333333331</v>
      </c>
    </row>
    <row r="12" spans="1:13" x14ac:dyDescent="0.2">
      <c r="A12" t="s">
        <v>23</v>
      </c>
      <c r="B12" t="str">
        <f>VLOOKUP(A12,MasterTutor!A:E,4,FALSE)</f>
        <v>Premium</v>
      </c>
      <c r="C12" t="str">
        <f>VLOOKUP(A12,MasterTutor!A:E,3,FALSE)</f>
        <v>Professional</v>
      </c>
      <c r="D12" t="str">
        <f>VLOOKUP(A12,MasterTutor!A:E,2,FALSE)</f>
        <v>Jessica Milner</v>
      </c>
      <c r="E12" t="s">
        <v>13</v>
      </c>
      <c r="F12" s="2">
        <v>0.76</v>
      </c>
      <c r="G12" s="2">
        <v>1.25</v>
      </c>
      <c r="H12" s="2">
        <v>1</v>
      </c>
      <c r="I12" s="2">
        <v>0.94120000000000004</v>
      </c>
      <c r="J12" s="2">
        <v>0.16700000000000001</v>
      </c>
      <c r="K12" t="e">
        <v>#N/A</v>
      </c>
      <c r="L12" s="19">
        <v>0</v>
      </c>
      <c r="M12" s="21">
        <f t="shared" si="0"/>
        <v>0</v>
      </c>
    </row>
    <row r="13" spans="1:13" x14ac:dyDescent="0.2">
      <c r="A13" t="s">
        <v>24</v>
      </c>
      <c r="B13" t="str">
        <f>VLOOKUP(A13,MasterTutor!A:E,4,FALSE)</f>
        <v>Distinguished</v>
      </c>
      <c r="C13" t="str">
        <f>VLOOKUP(A13,MasterTutor!A:E,3,FALSE)</f>
        <v>Professional</v>
      </c>
      <c r="D13" t="str">
        <f>VLOOKUP(A13,MasterTutor!A:E,2,FALSE)</f>
        <v>Kristin Haase-Alvey</v>
      </c>
      <c r="E13" t="s">
        <v>13</v>
      </c>
      <c r="F13" s="2">
        <v>1.01</v>
      </c>
      <c r="G13" s="2">
        <v>1.01</v>
      </c>
      <c r="H13" s="2">
        <v>1</v>
      </c>
      <c r="I13" s="2">
        <v>0.76580000000000004</v>
      </c>
      <c r="J13" s="2">
        <v>0.84199999999999997</v>
      </c>
      <c r="K13">
        <v>5</v>
      </c>
      <c r="L13" s="19">
        <v>1</v>
      </c>
      <c r="M13" s="21">
        <f t="shared" si="0"/>
        <v>1</v>
      </c>
    </row>
    <row r="14" spans="1:13" x14ac:dyDescent="0.2">
      <c r="A14" t="s">
        <v>25</v>
      </c>
      <c r="B14" t="e">
        <f>VLOOKUP(A14,MasterTutor!A:E,4,FALSE)</f>
        <v>#N/A</v>
      </c>
      <c r="C14" t="e">
        <f>VLOOKUP(A14,MasterTutor!A:E,3,FALSE)</f>
        <v>#N/A</v>
      </c>
      <c r="D14" t="e">
        <f>VLOOKUP(A14,MasterTutor!A:E,2,FALSE)</f>
        <v>#N/A</v>
      </c>
      <c r="E14" t="s">
        <v>13</v>
      </c>
      <c r="F14" s="2">
        <v>1.25</v>
      </c>
      <c r="G14" s="2">
        <v>1.1100000000000001</v>
      </c>
      <c r="H14" s="2">
        <v>1</v>
      </c>
      <c r="I14" s="2">
        <v>0.6825</v>
      </c>
      <c r="J14" s="2">
        <v>0.61499999999999999</v>
      </c>
      <c r="K14">
        <v>7</v>
      </c>
      <c r="L14" s="19">
        <v>0</v>
      </c>
      <c r="M14" s="21">
        <f t="shared" si="0"/>
        <v>0</v>
      </c>
    </row>
    <row r="15" spans="1:13" x14ac:dyDescent="0.2">
      <c r="A15" t="s">
        <v>26</v>
      </c>
      <c r="B15" t="str">
        <f>VLOOKUP(A15,MasterTutor!A:E,4,FALSE)</f>
        <v>Distinguished</v>
      </c>
      <c r="C15" t="str">
        <f>VLOOKUP(A15,MasterTutor!A:E,3,FALSE)</f>
        <v>Professional</v>
      </c>
      <c r="D15" t="str">
        <f>VLOOKUP(A15,MasterTutor!A:E,2,FALSE)</f>
        <v>Ian Plamondon</v>
      </c>
      <c r="E15" t="s">
        <v>13</v>
      </c>
      <c r="F15" s="2">
        <v>0.99</v>
      </c>
      <c r="G15" s="2">
        <v>1.0900000000000001</v>
      </c>
      <c r="H15" s="2">
        <v>0.98280000000000001</v>
      </c>
      <c r="I15" s="2">
        <v>0.93420000000000003</v>
      </c>
      <c r="J15" s="2">
        <v>0.63200000000000001</v>
      </c>
      <c r="K15">
        <v>4</v>
      </c>
      <c r="L15" s="19">
        <v>0.66666666666666663</v>
      </c>
      <c r="M15" s="21">
        <f t="shared" si="0"/>
        <v>0.66666666666666663</v>
      </c>
    </row>
    <row r="16" spans="1:13" x14ac:dyDescent="0.2">
      <c r="A16" t="s">
        <v>27</v>
      </c>
      <c r="B16" t="str">
        <f>VLOOKUP(A16,MasterTutor!A:E,4,FALSE)</f>
        <v>Premium</v>
      </c>
      <c r="C16" t="str">
        <f>VLOOKUP(A16,MasterTutor!A:E,3,FALSE)</f>
        <v>Professional</v>
      </c>
      <c r="D16" t="str">
        <f>VLOOKUP(A16,MasterTutor!A:E,2,FALSE)</f>
        <v>Jessica Milner</v>
      </c>
      <c r="E16" t="s">
        <v>13</v>
      </c>
      <c r="F16" s="2">
        <v>0.78</v>
      </c>
      <c r="G16" s="2">
        <v>1.1000000000000001</v>
      </c>
      <c r="H16" s="2">
        <v>0.98680000000000001</v>
      </c>
      <c r="I16" s="2">
        <v>0.90739999999999998</v>
      </c>
      <c r="J16" s="2">
        <v>0.76900000000000002</v>
      </c>
      <c r="K16">
        <v>6</v>
      </c>
      <c r="L16" s="19">
        <v>1</v>
      </c>
      <c r="M16" s="21">
        <f t="shared" si="0"/>
        <v>1</v>
      </c>
    </row>
    <row r="17" spans="1:13" x14ac:dyDescent="0.2">
      <c r="A17" t="s">
        <v>28</v>
      </c>
      <c r="B17" t="e">
        <f>VLOOKUP(A17,MasterTutor!A:E,4,FALSE)</f>
        <v>#N/A</v>
      </c>
      <c r="C17" t="e">
        <f>VLOOKUP(A17,MasterTutor!A:E,3,FALSE)</f>
        <v>#N/A</v>
      </c>
      <c r="D17" t="e">
        <f>VLOOKUP(A17,MasterTutor!A:E,2,FALSE)</f>
        <v>#N/A</v>
      </c>
      <c r="E17" t="s">
        <v>13</v>
      </c>
      <c r="F17" s="2">
        <v>1.06</v>
      </c>
      <c r="G17" s="2">
        <v>1.06</v>
      </c>
      <c r="H17" s="2">
        <v>0.96099999999999997</v>
      </c>
      <c r="I17" s="2">
        <v>0.97089999999999999</v>
      </c>
      <c r="J17" s="2">
        <v>0.80800000000000005</v>
      </c>
      <c r="K17">
        <v>14</v>
      </c>
      <c r="L17" s="19">
        <v>1</v>
      </c>
      <c r="M17" s="21">
        <f t="shared" si="0"/>
        <v>1</v>
      </c>
    </row>
    <row r="18" spans="1:13" x14ac:dyDescent="0.2">
      <c r="A18" t="s">
        <v>29</v>
      </c>
      <c r="B18" t="str">
        <f>VLOOKUP(A18,MasterTutor!A:E,4,FALSE)</f>
        <v>Distinguished</v>
      </c>
      <c r="C18" t="str">
        <f>VLOOKUP(A18,MasterTutor!A:E,3,FALSE)</f>
        <v>Adjunct</v>
      </c>
      <c r="D18" t="str">
        <f>VLOOKUP(A18,MasterTutor!A:E,2,FALSE)</f>
        <v>Kristin Haase-Alvey</v>
      </c>
      <c r="E18" t="s">
        <v>13</v>
      </c>
      <c r="F18" s="2">
        <v>0.9</v>
      </c>
      <c r="G18" s="2">
        <v>0.83</v>
      </c>
      <c r="H18" s="2">
        <v>1</v>
      </c>
      <c r="I18" s="2">
        <v>0.97750000000000004</v>
      </c>
      <c r="J18" s="2">
        <v>0.85699999999999998</v>
      </c>
      <c r="K18">
        <v>13</v>
      </c>
      <c r="L18" s="19">
        <v>1</v>
      </c>
      <c r="M18" s="21">
        <f t="shared" si="0"/>
        <v>1</v>
      </c>
    </row>
    <row r="19" spans="1:13" x14ac:dyDescent="0.2">
      <c r="A19" t="s">
        <v>30</v>
      </c>
      <c r="B19" t="str">
        <f>VLOOKUP(A19,MasterTutor!A:E,4,FALSE)</f>
        <v>Distinguished</v>
      </c>
      <c r="C19" t="str">
        <f>VLOOKUP(A19,MasterTutor!A:E,3,FALSE)</f>
        <v>Professional</v>
      </c>
      <c r="D19" t="str">
        <f>VLOOKUP(A19,MasterTutor!A:E,2,FALSE)</f>
        <v>Ian Plamondon</v>
      </c>
      <c r="E19" t="s">
        <v>13</v>
      </c>
      <c r="F19" s="2">
        <v>1.01</v>
      </c>
      <c r="G19" s="2">
        <v>1.68</v>
      </c>
      <c r="H19" s="2">
        <v>0.97140000000000004</v>
      </c>
      <c r="I19" s="2">
        <v>1</v>
      </c>
      <c r="J19" s="2">
        <v>0.95799999999999996</v>
      </c>
      <c r="K19">
        <v>3</v>
      </c>
      <c r="L19" s="19">
        <v>0.8571428571428571</v>
      </c>
      <c r="M19" s="21">
        <f t="shared" si="0"/>
        <v>0.8571428571428571</v>
      </c>
    </row>
    <row r="20" spans="1:13" x14ac:dyDescent="0.2">
      <c r="A20" t="s">
        <v>31</v>
      </c>
      <c r="B20" t="str">
        <f>VLOOKUP(A20,MasterTutor!A:E,4,FALSE)</f>
        <v>Premium</v>
      </c>
      <c r="C20" t="str">
        <f>VLOOKUP(A20,MasterTutor!A:E,3,FALSE)</f>
        <v>Adjunct</v>
      </c>
      <c r="D20" t="str">
        <f>VLOOKUP(A20,MasterTutor!A:E,2,FALSE)</f>
        <v>Kristin Haase-Alvey</v>
      </c>
      <c r="E20" t="s">
        <v>13</v>
      </c>
      <c r="F20" s="2">
        <v>0.93</v>
      </c>
      <c r="G20" s="2">
        <v>0.95</v>
      </c>
      <c r="H20" s="2">
        <v>1</v>
      </c>
      <c r="I20" s="2">
        <v>1</v>
      </c>
      <c r="J20" s="2">
        <v>0.66700000000000004</v>
      </c>
      <c r="K20" t="e">
        <v>#N/A</v>
      </c>
      <c r="L20" s="19">
        <v>1</v>
      </c>
      <c r="M20" s="21">
        <f t="shared" si="0"/>
        <v>1</v>
      </c>
    </row>
    <row r="21" spans="1:13" x14ac:dyDescent="0.2">
      <c r="A21" t="s">
        <v>32</v>
      </c>
      <c r="B21" t="e">
        <f>VLOOKUP(A21,MasterTutor!A:E,4,FALSE)</f>
        <v>#N/A</v>
      </c>
      <c r="C21" t="e">
        <f>VLOOKUP(A21,MasterTutor!A:E,3,FALSE)</f>
        <v>#N/A</v>
      </c>
      <c r="D21" t="e">
        <f>VLOOKUP(A21,MasterTutor!A:E,2,FALSE)</f>
        <v>#N/A</v>
      </c>
      <c r="E21" t="s">
        <v>13</v>
      </c>
      <c r="F21" s="2">
        <v>0.98</v>
      </c>
      <c r="G21" s="2">
        <v>1</v>
      </c>
      <c r="H21" s="2">
        <v>0.97519999999999996</v>
      </c>
      <c r="I21" s="2">
        <v>0.97699999999999998</v>
      </c>
      <c r="J21" s="2">
        <v>0.1</v>
      </c>
      <c r="K21">
        <v>2</v>
      </c>
      <c r="L21" s="19">
        <v>0</v>
      </c>
      <c r="M21" s="21">
        <f t="shared" si="0"/>
        <v>0</v>
      </c>
    </row>
    <row r="22" spans="1:13" x14ac:dyDescent="0.2">
      <c r="A22" t="s">
        <v>33</v>
      </c>
      <c r="B22" t="str">
        <f>VLOOKUP(A22,MasterTutor!A:E,4,FALSE)</f>
        <v>Premium</v>
      </c>
      <c r="C22" t="str">
        <f>VLOOKUP(A22,MasterTutor!A:E,3,FALSE)</f>
        <v>Professional</v>
      </c>
      <c r="D22" t="str">
        <f>VLOOKUP(A22,MasterTutor!A:E,2,FALSE)</f>
        <v>Geoff St. Marie</v>
      </c>
      <c r="E22" t="s">
        <v>13</v>
      </c>
      <c r="F22" s="2">
        <v>1.33</v>
      </c>
      <c r="G22" s="2">
        <v>1.46</v>
      </c>
      <c r="H22" s="2">
        <v>0.90459999999999996</v>
      </c>
      <c r="I22" s="2">
        <v>0.68369999999999997</v>
      </c>
      <c r="J22" s="2">
        <v>0.65400000000000003</v>
      </c>
      <c r="K22">
        <v>5</v>
      </c>
      <c r="L22" s="19">
        <v>0</v>
      </c>
      <c r="M22" s="21">
        <f t="shared" si="0"/>
        <v>0</v>
      </c>
    </row>
    <row r="23" spans="1:13" x14ac:dyDescent="0.2">
      <c r="A23" t="s">
        <v>34</v>
      </c>
      <c r="B23" t="e">
        <f>VLOOKUP(A23,MasterTutor!A:E,4,FALSE)</f>
        <v>#N/A</v>
      </c>
      <c r="C23" t="e">
        <f>VLOOKUP(A23,MasterTutor!A:E,3,FALSE)</f>
        <v>#N/A</v>
      </c>
      <c r="D23" t="e">
        <f>VLOOKUP(A23,MasterTutor!A:E,2,FALSE)</f>
        <v>#N/A</v>
      </c>
      <c r="E23" t="s">
        <v>13</v>
      </c>
      <c r="F23" s="2">
        <v>1.07</v>
      </c>
      <c r="G23" s="2">
        <v>0.9</v>
      </c>
      <c r="H23" s="2">
        <v>0.98080000000000001</v>
      </c>
      <c r="I23" s="2">
        <v>0.84</v>
      </c>
      <c r="J23" s="2">
        <v>0.68799999999999994</v>
      </c>
      <c r="K23">
        <v>3</v>
      </c>
      <c r="L23" s="19">
        <v>0</v>
      </c>
      <c r="M23" s="21">
        <f t="shared" si="0"/>
        <v>0</v>
      </c>
    </row>
    <row r="24" spans="1:13" x14ac:dyDescent="0.2">
      <c r="A24" t="s">
        <v>35</v>
      </c>
      <c r="B24" t="str">
        <f>VLOOKUP(A24,MasterTutor!A:E,4,FALSE)</f>
        <v>Advanced</v>
      </c>
      <c r="C24" t="str">
        <f>VLOOKUP(A24,MasterTutor!A:E,3,FALSE)</f>
        <v>Adjunct</v>
      </c>
      <c r="D24" t="str">
        <f>VLOOKUP(A24,MasterTutor!A:E,2,FALSE)</f>
        <v>Annelies de Groot</v>
      </c>
      <c r="E24" t="s">
        <v>13</v>
      </c>
      <c r="F24" s="2">
        <v>1.59</v>
      </c>
      <c r="G24" s="2">
        <v>2.34</v>
      </c>
      <c r="H24" s="2">
        <v>0.98809999999999998</v>
      </c>
      <c r="I24" s="2">
        <v>0.89090000000000003</v>
      </c>
      <c r="J24" s="2">
        <v>0.33300000000000002</v>
      </c>
      <c r="K24">
        <v>2</v>
      </c>
      <c r="L24" s="19">
        <v>0.5</v>
      </c>
      <c r="M24" s="21">
        <f t="shared" si="0"/>
        <v>0.5</v>
      </c>
    </row>
    <row r="25" spans="1:13" x14ac:dyDescent="0.2">
      <c r="A25" t="s">
        <v>36</v>
      </c>
      <c r="B25" t="str">
        <f>VLOOKUP(A25,MasterTutor!A:E,4,FALSE)</f>
        <v>Premium</v>
      </c>
      <c r="C25" t="str">
        <f>VLOOKUP(A25,MasterTutor!A:E,3,FALSE)</f>
        <v>Professional</v>
      </c>
      <c r="D25" t="str">
        <f>VLOOKUP(A25,MasterTutor!A:E,2,FALSE)</f>
        <v>Jessica Milner</v>
      </c>
      <c r="E25" t="s">
        <v>13</v>
      </c>
      <c r="F25" s="2">
        <v>0.84</v>
      </c>
      <c r="G25" s="2">
        <v>1.08</v>
      </c>
      <c r="H25" s="2">
        <v>1</v>
      </c>
      <c r="I25" s="2">
        <v>1</v>
      </c>
      <c r="J25" s="2">
        <v>0.47099999999999997</v>
      </c>
      <c r="K25">
        <v>2</v>
      </c>
      <c r="L25" s="19"/>
      <c r="M25" s="21"/>
    </row>
    <row r="26" spans="1:13" x14ac:dyDescent="0.2">
      <c r="A26" t="s">
        <v>37</v>
      </c>
      <c r="B26" t="e">
        <f>VLOOKUP(A26,MasterTutor!A:E,4,FALSE)</f>
        <v>#N/A</v>
      </c>
      <c r="C26" t="e">
        <f>VLOOKUP(A26,MasterTutor!A:E,3,FALSE)</f>
        <v>#N/A</v>
      </c>
      <c r="D26" t="e">
        <f>VLOOKUP(A26,MasterTutor!A:E,2,FALSE)</f>
        <v>#N/A</v>
      </c>
      <c r="E26" t="s">
        <v>13</v>
      </c>
      <c r="F26" s="2">
        <v>0.97</v>
      </c>
      <c r="G26" s="2">
        <v>0.88</v>
      </c>
      <c r="H26" s="2">
        <v>0.95420000000000005</v>
      </c>
      <c r="I26" s="2">
        <v>0.97219999999999995</v>
      </c>
      <c r="J26" s="2">
        <v>0.66700000000000004</v>
      </c>
      <c r="K26">
        <v>1</v>
      </c>
      <c r="L26" s="19"/>
      <c r="M26" s="21"/>
    </row>
    <row r="27" spans="1:13" x14ac:dyDescent="0.2">
      <c r="A27" t="s">
        <v>38</v>
      </c>
      <c r="B27" t="str">
        <f>VLOOKUP(A27,MasterTutor!A:E,4,FALSE)</f>
        <v>Advanced</v>
      </c>
      <c r="C27" t="str">
        <f>VLOOKUP(A27,MasterTutor!A:E,3,FALSE)</f>
        <v>Adjunct</v>
      </c>
      <c r="D27" t="str">
        <f>VLOOKUP(A27,MasterTutor!A:E,2,FALSE)</f>
        <v>Annelies de Groot</v>
      </c>
      <c r="E27" t="s">
        <v>13</v>
      </c>
      <c r="F27" s="2">
        <v>2.0299999999999998</v>
      </c>
      <c r="G27" s="2">
        <v>2.06</v>
      </c>
      <c r="H27" s="2">
        <v>0.98629999999999995</v>
      </c>
      <c r="I27" s="2">
        <v>0.98899999999999999</v>
      </c>
      <c r="J27" s="2">
        <v>0.68</v>
      </c>
      <c r="K27">
        <v>9</v>
      </c>
      <c r="L27" s="19">
        <v>1</v>
      </c>
      <c r="M27" s="21">
        <f>L27</f>
        <v>1</v>
      </c>
    </row>
    <row r="28" spans="1:13" x14ac:dyDescent="0.2">
      <c r="A28" t="s">
        <v>39</v>
      </c>
      <c r="B28" t="str">
        <f>VLOOKUP(A28,MasterTutor!A:E,4,FALSE)</f>
        <v>Premium</v>
      </c>
      <c r="C28" t="str">
        <f>VLOOKUP(A28,MasterTutor!A:E,3,FALSE)</f>
        <v>Adjunct</v>
      </c>
      <c r="D28" t="str">
        <f>VLOOKUP(A28,MasterTutor!A:E,2,FALSE)</f>
        <v>Jessica Milner</v>
      </c>
      <c r="E28" t="s">
        <v>13</v>
      </c>
      <c r="F28" s="2">
        <v>0.82</v>
      </c>
      <c r="G28" s="2">
        <v>0.93</v>
      </c>
      <c r="H28" s="2">
        <v>1</v>
      </c>
      <c r="I28" s="2">
        <v>1</v>
      </c>
      <c r="J28" s="2">
        <v>1</v>
      </c>
      <c r="K28" t="e">
        <v>#N/A</v>
      </c>
      <c r="L28" s="19">
        <v>1</v>
      </c>
      <c r="M28" s="21">
        <f>L28</f>
        <v>1</v>
      </c>
    </row>
    <row r="29" spans="1:13" x14ac:dyDescent="0.2">
      <c r="A29" t="s">
        <v>40</v>
      </c>
      <c r="B29" t="str">
        <f>VLOOKUP(A29,MasterTutor!A:E,4,FALSE)</f>
        <v>Advanced</v>
      </c>
      <c r="C29" t="str">
        <f>VLOOKUP(A29,MasterTutor!A:E,3,FALSE)</f>
        <v>Professional</v>
      </c>
      <c r="D29" t="str">
        <f>VLOOKUP(A29,MasterTutor!A:E,2,FALSE)</f>
        <v>Annelies de Groot</v>
      </c>
      <c r="E29" t="s">
        <v>13</v>
      </c>
      <c r="F29" s="2">
        <v>1.44</v>
      </c>
      <c r="G29" s="2">
        <v>1.3</v>
      </c>
      <c r="H29" s="2">
        <v>1</v>
      </c>
      <c r="I29" s="2">
        <v>0.88460000000000005</v>
      </c>
      <c r="J29" s="2">
        <v>0.438</v>
      </c>
      <c r="K29">
        <v>14</v>
      </c>
      <c r="L29" s="19">
        <v>0.5</v>
      </c>
      <c r="M29" s="21">
        <f>L29</f>
        <v>0.5</v>
      </c>
    </row>
    <row r="30" spans="1:13" x14ac:dyDescent="0.2">
      <c r="A30" t="s">
        <v>41</v>
      </c>
      <c r="B30" t="str">
        <f>VLOOKUP(A30,MasterTutor!A:E,4,FALSE)</f>
        <v>Premium</v>
      </c>
      <c r="C30" t="str">
        <f>VLOOKUP(A30,MasterTutor!A:E,3,FALSE)</f>
        <v>Professional</v>
      </c>
      <c r="D30" t="str">
        <f>VLOOKUP(A30,MasterTutor!A:E,2,FALSE)</f>
        <v>Jessica Milner</v>
      </c>
      <c r="E30" t="s">
        <v>13</v>
      </c>
      <c r="F30" s="2">
        <v>1.05</v>
      </c>
      <c r="G30" s="2">
        <v>1.1000000000000001</v>
      </c>
      <c r="H30" s="2">
        <v>0.94430000000000003</v>
      </c>
      <c r="I30" s="2">
        <v>0.95950000000000002</v>
      </c>
      <c r="J30" s="2">
        <v>0.72199999999999998</v>
      </c>
      <c r="K30">
        <v>3</v>
      </c>
      <c r="L30" s="19">
        <v>0.66666666666666663</v>
      </c>
      <c r="M30" s="21">
        <f>L30</f>
        <v>0.66666666666666663</v>
      </c>
    </row>
    <row r="31" spans="1:13" x14ac:dyDescent="0.2">
      <c r="A31" t="s">
        <v>42</v>
      </c>
      <c r="B31" t="str">
        <f>VLOOKUP(A31,MasterTutor!A:E,4,FALSE)</f>
        <v>Premium</v>
      </c>
      <c r="C31" t="str">
        <f>VLOOKUP(A31,MasterTutor!A:E,3,FALSE)</f>
        <v>Adjunct</v>
      </c>
      <c r="D31" t="str">
        <f>VLOOKUP(A31,MasterTutor!A:E,2,FALSE)</f>
        <v>Ela Cross</v>
      </c>
      <c r="E31" t="s">
        <v>13</v>
      </c>
      <c r="F31" s="2">
        <v>0.31</v>
      </c>
      <c r="G31" s="2">
        <v>1.24</v>
      </c>
      <c r="H31" s="2">
        <v>1</v>
      </c>
      <c r="I31" s="2">
        <v>1</v>
      </c>
      <c r="J31" s="2" t="e">
        <v>#N/A</v>
      </c>
      <c r="K31" t="e">
        <v>#N/A</v>
      </c>
      <c r="L31" s="19"/>
      <c r="M31" s="21"/>
    </row>
    <row r="32" spans="1:13" x14ac:dyDescent="0.2">
      <c r="A32" t="s">
        <v>43</v>
      </c>
      <c r="B32" t="e">
        <f>VLOOKUP(A32,MasterTutor!A:E,4,FALSE)</f>
        <v>#N/A</v>
      </c>
      <c r="C32" t="e">
        <f>VLOOKUP(A32,MasterTutor!A:E,3,FALSE)</f>
        <v>#N/A</v>
      </c>
      <c r="D32" t="e">
        <f>VLOOKUP(A32,MasterTutor!A:E,2,FALSE)</f>
        <v>#N/A</v>
      </c>
      <c r="E32" t="s">
        <v>13</v>
      </c>
      <c r="F32" s="2">
        <v>1.03</v>
      </c>
      <c r="G32" s="2">
        <v>1.08</v>
      </c>
      <c r="H32" s="2">
        <v>0.97150000000000003</v>
      </c>
      <c r="I32" s="2">
        <v>0.93510000000000004</v>
      </c>
      <c r="J32" s="2">
        <v>0.53300000000000003</v>
      </c>
      <c r="K32">
        <v>7</v>
      </c>
      <c r="L32" s="19">
        <v>1</v>
      </c>
      <c r="M32" s="21">
        <f>L32</f>
        <v>1</v>
      </c>
    </row>
    <row r="33" spans="1:13" x14ac:dyDescent="0.2">
      <c r="A33" t="s">
        <v>44</v>
      </c>
      <c r="B33" t="e">
        <f>VLOOKUP(A33,MasterTutor!A:E,4,FALSE)</f>
        <v>#N/A</v>
      </c>
      <c r="C33" t="e">
        <f>VLOOKUP(A33,MasterTutor!A:E,3,FALSE)</f>
        <v>#N/A</v>
      </c>
      <c r="D33" t="e">
        <f>VLOOKUP(A33,MasterTutor!A:E,2,FALSE)</f>
        <v>#N/A</v>
      </c>
      <c r="E33" t="s">
        <v>13</v>
      </c>
      <c r="F33" s="2">
        <v>0.66</v>
      </c>
      <c r="G33" s="2">
        <v>0.56000000000000005</v>
      </c>
      <c r="H33" s="2">
        <v>0.9778</v>
      </c>
      <c r="I33" s="2">
        <v>1</v>
      </c>
      <c r="J33" s="2">
        <v>0.375</v>
      </c>
      <c r="K33">
        <v>4</v>
      </c>
      <c r="L33" s="19">
        <v>1</v>
      </c>
      <c r="M33" s="21">
        <f>L33</f>
        <v>1</v>
      </c>
    </row>
    <row r="34" spans="1:13" x14ac:dyDescent="0.2">
      <c r="A34" t="s">
        <v>45</v>
      </c>
      <c r="B34" t="str">
        <f>VLOOKUP(A34,MasterTutor!A:E,4,FALSE)</f>
        <v>Distinguished</v>
      </c>
      <c r="C34" t="str">
        <f>VLOOKUP(A34,MasterTutor!A:E,3,FALSE)</f>
        <v>Adjunct</v>
      </c>
      <c r="D34" t="str">
        <f>VLOOKUP(A34,MasterTutor!A:E,2,FALSE)</f>
        <v>Kristin Haase-Alvey</v>
      </c>
      <c r="E34" t="s">
        <v>13</v>
      </c>
      <c r="F34" s="2">
        <v>1.49</v>
      </c>
      <c r="G34" s="2">
        <v>1.34</v>
      </c>
      <c r="H34" s="2">
        <v>1</v>
      </c>
      <c r="I34" s="2">
        <v>1</v>
      </c>
      <c r="J34" s="2">
        <v>0.84599999999999997</v>
      </c>
      <c r="K34">
        <v>5</v>
      </c>
      <c r="L34" s="19"/>
      <c r="M34" s="21"/>
    </row>
    <row r="35" spans="1:13" x14ac:dyDescent="0.2">
      <c r="A35" t="s">
        <v>46</v>
      </c>
      <c r="B35" t="str">
        <f>VLOOKUP(A35,MasterTutor!A:E,4,FALSE)</f>
        <v>Distinguished</v>
      </c>
      <c r="C35" t="str">
        <f>VLOOKUP(A35,MasterTutor!A:E,3,FALSE)</f>
        <v>Professional</v>
      </c>
      <c r="D35" t="str">
        <f>VLOOKUP(A35,MasterTutor!A:E,2,FALSE)</f>
        <v>Ian Plamondon</v>
      </c>
      <c r="E35" t="s">
        <v>13</v>
      </c>
      <c r="F35" s="2">
        <v>1.47</v>
      </c>
      <c r="G35" s="2">
        <v>1.57</v>
      </c>
      <c r="H35" s="2">
        <v>0.79900000000000004</v>
      </c>
      <c r="I35" s="2">
        <v>0.84060000000000001</v>
      </c>
      <c r="J35" s="2">
        <v>0.6</v>
      </c>
      <c r="K35">
        <v>10</v>
      </c>
      <c r="L35" s="19">
        <v>0</v>
      </c>
      <c r="M35" s="21">
        <f>L35</f>
        <v>0</v>
      </c>
    </row>
    <row r="36" spans="1:13" x14ac:dyDescent="0.2">
      <c r="A36" t="s">
        <v>47</v>
      </c>
      <c r="B36" t="e">
        <f>VLOOKUP(A36,MasterTutor!A:E,4,FALSE)</f>
        <v>#N/A</v>
      </c>
      <c r="C36" t="e">
        <f>VLOOKUP(A36,MasterTutor!A:E,3,FALSE)</f>
        <v>#N/A</v>
      </c>
      <c r="D36" t="e">
        <f>VLOOKUP(A36,MasterTutor!A:E,2,FALSE)</f>
        <v>#N/A</v>
      </c>
      <c r="E36" t="s">
        <v>13</v>
      </c>
      <c r="F36" s="2">
        <v>1.57</v>
      </c>
      <c r="G36" s="2">
        <v>1.42</v>
      </c>
      <c r="H36" s="2">
        <v>1</v>
      </c>
      <c r="I36" s="2">
        <v>0.98309999999999997</v>
      </c>
      <c r="J36" s="2">
        <v>0.56299999999999994</v>
      </c>
      <c r="K36">
        <v>6</v>
      </c>
      <c r="L36" s="19">
        <v>1</v>
      </c>
      <c r="M36" s="21">
        <f>L36</f>
        <v>1</v>
      </c>
    </row>
    <row r="37" spans="1:13" x14ac:dyDescent="0.2">
      <c r="A37" t="s">
        <v>48</v>
      </c>
      <c r="B37" t="str">
        <f>VLOOKUP(A37,MasterTutor!A:E,4,FALSE)</f>
        <v>Advanced</v>
      </c>
      <c r="C37" t="str">
        <f>VLOOKUP(A37,MasterTutor!A:E,3,FALSE)</f>
        <v>Professional</v>
      </c>
      <c r="D37" t="str">
        <f>VLOOKUP(A37,MasterTutor!A:E,2,FALSE)</f>
        <v>Annelies de Groot</v>
      </c>
      <c r="E37" t="s">
        <v>13</v>
      </c>
      <c r="F37" s="2">
        <v>0.48</v>
      </c>
      <c r="G37" s="2">
        <v>0.74</v>
      </c>
      <c r="H37" s="2">
        <v>0.98719999999999997</v>
      </c>
      <c r="I37" s="2">
        <v>0.92859999999999998</v>
      </c>
      <c r="J37" s="2">
        <v>0.76500000000000001</v>
      </c>
      <c r="K37" t="e">
        <v>#N/A</v>
      </c>
      <c r="L37" s="19">
        <v>0.5</v>
      </c>
      <c r="M37" s="21">
        <f>L37</f>
        <v>0.5</v>
      </c>
    </row>
    <row r="38" spans="1:13" x14ac:dyDescent="0.2">
      <c r="A38" t="s">
        <v>49</v>
      </c>
      <c r="B38" t="str">
        <f>VLOOKUP(A38,MasterTutor!A:E,4,FALSE)</f>
        <v>Advanced</v>
      </c>
      <c r="C38" t="str">
        <f>VLOOKUP(A38,MasterTutor!A:E,3,FALSE)</f>
        <v>Professional</v>
      </c>
      <c r="D38" t="str">
        <f>VLOOKUP(A38,MasterTutor!A:E,2,FALSE)</f>
        <v>Ian Plamondon</v>
      </c>
      <c r="E38" t="s">
        <v>13</v>
      </c>
      <c r="F38" s="2">
        <v>0.76</v>
      </c>
      <c r="G38" s="2">
        <v>0.91</v>
      </c>
      <c r="H38" s="2">
        <v>0.90269999999999995</v>
      </c>
      <c r="I38" s="2">
        <v>0.88570000000000004</v>
      </c>
      <c r="J38" s="2">
        <v>0.625</v>
      </c>
      <c r="K38">
        <v>1</v>
      </c>
      <c r="L38" s="19">
        <v>0.25</v>
      </c>
      <c r="M38" s="21">
        <f>L38</f>
        <v>0.25</v>
      </c>
    </row>
    <row r="39" spans="1:13" x14ac:dyDescent="0.2">
      <c r="A39" t="s">
        <v>50</v>
      </c>
      <c r="B39" t="str">
        <f>VLOOKUP(A39,MasterTutor!A:E,4,FALSE)</f>
        <v>Premium</v>
      </c>
      <c r="C39" t="str">
        <f>VLOOKUP(A39,MasterTutor!A:E,3,FALSE)</f>
        <v>Adjunct</v>
      </c>
      <c r="D39" t="str">
        <f>VLOOKUP(A39,MasterTutor!A:E,2,FALSE)</f>
        <v>Kristin Haase-Alvey</v>
      </c>
      <c r="E39" t="s">
        <v>13</v>
      </c>
      <c r="F39" s="2">
        <v>0.83</v>
      </c>
      <c r="G39" s="2">
        <v>1.19</v>
      </c>
      <c r="H39" s="2">
        <v>0.97919999999999996</v>
      </c>
      <c r="I39" s="2">
        <v>1</v>
      </c>
      <c r="J39" s="2">
        <v>0.66700000000000004</v>
      </c>
      <c r="K39">
        <v>4</v>
      </c>
      <c r="L39" s="19">
        <v>1</v>
      </c>
      <c r="M39" s="21">
        <f>L39</f>
        <v>1</v>
      </c>
    </row>
    <row r="40" spans="1:13" x14ac:dyDescent="0.2">
      <c r="A40" t="s">
        <v>51</v>
      </c>
      <c r="B40" t="str">
        <f>VLOOKUP(A40,MasterTutor!A:E,4,FALSE)</f>
        <v>Premium</v>
      </c>
      <c r="C40" t="str">
        <f>VLOOKUP(A40,MasterTutor!A:E,3,FALSE)</f>
        <v>Adjunct</v>
      </c>
      <c r="D40" t="str">
        <f>VLOOKUP(A40,MasterTutor!A:E,2,FALSE)</f>
        <v>Annelies de Groot</v>
      </c>
      <c r="E40" t="s">
        <v>13</v>
      </c>
      <c r="F40" s="2">
        <v>0.64</v>
      </c>
      <c r="G40" s="2">
        <v>0.74</v>
      </c>
      <c r="H40" s="2">
        <v>1</v>
      </c>
      <c r="I40" s="2">
        <v>0.91669999999999996</v>
      </c>
      <c r="J40" s="2">
        <v>1</v>
      </c>
      <c r="K40">
        <v>4</v>
      </c>
      <c r="L40" s="19"/>
    </row>
    <row r="41" spans="1:13" x14ac:dyDescent="0.2">
      <c r="A41" t="s">
        <v>52</v>
      </c>
      <c r="B41" t="str">
        <f>VLOOKUP(A41,MasterTutor!A:E,4,FALSE)</f>
        <v>Premium</v>
      </c>
      <c r="C41" t="str">
        <f>VLOOKUP(A41,MasterTutor!A:E,3,FALSE)</f>
        <v>Professional</v>
      </c>
      <c r="D41" t="str">
        <f>VLOOKUP(A41,MasterTutor!A:E,2,FALSE)</f>
        <v>Jessica Milner</v>
      </c>
      <c r="E41" t="s">
        <v>13</v>
      </c>
      <c r="F41" s="2">
        <v>1.17</v>
      </c>
      <c r="G41" s="2">
        <v>1.37</v>
      </c>
      <c r="H41" s="2">
        <v>0.9919</v>
      </c>
      <c r="I41" s="2">
        <v>1</v>
      </c>
      <c r="J41" s="2">
        <v>0.6</v>
      </c>
      <c r="K41">
        <v>11</v>
      </c>
      <c r="L41" s="19"/>
    </row>
    <row r="42" spans="1:13" x14ac:dyDescent="0.2">
      <c r="A42" t="s">
        <v>53</v>
      </c>
      <c r="B42" t="str">
        <f>VLOOKUP(A42,MasterTutor!A:E,4,FALSE)</f>
        <v>Advanced</v>
      </c>
      <c r="C42" t="str">
        <f>VLOOKUP(A42,MasterTutor!A:E,3,FALSE)</f>
        <v>Professional</v>
      </c>
      <c r="D42" t="str">
        <f>VLOOKUP(A42,MasterTutor!A:E,2,FALSE)</f>
        <v>Kristin Haase-Alvey</v>
      </c>
      <c r="E42" t="s">
        <v>13</v>
      </c>
      <c r="F42" s="2">
        <v>1.56</v>
      </c>
      <c r="G42" s="2">
        <v>1.72</v>
      </c>
      <c r="H42" s="2">
        <v>0.93400000000000005</v>
      </c>
      <c r="I42" s="2">
        <v>0.97729999999999995</v>
      </c>
      <c r="J42" s="2">
        <v>0.72699999999999998</v>
      </c>
      <c r="K42">
        <v>4</v>
      </c>
      <c r="L42" s="19"/>
    </row>
    <row r="43" spans="1:13" x14ac:dyDescent="0.2">
      <c r="A43" t="s">
        <v>54</v>
      </c>
      <c r="B43" t="str">
        <f>VLOOKUP(A43,MasterTutor!A:E,4,FALSE)</f>
        <v>Premium</v>
      </c>
      <c r="C43" t="str">
        <f>VLOOKUP(A43,MasterTutor!A:E,3,FALSE)</f>
        <v>Professional</v>
      </c>
      <c r="D43" t="str">
        <f>VLOOKUP(A43,MasterTutor!A:E,2,FALSE)</f>
        <v>Jessica Milner</v>
      </c>
      <c r="E43" t="s">
        <v>13</v>
      </c>
      <c r="F43" s="2">
        <v>0.84</v>
      </c>
      <c r="G43" s="2">
        <v>1.08</v>
      </c>
      <c r="H43" s="2">
        <v>1</v>
      </c>
      <c r="I43" s="2">
        <v>0.97009999999999996</v>
      </c>
      <c r="J43" s="2">
        <v>0.29399999999999998</v>
      </c>
      <c r="K43" t="e">
        <v>#N/A</v>
      </c>
      <c r="L43" s="19">
        <v>0.8571428571428571</v>
      </c>
      <c r="M43" s="21">
        <f>L43</f>
        <v>0.8571428571428571</v>
      </c>
    </row>
    <row r="44" spans="1:13" x14ac:dyDescent="0.2">
      <c r="A44" t="s">
        <v>55</v>
      </c>
      <c r="B44" t="str">
        <f>VLOOKUP(A44,MasterTutor!A:E,4,FALSE)</f>
        <v>Premium</v>
      </c>
      <c r="C44" t="str">
        <f>VLOOKUP(A44,MasterTutor!A:E,3,FALSE)</f>
        <v>Adjunct</v>
      </c>
      <c r="D44" t="str">
        <f>VLOOKUP(A44,MasterTutor!A:E,2,FALSE)</f>
        <v>Ela Cross</v>
      </c>
      <c r="E44" t="s">
        <v>13</v>
      </c>
      <c r="F44" s="2">
        <v>0.78</v>
      </c>
      <c r="G44" s="2">
        <v>0.88</v>
      </c>
      <c r="H44" s="2">
        <v>0.67130000000000001</v>
      </c>
      <c r="I44" s="2">
        <v>0.5</v>
      </c>
      <c r="J44" s="2">
        <v>0.33300000000000002</v>
      </c>
      <c r="K44">
        <v>4</v>
      </c>
      <c r="L44" s="19">
        <v>1</v>
      </c>
      <c r="M44" s="21">
        <f>L44</f>
        <v>1</v>
      </c>
    </row>
    <row r="45" spans="1:13" x14ac:dyDescent="0.2">
      <c r="A45" t="s">
        <v>56</v>
      </c>
      <c r="B45" t="str">
        <f>VLOOKUP(A45,MasterTutor!A:E,4,FALSE)</f>
        <v>Advanced</v>
      </c>
      <c r="C45" t="str">
        <f>VLOOKUP(A45,MasterTutor!A:E,3,FALSE)</f>
        <v>Professional</v>
      </c>
      <c r="D45" t="str">
        <f>VLOOKUP(A45,MasterTutor!A:E,2,FALSE)</f>
        <v>Ela Cross</v>
      </c>
      <c r="E45" t="s">
        <v>13</v>
      </c>
      <c r="F45" s="2">
        <v>0.78</v>
      </c>
      <c r="G45" s="2">
        <v>0.93</v>
      </c>
      <c r="H45" s="2">
        <v>0.90069999999999995</v>
      </c>
      <c r="I45" s="2">
        <v>0.72460000000000002</v>
      </c>
      <c r="J45" s="2">
        <v>0.44400000000000001</v>
      </c>
      <c r="K45">
        <v>9</v>
      </c>
      <c r="L45" s="19">
        <v>0.66666666666666663</v>
      </c>
      <c r="M45" s="21">
        <f>L45</f>
        <v>0.66666666666666663</v>
      </c>
    </row>
    <row r="46" spans="1:13" x14ac:dyDescent="0.2">
      <c r="A46" t="s">
        <v>57</v>
      </c>
      <c r="B46" t="str">
        <f>VLOOKUP(A46,MasterTutor!A:E,4,FALSE)</f>
        <v>Advanced</v>
      </c>
      <c r="C46" t="str">
        <f>VLOOKUP(A46,MasterTutor!A:E,3,FALSE)</f>
        <v>Professional</v>
      </c>
      <c r="D46" t="str">
        <f>VLOOKUP(A46,MasterTutor!A:E,2,FALSE)</f>
        <v>Ian Plamondon</v>
      </c>
      <c r="E46" t="s">
        <v>13</v>
      </c>
      <c r="F46" s="2">
        <v>0</v>
      </c>
      <c r="G46" s="2">
        <v>0.18</v>
      </c>
      <c r="H46" s="2">
        <v>0</v>
      </c>
      <c r="I46" s="2">
        <v>0</v>
      </c>
      <c r="J46" s="2" t="e">
        <v>#N/A</v>
      </c>
      <c r="K46" t="e">
        <v>#N/A</v>
      </c>
      <c r="L46" s="19"/>
    </row>
    <row r="47" spans="1:13" x14ac:dyDescent="0.2">
      <c r="A47" t="s">
        <v>58</v>
      </c>
      <c r="B47" t="str">
        <f>VLOOKUP(A47,MasterTutor!A:E,4,FALSE)</f>
        <v>Premium</v>
      </c>
      <c r="C47" t="str">
        <f>VLOOKUP(A47,MasterTutor!A:E,3,FALSE)</f>
        <v>Professional</v>
      </c>
      <c r="D47" t="str">
        <f>VLOOKUP(A47,MasterTutor!A:E,2,FALSE)</f>
        <v>Jessica Milner</v>
      </c>
      <c r="E47" t="s">
        <v>13</v>
      </c>
      <c r="F47" s="2">
        <v>0.89</v>
      </c>
      <c r="G47" s="2">
        <v>1.36</v>
      </c>
      <c r="H47" s="2">
        <v>1</v>
      </c>
      <c r="I47" s="2">
        <v>0.9859</v>
      </c>
      <c r="J47" s="2">
        <v>1</v>
      </c>
      <c r="K47">
        <v>5</v>
      </c>
      <c r="L47" s="19">
        <v>0.66666666666666663</v>
      </c>
      <c r="M47" s="21">
        <f>L47</f>
        <v>0.66666666666666663</v>
      </c>
    </row>
    <row r="48" spans="1:13" x14ac:dyDescent="0.2">
      <c r="A48" t="s">
        <v>59</v>
      </c>
      <c r="B48" t="str">
        <f>VLOOKUP(A48,MasterTutor!A:E,4,FALSE)</f>
        <v>Distinguished</v>
      </c>
      <c r="C48" t="str">
        <f>VLOOKUP(A48,MasterTutor!A:E,3,FALSE)</f>
        <v>Professional</v>
      </c>
      <c r="D48" t="str">
        <f>VLOOKUP(A48,MasterTutor!A:E,2,FALSE)</f>
        <v>Ela Cross</v>
      </c>
      <c r="E48" t="s">
        <v>13</v>
      </c>
      <c r="F48" s="2">
        <v>1.06</v>
      </c>
      <c r="G48" s="2">
        <v>1.08</v>
      </c>
      <c r="H48" s="2">
        <v>1</v>
      </c>
      <c r="I48" s="2">
        <v>0.97250000000000003</v>
      </c>
      <c r="J48" s="2">
        <v>0.44400000000000001</v>
      </c>
      <c r="K48">
        <v>9</v>
      </c>
      <c r="L48" s="19">
        <v>1</v>
      </c>
      <c r="M48" s="21">
        <f>L48</f>
        <v>1</v>
      </c>
    </row>
    <row r="49" spans="1:13" x14ac:dyDescent="0.2">
      <c r="A49" t="s">
        <v>60</v>
      </c>
      <c r="B49" t="str">
        <f>VLOOKUP(A49,MasterTutor!A:E,4,FALSE)</f>
        <v>Advanced</v>
      </c>
      <c r="C49" t="str">
        <f>VLOOKUP(A49,MasterTutor!A:E,3,FALSE)</f>
        <v>Adjunct</v>
      </c>
      <c r="D49" t="str">
        <f>VLOOKUP(A49,MasterTutor!A:E,2,FALSE)</f>
        <v>Kristin Haase-Alvey</v>
      </c>
      <c r="E49" t="s">
        <v>13</v>
      </c>
      <c r="F49" s="2">
        <v>1.32</v>
      </c>
      <c r="G49" s="2">
        <v>1.43</v>
      </c>
      <c r="H49" s="2">
        <v>0.98329999999999995</v>
      </c>
      <c r="I49" s="2">
        <v>0.91839999999999999</v>
      </c>
      <c r="J49" s="2">
        <v>0.63600000000000001</v>
      </c>
      <c r="K49">
        <v>4</v>
      </c>
      <c r="L49" s="19"/>
    </row>
    <row r="50" spans="1:13" x14ac:dyDescent="0.2">
      <c r="A50" t="s">
        <v>61</v>
      </c>
      <c r="B50" t="str">
        <f>VLOOKUP(A50,MasterTutor!A:E,4,FALSE)</f>
        <v>Advanced</v>
      </c>
      <c r="C50" t="str">
        <f>VLOOKUP(A50,MasterTutor!A:E,3,FALSE)</f>
        <v>Adjunct</v>
      </c>
      <c r="D50" t="str">
        <f>VLOOKUP(A50,MasterTutor!A:E,2,FALSE)</f>
        <v>Ela Cross</v>
      </c>
      <c r="E50" t="s">
        <v>13</v>
      </c>
      <c r="F50" s="2">
        <v>1.3</v>
      </c>
      <c r="G50" s="2">
        <v>1.38</v>
      </c>
      <c r="H50" s="2">
        <v>0.97219999999999995</v>
      </c>
      <c r="I50" s="2">
        <v>1</v>
      </c>
      <c r="J50" s="2">
        <v>0.85699999999999998</v>
      </c>
      <c r="K50">
        <v>5</v>
      </c>
      <c r="L50" s="19">
        <v>0</v>
      </c>
      <c r="M50" s="21">
        <f>L50</f>
        <v>0</v>
      </c>
    </row>
    <row r="51" spans="1:13" x14ac:dyDescent="0.2">
      <c r="A51" t="s">
        <v>62</v>
      </c>
      <c r="B51" t="e">
        <f>VLOOKUP(A51,MasterTutor!A:E,4,FALSE)</f>
        <v>#N/A</v>
      </c>
      <c r="C51" t="e">
        <f>VLOOKUP(A51,MasterTutor!A:E,3,FALSE)</f>
        <v>#N/A</v>
      </c>
      <c r="D51" t="e">
        <f>VLOOKUP(A51,MasterTutor!A:E,2,FALSE)</f>
        <v>#N/A</v>
      </c>
      <c r="E51" t="s">
        <v>13</v>
      </c>
      <c r="F51" s="2">
        <v>1.08</v>
      </c>
      <c r="G51" s="2">
        <v>1.96</v>
      </c>
      <c r="H51" s="2">
        <v>0.95799999999999996</v>
      </c>
      <c r="I51" s="2">
        <v>0.9355</v>
      </c>
      <c r="J51" s="2">
        <v>0.27300000000000002</v>
      </c>
      <c r="K51">
        <v>4</v>
      </c>
      <c r="L51" s="19"/>
    </row>
    <row r="52" spans="1:13" x14ac:dyDescent="0.2">
      <c r="A52" t="s">
        <v>63</v>
      </c>
      <c r="B52" t="str">
        <f>VLOOKUP(A52,MasterTutor!A:E,4,FALSE)</f>
        <v>Advanced</v>
      </c>
      <c r="C52" t="str">
        <f>VLOOKUP(A52,MasterTutor!A:E,3,FALSE)</f>
        <v>Adjunct</v>
      </c>
      <c r="D52" t="str">
        <f>VLOOKUP(A52,MasterTutor!A:E,2,FALSE)</f>
        <v>Kristin Haase-Alvey</v>
      </c>
      <c r="E52" t="s">
        <v>13</v>
      </c>
      <c r="F52" s="2">
        <v>1.45</v>
      </c>
      <c r="G52" s="2">
        <v>1.42</v>
      </c>
      <c r="H52" s="2">
        <v>1</v>
      </c>
      <c r="I52" s="2">
        <v>0.94869999999999999</v>
      </c>
      <c r="J52" s="2">
        <v>0.9</v>
      </c>
      <c r="K52">
        <v>8</v>
      </c>
      <c r="L52" s="19"/>
    </row>
    <row r="53" spans="1:13" x14ac:dyDescent="0.2">
      <c r="A53" t="s">
        <v>64</v>
      </c>
      <c r="B53" t="str">
        <f>VLOOKUP(A53,MasterTutor!A:E,4,FALSE)</f>
        <v>Distinguished</v>
      </c>
      <c r="C53" t="str">
        <f>VLOOKUP(A53,MasterTutor!A:E,3,FALSE)</f>
        <v>Professional</v>
      </c>
      <c r="D53" t="str">
        <f>VLOOKUP(A53,MasterTutor!A:E,2,FALSE)</f>
        <v>Ian Plamondon</v>
      </c>
      <c r="E53" t="s">
        <v>13</v>
      </c>
      <c r="F53" s="2">
        <v>0.81</v>
      </c>
      <c r="G53" s="2">
        <v>0.99</v>
      </c>
      <c r="H53" s="2">
        <v>0.9304</v>
      </c>
      <c r="I53" s="2">
        <v>0.98860000000000003</v>
      </c>
      <c r="J53" s="2">
        <v>1</v>
      </c>
      <c r="K53">
        <v>5</v>
      </c>
      <c r="L53" s="19">
        <v>0.66666666666666663</v>
      </c>
      <c r="M53" s="21">
        <f t="shared" ref="M53:M60" si="1">L53</f>
        <v>0.66666666666666663</v>
      </c>
    </row>
    <row r="54" spans="1:13" x14ac:dyDescent="0.2">
      <c r="A54" t="s">
        <v>65</v>
      </c>
      <c r="B54" t="str">
        <f>VLOOKUP(A54,MasterTutor!A:E,4,FALSE)</f>
        <v>Premium</v>
      </c>
      <c r="C54" t="str">
        <f>VLOOKUP(A54,MasterTutor!A:E,3,FALSE)</f>
        <v>Professional</v>
      </c>
      <c r="D54" t="str">
        <f>VLOOKUP(A54,MasterTutor!A:E,2,FALSE)</f>
        <v>Ian Plamondon</v>
      </c>
      <c r="E54" t="s">
        <v>13</v>
      </c>
      <c r="F54" s="2">
        <v>0.95</v>
      </c>
      <c r="G54" s="2">
        <v>1.1100000000000001</v>
      </c>
      <c r="H54" s="2">
        <v>1</v>
      </c>
      <c r="I54" s="2">
        <v>1</v>
      </c>
      <c r="J54" s="2">
        <v>0.81299999999999994</v>
      </c>
      <c r="K54">
        <v>4</v>
      </c>
      <c r="L54" s="19">
        <v>1</v>
      </c>
      <c r="M54" s="21">
        <f t="shared" si="1"/>
        <v>1</v>
      </c>
    </row>
    <row r="55" spans="1:13" x14ac:dyDescent="0.2">
      <c r="A55" t="s">
        <v>66</v>
      </c>
      <c r="B55" t="e">
        <f>VLOOKUP(A55,MasterTutor!A:E,4,FALSE)</f>
        <v>#N/A</v>
      </c>
      <c r="C55" t="e">
        <f>VLOOKUP(A55,MasterTutor!A:E,3,FALSE)</f>
        <v>#N/A</v>
      </c>
      <c r="D55" t="e">
        <f>VLOOKUP(A55,MasterTutor!A:E,2,FALSE)</f>
        <v>#N/A</v>
      </c>
      <c r="E55" t="s">
        <v>13</v>
      </c>
      <c r="F55" s="2">
        <v>0.22</v>
      </c>
      <c r="G55" s="2">
        <v>0.73</v>
      </c>
      <c r="H55" s="2">
        <v>0.85709999999999997</v>
      </c>
      <c r="I55" s="2">
        <v>0.64290000000000003</v>
      </c>
      <c r="J55" s="2">
        <v>0.75</v>
      </c>
      <c r="K55" t="e">
        <v>#N/A</v>
      </c>
      <c r="L55" s="19">
        <v>1</v>
      </c>
      <c r="M55" s="21">
        <f t="shared" si="1"/>
        <v>1</v>
      </c>
    </row>
    <row r="56" spans="1:13" x14ac:dyDescent="0.2">
      <c r="A56" t="s">
        <v>67</v>
      </c>
      <c r="B56" t="str">
        <f>VLOOKUP(A56,MasterTutor!A:E,4,FALSE)</f>
        <v>Distinguished</v>
      </c>
      <c r="C56" t="str">
        <f>VLOOKUP(A56,MasterTutor!A:E,3,FALSE)</f>
        <v>Professional</v>
      </c>
      <c r="D56" t="str">
        <f>VLOOKUP(A56,MasterTutor!A:E,2,FALSE)</f>
        <v>Ian Plamondon</v>
      </c>
      <c r="E56" t="s">
        <v>13</v>
      </c>
      <c r="F56" s="2">
        <v>1.01</v>
      </c>
      <c r="G56" s="2">
        <v>1.1200000000000001</v>
      </c>
      <c r="H56" s="2">
        <v>1</v>
      </c>
      <c r="I56" s="2">
        <v>1</v>
      </c>
      <c r="J56" s="2">
        <v>0.91700000000000004</v>
      </c>
      <c r="K56">
        <v>4</v>
      </c>
      <c r="L56" s="19">
        <v>0.5</v>
      </c>
      <c r="M56" s="21">
        <f t="shared" si="1"/>
        <v>0.5</v>
      </c>
    </row>
    <row r="57" spans="1:13" x14ac:dyDescent="0.2">
      <c r="A57" t="s">
        <v>68</v>
      </c>
      <c r="B57" t="str">
        <f>VLOOKUP(A57,MasterTutor!A:E,4,FALSE)</f>
        <v>Advanced</v>
      </c>
      <c r="C57" t="str">
        <f>VLOOKUP(A57,MasterTutor!A:E,3,FALSE)</f>
        <v>Professional</v>
      </c>
      <c r="D57" t="str">
        <f>VLOOKUP(A57,MasterTutor!A:E,2,FALSE)</f>
        <v>Ian Plamondon</v>
      </c>
      <c r="E57" t="s">
        <v>13</v>
      </c>
      <c r="F57" s="2">
        <v>0.93</v>
      </c>
      <c r="G57" s="2">
        <v>1.17</v>
      </c>
      <c r="H57" s="2">
        <v>0.90939999999999999</v>
      </c>
      <c r="I57" s="2">
        <v>0.60489999999999999</v>
      </c>
      <c r="J57" s="2">
        <v>0.27800000000000002</v>
      </c>
      <c r="K57">
        <v>3</v>
      </c>
      <c r="L57" s="19">
        <v>0.6</v>
      </c>
      <c r="M57" s="21">
        <f t="shared" si="1"/>
        <v>0.6</v>
      </c>
    </row>
    <row r="58" spans="1:13" x14ac:dyDescent="0.2">
      <c r="A58" t="s">
        <v>69</v>
      </c>
      <c r="B58" t="str">
        <f>VLOOKUP(A58,MasterTutor!A:E,4,FALSE)</f>
        <v>Advanced</v>
      </c>
      <c r="C58" t="str">
        <f>VLOOKUP(A58,MasterTutor!A:E,3,FALSE)</f>
        <v>Adjunct</v>
      </c>
      <c r="D58" t="str">
        <f>VLOOKUP(A58,MasterTutor!A:E,2,FALSE)</f>
        <v>Ela Cross</v>
      </c>
      <c r="E58" t="s">
        <v>13</v>
      </c>
      <c r="F58" s="2">
        <v>1.19</v>
      </c>
      <c r="G58" s="2">
        <v>1.04</v>
      </c>
      <c r="H58" s="2">
        <v>1</v>
      </c>
      <c r="I58" s="2">
        <v>1</v>
      </c>
      <c r="J58" s="2">
        <v>1</v>
      </c>
      <c r="K58">
        <v>3</v>
      </c>
      <c r="L58" s="19">
        <v>1</v>
      </c>
      <c r="M58" s="21">
        <f t="shared" si="1"/>
        <v>1</v>
      </c>
    </row>
    <row r="59" spans="1:13" x14ac:dyDescent="0.2">
      <c r="A59" t="s">
        <v>70</v>
      </c>
      <c r="B59" t="str">
        <f>VLOOKUP(A59,MasterTutor!A:E,4,FALSE)</f>
        <v>Distinguished</v>
      </c>
      <c r="C59" t="str">
        <f>VLOOKUP(A59,MasterTutor!A:E,3,FALSE)</f>
        <v>Professional</v>
      </c>
      <c r="D59" t="str">
        <f>VLOOKUP(A59,MasterTutor!A:E,2,FALSE)</f>
        <v>Ela Cross</v>
      </c>
      <c r="E59" t="s">
        <v>13</v>
      </c>
      <c r="F59" s="2">
        <v>1.34</v>
      </c>
      <c r="G59" s="2">
        <v>1.29</v>
      </c>
      <c r="H59" s="2">
        <v>0.9849</v>
      </c>
      <c r="I59" s="2">
        <v>1</v>
      </c>
      <c r="J59" s="2">
        <v>0.72</v>
      </c>
      <c r="K59">
        <v>13</v>
      </c>
      <c r="L59" s="19">
        <v>1</v>
      </c>
      <c r="M59" s="21">
        <f t="shared" si="1"/>
        <v>1</v>
      </c>
    </row>
    <row r="60" spans="1:13" x14ac:dyDescent="0.2">
      <c r="A60" t="s">
        <v>71</v>
      </c>
      <c r="B60" t="str">
        <f>VLOOKUP(A60,MasterTutor!A:E,4,FALSE)</f>
        <v>Premium</v>
      </c>
      <c r="C60" t="str">
        <f>VLOOKUP(A60,MasterTutor!A:E,3,FALSE)</f>
        <v>Professional</v>
      </c>
      <c r="D60" t="str">
        <f>VLOOKUP(A60,MasterTutor!A:E,2,FALSE)</f>
        <v>Ian Plamondon</v>
      </c>
      <c r="E60" t="s">
        <v>13</v>
      </c>
      <c r="F60" s="2">
        <v>1.28</v>
      </c>
      <c r="G60" s="2">
        <v>1.26</v>
      </c>
      <c r="H60" s="2">
        <v>1</v>
      </c>
      <c r="I60" s="2">
        <v>0.97560000000000002</v>
      </c>
      <c r="J60" s="2">
        <v>0.77300000000000002</v>
      </c>
      <c r="K60">
        <v>1</v>
      </c>
      <c r="L60" s="19">
        <v>0.8</v>
      </c>
      <c r="M60" s="21">
        <f t="shared" si="1"/>
        <v>0.8</v>
      </c>
    </row>
    <row r="61" spans="1:13" x14ac:dyDescent="0.2">
      <c r="A61" t="s">
        <v>72</v>
      </c>
      <c r="B61" t="str">
        <f>VLOOKUP(A61,MasterTutor!A:E,4,FALSE)</f>
        <v>Premium</v>
      </c>
      <c r="C61" t="str">
        <f>VLOOKUP(A61,MasterTutor!A:E,3,FALSE)</f>
        <v>Adjunct</v>
      </c>
      <c r="D61" t="str">
        <f>VLOOKUP(A61,MasterTutor!A:E,2,FALSE)</f>
        <v>Annelies de Groot</v>
      </c>
      <c r="E61" t="s">
        <v>13</v>
      </c>
      <c r="F61" s="2">
        <v>1.18</v>
      </c>
      <c r="G61" s="2">
        <v>0.95</v>
      </c>
      <c r="H61" s="2">
        <v>1</v>
      </c>
      <c r="I61" s="2">
        <v>1</v>
      </c>
      <c r="J61" s="2">
        <v>1</v>
      </c>
      <c r="K61">
        <v>1</v>
      </c>
      <c r="L61" s="19"/>
    </row>
    <row r="62" spans="1:13" x14ac:dyDescent="0.2">
      <c r="A62" t="s">
        <v>73</v>
      </c>
      <c r="B62" t="str">
        <f>VLOOKUP(A62,MasterTutor!A:E,4,FALSE)</f>
        <v>Advanced</v>
      </c>
      <c r="C62" t="str">
        <f>VLOOKUP(A62,MasterTutor!A:E,3,FALSE)</f>
        <v>Adjunct</v>
      </c>
      <c r="D62" t="str">
        <f>VLOOKUP(A62,MasterTutor!A:E,2,FALSE)</f>
        <v>Geoff St. Marie</v>
      </c>
      <c r="E62" t="s">
        <v>13</v>
      </c>
      <c r="F62" s="2">
        <v>1.1399999999999999</v>
      </c>
      <c r="G62" s="2">
        <v>1.1299999999999999</v>
      </c>
      <c r="H62" s="2">
        <v>1</v>
      </c>
      <c r="I62" s="2">
        <v>0.86299999999999999</v>
      </c>
      <c r="J62" s="2">
        <v>0.75</v>
      </c>
      <c r="K62">
        <v>5</v>
      </c>
      <c r="L62" s="19">
        <v>1</v>
      </c>
      <c r="M62" s="21">
        <f t="shared" ref="M62:M67" si="2">L62</f>
        <v>1</v>
      </c>
    </row>
    <row r="63" spans="1:13" x14ac:dyDescent="0.2">
      <c r="A63" t="s">
        <v>74</v>
      </c>
      <c r="B63" t="str">
        <f>VLOOKUP(A63,MasterTutor!A:E,4,FALSE)</f>
        <v>Distinguished</v>
      </c>
      <c r="C63" t="str">
        <f>VLOOKUP(A63,MasterTutor!A:E,3,FALSE)</f>
        <v>Adjunct</v>
      </c>
      <c r="D63" t="str">
        <f>VLOOKUP(A63,MasterTutor!A:E,2,FALSE)</f>
        <v>Ela Cross</v>
      </c>
      <c r="E63" t="s">
        <v>13</v>
      </c>
      <c r="F63" s="2">
        <v>1</v>
      </c>
      <c r="G63" s="2">
        <v>0.99</v>
      </c>
      <c r="H63" s="2">
        <v>1</v>
      </c>
      <c r="I63" s="2">
        <v>0.9355</v>
      </c>
      <c r="J63" s="2">
        <v>0.625</v>
      </c>
      <c r="K63">
        <v>3</v>
      </c>
      <c r="L63" s="19">
        <v>1</v>
      </c>
      <c r="M63" s="21">
        <f t="shared" si="2"/>
        <v>1</v>
      </c>
    </row>
    <row r="64" spans="1:13" x14ac:dyDescent="0.2">
      <c r="A64" t="s">
        <v>75</v>
      </c>
      <c r="B64" t="str">
        <f>VLOOKUP(A64,MasterTutor!A:E,4,FALSE)</f>
        <v>Advanced</v>
      </c>
      <c r="C64" t="str">
        <f>VLOOKUP(A64,MasterTutor!A:E,3,FALSE)</f>
        <v>Professional</v>
      </c>
      <c r="D64" t="str">
        <f>VLOOKUP(A64,MasterTutor!A:E,2,FALSE)</f>
        <v>Geoff St. Marie</v>
      </c>
      <c r="E64" t="s">
        <v>13</v>
      </c>
      <c r="F64" s="2">
        <v>0.22</v>
      </c>
      <c r="G64" s="2">
        <v>0.63</v>
      </c>
      <c r="H64" s="2">
        <v>1</v>
      </c>
      <c r="I64" s="2">
        <v>0.69230000000000003</v>
      </c>
      <c r="J64" s="2">
        <v>0.83299999999999996</v>
      </c>
      <c r="K64">
        <v>1</v>
      </c>
      <c r="L64" s="19">
        <v>0</v>
      </c>
      <c r="M64" s="21">
        <f t="shared" si="2"/>
        <v>0</v>
      </c>
    </row>
    <row r="65" spans="1:13" x14ac:dyDescent="0.2">
      <c r="A65" t="s">
        <v>76</v>
      </c>
      <c r="B65" t="e">
        <f>VLOOKUP(A65,MasterTutor!A:E,4,FALSE)</f>
        <v>#N/A</v>
      </c>
      <c r="C65" t="e">
        <f>VLOOKUP(A65,MasterTutor!A:E,3,FALSE)</f>
        <v>#N/A</v>
      </c>
      <c r="D65" t="e">
        <f>VLOOKUP(A65,MasterTutor!A:E,2,FALSE)</f>
        <v>#N/A</v>
      </c>
      <c r="E65" t="s">
        <v>13</v>
      </c>
      <c r="F65" s="2">
        <v>1.05</v>
      </c>
      <c r="G65" s="2">
        <v>1.08</v>
      </c>
      <c r="H65" s="2">
        <v>1</v>
      </c>
      <c r="I65" s="2">
        <v>0.97619999999999996</v>
      </c>
      <c r="J65" s="2">
        <v>0.57099999999999995</v>
      </c>
      <c r="K65">
        <v>3</v>
      </c>
      <c r="L65" s="19">
        <v>1</v>
      </c>
      <c r="M65" s="21">
        <f t="shared" si="2"/>
        <v>1</v>
      </c>
    </row>
    <row r="66" spans="1:13" x14ac:dyDescent="0.2">
      <c r="A66" t="s">
        <v>77</v>
      </c>
      <c r="B66" t="str">
        <f>VLOOKUP(A66,MasterTutor!A:E,4,FALSE)</f>
        <v>Distinguished</v>
      </c>
      <c r="C66" t="str">
        <f>VLOOKUP(A66,MasterTutor!A:E,3,FALSE)</f>
        <v>Professional</v>
      </c>
      <c r="D66" t="str">
        <f>VLOOKUP(A66,MasterTutor!A:E,2,FALSE)</f>
        <v>Ian Plamondon</v>
      </c>
      <c r="E66" t="s">
        <v>13</v>
      </c>
      <c r="F66" s="2">
        <v>1.03</v>
      </c>
      <c r="G66" s="2">
        <v>1.06</v>
      </c>
      <c r="H66" s="2">
        <v>0.94269999999999998</v>
      </c>
      <c r="I66" s="2">
        <v>1</v>
      </c>
      <c r="J66" s="2">
        <v>0.84</v>
      </c>
      <c r="K66">
        <v>1</v>
      </c>
      <c r="L66" s="19">
        <v>0.83333333333333337</v>
      </c>
      <c r="M66" s="21">
        <f t="shared" si="2"/>
        <v>0.83333333333333337</v>
      </c>
    </row>
    <row r="67" spans="1:13" x14ac:dyDescent="0.2">
      <c r="A67" t="s">
        <v>78</v>
      </c>
      <c r="B67" t="str">
        <f>VLOOKUP(A67,MasterTutor!A:E,4,FALSE)</f>
        <v>Distinguished</v>
      </c>
      <c r="C67" t="str">
        <f>VLOOKUP(A67,MasterTutor!A:E,3,FALSE)</f>
        <v>Adjunct</v>
      </c>
      <c r="D67" t="str">
        <f>VLOOKUP(A67,MasterTutor!A:E,2,FALSE)</f>
        <v>Geoff St. Marie</v>
      </c>
      <c r="E67" t="s">
        <v>13</v>
      </c>
      <c r="F67" s="2">
        <v>1.1599999999999999</v>
      </c>
      <c r="G67" s="2">
        <v>1.19</v>
      </c>
      <c r="H67" s="2">
        <v>1</v>
      </c>
      <c r="I67" s="2">
        <v>1</v>
      </c>
      <c r="J67" s="2">
        <v>0.83299999999999996</v>
      </c>
      <c r="K67" t="e">
        <v>#N/A</v>
      </c>
      <c r="L67" s="19">
        <v>1</v>
      </c>
      <c r="M67" s="21">
        <f t="shared" si="2"/>
        <v>1</v>
      </c>
    </row>
    <row r="68" spans="1:13" x14ac:dyDescent="0.2">
      <c r="A68" t="s">
        <v>79</v>
      </c>
      <c r="B68" t="str">
        <f>VLOOKUP(A68,MasterTutor!A:E,4,FALSE)</f>
        <v>Premium</v>
      </c>
      <c r="C68" t="str">
        <f>VLOOKUP(A68,MasterTutor!A:E,3,FALSE)</f>
        <v>Professional</v>
      </c>
      <c r="D68" t="str">
        <f>VLOOKUP(A68,MasterTutor!A:E,2,FALSE)</f>
        <v>Ian Plamondon</v>
      </c>
      <c r="E68" t="s">
        <v>13</v>
      </c>
      <c r="F68" s="2">
        <v>1.04</v>
      </c>
      <c r="G68" s="2">
        <v>0.92</v>
      </c>
      <c r="H68" s="2">
        <v>0.99139999999999995</v>
      </c>
      <c r="I68" s="2">
        <v>0.91400000000000003</v>
      </c>
      <c r="J68" s="2">
        <v>0.63600000000000001</v>
      </c>
      <c r="K68">
        <v>1</v>
      </c>
      <c r="L68" s="19"/>
    </row>
    <row r="69" spans="1:13" x14ac:dyDescent="0.2">
      <c r="A69" t="s">
        <v>80</v>
      </c>
      <c r="B69" t="e">
        <f>VLOOKUP(A69,MasterTutor!A:E,4,FALSE)</f>
        <v>#N/A</v>
      </c>
      <c r="C69" t="e">
        <f>VLOOKUP(A69,MasterTutor!A:E,3,FALSE)</f>
        <v>#N/A</v>
      </c>
      <c r="D69" t="e">
        <f>VLOOKUP(A69,MasterTutor!A:E,2,FALSE)</f>
        <v>#N/A</v>
      </c>
      <c r="E69" t="s">
        <v>13</v>
      </c>
      <c r="F69" s="2">
        <v>0.8</v>
      </c>
      <c r="G69" s="2">
        <v>0.85</v>
      </c>
      <c r="H69" s="2">
        <v>0.97699999999999998</v>
      </c>
      <c r="I69" s="2">
        <v>0.94199999999999995</v>
      </c>
      <c r="J69" s="2">
        <v>0</v>
      </c>
      <c r="K69" t="e">
        <v>#N/A</v>
      </c>
      <c r="L69" s="19"/>
    </row>
    <row r="70" spans="1:13" x14ac:dyDescent="0.2">
      <c r="A70" t="s">
        <v>81</v>
      </c>
      <c r="B70" t="str">
        <f>VLOOKUP(A70,MasterTutor!A:E,4,FALSE)</f>
        <v>Distinguished</v>
      </c>
      <c r="C70" t="str">
        <f>VLOOKUP(A70,MasterTutor!A:E,3,FALSE)</f>
        <v>Professional</v>
      </c>
      <c r="D70" t="str">
        <f>VLOOKUP(A70,MasterTutor!A:E,2,FALSE)</f>
        <v>Ian Plamondon</v>
      </c>
      <c r="E70" t="s">
        <v>13</v>
      </c>
      <c r="F70" s="2">
        <v>1</v>
      </c>
      <c r="G70" s="2">
        <v>1.1499999999999999</v>
      </c>
      <c r="H70" s="2">
        <v>0.97370000000000001</v>
      </c>
      <c r="I70" s="2">
        <v>0.9748</v>
      </c>
      <c r="J70" s="2">
        <v>0.53800000000000003</v>
      </c>
      <c r="K70">
        <v>2</v>
      </c>
      <c r="L70" s="19">
        <v>0</v>
      </c>
      <c r="M70" s="21">
        <f t="shared" ref="M70:M85" si="3">L70</f>
        <v>0</v>
      </c>
    </row>
    <row r="71" spans="1:13" x14ac:dyDescent="0.2">
      <c r="A71" t="s">
        <v>82</v>
      </c>
      <c r="B71" t="str">
        <f>VLOOKUP(A71,MasterTutor!A:E,4,FALSE)</f>
        <v>Premium</v>
      </c>
      <c r="C71" t="str">
        <f>VLOOKUP(A71,MasterTutor!A:E,3,FALSE)</f>
        <v>Adjunct</v>
      </c>
      <c r="D71" t="str">
        <f>VLOOKUP(A71,MasterTutor!A:E,2,FALSE)</f>
        <v>Jessica Milner</v>
      </c>
      <c r="E71" t="s">
        <v>13</v>
      </c>
      <c r="F71" s="2">
        <v>0.84</v>
      </c>
      <c r="G71" s="2">
        <v>1.0900000000000001</v>
      </c>
      <c r="H71" s="2">
        <v>1</v>
      </c>
      <c r="I71" s="2">
        <v>1</v>
      </c>
      <c r="J71" s="2">
        <v>1</v>
      </c>
      <c r="K71">
        <v>5</v>
      </c>
      <c r="L71" s="19">
        <v>1</v>
      </c>
      <c r="M71" s="21">
        <f t="shared" si="3"/>
        <v>1</v>
      </c>
    </row>
    <row r="72" spans="1:13" x14ac:dyDescent="0.2">
      <c r="A72" t="s">
        <v>83</v>
      </c>
      <c r="B72" t="str">
        <f>VLOOKUP(A72,MasterTutor!A:E,4,FALSE)</f>
        <v>Premium</v>
      </c>
      <c r="C72" t="str">
        <f>VLOOKUP(A72,MasterTutor!A:E,3,FALSE)</f>
        <v>Professional</v>
      </c>
      <c r="D72" t="str">
        <f>VLOOKUP(A72,MasterTutor!A:E,2,FALSE)</f>
        <v>Jessica Milner</v>
      </c>
      <c r="E72" t="s">
        <v>13</v>
      </c>
      <c r="F72" s="2">
        <v>1.31</v>
      </c>
      <c r="G72" s="2">
        <v>1.62</v>
      </c>
      <c r="H72" s="2">
        <v>0.98650000000000004</v>
      </c>
      <c r="I72" s="2">
        <v>1</v>
      </c>
      <c r="J72" s="2">
        <v>0.71399999999999997</v>
      </c>
      <c r="K72">
        <v>1</v>
      </c>
      <c r="L72" s="19">
        <v>0.5</v>
      </c>
      <c r="M72" s="21">
        <f t="shared" si="3"/>
        <v>0.5</v>
      </c>
    </row>
    <row r="73" spans="1:13" x14ac:dyDescent="0.2">
      <c r="A73" t="s">
        <v>84</v>
      </c>
      <c r="B73" t="str">
        <f>VLOOKUP(A73,MasterTutor!A:E,4,FALSE)</f>
        <v>Advanced</v>
      </c>
      <c r="C73" t="str">
        <f>VLOOKUP(A73,MasterTutor!A:E,3,FALSE)</f>
        <v>Professional</v>
      </c>
      <c r="D73" t="str">
        <f>VLOOKUP(A73,MasterTutor!A:E,2,FALSE)</f>
        <v>Kristin Haase-Alvey</v>
      </c>
      <c r="E73" t="s">
        <v>13</v>
      </c>
      <c r="F73" s="2">
        <v>0.69</v>
      </c>
      <c r="G73" s="2">
        <v>0.9</v>
      </c>
      <c r="H73" s="2">
        <v>1</v>
      </c>
      <c r="I73" s="2">
        <v>0.78949999999999998</v>
      </c>
      <c r="J73" s="2">
        <v>0.7</v>
      </c>
      <c r="K73">
        <v>3</v>
      </c>
      <c r="L73" s="19">
        <v>0.25</v>
      </c>
      <c r="M73" s="21">
        <f t="shared" si="3"/>
        <v>0.25</v>
      </c>
    </row>
    <row r="74" spans="1:13" x14ac:dyDescent="0.2">
      <c r="A74" t="s">
        <v>85</v>
      </c>
      <c r="B74" t="str">
        <f>VLOOKUP(A74,MasterTutor!A:E,4,FALSE)</f>
        <v>Premium</v>
      </c>
      <c r="C74" t="str">
        <f>VLOOKUP(A74,MasterTutor!A:E,3,FALSE)</f>
        <v>Professional</v>
      </c>
      <c r="D74" t="str">
        <f>VLOOKUP(A74,MasterTutor!A:E,2,FALSE)</f>
        <v>Ian Plamondon</v>
      </c>
      <c r="E74" t="s">
        <v>13</v>
      </c>
      <c r="F74" s="2">
        <v>1.1499999999999999</v>
      </c>
      <c r="G74" s="2">
        <v>1.49</v>
      </c>
      <c r="H74" s="2">
        <v>1</v>
      </c>
      <c r="I74" s="2">
        <v>0.96</v>
      </c>
      <c r="J74" s="2">
        <v>0.96</v>
      </c>
      <c r="K74">
        <v>1</v>
      </c>
      <c r="L74" s="19">
        <v>0.6</v>
      </c>
      <c r="M74" s="21">
        <f t="shared" si="3"/>
        <v>0.6</v>
      </c>
    </row>
    <row r="75" spans="1:13" x14ac:dyDescent="0.2">
      <c r="A75" t="s">
        <v>86</v>
      </c>
      <c r="B75" t="e">
        <f>VLOOKUP(A75,MasterTutor!A:E,4,FALSE)</f>
        <v>#N/A</v>
      </c>
      <c r="C75" t="e">
        <f>VLOOKUP(A75,MasterTutor!A:E,3,FALSE)</f>
        <v>#N/A</v>
      </c>
      <c r="D75" t="e">
        <f>VLOOKUP(A75,MasterTutor!A:E,2,FALSE)</f>
        <v>#N/A</v>
      </c>
      <c r="E75" t="s">
        <v>13</v>
      </c>
      <c r="F75" s="2">
        <v>0.73</v>
      </c>
      <c r="G75" s="2">
        <v>1.1599999999999999</v>
      </c>
      <c r="H75" s="2">
        <v>0.91220000000000001</v>
      </c>
      <c r="I75" s="2">
        <v>0.78949999999999998</v>
      </c>
      <c r="J75" s="2">
        <v>0.75</v>
      </c>
      <c r="K75">
        <v>3</v>
      </c>
      <c r="L75" s="19">
        <v>1</v>
      </c>
      <c r="M75" s="21">
        <f t="shared" si="3"/>
        <v>1</v>
      </c>
    </row>
    <row r="76" spans="1:13" x14ac:dyDescent="0.2">
      <c r="A76" t="s">
        <v>87</v>
      </c>
      <c r="B76" t="str">
        <f>VLOOKUP(A76,MasterTutor!A:E,4,FALSE)</f>
        <v>Advanced</v>
      </c>
      <c r="C76" t="str">
        <f>VLOOKUP(A76,MasterTutor!A:E,3,FALSE)</f>
        <v>Adjunct</v>
      </c>
      <c r="D76" t="str">
        <f>VLOOKUP(A76,MasterTutor!A:E,2,FALSE)</f>
        <v>Ela Cross</v>
      </c>
      <c r="E76" t="s">
        <v>13</v>
      </c>
      <c r="F76" s="2">
        <v>1.43</v>
      </c>
      <c r="G76" s="2">
        <v>1.39</v>
      </c>
      <c r="H76" s="2">
        <v>1</v>
      </c>
      <c r="I76" s="2">
        <v>1</v>
      </c>
      <c r="J76" s="2">
        <v>0.56000000000000005</v>
      </c>
      <c r="K76">
        <v>13</v>
      </c>
      <c r="L76" s="19">
        <v>0.8</v>
      </c>
      <c r="M76" s="21">
        <f t="shared" si="3"/>
        <v>0.8</v>
      </c>
    </row>
    <row r="77" spans="1:13" x14ac:dyDescent="0.2">
      <c r="A77" t="s">
        <v>88</v>
      </c>
      <c r="B77" t="str">
        <f>VLOOKUP(A77,MasterTutor!A:E,4,FALSE)</f>
        <v>Distinguished</v>
      </c>
      <c r="C77" t="str">
        <f>VLOOKUP(A77,MasterTutor!A:E,3,FALSE)</f>
        <v>Professional</v>
      </c>
      <c r="D77" t="str">
        <f>VLOOKUP(A77,MasterTutor!A:E,2,FALSE)</f>
        <v>Ian Plamondon</v>
      </c>
      <c r="E77" t="s">
        <v>13</v>
      </c>
      <c r="F77" s="2">
        <v>1.27</v>
      </c>
      <c r="G77" s="2">
        <v>1.28</v>
      </c>
      <c r="H77" s="2">
        <v>0.99490000000000001</v>
      </c>
      <c r="I77" s="2">
        <v>0.99219999999999997</v>
      </c>
      <c r="J77" s="2">
        <v>0.92700000000000005</v>
      </c>
      <c r="K77">
        <v>7</v>
      </c>
      <c r="L77" s="19">
        <v>0.875</v>
      </c>
      <c r="M77" s="21">
        <f t="shared" si="3"/>
        <v>0.875</v>
      </c>
    </row>
    <row r="78" spans="1:13" x14ac:dyDescent="0.2">
      <c r="A78" t="s">
        <v>89</v>
      </c>
      <c r="B78" t="e">
        <f>VLOOKUP(A78,MasterTutor!A:E,4,FALSE)</f>
        <v>#N/A</v>
      </c>
      <c r="C78" t="e">
        <f>VLOOKUP(A78,MasterTutor!A:E,3,FALSE)</f>
        <v>#N/A</v>
      </c>
      <c r="D78" t="e">
        <f>VLOOKUP(A78,MasterTutor!A:E,2,FALSE)</f>
        <v>#N/A</v>
      </c>
      <c r="E78" t="s">
        <v>13</v>
      </c>
      <c r="F78" s="2">
        <v>0.93</v>
      </c>
      <c r="G78" s="2">
        <v>0.95</v>
      </c>
      <c r="H78" s="2">
        <v>0.97529999999999994</v>
      </c>
      <c r="I78" s="2">
        <v>0.65629999999999999</v>
      </c>
      <c r="J78" s="2">
        <v>0.83299999999999996</v>
      </c>
      <c r="K78">
        <v>4</v>
      </c>
      <c r="L78" s="19">
        <v>0.5714285714285714</v>
      </c>
      <c r="M78" s="21">
        <f t="shared" si="3"/>
        <v>0.5714285714285714</v>
      </c>
    </row>
    <row r="79" spans="1:13" x14ac:dyDescent="0.2">
      <c r="A79" t="s">
        <v>90</v>
      </c>
      <c r="B79" t="str">
        <f>VLOOKUP(A79,MasterTutor!A:E,4,FALSE)</f>
        <v>Advanced</v>
      </c>
      <c r="C79" t="str">
        <f>VLOOKUP(A79,MasterTutor!A:E,3,FALSE)</f>
        <v>Adjunct</v>
      </c>
      <c r="D79" t="str">
        <f>VLOOKUP(A79,MasterTutor!A:E,2,FALSE)</f>
        <v>Ela Cross</v>
      </c>
      <c r="E79" t="s">
        <v>13</v>
      </c>
      <c r="F79" s="2">
        <v>1.33</v>
      </c>
      <c r="G79" s="2">
        <v>1.45</v>
      </c>
      <c r="H79" s="2">
        <v>0.79420000000000002</v>
      </c>
      <c r="I79" s="2">
        <v>1</v>
      </c>
      <c r="J79" s="2">
        <v>0.23100000000000001</v>
      </c>
      <c r="K79">
        <v>4</v>
      </c>
      <c r="L79" s="19">
        <v>1</v>
      </c>
      <c r="M79" s="21">
        <f t="shared" si="3"/>
        <v>1</v>
      </c>
    </row>
    <row r="80" spans="1:13" x14ac:dyDescent="0.2">
      <c r="A80" t="s">
        <v>91</v>
      </c>
      <c r="B80" t="e">
        <f>VLOOKUP(A80,MasterTutor!A:E,4,FALSE)</f>
        <v>#N/A</v>
      </c>
      <c r="C80" t="e">
        <f>VLOOKUP(A80,MasterTutor!A:E,3,FALSE)</f>
        <v>#N/A</v>
      </c>
      <c r="D80" t="e">
        <f>VLOOKUP(A80,MasterTutor!A:E,2,FALSE)</f>
        <v>#N/A</v>
      </c>
      <c r="E80" t="s">
        <v>13</v>
      </c>
      <c r="F80" s="2">
        <v>0.97</v>
      </c>
      <c r="G80" s="2">
        <v>1.1399999999999999</v>
      </c>
      <c r="H80" s="2">
        <v>0.72650000000000003</v>
      </c>
      <c r="I80" s="2">
        <v>0.79779999999999995</v>
      </c>
      <c r="J80" s="2">
        <v>0.33300000000000002</v>
      </c>
      <c r="K80">
        <v>2</v>
      </c>
      <c r="L80" s="19">
        <v>0</v>
      </c>
      <c r="M80" s="21">
        <f t="shared" si="3"/>
        <v>0</v>
      </c>
    </row>
    <row r="81" spans="1:13" x14ac:dyDescent="0.2">
      <c r="A81" t="s">
        <v>92</v>
      </c>
      <c r="B81" t="str">
        <f>VLOOKUP(A81,MasterTutor!A:E,4,FALSE)</f>
        <v>Premium</v>
      </c>
      <c r="C81" t="str">
        <f>VLOOKUP(A81,MasterTutor!A:E,3,FALSE)</f>
        <v>Professional</v>
      </c>
      <c r="D81" t="str">
        <f>VLOOKUP(A81,MasterTutor!A:E,2,FALSE)</f>
        <v>Ian Plamondon</v>
      </c>
      <c r="E81" t="s">
        <v>13</v>
      </c>
      <c r="F81" s="2">
        <v>0.77</v>
      </c>
      <c r="G81" s="2">
        <v>1.1000000000000001</v>
      </c>
      <c r="H81" s="2">
        <v>1</v>
      </c>
      <c r="I81" s="2">
        <v>0.93899999999999995</v>
      </c>
      <c r="J81" s="2">
        <v>0.63200000000000001</v>
      </c>
      <c r="K81" t="e">
        <v>#N/A</v>
      </c>
      <c r="L81" s="19">
        <v>0.77777777777777779</v>
      </c>
      <c r="M81" s="21">
        <f t="shared" si="3"/>
        <v>0.77777777777777779</v>
      </c>
    </row>
    <row r="82" spans="1:13" x14ac:dyDescent="0.2">
      <c r="A82" t="s">
        <v>93</v>
      </c>
      <c r="B82" t="str">
        <f>VLOOKUP(A82,MasterTutor!A:E,4,FALSE)</f>
        <v>Advanced</v>
      </c>
      <c r="C82" t="str">
        <f>VLOOKUP(A82,MasterTutor!A:E,3,FALSE)</f>
        <v>Professional</v>
      </c>
      <c r="D82" t="str">
        <f>VLOOKUP(A82,MasterTutor!A:E,2,FALSE)</f>
        <v>Ian Plamondon</v>
      </c>
      <c r="E82" t="s">
        <v>13</v>
      </c>
      <c r="F82" s="2">
        <v>1.08</v>
      </c>
      <c r="G82" s="2">
        <v>1.1399999999999999</v>
      </c>
      <c r="H82" s="2">
        <v>1</v>
      </c>
      <c r="I82" s="2">
        <v>0.90400000000000003</v>
      </c>
      <c r="J82" s="2">
        <v>0.78100000000000003</v>
      </c>
      <c r="K82">
        <v>8</v>
      </c>
      <c r="L82" s="19">
        <v>0.33333333333333331</v>
      </c>
      <c r="M82" s="21">
        <f t="shared" si="3"/>
        <v>0.33333333333333331</v>
      </c>
    </row>
    <row r="83" spans="1:13" x14ac:dyDescent="0.2">
      <c r="A83" t="s">
        <v>94</v>
      </c>
      <c r="B83" t="str">
        <f>VLOOKUP(A83,MasterTutor!A:E,4,FALSE)</f>
        <v>Premium</v>
      </c>
      <c r="C83" t="str">
        <f>VLOOKUP(A83,MasterTutor!A:E,3,FALSE)</f>
        <v>Professional</v>
      </c>
      <c r="D83" t="str">
        <f>VLOOKUP(A83,MasterTutor!A:E,2,FALSE)</f>
        <v>Jessica Milner</v>
      </c>
      <c r="E83" t="s">
        <v>13</v>
      </c>
      <c r="F83" s="2">
        <v>0.93</v>
      </c>
      <c r="G83" s="2">
        <v>1.1299999999999999</v>
      </c>
      <c r="H83" s="2">
        <v>0.97219999999999995</v>
      </c>
      <c r="I83" s="2">
        <v>1</v>
      </c>
      <c r="J83" s="2">
        <v>0.38100000000000001</v>
      </c>
      <c r="K83">
        <v>2</v>
      </c>
      <c r="L83" s="19">
        <v>0.5</v>
      </c>
      <c r="M83" s="21">
        <f t="shared" si="3"/>
        <v>0.5</v>
      </c>
    </row>
    <row r="84" spans="1:13" x14ac:dyDescent="0.2">
      <c r="A84" t="s">
        <v>95</v>
      </c>
      <c r="B84" t="str">
        <f>VLOOKUP(A84,MasterTutor!A:E,4,FALSE)</f>
        <v>Advanced</v>
      </c>
      <c r="C84" t="str">
        <f>VLOOKUP(A84,MasterTutor!A:E,3,FALSE)</f>
        <v>Professional</v>
      </c>
      <c r="D84" t="str">
        <f>VLOOKUP(A84,MasterTutor!A:E,2,FALSE)</f>
        <v>Kristin Haase-Alvey</v>
      </c>
      <c r="E84" t="s">
        <v>13</v>
      </c>
      <c r="F84" s="2">
        <v>0.9</v>
      </c>
      <c r="G84" s="2">
        <v>0.95</v>
      </c>
      <c r="H84" s="2">
        <v>0.93440000000000001</v>
      </c>
      <c r="I84" s="2">
        <v>0.96</v>
      </c>
      <c r="J84" s="2">
        <v>0.35299999999999998</v>
      </c>
      <c r="K84">
        <v>6</v>
      </c>
      <c r="L84" s="19">
        <v>1</v>
      </c>
      <c r="M84" s="21">
        <f t="shared" si="3"/>
        <v>1</v>
      </c>
    </row>
    <row r="85" spans="1:13" x14ac:dyDescent="0.2">
      <c r="A85" t="s">
        <v>96</v>
      </c>
      <c r="B85" t="str">
        <f>VLOOKUP(A85,MasterTutor!A:E,4,FALSE)</f>
        <v>Distinguished</v>
      </c>
      <c r="C85" t="str">
        <f>VLOOKUP(A85,MasterTutor!A:E,3,FALSE)</f>
        <v>Adjunct</v>
      </c>
      <c r="D85" t="str">
        <f>VLOOKUP(A85,MasterTutor!A:E,2,FALSE)</f>
        <v>Kristin Haase-Alvey</v>
      </c>
      <c r="E85" t="s">
        <v>13</v>
      </c>
      <c r="F85" s="2">
        <v>1.07</v>
      </c>
      <c r="G85" s="2">
        <v>1.1399999999999999</v>
      </c>
      <c r="H85" s="2">
        <v>0.97440000000000004</v>
      </c>
      <c r="I85" s="2">
        <v>1</v>
      </c>
      <c r="J85" s="2">
        <v>0.83299999999999996</v>
      </c>
      <c r="K85">
        <v>9</v>
      </c>
      <c r="L85" s="19">
        <v>1</v>
      </c>
      <c r="M85" s="21">
        <f t="shared" si="3"/>
        <v>1</v>
      </c>
    </row>
    <row r="86" spans="1:13" x14ac:dyDescent="0.2">
      <c r="A86" t="s">
        <v>97</v>
      </c>
      <c r="B86" t="str">
        <f>VLOOKUP(A86,MasterTutor!A:E,4,FALSE)</f>
        <v>Advanced</v>
      </c>
      <c r="C86" t="str">
        <f>VLOOKUP(A86,MasterTutor!A:E,3,FALSE)</f>
        <v>Professional</v>
      </c>
      <c r="D86" t="str">
        <f>VLOOKUP(A86,MasterTutor!A:E,2,FALSE)</f>
        <v>Kristin Haase-Alvey</v>
      </c>
      <c r="E86" t="s">
        <v>13</v>
      </c>
      <c r="F86" s="2">
        <v>0</v>
      </c>
      <c r="G86" s="2">
        <v>0.1</v>
      </c>
      <c r="H86" s="2">
        <v>0</v>
      </c>
      <c r="I86" s="2">
        <v>0</v>
      </c>
      <c r="J86" s="2" t="e">
        <v>#N/A</v>
      </c>
      <c r="K86" t="e">
        <v>#N/A</v>
      </c>
      <c r="L86" s="19"/>
    </row>
    <row r="87" spans="1:13" x14ac:dyDescent="0.2">
      <c r="A87" t="s">
        <v>98</v>
      </c>
      <c r="B87" t="str">
        <f>VLOOKUP(A87,MasterTutor!A:E,4,FALSE)</f>
        <v>Premium</v>
      </c>
      <c r="C87" t="str">
        <f>VLOOKUP(A87,MasterTutor!A:E,3,FALSE)</f>
        <v>Adjunct</v>
      </c>
      <c r="D87" t="str">
        <f>VLOOKUP(A87,MasterTutor!A:E,2,FALSE)</f>
        <v>Ela Cross</v>
      </c>
      <c r="E87" t="s">
        <v>13</v>
      </c>
      <c r="F87" s="2">
        <v>1.17</v>
      </c>
      <c r="G87" s="2">
        <v>1.4</v>
      </c>
      <c r="H87" s="2">
        <v>1</v>
      </c>
      <c r="I87" s="2">
        <v>0.90700000000000003</v>
      </c>
      <c r="J87" s="2">
        <v>0.90900000000000003</v>
      </c>
      <c r="K87">
        <v>4</v>
      </c>
      <c r="L87" s="19">
        <v>1</v>
      </c>
      <c r="M87" s="21">
        <f>L87</f>
        <v>1</v>
      </c>
    </row>
    <row r="88" spans="1:13" x14ac:dyDescent="0.2">
      <c r="A88" t="s">
        <v>99</v>
      </c>
      <c r="B88" t="e">
        <f>VLOOKUP(A88,MasterTutor!A:E,4,FALSE)</f>
        <v>#N/A</v>
      </c>
      <c r="C88" t="e">
        <f>VLOOKUP(A88,MasterTutor!A:E,3,FALSE)</f>
        <v>#N/A</v>
      </c>
      <c r="D88" t="e">
        <f>VLOOKUP(A88,MasterTutor!A:E,2,FALSE)</f>
        <v>#N/A</v>
      </c>
      <c r="E88" t="s">
        <v>13</v>
      </c>
      <c r="F88" s="2">
        <v>0.37</v>
      </c>
      <c r="G88" s="2">
        <v>1.23</v>
      </c>
      <c r="H88" s="2">
        <v>0.95</v>
      </c>
      <c r="I88" s="2">
        <v>0.69230000000000003</v>
      </c>
      <c r="J88" s="2">
        <v>0</v>
      </c>
      <c r="K88" t="e">
        <v>#N/A</v>
      </c>
      <c r="L88" s="19"/>
    </row>
    <row r="89" spans="1:13" x14ac:dyDescent="0.2">
      <c r="A89" t="s">
        <v>100</v>
      </c>
      <c r="B89" t="str">
        <f>VLOOKUP(A89,MasterTutor!A:E,4,FALSE)</f>
        <v>Premium</v>
      </c>
      <c r="C89" t="str">
        <f>VLOOKUP(A89,MasterTutor!A:E,3,FALSE)</f>
        <v>Adjunct</v>
      </c>
      <c r="D89" t="str">
        <f>VLOOKUP(A89,MasterTutor!A:E,2,FALSE)</f>
        <v>Annelies de Groot</v>
      </c>
      <c r="E89" t="s">
        <v>13</v>
      </c>
      <c r="F89" s="2">
        <v>1.58</v>
      </c>
      <c r="G89" s="2">
        <v>1.3</v>
      </c>
      <c r="H89" s="2">
        <v>0.98680000000000001</v>
      </c>
      <c r="I89" s="2">
        <v>1</v>
      </c>
      <c r="J89" s="2">
        <v>0.83299999999999996</v>
      </c>
      <c r="K89">
        <v>0</v>
      </c>
      <c r="L89" s="19">
        <v>1</v>
      </c>
      <c r="M89" s="21">
        <f>L89</f>
        <v>1</v>
      </c>
    </row>
    <row r="90" spans="1:13" x14ac:dyDescent="0.2">
      <c r="A90" t="s">
        <v>101</v>
      </c>
      <c r="B90" t="str">
        <f>VLOOKUP(A90,MasterTutor!A:E,4,FALSE)</f>
        <v>Advanced</v>
      </c>
      <c r="C90" t="str">
        <f>VLOOKUP(A90,MasterTutor!A:E,3,FALSE)</f>
        <v>Professional</v>
      </c>
      <c r="D90" t="str">
        <f>VLOOKUP(A90,MasterTutor!A:E,2,FALSE)</f>
        <v>Kristin Haase-Alvey</v>
      </c>
      <c r="E90" t="s">
        <v>13</v>
      </c>
      <c r="F90" s="2">
        <v>0.84</v>
      </c>
      <c r="G90" s="2">
        <v>1.05</v>
      </c>
      <c r="H90" s="2">
        <v>0.93220000000000003</v>
      </c>
      <c r="I90" s="2">
        <v>1</v>
      </c>
      <c r="J90" s="2">
        <v>0.63600000000000001</v>
      </c>
      <c r="K90">
        <v>2</v>
      </c>
      <c r="L90" s="19">
        <v>1</v>
      </c>
      <c r="M90" s="21">
        <f>L90</f>
        <v>1</v>
      </c>
    </row>
    <row r="91" spans="1:13" x14ac:dyDescent="0.2">
      <c r="A91" t="s">
        <v>102</v>
      </c>
      <c r="B91" t="e">
        <f>VLOOKUP(A91,MasterTutor!A:E,4,FALSE)</f>
        <v>#N/A</v>
      </c>
      <c r="C91" t="e">
        <f>VLOOKUP(A91,MasterTutor!A:E,3,FALSE)</f>
        <v>#N/A</v>
      </c>
      <c r="D91" t="e">
        <f>VLOOKUP(A91,MasterTutor!A:E,2,FALSE)</f>
        <v>#N/A</v>
      </c>
      <c r="E91" t="s">
        <v>13</v>
      </c>
      <c r="F91" s="2">
        <v>1.19</v>
      </c>
      <c r="G91" s="2">
        <v>1.04</v>
      </c>
      <c r="H91" s="2">
        <v>0.96150000000000002</v>
      </c>
      <c r="I91" s="2">
        <v>0.90200000000000002</v>
      </c>
      <c r="J91" s="2">
        <v>0.5</v>
      </c>
      <c r="K91">
        <v>1</v>
      </c>
      <c r="L91" s="19"/>
    </row>
    <row r="92" spans="1:13" x14ac:dyDescent="0.2">
      <c r="A92" t="s">
        <v>103</v>
      </c>
      <c r="B92" t="str">
        <f>VLOOKUP(A92,MasterTutor!A:E,4,FALSE)</f>
        <v>Distinguished</v>
      </c>
      <c r="C92" t="str">
        <f>VLOOKUP(A92,MasterTutor!A:E,3,FALSE)</f>
        <v>Adjunct</v>
      </c>
      <c r="D92" t="str">
        <f>VLOOKUP(A92,MasterTutor!A:E,2,FALSE)</f>
        <v>Kristin Haase-Alvey</v>
      </c>
      <c r="E92" t="s">
        <v>13</v>
      </c>
      <c r="F92" s="2">
        <v>0.89</v>
      </c>
      <c r="G92" s="2">
        <v>1.24</v>
      </c>
      <c r="H92" s="2">
        <v>1</v>
      </c>
      <c r="I92" s="2">
        <v>1</v>
      </c>
      <c r="J92" s="2">
        <v>0.56299999999999994</v>
      </c>
      <c r="K92" t="e">
        <v>#N/A</v>
      </c>
      <c r="L92" s="19">
        <v>0.75</v>
      </c>
      <c r="M92" s="21">
        <f t="shared" ref="M92:M109" si="4">L92</f>
        <v>0.75</v>
      </c>
    </row>
    <row r="93" spans="1:13" x14ac:dyDescent="0.2">
      <c r="A93" t="s">
        <v>104</v>
      </c>
      <c r="B93" t="e">
        <f>VLOOKUP(A93,MasterTutor!A:E,4,FALSE)</f>
        <v>#N/A</v>
      </c>
      <c r="C93" t="e">
        <f>VLOOKUP(A93,MasterTutor!A:E,3,FALSE)</f>
        <v>#N/A</v>
      </c>
      <c r="D93" t="e">
        <f>VLOOKUP(A93,MasterTutor!A:E,2,FALSE)</f>
        <v>#N/A</v>
      </c>
      <c r="E93" t="s">
        <v>13</v>
      </c>
      <c r="F93" s="2">
        <v>1.1299999999999999</v>
      </c>
      <c r="G93" s="2">
        <v>1.42</v>
      </c>
      <c r="H93" s="2">
        <v>0.93530000000000002</v>
      </c>
      <c r="I93" s="2">
        <v>0.97919999999999996</v>
      </c>
      <c r="J93" s="2">
        <v>0.7</v>
      </c>
      <c r="K93">
        <v>2</v>
      </c>
      <c r="L93" s="19">
        <v>1</v>
      </c>
      <c r="M93" s="21">
        <f t="shared" si="4"/>
        <v>1</v>
      </c>
    </row>
    <row r="94" spans="1:13" x14ac:dyDescent="0.2">
      <c r="A94" t="s">
        <v>105</v>
      </c>
      <c r="B94" t="str">
        <f>VLOOKUP(A94,MasterTutor!A:E,4,FALSE)</f>
        <v>Advanced</v>
      </c>
      <c r="C94" t="str">
        <f>VLOOKUP(A94,MasterTutor!A:E,3,FALSE)</f>
        <v>Adjunct</v>
      </c>
      <c r="D94" t="str">
        <f>VLOOKUP(A94,MasterTutor!A:E,2,FALSE)</f>
        <v>Annelies de Groot</v>
      </c>
      <c r="E94" t="s">
        <v>13</v>
      </c>
      <c r="F94" s="2">
        <v>1.17</v>
      </c>
      <c r="G94" s="2">
        <v>1.18</v>
      </c>
      <c r="H94" s="2">
        <v>0.88919999999999999</v>
      </c>
      <c r="I94" s="2">
        <v>0.98109999999999997</v>
      </c>
      <c r="J94" s="2">
        <v>0.33300000000000002</v>
      </c>
      <c r="K94">
        <v>1</v>
      </c>
      <c r="L94" s="19">
        <v>1</v>
      </c>
      <c r="M94" s="21">
        <f t="shared" si="4"/>
        <v>1</v>
      </c>
    </row>
    <row r="95" spans="1:13" x14ac:dyDescent="0.2">
      <c r="A95" t="s">
        <v>106</v>
      </c>
      <c r="B95" t="e">
        <f>VLOOKUP(A95,MasterTutor!A:E,4,FALSE)</f>
        <v>#N/A</v>
      </c>
      <c r="C95" t="e">
        <f>VLOOKUP(A95,MasterTutor!A:E,3,FALSE)</f>
        <v>#N/A</v>
      </c>
      <c r="D95" t="e">
        <f>VLOOKUP(A95,MasterTutor!A:E,2,FALSE)</f>
        <v>#N/A</v>
      </c>
      <c r="E95" t="s">
        <v>13</v>
      </c>
      <c r="F95" s="2">
        <v>0.76</v>
      </c>
      <c r="G95" s="2">
        <v>1.03</v>
      </c>
      <c r="H95" s="2">
        <v>1</v>
      </c>
      <c r="I95" s="2">
        <v>0.96609999999999996</v>
      </c>
      <c r="J95" s="2">
        <v>0.28599999999999998</v>
      </c>
      <c r="K95">
        <v>2</v>
      </c>
      <c r="L95" s="19">
        <v>0.5</v>
      </c>
      <c r="M95" s="21">
        <f t="shared" si="4"/>
        <v>0.5</v>
      </c>
    </row>
    <row r="96" spans="1:13" x14ac:dyDescent="0.2">
      <c r="A96" t="s">
        <v>107</v>
      </c>
      <c r="B96" t="str">
        <f>VLOOKUP(A96,MasterTutor!A:E,4,FALSE)</f>
        <v>Distinguished</v>
      </c>
      <c r="C96" t="str">
        <f>VLOOKUP(A96,MasterTutor!A:E,3,FALSE)</f>
        <v>Professional</v>
      </c>
      <c r="D96" t="str">
        <f>VLOOKUP(A96,MasterTutor!A:E,2,FALSE)</f>
        <v>Ian Plamondon</v>
      </c>
      <c r="E96" t="s">
        <v>13</v>
      </c>
      <c r="F96" s="2">
        <v>1.18</v>
      </c>
      <c r="G96" s="2">
        <v>1.36</v>
      </c>
      <c r="H96" s="2">
        <v>1</v>
      </c>
      <c r="I96" s="2">
        <v>1</v>
      </c>
      <c r="J96" s="2">
        <v>0.63200000000000001</v>
      </c>
      <c r="K96" t="e">
        <v>#N/A</v>
      </c>
      <c r="L96" s="19">
        <v>1</v>
      </c>
      <c r="M96" s="21">
        <f t="shared" si="4"/>
        <v>1</v>
      </c>
    </row>
    <row r="97" spans="1:13" x14ac:dyDescent="0.2">
      <c r="A97" t="s">
        <v>108</v>
      </c>
      <c r="B97" t="str">
        <f>VLOOKUP(A97,MasterTutor!A:E,4,FALSE)</f>
        <v>Advanced</v>
      </c>
      <c r="C97" t="str">
        <f>VLOOKUP(A97,MasterTutor!A:E,3,FALSE)</f>
        <v>Professional</v>
      </c>
      <c r="D97" t="str">
        <f>VLOOKUP(A97,MasterTutor!A:E,2,FALSE)</f>
        <v>Geoff St. Marie</v>
      </c>
      <c r="E97" t="s">
        <v>13</v>
      </c>
      <c r="F97" s="2">
        <v>1.1200000000000001</v>
      </c>
      <c r="G97" s="2">
        <v>1.29</v>
      </c>
      <c r="H97" s="2">
        <v>0.99390000000000001</v>
      </c>
      <c r="I97" s="2">
        <v>1</v>
      </c>
      <c r="J97" s="2">
        <v>0.55600000000000005</v>
      </c>
      <c r="K97">
        <v>10</v>
      </c>
      <c r="L97" s="19">
        <v>1</v>
      </c>
      <c r="M97" s="21">
        <f t="shared" si="4"/>
        <v>1</v>
      </c>
    </row>
    <row r="98" spans="1:13" x14ac:dyDescent="0.2">
      <c r="A98" t="s">
        <v>109</v>
      </c>
      <c r="B98" t="e">
        <f>VLOOKUP(A98,MasterTutor!A:E,4,FALSE)</f>
        <v>#N/A</v>
      </c>
      <c r="C98" t="e">
        <f>VLOOKUP(A98,MasterTutor!A:E,3,FALSE)</f>
        <v>#N/A</v>
      </c>
      <c r="D98" t="e">
        <f>VLOOKUP(A98,MasterTutor!A:E,2,FALSE)</f>
        <v>#N/A</v>
      </c>
      <c r="E98" t="s">
        <v>13</v>
      </c>
      <c r="F98" s="2">
        <v>0.44</v>
      </c>
      <c r="G98" s="2">
        <v>0.74</v>
      </c>
      <c r="H98" s="2">
        <v>0.97919999999999996</v>
      </c>
      <c r="I98" s="2">
        <v>0.35709999999999997</v>
      </c>
      <c r="J98" s="2">
        <v>0.61499999999999999</v>
      </c>
      <c r="K98" t="e">
        <v>#N/A</v>
      </c>
      <c r="L98" s="19">
        <v>0.8</v>
      </c>
      <c r="M98" s="21">
        <f t="shared" si="4"/>
        <v>0.8</v>
      </c>
    </row>
    <row r="99" spans="1:13" x14ac:dyDescent="0.2">
      <c r="A99" t="s">
        <v>110</v>
      </c>
      <c r="B99" t="e">
        <f>VLOOKUP(A99,MasterTutor!A:E,4,FALSE)</f>
        <v>#N/A</v>
      </c>
      <c r="C99" t="e">
        <f>VLOOKUP(A99,MasterTutor!A:E,3,FALSE)</f>
        <v>#N/A</v>
      </c>
      <c r="D99" t="e">
        <f>VLOOKUP(A99,MasterTutor!A:E,2,FALSE)</f>
        <v>#N/A</v>
      </c>
      <c r="E99" t="s">
        <v>13</v>
      </c>
      <c r="F99" s="2">
        <v>0.59</v>
      </c>
      <c r="G99" s="2">
        <v>0.98</v>
      </c>
      <c r="H99" s="2">
        <v>0.98329999999999995</v>
      </c>
      <c r="I99" s="2">
        <v>0.98080000000000001</v>
      </c>
      <c r="J99" s="2">
        <v>0</v>
      </c>
      <c r="K99" t="e">
        <v>#N/A</v>
      </c>
      <c r="L99" s="19">
        <v>1</v>
      </c>
      <c r="M99" s="21">
        <f t="shared" si="4"/>
        <v>1</v>
      </c>
    </row>
    <row r="100" spans="1:13" x14ac:dyDescent="0.2">
      <c r="A100" t="s">
        <v>111</v>
      </c>
      <c r="B100" t="str">
        <f>VLOOKUP(A100,MasterTutor!A:E,4,FALSE)</f>
        <v>Premium</v>
      </c>
      <c r="C100" t="str">
        <f>VLOOKUP(A100,MasterTutor!A:E,3,FALSE)</f>
        <v>Adjunct</v>
      </c>
      <c r="D100" t="str">
        <f>VLOOKUP(A100,MasterTutor!A:E,2,FALSE)</f>
        <v>Kristin Haase-Alvey</v>
      </c>
      <c r="E100" t="s">
        <v>13</v>
      </c>
      <c r="F100" s="2">
        <v>1.4</v>
      </c>
      <c r="G100" s="2">
        <v>1.34</v>
      </c>
      <c r="H100" s="2">
        <v>0.94940000000000002</v>
      </c>
      <c r="I100" s="2">
        <v>1</v>
      </c>
      <c r="J100" s="2">
        <v>1</v>
      </c>
      <c r="K100" t="e">
        <v>#N/A</v>
      </c>
      <c r="L100" s="19">
        <v>1</v>
      </c>
      <c r="M100" s="21">
        <f t="shared" si="4"/>
        <v>1</v>
      </c>
    </row>
    <row r="101" spans="1:13" x14ac:dyDescent="0.2">
      <c r="A101" t="s">
        <v>112</v>
      </c>
      <c r="B101" t="e">
        <f>VLOOKUP(A101,MasterTutor!A:E,4,FALSE)</f>
        <v>#N/A</v>
      </c>
      <c r="C101" t="e">
        <f>VLOOKUP(A101,MasterTutor!A:E,3,FALSE)</f>
        <v>#N/A</v>
      </c>
      <c r="D101" t="e">
        <f>VLOOKUP(A101,MasterTutor!A:E,2,FALSE)</f>
        <v>#N/A</v>
      </c>
      <c r="E101" t="s">
        <v>13</v>
      </c>
      <c r="F101" s="2">
        <v>0.93</v>
      </c>
      <c r="G101" s="2">
        <v>1.04</v>
      </c>
      <c r="H101" s="2">
        <v>1</v>
      </c>
      <c r="I101" s="2">
        <v>1</v>
      </c>
      <c r="J101" s="2">
        <v>0.66700000000000004</v>
      </c>
      <c r="K101">
        <v>2</v>
      </c>
      <c r="L101" s="19">
        <v>1</v>
      </c>
      <c r="M101" s="21">
        <f t="shared" si="4"/>
        <v>1</v>
      </c>
    </row>
    <row r="102" spans="1:13" x14ac:dyDescent="0.2">
      <c r="A102" t="s">
        <v>113</v>
      </c>
      <c r="B102" t="e">
        <f>VLOOKUP(A102,MasterTutor!A:E,4,FALSE)</f>
        <v>#N/A</v>
      </c>
      <c r="C102" t="e">
        <f>VLOOKUP(A102,MasterTutor!A:E,3,FALSE)</f>
        <v>#N/A</v>
      </c>
      <c r="D102" t="e">
        <f>VLOOKUP(A102,MasterTutor!A:E,2,FALSE)</f>
        <v>#N/A</v>
      </c>
      <c r="E102" t="s">
        <v>13</v>
      </c>
      <c r="F102" s="2">
        <v>1.08</v>
      </c>
      <c r="G102" s="2">
        <v>0.99</v>
      </c>
      <c r="H102" s="2">
        <v>1</v>
      </c>
      <c r="I102" s="2">
        <v>0.91849999999999998</v>
      </c>
      <c r="J102" s="2">
        <v>0.436</v>
      </c>
      <c r="K102">
        <v>10</v>
      </c>
      <c r="L102" s="19">
        <v>0.33333333333333331</v>
      </c>
      <c r="M102" s="21">
        <f t="shared" si="4"/>
        <v>0.33333333333333331</v>
      </c>
    </row>
    <row r="103" spans="1:13" x14ac:dyDescent="0.2">
      <c r="A103" t="s">
        <v>114</v>
      </c>
      <c r="B103" t="e">
        <f>VLOOKUP(A103,MasterTutor!A:E,4,FALSE)</f>
        <v>#N/A</v>
      </c>
      <c r="C103" t="e">
        <f>VLOOKUP(A103,MasterTutor!A:E,3,FALSE)</f>
        <v>#N/A</v>
      </c>
      <c r="D103" t="e">
        <f>VLOOKUP(A103,MasterTutor!A:E,2,FALSE)</f>
        <v>#N/A</v>
      </c>
      <c r="E103" t="s">
        <v>13</v>
      </c>
      <c r="F103" s="2">
        <v>1.34</v>
      </c>
      <c r="G103" s="2">
        <v>1.57</v>
      </c>
      <c r="H103" s="2">
        <v>0.93830000000000002</v>
      </c>
      <c r="I103" s="2">
        <v>0.87390000000000001</v>
      </c>
      <c r="J103" s="2">
        <v>0.4</v>
      </c>
      <c r="K103">
        <v>3</v>
      </c>
      <c r="L103" s="19">
        <v>1</v>
      </c>
      <c r="M103" s="21">
        <f t="shared" si="4"/>
        <v>1</v>
      </c>
    </row>
    <row r="104" spans="1:13" x14ac:dyDescent="0.2">
      <c r="A104" t="s">
        <v>115</v>
      </c>
      <c r="B104" t="str">
        <f>VLOOKUP(A104,MasterTutor!A:E,4,FALSE)</f>
        <v>Advanced</v>
      </c>
      <c r="C104" t="str">
        <f>VLOOKUP(A104,MasterTutor!A:E,3,FALSE)</f>
        <v>Adjunct</v>
      </c>
      <c r="D104" t="str">
        <f>VLOOKUP(A104,MasterTutor!A:E,2,FALSE)</f>
        <v>Kristin Haase-Alvey</v>
      </c>
      <c r="E104" t="s">
        <v>13</v>
      </c>
      <c r="F104" s="2">
        <v>1.96</v>
      </c>
      <c r="G104" s="2">
        <v>2.2400000000000002</v>
      </c>
      <c r="H104" s="2">
        <v>0.98909999999999998</v>
      </c>
      <c r="I104" s="2">
        <v>0.96150000000000002</v>
      </c>
      <c r="J104" s="2">
        <v>0.78600000000000003</v>
      </c>
      <c r="K104">
        <v>1</v>
      </c>
      <c r="L104" s="19">
        <v>0.66666666666666663</v>
      </c>
      <c r="M104" s="21">
        <f t="shared" si="4"/>
        <v>0.66666666666666663</v>
      </c>
    </row>
    <row r="105" spans="1:13" x14ac:dyDescent="0.2">
      <c r="A105" t="s">
        <v>116</v>
      </c>
      <c r="B105" t="str">
        <f>VLOOKUP(A105,MasterTutor!A:E,4,FALSE)</f>
        <v>Premium</v>
      </c>
      <c r="C105" t="str">
        <f>VLOOKUP(A105,MasterTutor!A:E,3,FALSE)</f>
        <v>Professional</v>
      </c>
      <c r="D105" t="str">
        <f>VLOOKUP(A105,MasterTutor!A:E,2,FALSE)</f>
        <v>Jessica Milner</v>
      </c>
      <c r="E105" t="s">
        <v>13</v>
      </c>
      <c r="F105" s="2">
        <v>1.01</v>
      </c>
      <c r="G105" s="2">
        <v>1.0900000000000001</v>
      </c>
      <c r="H105" s="2">
        <v>1</v>
      </c>
      <c r="I105" s="2">
        <v>1</v>
      </c>
      <c r="J105" s="2">
        <v>0.84199999999999997</v>
      </c>
      <c r="K105">
        <v>5</v>
      </c>
      <c r="L105" s="19">
        <v>0.5</v>
      </c>
      <c r="M105" s="21">
        <f t="shared" si="4"/>
        <v>0.5</v>
      </c>
    </row>
    <row r="106" spans="1:13" x14ac:dyDescent="0.2">
      <c r="A106" t="s">
        <v>117</v>
      </c>
      <c r="B106" t="str">
        <f>VLOOKUP(A106,MasterTutor!A:E,4,FALSE)</f>
        <v>Advanced</v>
      </c>
      <c r="C106" t="str">
        <f>VLOOKUP(A106,MasterTutor!A:E,3,FALSE)</f>
        <v>Professional</v>
      </c>
      <c r="D106" t="str">
        <f>VLOOKUP(A106,MasterTutor!A:E,2,FALSE)</f>
        <v>Kristin Haase-Alvey</v>
      </c>
      <c r="E106" t="s">
        <v>13</v>
      </c>
      <c r="F106" s="2">
        <v>1.3</v>
      </c>
      <c r="G106" s="2">
        <v>1.26</v>
      </c>
      <c r="H106" s="2">
        <v>0.99429999999999996</v>
      </c>
      <c r="I106" s="2">
        <v>1</v>
      </c>
      <c r="J106" s="2">
        <v>0.66700000000000004</v>
      </c>
      <c r="K106">
        <v>3</v>
      </c>
      <c r="L106" s="19">
        <v>0.2</v>
      </c>
      <c r="M106" s="21">
        <f t="shared" si="4"/>
        <v>0.2</v>
      </c>
    </row>
    <row r="107" spans="1:13" x14ac:dyDescent="0.2">
      <c r="A107" t="s">
        <v>118</v>
      </c>
      <c r="B107" t="e">
        <f>VLOOKUP(A107,MasterTutor!A:E,4,FALSE)</f>
        <v>#N/A</v>
      </c>
      <c r="C107" t="e">
        <f>VLOOKUP(A107,MasterTutor!A:E,3,FALSE)</f>
        <v>#N/A</v>
      </c>
      <c r="D107" t="e">
        <f>VLOOKUP(A107,MasterTutor!A:E,2,FALSE)</f>
        <v>#N/A</v>
      </c>
      <c r="E107" t="s">
        <v>13</v>
      </c>
      <c r="F107" s="2">
        <v>1.18</v>
      </c>
      <c r="G107" s="2">
        <v>1.64</v>
      </c>
      <c r="H107" s="2">
        <v>0.97640000000000005</v>
      </c>
      <c r="I107" s="2">
        <v>0.93020000000000003</v>
      </c>
      <c r="J107" s="2">
        <v>0.42299999999999999</v>
      </c>
      <c r="K107">
        <v>1</v>
      </c>
      <c r="L107" s="19">
        <v>0.2</v>
      </c>
      <c r="M107" s="21">
        <f t="shared" si="4"/>
        <v>0.2</v>
      </c>
    </row>
    <row r="108" spans="1:13" x14ac:dyDescent="0.2">
      <c r="A108" t="s">
        <v>119</v>
      </c>
      <c r="B108" t="str">
        <f>VLOOKUP(A108,MasterTutor!A:E,4,FALSE)</f>
        <v>Distinguished</v>
      </c>
      <c r="C108" t="str">
        <f>VLOOKUP(A108,MasterTutor!A:E,3,FALSE)</f>
        <v>Professional</v>
      </c>
      <c r="D108" t="str">
        <f>VLOOKUP(A108,MasterTutor!A:E,2,FALSE)</f>
        <v>Kristin Haase-Alvey</v>
      </c>
      <c r="E108" t="s">
        <v>13</v>
      </c>
      <c r="F108" s="2">
        <v>1.01</v>
      </c>
      <c r="G108" s="2">
        <v>1</v>
      </c>
      <c r="H108" s="2">
        <v>0.99260000000000004</v>
      </c>
      <c r="I108" s="2">
        <v>0.95960000000000001</v>
      </c>
      <c r="J108" s="2">
        <v>0.81799999999999995</v>
      </c>
      <c r="K108">
        <v>8</v>
      </c>
      <c r="L108" s="19">
        <v>1</v>
      </c>
      <c r="M108" s="21">
        <f t="shared" si="4"/>
        <v>1</v>
      </c>
    </row>
    <row r="109" spans="1:13" x14ac:dyDescent="0.2">
      <c r="A109" t="s">
        <v>120</v>
      </c>
      <c r="B109" t="str">
        <f>VLOOKUP(A109,MasterTutor!A:E,4,FALSE)</f>
        <v>Premium</v>
      </c>
      <c r="C109" t="str">
        <f>VLOOKUP(A109,MasterTutor!A:E,3,FALSE)</f>
        <v>Professional</v>
      </c>
      <c r="D109" t="str">
        <f>VLOOKUP(A109,MasterTutor!A:E,2,FALSE)</f>
        <v>Jessica Milner</v>
      </c>
      <c r="E109" t="s">
        <v>13</v>
      </c>
      <c r="F109" s="2">
        <v>0.96</v>
      </c>
      <c r="G109" s="2">
        <v>1.25</v>
      </c>
      <c r="H109" s="2">
        <v>1</v>
      </c>
      <c r="I109" s="2">
        <v>0.91300000000000003</v>
      </c>
      <c r="J109" s="2">
        <v>0.16700000000000001</v>
      </c>
      <c r="K109">
        <v>2</v>
      </c>
      <c r="L109" s="19">
        <v>0</v>
      </c>
      <c r="M109" s="21">
        <f t="shared" si="4"/>
        <v>0</v>
      </c>
    </row>
    <row r="110" spans="1:13" x14ac:dyDescent="0.2">
      <c r="A110" t="s">
        <v>121</v>
      </c>
      <c r="B110" t="str">
        <f>VLOOKUP(A110,MasterTutor!A:E,4,FALSE)</f>
        <v>Advanced</v>
      </c>
      <c r="C110" t="str">
        <f>VLOOKUP(A110,MasterTutor!A:E,3,FALSE)</f>
        <v>Adjunct</v>
      </c>
      <c r="D110" t="str">
        <f>VLOOKUP(A110,MasterTutor!A:E,2,FALSE)</f>
        <v>Annelies de Groot</v>
      </c>
      <c r="E110" t="s">
        <v>13</v>
      </c>
      <c r="F110" s="2">
        <v>1.22</v>
      </c>
      <c r="G110" s="2">
        <v>1.3</v>
      </c>
      <c r="H110" s="2">
        <v>1</v>
      </c>
      <c r="I110" s="2">
        <v>0.97919999999999996</v>
      </c>
      <c r="J110" s="2">
        <v>0.5</v>
      </c>
      <c r="K110">
        <v>5</v>
      </c>
      <c r="L110" s="19"/>
    </row>
    <row r="111" spans="1:13" x14ac:dyDescent="0.2">
      <c r="A111" t="s">
        <v>122</v>
      </c>
      <c r="B111" t="e">
        <f>VLOOKUP(A111,MasterTutor!A:E,4,FALSE)</f>
        <v>#N/A</v>
      </c>
      <c r="C111" t="e">
        <f>VLOOKUP(A111,MasterTutor!A:E,3,FALSE)</f>
        <v>#N/A</v>
      </c>
      <c r="D111" t="e">
        <f>VLOOKUP(A111,MasterTutor!A:E,2,FALSE)</f>
        <v>#N/A</v>
      </c>
      <c r="E111" t="s">
        <v>13</v>
      </c>
      <c r="F111" s="2">
        <v>0.13</v>
      </c>
      <c r="G111" s="2">
        <v>0.73</v>
      </c>
      <c r="H111" s="2">
        <v>1</v>
      </c>
      <c r="I111" s="2">
        <v>1</v>
      </c>
      <c r="J111" s="2">
        <v>0.66700000000000004</v>
      </c>
      <c r="K111" t="e">
        <v>#N/A</v>
      </c>
      <c r="L111" s="19">
        <v>0</v>
      </c>
      <c r="M111" s="21">
        <f t="shared" ref="M111:M124" si="5">L111</f>
        <v>0</v>
      </c>
    </row>
    <row r="112" spans="1:13" x14ac:dyDescent="0.2">
      <c r="A112" t="s">
        <v>123</v>
      </c>
      <c r="B112" t="str">
        <f>VLOOKUP(A112,MasterTutor!A:E,4,FALSE)</f>
        <v>Premium</v>
      </c>
      <c r="C112" t="str">
        <f>VLOOKUP(A112,MasterTutor!A:E,3,FALSE)</f>
        <v xml:space="preserve">Professional </v>
      </c>
      <c r="D112" t="str">
        <f>VLOOKUP(A112,MasterTutor!A:E,2,FALSE)</f>
        <v>Ela Cross</v>
      </c>
      <c r="E112" t="s">
        <v>13</v>
      </c>
      <c r="F112" s="2">
        <v>1.45</v>
      </c>
      <c r="G112" s="2">
        <v>1.83</v>
      </c>
      <c r="H112" s="2">
        <v>0.98440000000000005</v>
      </c>
      <c r="I112" s="2">
        <v>0.97870000000000001</v>
      </c>
      <c r="J112" s="2">
        <v>0.71399999999999997</v>
      </c>
      <c r="K112" t="e">
        <v>#N/A</v>
      </c>
      <c r="L112" s="19">
        <v>0.75</v>
      </c>
      <c r="M112" s="21">
        <f t="shared" si="5"/>
        <v>0.75</v>
      </c>
    </row>
    <row r="113" spans="1:13" x14ac:dyDescent="0.2">
      <c r="A113" t="s">
        <v>124</v>
      </c>
      <c r="B113" t="e">
        <f>VLOOKUP(A113,MasterTutor!A:E,4,FALSE)</f>
        <v>#N/A</v>
      </c>
      <c r="C113" t="e">
        <f>VLOOKUP(A113,MasterTutor!A:E,3,FALSE)</f>
        <v>#N/A</v>
      </c>
      <c r="D113" t="e">
        <f>VLOOKUP(A113,MasterTutor!A:E,2,FALSE)</f>
        <v>#N/A</v>
      </c>
      <c r="E113" t="s">
        <v>13</v>
      </c>
      <c r="F113" s="2">
        <v>1.39</v>
      </c>
      <c r="G113" s="2">
        <v>1.39</v>
      </c>
      <c r="H113" s="2">
        <v>0.99260000000000004</v>
      </c>
      <c r="I113" s="2">
        <v>0.9778</v>
      </c>
      <c r="J113" s="2">
        <v>0.73699999999999999</v>
      </c>
      <c r="K113">
        <v>1</v>
      </c>
      <c r="L113" s="19">
        <v>0.75</v>
      </c>
      <c r="M113" s="21">
        <f t="shared" si="5"/>
        <v>0.75</v>
      </c>
    </row>
    <row r="114" spans="1:13" x14ac:dyDescent="0.2">
      <c r="A114" t="s">
        <v>125</v>
      </c>
      <c r="B114" t="str">
        <f>VLOOKUP(A114,MasterTutor!A:E,4,FALSE)</f>
        <v>Advanced</v>
      </c>
      <c r="C114" t="str">
        <f>VLOOKUP(A114,MasterTutor!A:E,3,FALSE)</f>
        <v>Professional</v>
      </c>
      <c r="D114" t="str">
        <f>VLOOKUP(A114,MasterTutor!A:E,2,FALSE)</f>
        <v>Kristin Haase-Alvey</v>
      </c>
      <c r="E114" t="s">
        <v>13</v>
      </c>
      <c r="F114" s="2">
        <v>1.1100000000000001</v>
      </c>
      <c r="G114" s="2">
        <v>1.1000000000000001</v>
      </c>
      <c r="H114" s="2">
        <v>0.97240000000000004</v>
      </c>
      <c r="I114" s="2">
        <v>0.95189999999999997</v>
      </c>
      <c r="J114" s="2">
        <v>0.70399999999999996</v>
      </c>
      <c r="K114">
        <v>7</v>
      </c>
      <c r="L114" s="19">
        <v>0.75</v>
      </c>
      <c r="M114" s="21">
        <f t="shared" si="5"/>
        <v>0.75</v>
      </c>
    </row>
    <row r="115" spans="1:13" x14ac:dyDescent="0.2">
      <c r="A115" t="s">
        <v>126</v>
      </c>
      <c r="B115" t="str">
        <f>VLOOKUP(A115,MasterTutor!A:E,4,FALSE)</f>
        <v>Distinguished</v>
      </c>
      <c r="C115" t="str">
        <f>VLOOKUP(A115,MasterTutor!A:E,3,FALSE)</f>
        <v>Professional</v>
      </c>
      <c r="D115" t="str">
        <f>VLOOKUP(A115,MasterTutor!A:E,2,FALSE)</f>
        <v>Ian Plamondon</v>
      </c>
      <c r="E115" t="s">
        <v>13</v>
      </c>
      <c r="F115" s="2">
        <v>0.66</v>
      </c>
      <c r="G115" s="2">
        <v>1.06</v>
      </c>
      <c r="H115" s="2">
        <v>1</v>
      </c>
      <c r="I115" s="2">
        <v>1</v>
      </c>
      <c r="J115" s="2">
        <v>0.84599999999999997</v>
      </c>
      <c r="K115" t="e">
        <v>#N/A</v>
      </c>
      <c r="L115" s="19">
        <v>0.8</v>
      </c>
      <c r="M115" s="21">
        <f t="shared" si="5"/>
        <v>0.8</v>
      </c>
    </row>
    <row r="116" spans="1:13" x14ac:dyDescent="0.2">
      <c r="A116" t="s">
        <v>127</v>
      </c>
      <c r="B116" t="str">
        <f>VLOOKUP(A116,MasterTutor!A:E,4,FALSE)</f>
        <v>Premium</v>
      </c>
      <c r="C116" t="str">
        <f>VLOOKUP(A116,MasterTutor!A:E,3,FALSE)</f>
        <v>Professional</v>
      </c>
      <c r="D116" t="str">
        <f>VLOOKUP(A116,MasterTutor!A:E,2,FALSE)</f>
        <v>Jessica Milner</v>
      </c>
      <c r="E116" t="s">
        <v>13</v>
      </c>
      <c r="F116" s="2">
        <v>0.72</v>
      </c>
      <c r="G116" s="2">
        <v>0.81</v>
      </c>
      <c r="H116" s="2">
        <v>0.94240000000000002</v>
      </c>
      <c r="I116" s="2">
        <v>0.92059999999999997</v>
      </c>
      <c r="J116" s="2">
        <v>0.76500000000000001</v>
      </c>
      <c r="K116" t="e">
        <v>#N/A</v>
      </c>
      <c r="L116" s="19">
        <v>0.5</v>
      </c>
      <c r="M116" s="21">
        <f t="shared" si="5"/>
        <v>0.5</v>
      </c>
    </row>
    <row r="117" spans="1:13" x14ac:dyDescent="0.2">
      <c r="A117" t="s">
        <v>128</v>
      </c>
      <c r="B117" t="str">
        <f>VLOOKUP(A117,MasterTutor!A:E,4,FALSE)</f>
        <v>Distinguished</v>
      </c>
      <c r="C117" t="str">
        <f>VLOOKUP(A117,MasterTutor!A:E,3,FALSE)</f>
        <v>Professional</v>
      </c>
      <c r="D117" t="str">
        <f>VLOOKUP(A117,MasterTutor!A:E,2,FALSE)</f>
        <v>Ian Plamondon</v>
      </c>
      <c r="E117" t="s">
        <v>13</v>
      </c>
      <c r="F117" s="2">
        <v>1.1000000000000001</v>
      </c>
      <c r="G117" s="2">
        <v>1.71</v>
      </c>
      <c r="H117" s="2">
        <v>0.90069999999999995</v>
      </c>
      <c r="I117" s="2">
        <v>0.9889</v>
      </c>
      <c r="J117" s="2">
        <v>0.85</v>
      </c>
      <c r="K117">
        <v>4</v>
      </c>
      <c r="L117" s="19">
        <v>0.6</v>
      </c>
      <c r="M117" s="21">
        <f t="shared" si="5"/>
        <v>0.6</v>
      </c>
    </row>
    <row r="118" spans="1:13" x14ac:dyDescent="0.2">
      <c r="A118" t="s">
        <v>129</v>
      </c>
      <c r="B118" t="str">
        <f>VLOOKUP(A118,MasterTutor!A:E,4,FALSE)</f>
        <v>Premium</v>
      </c>
      <c r="C118" t="str">
        <f>VLOOKUP(A118,MasterTutor!A:E,3,FALSE)</f>
        <v>Adjunct</v>
      </c>
      <c r="D118" t="str">
        <f>VLOOKUP(A118,MasterTutor!A:E,2,FALSE)</f>
        <v>Annelies de Groot</v>
      </c>
      <c r="E118" t="s">
        <v>13</v>
      </c>
      <c r="F118" s="2">
        <v>1.81</v>
      </c>
      <c r="G118" s="2">
        <v>1.52</v>
      </c>
      <c r="H118" s="2">
        <v>0.96240000000000003</v>
      </c>
      <c r="I118" s="2">
        <v>0.8125</v>
      </c>
      <c r="J118" s="2">
        <v>0.58299999999999996</v>
      </c>
      <c r="K118">
        <v>2</v>
      </c>
      <c r="L118" s="19">
        <v>0</v>
      </c>
      <c r="M118" s="21">
        <f t="shared" si="5"/>
        <v>0</v>
      </c>
    </row>
    <row r="119" spans="1:13" x14ac:dyDescent="0.2">
      <c r="A119" t="s">
        <v>130</v>
      </c>
      <c r="B119" t="str">
        <f>VLOOKUP(A119,MasterTutor!A:E,4,FALSE)</f>
        <v>Premium</v>
      </c>
      <c r="C119" t="str">
        <f>VLOOKUP(A119,MasterTutor!A:E,3,FALSE)</f>
        <v>Adjunct</v>
      </c>
      <c r="D119" t="str">
        <f>VLOOKUP(A119,MasterTutor!A:E,2,FALSE)</f>
        <v>Ela Cross</v>
      </c>
      <c r="E119" t="s">
        <v>13</v>
      </c>
      <c r="F119" s="2">
        <v>0.74</v>
      </c>
      <c r="G119" s="2">
        <v>1.4</v>
      </c>
      <c r="H119" s="2">
        <v>0.98609999999999998</v>
      </c>
      <c r="I119" s="2">
        <v>0.97829999999999995</v>
      </c>
      <c r="J119" s="2">
        <v>0.83299999999999996</v>
      </c>
      <c r="K119" t="e">
        <v>#N/A</v>
      </c>
      <c r="L119" s="19">
        <v>0.75</v>
      </c>
      <c r="M119" s="21">
        <f t="shared" si="5"/>
        <v>0.75</v>
      </c>
    </row>
    <row r="120" spans="1:13" x14ac:dyDescent="0.2">
      <c r="A120" t="s">
        <v>131</v>
      </c>
      <c r="B120" t="str">
        <f>VLOOKUP(A120,MasterTutor!A:E,4,FALSE)</f>
        <v>Advanced</v>
      </c>
      <c r="C120" t="str">
        <f>VLOOKUP(A120,MasterTutor!A:E,3,FALSE)</f>
        <v>Professional</v>
      </c>
      <c r="D120" t="str">
        <f>VLOOKUP(A120,MasterTutor!A:E,2,FALSE)</f>
        <v>Ian Plamondon</v>
      </c>
      <c r="E120" t="s">
        <v>13</v>
      </c>
      <c r="F120" s="2">
        <v>0.93</v>
      </c>
      <c r="G120" s="2">
        <v>0.98</v>
      </c>
      <c r="H120" s="2">
        <v>1</v>
      </c>
      <c r="I120" s="2">
        <v>1</v>
      </c>
      <c r="J120" s="2">
        <v>0.58299999999999996</v>
      </c>
      <c r="K120">
        <v>3</v>
      </c>
      <c r="L120" s="19">
        <v>0.5714285714285714</v>
      </c>
      <c r="M120" s="21">
        <f t="shared" si="5"/>
        <v>0.5714285714285714</v>
      </c>
    </row>
    <row r="121" spans="1:13" x14ac:dyDescent="0.2">
      <c r="A121" t="s">
        <v>132</v>
      </c>
      <c r="B121" t="str">
        <f>VLOOKUP(A121,MasterTutor!A:E,4,FALSE)</f>
        <v>Distinguished</v>
      </c>
      <c r="C121" t="str">
        <f>VLOOKUP(A121,MasterTutor!A:E,3,FALSE)</f>
        <v>Professional</v>
      </c>
      <c r="D121" t="str">
        <f>VLOOKUP(A121,MasterTutor!A:E,2,FALSE)</f>
        <v>Kristin Haase-Alvey</v>
      </c>
      <c r="E121" t="s">
        <v>13</v>
      </c>
      <c r="F121" s="2">
        <v>1.1599999999999999</v>
      </c>
      <c r="G121" s="2">
        <v>1.43</v>
      </c>
      <c r="H121" s="2">
        <v>0.99339999999999995</v>
      </c>
      <c r="I121" s="2">
        <v>0.97519999999999996</v>
      </c>
      <c r="J121" s="2">
        <v>0.89300000000000002</v>
      </c>
      <c r="K121">
        <v>0</v>
      </c>
      <c r="L121" s="19">
        <v>1</v>
      </c>
      <c r="M121" s="21">
        <f t="shared" si="5"/>
        <v>1</v>
      </c>
    </row>
    <row r="122" spans="1:13" x14ac:dyDescent="0.2">
      <c r="A122" t="s">
        <v>133</v>
      </c>
      <c r="B122" t="e">
        <f>VLOOKUP(A122,MasterTutor!A:E,4,FALSE)</f>
        <v>#N/A</v>
      </c>
      <c r="C122" t="e">
        <f>VLOOKUP(A122,MasterTutor!A:E,3,FALSE)</f>
        <v>#N/A</v>
      </c>
      <c r="D122" t="e">
        <f>VLOOKUP(A122,MasterTutor!A:E,2,FALSE)</f>
        <v>#N/A</v>
      </c>
      <c r="E122" t="s">
        <v>13</v>
      </c>
      <c r="F122" s="2">
        <v>2.23</v>
      </c>
      <c r="G122" s="2">
        <v>2.1</v>
      </c>
      <c r="H122" s="2">
        <v>0.99139999999999995</v>
      </c>
      <c r="I122" s="2">
        <v>0.92859999999999998</v>
      </c>
      <c r="J122" s="2">
        <v>0.4</v>
      </c>
      <c r="K122">
        <v>5</v>
      </c>
      <c r="L122" s="19">
        <v>0.83333333333333337</v>
      </c>
      <c r="M122" s="21">
        <f t="shared" si="5"/>
        <v>0.83333333333333337</v>
      </c>
    </row>
    <row r="123" spans="1:13" x14ac:dyDescent="0.2">
      <c r="A123" t="s">
        <v>134</v>
      </c>
      <c r="B123" t="str">
        <f>VLOOKUP(A123,MasterTutor!A:E,4,FALSE)</f>
        <v>Distinguished</v>
      </c>
      <c r="C123" t="str">
        <f>VLOOKUP(A123,MasterTutor!A:E,3,FALSE)</f>
        <v>Professional</v>
      </c>
      <c r="D123" t="str">
        <f>VLOOKUP(A123,MasterTutor!A:E,2,FALSE)</f>
        <v>Annelies de Groot</v>
      </c>
      <c r="E123" t="s">
        <v>13</v>
      </c>
      <c r="F123" s="2">
        <v>1.35</v>
      </c>
      <c r="G123" s="2">
        <v>1.1399999999999999</v>
      </c>
      <c r="H123" s="2">
        <v>1</v>
      </c>
      <c r="I123" s="2">
        <v>1</v>
      </c>
      <c r="J123" s="2">
        <v>0.55600000000000005</v>
      </c>
      <c r="K123">
        <v>10</v>
      </c>
      <c r="L123" s="19">
        <v>0</v>
      </c>
      <c r="M123" s="21">
        <f t="shared" si="5"/>
        <v>0</v>
      </c>
    </row>
    <row r="124" spans="1:13" x14ac:dyDescent="0.2">
      <c r="A124" t="s">
        <v>135</v>
      </c>
      <c r="B124" t="str">
        <f>VLOOKUP(A124,MasterTutor!A:E,4,FALSE)</f>
        <v>Distinguished</v>
      </c>
      <c r="C124" t="str">
        <f>VLOOKUP(A124,MasterTutor!A:E,3,FALSE)</f>
        <v>Adjunct</v>
      </c>
      <c r="D124" t="str">
        <f>VLOOKUP(A124,MasterTutor!A:E,2,FALSE)</f>
        <v>Annelies de Groot</v>
      </c>
      <c r="E124" t="s">
        <v>13</v>
      </c>
      <c r="F124" s="2">
        <v>1.34</v>
      </c>
      <c r="G124" s="2">
        <v>1.52</v>
      </c>
      <c r="H124" s="2">
        <v>0.98440000000000005</v>
      </c>
      <c r="I124" s="2">
        <v>0.77780000000000005</v>
      </c>
      <c r="J124" s="2">
        <v>0.3</v>
      </c>
      <c r="K124">
        <v>1</v>
      </c>
      <c r="L124" s="19">
        <v>0</v>
      </c>
      <c r="M124" s="21">
        <f t="shared" si="5"/>
        <v>0</v>
      </c>
    </row>
    <row r="125" spans="1:13" x14ac:dyDescent="0.2">
      <c r="A125" t="s">
        <v>136</v>
      </c>
      <c r="B125" t="e">
        <f>VLOOKUP(A125,MasterTutor!A:E,4,FALSE)</f>
        <v>#N/A</v>
      </c>
      <c r="C125" t="e">
        <f>VLOOKUP(A125,MasterTutor!A:E,3,FALSE)</f>
        <v>#N/A</v>
      </c>
      <c r="D125" t="e">
        <f>VLOOKUP(A125,MasterTutor!A:E,2,FALSE)</f>
        <v>#N/A</v>
      </c>
      <c r="E125" t="s">
        <v>13</v>
      </c>
      <c r="F125" s="2">
        <v>1.2</v>
      </c>
      <c r="G125" s="2">
        <v>1.43</v>
      </c>
      <c r="H125" s="2">
        <v>0.96960000000000002</v>
      </c>
      <c r="I125" s="2">
        <v>0.77780000000000005</v>
      </c>
      <c r="J125" s="2">
        <v>0.92300000000000004</v>
      </c>
      <c r="K125">
        <v>3</v>
      </c>
      <c r="L125" s="19"/>
    </row>
    <row r="126" spans="1:13" x14ac:dyDescent="0.2">
      <c r="A126" t="s">
        <v>137</v>
      </c>
      <c r="B126" t="str">
        <f>VLOOKUP(A126,MasterTutor!A:E,4,FALSE)</f>
        <v>Premium</v>
      </c>
      <c r="C126" t="str">
        <f>VLOOKUP(A126,MasterTutor!A:E,3,FALSE)</f>
        <v>Professional</v>
      </c>
      <c r="D126" t="str">
        <f>VLOOKUP(A126,MasterTutor!A:E,2,FALSE)</f>
        <v>Jessica Milner</v>
      </c>
      <c r="E126" t="s">
        <v>13</v>
      </c>
      <c r="F126" s="2">
        <v>0.9</v>
      </c>
      <c r="G126" s="2">
        <v>1.23</v>
      </c>
      <c r="H126" s="2">
        <v>0.98860000000000003</v>
      </c>
      <c r="I126" s="2">
        <v>0.95120000000000005</v>
      </c>
      <c r="J126" s="2">
        <v>0.22700000000000001</v>
      </c>
      <c r="K126" t="e">
        <v>#N/A</v>
      </c>
      <c r="L126" s="19">
        <v>0</v>
      </c>
      <c r="M126" s="21">
        <f>L126</f>
        <v>0</v>
      </c>
    </row>
    <row r="127" spans="1:13" x14ac:dyDescent="0.2">
      <c r="A127" t="s">
        <v>138</v>
      </c>
      <c r="B127" t="str">
        <f>VLOOKUP(A127,MasterTutor!A:E,4,FALSE)</f>
        <v>Advanced</v>
      </c>
      <c r="C127" t="str">
        <f>VLOOKUP(A127,MasterTutor!A:E,3,FALSE)</f>
        <v>Professional</v>
      </c>
      <c r="D127" t="str">
        <f>VLOOKUP(A127,MasterTutor!A:E,2,FALSE)</f>
        <v>Ela Cross</v>
      </c>
      <c r="E127" t="s">
        <v>13</v>
      </c>
      <c r="F127" s="2">
        <v>1.1299999999999999</v>
      </c>
      <c r="G127" s="2">
        <v>1.1200000000000001</v>
      </c>
      <c r="H127" s="2">
        <v>0.98560000000000003</v>
      </c>
      <c r="I127" s="2">
        <v>0.92310000000000003</v>
      </c>
      <c r="J127" s="2">
        <v>0.55600000000000005</v>
      </c>
      <c r="K127">
        <v>16</v>
      </c>
      <c r="L127" s="19">
        <v>0.33333333333333331</v>
      </c>
      <c r="M127" s="21">
        <f>L127</f>
        <v>0.33333333333333331</v>
      </c>
    </row>
    <row r="128" spans="1:13" x14ac:dyDescent="0.2">
      <c r="A128" t="s">
        <v>139</v>
      </c>
      <c r="B128" t="str">
        <f>VLOOKUP(A128,MasterTutor!A:E,4,FALSE)</f>
        <v>Distinguished</v>
      </c>
      <c r="C128" t="str">
        <f>VLOOKUP(A128,MasterTutor!A:E,3,FALSE)</f>
        <v>Professional</v>
      </c>
      <c r="D128" t="str">
        <f>VLOOKUP(A128,MasterTutor!A:E,2,FALSE)</f>
        <v>Ian Plamondon</v>
      </c>
      <c r="E128" t="s">
        <v>13</v>
      </c>
      <c r="F128" s="2">
        <v>0.94</v>
      </c>
      <c r="G128" s="2">
        <v>1.05</v>
      </c>
      <c r="H128" s="2">
        <v>1</v>
      </c>
      <c r="I128" s="2">
        <v>1</v>
      </c>
      <c r="J128" s="2">
        <v>0.85699999999999998</v>
      </c>
      <c r="K128">
        <v>3</v>
      </c>
      <c r="L128" s="19">
        <v>0.5</v>
      </c>
      <c r="M128" s="21">
        <f>L128</f>
        <v>0.5</v>
      </c>
    </row>
    <row r="129" spans="1:13" x14ac:dyDescent="0.2">
      <c r="A129" t="s">
        <v>140</v>
      </c>
      <c r="B129" t="str">
        <f>VLOOKUP(A129,MasterTutor!A:E,4,FALSE)</f>
        <v>Advanced</v>
      </c>
      <c r="C129" t="str">
        <f>VLOOKUP(A129,MasterTutor!A:E,3,FALSE)</f>
        <v>Adjunct</v>
      </c>
      <c r="D129" t="str">
        <f>VLOOKUP(A129,MasterTutor!A:E,2,FALSE)</f>
        <v>Annelies de Groot</v>
      </c>
      <c r="E129" t="s">
        <v>13</v>
      </c>
      <c r="F129" s="2">
        <v>0.96</v>
      </c>
      <c r="G129" s="2">
        <v>0.96</v>
      </c>
      <c r="H129" s="2">
        <v>0.96479999999999999</v>
      </c>
      <c r="I129" s="2">
        <v>0.9254</v>
      </c>
      <c r="J129" s="2">
        <v>0.73299999999999998</v>
      </c>
      <c r="K129">
        <v>3</v>
      </c>
      <c r="L129" s="19">
        <v>0.66666666666666663</v>
      </c>
      <c r="M129" s="21">
        <f>L129</f>
        <v>0.66666666666666663</v>
      </c>
    </row>
    <row r="130" spans="1:13" x14ac:dyDescent="0.2">
      <c r="A130" t="s">
        <v>141</v>
      </c>
      <c r="B130" t="str">
        <f>VLOOKUP(A130,MasterTutor!A:E,4,FALSE)</f>
        <v>Distinguished</v>
      </c>
      <c r="C130" t="str">
        <f>VLOOKUP(A130,MasterTutor!A:E,3,FALSE)</f>
        <v>Adjunct</v>
      </c>
      <c r="D130" t="str">
        <f>VLOOKUP(A130,MasterTutor!A:E,2,FALSE)</f>
        <v>Annelies de Groot</v>
      </c>
      <c r="E130" t="s">
        <v>13</v>
      </c>
      <c r="F130" s="2">
        <v>0.92</v>
      </c>
      <c r="G130" s="2">
        <v>0.93</v>
      </c>
      <c r="H130" s="2">
        <v>0.98329999999999995</v>
      </c>
      <c r="I130" s="2">
        <v>1</v>
      </c>
      <c r="J130" s="2">
        <v>0.222</v>
      </c>
      <c r="K130">
        <v>2</v>
      </c>
      <c r="L130" s="19"/>
    </row>
    <row r="131" spans="1:13" x14ac:dyDescent="0.2">
      <c r="A131" t="s">
        <v>142</v>
      </c>
      <c r="B131" t="str">
        <f>VLOOKUP(A131,MasterTutor!A:E,4,FALSE)</f>
        <v>Advanced</v>
      </c>
      <c r="C131" t="str">
        <f>VLOOKUP(A131,MasterTutor!A:E,3,FALSE)</f>
        <v>Professional</v>
      </c>
      <c r="D131" t="str">
        <f>VLOOKUP(A131,MasterTutor!A:E,2,FALSE)</f>
        <v>Ian Plamondon</v>
      </c>
      <c r="E131" t="s">
        <v>13</v>
      </c>
      <c r="F131" s="2">
        <v>1.08</v>
      </c>
      <c r="G131" s="2">
        <v>1.05</v>
      </c>
      <c r="H131" s="2">
        <v>0.98170000000000002</v>
      </c>
      <c r="I131" s="2">
        <v>0.97409999999999997</v>
      </c>
      <c r="J131" s="2">
        <v>0.23100000000000001</v>
      </c>
      <c r="K131">
        <v>7</v>
      </c>
      <c r="L131" s="19">
        <v>0.33333333333333331</v>
      </c>
      <c r="M131" s="21">
        <f>L131</f>
        <v>0.33333333333333331</v>
      </c>
    </row>
    <row r="132" spans="1:13" x14ac:dyDescent="0.2">
      <c r="A132" t="s">
        <v>143</v>
      </c>
      <c r="B132" t="str">
        <f>VLOOKUP(A132,MasterTutor!A:E,4,FALSE)</f>
        <v>Distinguished</v>
      </c>
      <c r="C132" t="str">
        <f>VLOOKUP(A132,MasterTutor!A:E,3,FALSE)</f>
        <v>Adjunct</v>
      </c>
      <c r="D132" t="str">
        <f>VLOOKUP(A132,MasterTutor!A:E,2,FALSE)</f>
        <v>Annelies de Groot</v>
      </c>
      <c r="E132" t="s">
        <v>13</v>
      </c>
      <c r="F132" s="2">
        <v>1.06</v>
      </c>
      <c r="G132" s="2">
        <v>1.24</v>
      </c>
      <c r="H132" s="2">
        <v>0.97729999999999995</v>
      </c>
      <c r="I132" s="2">
        <v>1</v>
      </c>
      <c r="J132" s="2">
        <v>1</v>
      </c>
      <c r="K132">
        <v>1</v>
      </c>
      <c r="L132" s="19"/>
    </row>
    <row r="133" spans="1:13" x14ac:dyDescent="0.2">
      <c r="A133" t="s">
        <v>144</v>
      </c>
      <c r="B133" t="str">
        <f>VLOOKUP(A133,MasterTutor!A:E,4,FALSE)</f>
        <v>Distinguished</v>
      </c>
      <c r="C133" t="str">
        <f>VLOOKUP(A133,MasterTutor!A:E,3,FALSE)</f>
        <v>Professional</v>
      </c>
      <c r="D133" t="str">
        <f>VLOOKUP(A133,MasterTutor!A:E,2,FALSE)</f>
        <v>Annelies de Groot</v>
      </c>
      <c r="E133" t="s">
        <v>13</v>
      </c>
      <c r="F133" s="2">
        <v>1.08</v>
      </c>
      <c r="G133" s="2">
        <v>1.1100000000000001</v>
      </c>
      <c r="H133" s="2">
        <v>0.99380000000000002</v>
      </c>
      <c r="I133" s="2">
        <v>0.93879999999999997</v>
      </c>
      <c r="J133" s="2">
        <v>0.42099999999999999</v>
      </c>
      <c r="K133">
        <v>8</v>
      </c>
      <c r="L133" s="19">
        <v>1</v>
      </c>
      <c r="M133" s="21">
        <f>L133</f>
        <v>1</v>
      </c>
    </row>
    <row r="134" spans="1:13" x14ac:dyDescent="0.2">
      <c r="A134" t="s">
        <v>145</v>
      </c>
      <c r="B134" t="str">
        <f>VLOOKUP(A134,MasterTutor!A:E,4,FALSE)</f>
        <v>Premium</v>
      </c>
      <c r="C134" t="str">
        <f>VLOOKUP(A134,MasterTutor!A:E,3,FALSE)</f>
        <v>Professional</v>
      </c>
      <c r="D134" t="str">
        <f>VLOOKUP(A134,MasterTutor!A:E,2,FALSE)</f>
        <v>Jessica Milner</v>
      </c>
      <c r="E134" t="s">
        <v>13</v>
      </c>
      <c r="F134" s="2">
        <v>1.05</v>
      </c>
      <c r="G134" s="2">
        <v>1.36</v>
      </c>
      <c r="H134" s="2">
        <v>1</v>
      </c>
      <c r="I134" s="2">
        <v>1</v>
      </c>
      <c r="J134" s="2">
        <v>1</v>
      </c>
      <c r="K134">
        <v>2</v>
      </c>
      <c r="L134" s="19"/>
    </row>
    <row r="135" spans="1:13" x14ac:dyDescent="0.2">
      <c r="A135" t="s">
        <v>146</v>
      </c>
      <c r="B135" t="str">
        <f>VLOOKUP(A135,MasterTutor!A:E,4,FALSE)</f>
        <v>Distinguished</v>
      </c>
      <c r="C135" t="str">
        <f>VLOOKUP(A135,MasterTutor!A:E,3,FALSE)</f>
        <v>Adjunct</v>
      </c>
      <c r="D135" t="str">
        <f>VLOOKUP(A135,MasterTutor!A:E,2,FALSE)</f>
        <v>Ian Plamondon</v>
      </c>
      <c r="E135" t="s">
        <v>13</v>
      </c>
      <c r="F135" s="2">
        <v>0.85</v>
      </c>
      <c r="G135" s="2">
        <v>0.98</v>
      </c>
      <c r="H135" s="2">
        <v>0.99139999999999995</v>
      </c>
      <c r="I135" s="2">
        <v>0.90790000000000004</v>
      </c>
      <c r="J135" s="2">
        <v>0.93799999999999994</v>
      </c>
      <c r="K135">
        <v>2</v>
      </c>
      <c r="L135" s="19">
        <v>0.66666666666666663</v>
      </c>
      <c r="M135" s="21">
        <f>L135</f>
        <v>0.66666666666666663</v>
      </c>
    </row>
    <row r="136" spans="1:13" x14ac:dyDescent="0.2">
      <c r="A136" t="s">
        <v>147</v>
      </c>
      <c r="B136" t="str">
        <f>VLOOKUP(A136,MasterTutor!A:E,4,FALSE)</f>
        <v>Premium</v>
      </c>
      <c r="C136" t="str">
        <f>VLOOKUP(A136,MasterTutor!A:E,3,FALSE)</f>
        <v>Adjunct</v>
      </c>
      <c r="D136" t="str">
        <f>VLOOKUP(A136,MasterTutor!A:E,2,FALSE)</f>
        <v>Ela Cross</v>
      </c>
      <c r="E136" t="s">
        <v>13</v>
      </c>
      <c r="F136" s="2">
        <v>0.84</v>
      </c>
      <c r="G136" s="2">
        <v>1.1200000000000001</v>
      </c>
      <c r="H136" s="2">
        <v>0.98440000000000005</v>
      </c>
      <c r="I136" s="2">
        <v>0.98209999999999997</v>
      </c>
      <c r="J136" s="2">
        <v>0.625</v>
      </c>
      <c r="K136">
        <v>3</v>
      </c>
      <c r="L136" s="19">
        <v>0</v>
      </c>
      <c r="M136" s="21">
        <f>L136</f>
        <v>0</v>
      </c>
    </row>
    <row r="137" spans="1:13" x14ac:dyDescent="0.2">
      <c r="A137" t="s">
        <v>148</v>
      </c>
      <c r="B137" t="str">
        <f>VLOOKUP(A137,MasterTutor!A:E,4,FALSE)</f>
        <v>Advanced</v>
      </c>
      <c r="C137" t="str">
        <f>VLOOKUP(A137,MasterTutor!A:E,3,FALSE)</f>
        <v>Adjunct</v>
      </c>
      <c r="D137" t="str">
        <f>VLOOKUP(A137,MasterTutor!A:E,2,FALSE)</f>
        <v>Ela Cross</v>
      </c>
      <c r="E137" t="s">
        <v>13</v>
      </c>
      <c r="F137" s="2">
        <v>1.34</v>
      </c>
      <c r="G137" s="2">
        <v>1.35</v>
      </c>
      <c r="H137" s="2">
        <v>0.9708</v>
      </c>
      <c r="I137" s="2">
        <v>0.98109999999999997</v>
      </c>
      <c r="J137" s="2">
        <v>1</v>
      </c>
      <c r="K137">
        <v>12</v>
      </c>
      <c r="L137" s="19"/>
    </row>
    <row r="138" spans="1:13" x14ac:dyDescent="0.2">
      <c r="A138" t="s">
        <v>149</v>
      </c>
      <c r="B138" t="str">
        <f>VLOOKUP(A138,MasterTutor!A:E,4,FALSE)</f>
        <v>Distinguished</v>
      </c>
      <c r="C138" t="str">
        <f>VLOOKUP(A138,MasterTutor!A:E,3,FALSE)</f>
        <v>Professional</v>
      </c>
      <c r="D138" t="str">
        <f>VLOOKUP(A138,MasterTutor!A:E,2,FALSE)</f>
        <v>Ian Plamondon</v>
      </c>
      <c r="E138" t="s">
        <v>13</v>
      </c>
      <c r="F138" s="2">
        <v>1.02</v>
      </c>
      <c r="G138" s="2">
        <v>1.37</v>
      </c>
      <c r="H138" s="2">
        <v>0.92669999999999997</v>
      </c>
      <c r="I138" s="2">
        <v>0.68489999999999995</v>
      </c>
      <c r="J138" s="2">
        <v>0.64700000000000002</v>
      </c>
      <c r="K138">
        <v>1</v>
      </c>
      <c r="L138" s="19">
        <v>0.88888888888888884</v>
      </c>
      <c r="M138" s="21">
        <f>L138</f>
        <v>0.88888888888888884</v>
      </c>
    </row>
    <row r="139" spans="1:13" x14ac:dyDescent="0.2">
      <c r="A139" t="s">
        <v>150</v>
      </c>
      <c r="B139" t="str">
        <f>VLOOKUP(A139,MasterTutor!A:E,4,FALSE)</f>
        <v>Advanced</v>
      </c>
      <c r="C139" t="str">
        <f>VLOOKUP(A139,MasterTutor!A:E,3,FALSE)</f>
        <v>Adjunct</v>
      </c>
      <c r="D139" t="str">
        <f>VLOOKUP(A139,MasterTutor!A:E,2,FALSE)</f>
        <v>Ela Cross</v>
      </c>
      <c r="E139" t="s">
        <v>13</v>
      </c>
      <c r="F139" s="2">
        <v>2.1800000000000002</v>
      </c>
      <c r="G139" s="2">
        <v>1.81</v>
      </c>
      <c r="H139" s="2">
        <v>0.98450000000000004</v>
      </c>
      <c r="I139" s="2">
        <v>0.87949999999999995</v>
      </c>
      <c r="J139" s="2">
        <v>0.83299999999999996</v>
      </c>
      <c r="K139">
        <v>10</v>
      </c>
      <c r="L139" s="19">
        <v>0.14285714285714285</v>
      </c>
      <c r="M139" s="21">
        <f>L139</f>
        <v>0.14285714285714285</v>
      </c>
    </row>
    <row r="140" spans="1:13" x14ac:dyDescent="0.2">
      <c r="A140" t="s">
        <v>151</v>
      </c>
      <c r="B140" t="e">
        <f>VLOOKUP(A140,MasterTutor!A:E,4,FALSE)</f>
        <v>#N/A</v>
      </c>
      <c r="C140" t="e">
        <f>VLOOKUP(A140,MasterTutor!A:E,3,FALSE)</f>
        <v>#N/A</v>
      </c>
      <c r="D140" t="e">
        <f>VLOOKUP(A140,MasterTutor!A:E,2,FALSE)</f>
        <v>#N/A</v>
      </c>
      <c r="E140" t="s">
        <v>13</v>
      </c>
      <c r="F140" s="2">
        <v>1.53</v>
      </c>
      <c r="G140" s="2">
        <v>1.62</v>
      </c>
      <c r="H140" s="2">
        <v>1</v>
      </c>
      <c r="I140" s="2">
        <v>0.96509999999999996</v>
      </c>
      <c r="J140" s="2">
        <v>0.83299999999999996</v>
      </c>
      <c r="K140">
        <v>6</v>
      </c>
      <c r="L140" s="19">
        <v>0.5714285714285714</v>
      </c>
      <c r="M140" s="21">
        <f>L140</f>
        <v>0.5714285714285714</v>
      </c>
    </row>
    <row r="141" spans="1:13" x14ac:dyDescent="0.2">
      <c r="A141" t="s">
        <v>152</v>
      </c>
      <c r="B141" t="str">
        <f>VLOOKUP(A141,MasterTutor!A:E,4,FALSE)</f>
        <v>Premium</v>
      </c>
      <c r="C141" t="str">
        <f>VLOOKUP(A141,MasterTutor!A:E,3,FALSE)</f>
        <v>Professional</v>
      </c>
      <c r="D141" t="str">
        <f>VLOOKUP(A141,MasterTutor!A:E,2,FALSE)</f>
        <v>Ian Plamondon</v>
      </c>
      <c r="E141" t="s">
        <v>13</v>
      </c>
      <c r="F141" s="2">
        <v>1.06</v>
      </c>
      <c r="G141" s="2">
        <v>1.41</v>
      </c>
      <c r="H141" s="2">
        <v>1</v>
      </c>
      <c r="I141" s="2">
        <v>0.98909999999999998</v>
      </c>
      <c r="J141" s="2">
        <v>0.60699999999999998</v>
      </c>
      <c r="K141">
        <v>2</v>
      </c>
      <c r="L141" s="19">
        <v>0.75</v>
      </c>
      <c r="M141" s="21">
        <f>L141</f>
        <v>0.75</v>
      </c>
    </row>
    <row r="142" spans="1:13" x14ac:dyDescent="0.2">
      <c r="A142" t="s">
        <v>153</v>
      </c>
      <c r="B142" t="str">
        <f>VLOOKUP(A142,MasterTutor!A:E,4,FALSE)</f>
        <v>Distinguished</v>
      </c>
      <c r="C142" t="str">
        <f>VLOOKUP(A142,MasterTutor!A:E,3,FALSE)</f>
        <v>Professional</v>
      </c>
      <c r="D142" t="str">
        <f>VLOOKUP(A142,MasterTutor!A:E,2,FALSE)</f>
        <v>Ian Plamondon</v>
      </c>
      <c r="E142" t="s">
        <v>13</v>
      </c>
      <c r="F142" s="2">
        <v>1.1599999999999999</v>
      </c>
      <c r="G142" s="2">
        <v>1.22</v>
      </c>
      <c r="H142" s="2">
        <v>0.97770000000000001</v>
      </c>
      <c r="I142" s="2">
        <v>0.95899999999999996</v>
      </c>
      <c r="J142" s="2">
        <v>0.20599999999999999</v>
      </c>
      <c r="K142">
        <v>7</v>
      </c>
      <c r="L142" s="19"/>
    </row>
    <row r="143" spans="1:13" x14ac:dyDescent="0.2">
      <c r="A143" t="s">
        <v>154</v>
      </c>
      <c r="B143" t="e">
        <f>VLOOKUP(A143,MasterTutor!A:E,4,FALSE)</f>
        <v>#N/A</v>
      </c>
      <c r="C143" t="e">
        <f>VLOOKUP(A143,MasterTutor!A:E,3,FALSE)</f>
        <v>#N/A</v>
      </c>
      <c r="D143" t="e">
        <f>VLOOKUP(A143,MasterTutor!A:E,2,FALSE)</f>
        <v>#N/A</v>
      </c>
      <c r="E143" t="s">
        <v>13</v>
      </c>
      <c r="F143" s="2">
        <v>1.18</v>
      </c>
      <c r="G143" s="2">
        <v>1.36</v>
      </c>
      <c r="H143" s="2">
        <v>0.94979999999999998</v>
      </c>
      <c r="I143" s="2">
        <v>0.97560000000000002</v>
      </c>
      <c r="J143" s="2">
        <v>0.5</v>
      </c>
      <c r="K143">
        <v>4</v>
      </c>
      <c r="L143" s="19">
        <v>0</v>
      </c>
      <c r="M143" s="21">
        <f t="shared" ref="M143:M155" si="6">L143</f>
        <v>0</v>
      </c>
    </row>
    <row r="144" spans="1:13" x14ac:dyDescent="0.2">
      <c r="A144" t="s">
        <v>155</v>
      </c>
      <c r="B144" t="str">
        <f>VLOOKUP(A144,MasterTutor!A:E,4,FALSE)</f>
        <v>Distinguished</v>
      </c>
      <c r="C144" t="str">
        <f>VLOOKUP(A144,MasterTutor!A:E,3,FALSE)</f>
        <v>Professional</v>
      </c>
      <c r="D144" t="str">
        <f>VLOOKUP(A144,MasterTutor!A:E,2,FALSE)</f>
        <v>Kristin Haase-Alvey</v>
      </c>
      <c r="E144" t="s">
        <v>13</v>
      </c>
      <c r="F144" s="2">
        <v>0.98</v>
      </c>
      <c r="G144" s="2">
        <v>0.97</v>
      </c>
      <c r="H144" s="2">
        <v>1</v>
      </c>
      <c r="I144" s="2">
        <v>0.97470000000000001</v>
      </c>
      <c r="J144" s="2">
        <v>0.86699999999999999</v>
      </c>
      <c r="K144">
        <v>5</v>
      </c>
      <c r="L144" s="19">
        <v>0.5</v>
      </c>
      <c r="M144" s="21">
        <f t="shared" si="6"/>
        <v>0.5</v>
      </c>
    </row>
    <row r="145" spans="1:13" x14ac:dyDescent="0.2">
      <c r="A145" t="s">
        <v>156</v>
      </c>
      <c r="B145" t="e">
        <f>VLOOKUP(A145,MasterTutor!A:E,4,FALSE)</f>
        <v>#N/A</v>
      </c>
      <c r="C145" t="e">
        <f>VLOOKUP(A145,MasterTutor!A:E,3,FALSE)</f>
        <v>#N/A</v>
      </c>
      <c r="D145" t="e">
        <f>VLOOKUP(A145,MasterTutor!A:E,2,FALSE)</f>
        <v>#N/A</v>
      </c>
      <c r="E145" t="s">
        <v>13</v>
      </c>
      <c r="F145" s="2">
        <v>2.29</v>
      </c>
      <c r="G145" s="2">
        <v>2.14</v>
      </c>
      <c r="H145" s="2">
        <v>1</v>
      </c>
      <c r="I145" s="2">
        <v>0.92500000000000004</v>
      </c>
      <c r="J145" s="2">
        <v>0.95199999999999996</v>
      </c>
      <c r="K145">
        <v>5</v>
      </c>
      <c r="L145" s="19">
        <v>0.77777777777777779</v>
      </c>
      <c r="M145" s="21">
        <f t="shared" si="6"/>
        <v>0.77777777777777779</v>
      </c>
    </row>
    <row r="146" spans="1:13" x14ac:dyDescent="0.2">
      <c r="A146" t="s">
        <v>157</v>
      </c>
      <c r="B146" t="str">
        <f>VLOOKUP(A146,MasterTutor!A:E,4,FALSE)</f>
        <v>Advanced</v>
      </c>
      <c r="C146" t="str">
        <f>VLOOKUP(A146,MasterTutor!A:E,3,FALSE)</f>
        <v>Adjunct</v>
      </c>
      <c r="D146" t="str">
        <f>VLOOKUP(A146,MasterTutor!A:E,2,FALSE)</f>
        <v>Kristin Haase-Alvey</v>
      </c>
      <c r="E146" t="s">
        <v>13</v>
      </c>
      <c r="F146" s="2">
        <v>1.02</v>
      </c>
      <c r="G146" s="2">
        <v>1.05</v>
      </c>
      <c r="H146" s="2">
        <v>0.98909999999999998</v>
      </c>
      <c r="I146" s="2">
        <v>0.96719999999999995</v>
      </c>
      <c r="J146" s="2">
        <v>0.81299999999999994</v>
      </c>
      <c r="K146">
        <v>6</v>
      </c>
      <c r="L146" s="19">
        <v>0</v>
      </c>
      <c r="M146" s="21">
        <f t="shared" si="6"/>
        <v>0</v>
      </c>
    </row>
    <row r="147" spans="1:13" x14ac:dyDescent="0.2">
      <c r="A147" t="s">
        <v>158</v>
      </c>
      <c r="B147" t="str">
        <f>VLOOKUP(A147,MasterTutor!A:E,4,FALSE)</f>
        <v>Advanced</v>
      </c>
      <c r="C147" t="str">
        <f>VLOOKUP(A147,MasterTutor!A:E,3,FALSE)</f>
        <v>Adjunct</v>
      </c>
      <c r="D147" t="str">
        <f>VLOOKUP(A147,MasterTutor!A:E,2,FALSE)</f>
        <v>Annelies de Groot</v>
      </c>
      <c r="E147" t="s">
        <v>13</v>
      </c>
      <c r="F147" s="2">
        <v>0.69</v>
      </c>
      <c r="G147" s="2">
        <v>0.86</v>
      </c>
      <c r="H147" s="2">
        <v>1</v>
      </c>
      <c r="I147" s="2">
        <v>1</v>
      </c>
      <c r="J147" s="2">
        <v>0.6</v>
      </c>
      <c r="K147">
        <v>2</v>
      </c>
      <c r="L147" s="19">
        <v>0</v>
      </c>
      <c r="M147" s="21">
        <f t="shared" si="6"/>
        <v>0</v>
      </c>
    </row>
    <row r="148" spans="1:13" x14ac:dyDescent="0.2">
      <c r="A148" t="s">
        <v>159</v>
      </c>
      <c r="B148" t="e">
        <f>VLOOKUP(A148,MasterTutor!A:E,4,FALSE)</f>
        <v>#N/A</v>
      </c>
      <c r="C148" t="e">
        <f>VLOOKUP(A148,MasterTutor!A:E,3,FALSE)</f>
        <v>#N/A</v>
      </c>
      <c r="D148" t="e">
        <f>VLOOKUP(A148,MasterTutor!A:E,2,FALSE)</f>
        <v>#N/A</v>
      </c>
      <c r="E148" t="s">
        <v>13</v>
      </c>
      <c r="F148" s="2">
        <v>0.73</v>
      </c>
      <c r="G148" s="2">
        <v>0.95</v>
      </c>
      <c r="H148" s="2">
        <v>0.59089999999999998</v>
      </c>
      <c r="I148" s="2">
        <v>0.95</v>
      </c>
      <c r="J148" s="2">
        <v>1</v>
      </c>
      <c r="K148">
        <v>2</v>
      </c>
      <c r="L148" s="19">
        <v>1</v>
      </c>
      <c r="M148" s="21">
        <f t="shared" si="6"/>
        <v>1</v>
      </c>
    </row>
    <row r="149" spans="1:13" x14ac:dyDescent="0.2">
      <c r="A149" t="s">
        <v>160</v>
      </c>
      <c r="B149" t="str">
        <f>VLOOKUP(A149,MasterTutor!A:E,4,FALSE)</f>
        <v>Distinguished</v>
      </c>
      <c r="C149" t="str">
        <f>VLOOKUP(A149,MasterTutor!A:E,3,FALSE)</f>
        <v>Adjunct</v>
      </c>
      <c r="D149" t="str">
        <f>VLOOKUP(A149,MasterTutor!A:E,2,FALSE)</f>
        <v>Ela Cross</v>
      </c>
      <c r="E149" t="s">
        <v>13</v>
      </c>
      <c r="F149" s="2">
        <v>0.89</v>
      </c>
      <c r="G149" s="2">
        <v>1.1399999999999999</v>
      </c>
      <c r="H149" s="2">
        <v>1</v>
      </c>
      <c r="I149" s="2">
        <v>0.96879999999999999</v>
      </c>
      <c r="J149" s="2">
        <v>0.5</v>
      </c>
      <c r="K149" t="e">
        <v>#N/A</v>
      </c>
      <c r="L149" s="19">
        <v>0.75</v>
      </c>
      <c r="M149" s="21">
        <f t="shared" si="6"/>
        <v>0.75</v>
      </c>
    </row>
    <row r="150" spans="1:13" x14ac:dyDescent="0.2">
      <c r="A150" t="s">
        <v>161</v>
      </c>
      <c r="B150" t="str">
        <f>VLOOKUP(A150,MasterTutor!A:E,4,FALSE)</f>
        <v>Distinguished</v>
      </c>
      <c r="C150" t="str">
        <f>VLOOKUP(A150,MasterTutor!A:E,3,FALSE)</f>
        <v>Professional</v>
      </c>
      <c r="D150" t="str">
        <f>VLOOKUP(A150,MasterTutor!A:E,2,FALSE)</f>
        <v>Ian Plamondon</v>
      </c>
      <c r="E150" t="s">
        <v>13</v>
      </c>
      <c r="F150" s="2">
        <v>0.91</v>
      </c>
      <c r="G150" s="2">
        <v>1.25</v>
      </c>
      <c r="H150" s="2">
        <v>1</v>
      </c>
      <c r="I150" s="2">
        <v>0.9677</v>
      </c>
      <c r="J150" s="2">
        <v>0.8</v>
      </c>
      <c r="K150" t="e">
        <v>#N/A</v>
      </c>
      <c r="L150" s="19">
        <v>1</v>
      </c>
      <c r="M150" s="21">
        <f t="shared" si="6"/>
        <v>1</v>
      </c>
    </row>
    <row r="151" spans="1:13" x14ac:dyDescent="0.2">
      <c r="A151" t="s">
        <v>162</v>
      </c>
      <c r="B151" t="e">
        <f>VLOOKUP(A151,MasterTutor!A:E,4,FALSE)</f>
        <v>#N/A</v>
      </c>
      <c r="C151" t="e">
        <f>VLOOKUP(A151,MasterTutor!A:E,3,FALSE)</f>
        <v>#N/A</v>
      </c>
      <c r="D151" t="e">
        <f>VLOOKUP(A151,MasterTutor!A:E,2,FALSE)</f>
        <v>#N/A</v>
      </c>
      <c r="E151" t="s">
        <v>13</v>
      </c>
      <c r="F151" s="2">
        <v>1.1499999999999999</v>
      </c>
      <c r="G151" s="2">
        <v>1.3</v>
      </c>
      <c r="H151" s="2">
        <v>0.90380000000000005</v>
      </c>
      <c r="I151" s="2">
        <v>0.97670000000000001</v>
      </c>
      <c r="J151" s="2">
        <v>0.73299999999999998</v>
      </c>
      <c r="K151">
        <v>2</v>
      </c>
      <c r="L151" s="19">
        <v>0</v>
      </c>
      <c r="M151" s="21">
        <f t="shared" si="6"/>
        <v>0</v>
      </c>
    </row>
    <row r="152" spans="1:13" x14ac:dyDescent="0.2">
      <c r="A152" t="s">
        <v>163</v>
      </c>
      <c r="B152" t="str">
        <f>VLOOKUP(A152,MasterTutor!A:E,4,FALSE)</f>
        <v>Premium</v>
      </c>
      <c r="C152" t="str">
        <f>VLOOKUP(A152,MasterTutor!A:E,3,FALSE)</f>
        <v>Professional</v>
      </c>
      <c r="D152" t="str">
        <f>VLOOKUP(A152,MasterTutor!A:E,2,FALSE)</f>
        <v>Jessica Milner</v>
      </c>
      <c r="E152" t="s">
        <v>13</v>
      </c>
      <c r="F152" s="2">
        <v>1.0900000000000001</v>
      </c>
      <c r="G152" s="2">
        <v>1.23</v>
      </c>
      <c r="H152" s="2">
        <v>0.81540000000000001</v>
      </c>
      <c r="I152" s="2">
        <v>0.95879999999999999</v>
      </c>
      <c r="J152" s="2">
        <v>0.185</v>
      </c>
      <c r="K152">
        <v>4</v>
      </c>
      <c r="L152" s="19">
        <v>0.33333333333333331</v>
      </c>
      <c r="M152" s="21">
        <f t="shared" si="6"/>
        <v>0.33333333333333331</v>
      </c>
    </row>
    <row r="153" spans="1:13" x14ac:dyDescent="0.2">
      <c r="A153" t="s">
        <v>164</v>
      </c>
      <c r="B153" t="str">
        <f>VLOOKUP(A153,MasterTutor!A:E,4,FALSE)</f>
        <v>Advanced</v>
      </c>
      <c r="C153" t="str">
        <f>VLOOKUP(A153,MasterTutor!A:E,3,FALSE)</f>
        <v>Professional</v>
      </c>
      <c r="D153" t="str">
        <f>VLOOKUP(A153,MasterTutor!A:E,2,FALSE)</f>
        <v>Annelies de Groot</v>
      </c>
      <c r="E153" t="s">
        <v>13</v>
      </c>
      <c r="F153" s="2">
        <v>1.1200000000000001</v>
      </c>
      <c r="G153" s="2">
        <v>1.08</v>
      </c>
      <c r="H153" s="2">
        <v>0.96579999999999999</v>
      </c>
      <c r="I153" s="2">
        <v>0.92130000000000001</v>
      </c>
      <c r="J153" s="2">
        <v>0.5</v>
      </c>
      <c r="K153">
        <v>5</v>
      </c>
      <c r="L153" s="19">
        <v>0</v>
      </c>
      <c r="M153" s="21">
        <f t="shared" si="6"/>
        <v>0</v>
      </c>
    </row>
    <row r="154" spans="1:13" x14ac:dyDescent="0.2">
      <c r="A154" t="s">
        <v>165</v>
      </c>
      <c r="B154" t="str">
        <f>VLOOKUP(A154,MasterTutor!A:E,4,FALSE)</f>
        <v>Advanced</v>
      </c>
      <c r="C154" t="str">
        <f>VLOOKUP(A154,MasterTutor!A:E,3,FALSE)</f>
        <v>Adjunct</v>
      </c>
      <c r="D154" t="str">
        <f>VLOOKUP(A154,MasterTutor!A:E,2,FALSE)</f>
        <v>Ela Cross</v>
      </c>
      <c r="E154" t="s">
        <v>13</v>
      </c>
      <c r="F154" s="2">
        <v>1.1299999999999999</v>
      </c>
      <c r="G154" s="2">
        <v>1.24</v>
      </c>
      <c r="H154" s="2">
        <v>0.97150000000000003</v>
      </c>
      <c r="I154" s="2">
        <v>1</v>
      </c>
      <c r="J154" s="2">
        <v>0.6</v>
      </c>
      <c r="K154">
        <v>7</v>
      </c>
      <c r="L154" s="19">
        <v>1</v>
      </c>
      <c r="M154" s="21">
        <f t="shared" si="6"/>
        <v>1</v>
      </c>
    </row>
    <row r="155" spans="1:13" x14ac:dyDescent="0.2">
      <c r="A155" t="s">
        <v>166</v>
      </c>
      <c r="B155" t="str">
        <f>VLOOKUP(A155,MasterTutor!A:E,4,FALSE)</f>
        <v>Distinguished</v>
      </c>
      <c r="C155" t="str">
        <f>VLOOKUP(A155,MasterTutor!A:E,3,FALSE)</f>
        <v>Adjunct</v>
      </c>
      <c r="D155" t="str">
        <f>VLOOKUP(A155,MasterTutor!A:E,2,FALSE)</f>
        <v>Annelies de Groot</v>
      </c>
      <c r="E155" t="s">
        <v>13</v>
      </c>
      <c r="F155" s="2">
        <v>2</v>
      </c>
      <c r="G155" s="2">
        <v>1.86</v>
      </c>
      <c r="H155" s="2">
        <v>0.99070000000000003</v>
      </c>
      <c r="I155" s="2">
        <v>0.92110000000000003</v>
      </c>
      <c r="J155" s="2">
        <v>0.66700000000000004</v>
      </c>
      <c r="K155">
        <v>8</v>
      </c>
      <c r="L155" s="19">
        <v>0.8</v>
      </c>
      <c r="M155" s="21">
        <f t="shared" si="6"/>
        <v>0.8</v>
      </c>
    </row>
    <row r="156" spans="1:13" x14ac:dyDescent="0.2">
      <c r="A156" t="s">
        <v>167</v>
      </c>
      <c r="B156" t="str">
        <f>VLOOKUP(A156,MasterTutor!A:E,4,FALSE)</f>
        <v>Advanced</v>
      </c>
      <c r="C156" t="str">
        <f>VLOOKUP(A156,MasterTutor!A:E,3,FALSE)</f>
        <v>Adjunct</v>
      </c>
      <c r="D156" t="str">
        <f>VLOOKUP(A156,MasterTutor!A:E,2,FALSE)</f>
        <v>Ela Cross</v>
      </c>
      <c r="E156" t="s">
        <v>13</v>
      </c>
      <c r="F156" s="2">
        <v>1.1200000000000001</v>
      </c>
      <c r="G156" s="2">
        <v>1.0900000000000001</v>
      </c>
      <c r="H156" s="2">
        <v>0.93069999999999997</v>
      </c>
      <c r="I156" s="2">
        <v>0.9385</v>
      </c>
      <c r="J156" s="2">
        <v>0.58799999999999997</v>
      </c>
      <c r="K156">
        <v>2</v>
      </c>
      <c r="L156" s="19"/>
    </row>
    <row r="157" spans="1:13" x14ac:dyDescent="0.2">
      <c r="A157" t="s">
        <v>168</v>
      </c>
      <c r="B157" t="str">
        <f>VLOOKUP(A157,MasterTutor!A:E,4,FALSE)</f>
        <v>Advanced</v>
      </c>
      <c r="C157" t="str">
        <f>VLOOKUP(A157,MasterTutor!A:E,3,FALSE)</f>
        <v>Adjunct</v>
      </c>
      <c r="D157" t="str">
        <f>VLOOKUP(A157,MasterTutor!A:E,2,FALSE)</f>
        <v>Kristin Haase-Alvey</v>
      </c>
      <c r="E157" t="s">
        <v>13</v>
      </c>
      <c r="F157" s="2">
        <v>0.89</v>
      </c>
      <c r="G157" s="2">
        <v>1</v>
      </c>
      <c r="H157" s="2">
        <v>1</v>
      </c>
      <c r="I157" s="2">
        <v>1</v>
      </c>
      <c r="J157" s="2">
        <v>0.68799999999999994</v>
      </c>
      <c r="K157">
        <v>8</v>
      </c>
      <c r="L157" s="19">
        <v>0.33333333333333331</v>
      </c>
      <c r="M157" s="21">
        <f>L157</f>
        <v>0.33333333333333331</v>
      </c>
    </row>
    <row r="158" spans="1:13" x14ac:dyDescent="0.2">
      <c r="A158" t="s">
        <v>169</v>
      </c>
      <c r="B158" t="e">
        <f>VLOOKUP(A158,MasterTutor!A:E,4,FALSE)</f>
        <v>#N/A</v>
      </c>
      <c r="C158" t="e">
        <f>VLOOKUP(A158,MasterTutor!A:E,3,FALSE)</f>
        <v>#N/A</v>
      </c>
      <c r="D158" t="e">
        <f>VLOOKUP(A158,MasterTutor!A:E,2,FALSE)</f>
        <v>#N/A</v>
      </c>
      <c r="E158" t="s">
        <v>13</v>
      </c>
      <c r="F158" s="2">
        <v>0.99</v>
      </c>
      <c r="G158" s="2">
        <v>1.38</v>
      </c>
      <c r="H158" s="2">
        <v>0.98809999999999998</v>
      </c>
      <c r="I158" s="2">
        <v>0.871</v>
      </c>
      <c r="J158" s="2">
        <v>0.75</v>
      </c>
      <c r="K158" t="e">
        <v>#N/A</v>
      </c>
      <c r="L158" s="19">
        <v>0</v>
      </c>
      <c r="M158" s="21">
        <f>L158</f>
        <v>0</v>
      </c>
    </row>
    <row r="159" spans="1:13" x14ac:dyDescent="0.2">
      <c r="A159" t="s">
        <v>170</v>
      </c>
      <c r="B159" t="str">
        <f>VLOOKUP(A159,MasterTutor!A:E,4,FALSE)</f>
        <v>Advanced</v>
      </c>
      <c r="C159" t="str">
        <f>VLOOKUP(A159,MasterTutor!A:E,3,FALSE)</f>
        <v>Professional</v>
      </c>
      <c r="D159" t="str">
        <f>VLOOKUP(A159,MasterTutor!A:E,2,FALSE)</f>
        <v>Ela Cross</v>
      </c>
      <c r="E159" t="s">
        <v>13</v>
      </c>
      <c r="F159" s="2">
        <v>1.61</v>
      </c>
      <c r="G159" s="2">
        <v>1.84</v>
      </c>
      <c r="H159" s="2">
        <v>0.9325</v>
      </c>
      <c r="I159" s="2">
        <v>0.98209999999999997</v>
      </c>
      <c r="J159" s="2">
        <v>0.58599999999999997</v>
      </c>
      <c r="K159">
        <v>1</v>
      </c>
      <c r="L159" s="19">
        <v>0.83333333333333337</v>
      </c>
      <c r="M159" s="21">
        <f>L159</f>
        <v>0.83333333333333337</v>
      </c>
    </row>
    <row r="160" spans="1:13" x14ac:dyDescent="0.2">
      <c r="A160" t="s">
        <v>171</v>
      </c>
      <c r="B160" t="str">
        <f>VLOOKUP(A160,MasterTutor!A:E,4,FALSE)</f>
        <v>Advanced</v>
      </c>
      <c r="C160" t="str">
        <f>VLOOKUP(A160,MasterTutor!A:E,3,FALSE)</f>
        <v>Adjunct</v>
      </c>
      <c r="D160" t="str">
        <f>VLOOKUP(A160,MasterTutor!A:E,2,FALSE)</f>
        <v>Annelies de Groot</v>
      </c>
      <c r="E160" t="s">
        <v>13</v>
      </c>
      <c r="F160" s="2">
        <v>1.38</v>
      </c>
      <c r="G160" s="2">
        <v>1.33</v>
      </c>
      <c r="H160" s="2">
        <v>0.93279999999999996</v>
      </c>
      <c r="I160" s="2">
        <v>0.97919999999999996</v>
      </c>
      <c r="J160" s="2">
        <v>0.26700000000000002</v>
      </c>
      <c r="K160">
        <v>1</v>
      </c>
      <c r="L160" s="19">
        <v>0</v>
      </c>
      <c r="M160" s="21">
        <f>L160</f>
        <v>0</v>
      </c>
    </row>
    <row r="161" spans="1:13" x14ac:dyDescent="0.2">
      <c r="A161" t="s">
        <v>172</v>
      </c>
      <c r="B161" t="e">
        <f>VLOOKUP(A161,MasterTutor!A:E,4,FALSE)</f>
        <v>#N/A</v>
      </c>
      <c r="C161" t="e">
        <f>VLOOKUP(A161,MasterTutor!A:E,3,FALSE)</f>
        <v>#N/A</v>
      </c>
      <c r="D161" t="e">
        <f>VLOOKUP(A161,MasterTutor!A:E,2,FALSE)</f>
        <v>#N/A</v>
      </c>
      <c r="E161" t="s">
        <v>13</v>
      </c>
      <c r="F161" s="2">
        <v>1.49</v>
      </c>
      <c r="G161" s="2">
        <v>1.65</v>
      </c>
      <c r="H161" s="2">
        <v>0.9919</v>
      </c>
      <c r="I161" s="2">
        <v>0.62749999999999995</v>
      </c>
      <c r="J161" s="2">
        <v>0.69199999999999995</v>
      </c>
      <c r="K161">
        <v>6</v>
      </c>
      <c r="L161" s="19">
        <v>0.7142857142857143</v>
      </c>
      <c r="M161" s="21">
        <f>L161</f>
        <v>0.7142857142857143</v>
      </c>
    </row>
    <row r="162" spans="1:13" x14ac:dyDescent="0.2">
      <c r="A162" t="s">
        <v>173</v>
      </c>
      <c r="B162" t="e">
        <f>VLOOKUP(A162,MasterTutor!A:E,4,FALSE)</f>
        <v>#N/A</v>
      </c>
      <c r="C162" t="e">
        <f>VLOOKUP(A162,MasterTutor!A:E,3,FALSE)</f>
        <v>#N/A</v>
      </c>
      <c r="D162" t="e">
        <f>VLOOKUP(A162,MasterTutor!A:E,2,FALSE)</f>
        <v>#N/A</v>
      </c>
      <c r="E162" t="s">
        <v>13</v>
      </c>
      <c r="F162" s="2">
        <v>0.71</v>
      </c>
      <c r="G162" s="2">
        <v>0.92</v>
      </c>
      <c r="H162" s="2">
        <v>0.77580000000000005</v>
      </c>
      <c r="I162" s="2">
        <v>0.92859999999999998</v>
      </c>
      <c r="J162" s="2">
        <v>0.85699999999999998</v>
      </c>
      <c r="K162">
        <v>1</v>
      </c>
      <c r="L162" s="19"/>
    </row>
    <row r="163" spans="1:13" x14ac:dyDescent="0.2">
      <c r="A163" t="s">
        <v>174</v>
      </c>
      <c r="B163" t="e">
        <f>VLOOKUP(A163,MasterTutor!A:E,4,FALSE)</f>
        <v>#N/A</v>
      </c>
      <c r="C163" t="e">
        <f>VLOOKUP(A163,MasterTutor!A:E,3,FALSE)</f>
        <v>#N/A</v>
      </c>
      <c r="D163" t="e">
        <f>VLOOKUP(A163,MasterTutor!A:E,2,FALSE)</f>
        <v>#N/A</v>
      </c>
      <c r="E163" t="s">
        <v>13</v>
      </c>
      <c r="F163" s="2">
        <v>0.06</v>
      </c>
      <c r="G163" s="2">
        <v>0.42</v>
      </c>
      <c r="H163" s="2">
        <v>1</v>
      </c>
      <c r="I163" s="2">
        <v>1</v>
      </c>
      <c r="J163" s="2">
        <v>0.66700000000000004</v>
      </c>
      <c r="K163" t="e">
        <v>#N/A</v>
      </c>
      <c r="L163" s="19">
        <v>0.2</v>
      </c>
      <c r="M163" s="21">
        <f t="shared" ref="M163:M168" si="7">L163</f>
        <v>0.2</v>
      </c>
    </row>
    <row r="164" spans="1:13" x14ac:dyDescent="0.2">
      <c r="A164" t="s">
        <v>175</v>
      </c>
      <c r="B164" t="str">
        <f>VLOOKUP(A164,MasterTutor!A:E,4,FALSE)</f>
        <v>Distinguished</v>
      </c>
      <c r="C164" t="str">
        <f>VLOOKUP(A164,MasterTutor!A:E,3,FALSE)</f>
        <v>Adjunct</v>
      </c>
      <c r="D164" t="str">
        <f>VLOOKUP(A164,MasterTutor!A:E,2,FALSE)</f>
        <v>Annelies de Groot</v>
      </c>
      <c r="E164" t="s">
        <v>13</v>
      </c>
      <c r="F164" s="2">
        <v>0.98</v>
      </c>
      <c r="G164" s="2">
        <v>1</v>
      </c>
      <c r="H164" s="2">
        <v>0.97919999999999996</v>
      </c>
      <c r="I164" s="2">
        <v>0.8286</v>
      </c>
      <c r="J164" s="2">
        <v>0.4</v>
      </c>
      <c r="K164">
        <v>1</v>
      </c>
      <c r="L164" s="19">
        <v>0</v>
      </c>
      <c r="M164" s="21">
        <f t="shared" si="7"/>
        <v>0</v>
      </c>
    </row>
    <row r="165" spans="1:13" x14ac:dyDescent="0.2">
      <c r="A165" t="s">
        <v>176</v>
      </c>
      <c r="B165" t="str">
        <f>VLOOKUP(A165,MasterTutor!A:E,4,FALSE)</f>
        <v>Premium</v>
      </c>
      <c r="C165" t="str">
        <f>VLOOKUP(A165,MasterTutor!A:E,3,FALSE)</f>
        <v>Professional</v>
      </c>
      <c r="D165" t="str">
        <f>VLOOKUP(A165,MasterTutor!A:E,2,FALSE)</f>
        <v>Ian Plamondon</v>
      </c>
      <c r="E165" t="s">
        <v>13</v>
      </c>
      <c r="F165" s="2">
        <v>0.96</v>
      </c>
      <c r="G165" s="2">
        <v>1.29</v>
      </c>
      <c r="H165" s="2">
        <v>1</v>
      </c>
      <c r="I165" s="2">
        <v>0.89129999999999998</v>
      </c>
      <c r="J165" s="2">
        <v>0.76500000000000001</v>
      </c>
      <c r="K165">
        <v>1</v>
      </c>
      <c r="L165" s="19">
        <v>0.75</v>
      </c>
      <c r="M165" s="21">
        <f t="shared" si="7"/>
        <v>0.75</v>
      </c>
    </row>
    <row r="166" spans="1:13" x14ac:dyDescent="0.2">
      <c r="A166" t="s">
        <v>177</v>
      </c>
      <c r="B166" t="e">
        <f>VLOOKUP(A166,MasterTutor!A:E,4,FALSE)</f>
        <v>#N/A</v>
      </c>
      <c r="C166" t="e">
        <f>VLOOKUP(A166,MasterTutor!A:E,3,FALSE)</f>
        <v>#N/A</v>
      </c>
      <c r="D166" t="e">
        <f>VLOOKUP(A166,MasterTutor!A:E,2,FALSE)</f>
        <v>#N/A</v>
      </c>
      <c r="E166" t="s">
        <v>13</v>
      </c>
      <c r="F166" s="2">
        <v>0.95</v>
      </c>
      <c r="G166" s="2">
        <v>0.95</v>
      </c>
      <c r="H166" s="2">
        <v>0.94610000000000005</v>
      </c>
      <c r="I166" s="2">
        <v>0.92190000000000005</v>
      </c>
      <c r="J166" s="2">
        <v>0.75</v>
      </c>
      <c r="K166">
        <v>3</v>
      </c>
      <c r="L166" s="19">
        <v>0</v>
      </c>
      <c r="M166" s="21">
        <f t="shared" si="7"/>
        <v>0</v>
      </c>
    </row>
    <row r="167" spans="1:13" x14ac:dyDescent="0.2">
      <c r="A167" t="s">
        <v>178</v>
      </c>
      <c r="B167" t="e">
        <f>VLOOKUP(A167,MasterTutor!A:E,4,FALSE)</f>
        <v>#N/A</v>
      </c>
      <c r="C167" t="e">
        <f>VLOOKUP(A167,MasterTutor!A:E,3,FALSE)</f>
        <v>#N/A</v>
      </c>
      <c r="D167" t="e">
        <f>VLOOKUP(A167,MasterTutor!A:E,2,FALSE)</f>
        <v>#N/A</v>
      </c>
      <c r="E167" t="s">
        <v>13</v>
      </c>
      <c r="F167" s="2">
        <v>0.67</v>
      </c>
      <c r="G167" s="2">
        <v>0.75</v>
      </c>
      <c r="H167" s="2">
        <v>1</v>
      </c>
      <c r="I167" s="2">
        <v>0.92</v>
      </c>
      <c r="J167" s="2">
        <v>0.66700000000000004</v>
      </c>
      <c r="K167">
        <v>2</v>
      </c>
      <c r="L167" s="19">
        <v>0</v>
      </c>
      <c r="M167" s="21">
        <f t="shared" si="7"/>
        <v>0</v>
      </c>
    </row>
    <row r="168" spans="1:13" x14ac:dyDescent="0.2">
      <c r="A168" t="s">
        <v>179</v>
      </c>
      <c r="B168" t="str">
        <f>VLOOKUP(A168,MasterTutor!A:E,4,FALSE)</f>
        <v>Advanced</v>
      </c>
      <c r="C168" t="str">
        <f>VLOOKUP(A168,MasterTutor!A:E,3,FALSE)</f>
        <v>Adjunct</v>
      </c>
      <c r="D168" t="str">
        <f>VLOOKUP(A168,MasterTutor!A:E,2,FALSE)</f>
        <v>Ela Cross</v>
      </c>
      <c r="E168" t="s">
        <v>13</v>
      </c>
      <c r="F168" s="2">
        <v>0.91</v>
      </c>
      <c r="G168" s="2">
        <v>1.22</v>
      </c>
      <c r="H168" s="2">
        <v>1</v>
      </c>
      <c r="I168" s="2">
        <v>1</v>
      </c>
      <c r="J168" s="2">
        <v>0.71399999999999997</v>
      </c>
      <c r="K168">
        <v>1</v>
      </c>
      <c r="L168" s="19">
        <v>1</v>
      </c>
      <c r="M168" s="21">
        <f t="shared" si="7"/>
        <v>1</v>
      </c>
    </row>
    <row r="169" spans="1:13" x14ac:dyDescent="0.2">
      <c r="A169" t="s">
        <v>180</v>
      </c>
      <c r="B169" t="str">
        <f>VLOOKUP(A169,MasterTutor!A:E,4,FALSE)</f>
        <v>Premium</v>
      </c>
      <c r="C169" t="str">
        <f>VLOOKUP(A169,MasterTutor!A:E,3,FALSE)</f>
        <v>Adjunct</v>
      </c>
      <c r="D169" t="str">
        <f>VLOOKUP(A169,MasterTutor!A:E,2,FALSE)</f>
        <v>Geoff St. Marie</v>
      </c>
      <c r="E169" t="s">
        <v>13</v>
      </c>
      <c r="F169" s="2">
        <v>1.03</v>
      </c>
      <c r="G169" s="2">
        <v>1.36</v>
      </c>
      <c r="H169" s="2">
        <v>1</v>
      </c>
      <c r="I169" s="2">
        <v>0.81399999999999995</v>
      </c>
      <c r="J169" s="2">
        <v>1</v>
      </c>
      <c r="K169">
        <v>2</v>
      </c>
      <c r="L169" s="19"/>
    </row>
    <row r="170" spans="1:13" x14ac:dyDescent="0.2">
      <c r="A170" t="s">
        <v>181</v>
      </c>
      <c r="B170" t="str">
        <f>VLOOKUP(A170,MasterTutor!A:E,4,FALSE)</f>
        <v>Advanced</v>
      </c>
      <c r="C170" t="str">
        <f>VLOOKUP(A170,MasterTutor!A:E,3,FALSE)</f>
        <v>Professional</v>
      </c>
      <c r="D170" t="str">
        <f>VLOOKUP(A170,MasterTutor!A:E,2,FALSE)</f>
        <v>Ela Cross</v>
      </c>
      <c r="E170" t="s">
        <v>13</v>
      </c>
      <c r="F170" s="2">
        <v>1.1100000000000001</v>
      </c>
      <c r="G170" s="2">
        <v>1.01</v>
      </c>
      <c r="H170" s="2">
        <v>0.89980000000000004</v>
      </c>
      <c r="I170" s="2">
        <v>0.99039999999999995</v>
      </c>
      <c r="J170" s="2">
        <v>0.83299999999999996</v>
      </c>
      <c r="K170">
        <v>5</v>
      </c>
      <c r="L170" s="19">
        <v>1</v>
      </c>
      <c r="M170" s="21">
        <f>L170</f>
        <v>1</v>
      </c>
    </row>
    <row r="171" spans="1:13" x14ac:dyDescent="0.2">
      <c r="A171" t="s">
        <v>182</v>
      </c>
      <c r="B171" t="str">
        <f>VLOOKUP(A171,MasterTutor!A:E,4,FALSE)</f>
        <v>Premium</v>
      </c>
      <c r="C171" t="str">
        <f>VLOOKUP(A171,MasterTutor!A:E,3,FALSE)</f>
        <v>Professional</v>
      </c>
      <c r="D171" t="str">
        <f>VLOOKUP(A171,MasterTutor!A:E,2,FALSE)</f>
        <v>Annelies de Groot</v>
      </c>
      <c r="E171" t="s">
        <v>13</v>
      </c>
      <c r="F171" s="2">
        <v>0.65</v>
      </c>
      <c r="G171" s="2">
        <v>0.72</v>
      </c>
      <c r="H171" s="2">
        <v>1</v>
      </c>
      <c r="I171" s="2">
        <v>0.96879999999999999</v>
      </c>
      <c r="J171" s="2" t="e">
        <v>#N/A</v>
      </c>
      <c r="K171">
        <v>4</v>
      </c>
      <c r="L171" s="19"/>
    </row>
    <row r="172" spans="1:13" x14ac:dyDescent="0.2">
      <c r="A172" t="s">
        <v>183</v>
      </c>
      <c r="B172" t="str">
        <f>VLOOKUP(A172,MasterTutor!A:E,4,FALSE)</f>
        <v>Advanced</v>
      </c>
      <c r="C172" t="str">
        <f>VLOOKUP(A172,MasterTutor!A:E,3,FALSE)</f>
        <v>Adjunct</v>
      </c>
      <c r="D172" t="str">
        <f>VLOOKUP(A172,MasterTutor!A:E,2,FALSE)</f>
        <v>Annelies de Groot</v>
      </c>
      <c r="E172" t="s">
        <v>13</v>
      </c>
      <c r="F172" s="2">
        <v>1.49</v>
      </c>
      <c r="G172" s="2">
        <v>1.51</v>
      </c>
      <c r="H172" s="2">
        <v>0.90169999999999995</v>
      </c>
      <c r="I172" s="2">
        <v>1</v>
      </c>
      <c r="J172" s="2">
        <v>0.78600000000000003</v>
      </c>
      <c r="K172">
        <v>9</v>
      </c>
      <c r="L172" s="19">
        <v>1</v>
      </c>
      <c r="M172" s="21">
        <f>L172</f>
        <v>1</v>
      </c>
    </row>
    <row r="173" spans="1:13" x14ac:dyDescent="0.2">
      <c r="A173" t="s">
        <v>184</v>
      </c>
      <c r="B173" t="str">
        <f>VLOOKUP(A173,MasterTutor!A:E,4,FALSE)</f>
        <v>Advanced</v>
      </c>
      <c r="C173" t="str">
        <f>VLOOKUP(A173,MasterTutor!A:E,3,FALSE)</f>
        <v>Adjunct</v>
      </c>
      <c r="D173" t="str">
        <f>VLOOKUP(A173,MasterTutor!A:E,2,FALSE)</f>
        <v>Kristin Haase-Alvey</v>
      </c>
      <c r="E173" t="s">
        <v>13</v>
      </c>
      <c r="F173" s="2">
        <v>0.98</v>
      </c>
      <c r="G173" s="2">
        <v>1.07</v>
      </c>
      <c r="H173" s="2">
        <v>0.95209999999999995</v>
      </c>
      <c r="I173" s="2">
        <v>1</v>
      </c>
      <c r="J173" s="2">
        <v>1</v>
      </c>
      <c r="K173">
        <v>3</v>
      </c>
      <c r="L173" s="19">
        <v>1</v>
      </c>
      <c r="M173" s="21">
        <f>L173</f>
        <v>1</v>
      </c>
    </row>
    <row r="174" spans="1:13" x14ac:dyDescent="0.2">
      <c r="A174" t="s">
        <v>185</v>
      </c>
      <c r="B174" t="str">
        <f>VLOOKUP(A174,MasterTutor!A:E,4,FALSE)</f>
        <v>Distinguished</v>
      </c>
      <c r="C174" t="str">
        <f>VLOOKUP(A174,MasterTutor!A:E,3,FALSE)</f>
        <v>Professional</v>
      </c>
      <c r="D174" t="str">
        <f>VLOOKUP(A174,MasterTutor!A:E,2,FALSE)</f>
        <v>Ian Plamondon</v>
      </c>
      <c r="E174" t="s">
        <v>13</v>
      </c>
      <c r="F174" s="2">
        <v>0.85</v>
      </c>
      <c r="G174" s="2">
        <v>0.94</v>
      </c>
      <c r="H174" s="2">
        <v>0.95289999999999997</v>
      </c>
      <c r="I174" s="2">
        <v>0.98480000000000001</v>
      </c>
      <c r="J174" s="2">
        <v>0.52400000000000002</v>
      </c>
      <c r="K174">
        <v>0</v>
      </c>
      <c r="L174" s="19">
        <v>0.375</v>
      </c>
      <c r="M174" s="21">
        <f>L174</f>
        <v>0.375</v>
      </c>
    </row>
    <row r="175" spans="1:13" x14ac:dyDescent="0.2">
      <c r="A175" t="s">
        <v>186</v>
      </c>
      <c r="B175" t="str">
        <f>VLOOKUP(A175,MasterTutor!A:E,4,FALSE)</f>
        <v>Premium</v>
      </c>
      <c r="C175" t="str">
        <f>VLOOKUP(A175,MasterTutor!A:E,3,FALSE)</f>
        <v>Adjunct</v>
      </c>
      <c r="D175" t="str">
        <f>VLOOKUP(A175,MasterTutor!A:E,2,FALSE)</f>
        <v>Ela Cross</v>
      </c>
      <c r="E175" t="s">
        <v>13</v>
      </c>
      <c r="F175" s="2">
        <v>0</v>
      </c>
      <c r="G175" s="2">
        <v>0.01</v>
      </c>
      <c r="H175" s="2">
        <v>0</v>
      </c>
      <c r="I175" s="2">
        <v>0</v>
      </c>
      <c r="J175" s="2" t="e">
        <v>#N/A</v>
      </c>
      <c r="K175" t="e">
        <v>#N/A</v>
      </c>
      <c r="L175" s="19"/>
    </row>
    <row r="176" spans="1:13" x14ac:dyDescent="0.2">
      <c r="A176" t="s">
        <v>187</v>
      </c>
      <c r="B176" t="str">
        <f>VLOOKUP(A176,MasterTutor!A:E,4,FALSE)</f>
        <v>Distinguished</v>
      </c>
      <c r="C176" t="str">
        <f>VLOOKUP(A176,MasterTutor!A:E,3,FALSE)</f>
        <v>Adjunct</v>
      </c>
      <c r="D176" t="str">
        <f>VLOOKUP(A176,MasterTutor!A:E,2,FALSE)</f>
        <v>Ela Cross</v>
      </c>
      <c r="E176" t="s">
        <v>13</v>
      </c>
      <c r="F176" s="2">
        <v>1.63</v>
      </c>
      <c r="G176" s="2">
        <v>1.61</v>
      </c>
      <c r="H176" s="2">
        <v>0.98750000000000004</v>
      </c>
      <c r="I176" s="2">
        <v>0.93100000000000005</v>
      </c>
      <c r="J176" s="2">
        <v>0.9</v>
      </c>
      <c r="K176">
        <v>2</v>
      </c>
      <c r="L176" s="19"/>
    </row>
    <row r="177" spans="1:13" x14ac:dyDescent="0.2">
      <c r="A177" t="s">
        <v>188</v>
      </c>
      <c r="B177" t="str">
        <f>VLOOKUP(A177,MasterTutor!A:E,4,FALSE)</f>
        <v>Premium</v>
      </c>
      <c r="C177" t="str">
        <f>VLOOKUP(A177,MasterTutor!A:E,3,FALSE)</f>
        <v>Professional</v>
      </c>
      <c r="D177" t="str">
        <f>VLOOKUP(A177,MasterTutor!A:E,2,FALSE)</f>
        <v>Ian Plamondon</v>
      </c>
      <c r="E177" t="s">
        <v>13</v>
      </c>
      <c r="F177" s="2">
        <v>0.85</v>
      </c>
      <c r="G177" s="2">
        <v>1.25</v>
      </c>
      <c r="H177" s="2">
        <v>0.99139999999999995</v>
      </c>
      <c r="I177" s="2">
        <v>0.92959999999999998</v>
      </c>
      <c r="J177" s="2">
        <v>0.8</v>
      </c>
      <c r="K177">
        <v>3</v>
      </c>
      <c r="L177" s="19">
        <v>0.2</v>
      </c>
      <c r="M177" s="21">
        <f>L177</f>
        <v>0.2</v>
      </c>
    </row>
    <row r="178" spans="1:13" x14ac:dyDescent="0.2">
      <c r="A178" t="s">
        <v>189</v>
      </c>
      <c r="B178" t="str">
        <f>VLOOKUP(A178,MasterTutor!A:E,4,FALSE)</f>
        <v>Advanced</v>
      </c>
      <c r="C178" t="str">
        <f>VLOOKUP(A178,MasterTutor!A:E,3,FALSE)</f>
        <v>Adjunct</v>
      </c>
      <c r="D178" t="str">
        <f>VLOOKUP(A178,MasterTutor!A:E,2,FALSE)</f>
        <v>Annelies de Groot</v>
      </c>
      <c r="E178" t="s">
        <v>13</v>
      </c>
      <c r="F178" s="2">
        <v>1.1299999999999999</v>
      </c>
      <c r="G178" s="2">
        <v>1.21</v>
      </c>
      <c r="H178" s="2">
        <v>0.94279999999999997</v>
      </c>
      <c r="I178" s="2">
        <v>0.72089999999999999</v>
      </c>
      <c r="J178" s="2">
        <v>0.5</v>
      </c>
      <c r="K178">
        <v>10</v>
      </c>
      <c r="L178" s="19"/>
    </row>
    <row r="179" spans="1:13" x14ac:dyDescent="0.2">
      <c r="A179" t="s">
        <v>190</v>
      </c>
      <c r="B179" t="e">
        <f>VLOOKUP(A179,MasterTutor!A:E,4,FALSE)</f>
        <v>#N/A</v>
      </c>
      <c r="C179" t="e">
        <f>VLOOKUP(A179,MasterTutor!A:E,3,FALSE)</f>
        <v>#N/A</v>
      </c>
      <c r="D179" t="e">
        <f>VLOOKUP(A179,MasterTutor!A:E,2,FALSE)</f>
        <v>#N/A</v>
      </c>
      <c r="E179" t="s">
        <v>13</v>
      </c>
      <c r="F179" s="2">
        <v>0.86</v>
      </c>
      <c r="G179" s="2">
        <v>1.02</v>
      </c>
      <c r="H179" s="2">
        <v>1</v>
      </c>
      <c r="I179" s="2">
        <v>0.26250000000000001</v>
      </c>
      <c r="J179" s="2">
        <v>0.5</v>
      </c>
      <c r="K179">
        <v>5</v>
      </c>
      <c r="L179" s="19">
        <v>1</v>
      </c>
      <c r="M179" s="21">
        <f>L179</f>
        <v>1</v>
      </c>
    </row>
    <row r="180" spans="1:13" x14ac:dyDescent="0.2">
      <c r="A180" t="s">
        <v>191</v>
      </c>
      <c r="B180" t="e">
        <f>VLOOKUP(A180,MasterTutor!A:E,4,FALSE)</f>
        <v>#N/A</v>
      </c>
      <c r="C180" t="e">
        <f>VLOOKUP(A180,MasterTutor!A:E,3,FALSE)</f>
        <v>#N/A</v>
      </c>
      <c r="D180" t="e">
        <f>VLOOKUP(A180,MasterTutor!A:E,2,FALSE)</f>
        <v>#N/A</v>
      </c>
      <c r="E180" t="s">
        <v>13</v>
      </c>
      <c r="F180" s="2">
        <v>0.73</v>
      </c>
      <c r="G180" s="2">
        <v>0.82</v>
      </c>
      <c r="H180" s="2">
        <v>1</v>
      </c>
      <c r="I180" s="2">
        <v>0.92859999999999998</v>
      </c>
      <c r="J180" s="2">
        <v>0.71399999999999997</v>
      </c>
      <c r="K180">
        <v>4</v>
      </c>
      <c r="L180" s="19">
        <v>0.88888888888888884</v>
      </c>
      <c r="M180" s="21">
        <f>L180</f>
        <v>0.88888888888888884</v>
      </c>
    </row>
    <row r="181" spans="1:13" x14ac:dyDescent="0.2">
      <c r="A181" t="s">
        <v>192</v>
      </c>
      <c r="B181" t="str">
        <f>VLOOKUP(A181,MasterTutor!A:E,4,FALSE)</f>
        <v>Advanced</v>
      </c>
      <c r="C181" t="str">
        <f>VLOOKUP(A181,MasterTutor!A:E,3,FALSE)</f>
        <v>Adjunct</v>
      </c>
      <c r="D181" t="str">
        <f>VLOOKUP(A181,MasterTutor!A:E,2,FALSE)</f>
        <v>Ela Cross</v>
      </c>
      <c r="E181" t="s">
        <v>13</v>
      </c>
      <c r="F181" s="2">
        <v>1.9</v>
      </c>
      <c r="G181" s="2">
        <v>1.63</v>
      </c>
      <c r="H181" s="2">
        <v>1</v>
      </c>
      <c r="I181" s="2">
        <v>0.9153</v>
      </c>
      <c r="J181" s="2">
        <v>0.5</v>
      </c>
      <c r="K181">
        <v>6</v>
      </c>
      <c r="L181" s="19"/>
    </row>
    <row r="182" spans="1:13" x14ac:dyDescent="0.2">
      <c r="A182" t="s">
        <v>193</v>
      </c>
      <c r="B182" t="str">
        <f>VLOOKUP(A182,MasterTutor!A:E,4,FALSE)</f>
        <v>Advanced</v>
      </c>
      <c r="C182" t="str">
        <f>VLOOKUP(A182,MasterTutor!A:E,3,FALSE)</f>
        <v>Professional</v>
      </c>
      <c r="D182" t="str">
        <f>VLOOKUP(A182,MasterTutor!A:E,2,FALSE)</f>
        <v>Annelies de Groot</v>
      </c>
      <c r="E182" t="s">
        <v>13</v>
      </c>
      <c r="F182" s="2">
        <v>0.03</v>
      </c>
      <c r="G182" s="2">
        <v>0.22</v>
      </c>
      <c r="H182" s="2">
        <v>1</v>
      </c>
      <c r="I182" s="2">
        <v>1</v>
      </c>
      <c r="J182" s="2">
        <v>0.66700000000000004</v>
      </c>
      <c r="K182" t="e">
        <v>#N/A</v>
      </c>
      <c r="L182" s="19">
        <v>1</v>
      </c>
      <c r="M182" s="21">
        <f>L182</f>
        <v>1</v>
      </c>
    </row>
    <row r="183" spans="1:13" x14ac:dyDescent="0.2">
      <c r="A183" t="s">
        <v>194</v>
      </c>
      <c r="B183" t="e">
        <f>VLOOKUP(A183,MasterTutor!A:E,4,FALSE)</f>
        <v>#N/A</v>
      </c>
      <c r="C183" t="e">
        <f>VLOOKUP(A183,MasterTutor!A:E,3,FALSE)</f>
        <v>#N/A</v>
      </c>
      <c r="D183" t="e">
        <f>VLOOKUP(A183,MasterTutor!A:E,2,FALSE)</f>
        <v>#N/A</v>
      </c>
      <c r="E183" t="s">
        <v>13</v>
      </c>
      <c r="F183" s="2">
        <v>1.0900000000000001</v>
      </c>
      <c r="G183" s="2">
        <v>1.0900000000000001</v>
      </c>
      <c r="H183" s="2">
        <v>0.98329999999999995</v>
      </c>
      <c r="I183" s="2">
        <v>0.58699999999999997</v>
      </c>
      <c r="J183" s="2">
        <v>0.63600000000000001</v>
      </c>
      <c r="K183">
        <v>2</v>
      </c>
      <c r="L183" s="19">
        <v>1</v>
      </c>
      <c r="M183" s="21">
        <f>L183</f>
        <v>1</v>
      </c>
    </row>
    <row r="184" spans="1:13" x14ac:dyDescent="0.2">
      <c r="A184" t="s">
        <v>195</v>
      </c>
      <c r="B184" t="e">
        <f>VLOOKUP(A184,MasterTutor!A:E,4,FALSE)</f>
        <v>#N/A</v>
      </c>
      <c r="C184" t="e">
        <f>VLOOKUP(A184,MasterTutor!A:E,3,FALSE)</f>
        <v>#N/A</v>
      </c>
      <c r="D184" t="e">
        <f>VLOOKUP(A184,MasterTutor!A:E,2,FALSE)</f>
        <v>#N/A</v>
      </c>
      <c r="E184" t="s">
        <v>13</v>
      </c>
      <c r="F184" s="2">
        <v>1.23</v>
      </c>
      <c r="G184" s="2">
        <v>1.33</v>
      </c>
      <c r="H184" s="2">
        <v>0.91020000000000001</v>
      </c>
      <c r="I184" s="2">
        <v>1</v>
      </c>
      <c r="J184" s="2">
        <v>0.33300000000000002</v>
      </c>
      <c r="K184">
        <v>1</v>
      </c>
      <c r="L184" s="19">
        <v>0</v>
      </c>
      <c r="M184" s="21">
        <f>L184</f>
        <v>0</v>
      </c>
    </row>
    <row r="185" spans="1:13" x14ac:dyDescent="0.2">
      <c r="A185" t="s">
        <v>196</v>
      </c>
      <c r="B185" t="str">
        <f>VLOOKUP(A185,MasterTutor!A:E,4,FALSE)</f>
        <v>Advanced</v>
      </c>
      <c r="C185" t="str">
        <f>VLOOKUP(A185,MasterTutor!A:E,3,FALSE)</f>
        <v>Adjunct</v>
      </c>
      <c r="D185" t="str">
        <f>VLOOKUP(A185,MasterTutor!A:E,2,FALSE)</f>
        <v>Kristin Haase-Alvey</v>
      </c>
      <c r="E185" t="s">
        <v>13</v>
      </c>
      <c r="F185" s="2">
        <v>1.1599999999999999</v>
      </c>
      <c r="G185" s="2">
        <v>1.0900000000000001</v>
      </c>
      <c r="H185" s="2">
        <v>0.98209999999999997</v>
      </c>
      <c r="I185" s="2">
        <v>1</v>
      </c>
      <c r="J185" s="2">
        <v>1</v>
      </c>
      <c r="K185">
        <v>1</v>
      </c>
      <c r="L185" s="19"/>
    </row>
    <row r="186" spans="1:13" x14ac:dyDescent="0.2">
      <c r="A186" t="s">
        <v>197</v>
      </c>
      <c r="B186" t="str">
        <f>VLOOKUP(A186,MasterTutor!A:E,4,FALSE)</f>
        <v>Premium</v>
      </c>
      <c r="C186" t="str">
        <f>VLOOKUP(A186,MasterTutor!A:E,3,FALSE)</f>
        <v>Professional</v>
      </c>
      <c r="D186" t="str">
        <f>VLOOKUP(A186,MasterTutor!A:E,2,FALSE)</f>
        <v>Jessica Milner</v>
      </c>
      <c r="E186" t="s">
        <v>13</v>
      </c>
      <c r="F186" s="2">
        <v>1.1499999999999999</v>
      </c>
      <c r="G186" s="2">
        <v>1.5</v>
      </c>
      <c r="H186" s="2">
        <v>0.98180000000000001</v>
      </c>
      <c r="I186" s="2">
        <v>0.92769999999999997</v>
      </c>
      <c r="J186" s="2">
        <v>0.8</v>
      </c>
      <c r="K186">
        <v>2</v>
      </c>
      <c r="L186" s="19">
        <v>1</v>
      </c>
      <c r="M186" s="21">
        <f>L186</f>
        <v>1</v>
      </c>
    </row>
    <row r="187" spans="1:13" x14ac:dyDescent="0.2">
      <c r="A187" t="s">
        <v>198</v>
      </c>
      <c r="B187" t="str">
        <f>VLOOKUP(A187,MasterTutor!A:E,4,FALSE)</f>
        <v>Distinguished</v>
      </c>
      <c r="C187" t="str">
        <f>VLOOKUP(A187,MasterTutor!A:E,3,FALSE)</f>
        <v>Adjunct</v>
      </c>
      <c r="D187" t="str">
        <f>VLOOKUP(A187,MasterTutor!A:E,2,FALSE)</f>
        <v>Ian Plamondon</v>
      </c>
      <c r="E187" t="s">
        <v>13</v>
      </c>
      <c r="F187" s="2">
        <v>1.1599999999999999</v>
      </c>
      <c r="G187" s="2">
        <v>1.3</v>
      </c>
      <c r="H187" s="2">
        <v>0.96150000000000002</v>
      </c>
      <c r="I187" s="2">
        <v>1</v>
      </c>
      <c r="J187" s="2">
        <v>0.55600000000000005</v>
      </c>
      <c r="K187">
        <v>2</v>
      </c>
      <c r="L187" s="19"/>
    </row>
    <row r="188" spans="1:13" x14ac:dyDescent="0.2">
      <c r="A188" t="s">
        <v>199</v>
      </c>
      <c r="B188" t="e">
        <f>VLOOKUP(A188,MasterTutor!A:E,4,FALSE)</f>
        <v>#N/A</v>
      </c>
      <c r="C188" t="e">
        <f>VLOOKUP(A188,MasterTutor!A:E,3,FALSE)</f>
        <v>#N/A</v>
      </c>
      <c r="D188" t="e">
        <f>VLOOKUP(A188,MasterTutor!A:E,2,FALSE)</f>
        <v>#N/A</v>
      </c>
      <c r="E188" t="s">
        <v>13</v>
      </c>
      <c r="F188" s="2">
        <v>0.92</v>
      </c>
      <c r="G188" s="2">
        <v>1.1399999999999999</v>
      </c>
      <c r="H188" s="2">
        <v>1</v>
      </c>
      <c r="I188" s="2">
        <v>0.9798</v>
      </c>
      <c r="J188" s="2">
        <v>0.74099999999999999</v>
      </c>
      <c r="K188">
        <v>8</v>
      </c>
      <c r="L188" s="19">
        <v>0.8571428571428571</v>
      </c>
      <c r="M188" s="21">
        <f>L188</f>
        <v>0.8571428571428571</v>
      </c>
    </row>
    <row r="189" spans="1:13" x14ac:dyDescent="0.2">
      <c r="A189" t="s">
        <v>200</v>
      </c>
      <c r="B189" t="e">
        <f>VLOOKUP(A189,MasterTutor!A:E,4,FALSE)</f>
        <v>#N/A</v>
      </c>
      <c r="C189" t="e">
        <f>VLOOKUP(A189,MasterTutor!A:E,3,FALSE)</f>
        <v>#N/A</v>
      </c>
      <c r="D189" t="e">
        <f>VLOOKUP(A189,MasterTutor!A:E,2,FALSE)</f>
        <v>#N/A</v>
      </c>
      <c r="E189" t="s">
        <v>13</v>
      </c>
      <c r="F189" s="2">
        <v>0.98</v>
      </c>
      <c r="G189" s="2">
        <v>1.05</v>
      </c>
      <c r="H189" s="2">
        <v>0.93500000000000005</v>
      </c>
      <c r="I189" s="2">
        <v>0.94620000000000004</v>
      </c>
      <c r="J189" s="2">
        <v>0.64</v>
      </c>
      <c r="K189">
        <v>3</v>
      </c>
      <c r="L189" s="19"/>
    </row>
    <row r="190" spans="1:13" x14ac:dyDescent="0.2">
      <c r="A190" t="s">
        <v>201</v>
      </c>
      <c r="B190" t="str">
        <f>VLOOKUP(A190,MasterTutor!A:E,4,FALSE)</f>
        <v>Distinguished</v>
      </c>
      <c r="C190" t="str">
        <f>VLOOKUP(A190,MasterTutor!A:E,3,FALSE)</f>
        <v>Professional</v>
      </c>
      <c r="D190" t="str">
        <f>VLOOKUP(A190,MasterTutor!A:E,2,FALSE)</f>
        <v>Ian Plamondon</v>
      </c>
      <c r="E190" t="s">
        <v>13</v>
      </c>
      <c r="F190" s="2">
        <v>0.98</v>
      </c>
      <c r="G190" s="2">
        <v>1.03</v>
      </c>
      <c r="H190" s="2">
        <v>1</v>
      </c>
      <c r="I190" s="2">
        <v>0.97589999999999999</v>
      </c>
      <c r="J190" s="2">
        <v>0.57099999999999995</v>
      </c>
      <c r="K190">
        <v>2</v>
      </c>
      <c r="L190" s="19">
        <v>0</v>
      </c>
      <c r="M190" s="21">
        <f>L190</f>
        <v>0</v>
      </c>
    </row>
    <row r="191" spans="1:13" x14ac:dyDescent="0.2">
      <c r="A191" t="s">
        <v>202</v>
      </c>
      <c r="B191" t="str">
        <f>VLOOKUP(A191,MasterTutor!A:E,4,FALSE)</f>
        <v>Advanced</v>
      </c>
      <c r="C191" t="str">
        <f>VLOOKUP(A191,MasterTutor!A:E,3,FALSE)</f>
        <v>Professional</v>
      </c>
      <c r="D191" t="str">
        <f>VLOOKUP(A191,MasterTutor!A:E,2,FALSE)</f>
        <v>Annelies de Groot</v>
      </c>
      <c r="E191" t="s">
        <v>13</v>
      </c>
      <c r="F191" s="2">
        <v>1.98</v>
      </c>
      <c r="G191" s="2">
        <v>1.94</v>
      </c>
      <c r="H191" s="2">
        <v>0.99139999999999995</v>
      </c>
      <c r="I191" s="2">
        <v>1</v>
      </c>
      <c r="J191" s="2">
        <v>0.63200000000000001</v>
      </c>
      <c r="K191">
        <v>3</v>
      </c>
      <c r="L191" s="19">
        <v>0.66666666666666663</v>
      </c>
      <c r="M191" s="21">
        <f>L191</f>
        <v>0.66666666666666663</v>
      </c>
    </row>
    <row r="192" spans="1:13" x14ac:dyDescent="0.2">
      <c r="A192" t="s">
        <v>203</v>
      </c>
      <c r="B192" t="str">
        <f>VLOOKUP(A192,MasterTutor!A:E,4,FALSE)</f>
        <v>Premium</v>
      </c>
      <c r="C192" t="str">
        <f>VLOOKUP(A192,MasterTutor!A:E,3,FALSE)</f>
        <v>Professional</v>
      </c>
      <c r="D192" t="str">
        <f>VLOOKUP(A192,MasterTutor!A:E,2,FALSE)</f>
        <v>Ian Plamondon</v>
      </c>
      <c r="E192" t="s">
        <v>13</v>
      </c>
      <c r="F192" s="2">
        <v>1.03</v>
      </c>
      <c r="G192" s="2">
        <v>1.1100000000000001</v>
      </c>
      <c r="H192" s="2">
        <v>1</v>
      </c>
      <c r="I192" s="2">
        <v>1</v>
      </c>
      <c r="J192" s="2">
        <v>0.4</v>
      </c>
      <c r="K192">
        <v>5</v>
      </c>
      <c r="L192" s="19">
        <v>0.33333333333333331</v>
      </c>
      <c r="M192" s="21">
        <f>L192</f>
        <v>0.33333333333333331</v>
      </c>
    </row>
    <row r="193" spans="1:13" x14ac:dyDescent="0.2">
      <c r="A193" t="s">
        <v>204</v>
      </c>
      <c r="B193" t="str">
        <f>VLOOKUP(A193,MasterTutor!A:E,4,FALSE)</f>
        <v>Advanced</v>
      </c>
      <c r="C193" t="str">
        <f>VLOOKUP(A193,MasterTutor!A:E,3,FALSE)</f>
        <v>Professional</v>
      </c>
      <c r="D193" t="str">
        <f>VLOOKUP(A193,MasterTutor!A:E,2,FALSE)</f>
        <v>Ela Cross</v>
      </c>
      <c r="E193" t="s">
        <v>13</v>
      </c>
      <c r="F193" s="2">
        <v>2.1800000000000002</v>
      </c>
      <c r="G193" s="2">
        <v>2.0499999999999998</v>
      </c>
      <c r="H193" s="2">
        <v>0.98609999999999998</v>
      </c>
      <c r="I193" s="2">
        <v>0.77649999999999997</v>
      </c>
      <c r="J193" s="2">
        <v>0.5</v>
      </c>
      <c r="K193">
        <v>9</v>
      </c>
      <c r="L193" s="19">
        <v>0.2</v>
      </c>
      <c r="M193" s="21">
        <f>L193</f>
        <v>0.2</v>
      </c>
    </row>
    <row r="194" spans="1:13" x14ac:dyDescent="0.2">
      <c r="A194" t="s">
        <v>205</v>
      </c>
      <c r="B194" t="e">
        <f>VLOOKUP(A194,MasterTutor!A:E,4,FALSE)</f>
        <v>#N/A</v>
      </c>
      <c r="C194" t="e">
        <f>VLOOKUP(A194,MasterTutor!A:E,3,FALSE)</f>
        <v>#N/A</v>
      </c>
      <c r="D194" t="e">
        <f>VLOOKUP(A194,MasterTutor!A:E,2,FALSE)</f>
        <v>#N/A</v>
      </c>
      <c r="E194" t="s">
        <v>13</v>
      </c>
      <c r="F194" s="2">
        <v>0.98</v>
      </c>
      <c r="G194" s="2">
        <v>1.1200000000000001</v>
      </c>
      <c r="H194" s="2">
        <v>1</v>
      </c>
      <c r="I194" s="2">
        <v>0.87180000000000002</v>
      </c>
      <c r="J194" s="2">
        <v>0</v>
      </c>
      <c r="K194">
        <v>2</v>
      </c>
      <c r="L194" s="19"/>
    </row>
    <row r="195" spans="1:13" x14ac:dyDescent="0.2">
      <c r="A195" t="s">
        <v>206</v>
      </c>
      <c r="B195" t="e">
        <f>VLOOKUP(A195,MasterTutor!A:E,4,FALSE)</f>
        <v>#N/A</v>
      </c>
      <c r="C195" t="e">
        <f>VLOOKUP(A195,MasterTutor!A:E,3,FALSE)</f>
        <v>#N/A</v>
      </c>
      <c r="D195" t="e">
        <f>VLOOKUP(A195,MasterTutor!A:E,2,FALSE)</f>
        <v>#N/A</v>
      </c>
      <c r="E195" t="s">
        <v>13</v>
      </c>
      <c r="F195" s="2">
        <v>0</v>
      </c>
      <c r="G195" s="2">
        <v>0.13</v>
      </c>
      <c r="H195" s="2">
        <v>0</v>
      </c>
      <c r="I195" s="2">
        <v>0</v>
      </c>
      <c r="J195" s="2" t="e">
        <v>#N/A</v>
      </c>
      <c r="K195" t="e">
        <v>#N/A</v>
      </c>
      <c r="L195" s="19"/>
    </row>
    <row r="196" spans="1:13" x14ac:dyDescent="0.2">
      <c r="A196" t="s">
        <v>207</v>
      </c>
      <c r="B196" t="str">
        <f>VLOOKUP(A196,MasterTutor!A:E,4,FALSE)</f>
        <v>Advanced</v>
      </c>
      <c r="C196" t="str">
        <f>VLOOKUP(A196,MasterTutor!A:E,3,FALSE)</f>
        <v>Adjunct</v>
      </c>
      <c r="D196" t="str">
        <f>VLOOKUP(A196,MasterTutor!A:E,2,FALSE)</f>
        <v>Ela Cross</v>
      </c>
      <c r="E196" t="s">
        <v>13</v>
      </c>
      <c r="F196" s="2">
        <v>1.18</v>
      </c>
      <c r="G196" s="2">
        <v>1.18</v>
      </c>
      <c r="H196" s="2">
        <v>1</v>
      </c>
      <c r="I196" s="2">
        <v>0.96230000000000004</v>
      </c>
      <c r="J196" s="2">
        <v>0.72</v>
      </c>
      <c r="K196">
        <v>11</v>
      </c>
      <c r="L196" s="19">
        <v>1</v>
      </c>
      <c r="M196" s="21">
        <f>L196</f>
        <v>1</v>
      </c>
    </row>
    <row r="197" spans="1:13" x14ac:dyDescent="0.2">
      <c r="A197" t="s">
        <v>208</v>
      </c>
      <c r="B197" t="str">
        <f>VLOOKUP(A197,MasterTutor!A:E,4,FALSE)</f>
        <v>Distinguished</v>
      </c>
      <c r="C197" t="str">
        <f>VLOOKUP(A197,MasterTutor!A:E,3,FALSE)</f>
        <v>Adjunct</v>
      </c>
      <c r="D197" t="str">
        <f>VLOOKUP(A197,MasterTutor!A:E,2,FALSE)</f>
        <v>Annelies de Groot</v>
      </c>
      <c r="E197" t="s">
        <v>13</v>
      </c>
      <c r="F197" s="2">
        <v>1.18</v>
      </c>
      <c r="G197" s="2">
        <v>1.35</v>
      </c>
      <c r="H197" s="2">
        <v>1</v>
      </c>
      <c r="I197" s="2">
        <v>1</v>
      </c>
      <c r="J197" s="2">
        <v>0.75</v>
      </c>
      <c r="K197">
        <v>2</v>
      </c>
      <c r="L197" s="19"/>
    </row>
    <row r="198" spans="1:13" x14ac:dyDescent="0.2">
      <c r="A198" t="s">
        <v>209</v>
      </c>
      <c r="B198" t="str">
        <f>VLOOKUP(A198,MasterTutor!A:E,4,FALSE)</f>
        <v>Premium</v>
      </c>
      <c r="C198" t="str">
        <f>VLOOKUP(A198,MasterTutor!A:E,3,FALSE)</f>
        <v>Professional</v>
      </c>
      <c r="D198" t="str">
        <f>VLOOKUP(A198,MasterTutor!A:E,2,FALSE)</f>
        <v>Jessica Milner</v>
      </c>
      <c r="E198" t="s">
        <v>13</v>
      </c>
      <c r="F198" s="2">
        <v>1.1299999999999999</v>
      </c>
      <c r="G198" s="2">
        <v>1.26</v>
      </c>
      <c r="H198" s="2">
        <v>1</v>
      </c>
      <c r="I198" s="2">
        <v>0.9899</v>
      </c>
      <c r="J198" s="2">
        <v>0.85199999999999998</v>
      </c>
      <c r="K198">
        <v>3</v>
      </c>
      <c r="L198" s="19">
        <v>0.8</v>
      </c>
      <c r="M198" s="21">
        <f>L198</f>
        <v>0.8</v>
      </c>
    </row>
    <row r="199" spans="1:13" x14ac:dyDescent="0.2">
      <c r="A199" t="s">
        <v>210</v>
      </c>
      <c r="B199" t="str">
        <f>VLOOKUP(A199,MasterTutor!A:E,4,FALSE)</f>
        <v>Advanced</v>
      </c>
      <c r="C199" t="str">
        <f>VLOOKUP(A199,MasterTutor!A:E,3,FALSE)</f>
        <v>Professional</v>
      </c>
      <c r="D199" t="str">
        <f>VLOOKUP(A199,MasterTutor!A:E,2,FALSE)</f>
        <v>Kristin Haase-Alvey</v>
      </c>
      <c r="E199" t="s">
        <v>13</v>
      </c>
      <c r="F199" s="2">
        <v>0.51</v>
      </c>
      <c r="G199" s="2">
        <v>0.79</v>
      </c>
      <c r="H199" s="2">
        <v>1</v>
      </c>
      <c r="I199" s="2">
        <v>0.97729999999999995</v>
      </c>
      <c r="J199" s="2">
        <v>0.66700000000000004</v>
      </c>
      <c r="K199">
        <v>4</v>
      </c>
      <c r="L199" s="19">
        <v>0.83333333333333337</v>
      </c>
      <c r="M199" s="21">
        <f>L199</f>
        <v>0.83333333333333337</v>
      </c>
    </row>
    <row r="200" spans="1:13" x14ac:dyDescent="0.2">
      <c r="A200" t="s">
        <v>211</v>
      </c>
      <c r="B200" t="str">
        <f>VLOOKUP(A200,MasterTutor!A:E,4,FALSE)</f>
        <v>Advanced</v>
      </c>
      <c r="C200" t="str">
        <f>VLOOKUP(A200,MasterTutor!A:E,3,FALSE)</f>
        <v>Professional</v>
      </c>
      <c r="D200" t="str">
        <f>VLOOKUP(A200,MasterTutor!A:E,2,FALSE)</f>
        <v>Kristin Haase-Alvey</v>
      </c>
      <c r="E200" t="s">
        <v>13</v>
      </c>
      <c r="F200" s="2">
        <v>0.02</v>
      </c>
      <c r="G200" s="2">
        <v>0.19</v>
      </c>
      <c r="H200" s="2">
        <v>1</v>
      </c>
      <c r="I200" s="2">
        <v>0</v>
      </c>
      <c r="J200" s="2" t="e">
        <v>#N/A</v>
      </c>
      <c r="K200" t="e">
        <v>#N/A</v>
      </c>
      <c r="L200" s="19"/>
    </row>
    <row r="201" spans="1:13" x14ac:dyDescent="0.2">
      <c r="A201" t="s">
        <v>12</v>
      </c>
      <c r="B201" t="str">
        <f>VLOOKUP(A201,MasterTutor!A:E,4,FALSE)</f>
        <v>Advanced</v>
      </c>
      <c r="C201" t="str">
        <f>VLOOKUP(A201,MasterTutor!A:E,3,FALSE)</f>
        <v>Adjunct</v>
      </c>
      <c r="D201" t="str">
        <f>VLOOKUP(A201,MasterTutor!A:E,2,FALSE)</f>
        <v>Ian Plamondon</v>
      </c>
      <c r="E201" t="s">
        <v>328</v>
      </c>
      <c r="F201" s="2">
        <v>0.88</v>
      </c>
      <c r="G201" s="2">
        <v>0.96</v>
      </c>
      <c r="H201" s="2">
        <v>0.99399999999999999</v>
      </c>
      <c r="I201" s="2">
        <v>0.95599999999999996</v>
      </c>
      <c r="J201" s="2">
        <v>0.9</v>
      </c>
      <c r="K201">
        <v>10</v>
      </c>
      <c r="L201" s="19" t="s">
        <v>329</v>
      </c>
      <c r="M201" s="21">
        <v>0.75</v>
      </c>
    </row>
    <row r="202" spans="1:13" x14ac:dyDescent="0.2">
      <c r="A202" t="s">
        <v>14</v>
      </c>
      <c r="B202" t="e">
        <f>VLOOKUP(A202,MasterTutor!A:E,4,FALSE)</f>
        <v>#N/A</v>
      </c>
      <c r="C202" t="e">
        <f>VLOOKUP(A202,MasterTutor!A:E,3,FALSE)</f>
        <v>#N/A</v>
      </c>
      <c r="D202" t="e">
        <f>VLOOKUP(A202,MasterTutor!A:E,2,FALSE)</f>
        <v>#N/A</v>
      </c>
      <c r="E202" t="s">
        <v>328</v>
      </c>
      <c r="F202" s="2">
        <v>0.94</v>
      </c>
      <c r="G202" s="2">
        <v>1.17</v>
      </c>
      <c r="H202" s="2">
        <v>1</v>
      </c>
      <c r="I202" s="2">
        <v>1</v>
      </c>
      <c r="J202" s="2">
        <v>0.8</v>
      </c>
      <c r="K202">
        <v>2</v>
      </c>
      <c r="M202" s="21"/>
    </row>
    <row r="203" spans="1:13" x14ac:dyDescent="0.2">
      <c r="A203" t="s">
        <v>15</v>
      </c>
      <c r="B203" t="str">
        <f>VLOOKUP(A203,MasterTutor!A:E,4,FALSE)</f>
        <v>Advanced</v>
      </c>
      <c r="C203" t="str">
        <f>VLOOKUP(A203,MasterTutor!A:E,3,FALSE)</f>
        <v>Professional</v>
      </c>
      <c r="D203" t="str">
        <f>VLOOKUP(A203,MasterTutor!A:E,2,FALSE)</f>
        <v>Ian Plamondon</v>
      </c>
      <c r="E203" t="s">
        <v>328</v>
      </c>
      <c r="F203" s="2">
        <v>0.93</v>
      </c>
      <c r="G203" s="2">
        <v>0.96</v>
      </c>
      <c r="H203" s="2">
        <v>1</v>
      </c>
      <c r="I203" s="2">
        <v>1</v>
      </c>
      <c r="J203" s="2">
        <v>0.222</v>
      </c>
      <c r="K203">
        <v>8</v>
      </c>
      <c r="L203" s="19" t="s">
        <v>330</v>
      </c>
      <c r="M203" s="21">
        <v>0.67</v>
      </c>
    </row>
    <row r="204" spans="1:13" x14ac:dyDescent="0.2">
      <c r="A204" t="s">
        <v>16</v>
      </c>
      <c r="B204" t="str">
        <f>VLOOKUP(A204,MasterTutor!A:E,4,FALSE)</f>
        <v>Premium</v>
      </c>
      <c r="C204" t="str">
        <f>VLOOKUP(A204,MasterTutor!A:E,3,FALSE)</f>
        <v>Adjunct</v>
      </c>
      <c r="D204" t="str">
        <f>VLOOKUP(A204,MasterTutor!A:E,2,FALSE)</f>
        <v>Ela Cross</v>
      </c>
      <c r="E204" t="s">
        <v>328</v>
      </c>
      <c r="F204" s="2">
        <v>0.52</v>
      </c>
      <c r="G204" s="2">
        <v>0.79</v>
      </c>
      <c r="H204" s="2">
        <v>1</v>
      </c>
      <c r="I204" s="2">
        <v>1</v>
      </c>
      <c r="J204" s="2">
        <v>0.8</v>
      </c>
      <c r="K204">
        <v>3</v>
      </c>
      <c r="L204" s="19">
        <v>0</v>
      </c>
      <c r="M204" s="21">
        <f>L204</f>
        <v>0</v>
      </c>
    </row>
    <row r="205" spans="1:13" x14ac:dyDescent="0.2">
      <c r="A205" t="s">
        <v>17</v>
      </c>
      <c r="B205" t="str">
        <f>VLOOKUP(A205,MasterTutor!A:E,4,FALSE)</f>
        <v>Premium</v>
      </c>
      <c r="C205" t="str">
        <f>VLOOKUP(A205,MasterTutor!A:E,3,FALSE)</f>
        <v>Professional</v>
      </c>
      <c r="D205" t="str">
        <f>VLOOKUP(A205,MasterTutor!A:E,2,FALSE)</f>
        <v>Ian Plamondon</v>
      </c>
      <c r="E205" t="s">
        <v>328</v>
      </c>
      <c r="F205" s="2">
        <v>0.74</v>
      </c>
      <c r="G205" s="2">
        <v>1.82</v>
      </c>
      <c r="H205" s="2">
        <v>0.96040000000000003</v>
      </c>
      <c r="I205" s="2">
        <v>1</v>
      </c>
      <c r="J205" s="2">
        <v>0.76900000000000002</v>
      </c>
      <c r="K205">
        <v>2</v>
      </c>
      <c r="L205" s="19">
        <v>1</v>
      </c>
      <c r="M205" s="21">
        <f>L205</f>
        <v>1</v>
      </c>
    </row>
    <row r="206" spans="1:13" x14ac:dyDescent="0.2">
      <c r="A206" t="s">
        <v>18</v>
      </c>
      <c r="B206" t="str">
        <f>VLOOKUP(A206,MasterTutor!A:E,4,FALSE)</f>
        <v>Distinguished</v>
      </c>
      <c r="C206" t="str">
        <f>VLOOKUP(A206,MasterTutor!A:E,3,FALSE)</f>
        <v>Professional</v>
      </c>
      <c r="D206" t="str">
        <f>VLOOKUP(A206,MasterTutor!A:E,2,FALSE)</f>
        <v>Ian Plamondon</v>
      </c>
      <c r="E206" t="s">
        <v>328</v>
      </c>
      <c r="F206" s="2">
        <v>0.62</v>
      </c>
      <c r="G206" s="2">
        <v>0.87</v>
      </c>
      <c r="H206" s="2">
        <v>1</v>
      </c>
      <c r="I206" s="2">
        <v>1</v>
      </c>
      <c r="J206" s="2">
        <v>0.58799999999999997</v>
      </c>
      <c r="K206" t="e">
        <v>#N/A</v>
      </c>
      <c r="L206" s="19">
        <v>1</v>
      </c>
      <c r="M206" s="21">
        <f>L206</f>
        <v>1</v>
      </c>
    </row>
    <row r="207" spans="1:13" x14ac:dyDescent="0.2">
      <c r="A207" t="s">
        <v>19</v>
      </c>
      <c r="B207" t="str">
        <f>VLOOKUP(A207,MasterTutor!A:E,4,FALSE)</f>
        <v>Premium</v>
      </c>
      <c r="C207" t="str">
        <f>VLOOKUP(A207,MasterTutor!A:E,3,FALSE)</f>
        <v>Adjunct</v>
      </c>
      <c r="D207" t="str">
        <f>VLOOKUP(A207,MasterTutor!A:E,2,FALSE)</f>
        <v>Geoff St. Marie</v>
      </c>
      <c r="E207" t="s">
        <v>328</v>
      </c>
      <c r="F207" s="2">
        <v>1.1299999999999999</v>
      </c>
      <c r="G207" s="2">
        <v>1.1499999999999999</v>
      </c>
      <c r="H207" s="2">
        <v>0.95830000000000004</v>
      </c>
      <c r="I207" s="2">
        <v>0.97370000000000001</v>
      </c>
      <c r="J207" s="2">
        <v>0.7</v>
      </c>
      <c r="K207">
        <v>2</v>
      </c>
      <c r="L207" s="19">
        <v>1</v>
      </c>
      <c r="M207" s="21">
        <f>L207</f>
        <v>1</v>
      </c>
    </row>
    <row r="208" spans="1:13" x14ac:dyDescent="0.2">
      <c r="A208" t="s">
        <v>20</v>
      </c>
      <c r="B208" t="e">
        <f>VLOOKUP(A208,MasterTutor!A:E,4,FALSE)</f>
        <v>#N/A</v>
      </c>
      <c r="C208" t="e">
        <f>VLOOKUP(A208,MasterTutor!A:E,3,FALSE)</f>
        <v>#N/A</v>
      </c>
      <c r="D208" t="e">
        <f>VLOOKUP(A208,MasterTutor!A:E,2,FALSE)</f>
        <v>#N/A</v>
      </c>
      <c r="E208" t="s">
        <v>328</v>
      </c>
      <c r="F208" s="2">
        <v>1.06</v>
      </c>
      <c r="G208" s="2">
        <v>1.1299999999999999</v>
      </c>
      <c r="H208" s="2">
        <v>0.96879999999999999</v>
      </c>
      <c r="I208" s="2">
        <v>1</v>
      </c>
      <c r="J208" s="2">
        <v>1</v>
      </c>
      <c r="K208">
        <v>14</v>
      </c>
      <c r="L208" s="19" t="s">
        <v>330</v>
      </c>
      <c r="M208" s="21">
        <v>0.67</v>
      </c>
    </row>
    <row r="209" spans="1:13" x14ac:dyDescent="0.2">
      <c r="A209" t="s">
        <v>21</v>
      </c>
      <c r="B209" t="str">
        <f>VLOOKUP(A209,MasterTutor!A:E,4,FALSE)</f>
        <v>Distinguished</v>
      </c>
      <c r="C209" t="str">
        <f>VLOOKUP(A209,MasterTutor!A:E,3,FALSE)</f>
        <v>Adjunct</v>
      </c>
      <c r="D209" t="str">
        <f>VLOOKUP(A209,MasterTutor!A:E,2,FALSE)</f>
        <v>Kristin Haase-Alvey</v>
      </c>
      <c r="E209" t="s">
        <v>328</v>
      </c>
      <c r="F209" s="2">
        <v>0.92</v>
      </c>
      <c r="G209" s="2">
        <v>1.0900000000000001</v>
      </c>
      <c r="H209" s="2">
        <v>1</v>
      </c>
      <c r="I209" s="2">
        <v>1</v>
      </c>
      <c r="J209" s="2">
        <v>1</v>
      </c>
      <c r="K209">
        <v>1</v>
      </c>
      <c r="L209" s="19" t="s">
        <v>329</v>
      </c>
      <c r="M209" s="21">
        <v>0.75</v>
      </c>
    </row>
    <row r="210" spans="1:13" x14ac:dyDescent="0.2">
      <c r="A210" t="s">
        <v>23</v>
      </c>
      <c r="B210" t="str">
        <f>VLOOKUP(A210,MasterTutor!A:E,4,FALSE)</f>
        <v>Premium</v>
      </c>
      <c r="C210" t="str">
        <f>VLOOKUP(A210,MasterTutor!A:E,3,FALSE)</f>
        <v>Professional</v>
      </c>
      <c r="D210" t="str">
        <f>VLOOKUP(A210,MasterTutor!A:E,2,FALSE)</f>
        <v>Jessica Milner</v>
      </c>
      <c r="E210" t="s">
        <v>328</v>
      </c>
      <c r="F210" s="2">
        <v>0.53</v>
      </c>
      <c r="G210" s="2">
        <v>1.1499999999999999</v>
      </c>
      <c r="H210" s="2">
        <v>1</v>
      </c>
      <c r="I210" s="2">
        <v>0.78380000000000005</v>
      </c>
      <c r="J210" s="2">
        <v>0.1</v>
      </c>
      <c r="K210">
        <v>1</v>
      </c>
      <c r="L210" s="19" t="s">
        <v>331</v>
      </c>
      <c r="M210" s="21">
        <v>0.5</v>
      </c>
    </row>
    <row r="211" spans="1:13" x14ac:dyDescent="0.2">
      <c r="A211" t="s">
        <v>24</v>
      </c>
      <c r="B211" t="str">
        <f>VLOOKUP(A211,MasterTutor!A:E,4,FALSE)</f>
        <v>Distinguished</v>
      </c>
      <c r="C211" t="str">
        <f>VLOOKUP(A211,MasterTutor!A:E,3,FALSE)</f>
        <v>Professional</v>
      </c>
      <c r="D211" t="str">
        <f>VLOOKUP(A211,MasterTutor!A:E,2,FALSE)</f>
        <v>Kristin Haase-Alvey</v>
      </c>
      <c r="E211" t="s">
        <v>328</v>
      </c>
      <c r="F211" s="2">
        <v>0.84</v>
      </c>
      <c r="G211" s="2">
        <v>1.1100000000000001</v>
      </c>
      <c r="H211" s="2">
        <v>1</v>
      </c>
      <c r="I211" s="2">
        <v>0.70830000000000004</v>
      </c>
      <c r="J211" s="2">
        <v>0.84599999999999997</v>
      </c>
      <c r="K211">
        <v>3</v>
      </c>
      <c r="L211" s="19">
        <v>1</v>
      </c>
      <c r="M211" s="21">
        <f>L211</f>
        <v>1</v>
      </c>
    </row>
    <row r="212" spans="1:13" x14ac:dyDescent="0.2">
      <c r="A212" t="s">
        <v>25</v>
      </c>
      <c r="B212" t="e">
        <f>VLOOKUP(A212,MasterTutor!A:E,4,FALSE)</f>
        <v>#N/A</v>
      </c>
      <c r="C212" t="e">
        <f>VLOOKUP(A212,MasterTutor!A:E,3,FALSE)</f>
        <v>#N/A</v>
      </c>
      <c r="D212" t="e">
        <f>VLOOKUP(A212,MasterTutor!A:E,2,FALSE)</f>
        <v>#N/A</v>
      </c>
      <c r="E212" t="s">
        <v>328</v>
      </c>
      <c r="F212" s="2">
        <v>1.05</v>
      </c>
      <c r="G212" s="2">
        <v>1.1000000000000001</v>
      </c>
      <c r="H212" s="2">
        <v>1</v>
      </c>
      <c r="I212" s="2">
        <v>0.8</v>
      </c>
      <c r="J212" s="2">
        <v>1</v>
      </c>
      <c r="K212">
        <v>8</v>
      </c>
      <c r="L212" s="19">
        <v>0</v>
      </c>
      <c r="M212" s="21">
        <f>L212</f>
        <v>0</v>
      </c>
    </row>
    <row r="213" spans="1:13" x14ac:dyDescent="0.2">
      <c r="A213" t="s">
        <v>26</v>
      </c>
      <c r="B213" t="str">
        <f>VLOOKUP(A213,MasterTutor!A:E,4,FALSE)</f>
        <v>Distinguished</v>
      </c>
      <c r="C213" t="str">
        <f>VLOOKUP(A213,MasterTutor!A:E,3,FALSE)</f>
        <v>Professional</v>
      </c>
      <c r="D213" t="str">
        <f>VLOOKUP(A213,MasterTutor!A:E,2,FALSE)</f>
        <v>Ian Plamondon</v>
      </c>
      <c r="E213" t="s">
        <v>328</v>
      </c>
      <c r="F213" s="2">
        <v>0.52</v>
      </c>
      <c r="G213" s="2">
        <v>0.91</v>
      </c>
      <c r="H213" s="2">
        <v>1</v>
      </c>
      <c r="I213" s="2">
        <v>0.95120000000000005</v>
      </c>
      <c r="J213" s="2">
        <v>0.36399999999999999</v>
      </c>
      <c r="K213">
        <v>3</v>
      </c>
      <c r="L213" s="19" t="s">
        <v>332</v>
      </c>
      <c r="M213" s="21">
        <v>0.71</v>
      </c>
    </row>
    <row r="214" spans="1:13" x14ac:dyDescent="0.2">
      <c r="A214" t="s">
        <v>27</v>
      </c>
      <c r="B214" t="str">
        <f>VLOOKUP(A214,MasterTutor!A:E,4,FALSE)</f>
        <v>Premium</v>
      </c>
      <c r="C214" t="str">
        <f>VLOOKUP(A214,MasterTutor!A:E,3,FALSE)</f>
        <v>Professional</v>
      </c>
      <c r="D214" t="str">
        <f>VLOOKUP(A214,MasterTutor!A:E,2,FALSE)</f>
        <v>Jessica Milner</v>
      </c>
      <c r="E214" t="s">
        <v>328</v>
      </c>
      <c r="F214" s="2">
        <v>0.61</v>
      </c>
      <c r="G214" s="2">
        <v>0.95</v>
      </c>
      <c r="H214" s="2">
        <v>0.95240000000000002</v>
      </c>
      <c r="I214" s="2">
        <v>0.96970000000000001</v>
      </c>
      <c r="J214" s="2">
        <v>0.66700000000000004</v>
      </c>
      <c r="K214">
        <v>3</v>
      </c>
      <c r="L214" s="19">
        <v>1</v>
      </c>
      <c r="M214" s="21">
        <f>L214</f>
        <v>1</v>
      </c>
    </row>
    <row r="215" spans="1:13" x14ac:dyDescent="0.2">
      <c r="A215" t="s">
        <v>28</v>
      </c>
      <c r="B215" t="e">
        <f>VLOOKUP(A215,MasterTutor!A:E,4,FALSE)</f>
        <v>#N/A</v>
      </c>
      <c r="C215" t="e">
        <f>VLOOKUP(A215,MasterTutor!A:E,3,FALSE)</f>
        <v>#N/A</v>
      </c>
      <c r="D215" t="e">
        <f>VLOOKUP(A215,MasterTutor!A:E,2,FALSE)</f>
        <v>#N/A</v>
      </c>
      <c r="E215" t="s">
        <v>328</v>
      </c>
      <c r="F215" s="2">
        <v>0.96</v>
      </c>
      <c r="G215" s="2">
        <v>1.03</v>
      </c>
      <c r="H215" s="2">
        <v>0.96640000000000004</v>
      </c>
      <c r="I215" s="2">
        <v>1</v>
      </c>
      <c r="J215" s="2">
        <v>0.89500000000000002</v>
      </c>
      <c r="K215">
        <v>12</v>
      </c>
      <c r="L215" s="19" t="s">
        <v>330</v>
      </c>
      <c r="M215" s="21">
        <v>0.67</v>
      </c>
    </row>
    <row r="216" spans="1:13" x14ac:dyDescent="0.2">
      <c r="A216" t="s">
        <v>29</v>
      </c>
      <c r="B216" t="str">
        <f>VLOOKUP(A216,MasterTutor!A:E,4,FALSE)</f>
        <v>Distinguished</v>
      </c>
      <c r="C216" t="str">
        <f>VLOOKUP(A216,MasterTutor!A:E,3,FALSE)</f>
        <v>Adjunct</v>
      </c>
      <c r="D216" t="str">
        <f>VLOOKUP(A216,MasterTutor!A:E,2,FALSE)</f>
        <v>Kristin Haase-Alvey</v>
      </c>
      <c r="E216" t="s">
        <v>328</v>
      </c>
      <c r="F216" s="2">
        <v>0.77</v>
      </c>
      <c r="G216" s="2">
        <v>0.84</v>
      </c>
      <c r="H216" s="2">
        <v>1</v>
      </c>
      <c r="I216" s="2">
        <v>1</v>
      </c>
      <c r="J216" s="2">
        <v>0.875</v>
      </c>
      <c r="K216">
        <v>2</v>
      </c>
      <c r="L216" s="19" t="s">
        <v>330</v>
      </c>
      <c r="M216" s="21">
        <v>0.67</v>
      </c>
    </row>
    <row r="217" spans="1:13" x14ac:dyDescent="0.2">
      <c r="A217" t="s">
        <v>333</v>
      </c>
      <c r="B217" t="e">
        <f>VLOOKUP(A217,MasterTutor!A:E,4,FALSE)</f>
        <v>#N/A</v>
      </c>
      <c r="C217" t="e">
        <f>VLOOKUP(A217,MasterTutor!A:E,3,FALSE)</f>
        <v>#N/A</v>
      </c>
      <c r="D217" t="e">
        <f>VLOOKUP(A217,MasterTutor!A:E,2,FALSE)</f>
        <v>#N/A</v>
      </c>
      <c r="E217" t="s">
        <v>328</v>
      </c>
      <c r="F217" s="2">
        <v>0</v>
      </c>
      <c r="G217" s="2">
        <v>0</v>
      </c>
      <c r="H217" s="2">
        <v>0.96879999999999999</v>
      </c>
      <c r="I217" s="2">
        <v>0</v>
      </c>
      <c r="J217" s="2" t="e">
        <v>#N/A</v>
      </c>
      <c r="K217" t="e">
        <v>#N/A</v>
      </c>
      <c r="M217" s="21"/>
    </row>
    <row r="218" spans="1:13" x14ac:dyDescent="0.2">
      <c r="A218" t="s">
        <v>30</v>
      </c>
      <c r="B218" t="str">
        <f>VLOOKUP(A218,MasterTutor!A:E,4,FALSE)</f>
        <v>Distinguished</v>
      </c>
      <c r="C218" t="str">
        <f>VLOOKUP(A218,MasterTutor!A:E,3,FALSE)</f>
        <v>Professional</v>
      </c>
      <c r="D218" t="str">
        <f>VLOOKUP(A218,MasterTutor!A:E,2,FALSE)</f>
        <v>Ian Plamondon</v>
      </c>
      <c r="E218" t="s">
        <v>328</v>
      </c>
      <c r="F218" s="2">
        <v>0.93</v>
      </c>
      <c r="G218" s="2">
        <v>1.71</v>
      </c>
      <c r="H218" s="2">
        <v>0.96279999999999999</v>
      </c>
      <c r="I218" s="2">
        <v>1</v>
      </c>
      <c r="J218" s="2">
        <v>0.84599999999999997</v>
      </c>
      <c r="K218" t="e">
        <v>#N/A</v>
      </c>
      <c r="L218" s="19" t="s">
        <v>334</v>
      </c>
      <c r="M218" s="21">
        <v>0.86</v>
      </c>
    </row>
    <row r="219" spans="1:13" x14ac:dyDescent="0.2">
      <c r="A219" t="s">
        <v>31</v>
      </c>
      <c r="B219" t="str">
        <f>VLOOKUP(A219,MasterTutor!A:E,4,FALSE)</f>
        <v>Premium</v>
      </c>
      <c r="C219" t="str">
        <f>VLOOKUP(A219,MasterTutor!A:E,3,FALSE)</f>
        <v>Adjunct</v>
      </c>
      <c r="D219" t="str">
        <f>VLOOKUP(A219,MasterTutor!A:E,2,FALSE)</f>
        <v>Kristin Haase-Alvey</v>
      </c>
      <c r="E219" t="s">
        <v>328</v>
      </c>
      <c r="F219" s="2">
        <v>0.55000000000000004</v>
      </c>
      <c r="G219" s="2">
        <v>0.96</v>
      </c>
      <c r="H219" s="2">
        <v>1</v>
      </c>
      <c r="I219" s="2">
        <v>1</v>
      </c>
      <c r="J219" s="2">
        <v>1</v>
      </c>
      <c r="K219" t="e">
        <v>#N/A</v>
      </c>
      <c r="L219" s="19">
        <v>1</v>
      </c>
      <c r="M219" s="21">
        <f>L219</f>
        <v>1</v>
      </c>
    </row>
    <row r="220" spans="1:13" x14ac:dyDescent="0.2">
      <c r="A220" t="s">
        <v>32</v>
      </c>
      <c r="B220" t="e">
        <f>VLOOKUP(A220,MasterTutor!A:E,4,FALSE)</f>
        <v>#N/A</v>
      </c>
      <c r="C220" t="e">
        <f>VLOOKUP(A220,MasterTutor!A:E,3,FALSE)</f>
        <v>#N/A</v>
      </c>
      <c r="D220" t="e">
        <f>VLOOKUP(A220,MasterTutor!A:E,2,FALSE)</f>
        <v>#N/A</v>
      </c>
      <c r="E220" t="s">
        <v>328</v>
      </c>
      <c r="F220" s="2">
        <v>0.78</v>
      </c>
      <c r="G220" s="2">
        <v>0.82</v>
      </c>
      <c r="H220" s="2">
        <v>0.98209999999999997</v>
      </c>
      <c r="I220" s="2">
        <v>0.84619999999999995</v>
      </c>
      <c r="J220" s="2">
        <v>0.14299999999999999</v>
      </c>
      <c r="K220">
        <v>9</v>
      </c>
      <c r="L220" s="19">
        <v>0</v>
      </c>
      <c r="M220" s="21">
        <f>L220</f>
        <v>0</v>
      </c>
    </row>
    <row r="221" spans="1:13" x14ac:dyDescent="0.2">
      <c r="A221" t="s">
        <v>33</v>
      </c>
      <c r="B221" t="str">
        <f>VLOOKUP(A221,MasterTutor!A:E,4,FALSE)</f>
        <v>Premium</v>
      </c>
      <c r="C221" t="str">
        <f>VLOOKUP(A221,MasterTutor!A:E,3,FALSE)</f>
        <v>Professional</v>
      </c>
      <c r="D221" t="str">
        <f>VLOOKUP(A221,MasterTutor!A:E,2,FALSE)</f>
        <v>Geoff St. Marie</v>
      </c>
      <c r="E221" t="s">
        <v>328</v>
      </c>
      <c r="F221" s="2">
        <v>1.1200000000000001</v>
      </c>
      <c r="G221" s="2">
        <v>1.36</v>
      </c>
      <c r="H221" s="2">
        <v>0.86619999999999997</v>
      </c>
      <c r="I221" s="2">
        <v>0.88749999999999996</v>
      </c>
      <c r="J221" s="2">
        <v>0.75</v>
      </c>
      <c r="K221">
        <v>3</v>
      </c>
      <c r="L221" s="19" t="s">
        <v>335</v>
      </c>
      <c r="M221" s="21">
        <v>0.25</v>
      </c>
    </row>
    <row r="222" spans="1:13" x14ac:dyDescent="0.2">
      <c r="A222" t="s">
        <v>34</v>
      </c>
      <c r="B222" t="e">
        <f>VLOOKUP(A222,MasterTutor!A:E,4,FALSE)</f>
        <v>#N/A</v>
      </c>
      <c r="C222" t="e">
        <f>VLOOKUP(A222,MasterTutor!A:E,3,FALSE)</f>
        <v>#N/A</v>
      </c>
      <c r="D222" t="e">
        <f>VLOOKUP(A222,MasterTutor!A:E,2,FALSE)</f>
        <v>#N/A</v>
      </c>
      <c r="E222" t="s">
        <v>328</v>
      </c>
      <c r="F222" s="2">
        <v>1.32</v>
      </c>
      <c r="G222" s="2">
        <v>1.23</v>
      </c>
      <c r="H222" s="2">
        <v>0.97829999999999995</v>
      </c>
      <c r="I222" s="2">
        <v>0.80389999999999995</v>
      </c>
      <c r="J222" s="2">
        <v>0.90900000000000003</v>
      </c>
      <c r="K222">
        <v>10</v>
      </c>
      <c r="L222" s="19">
        <v>0</v>
      </c>
      <c r="M222" s="21">
        <f>L222</f>
        <v>0</v>
      </c>
    </row>
    <row r="223" spans="1:13" x14ac:dyDescent="0.2">
      <c r="A223" t="s">
        <v>35</v>
      </c>
      <c r="B223" t="str">
        <f>VLOOKUP(A223,MasterTutor!A:E,4,FALSE)</f>
        <v>Advanced</v>
      </c>
      <c r="C223" t="str">
        <f>VLOOKUP(A223,MasterTutor!A:E,3,FALSE)</f>
        <v>Adjunct</v>
      </c>
      <c r="D223" t="str">
        <f>VLOOKUP(A223,MasterTutor!A:E,2,FALSE)</f>
        <v>Annelies de Groot</v>
      </c>
      <c r="E223" t="s">
        <v>328</v>
      </c>
      <c r="F223" s="2">
        <v>1</v>
      </c>
      <c r="G223" s="2">
        <v>1.83</v>
      </c>
      <c r="H223" s="2">
        <v>1</v>
      </c>
      <c r="I223" s="2">
        <v>1</v>
      </c>
      <c r="J223" s="2">
        <v>0.5</v>
      </c>
      <c r="K223">
        <v>6</v>
      </c>
      <c r="L223" s="19" t="s">
        <v>336</v>
      </c>
      <c r="M223" s="21">
        <v>0.6</v>
      </c>
    </row>
    <row r="224" spans="1:13" x14ac:dyDescent="0.2">
      <c r="A224" t="s">
        <v>36</v>
      </c>
      <c r="B224" t="str">
        <f>VLOOKUP(A224,MasterTutor!A:E,4,FALSE)</f>
        <v>Premium</v>
      </c>
      <c r="C224" t="str">
        <f>VLOOKUP(A224,MasterTutor!A:E,3,FALSE)</f>
        <v>Professional</v>
      </c>
      <c r="D224" t="str">
        <f>VLOOKUP(A224,MasterTutor!A:E,2,FALSE)</f>
        <v>Jessica Milner</v>
      </c>
      <c r="E224" t="s">
        <v>328</v>
      </c>
      <c r="F224" s="2">
        <v>0.73</v>
      </c>
      <c r="G224" s="2">
        <v>1.1599999999999999</v>
      </c>
      <c r="H224" s="2">
        <v>1</v>
      </c>
      <c r="I224" s="2">
        <v>1</v>
      </c>
      <c r="J224" s="2">
        <v>0.88200000000000001</v>
      </c>
      <c r="K224">
        <v>3</v>
      </c>
      <c r="L224" s="19" t="s">
        <v>330</v>
      </c>
      <c r="M224" s="21">
        <v>0.67</v>
      </c>
    </row>
    <row r="225" spans="1:13" x14ac:dyDescent="0.2">
      <c r="A225" t="s">
        <v>37</v>
      </c>
      <c r="B225" t="e">
        <f>VLOOKUP(A225,MasterTutor!A:E,4,FALSE)</f>
        <v>#N/A</v>
      </c>
      <c r="C225" t="e">
        <f>VLOOKUP(A225,MasterTutor!A:E,3,FALSE)</f>
        <v>#N/A</v>
      </c>
      <c r="D225" t="e">
        <f>VLOOKUP(A225,MasterTutor!A:E,2,FALSE)</f>
        <v>#N/A</v>
      </c>
      <c r="E225" t="s">
        <v>328</v>
      </c>
      <c r="F225" s="2">
        <v>1.1399999999999999</v>
      </c>
      <c r="G225" s="2">
        <v>0.86</v>
      </c>
      <c r="H225" s="2">
        <v>0.96430000000000005</v>
      </c>
      <c r="I225" s="2">
        <v>0.72499999999999998</v>
      </c>
      <c r="J225" s="2">
        <v>0.33300000000000002</v>
      </c>
      <c r="K225">
        <v>6</v>
      </c>
      <c r="L225" s="19">
        <v>0</v>
      </c>
      <c r="M225" s="21">
        <f>L225</f>
        <v>0</v>
      </c>
    </row>
    <row r="226" spans="1:13" x14ac:dyDescent="0.2">
      <c r="A226" t="s">
        <v>38</v>
      </c>
      <c r="B226" t="str">
        <f>VLOOKUP(A226,MasterTutor!A:E,4,FALSE)</f>
        <v>Advanced</v>
      </c>
      <c r="C226" t="str">
        <f>VLOOKUP(A226,MasterTutor!A:E,3,FALSE)</f>
        <v>Adjunct</v>
      </c>
      <c r="D226" t="str">
        <f>VLOOKUP(A226,MasterTutor!A:E,2,FALSE)</f>
        <v>Annelies de Groot</v>
      </c>
      <c r="E226" t="s">
        <v>328</v>
      </c>
      <c r="F226" s="2">
        <v>1.55</v>
      </c>
      <c r="G226" s="2">
        <v>1.55</v>
      </c>
      <c r="H226" s="2">
        <v>1</v>
      </c>
      <c r="I226" s="2">
        <v>1</v>
      </c>
      <c r="J226" s="2">
        <v>0.69199999999999995</v>
      </c>
      <c r="K226">
        <v>12</v>
      </c>
      <c r="L226" s="19">
        <v>1</v>
      </c>
      <c r="M226" s="21">
        <f>L226</f>
        <v>1</v>
      </c>
    </row>
    <row r="227" spans="1:13" x14ac:dyDescent="0.2">
      <c r="A227" t="s">
        <v>39</v>
      </c>
      <c r="B227" t="str">
        <f>VLOOKUP(A227,MasterTutor!A:E,4,FALSE)</f>
        <v>Premium</v>
      </c>
      <c r="C227" t="str">
        <f>VLOOKUP(A227,MasterTutor!A:E,3,FALSE)</f>
        <v>Adjunct</v>
      </c>
      <c r="D227" t="str">
        <f>VLOOKUP(A227,MasterTutor!A:E,2,FALSE)</f>
        <v>Jessica Milner</v>
      </c>
      <c r="E227" t="s">
        <v>328</v>
      </c>
      <c r="F227" s="2">
        <v>0.74</v>
      </c>
      <c r="G227" s="2">
        <v>0.88</v>
      </c>
      <c r="H227" s="2">
        <v>0.78790000000000004</v>
      </c>
      <c r="I227" s="2">
        <v>0.8</v>
      </c>
      <c r="J227" s="2">
        <v>1</v>
      </c>
      <c r="K227">
        <v>1</v>
      </c>
      <c r="L227" s="19">
        <v>0</v>
      </c>
      <c r="M227" s="21">
        <f>L227</f>
        <v>0</v>
      </c>
    </row>
    <row r="228" spans="1:13" x14ac:dyDescent="0.2">
      <c r="A228" t="s">
        <v>40</v>
      </c>
      <c r="B228" t="str">
        <f>VLOOKUP(A228,MasterTutor!A:E,4,FALSE)</f>
        <v>Advanced</v>
      </c>
      <c r="C228" t="str">
        <f>VLOOKUP(A228,MasterTutor!A:E,3,FALSE)</f>
        <v>Professional</v>
      </c>
      <c r="D228" t="str">
        <f>VLOOKUP(A228,MasterTutor!A:E,2,FALSE)</f>
        <v>Annelies de Groot</v>
      </c>
      <c r="E228" t="s">
        <v>328</v>
      </c>
      <c r="F228" s="2">
        <v>1.3</v>
      </c>
      <c r="G228" s="2">
        <v>1.1499999999999999</v>
      </c>
      <c r="H228" s="2">
        <v>1</v>
      </c>
      <c r="I228" s="2">
        <v>0.66390000000000005</v>
      </c>
      <c r="J228" s="2">
        <v>3.6999999999999998E-2</v>
      </c>
      <c r="K228">
        <v>16</v>
      </c>
      <c r="L228" s="19" t="s">
        <v>336</v>
      </c>
      <c r="M228" s="21">
        <v>0.6</v>
      </c>
    </row>
    <row r="229" spans="1:13" x14ac:dyDescent="0.2">
      <c r="A229" t="s">
        <v>41</v>
      </c>
      <c r="B229" t="str">
        <f>VLOOKUP(A229,MasterTutor!A:E,4,FALSE)</f>
        <v>Premium</v>
      </c>
      <c r="C229" t="str">
        <f>VLOOKUP(A229,MasterTutor!A:E,3,FALSE)</f>
        <v>Professional</v>
      </c>
      <c r="D229" t="str">
        <f>VLOOKUP(A229,MasterTutor!A:E,2,FALSE)</f>
        <v>Jessica Milner</v>
      </c>
      <c r="E229" t="s">
        <v>328</v>
      </c>
      <c r="F229" s="2">
        <v>0.69</v>
      </c>
      <c r="G229" s="2">
        <v>0.99</v>
      </c>
      <c r="H229" s="2">
        <v>0.92369999999999997</v>
      </c>
      <c r="I229" s="2">
        <v>0.9</v>
      </c>
      <c r="J229" s="2">
        <v>0.81799999999999995</v>
      </c>
      <c r="K229">
        <v>3</v>
      </c>
      <c r="L229" s="19" t="s">
        <v>329</v>
      </c>
      <c r="M229" s="21">
        <v>0.75</v>
      </c>
    </row>
    <row r="230" spans="1:13" x14ac:dyDescent="0.2">
      <c r="A230" t="s">
        <v>42</v>
      </c>
      <c r="B230" t="str">
        <f>VLOOKUP(A230,MasterTutor!A:E,4,FALSE)</f>
        <v>Premium</v>
      </c>
      <c r="C230" t="str">
        <f>VLOOKUP(A230,MasterTutor!A:E,3,FALSE)</f>
        <v>Adjunct</v>
      </c>
      <c r="D230" t="str">
        <f>VLOOKUP(A230,MasterTutor!A:E,2,FALSE)</f>
        <v>Ela Cross</v>
      </c>
      <c r="E230" t="s">
        <v>328</v>
      </c>
      <c r="F230" s="2">
        <v>0.48</v>
      </c>
      <c r="G230" s="2">
        <v>0.95</v>
      </c>
      <c r="H230" s="2">
        <v>1</v>
      </c>
      <c r="I230" s="2">
        <v>1</v>
      </c>
      <c r="J230" s="2">
        <v>0.2</v>
      </c>
      <c r="K230" t="e">
        <v>#N/A</v>
      </c>
      <c r="M230" s="21"/>
    </row>
    <row r="231" spans="1:13" x14ac:dyDescent="0.2">
      <c r="A231" t="s">
        <v>43</v>
      </c>
      <c r="B231" t="e">
        <f>VLOOKUP(A231,MasterTutor!A:E,4,FALSE)</f>
        <v>#N/A</v>
      </c>
      <c r="C231" t="e">
        <f>VLOOKUP(A231,MasterTutor!A:E,3,FALSE)</f>
        <v>#N/A</v>
      </c>
      <c r="D231" t="e">
        <f>VLOOKUP(A231,MasterTutor!A:E,2,FALSE)</f>
        <v>#N/A</v>
      </c>
      <c r="E231" t="s">
        <v>328</v>
      </c>
      <c r="F231" s="2">
        <v>0.61</v>
      </c>
      <c r="G231" s="2">
        <v>1.0900000000000001</v>
      </c>
      <c r="H231" s="2">
        <v>0.99</v>
      </c>
      <c r="I231" s="2">
        <v>0.9778</v>
      </c>
      <c r="J231" s="2">
        <v>0.42899999999999999</v>
      </c>
      <c r="K231">
        <v>1</v>
      </c>
      <c r="L231" s="19" t="s">
        <v>330</v>
      </c>
      <c r="M231" s="21">
        <v>0.67</v>
      </c>
    </row>
    <row r="232" spans="1:13" x14ac:dyDescent="0.2">
      <c r="A232" t="s">
        <v>44</v>
      </c>
      <c r="B232" t="e">
        <f>VLOOKUP(A232,MasterTutor!A:E,4,FALSE)</f>
        <v>#N/A</v>
      </c>
      <c r="C232" t="e">
        <f>VLOOKUP(A232,MasterTutor!A:E,3,FALSE)</f>
        <v>#N/A</v>
      </c>
      <c r="D232" t="e">
        <f>VLOOKUP(A232,MasterTutor!A:E,2,FALSE)</f>
        <v>#N/A</v>
      </c>
      <c r="E232" t="s">
        <v>328</v>
      </c>
      <c r="F232" s="2">
        <v>0.98</v>
      </c>
      <c r="G232" s="2">
        <v>0.92</v>
      </c>
      <c r="H232" s="2">
        <v>0.98209999999999997</v>
      </c>
      <c r="I232" s="2">
        <v>1</v>
      </c>
      <c r="J232" s="2">
        <v>0.33300000000000002</v>
      </c>
      <c r="K232">
        <v>3</v>
      </c>
      <c r="L232" s="19">
        <v>1</v>
      </c>
      <c r="M232" s="21">
        <f>L232</f>
        <v>1</v>
      </c>
    </row>
    <row r="233" spans="1:13" x14ac:dyDescent="0.2">
      <c r="A233" t="s">
        <v>45</v>
      </c>
      <c r="B233" t="str">
        <f>VLOOKUP(A233,MasterTutor!A:E,4,FALSE)</f>
        <v>Distinguished</v>
      </c>
      <c r="C233" t="str">
        <f>VLOOKUP(A233,MasterTutor!A:E,3,FALSE)</f>
        <v>Adjunct</v>
      </c>
      <c r="D233" t="str">
        <f>VLOOKUP(A233,MasterTutor!A:E,2,FALSE)</f>
        <v>Kristin Haase-Alvey</v>
      </c>
      <c r="E233" t="s">
        <v>328</v>
      </c>
      <c r="F233" s="2">
        <v>1.22</v>
      </c>
      <c r="G233" s="2">
        <v>1.18</v>
      </c>
      <c r="H233" s="2">
        <v>0.97219999999999995</v>
      </c>
      <c r="I233" s="2">
        <v>1</v>
      </c>
      <c r="J233" s="2">
        <v>0.86699999999999999</v>
      </c>
      <c r="K233">
        <v>5</v>
      </c>
      <c r="L233" s="19">
        <v>1</v>
      </c>
      <c r="M233" s="21">
        <f>L233</f>
        <v>1</v>
      </c>
    </row>
    <row r="234" spans="1:13" x14ac:dyDescent="0.2">
      <c r="A234" t="s">
        <v>46</v>
      </c>
      <c r="B234" t="str">
        <f>VLOOKUP(A234,MasterTutor!A:E,4,FALSE)</f>
        <v>Distinguished</v>
      </c>
      <c r="C234" t="str">
        <f>VLOOKUP(A234,MasterTutor!A:E,3,FALSE)</f>
        <v>Professional</v>
      </c>
      <c r="D234" t="str">
        <f>VLOOKUP(A234,MasterTutor!A:E,2,FALSE)</f>
        <v>Ian Plamondon</v>
      </c>
      <c r="E234" t="s">
        <v>328</v>
      </c>
      <c r="F234" s="2">
        <v>1.1499999999999999</v>
      </c>
      <c r="G234" s="2">
        <v>1.84</v>
      </c>
      <c r="H234" s="2">
        <v>0.90369999999999995</v>
      </c>
      <c r="I234" s="2">
        <v>0.50929999999999997</v>
      </c>
      <c r="J234" s="2">
        <v>0.61499999999999999</v>
      </c>
      <c r="K234">
        <v>14</v>
      </c>
      <c r="L234" s="19" t="s">
        <v>337</v>
      </c>
      <c r="M234" s="21">
        <f>1/3</f>
        <v>0.33333333333333331</v>
      </c>
    </row>
    <row r="235" spans="1:13" x14ac:dyDescent="0.2">
      <c r="A235" t="s">
        <v>47</v>
      </c>
      <c r="B235" t="e">
        <f>VLOOKUP(A235,MasterTutor!A:E,4,FALSE)</f>
        <v>#N/A</v>
      </c>
      <c r="C235" t="e">
        <f>VLOOKUP(A235,MasterTutor!A:E,3,FALSE)</f>
        <v>#N/A</v>
      </c>
      <c r="D235" t="e">
        <f>VLOOKUP(A235,MasterTutor!A:E,2,FALSE)</f>
        <v>#N/A</v>
      </c>
      <c r="E235" t="s">
        <v>328</v>
      </c>
      <c r="F235" s="2">
        <v>1.05</v>
      </c>
      <c r="G235" s="2">
        <v>1.1200000000000001</v>
      </c>
      <c r="H235" s="2">
        <v>1</v>
      </c>
      <c r="I235" s="2">
        <v>0.97619999999999996</v>
      </c>
      <c r="J235" s="2">
        <v>0.6</v>
      </c>
      <c r="K235">
        <v>7</v>
      </c>
    </row>
    <row r="236" spans="1:13" x14ac:dyDescent="0.2">
      <c r="A236" t="s">
        <v>49</v>
      </c>
      <c r="B236" t="str">
        <f>VLOOKUP(A236,MasterTutor!A:E,4,FALSE)</f>
        <v>Advanced</v>
      </c>
      <c r="C236" t="str">
        <f>VLOOKUP(A236,MasterTutor!A:E,3,FALSE)</f>
        <v>Professional</v>
      </c>
      <c r="D236" t="str">
        <f>VLOOKUP(A236,MasterTutor!A:E,2,FALSE)</f>
        <v>Ian Plamondon</v>
      </c>
      <c r="E236" t="s">
        <v>328</v>
      </c>
      <c r="F236" s="2">
        <v>0.05</v>
      </c>
      <c r="G236" s="2">
        <v>0.35</v>
      </c>
      <c r="H236" s="2">
        <v>1</v>
      </c>
      <c r="I236" s="2">
        <v>0.8</v>
      </c>
      <c r="J236" s="2" t="e">
        <v>#N/A</v>
      </c>
      <c r="K236" t="e">
        <v>#N/A</v>
      </c>
      <c r="L236" s="19" t="s">
        <v>330</v>
      </c>
      <c r="M236" s="21">
        <v>0.67</v>
      </c>
    </row>
    <row r="237" spans="1:13" x14ac:dyDescent="0.2">
      <c r="A237" t="s">
        <v>50</v>
      </c>
      <c r="B237" t="str">
        <f>VLOOKUP(A237,MasterTutor!A:E,4,FALSE)</f>
        <v>Premium</v>
      </c>
      <c r="C237" t="str">
        <f>VLOOKUP(A237,MasterTutor!A:E,3,FALSE)</f>
        <v>Adjunct</v>
      </c>
      <c r="D237" t="str">
        <f>VLOOKUP(A237,MasterTutor!A:E,2,FALSE)</f>
        <v>Kristin Haase-Alvey</v>
      </c>
      <c r="E237" t="s">
        <v>328</v>
      </c>
      <c r="F237" s="2">
        <v>0.26</v>
      </c>
      <c r="G237" s="2">
        <v>0.91</v>
      </c>
      <c r="H237" s="2">
        <v>1</v>
      </c>
      <c r="I237" s="2">
        <v>1</v>
      </c>
      <c r="J237" s="2">
        <v>1</v>
      </c>
      <c r="K237">
        <v>1</v>
      </c>
    </row>
    <row r="238" spans="1:13" x14ac:dyDescent="0.2">
      <c r="A238" t="s">
        <v>51</v>
      </c>
      <c r="B238" t="str">
        <f>VLOOKUP(A238,MasterTutor!A:E,4,FALSE)</f>
        <v>Premium</v>
      </c>
      <c r="C238" t="str">
        <f>VLOOKUP(A238,MasterTutor!A:E,3,FALSE)</f>
        <v>Adjunct</v>
      </c>
      <c r="D238" t="str">
        <f>VLOOKUP(A238,MasterTutor!A:E,2,FALSE)</f>
        <v>Annelies de Groot</v>
      </c>
      <c r="E238" t="s">
        <v>328</v>
      </c>
      <c r="F238" s="2">
        <v>0.67</v>
      </c>
      <c r="G238" s="2">
        <v>0.89</v>
      </c>
      <c r="H238" s="2">
        <v>1</v>
      </c>
      <c r="I238" s="2">
        <v>0.73680000000000001</v>
      </c>
      <c r="J238" s="2">
        <v>0.85699999999999998</v>
      </c>
      <c r="K238" t="e">
        <v>#N/A</v>
      </c>
    </row>
    <row r="239" spans="1:13" x14ac:dyDescent="0.2">
      <c r="A239" t="s">
        <v>52</v>
      </c>
      <c r="B239" t="str">
        <f>VLOOKUP(A239,MasterTutor!A:E,4,FALSE)</f>
        <v>Premium</v>
      </c>
      <c r="C239" t="str">
        <f>VLOOKUP(A239,MasterTutor!A:E,3,FALSE)</f>
        <v>Professional</v>
      </c>
      <c r="D239" t="str">
        <f>VLOOKUP(A239,MasterTutor!A:E,2,FALSE)</f>
        <v>Jessica Milner</v>
      </c>
      <c r="E239" t="s">
        <v>328</v>
      </c>
      <c r="F239" s="2">
        <v>0.63</v>
      </c>
      <c r="G239" s="2">
        <v>1.04</v>
      </c>
      <c r="H239" s="2">
        <v>1</v>
      </c>
      <c r="I239" s="2">
        <v>0.97829999999999995</v>
      </c>
      <c r="J239" s="2">
        <v>0.76900000000000002</v>
      </c>
      <c r="K239">
        <v>7</v>
      </c>
      <c r="L239" s="19">
        <v>1</v>
      </c>
      <c r="M239" s="21">
        <f>L239</f>
        <v>1</v>
      </c>
    </row>
    <row r="240" spans="1:13" x14ac:dyDescent="0.2">
      <c r="A240" t="s">
        <v>53</v>
      </c>
      <c r="B240" t="str">
        <f>VLOOKUP(A240,MasterTutor!A:E,4,FALSE)</f>
        <v>Advanced</v>
      </c>
      <c r="C240" t="str">
        <f>VLOOKUP(A240,MasterTutor!A:E,3,FALSE)</f>
        <v>Professional</v>
      </c>
      <c r="D240" t="str">
        <f>VLOOKUP(A240,MasterTutor!A:E,2,FALSE)</f>
        <v>Kristin Haase-Alvey</v>
      </c>
      <c r="E240" t="s">
        <v>328</v>
      </c>
      <c r="F240" s="2">
        <v>1.08</v>
      </c>
      <c r="G240" s="2">
        <v>1.75</v>
      </c>
      <c r="H240" s="2">
        <v>0.97050000000000003</v>
      </c>
      <c r="I240" s="2">
        <v>0.96430000000000005</v>
      </c>
      <c r="J240" s="2">
        <v>0.73299999999999998</v>
      </c>
      <c r="K240">
        <v>10</v>
      </c>
      <c r="L240" s="19">
        <v>1</v>
      </c>
      <c r="M240" s="21">
        <f>L240</f>
        <v>1</v>
      </c>
    </row>
    <row r="241" spans="1:13" x14ac:dyDescent="0.2">
      <c r="A241" t="s">
        <v>54</v>
      </c>
      <c r="B241" t="str">
        <f>VLOOKUP(A241,MasterTutor!A:E,4,FALSE)</f>
        <v>Premium</v>
      </c>
      <c r="C241" t="str">
        <f>VLOOKUP(A241,MasterTutor!A:E,3,FALSE)</f>
        <v>Professional</v>
      </c>
      <c r="D241" t="str">
        <f>VLOOKUP(A241,MasterTutor!A:E,2,FALSE)</f>
        <v>Jessica Milner</v>
      </c>
      <c r="E241" t="s">
        <v>328</v>
      </c>
      <c r="F241" s="2">
        <v>0.52</v>
      </c>
      <c r="G241" s="2">
        <v>1.1000000000000001</v>
      </c>
      <c r="H241" s="2">
        <v>1</v>
      </c>
      <c r="I241" s="2">
        <v>0.91669999999999996</v>
      </c>
      <c r="J241" s="2">
        <v>0.36399999999999999</v>
      </c>
      <c r="K241" t="e">
        <v>#N/A</v>
      </c>
      <c r="L241" s="19">
        <v>1</v>
      </c>
      <c r="M241" s="21">
        <f>L241</f>
        <v>1</v>
      </c>
    </row>
    <row r="242" spans="1:13" x14ac:dyDescent="0.2">
      <c r="A242" t="s">
        <v>55</v>
      </c>
      <c r="B242" t="str">
        <f>VLOOKUP(A242,MasterTutor!A:E,4,FALSE)</f>
        <v>Premium</v>
      </c>
      <c r="C242" t="str">
        <f>VLOOKUP(A242,MasterTutor!A:E,3,FALSE)</f>
        <v>Adjunct</v>
      </c>
      <c r="D242" t="str">
        <f>VLOOKUP(A242,MasterTutor!A:E,2,FALSE)</f>
        <v>Ela Cross</v>
      </c>
      <c r="E242" t="s">
        <v>328</v>
      </c>
      <c r="F242" s="2">
        <v>0.56000000000000005</v>
      </c>
      <c r="G242" s="2">
        <v>0.89</v>
      </c>
      <c r="H242" s="2">
        <v>0.84409999999999996</v>
      </c>
      <c r="I242" s="2">
        <v>8.1100000000000005E-2</v>
      </c>
      <c r="J242" s="2">
        <v>0.1</v>
      </c>
      <c r="K242">
        <v>1</v>
      </c>
      <c r="L242" s="19">
        <v>0</v>
      </c>
      <c r="M242" s="21">
        <f>L242</f>
        <v>0</v>
      </c>
    </row>
    <row r="243" spans="1:13" x14ac:dyDescent="0.2">
      <c r="A243" t="s">
        <v>56</v>
      </c>
      <c r="B243" t="str">
        <f>VLOOKUP(A243,MasterTutor!A:E,4,FALSE)</f>
        <v>Advanced</v>
      </c>
      <c r="C243" t="str">
        <f>VLOOKUP(A243,MasterTutor!A:E,3,FALSE)</f>
        <v>Professional</v>
      </c>
      <c r="D243" t="str">
        <f>VLOOKUP(A243,MasterTutor!A:E,2,FALSE)</f>
        <v>Ela Cross</v>
      </c>
      <c r="E243" t="s">
        <v>328</v>
      </c>
      <c r="F243" s="2">
        <v>0.86</v>
      </c>
      <c r="G243" s="2">
        <v>0.87</v>
      </c>
      <c r="H243" s="2">
        <v>0.92830000000000001</v>
      </c>
      <c r="I243" s="2">
        <v>0.94869999999999999</v>
      </c>
      <c r="J243" s="2">
        <v>0.81299999999999994</v>
      </c>
      <c r="K243">
        <v>12</v>
      </c>
      <c r="L243" s="19" t="s">
        <v>338</v>
      </c>
      <c r="M243" s="21">
        <v>0.8</v>
      </c>
    </row>
    <row r="244" spans="1:13" x14ac:dyDescent="0.2">
      <c r="A244" t="s">
        <v>58</v>
      </c>
      <c r="B244" t="str">
        <f>VLOOKUP(A244,MasterTutor!A:E,4,FALSE)</f>
        <v>Premium</v>
      </c>
      <c r="C244" t="str">
        <f>VLOOKUP(A244,MasterTutor!A:E,3,FALSE)</f>
        <v>Professional</v>
      </c>
      <c r="D244" t="str">
        <f>VLOOKUP(A244,MasterTutor!A:E,2,FALSE)</f>
        <v>Jessica Milner</v>
      </c>
      <c r="E244" t="s">
        <v>328</v>
      </c>
      <c r="F244" s="2">
        <v>0.64</v>
      </c>
      <c r="G244" s="2">
        <v>1.28</v>
      </c>
      <c r="H244" s="2">
        <v>0.97399999999999998</v>
      </c>
      <c r="I244" s="2">
        <v>0.97960000000000003</v>
      </c>
      <c r="J244" s="2">
        <v>0.92900000000000005</v>
      </c>
      <c r="K244">
        <v>5</v>
      </c>
      <c r="L244" s="19" t="s">
        <v>331</v>
      </c>
      <c r="M244" s="21">
        <v>0.5</v>
      </c>
    </row>
    <row r="245" spans="1:13" x14ac:dyDescent="0.2">
      <c r="A245" t="s">
        <v>59</v>
      </c>
      <c r="B245" t="str">
        <f>VLOOKUP(A245,MasterTutor!A:E,4,FALSE)</f>
        <v>Distinguished</v>
      </c>
      <c r="C245" t="str">
        <f>VLOOKUP(A245,MasterTutor!A:E,3,FALSE)</f>
        <v>Professional</v>
      </c>
      <c r="D245" t="str">
        <f>VLOOKUP(A245,MasterTutor!A:E,2,FALSE)</f>
        <v>Ela Cross</v>
      </c>
      <c r="E245" t="s">
        <v>328</v>
      </c>
      <c r="F245" s="2">
        <v>0.8</v>
      </c>
      <c r="G245" s="2">
        <v>0.86</v>
      </c>
      <c r="H245" s="2">
        <v>0.96879999999999999</v>
      </c>
      <c r="I245" s="2">
        <v>0.98809999999999998</v>
      </c>
      <c r="J245" s="2">
        <v>0.5</v>
      </c>
      <c r="K245">
        <v>12</v>
      </c>
      <c r="L245" s="19" t="s">
        <v>329</v>
      </c>
      <c r="M245" s="21">
        <v>0.75</v>
      </c>
    </row>
    <row r="246" spans="1:13" x14ac:dyDescent="0.2">
      <c r="A246" t="s">
        <v>60</v>
      </c>
      <c r="B246" t="str">
        <f>VLOOKUP(A246,MasterTutor!A:E,4,FALSE)</f>
        <v>Advanced</v>
      </c>
      <c r="C246" t="str">
        <f>VLOOKUP(A246,MasterTutor!A:E,3,FALSE)</f>
        <v>Adjunct</v>
      </c>
      <c r="D246" t="str">
        <f>VLOOKUP(A246,MasterTutor!A:E,2,FALSE)</f>
        <v>Kristin Haase-Alvey</v>
      </c>
      <c r="E246" t="s">
        <v>328</v>
      </c>
      <c r="F246" s="2">
        <v>0.84</v>
      </c>
      <c r="G246" s="2">
        <v>1.05</v>
      </c>
      <c r="H246" s="2">
        <v>1</v>
      </c>
      <c r="I246" s="2">
        <v>0.9667</v>
      </c>
      <c r="J246" s="2">
        <v>0.57099999999999995</v>
      </c>
      <c r="K246">
        <v>2</v>
      </c>
      <c r="L246" s="19" t="s">
        <v>331</v>
      </c>
      <c r="M246" s="21">
        <v>0.5</v>
      </c>
    </row>
    <row r="247" spans="1:13" x14ac:dyDescent="0.2">
      <c r="A247" t="s">
        <v>61</v>
      </c>
      <c r="B247" t="str">
        <f>VLOOKUP(A247,MasterTutor!A:E,4,FALSE)</f>
        <v>Advanced</v>
      </c>
      <c r="C247" t="str">
        <f>VLOOKUP(A247,MasterTutor!A:E,3,FALSE)</f>
        <v>Adjunct</v>
      </c>
      <c r="D247" t="str">
        <f>VLOOKUP(A247,MasterTutor!A:E,2,FALSE)</f>
        <v>Ela Cross</v>
      </c>
      <c r="E247" t="s">
        <v>328</v>
      </c>
      <c r="F247" s="2">
        <v>1.18</v>
      </c>
      <c r="G247" s="2">
        <v>1.45</v>
      </c>
      <c r="H247" s="2">
        <v>0.97389999999999999</v>
      </c>
      <c r="I247" s="2">
        <v>1</v>
      </c>
      <c r="J247" s="2">
        <v>0.6</v>
      </c>
      <c r="K247">
        <v>5</v>
      </c>
      <c r="L247" s="19">
        <v>0</v>
      </c>
      <c r="M247" s="21">
        <f>L247</f>
        <v>0</v>
      </c>
    </row>
    <row r="248" spans="1:13" x14ac:dyDescent="0.2">
      <c r="A248" t="s">
        <v>62</v>
      </c>
      <c r="B248" t="e">
        <f>VLOOKUP(A248,MasterTutor!A:E,4,FALSE)</f>
        <v>#N/A</v>
      </c>
      <c r="C248" t="e">
        <f>VLOOKUP(A248,MasterTutor!A:E,3,FALSE)</f>
        <v>#N/A</v>
      </c>
      <c r="D248" t="e">
        <f>VLOOKUP(A248,MasterTutor!A:E,2,FALSE)</f>
        <v>#N/A</v>
      </c>
      <c r="E248" t="s">
        <v>328</v>
      </c>
      <c r="F248" s="2">
        <v>0.68</v>
      </c>
      <c r="G248" s="2">
        <v>1.55</v>
      </c>
      <c r="H248" s="2">
        <v>0.875</v>
      </c>
      <c r="I248" s="2">
        <v>1</v>
      </c>
      <c r="J248" s="2">
        <v>0.5</v>
      </c>
      <c r="K248">
        <v>5</v>
      </c>
    </row>
    <row r="249" spans="1:13" x14ac:dyDescent="0.2">
      <c r="A249" t="s">
        <v>63</v>
      </c>
      <c r="B249" t="str">
        <f>VLOOKUP(A249,MasterTutor!A:E,4,FALSE)</f>
        <v>Advanced</v>
      </c>
      <c r="C249" t="str">
        <f>VLOOKUP(A249,MasterTutor!A:E,3,FALSE)</f>
        <v>Adjunct</v>
      </c>
      <c r="D249" t="str">
        <f>VLOOKUP(A249,MasterTutor!A:E,2,FALSE)</f>
        <v>Kristin Haase-Alvey</v>
      </c>
      <c r="E249" t="s">
        <v>328</v>
      </c>
      <c r="F249" s="2">
        <v>1.06</v>
      </c>
      <c r="G249" s="2">
        <v>1.32</v>
      </c>
      <c r="H249" s="2">
        <v>0.92430000000000001</v>
      </c>
      <c r="I249" s="2">
        <v>0.6875</v>
      </c>
      <c r="J249" s="2">
        <v>0.55600000000000005</v>
      </c>
      <c r="K249">
        <v>5</v>
      </c>
      <c r="L249" s="19">
        <v>1</v>
      </c>
      <c r="M249" s="21">
        <f>L249</f>
        <v>1</v>
      </c>
    </row>
    <row r="250" spans="1:13" x14ac:dyDescent="0.2">
      <c r="A250" t="s">
        <v>64</v>
      </c>
      <c r="B250" t="str">
        <f>VLOOKUP(A250,MasterTutor!A:E,4,FALSE)</f>
        <v>Distinguished</v>
      </c>
      <c r="C250" t="str">
        <f>VLOOKUP(A250,MasterTutor!A:E,3,FALSE)</f>
        <v>Professional</v>
      </c>
      <c r="D250" t="str">
        <f>VLOOKUP(A250,MasterTutor!A:E,2,FALSE)</f>
        <v>Ian Plamondon</v>
      </c>
      <c r="E250" t="s">
        <v>328</v>
      </c>
      <c r="F250" s="2">
        <v>0.68</v>
      </c>
      <c r="G250" s="2">
        <v>1.21</v>
      </c>
      <c r="H250" s="2">
        <v>0.95350000000000001</v>
      </c>
      <c r="I250" s="2">
        <v>1</v>
      </c>
      <c r="J250" s="2">
        <v>0.82399999999999995</v>
      </c>
      <c r="K250">
        <v>2</v>
      </c>
      <c r="L250" s="19">
        <v>1</v>
      </c>
      <c r="M250" s="21">
        <f>L250</f>
        <v>1</v>
      </c>
    </row>
    <row r="251" spans="1:13" x14ac:dyDescent="0.2">
      <c r="A251" t="s">
        <v>65</v>
      </c>
      <c r="B251" t="str">
        <f>VLOOKUP(A251,MasterTutor!A:E,4,FALSE)</f>
        <v>Premium</v>
      </c>
      <c r="C251" t="str">
        <f>VLOOKUP(A251,MasterTutor!A:E,3,FALSE)</f>
        <v>Professional</v>
      </c>
      <c r="D251" t="str">
        <f>VLOOKUP(A251,MasterTutor!A:E,2,FALSE)</f>
        <v>Ian Plamondon</v>
      </c>
      <c r="E251" t="s">
        <v>328</v>
      </c>
      <c r="F251" s="2">
        <v>0.55000000000000004</v>
      </c>
      <c r="G251" s="2">
        <v>0.88</v>
      </c>
      <c r="H251" s="2">
        <v>1</v>
      </c>
      <c r="I251" s="2">
        <v>0.95240000000000002</v>
      </c>
      <c r="J251" s="2">
        <v>0.81799999999999995</v>
      </c>
      <c r="K251">
        <v>3</v>
      </c>
      <c r="L251" s="19" t="s">
        <v>331</v>
      </c>
      <c r="M251" s="21">
        <v>0.5</v>
      </c>
    </row>
    <row r="252" spans="1:13" x14ac:dyDescent="0.2">
      <c r="A252" t="s">
        <v>67</v>
      </c>
      <c r="B252" t="str">
        <f>VLOOKUP(A252,MasterTutor!A:E,4,FALSE)</f>
        <v>Distinguished</v>
      </c>
      <c r="C252" t="str">
        <f>VLOOKUP(A252,MasterTutor!A:E,3,FALSE)</f>
        <v>Professional</v>
      </c>
      <c r="D252" t="str">
        <f>VLOOKUP(A252,MasterTutor!A:E,2,FALSE)</f>
        <v>Ian Plamondon</v>
      </c>
      <c r="E252" t="s">
        <v>328</v>
      </c>
      <c r="F252" s="2">
        <v>0.81</v>
      </c>
      <c r="G252" s="2">
        <v>0.91</v>
      </c>
      <c r="H252" s="2">
        <v>1</v>
      </c>
      <c r="I252" s="2">
        <v>1</v>
      </c>
      <c r="J252" s="2">
        <v>0.82399999999999995</v>
      </c>
      <c r="K252">
        <v>6</v>
      </c>
      <c r="L252" s="19" t="s">
        <v>329</v>
      </c>
      <c r="M252" s="21">
        <v>0.75</v>
      </c>
    </row>
    <row r="253" spans="1:13" x14ac:dyDescent="0.2">
      <c r="A253" t="s">
        <v>68</v>
      </c>
      <c r="B253" t="str">
        <f>VLOOKUP(A253,MasterTutor!A:E,4,FALSE)</f>
        <v>Advanced</v>
      </c>
      <c r="C253" t="str">
        <f>VLOOKUP(A253,MasterTutor!A:E,3,FALSE)</f>
        <v>Professional</v>
      </c>
      <c r="D253" t="str">
        <f>VLOOKUP(A253,MasterTutor!A:E,2,FALSE)</f>
        <v>Ian Plamondon</v>
      </c>
      <c r="E253" t="s">
        <v>328</v>
      </c>
      <c r="F253" s="2">
        <v>0.96</v>
      </c>
      <c r="G253" s="2">
        <v>1.1100000000000001</v>
      </c>
      <c r="H253" s="2">
        <v>0.96399999999999997</v>
      </c>
      <c r="I253" s="2">
        <v>0.75</v>
      </c>
      <c r="J253" s="2">
        <v>7.0999999999999994E-2</v>
      </c>
      <c r="K253">
        <v>5</v>
      </c>
      <c r="L253" s="19">
        <v>1</v>
      </c>
      <c r="M253" s="21">
        <f>L253</f>
        <v>1</v>
      </c>
    </row>
    <row r="254" spans="1:13" x14ac:dyDescent="0.2">
      <c r="A254" t="s">
        <v>69</v>
      </c>
      <c r="B254" t="str">
        <f>VLOOKUP(A254,MasterTutor!A:E,4,FALSE)</f>
        <v>Advanced</v>
      </c>
      <c r="C254" t="str">
        <f>VLOOKUP(A254,MasterTutor!A:E,3,FALSE)</f>
        <v>Adjunct</v>
      </c>
      <c r="D254" t="str">
        <f>VLOOKUP(A254,MasterTutor!A:E,2,FALSE)</f>
        <v>Ela Cross</v>
      </c>
      <c r="E254" t="s">
        <v>328</v>
      </c>
      <c r="F254" s="2">
        <v>1</v>
      </c>
      <c r="G254" s="2">
        <v>0.99</v>
      </c>
      <c r="H254" s="2">
        <v>1</v>
      </c>
      <c r="I254" s="2">
        <v>0.94869999999999999</v>
      </c>
      <c r="J254" s="2">
        <v>0.7</v>
      </c>
      <c r="K254">
        <v>10</v>
      </c>
      <c r="L254" s="19">
        <v>1</v>
      </c>
      <c r="M254" s="21">
        <f>L254</f>
        <v>1</v>
      </c>
    </row>
    <row r="255" spans="1:13" x14ac:dyDescent="0.2">
      <c r="A255" t="s">
        <v>339</v>
      </c>
      <c r="B255" t="e">
        <f>VLOOKUP(A255,MasterTutor!A:E,4,FALSE)</f>
        <v>#N/A</v>
      </c>
      <c r="C255" t="e">
        <f>VLOOKUP(A255,MasterTutor!A:E,3,FALSE)</f>
        <v>#N/A</v>
      </c>
      <c r="D255" t="e">
        <f>VLOOKUP(A255,MasterTutor!A:E,2,FALSE)</f>
        <v>#N/A</v>
      </c>
      <c r="E255" t="s">
        <v>328</v>
      </c>
      <c r="F255" s="2">
        <v>0</v>
      </c>
      <c r="G255" s="2">
        <v>0</v>
      </c>
      <c r="H255" s="2">
        <v>0</v>
      </c>
      <c r="I255" s="2">
        <v>0</v>
      </c>
      <c r="J255" s="2" t="e">
        <v>#N/A</v>
      </c>
      <c r="K255" t="e">
        <v>#N/A</v>
      </c>
    </row>
    <row r="256" spans="1:13" x14ac:dyDescent="0.2">
      <c r="A256" t="s">
        <v>70</v>
      </c>
      <c r="B256" t="str">
        <f>VLOOKUP(A256,MasterTutor!A:E,4,FALSE)</f>
        <v>Distinguished</v>
      </c>
      <c r="C256" t="str">
        <f>VLOOKUP(A256,MasterTutor!A:E,3,FALSE)</f>
        <v>Professional</v>
      </c>
      <c r="D256" t="str">
        <f>VLOOKUP(A256,MasterTutor!A:E,2,FALSE)</f>
        <v>Ela Cross</v>
      </c>
      <c r="E256" t="s">
        <v>328</v>
      </c>
      <c r="F256" s="2">
        <v>1.02</v>
      </c>
      <c r="G256" s="2">
        <v>1.1499999999999999</v>
      </c>
      <c r="H256" s="2">
        <v>0.9788</v>
      </c>
      <c r="I256" s="2">
        <v>1</v>
      </c>
      <c r="J256" s="2">
        <v>0.71399999999999997</v>
      </c>
      <c r="K256">
        <v>11</v>
      </c>
      <c r="L256" s="19" t="s">
        <v>329</v>
      </c>
      <c r="M256" s="21">
        <v>0.75</v>
      </c>
    </row>
    <row r="257" spans="1:13" x14ac:dyDescent="0.2">
      <c r="A257" t="s">
        <v>71</v>
      </c>
      <c r="B257" t="str">
        <f>VLOOKUP(A257,MasterTutor!A:E,4,FALSE)</f>
        <v>Premium</v>
      </c>
      <c r="C257" t="str">
        <f>VLOOKUP(A257,MasterTutor!A:E,3,FALSE)</f>
        <v>Professional</v>
      </c>
      <c r="D257" t="str">
        <f>VLOOKUP(A257,MasterTutor!A:E,2,FALSE)</f>
        <v>Ian Plamondon</v>
      </c>
      <c r="E257" t="s">
        <v>328</v>
      </c>
      <c r="F257" s="2">
        <v>1.01</v>
      </c>
      <c r="G257" s="2">
        <v>1.28</v>
      </c>
      <c r="H257" s="2">
        <v>0.97430000000000005</v>
      </c>
      <c r="I257" s="2">
        <v>0.96919999999999995</v>
      </c>
      <c r="J257" s="2">
        <v>0.76200000000000001</v>
      </c>
      <c r="K257">
        <v>1</v>
      </c>
      <c r="L257" s="19">
        <v>1</v>
      </c>
      <c r="M257" s="21">
        <f>L257</f>
        <v>1</v>
      </c>
    </row>
    <row r="258" spans="1:13" x14ac:dyDescent="0.2">
      <c r="A258" t="s">
        <v>72</v>
      </c>
      <c r="B258" t="str">
        <f>VLOOKUP(A258,MasterTutor!A:E,4,FALSE)</f>
        <v>Premium</v>
      </c>
      <c r="C258" t="str">
        <f>VLOOKUP(A258,MasterTutor!A:E,3,FALSE)</f>
        <v>Adjunct</v>
      </c>
      <c r="D258" t="str">
        <f>VLOOKUP(A258,MasterTutor!A:E,2,FALSE)</f>
        <v>Annelies de Groot</v>
      </c>
      <c r="E258" t="s">
        <v>328</v>
      </c>
      <c r="F258" s="2">
        <v>1.0900000000000001</v>
      </c>
      <c r="G258" s="2">
        <v>1</v>
      </c>
      <c r="H258" s="2">
        <v>1</v>
      </c>
      <c r="I258" s="2">
        <v>0.93330000000000002</v>
      </c>
      <c r="J258" s="2">
        <v>0.9</v>
      </c>
      <c r="K258">
        <v>1</v>
      </c>
      <c r="L258" s="19">
        <v>1</v>
      </c>
      <c r="M258" s="21">
        <f>L258</f>
        <v>1</v>
      </c>
    </row>
    <row r="259" spans="1:13" x14ac:dyDescent="0.2">
      <c r="A259" t="s">
        <v>73</v>
      </c>
      <c r="B259" t="str">
        <f>VLOOKUP(A259,MasterTutor!A:E,4,FALSE)</f>
        <v>Advanced</v>
      </c>
      <c r="C259" t="str">
        <f>VLOOKUP(A259,MasterTutor!A:E,3,FALSE)</f>
        <v>Adjunct</v>
      </c>
      <c r="D259" t="str">
        <f>VLOOKUP(A259,MasterTutor!A:E,2,FALSE)</f>
        <v>Geoff St. Marie</v>
      </c>
      <c r="E259" t="s">
        <v>328</v>
      </c>
      <c r="F259" s="2">
        <v>0.91</v>
      </c>
      <c r="G259" s="2">
        <v>1.0900000000000001</v>
      </c>
      <c r="H259" s="2">
        <v>1</v>
      </c>
      <c r="I259" s="2">
        <v>0.98360000000000003</v>
      </c>
      <c r="J259" s="2">
        <v>0.46700000000000003</v>
      </c>
      <c r="K259">
        <v>9</v>
      </c>
      <c r="L259" s="19">
        <v>0</v>
      </c>
      <c r="M259" s="21">
        <f>L259</f>
        <v>0</v>
      </c>
    </row>
    <row r="260" spans="1:13" x14ac:dyDescent="0.2">
      <c r="A260" t="s">
        <v>74</v>
      </c>
      <c r="B260" t="str">
        <f>VLOOKUP(A260,MasterTutor!A:E,4,FALSE)</f>
        <v>Distinguished</v>
      </c>
      <c r="C260" t="str">
        <f>VLOOKUP(A260,MasterTutor!A:E,3,FALSE)</f>
        <v>Adjunct</v>
      </c>
      <c r="D260" t="str">
        <f>VLOOKUP(A260,MasterTutor!A:E,2,FALSE)</f>
        <v>Ela Cross</v>
      </c>
      <c r="E260" t="s">
        <v>328</v>
      </c>
      <c r="F260" s="2">
        <v>0.71</v>
      </c>
      <c r="G260" s="2">
        <v>1.06</v>
      </c>
      <c r="H260" s="2">
        <v>1</v>
      </c>
      <c r="I260" s="2">
        <v>1</v>
      </c>
      <c r="J260" s="2">
        <v>0.71399999999999997</v>
      </c>
      <c r="K260">
        <v>1</v>
      </c>
      <c r="L260" s="19">
        <v>1</v>
      </c>
      <c r="M260" s="21">
        <f>L260</f>
        <v>1</v>
      </c>
    </row>
    <row r="261" spans="1:13" x14ac:dyDescent="0.2">
      <c r="A261" t="s">
        <v>76</v>
      </c>
      <c r="B261" t="e">
        <f>VLOOKUP(A261,MasterTutor!A:E,4,FALSE)</f>
        <v>#N/A</v>
      </c>
      <c r="C261" t="e">
        <f>VLOOKUP(A261,MasterTutor!A:E,3,FALSE)</f>
        <v>#N/A</v>
      </c>
      <c r="D261" t="e">
        <f>VLOOKUP(A261,MasterTutor!A:E,2,FALSE)</f>
        <v>#N/A</v>
      </c>
      <c r="E261" t="s">
        <v>328</v>
      </c>
      <c r="F261" s="2">
        <v>1.08</v>
      </c>
      <c r="G261" s="2">
        <v>1.1499999999999999</v>
      </c>
      <c r="H261" s="2">
        <v>1</v>
      </c>
      <c r="I261" s="2">
        <v>0.97499999999999998</v>
      </c>
      <c r="J261" s="2">
        <v>0.55600000000000005</v>
      </c>
      <c r="K261">
        <v>7</v>
      </c>
      <c r="L261" s="19" t="s">
        <v>330</v>
      </c>
      <c r="M261" s="21">
        <v>0.67</v>
      </c>
    </row>
    <row r="262" spans="1:13" x14ac:dyDescent="0.2">
      <c r="A262" t="s">
        <v>77</v>
      </c>
      <c r="B262" t="str">
        <f>VLOOKUP(A262,MasterTutor!A:E,4,FALSE)</f>
        <v>Distinguished</v>
      </c>
      <c r="C262" t="str">
        <f>VLOOKUP(A262,MasterTutor!A:E,3,FALSE)</f>
        <v>Professional</v>
      </c>
      <c r="D262" t="str">
        <f>VLOOKUP(A262,MasterTutor!A:E,2,FALSE)</f>
        <v>Ian Plamondon</v>
      </c>
      <c r="E262" t="s">
        <v>328</v>
      </c>
      <c r="F262" s="2">
        <v>0.56000000000000005</v>
      </c>
      <c r="G262" s="2">
        <v>1.0900000000000001</v>
      </c>
      <c r="H262" s="2">
        <v>1</v>
      </c>
      <c r="I262" s="2">
        <v>0.90910000000000002</v>
      </c>
      <c r="J262" s="2">
        <v>0.91700000000000004</v>
      </c>
      <c r="K262">
        <v>3</v>
      </c>
      <c r="L262" s="19">
        <v>1</v>
      </c>
      <c r="M262" s="21">
        <f>L262</f>
        <v>1</v>
      </c>
    </row>
    <row r="263" spans="1:13" x14ac:dyDescent="0.2">
      <c r="A263" t="s">
        <v>78</v>
      </c>
      <c r="B263" t="str">
        <f>VLOOKUP(A263,MasterTutor!A:E,4,FALSE)</f>
        <v>Distinguished</v>
      </c>
      <c r="C263" t="str">
        <f>VLOOKUP(A263,MasterTutor!A:E,3,FALSE)</f>
        <v>Adjunct</v>
      </c>
      <c r="D263" t="str">
        <f>VLOOKUP(A263,MasterTutor!A:E,2,FALSE)</f>
        <v>Geoff St. Marie</v>
      </c>
      <c r="E263" t="s">
        <v>328</v>
      </c>
      <c r="F263" s="2">
        <v>0.56999999999999995</v>
      </c>
      <c r="G263" s="2">
        <v>0.98</v>
      </c>
      <c r="H263" s="2">
        <v>1</v>
      </c>
      <c r="I263" s="2">
        <v>0.89470000000000005</v>
      </c>
      <c r="J263" s="2">
        <v>0.83299999999999996</v>
      </c>
      <c r="K263">
        <v>1</v>
      </c>
    </row>
    <row r="264" spans="1:13" x14ac:dyDescent="0.2">
      <c r="A264" t="s">
        <v>79</v>
      </c>
      <c r="B264" t="str">
        <f>VLOOKUP(A264,MasterTutor!A:E,4,FALSE)</f>
        <v>Premium</v>
      </c>
      <c r="C264" t="str">
        <f>VLOOKUP(A264,MasterTutor!A:E,3,FALSE)</f>
        <v>Professional</v>
      </c>
      <c r="D264" t="str">
        <f>VLOOKUP(A264,MasterTutor!A:E,2,FALSE)</f>
        <v>Ian Plamondon</v>
      </c>
      <c r="E264" t="s">
        <v>328</v>
      </c>
      <c r="F264" s="2">
        <v>0.9</v>
      </c>
      <c r="G264" s="2">
        <v>1.27</v>
      </c>
      <c r="H264" s="2">
        <v>0.9919</v>
      </c>
      <c r="I264" s="2">
        <v>0.87139999999999995</v>
      </c>
      <c r="J264" s="2">
        <v>0.26300000000000001</v>
      </c>
      <c r="K264">
        <v>2</v>
      </c>
      <c r="L264" s="19">
        <v>0</v>
      </c>
      <c r="M264" s="21">
        <f>L264</f>
        <v>0</v>
      </c>
    </row>
    <row r="265" spans="1:13" x14ac:dyDescent="0.2">
      <c r="A265" t="s">
        <v>80</v>
      </c>
      <c r="B265" t="e">
        <f>VLOOKUP(A265,MasterTutor!A:E,4,FALSE)</f>
        <v>#N/A</v>
      </c>
      <c r="C265" t="e">
        <f>VLOOKUP(A265,MasterTutor!A:E,3,FALSE)</f>
        <v>#N/A</v>
      </c>
      <c r="D265" t="e">
        <f>VLOOKUP(A265,MasterTutor!A:E,2,FALSE)</f>
        <v>#N/A</v>
      </c>
      <c r="E265" t="s">
        <v>328</v>
      </c>
      <c r="F265" s="2">
        <v>0.71</v>
      </c>
      <c r="G265" s="2">
        <v>0.78</v>
      </c>
      <c r="H265" s="2">
        <v>1</v>
      </c>
      <c r="I265" s="2">
        <v>0.8387</v>
      </c>
      <c r="J265" s="2">
        <v>0.2</v>
      </c>
      <c r="K265">
        <v>1</v>
      </c>
      <c r="L265" s="19">
        <v>1</v>
      </c>
      <c r="M265" s="21">
        <f>L265</f>
        <v>1</v>
      </c>
    </row>
    <row r="266" spans="1:13" x14ac:dyDescent="0.2">
      <c r="A266" t="s">
        <v>81</v>
      </c>
      <c r="B266" t="str">
        <f>VLOOKUP(A266,MasterTutor!A:E,4,FALSE)</f>
        <v>Distinguished</v>
      </c>
      <c r="C266" t="str">
        <f>VLOOKUP(A266,MasterTutor!A:E,3,FALSE)</f>
        <v>Professional</v>
      </c>
      <c r="D266" t="str">
        <f>VLOOKUP(A266,MasterTutor!A:E,2,FALSE)</f>
        <v>Ian Plamondon</v>
      </c>
      <c r="E266" t="s">
        <v>328</v>
      </c>
      <c r="F266" s="2">
        <v>0.62</v>
      </c>
      <c r="G266" s="2">
        <v>1.1200000000000001</v>
      </c>
      <c r="H266" s="2">
        <v>0.94569999999999999</v>
      </c>
      <c r="I266" s="2">
        <v>0.97750000000000004</v>
      </c>
      <c r="J266" s="2">
        <v>0.57099999999999995</v>
      </c>
      <c r="K266" t="e">
        <v>#N/A</v>
      </c>
      <c r="L266" s="19" t="s">
        <v>338</v>
      </c>
      <c r="M266" s="21">
        <v>0.8</v>
      </c>
    </row>
    <row r="267" spans="1:13" x14ac:dyDescent="0.2">
      <c r="A267" t="s">
        <v>82</v>
      </c>
      <c r="B267" t="str">
        <f>VLOOKUP(A267,MasterTutor!A:E,4,FALSE)</f>
        <v>Premium</v>
      </c>
      <c r="C267" t="str">
        <f>VLOOKUP(A267,MasterTutor!A:E,3,FALSE)</f>
        <v>Adjunct</v>
      </c>
      <c r="D267" t="str">
        <f>VLOOKUP(A267,MasterTutor!A:E,2,FALSE)</f>
        <v>Jessica Milner</v>
      </c>
      <c r="E267" t="s">
        <v>328</v>
      </c>
      <c r="F267" s="2">
        <v>0.56999999999999995</v>
      </c>
      <c r="G267" s="2">
        <v>1.01</v>
      </c>
      <c r="H267" s="2">
        <v>1</v>
      </c>
      <c r="I267" s="2">
        <v>1</v>
      </c>
      <c r="J267" s="2">
        <v>1</v>
      </c>
      <c r="K267">
        <v>1</v>
      </c>
      <c r="L267" s="19">
        <v>1</v>
      </c>
      <c r="M267" s="21">
        <f>L267</f>
        <v>1</v>
      </c>
    </row>
    <row r="268" spans="1:13" x14ac:dyDescent="0.2">
      <c r="A268" t="s">
        <v>83</v>
      </c>
      <c r="B268" t="str">
        <f>VLOOKUP(A268,MasterTutor!A:E,4,FALSE)</f>
        <v>Premium</v>
      </c>
      <c r="C268" t="str">
        <f>VLOOKUP(A268,MasterTutor!A:E,3,FALSE)</f>
        <v>Professional</v>
      </c>
      <c r="D268" t="str">
        <f>VLOOKUP(A268,MasterTutor!A:E,2,FALSE)</f>
        <v>Jessica Milner</v>
      </c>
      <c r="E268" t="s">
        <v>328</v>
      </c>
      <c r="F268" s="2">
        <v>0.75</v>
      </c>
      <c r="G268" s="2">
        <v>1.48</v>
      </c>
      <c r="H268" s="2">
        <v>0.9839</v>
      </c>
      <c r="I268" s="2">
        <v>0.94550000000000001</v>
      </c>
      <c r="J268" s="2">
        <v>0.61899999999999999</v>
      </c>
      <c r="K268">
        <v>7</v>
      </c>
      <c r="L268" s="19">
        <v>1</v>
      </c>
      <c r="M268" s="21">
        <f>L268</f>
        <v>1</v>
      </c>
    </row>
    <row r="269" spans="1:13" x14ac:dyDescent="0.2">
      <c r="A269" t="s">
        <v>84</v>
      </c>
      <c r="B269" t="str">
        <f>VLOOKUP(A269,MasterTutor!A:E,4,FALSE)</f>
        <v>Advanced</v>
      </c>
      <c r="C269" t="str">
        <f>VLOOKUP(A269,MasterTutor!A:E,3,FALSE)</f>
        <v>Professional</v>
      </c>
      <c r="D269" t="str">
        <f>VLOOKUP(A269,MasterTutor!A:E,2,FALSE)</f>
        <v>Kristin Haase-Alvey</v>
      </c>
      <c r="E269" t="s">
        <v>328</v>
      </c>
      <c r="F269" s="2">
        <v>0</v>
      </c>
      <c r="G269" s="2">
        <v>0.34</v>
      </c>
      <c r="H269" s="2">
        <v>0</v>
      </c>
      <c r="I269" s="2">
        <v>0</v>
      </c>
      <c r="J269" s="2" t="e">
        <v>#N/A</v>
      </c>
      <c r="K269" t="e">
        <v>#N/A</v>
      </c>
    </row>
    <row r="270" spans="1:13" x14ac:dyDescent="0.2">
      <c r="A270" t="s">
        <v>85</v>
      </c>
      <c r="B270" t="str">
        <f>VLOOKUP(A270,MasterTutor!A:E,4,FALSE)</f>
        <v>Premium</v>
      </c>
      <c r="C270" t="str">
        <f>VLOOKUP(A270,MasterTutor!A:E,3,FALSE)</f>
        <v>Professional</v>
      </c>
      <c r="D270" t="str">
        <f>VLOOKUP(A270,MasterTutor!A:E,2,FALSE)</f>
        <v>Ian Plamondon</v>
      </c>
      <c r="E270" t="s">
        <v>328</v>
      </c>
      <c r="F270" s="2">
        <v>0.81</v>
      </c>
      <c r="G270" s="2">
        <v>1.67</v>
      </c>
      <c r="H270" s="2">
        <v>1</v>
      </c>
      <c r="I270" s="2">
        <v>0.96050000000000002</v>
      </c>
      <c r="J270" s="2">
        <v>0.61099999999999999</v>
      </c>
      <c r="K270">
        <v>2</v>
      </c>
      <c r="L270" s="19" t="s">
        <v>329</v>
      </c>
      <c r="M270" s="21">
        <v>0.75</v>
      </c>
    </row>
    <row r="271" spans="1:13" x14ac:dyDescent="0.2">
      <c r="A271" t="s">
        <v>86</v>
      </c>
      <c r="B271" t="e">
        <f>VLOOKUP(A271,MasterTutor!A:E,4,FALSE)</f>
        <v>#N/A</v>
      </c>
      <c r="C271" t="e">
        <f>VLOOKUP(A271,MasterTutor!A:E,3,FALSE)</f>
        <v>#N/A</v>
      </c>
      <c r="D271" t="e">
        <f>VLOOKUP(A271,MasterTutor!A:E,2,FALSE)</f>
        <v>#N/A</v>
      </c>
      <c r="E271" t="s">
        <v>328</v>
      </c>
      <c r="F271" s="2">
        <v>0.53</v>
      </c>
      <c r="G271" s="2">
        <v>0.91</v>
      </c>
      <c r="H271" s="2">
        <v>0.89729999999999999</v>
      </c>
      <c r="I271" s="2">
        <v>0.68420000000000003</v>
      </c>
      <c r="J271" s="2">
        <v>0</v>
      </c>
      <c r="K271">
        <v>7</v>
      </c>
      <c r="L271" s="19">
        <v>1</v>
      </c>
      <c r="M271" s="21">
        <f>L271</f>
        <v>1</v>
      </c>
    </row>
    <row r="272" spans="1:13" x14ac:dyDescent="0.2">
      <c r="A272" t="s">
        <v>340</v>
      </c>
      <c r="B272" t="e">
        <f>VLOOKUP(A272,MasterTutor!A:E,4,FALSE)</f>
        <v>#N/A</v>
      </c>
      <c r="C272" t="e">
        <f>VLOOKUP(A272,MasterTutor!A:E,3,FALSE)</f>
        <v>#N/A</v>
      </c>
      <c r="D272" t="e">
        <f>VLOOKUP(A272,MasterTutor!A:E,2,FALSE)</f>
        <v>#N/A</v>
      </c>
      <c r="E272" t="s">
        <v>328</v>
      </c>
      <c r="F272" s="2">
        <v>0</v>
      </c>
      <c r="G272" s="2">
        <v>0</v>
      </c>
      <c r="H272" s="2">
        <v>0.96430000000000005</v>
      </c>
      <c r="I272" s="2">
        <v>0</v>
      </c>
      <c r="J272" s="2">
        <v>0</v>
      </c>
      <c r="K272" t="e">
        <v>#N/A</v>
      </c>
    </row>
    <row r="273" spans="1:13" x14ac:dyDescent="0.2">
      <c r="A273" t="s">
        <v>87</v>
      </c>
      <c r="B273" t="str">
        <f>VLOOKUP(A273,MasterTutor!A:E,4,FALSE)</f>
        <v>Advanced</v>
      </c>
      <c r="C273" t="str">
        <f>VLOOKUP(A273,MasterTutor!A:E,3,FALSE)</f>
        <v>Adjunct</v>
      </c>
      <c r="D273" t="str">
        <f>VLOOKUP(A273,MasterTutor!A:E,2,FALSE)</f>
        <v>Ela Cross</v>
      </c>
      <c r="E273" t="s">
        <v>328</v>
      </c>
      <c r="F273" s="2">
        <v>0.9</v>
      </c>
      <c r="G273" s="2">
        <v>0.99</v>
      </c>
      <c r="H273" s="2">
        <v>1</v>
      </c>
      <c r="I273" s="2">
        <v>1</v>
      </c>
      <c r="J273" s="2">
        <v>0.154</v>
      </c>
      <c r="K273">
        <v>7</v>
      </c>
      <c r="L273" s="19" t="s">
        <v>330</v>
      </c>
      <c r="M273" s="21">
        <v>0.67</v>
      </c>
    </row>
    <row r="274" spans="1:13" x14ac:dyDescent="0.2">
      <c r="A274" t="s">
        <v>88</v>
      </c>
      <c r="B274" t="str">
        <f>VLOOKUP(A274,MasterTutor!A:E,4,FALSE)</f>
        <v>Distinguished</v>
      </c>
      <c r="C274" t="str">
        <f>VLOOKUP(A274,MasterTutor!A:E,3,FALSE)</f>
        <v>Professional</v>
      </c>
      <c r="D274" t="str">
        <f>VLOOKUP(A274,MasterTutor!A:E,2,FALSE)</f>
        <v>Ian Plamondon</v>
      </c>
      <c r="E274" t="s">
        <v>328</v>
      </c>
      <c r="F274" s="2">
        <v>1.24</v>
      </c>
      <c r="G274" s="2">
        <v>1.41</v>
      </c>
      <c r="H274" s="2">
        <v>1</v>
      </c>
      <c r="I274" s="2">
        <v>1</v>
      </c>
      <c r="J274" s="2">
        <v>0.84</v>
      </c>
      <c r="K274">
        <v>17</v>
      </c>
      <c r="L274" s="19">
        <v>1</v>
      </c>
      <c r="M274" s="21">
        <f>L274</f>
        <v>1</v>
      </c>
    </row>
    <row r="275" spans="1:13" x14ac:dyDescent="0.2">
      <c r="A275" t="s">
        <v>89</v>
      </c>
      <c r="B275" t="e">
        <f>VLOOKUP(A275,MasterTutor!A:E,4,FALSE)</f>
        <v>#N/A</v>
      </c>
      <c r="C275" t="e">
        <f>VLOOKUP(A275,MasterTutor!A:E,3,FALSE)</f>
        <v>#N/A</v>
      </c>
      <c r="D275" t="e">
        <f>VLOOKUP(A275,MasterTutor!A:E,2,FALSE)</f>
        <v>#N/A</v>
      </c>
      <c r="E275" t="s">
        <v>328</v>
      </c>
      <c r="F275" s="2">
        <v>0.59</v>
      </c>
      <c r="G275" s="2">
        <v>0.76</v>
      </c>
      <c r="H275" s="2">
        <v>1</v>
      </c>
      <c r="I275" s="2">
        <v>0.57889999999999997</v>
      </c>
      <c r="J275" s="2">
        <v>0.4</v>
      </c>
      <c r="K275">
        <v>7</v>
      </c>
      <c r="L275" s="19" t="s">
        <v>337</v>
      </c>
      <c r="M275" s="21">
        <f>1/3</f>
        <v>0.33333333333333331</v>
      </c>
    </row>
    <row r="276" spans="1:13" x14ac:dyDescent="0.2">
      <c r="A276" t="s">
        <v>90</v>
      </c>
      <c r="B276" t="str">
        <f>VLOOKUP(A276,MasterTutor!A:E,4,FALSE)</f>
        <v>Advanced</v>
      </c>
      <c r="C276" t="str">
        <f>VLOOKUP(A276,MasterTutor!A:E,3,FALSE)</f>
        <v>Adjunct</v>
      </c>
      <c r="D276" t="str">
        <f>VLOOKUP(A276,MasterTutor!A:E,2,FALSE)</f>
        <v>Ela Cross</v>
      </c>
      <c r="E276" t="s">
        <v>328</v>
      </c>
      <c r="F276" s="2">
        <v>1.07</v>
      </c>
      <c r="G276" s="2">
        <v>1.32</v>
      </c>
      <c r="H276" s="2">
        <v>0.629</v>
      </c>
      <c r="I276" s="2">
        <v>0.93179999999999996</v>
      </c>
      <c r="J276" s="2">
        <v>9.0999999999999998E-2</v>
      </c>
      <c r="K276">
        <v>7</v>
      </c>
      <c r="L276" s="19" t="s">
        <v>338</v>
      </c>
      <c r="M276" s="21">
        <v>0.8</v>
      </c>
    </row>
    <row r="277" spans="1:13" x14ac:dyDescent="0.2">
      <c r="A277" t="s">
        <v>91</v>
      </c>
      <c r="B277" t="e">
        <f>VLOOKUP(A277,MasterTutor!A:E,4,FALSE)</f>
        <v>#N/A</v>
      </c>
      <c r="C277" t="e">
        <f>VLOOKUP(A277,MasterTutor!A:E,3,FALSE)</f>
        <v>#N/A</v>
      </c>
      <c r="D277" t="e">
        <f>VLOOKUP(A277,MasterTutor!A:E,2,FALSE)</f>
        <v>#N/A</v>
      </c>
      <c r="E277" t="s">
        <v>328</v>
      </c>
      <c r="F277" s="2">
        <v>0.91</v>
      </c>
      <c r="G277" s="2">
        <v>1.0900000000000001</v>
      </c>
      <c r="H277" s="2">
        <v>0.89080000000000004</v>
      </c>
      <c r="I277" s="2">
        <v>0.73419999999999996</v>
      </c>
      <c r="J277" s="2">
        <v>0.22700000000000001</v>
      </c>
      <c r="K277">
        <v>6</v>
      </c>
      <c r="L277" s="19">
        <v>0</v>
      </c>
      <c r="M277" s="21">
        <f>L277</f>
        <v>0</v>
      </c>
    </row>
    <row r="278" spans="1:13" x14ac:dyDescent="0.2">
      <c r="A278" t="s">
        <v>92</v>
      </c>
      <c r="B278" t="str">
        <f>VLOOKUP(A278,MasterTutor!A:E,4,FALSE)</f>
        <v>Premium</v>
      </c>
      <c r="C278" t="str">
        <f>VLOOKUP(A278,MasterTutor!A:E,3,FALSE)</f>
        <v>Professional</v>
      </c>
      <c r="D278" t="str">
        <f>VLOOKUP(A278,MasterTutor!A:E,2,FALSE)</f>
        <v>Ian Plamondon</v>
      </c>
      <c r="E278" t="s">
        <v>328</v>
      </c>
      <c r="F278" s="2">
        <v>0.43</v>
      </c>
      <c r="G278" s="2">
        <v>1.03</v>
      </c>
      <c r="H278" s="2">
        <v>1</v>
      </c>
      <c r="I278" s="2">
        <v>0.97499999999999998</v>
      </c>
      <c r="J278" s="2">
        <v>0.84599999999999997</v>
      </c>
      <c r="K278" t="e">
        <v>#N/A</v>
      </c>
      <c r="L278" s="19">
        <v>1</v>
      </c>
      <c r="M278" s="21">
        <f>L278</f>
        <v>1</v>
      </c>
    </row>
    <row r="279" spans="1:13" x14ac:dyDescent="0.2">
      <c r="A279" t="s">
        <v>93</v>
      </c>
      <c r="B279" t="str">
        <f>VLOOKUP(A279,MasterTutor!A:E,4,FALSE)</f>
        <v>Advanced</v>
      </c>
      <c r="C279" t="str">
        <f>VLOOKUP(A279,MasterTutor!A:E,3,FALSE)</f>
        <v>Professional</v>
      </c>
      <c r="D279" t="str">
        <f>VLOOKUP(A279,MasterTutor!A:E,2,FALSE)</f>
        <v>Ian Plamondon</v>
      </c>
      <c r="E279" t="s">
        <v>328</v>
      </c>
      <c r="F279" s="2">
        <v>0.85</v>
      </c>
      <c r="G279" s="2">
        <v>0.89</v>
      </c>
      <c r="H279" s="2">
        <v>1</v>
      </c>
      <c r="I279" s="2">
        <v>0.97750000000000004</v>
      </c>
      <c r="J279" s="2">
        <v>0.86399999999999999</v>
      </c>
      <c r="K279">
        <v>13</v>
      </c>
      <c r="L279" s="19" t="s">
        <v>337</v>
      </c>
      <c r="M279" s="21">
        <f>1/3</f>
        <v>0.33333333333333331</v>
      </c>
    </row>
    <row r="280" spans="1:13" x14ac:dyDescent="0.2">
      <c r="A280" t="s">
        <v>94</v>
      </c>
      <c r="B280" t="str">
        <f>VLOOKUP(A280,MasterTutor!A:E,4,FALSE)</f>
        <v>Premium</v>
      </c>
      <c r="C280" t="str">
        <f>VLOOKUP(A280,MasterTutor!A:E,3,FALSE)</f>
        <v>Professional</v>
      </c>
      <c r="D280" t="str">
        <f>VLOOKUP(A280,MasterTutor!A:E,2,FALSE)</f>
        <v>Jessica Milner</v>
      </c>
      <c r="E280" t="s">
        <v>328</v>
      </c>
      <c r="F280" s="2">
        <v>0.64</v>
      </c>
      <c r="G280" s="2">
        <v>1.02</v>
      </c>
      <c r="H280" s="2">
        <v>1</v>
      </c>
      <c r="I280" s="2">
        <v>0.94120000000000004</v>
      </c>
      <c r="J280" s="2">
        <v>0.13300000000000001</v>
      </c>
      <c r="K280">
        <v>5</v>
      </c>
      <c r="L280" s="19">
        <v>1</v>
      </c>
      <c r="M280" s="21">
        <f>L280</f>
        <v>1</v>
      </c>
    </row>
    <row r="281" spans="1:13" x14ac:dyDescent="0.2">
      <c r="A281" t="s">
        <v>95</v>
      </c>
      <c r="B281" t="str">
        <f>VLOOKUP(A281,MasterTutor!A:E,4,FALSE)</f>
        <v>Advanced</v>
      </c>
      <c r="C281" t="str">
        <f>VLOOKUP(A281,MasterTutor!A:E,3,FALSE)</f>
        <v>Professional</v>
      </c>
      <c r="D281" t="str">
        <f>VLOOKUP(A281,MasterTutor!A:E,2,FALSE)</f>
        <v>Kristin Haase-Alvey</v>
      </c>
      <c r="E281" t="s">
        <v>328</v>
      </c>
      <c r="F281" s="2">
        <v>0.78</v>
      </c>
      <c r="G281" s="2">
        <v>0.91</v>
      </c>
      <c r="H281" s="2">
        <v>0.77649999999999997</v>
      </c>
      <c r="I281" s="2">
        <v>0.94289999999999996</v>
      </c>
      <c r="J281" s="2">
        <v>0.375</v>
      </c>
      <c r="K281">
        <v>10</v>
      </c>
      <c r="L281" s="19" t="s">
        <v>337</v>
      </c>
      <c r="M281" s="21">
        <f>1/3</f>
        <v>0.33333333333333331</v>
      </c>
    </row>
    <row r="282" spans="1:13" x14ac:dyDescent="0.2">
      <c r="A282" t="s">
        <v>96</v>
      </c>
      <c r="B282" t="str">
        <f>VLOOKUP(A282,MasterTutor!A:E,4,FALSE)</f>
        <v>Distinguished</v>
      </c>
      <c r="C282" t="str">
        <f>VLOOKUP(A282,MasterTutor!A:E,3,FALSE)</f>
        <v>Adjunct</v>
      </c>
      <c r="D282" t="str">
        <f>VLOOKUP(A282,MasterTutor!A:E,2,FALSE)</f>
        <v>Kristin Haase-Alvey</v>
      </c>
      <c r="E282" t="s">
        <v>328</v>
      </c>
      <c r="F282" s="2">
        <v>0.68</v>
      </c>
      <c r="G282" s="2">
        <v>0.78</v>
      </c>
      <c r="H282" s="2">
        <v>1</v>
      </c>
      <c r="I282" s="2">
        <v>0.92859999999999998</v>
      </c>
      <c r="J282" s="2">
        <v>0.6</v>
      </c>
      <c r="K282">
        <v>8</v>
      </c>
      <c r="L282" s="19">
        <v>0</v>
      </c>
      <c r="M282" s="21">
        <f>L282</f>
        <v>0</v>
      </c>
    </row>
    <row r="283" spans="1:13" x14ac:dyDescent="0.2">
      <c r="A283" t="s">
        <v>98</v>
      </c>
      <c r="B283" t="str">
        <f>VLOOKUP(A283,MasterTutor!A:E,4,FALSE)</f>
        <v>Premium</v>
      </c>
      <c r="C283" t="str">
        <f>VLOOKUP(A283,MasterTutor!A:E,3,FALSE)</f>
        <v>Adjunct</v>
      </c>
      <c r="D283" t="str">
        <f>VLOOKUP(A283,MasterTutor!A:E,2,FALSE)</f>
        <v>Ela Cross</v>
      </c>
      <c r="E283" t="s">
        <v>328</v>
      </c>
      <c r="F283" s="2">
        <v>0.72</v>
      </c>
      <c r="G283" s="2">
        <v>1.21</v>
      </c>
      <c r="H283" s="2">
        <v>1</v>
      </c>
      <c r="I283" s="2">
        <v>0.84</v>
      </c>
      <c r="J283" s="2">
        <v>0.8</v>
      </c>
      <c r="K283">
        <v>1</v>
      </c>
      <c r="L283" s="19">
        <v>1</v>
      </c>
      <c r="M283" s="21">
        <f>L283</f>
        <v>1</v>
      </c>
    </row>
    <row r="284" spans="1:13" x14ac:dyDescent="0.2">
      <c r="A284" t="s">
        <v>99</v>
      </c>
      <c r="B284" t="e">
        <f>VLOOKUP(A284,MasterTutor!A:E,4,FALSE)</f>
        <v>#N/A</v>
      </c>
      <c r="C284" t="e">
        <f>VLOOKUP(A284,MasterTutor!A:E,3,FALSE)</f>
        <v>#N/A</v>
      </c>
      <c r="D284" t="e">
        <f>VLOOKUP(A284,MasterTutor!A:E,2,FALSE)</f>
        <v>#N/A</v>
      </c>
      <c r="E284" t="s">
        <v>328</v>
      </c>
      <c r="F284" s="2">
        <v>0.64</v>
      </c>
      <c r="G284" s="2">
        <v>1.41</v>
      </c>
      <c r="H284" s="2">
        <v>1</v>
      </c>
      <c r="I284" s="2">
        <v>1</v>
      </c>
      <c r="J284" s="2">
        <v>0</v>
      </c>
      <c r="K284">
        <v>1</v>
      </c>
      <c r="L284" s="19" t="s">
        <v>331</v>
      </c>
      <c r="M284" s="21">
        <v>0.5</v>
      </c>
    </row>
    <row r="285" spans="1:13" x14ac:dyDescent="0.2">
      <c r="A285" t="s">
        <v>100</v>
      </c>
      <c r="B285" t="str">
        <f>VLOOKUP(A285,MasterTutor!A:E,4,FALSE)</f>
        <v>Premium</v>
      </c>
      <c r="C285" t="str">
        <f>VLOOKUP(A285,MasterTutor!A:E,3,FALSE)</f>
        <v>Adjunct</v>
      </c>
      <c r="D285" t="str">
        <f>VLOOKUP(A285,MasterTutor!A:E,2,FALSE)</f>
        <v>Annelies de Groot</v>
      </c>
      <c r="E285" t="s">
        <v>328</v>
      </c>
      <c r="F285" s="2">
        <v>1.04</v>
      </c>
      <c r="G285" s="2">
        <v>1.41</v>
      </c>
      <c r="H285" s="2">
        <v>0.98609999999999998</v>
      </c>
      <c r="I285" s="2">
        <v>1</v>
      </c>
      <c r="J285" s="2">
        <v>0.90900000000000003</v>
      </c>
      <c r="K285">
        <v>3</v>
      </c>
      <c r="L285" s="19">
        <v>1</v>
      </c>
      <c r="M285" s="21">
        <f>L285</f>
        <v>1</v>
      </c>
    </row>
    <row r="286" spans="1:13" x14ac:dyDescent="0.2">
      <c r="A286" t="s">
        <v>101</v>
      </c>
      <c r="B286" t="str">
        <f>VLOOKUP(A286,MasterTutor!A:E,4,FALSE)</f>
        <v>Advanced</v>
      </c>
      <c r="C286" t="str">
        <f>VLOOKUP(A286,MasterTutor!A:E,3,FALSE)</f>
        <v>Professional</v>
      </c>
      <c r="D286" t="str">
        <f>VLOOKUP(A286,MasterTutor!A:E,2,FALSE)</f>
        <v>Kristin Haase-Alvey</v>
      </c>
      <c r="E286" t="s">
        <v>328</v>
      </c>
      <c r="F286" s="2">
        <v>0.85</v>
      </c>
      <c r="G286" s="2">
        <v>0.91</v>
      </c>
      <c r="H286" s="2">
        <v>1</v>
      </c>
      <c r="I286" s="2">
        <v>0.97729999999999995</v>
      </c>
      <c r="J286" s="2">
        <v>0.55600000000000005</v>
      </c>
      <c r="K286">
        <v>8</v>
      </c>
      <c r="L286" s="19">
        <v>0</v>
      </c>
      <c r="M286" s="21">
        <f>L286</f>
        <v>0</v>
      </c>
    </row>
    <row r="287" spans="1:13" x14ac:dyDescent="0.2">
      <c r="A287" t="s">
        <v>102</v>
      </c>
      <c r="B287" t="e">
        <f>VLOOKUP(A287,MasterTutor!A:E,4,FALSE)</f>
        <v>#N/A</v>
      </c>
      <c r="C287" t="e">
        <f>VLOOKUP(A287,MasterTutor!A:E,3,FALSE)</f>
        <v>#N/A</v>
      </c>
      <c r="D287" t="e">
        <f>VLOOKUP(A287,MasterTutor!A:E,2,FALSE)</f>
        <v>#N/A</v>
      </c>
      <c r="E287" t="s">
        <v>328</v>
      </c>
      <c r="F287" s="2">
        <v>1.07</v>
      </c>
      <c r="G287" s="2">
        <v>1.07</v>
      </c>
      <c r="H287" s="2">
        <v>0.98209999999999997</v>
      </c>
      <c r="I287" s="2">
        <v>0.93479999999999996</v>
      </c>
      <c r="J287" s="2">
        <v>0.33300000000000002</v>
      </c>
      <c r="K287">
        <v>8</v>
      </c>
      <c r="L287" s="19">
        <v>0</v>
      </c>
      <c r="M287" s="21">
        <f>L287</f>
        <v>0</v>
      </c>
    </row>
    <row r="288" spans="1:13" x14ac:dyDescent="0.2">
      <c r="A288" t="s">
        <v>103</v>
      </c>
      <c r="B288" t="str">
        <f>VLOOKUP(A288,MasterTutor!A:E,4,FALSE)</f>
        <v>Distinguished</v>
      </c>
      <c r="C288" t="str">
        <f>VLOOKUP(A288,MasterTutor!A:E,3,FALSE)</f>
        <v>Adjunct</v>
      </c>
      <c r="D288" t="str">
        <f>VLOOKUP(A288,MasterTutor!A:E,2,FALSE)</f>
        <v>Kristin Haase-Alvey</v>
      </c>
      <c r="E288" t="s">
        <v>328</v>
      </c>
      <c r="F288" s="2">
        <v>0.66</v>
      </c>
      <c r="G288" s="2">
        <v>1.1200000000000001</v>
      </c>
      <c r="H288" s="2">
        <v>1</v>
      </c>
      <c r="I288" s="2">
        <v>1</v>
      </c>
      <c r="J288" s="2">
        <v>0.25</v>
      </c>
      <c r="K288" t="e">
        <v>#N/A</v>
      </c>
      <c r="L288" s="19">
        <v>1</v>
      </c>
      <c r="M288" s="21">
        <f>L288</f>
        <v>1</v>
      </c>
    </row>
    <row r="289" spans="1:13" x14ac:dyDescent="0.2">
      <c r="A289" t="s">
        <v>104</v>
      </c>
      <c r="B289" t="e">
        <f>VLOOKUP(A289,MasterTutor!A:E,4,FALSE)</f>
        <v>#N/A</v>
      </c>
      <c r="C289" t="e">
        <f>VLOOKUP(A289,MasterTutor!A:E,3,FALSE)</f>
        <v>#N/A</v>
      </c>
      <c r="D289" t="e">
        <f>VLOOKUP(A289,MasterTutor!A:E,2,FALSE)</f>
        <v>#N/A</v>
      </c>
      <c r="E289" t="s">
        <v>328</v>
      </c>
      <c r="F289" s="2">
        <v>1.26</v>
      </c>
      <c r="G289" s="2">
        <v>1.5</v>
      </c>
      <c r="H289" s="2">
        <v>0.85140000000000005</v>
      </c>
      <c r="I289" s="2">
        <v>0.88239999999999996</v>
      </c>
      <c r="J289" s="2">
        <v>0.66700000000000004</v>
      </c>
      <c r="K289">
        <v>4</v>
      </c>
      <c r="L289" s="19">
        <v>0</v>
      </c>
      <c r="M289" s="21">
        <f>L289</f>
        <v>0</v>
      </c>
    </row>
    <row r="290" spans="1:13" x14ac:dyDescent="0.2">
      <c r="A290" t="s">
        <v>105</v>
      </c>
      <c r="B290" t="str">
        <f>VLOOKUP(A290,MasterTutor!A:E,4,FALSE)</f>
        <v>Advanced</v>
      </c>
      <c r="C290" t="str">
        <f>VLOOKUP(A290,MasterTutor!A:E,3,FALSE)</f>
        <v>Adjunct</v>
      </c>
      <c r="D290" t="str">
        <f>VLOOKUP(A290,MasterTutor!A:E,2,FALSE)</f>
        <v>Annelies de Groot</v>
      </c>
      <c r="E290" t="s">
        <v>328</v>
      </c>
      <c r="F290" s="2">
        <v>0.95</v>
      </c>
      <c r="G290" s="2">
        <v>1</v>
      </c>
      <c r="H290" s="2">
        <v>0.94240000000000002</v>
      </c>
      <c r="I290" s="2">
        <v>1</v>
      </c>
      <c r="J290" s="2">
        <v>0.16700000000000001</v>
      </c>
      <c r="K290">
        <v>3</v>
      </c>
      <c r="L290" s="19" t="s">
        <v>336</v>
      </c>
      <c r="M290" s="21">
        <v>0.6</v>
      </c>
    </row>
    <row r="291" spans="1:13" x14ac:dyDescent="0.2">
      <c r="A291" t="s">
        <v>106</v>
      </c>
      <c r="B291" t="e">
        <f>VLOOKUP(A291,MasterTutor!A:E,4,FALSE)</f>
        <v>#N/A</v>
      </c>
      <c r="C291" t="e">
        <f>VLOOKUP(A291,MasterTutor!A:E,3,FALSE)</f>
        <v>#N/A</v>
      </c>
      <c r="D291" t="e">
        <f>VLOOKUP(A291,MasterTutor!A:E,2,FALSE)</f>
        <v>#N/A</v>
      </c>
      <c r="E291" t="s">
        <v>328</v>
      </c>
      <c r="F291" s="2">
        <v>0.53</v>
      </c>
      <c r="G291" s="2">
        <v>0.95</v>
      </c>
      <c r="H291" s="2">
        <v>0.98480000000000001</v>
      </c>
      <c r="I291" s="2">
        <v>0.97670000000000001</v>
      </c>
      <c r="J291" s="2">
        <v>0.92300000000000004</v>
      </c>
      <c r="K291">
        <v>2</v>
      </c>
      <c r="L291" s="19" t="s">
        <v>329</v>
      </c>
      <c r="M291" s="21">
        <v>0.75</v>
      </c>
    </row>
    <row r="292" spans="1:13" x14ac:dyDescent="0.2">
      <c r="A292" t="s">
        <v>107</v>
      </c>
      <c r="B292" t="str">
        <f>VLOOKUP(A292,MasterTutor!A:E,4,FALSE)</f>
        <v>Distinguished</v>
      </c>
      <c r="C292" t="str">
        <f>VLOOKUP(A292,MasterTutor!A:E,3,FALSE)</f>
        <v>Professional</v>
      </c>
      <c r="D292" t="str">
        <f>VLOOKUP(A292,MasterTutor!A:E,2,FALSE)</f>
        <v>Ian Plamondon</v>
      </c>
      <c r="E292" t="s">
        <v>328</v>
      </c>
      <c r="F292" s="2">
        <v>0.59</v>
      </c>
      <c r="G292" s="2">
        <v>1.23</v>
      </c>
      <c r="H292" s="2">
        <v>1</v>
      </c>
      <c r="I292" s="2">
        <v>1</v>
      </c>
      <c r="J292" s="2">
        <v>1</v>
      </c>
      <c r="K292" t="e">
        <v>#N/A</v>
      </c>
      <c r="L292" s="19">
        <v>1</v>
      </c>
      <c r="M292" s="21">
        <f>L292</f>
        <v>1</v>
      </c>
    </row>
    <row r="293" spans="1:13" x14ac:dyDescent="0.2">
      <c r="A293" t="s">
        <v>108</v>
      </c>
      <c r="B293" t="str">
        <f>VLOOKUP(A293,MasterTutor!A:E,4,FALSE)</f>
        <v>Advanced</v>
      </c>
      <c r="C293" t="str">
        <f>VLOOKUP(A293,MasterTutor!A:E,3,FALSE)</f>
        <v>Professional</v>
      </c>
      <c r="D293" t="str">
        <f>VLOOKUP(A293,MasterTutor!A:E,2,FALSE)</f>
        <v>Geoff St. Marie</v>
      </c>
      <c r="E293" t="s">
        <v>328</v>
      </c>
      <c r="F293" s="2">
        <v>1.04</v>
      </c>
      <c r="G293" s="2">
        <v>1.1599999999999999</v>
      </c>
      <c r="H293" s="2">
        <v>0.97009999999999996</v>
      </c>
      <c r="I293" s="2">
        <v>1</v>
      </c>
      <c r="J293" s="2">
        <v>0.38100000000000001</v>
      </c>
      <c r="K293">
        <v>6</v>
      </c>
      <c r="L293" s="19" t="s">
        <v>330</v>
      </c>
      <c r="M293" s="21">
        <v>0.67</v>
      </c>
    </row>
    <row r="294" spans="1:13" x14ac:dyDescent="0.2">
      <c r="A294" t="s">
        <v>110</v>
      </c>
      <c r="B294" t="e">
        <f>VLOOKUP(A294,MasterTutor!A:E,4,FALSE)</f>
        <v>#N/A</v>
      </c>
      <c r="C294" t="e">
        <f>VLOOKUP(A294,MasterTutor!A:E,3,FALSE)</f>
        <v>#N/A</v>
      </c>
      <c r="D294" t="e">
        <f>VLOOKUP(A294,MasterTutor!A:E,2,FALSE)</f>
        <v>#N/A</v>
      </c>
      <c r="E294" t="s">
        <v>328</v>
      </c>
      <c r="F294" s="2">
        <v>0.5</v>
      </c>
      <c r="G294" s="2">
        <v>0.83</v>
      </c>
      <c r="H294" s="2">
        <v>1</v>
      </c>
      <c r="I294" s="2">
        <v>1</v>
      </c>
      <c r="J294" s="2">
        <v>0</v>
      </c>
      <c r="K294">
        <v>2</v>
      </c>
      <c r="L294" s="19">
        <v>0</v>
      </c>
      <c r="M294" s="21">
        <f>L294</f>
        <v>0</v>
      </c>
    </row>
    <row r="295" spans="1:13" x14ac:dyDescent="0.2">
      <c r="A295" t="s">
        <v>111</v>
      </c>
      <c r="B295" t="str">
        <f>VLOOKUP(A295,MasterTutor!A:E,4,FALSE)</f>
        <v>Premium</v>
      </c>
      <c r="C295" t="str">
        <f>VLOOKUP(A295,MasterTutor!A:E,3,FALSE)</f>
        <v>Adjunct</v>
      </c>
      <c r="D295" t="str">
        <f>VLOOKUP(A295,MasterTutor!A:E,2,FALSE)</f>
        <v>Kristin Haase-Alvey</v>
      </c>
      <c r="E295" t="s">
        <v>328</v>
      </c>
      <c r="F295" s="2">
        <v>0.78</v>
      </c>
      <c r="G295" s="2">
        <v>1.25</v>
      </c>
      <c r="H295" s="2">
        <v>1</v>
      </c>
      <c r="I295" s="2">
        <v>1</v>
      </c>
      <c r="J295" s="2">
        <v>0.66700000000000004</v>
      </c>
      <c r="K295">
        <v>1</v>
      </c>
      <c r="L295" s="19">
        <v>1</v>
      </c>
      <c r="M295" s="21">
        <f>L295</f>
        <v>1</v>
      </c>
    </row>
    <row r="296" spans="1:13" x14ac:dyDescent="0.2">
      <c r="A296" t="s">
        <v>112</v>
      </c>
      <c r="B296" t="e">
        <f>VLOOKUP(A296,MasterTutor!A:E,4,FALSE)</f>
        <v>#N/A</v>
      </c>
      <c r="C296" t="e">
        <f>VLOOKUP(A296,MasterTutor!A:E,3,FALSE)</f>
        <v>#N/A</v>
      </c>
      <c r="D296" t="e">
        <f>VLOOKUP(A296,MasterTutor!A:E,2,FALSE)</f>
        <v>#N/A</v>
      </c>
      <c r="E296" t="s">
        <v>328</v>
      </c>
      <c r="F296" s="2">
        <v>0.5</v>
      </c>
      <c r="G296" s="2">
        <v>0.85</v>
      </c>
      <c r="H296" s="2">
        <v>1</v>
      </c>
      <c r="I296" s="2">
        <v>1</v>
      </c>
      <c r="J296" s="2">
        <v>0.66700000000000004</v>
      </c>
      <c r="K296" t="e">
        <v>#N/A</v>
      </c>
    </row>
    <row r="297" spans="1:13" x14ac:dyDescent="0.2">
      <c r="A297" t="s">
        <v>113</v>
      </c>
      <c r="B297" t="e">
        <f>VLOOKUP(A297,MasterTutor!A:E,4,FALSE)</f>
        <v>#N/A</v>
      </c>
      <c r="C297" t="e">
        <f>VLOOKUP(A297,MasterTutor!A:E,3,FALSE)</f>
        <v>#N/A</v>
      </c>
      <c r="D297" t="e">
        <f>VLOOKUP(A297,MasterTutor!A:E,2,FALSE)</f>
        <v>#N/A</v>
      </c>
      <c r="E297" t="s">
        <v>328</v>
      </c>
      <c r="F297" s="2">
        <v>0.97</v>
      </c>
      <c r="G297" s="2">
        <v>1.01</v>
      </c>
      <c r="H297" s="2">
        <v>0.99470000000000003</v>
      </c>
      <c r="I297" s="2">
        <v>0.92230000000000001</v>
      </c>
      <c r="J297" s="2">
        <v>5.6000000000000001E-2</v>
      </c>
      <c r="K297">
        <v>13</v>
      </c>
      <c r="L297" s="19" t="s">
        <v>331</v>
      </c>
      <c r="M297" s="21">
        <v>0.5</v>
      </c>
    </row>
    <row r="298" spans="1:13" x14ac:dyDescent="0.2">
      <c r="A298" t="s">
        <v>114</v>
      </c>
      <c r="B298" t="e">
        <f>VLOOKUP(A298,MasterTutor!A:E,4,FALSE)</f>
        <v>#N/A</v>
      </c>
      <c r="C298" t="e">
        <f>VLOOKUP(A298,MasterTutor!A:E,3,FALSE)</f>
        <v>#N/A</v>
      </c>
      <c r="D298" t="e">
        <f>VLOOKUP(A298,MasterTutor!A:E,2,FALSE)</f>
        <v>#N/A</v>
      </c>
      <c r="E298" t="s">
        <v>328</v>
      </c>
      <c r="F298" s="2">
        <v>0.47</v>
      </c>
      <c r="G298" s="2">
        <v>1.44</v>
      </c>
      <c r="H298" s="2">
        <v>0.97670000000000001</v>
      </c>
      <c r="I298" s="2">
        <v>0.4375</v>
      </c>
      <c r="J298" s="2">
        <v>0.44400000000000001</v>
      </c>
      <c r="K298" t="e">
        <v>#N/A</v>
      </c>
      <c r="L298" s="19" t="s">
        <v>341</v>
      </c>
      <c r="M298" s="21">
        <v>0.55000000000000004</v>
      </c>
    </row>
    <row r="299" spans="1:13" x14ac:dyDescent="0.2">
      <c r="A299" t="s">
        <v>115</v>
      </c>
      <c r="B299" t="str">
        <f>VLOOKUP(A299,MasterTutor!A:E,4,FALSE)</f>
        <v>Advanced</v>
      </c>
      <c r="C299" t="str">
        <f>VLOOKUP(A299,MasterTutor!A:E,3,FALSE)</f>
        <v>Adjunct</v>
      </c>
      <c r="D299" t="str">
        <f>VLOOKUP(A299,MasterTutor!A:E,2,FALSE)</f>
        <v>Kristin Haase-Alvey</v>
      </c>
      <c r="E299" t="s">
        <v>328</v>
      </c>
      <c r="F299" s="2">
        <v>1.68</v>
      </c>
      <c r="G299" s="2">
        <v>2.29</v>
      </c>
      <c r="H299" s="2">
        <v>1</v>
      </c>
      <c r="I299" s="2">
        <v>0.97140000000000004</v>
      </c>
      <c r="J299" s="2">
        <v>1</v>
      </c>
      <c r="K299">
        <v>8</v>
      </c>
      <c r="L299" s="19">
        <v>0</v>
      </c>
      <c r="M299" s="21">
        <f>L299</f>
        <v>0</v>
      </c>
    </row>
    <row r="300" spans="1:13" x14ac:dyDescent="0.2">
      <c r="A300" t="s">
        <v>116</v>
      </c>
      <c r="B300" t="str">
        <f>VLOOKUP(A300,MasterTutor!A:E,4,FALSE)</f>
        <v>Premium</v>
      </c>
      <c r="C300" t="str">
        <f>VLOOKUP(A300,MasterTutor!A:E,3,FALSE)</f>
        <v>Professional</v>
      </c>
      <c r="D300" t="str">
        <f>VLOOKUP(A300,MasterTutor!A:E,2,FALSE)</f>
        <v>Jessica Milner</v>
      </c>
      <c r="E300" t="s">
        <v>328</v>
      </c>
      <c r="F300" s="2">
        <v>0.62</v>
      </c>
      <c r="G300" s="2">
        <v>0.79</v>
      </c>
      <c r="H300" s="2">
        <v>1</v>
      </c>
      <c r="I300" s="2">
        <v>1</v>
      </c>
      <c r="J300" s="2">
        <v>0.77800000000000002</v>
      </c>
      <c r="K300">
        <v>3</v>
      </c>
      <c r="L300" s="19">
        <v>1</v>
      </c>
      <c r="M300" s="21">
        <f>L300</f>
        <v>1</v>
      </c>
    </row>
    <row r="301" spans="1:13" x14ac:dyDescent="0.2">
      <c r="A301" t="s">
        <v>117</v>
      </c>
      <c r="B301" t="str">
        <f>VLOOKUP(A301,MasterTutor!A:E,4,FALSE)</f>
        <v>Advanced</v>
      </c>
      <c r="C301" t="str">
        <f>VLOOKUP(A301,MasterTutor!A:E,3,FALSE)</f>
        <v>Professional</v>
      </c>
      <c r="D301" t="str">
        <f>VLOOKUP(A301,MasterTutor!A:E,2,FALSE)</f>
        <v>Kristin Haase-Alvey</v>
      </c>
      <c r="E301" t="s">
        <v>328</v>
      </c>
      <c r="F301" s="2">
        <v>1.28</v>
      </c>
      <c r="G301" s="2">
        <v>1.32</v>
      </c>
      <c r="H301" s="2">
        <v>0.98560000000000003</v>
      </c>
      <c r="I301" s="2">
        <v>1</v>
      </c>
      <c r="J301" s="2">
        <v>0.92300000000000004</v>
      </c>
      <c r="K301">
        <v>3</v>
      </c>
      <c r="L301" s="19" t="s">
        <v>336</v>
      </c>
      <c r="M301" s="21">
        <v>0.6</v>
      </c>
    </row>
    <row r="302" spans="1:13" x14ac:dyDescent="0.2">
      <c r="A302" t="s">
        <v>118</v>
      </c>
      <c r="B302" t="e">
        <f>VLOOKUP(A302,MasterTutor!A:E,4,FALSE)</f>
        <v>#N/A</v>
      </c>
      <c r="C302" t="e">
        <f>VLOOKUP(A302,MasterTutor!A:E,3,FALSE)</f>
        <v>#N/A</v>
      </c>
      <c r="D302" t="e">
        <f>VLOOKUP(A302,MasterTutor!A:E,2,FALSE)</f>
        <v>#N/A</v>
      </c>
      <c r="E302" t="s">
        <v>328</v>
      </c>
      <c r="F302" s="2">
        <v>0.41</v>
      </c>
      <c r="G302" s="2">
        <v>1.47</v>
      </c>
      <c r="H302" s="2">
        <v>0.97499999999999998</v>
      </c>
      <c r="I302" s="2">
        <v>0.64710000000000001</v>
      </c>
      <c r="J302" s="2">
        <v>0.54500000000000004</v>
      </c>
      <c r="K302">
        <v>2</v>
      </c>
      <c r="L302" s="19" t="s">
        <v>335</v>
      </c>
      <c r="M302" s="21">
        <v>0.25</v>
      </c>
    </row>
    <row r="303" spans="1:13" x14ac:dyDescent="0.2">
      <c r="A303" t="s">
        <v>119</v>
      </c>
      <c r="B303" t="str">
        <f>VLOOKUP(A303,MasterTutor!A:E,4,FALSE)</f>
        <v>Distinguished</v>
      </c>
      <c r="C303" t="str">
        <f>VLOOKUP(A303,MasterTutor!A:E,3,FALSE)</f>
        <v>Professional</v>
      </c>
      <c r="D303" t="str">
        <f>VLOOKUP(A303,MasterTutor!A:E,2,FALSE)</f>
        <v>Kristin Haase-Alvey</v>
      </c>
      <c r="E303" t="s">
        <v>328</v>
      </c>
      <c r="F303" s="2">
        <v>0.89</v>
      </c>
      <c r="G303" s="2">
        <v>1.03</v>
      </c>
      <c r="H303" s="2">
        <v>0.99309999999999998</v>
      </c>
      <c r="I303" s="2">
        <v>0.94510000000000005</v>
      </c>
      <c r="J303" s="2">
        <v>0.42899999999999999</v>
      </c>
      <c r="K303">
        <v>10</v>
      </c>
      <c r="L303" s="19" t="s">
        <v>335</v>
      </c>
      <c r="M303" s="21">
        <v>0.25</v>
      </c>
    </row>
    <row r="304" spans="1:13" x14ac:dyDescent="0.2">
      <c r="A304" t="s">
        <v>120</v>
      </c>
      <c r="B304" t="str">
        <f>VLOOKUP(A304,MasterTutor!A:E,4,FALSE)</f>
        <v>Premium</v>
      </c>
      <c r="C304" t="str">
        <f>VLOOKUP(A304,MasterTutor!A:E,3,FALSE)</f>
        <v>Professional</v>
      </c>
      <c r="D304" t="str">
        <f>VLOOKUP(A304,MasterTutor!A:E,2,FALSE)</f>
        <v>Jessica Milner</v>
      </c>
      <c r="E304" t="s">
        <v>328</v>
      </c>
      <c r="F304" s="2">
        <v>0.8</v>
      </c>
      <c r="G304" s="2">
        <v>1.36</v>
      </c>
      <c r="H304" s="2">
        <v>1</v>
      </c>
      <c r="I304" s="2">
        <v>0.90139999999999998</v>
      </c>
      <c r="J304" s="2">
        <v>8.6999999999999994E-2</v>
      </c>
      <c r="K304">
        <v>2</v>
      </c>
      <c r="L304" s="19">
        <v>0</v>
      </c>
      <c r="M304" s="21">
        <f>L304</f>
        <v>0</v>
      </c>
    </row>
    <row r="305" spans="1:13" x14ac:dyDescent="0.2">
      <c r="A305" t="s">
        <v>121</v>
      </c>
      <c r="B305" t="str">
        <f>VLOOKUP(A305,MasterTutor!A:E,4,FALSE)</f>
        <v>Advanced</v>
      </c>
      <c r="C305" t="str">
        <f>VLOOKUP(A305,MasterTutor!A:E,3,FALSE)</f>
        <v>Adjunct</v>
      </c>
      <c r="D305" t="str">
        <f>VLOOKUP(A305,MasterTutor!A:E,2,FALSE)</f>
        <v>Annelies de Groot</v>
      </c>
      <c r="E305" t="s">
        <v>328</v>
      </c>
      <c r="F305" s="2">
        <v>1.05</v>
      </c>
      <c r="G305" s="2">
        <v>1.32</v>
      </c>
      <c r="H305" s="2">
        <v>1</v>
      </c>
      <c r="I305" s="2">
        <v>1</v>
      </c>
      <c r="J305" s="2">
        <v>0.5</v>
      </c>
      <c r="K305">
        <v>2</v>
      </c>
      <c r="L305" s="19" t="s">
        <v>329</v>
      </c>
      <c r="M305" s="21">
        <v>0.75</v>
      </c>
    </row>
    <row r="306" spans="1:13" x14ac:dyDescent="0.2">
      <c r="A306" t="s">
        <v>123</v>
      </c>
      <c r="B306" t="str">
        <f>VLOOKUP(A306,MasterTutor!A:E,4,FALSE)</f>
        <v>Premium</v>
      </c>
      <c r="C306" t="str">
        <f>VLOOKUP(A306,MasterTutor!A:E,3,FALSE)</f>
        <v xml:space="preserve">Professional </v>
      </c>
      <c r="D306" t="str">
        <f>VLOOKUP(A306,MasterTutor!A:E,2,FALSE)</f>
        <v>Ela Cross</v>
      </c>
      <c r="E306" t="s">
        <v>328</v>
      </c>
      <c r="F306" s="2">
        <v>0.84</v>
      </c>
      <c r="G306" s="2">
        <v>1.81</v>
      </c>
      <c r="H306" s="2">
        <v>1</v>
      </c>
      <c r="I306" s="2">
        <v>0.65380000000000005</v>
      </c>
      <c r="J306" s="2">
        <v>0</v>
      </c>
      <c r="K306">
        <v>2</v>
      </c>
      <c r="L306" s="19">
        <v>0</v>
      </c>
      <c r="M306" s="21">
        <f>L306</f>
        <v>0</v>
      </c>
    </row>
    <row r="307" spans="1:13" x14ac:dyDescent="0.2">
      <c r="A307" t="s">
        <v>124</v>
      </c>
      <c r="B307" t="e">
        <f>VLOOKUP(A307,MasterTutor!A:E,4,FALSE)</f>
        <v>#N/A</v>
      </c>
      <c r="C307" t="e">
        <f>VLOOKUP(A307,MasterTutor!A:E,3,FALSE)</f>
        <v>#N/A</v>
      </c>
      <c r="D307" t="e">
        <f>VLOOKUP(A307,MasterTutor!A:E,2,FALSE)</f>
        <v>#N/A</v>
      </c>
      <c r="E307" t="s">
        <v>328</v>
      </c>
      <c r="F307" s="2">
        <v>0.74</v>
      </c>
      <c r="G307" s="2">
        <v>1.07</v>
      </c>
      <c r="H307" s="2">
        <v>1</v>
      </c>
      <c r="I307" s="2">
        <v>0.97919999999999996</v>
      </c>
      <c r="J307" s="2">
        <v>0.625</v>
      </c>
      <c r="K307">
        <v>1</v>
      </c>
      <c r="L307" s="19">
        <v>1</v>
      </c>
      <c r="M307" s="21">
        <f>L307</f>
        <v>1</v>
      </c>
    </row>
    <row r="308" spans="1:13" x14ac:dyDescent="0.2">
      <c r="A308" t="s">
        <v>125</v>
      </c>
      <c r="B308" t="str">
        <f>VLOOKUP(A308,MasterTutor!A:E,4,FALSE)</f>
        <v>Advanced</v>
      </c>
      <c r="C308" t="str">
        <f>VLOOKUP(A308,MasterTutor!A:E,3,FALSE)</f>
        <v>Professional</v>
      </c>
      <c r="D308" t="str">
        <f>VLOOKUP(A308,MasterTutor!A:E,2,FALSE)</f>
        <v>Kristin Haase-Alvey</v>
      </c>
      <c r="E308" t="s">
        <v>328</v>
      </c>
      <c r="F308" s="2">
        <v>1.0900000000000001</v>
      </c>
      <c r="G308" s="2">
        <v>1.0900000000000001</v>
      </c>
      <c r="H308" s="2">
        <v>0.91490000000000005</v>
      </c>
      <c r="I308" s="2">
        <v>0.94740000000000002</v>
      </c>
      <c r="J308" s="2">
        <v>0.68200000000000005</v>
      </c>
      <c r="K308">
        <v>17</v>
      </c>
      <c r="L308" s="19" t="s">
        <v>330</v>
      </c>
      <c r="M308" s="21">
        <v>0.67</v>
      </c>
    </row>
    <row r="309" spans="1:13" x14ac:dyDescent="0.2">
      <c r="A309" t="s">
        <v>126</v>
      </c>
      <c r="B309" t="str">
        <f>VLOOKUP(A309,MasterTutor!A:E,4,FALSE)</f>
        <v>Distinguished</v>
      </c>
      <c r="C309" t="str">
        <f>VLOOKUP(A309,MasterTutor!A:E,3,FALSE)</f>
        <v>Professional</v>
      </c>
      <c r="D309" t="str">
        <f>VLOOKUP(A309,MasterTutor!A:E,2,FALSE)</f>
        <v>Ian Plamondon</v>
      </c>
      <c r="E309" t="s">
        <v>328</v>
      </c>
      <c r="F309" s="2">
        <v>0.25</v>
      </c>
      <c r="G309" s="2">
        <v>1.03</v>
      </c>
      <c r="H309" s="2">
        <v>1</v>
      </c>
      <c r="I309" s="2">
        <v>1</v>
      </c>
      <c r="J309" s="2">
        <v>0.75</v>
      </c>
      <c r="K309">
        <v>3</v>
      </c>
      <c r="L309" s="19">
        <v>1</v>
      </c>
      <c r="M309" s="21">
        <f>L309</f>
        <v>1</v>
      </c>
    </row>
    <row r="310" spans="1:13" x14ac:dyDescent="0.2">
      <c r="A310" t="s">
        <v>342</v>
      </c>
      <c r="B310" t="e">
        <f>VLOOKUP(A310,MasterTutor!A:E,4,FALSE)</f>
        <v>#N/A</v>
      </c>
      <c r="C310" t="e">
        <f>VLOOKUP(A310,MasterTutor!A:E,3,FALSE)</f>
        <v>#N/A</v>
      </c>
      <c r="D310" t="e">
        <f>VLOOKUP(A310,MasterTutor!A:E,2,FALSE)</f>
        <v>#N/A</v>
      </c>
      <c r="E310" t="s">
        <v>328</v>
      </c>
      <c r="F310" s="2">
        <v>0</v>
      </c>
      <c r="G310" s="2">
        <v>0</v>
      </c>
      <c r="H310" s="2">
        <v>0.65629999999999999</v>
      </c>
      <c r="I310" s="2">
        <v>0</v>
      </c>
      <c r="J310" s="2">
        <v>0</v>
      </c>
      <c r="K310" t="e">
        <v>#N/A</v>
      </c>
    </row>
    <row r="311" spans="1:13" x14ac:dyDescent="0.2">
      <c r="A311" t="s">
        <v>127</v>
      </c>
      <c r="B311" t="str">
        <f>VLOOKUP(A311,MasterTutor!A:E,4,FALSE)</f>
        <v>Premium</v>
      </c>
      <c r="C311" t="str">
        <f>VLOOKUP(A311,MasterTutor!A:E,3,FALSE)</f>
        <v>Professional</v>
      </c>
      <c r="D311" t="str">
        <f>VLOOKUP(A311,MasterTutor!A:E,2,FALSE)</f>
        <v>Jessica Milner</v>
      </c>
      <c r="E311" t="s">
        <v>328</v>
      </c>
      <c r="F311" s="2">
        <v>0.48</v>
      </c>
      <c r="G311" s="2">
        <v>0.71</v>
      </c>
      <c r="H311" s="2">
        <v>0.95979999999999999</v>
      </c>
      <c r="I311" s="2">
        <v>0.97370000000000001</v>
      </c>
      <c r="J311" s="2">
        <v>0.58299999999999996</v>
      </c>
      <c r="K311">
        <v>1</v>
      </c>
      <c r="L311" s="19">
        <v>1</v>
      </c>
      <c r="M311" s="21">
        <f>L311</f>
        <v>1</v>
      </c>
    </row>
    <row r="312" spans="1:13" x14ac:dyDescent="0.2">
      <c r="A312" t="s">
        <v>128</v>
      </c>
      <c r="B312" t="str">
        <f>VLOOKUP(A312,MasterTutor!A:E,4,FALSE)</f>
        <v>Distinguished</v>
      </c>
      <c r="C312" t="str">
        <f>VLOOKUP(A312,MasterTutor!A:E,3,FALSE)</f>
        <v>Professional</v>
      </c>
      <c r="D312" t="str">
        <f>VLOOKUP(A312,MasterTutor!A:E,2,FALSE)</f>
        <v>Ian Plamondon</v>
      </c>
      <c r="E312" t="s">
        <v>328</v>
      </c>
      <c r="F312" s="2">
        <v>0.6</v>
      </c>
      <c r="G312" s="2">
        <v>1.56</v>
      </c>
      <c r="H312" s="2">
        <v>0.95899999999999996</v>
      </c>
      <c r="I312" s="2">
        <v>1</v>
      </c>
      <c r="J312" s="2">
        <v>1</v>
      </c>
      <c r="K312">
        <v>3</v>
      </c>
      <c r="L312" s="19" t="s">
        <v>331</v>
      </c>
      <c r="M312" s="21">
        <v>0.5</v>
      </c>
    </row>
    <row r="313" spans="1:13" x14ac:dyDescent="0.2">
      <c r="A313" t="s">
        <v>129</v>
      </c>
      <c r="B313" t="str">
        <f>VLOOKUP(A313,MasterTutor!A:E,4,FALSE)</f>
        <v>Premium</v>
      </c>
      <c r="C313" t="str">
        <f>VLOOKUP(A313,MasterTutor!A:E,3,FALSE)</f>
        <v>Adjunct</v>
      </c>
      <c r="D313" t="str">
        <f>VLOOKUP(A313,MasterTutor!A:E,2,FALSE)</f>
        <v>Annelies de Groot</v>
      </c>
      <c r="E313" t="s">
        <v>328</v>
      </c>
      <c r="F313" s="2">
        <v>1.39</v>
      </c>
      <c r="G313" s="2">
        <v>1.17</v>
      </c>
      <c r="H313" s="2">
        <v>0.95</v>
      </c>
      <c r="I313" s="2">
        <v>1</v>
      </c>
      <c r="J313" s="2">
        <v>0</v>
      </c>
      <c r="K313">
        <v>4</v>
      </c>
      <c r="L313" s="19">
        <v>0</v>
      </c>
      <c r="M313" s="21">
        <f>L313</f>
        <v>0</v>
      </c>
    </row>
    <row r="314" spans="1:13" x14ac:dyDescent="0.2">
      <c r="A314" t="s">
        <v>130</v>
      </c>
      <c r="B314" t="str">
        <f>VLOOKUP(A314,MasterTutor!A:E,4,FALSE)</f>
        <v>Premium</v>
      </c>
      <c r="C314" t="str">
        <f>VLOOKUP(A314,MasterTutor!A:E,3,FALSE)</f>
        <v>Adjunct</v>
      </c>
      <c r="D314" t="str">
        <f>VLOOKUP(A314,MasterTutor!A:E,2,FALSE)</f>
        <v>Ela Cross</v>
      </c>
      <c r="E314" t="s">
        <v>328</v>
      </c>
      <c r="F314" s="2">
        <v>0.47</v>
      </c>
      <c r="G314" s="2">
        <v>1.21</v>
      </c>
      <c r="H314" s="2">
        <v>1</v>
      </c>
      <c r="I314" s="2">
        <v>1</v>
      </c>
      <c r="J314" s="2">
        <v>0</v>
      </c>
      <c r="K314" t="e">
        <v>#N/A</v>
      </c>
      <c r="L314" s="19">
        <v>1</v>
      </c>
      <c r="M314" s="21">
        <f>L314</f>
        <v>1</v>
      </c>
    </row>
    <row r="315" spans="1:13" x14ac:dyDescent="0.2">
      <c r="A315" t="s">
        <v>131</v>
      </c>
      <c r="B315" t="str">
        <f>VLOOKUP(A315,MasterTutor!A:E,4,FALSE)</f>
        <v>Advanced</v>
      </c>
      <c r="C315" t="str">
        <f>VLOOKUP(A315,MasterTutor!A:E,3,FALSE)</f>
        <v>Professional</v>
      </c>
      <c r="D315" t="str">
        <f>VLOOKUP(A315,MasterTutor!A:E,2,FALSE)</f>
        <v>Ian Plamondon</v>
      </c>
      <c r="E315" t="s">
        <v>328</v>
      </c>
      <c r="F315" s="2">
        <v>0.88</v>
      </c>
      <c r="G315" s="2">
        <v>1.1299999999999999</v>
      </c>
      <c r="H315" s="2">
        <v>1</v>
      </c>
      <c r="I315" s="2">
        <v>1</v>
      </c>
      <c r="J315" s="2">
        <v>0.625</v>
      </c>
      <c r="K315">
        <v>4</v>
      </c>
      <c r="L315" s="19" t="s">
        <v>343</v>
      </c>
      <c r="M315" s="21">
        <v>0.89</v>
      </c>
    </row>
    <row r="316" spans="1:13" x14ac:dyDescent="0.2">
      <c r="A316" t="s">
        <v>132</v>
      </c>
      <c r="B316" t="str">
        <f>VLOOKUP(A316,MasterTutor!A:E,4,FALSE)</f>
        <v>Distinguished</v>
      </c>
      <c r="C316" t="str">
        <f>VLOOKUP(A316,MasterTutor!A:E,3,FALSE)</f>
        <v>Professional</v>
      </c>
      <c r="D316" t="str">
        <f>VLOOKUP(A316,MasterTutor!A:E,2,FALSE)</f>
        <v>Kristin Haase-Alvey</v>
      </c>
      <c r="E316" t="s">
        <v>328</v>
      </c>
      <c r="F316" s="2">
        <v>0.48</v>
      </c>
      <c r="G316" s="2">
        <v>0.94</v>
      </c>
      <c r="H316" s="2">
        <v>1</v>
      </c>
      <c r="I316" s="2">
        <v>0.96430000000000005</v>
      </c>
      <c r="J316" s="2">
        <v>0.63600000000000001</v>
      </c>
      <c r="K316" t="e">
        <v>#N/A</v>
      </c>
      <c r="L316" s="19" t="s">
        <v>338</v>
      </c>
      <c r="M316" s="21">
        <v>0.8</v>
      </c>
    </row>
    <row r="317" spans="1:13" x14ac:dyDescent="0.2">
      <c r="A317" t="s">
        <v>133</v>
      </c>
      <c r="B317" t="e">
        <f>VLOOKUP(A317,MasterTutor!A:E,4,FALSE)</f>
        <v>#N/A</v>
      </c>
      <c r="C317" t="e">
        <f>VLOOKUP(A317,MasterTutor!A:E,3,FALSE)</f>
        <v>#N/A</v>
      </c>
      <c r="D317" t="e">
        <f>VLOOKUP(A317,MasterTutor!A:E,2,FALSE)</f>
        <v>#N/A</v>
      </c>
      <c r="E317" t="s">
        <v>328</v>
      </c>
      <c r="F317" s="2">
        <v>1.46</v>
      </c>
      <c r="G317" s="2">
        <v>1.34</v>
      </c>
      <c r="H317" s="2">
        <v>1</v>
      </c>
      <c r="I317" s="2">
        <v>0.93179999999999996</v>
      </c>
      <c r="J317" s="2">
        <v>0.25</v>
      </c>
      <c r="K317">
        <v>1</v>
      </c>
      <c r="L317" s="19" t="s">
        <v>329</v>
      </c>
      <c r="M317" s="21">
        <v>0.75</v>
      </c>
    </row>
    <row r="318" spans="1:13" x14ac:dyDescent="0.2">
      <c r="A318" t="s">
        <v>134</v>
      </c>
      <c r="B318" t="str">
        <f>VLOOKUP(A318,MasterTutor!A:E,4,FALSE)</f>
        <v>Distinguished</v>
      </c>
      <c r="C318" t="str">
        <f>VLOOKUP(A318,MasterTutor!A:E,3,FALSE)</f>
        <v>Professional</v>
      </c>
      <c r="D318" t="str">
        <f>VLOOKUP(A318,MasterTutor!A:E,2,FALSE)</f>
        <v>Annelies de Groot</v>
      </c>
      <c r="E318" t="s">
        <v>328</v>
      </c>
      <c r="F318" s="2">
        <v>1.18</v>
      </c>
      <c r="G318" s="2">
        <v>1.1200000000000001</v>
      </c>
      <c r="H318" s="2">
        <v>0.98560000000000003</v>
      </c>
      <c r="I318" s="2">
        <v>0.95</v>
      </c>
      <c r="J318" s="2">
        <v>0.52</v>
      </c>
      <c r="K318">
        <v>12</v>
      </c>
      <c r="L318" s="19" t="s">
        <v>344</v>
      </c>
      <c r="M318" s="21">
        <v>0.83</v>
      </c>
    </row>
    <row r="319" spans="1:13" x14ac:dyDescent="0.2">
      <c r="A319" t="s">
        <v>135</v>
      </c>
      <c r="B319" t="str">
        <f>VLOOKUP(A319,MasterTutor!A:E,4,FALSE)</f>
        <v>Distinguished</v>
      </c>
      <c r="C319" t="str">
        <f>VLOOKUP(A319,MasterTutor!A:E,3,FALSE)</f>
        <v>Adjunct</v>
      </c>
      <c r="D319" t="str">
        <f>VLOOKUP(A319,MasterTutor!A:E,2,FALSE)</f>
        <v>Annelies de Groot</v>
      </c>
      <c r="E319" t="s">
        <v>328</v>
      </c>
      <c r="F319" s="2">
        <v>0.83</v>
      </c>
      <c r="G319" s="2">
        <v>1.0900000000000001</v>
      </c>
      <c r="H319" s="2">
        <v>0.91669999999999996</v>
      </c>
      <c r="I319" s="2">
        <v>1</v>
      </c>
      <c r="J319" s="2">
        <v>0</v>
      </c>
      <c r="K319" t="e">
        <v>#N/A</v>
      </c>
      <c r="L319" s="19">
        <v>0</v>
      </c>
      <c r="M319" s="21">
        <f>L319</f>
        <v>0</v>
      </c>
    </row>
    <row r="320" spans="1:13" x14ac:dyDescent="0.2">
      <c r="A320" t="s">
        <v>136</v>
      </c>
      <c r="B320" t="e">
        <f>VLOOKUP(A320,MasterTutor!A:E,4,FALSE)</f>
        <v>#N/A</v>
      </c>
      <c r="C320" t="e">
        <f>VLOOKUP(A320,MasterTutor!A:E,3,FALSE)</f>
        <v>#N/A</v>
      </c>
      <c r="D320" t="e">
        <f>VLOOKUP(A320,MasterTutor!A:E,2,FALSE)</f>
        <v>#N/A</v>
      </c>
      <c r="E320" t="s">
        <v>328</v>
      </c>
      <c r="F320" s="2">
        <v>1.21</v>
      </c>
      <c r="G320" s="2">
        <v>1.38</v>
      </c>
      <c r="H320" s="2">
        <v>0.95630000000000004</v>
      </c>
      <c r="I320" s="2">
        <v>0.85370000000000001</v>
      </c>
      <c r="J320" s="2">
        <v>0.92300000000000004</v>
      </c>
      <c r="K320">
        <v>5</v>
      </c>
      <c r="L320" s="19">
        <v>0</v>
      </c>
      <c r="M320" s="21">
        <f>L320</f>
        <v>0</v>
      </c>
    </row>
    <row r="321" spans="1:13" x14ac:dyDescent="0.2">
      <c r="A321" t="s">
        <v>137</v>
      </c>
      <c r="B321" t="str">
        <f>VLOOKUP(A321,MasterTutor!A:E,4,FALSE)</f>
        <v>Premium</v>
      </c>
      <c r="C321" t="str">
        <f>VLOOKUP(A321,MasterTutor!A:E,3,FALSE)</f>
        <v>Professional</v>
      </c>
      <c r="D321" t="str">
        <f>VLOOKUP(A321,MasterTutor!A:E,2,FALSE)</f>
        <v>Jessica Milner</v>
      </c>
      <c r="E321" t="s">
        <v>328</v>
      </c>
      <c r="F321" s="2">
        <v>0.51</v>
      </c>
      <c r="G321" s="2">
        <v>0.92</v>
      </c>
      <c r="H321" s="2">
        <v>0.97619999999999996</v>
      </c>
      <c r="I321" s="2">
        <v>0.875</v>
      </c>
      <c r="J321" s="2">
        <v>0</v>
      </c>
      <c r="K321">
        <v>6</v>
      </c>
      <c r="L321" s="19">
        <v>0</v>
      </c>
      <c r="M321" s="21">
        <f>L321</f>
        <v>0</v>
      </c>
    </row>
    <row r="322" spans="1:13" x14ac:dyDescent="0.2">
      <c r="A322" t="s">
        <v>138</v>
      </c>
      <c r="B322" t="str">
        <f>VLOOKUP(A322,MasterTutor!A:E,4,FALSE)</f>
        <v>Advanced</v>
      </c>
      <c r="C322" t="str">
        <f>VLOOKUP(A322,MasterTutor!A:E,3,FALSE)</f>
        <v>Professional</v>
      </c>
      <c r="D322" t="str">
        <f>VLOOKUP(A322,MasterTutor!A:E,2,FALSE)</f>
        <v>Ela Cross</v>
      </c>
      <c r="E322" t="s">
        <v>328</v>
      </c>
      <c r="F322" s="2">
        <v>0.98</v>
      </c>
      <c r="G322" s="2">
        <v>1.08</v>
      </c>
      <c r="H322" s="2">
        <v>1</v>
      </c>
      <c r="I322" s="2">
        <v>1</v>
      </c>
      <c r="J322" s="2">
        <v>0.68799999999999994</v>
      </c>
      <c r="K322">
        <v>31</v>
      </c>
      <c r="L322" s="19" t="s">
        <v>344</v>
      </c>
      <c r="M322" s="21">
        <v>0.83</v>
      </c>
    </row>
    <row r="323" spans="1:13" x14ac:dyDescent="0.2">
      <c r="A323" t="s">
        <v>139</v>
      </c>
      <c r="B323" t="str">
        <f>VLOOKUP(A323,MasterTutor!A:E,4,FALSE)</f>
        <v>Distinguished</v>
      </c>
      <c r="C323" t="str">
        <f>VLOOKUP(A323,MasterTutor!A:E,3,FALSE)</f>
        <v>Professional</v>
      </c>
      <c r="D323" t="str">
        <f>VLOOKUP(A323,MasterTutor!A:E,2,FALSE)</f>
        <v>Ian Plamondon</v>
      </c>
      <c r="E323" t="s">
        <v>328</v>
      </c>
      <c r="F323" s="2">
        <v>0.61</v>
      </c>
      <c r="G323" s="2">
        <v>1.04</v>
      </c>
      <c r="H323" s="2">
        <v>1</v>
      </c>
      <c r="I323" s="2">
        <v>0.97960000000000003</v>
      </c>
      <c r="J323" s="2">
        <v>0.46700000000000003</v>
      </c>
      <c r="K323">
        <v>2</v>
      </c>
      <c r="L323" s="19">
        <v>1</v>
      </c>
      <c r="M323" s="21">
        <f>L323</f>
        <v>1</v>
      </c>
    </row>
    <row r="324" spans="1:13" x14ac:dyDescent="0.2">
      <c r="A324" t="s">
        <v>140</v>
      </c>
      <c r="B324" t="str">
        <f>VLOOKUP(A324,MasterTutor!A:E,4,FALSE)</f>
        <v>Advanced</v>
      </c>
      <c r="C324" t="str">
        <f>VLOOKUP(A324,MasterTutor!A:E,3,FALSE)</f>
        <v>Adjunct</v>
      </c>
      <c r="D324" t="str">
        <f>VLOOKUP(A324,MasterTutor!A:E,2,FALSE)</f>
        <v>Annelies de Groot</v>
      </c>
      <c r="E324" t="s">
        <v>328</v>
      </c>
      <c r="F324" s="2">
        <v>0.73</v>
      </c>
      <c r="G324" s="2">
        <v>0.9</v>
      </c>
      <c r="H324" s="2">
        <v>0.93500000000000005</v>
      </c>
      <c r="I324" s="2">
        <v>0.77780000000000005</v>
      </c>
      <c r="J324" s="2">
        <v>0.61499999999999999</v>
      </c>
      <c r="K324">
        <v>7</v>
      </c>
      <c r="L324" s="19" t="s">
        <v>330</v>
      </c>
      <c r="M324" s="21">
        <v>0.67</v>
      </c>
    </row>
    <row r="325" spans="1:13" x14ac:dyDescent="0.2">
      <c r="A325" t="s">
        <v>141</v>
      </c>
      <c r="B325" t="str">
        <f>VLOOKUP(A325,MasterTutor!A:E,4,FALSE)</f>
        <v>Distinguished</v>
      </c>
      <c r="C325" t="str">
        <f>VLOOKUP(A325,MasterTutor!A:E,3,FALSE)</f>
        <v>Adjunct</v>
      </c>
      <c r="D325" t="str">
        <f>VLOOKUP(A325,MasterTutor!A:E,2,FALSE)</f>
        <v>Annelies de Groot</v>
      </c>
      <c r="E325" t="s">
        <v>328</v>
      </c>
      <c r="F325" s="2">
        <v>0.89</v>
      </c>
      <c r="G325" s="2">
        <v>0.93</v>
      </c>
      <c r="H325" s="2">
        <v>1</v>
      </c>
      <c r="I325" s="2">
        <v>1</v>
      </c>
      <c r="J325" s="2">
        <v>0.875</v>
      </c>
      <c r="K325">
        <v>9</v>
      </c>
      <c r="L325" s="19">
        <v>1</v>
      </c>
      <c r="M325" s="21">
        <f>L325</f>
        <v>1</v>
      </c>
    </row>
    <row r="326" spans="1:13" x14ac:dyDescent="0.2">
      <c r="A326" t="s">
        <v>142</v>
      </c>
      <c r="B326" t="str">
        <f>VLOOKUP(A326,MasterTutor!A:E,4,FALSE)</f>
        <v>Advanced</v>
      </c>
      <c r="C326" t="str">
        <f>VLOOKUP(A326,MasterTutor!A:E,3,FALSE)</f>
        <v>Professional</v>
      </c>
      <c r="D326" t="str">
        <f>VLOOKUP(A326,MasterTutor!A:E,2,FALSE)</f>
        <v>Ian Plamondon</v>
      </c>
      <c r="E326" t="s">
        <v>328</v>
      </c>
      <c r="F326" s="2">
        <v>0.8</v>
      </c>
      <c r="G326" s="2">
        <v>0.77</v>
      </c>
      <c r="H326" s="2">
        <v>0.9637</v>
      </c>
      <c r="I326" s="2">
        <v>0.70669999999999999</v>
      </c>
      <c r="J326" s="2">
        <v>0.214</v>
      </c>
      <c r="K326">
        <v>5</v>
      </c>
      <c r="L326" s="19" t="s">
        <v>345</v>
      </c>
      <c r="M326" s="21">
        <v>0.2</v>
      </c>
    </row>
    <row r="327" spans="1:13" x14ac:dyDescent="0.2">
      <c r="A327" t="s">
        <v>143</v>
      </c>
      <c r="B327" t="str">
        <f>VLOOKUP(A327,MasterTutor!A:E,4,FALSE)</f>
        <v>Distinguished</v>
      </c>
      <c r="C327" t="str">
        <f>VLOOKUP(A327,MasterTutor!A:E,3,FALSE)</f>
        <v>Adjunct</v>
      </c>
      <c r="D327" t="str">
        <f>VLOOKUP(A327,MasterTutor!A:E,2,FALSE)</f>
        <v>Annelies de Groot</v>
      </c>
      <c r="E327" t="s">
        <v>328</v>
      </c>
      <c r="F327" s="2">
        <v>0.92</v>
      </c>
      <c r="G327" s="2">
        <v>1.38</v>
      </c>
      <c r="H327" s="2">
        <v>0.97729999999999995</v>
      </c>
      <c r="I327" s="2">
        <v>1</v>
      </c>
      <c r="J327" s="2">
        <v>0.88900000000000001</v>
      </c>
      <c r="K327">
        <v>2</v>
      </c>
      <c r="L327" s="19">
        <v>1</v>
      </c>
      <c r="M327" s="21">
        <f>L327</f>
        <v>1</v>
      </c>
    </row>
    <row r="328" spans="1:13" x14ac:dyDescent="0.2">
      <c r="A328" t="s">
        <v>144</v>
      </c>
      <c r="B328" t="str">
        <f>VLOOKUP(A328,MasterTutor!A:E,4,FALSE)</f>
        <v>Distinguished</v>
      </c>
      <c r="C328" t="str">
        <f>VLOOKUP(A328,MasterTutor!A:E,3,FALSE)</f>
        <v>Professional</v>
      </c>
      <c r="D328" t="str">
        <f>VLOOKUP(A328,MasterTutor!A:E,2,FALSE)</f>
        <v>Annelies de Groot</v>
      </c>
      <c r="E328" t="s">
        <v>328</v>
      </c>
      <c r="F328" s="2">
        <v>0.91</v>
      </c>
      <c r="G328" s="2">
        <v>1.03</v>
      </c>
      <c r="H328" s="2">
        <v>1</v>
      </c>
      <c r="I328" s="2">
        <v>0.89529999999999998</v>
      </c>
      <c r="J328" s="2">
        <v>0.78600000000000003</v>
      </c>
      <c r="K328">
        <v>9</v>
      </c>
      <c r="L328" s="19" t="s">
        <v>338</v>
      </c>
      <c r="M328" s="21">
        <v>0.8</v>
      </c>
    </row>
    <row r="329" spans="1:13" x14ac:dyDescent="0.2">
      <c r="A329" t="s">
        <v>145</v>
      </c>
      <c r="B329" t="str">
        <f>VLOOKUP(A329,MasterTutor!A:E,4,FALSE)</f>
        <v>Premium</v>
      </c>
      <c r="C329" t="str">
        <f>VLOOKUP(A329,MasterTutor!A:E,3,FALSE)</f>
        <v>Professional</v>
      </c>
      <c r="D329" t="str">
        <f>VLOOKUP(A329,MasterTutor!A:E,2,FALSE)</f>
        <v>Jessica Milner</v>
      </c>
      <c r="E329" t="s">
        <v>328</v>
      </c>
      <c r="F329" s="2">
        <v>0.75</v>
      </c>
      <c r="G329" s="2">
        <v>1.04</v>
      </c>
      <c r="H329" s="2">
        <v>0.98</v>
      </c>
      <c r="I329" s="2">
        <v>1</v>
      </c>
      <c r="J329" s="2">
        <v>0.94399999999999995</v>
      </c>
      <c r="K329">
        <v>1</v>
      </c>
      <c r="L329" s="19">
        <v>0</v>
      </c>
      <c r="M329" s="21">
        <f>L329</f>
        <v>0</v>
      </c>
    </row>
    <row r="330" spans="1:13" x14ac:dyDescent="0.2">
      <c r="A330" t="s">
        <v>146</v>
      </c>
      <c r="B330" t="str">
        <f>VLOOKUP(A330,MasterTutor!A:E,4,FALSE)</f>
        <v>Distinguished</v>
      </c>
      <c r="C330" t="str">
        <f>VLOOKUP(A330,MasterTutor!A:E,3,FALSE)</f>
        <v>Adjunct</v>
      </c>
      <c r="D330" t="str">
        <f>VLOOKUP(A330,MasterTutor!A:E,2,FALSE)</f>
        <v>Ian Plamondon</v>
      </c>
      <c r="E330" t="s">
        <v>328</v>
      </c>
      <c r="F330" s="2">
        <v>0.65</v>
      </c>
      <c r="G330" s="2">
        <v>0.9</v>
      </c>
      <c r="H330" s="2">
        <v>0.99039999999999995</v>
      </c>
      <c r="I330" s="2">
        <v>0.96550000000000002</v>
      </c>
      <c r="J330" s="2">
        <v>0.81799999999999995</v>
      </c>
      <c r="K330">
        <v>3</v>
      </c>
      <c r="L330" s="19">
        <v>1</v>
      </c>
      <c r="M330" s="21">
        <f>L330</f>
        <v>1</v>
      </c>
    </row>
    <row r="331" spans="1:13" x14ac:dyDescent="0.2">
      <c r="A331" t="s">
        <v>147</v>
      </c>
      <c r="B331" t="str">
        <f>VLOOKUP(A331,MasterTutor!A:E,4,FALSE)</f>
        <v>Premium</v>
      </c>
      <c r="C331" t="str">
        <f>VLOOKUP(A331,MasterTutor!A:E,3,FALSE)</f>
        <v>Adjunct</v>
      </c>
      <c r="D331" t="str">
        <f>VLOOKUP(A331,MasterTutor!A:E,2,FALSE)</f>
        <v>Ela Cross</v>
      </c>
      <c r="E331" t="s">
        <v>328</v>
      </c>
      <c r="F331" s="2">
        <v>0.46</v>
      </c>
      <c r="G331" s="2">
        <v>0.97</v>
      </c>
      <c r="H331" s="2">
        <v>1</v>
      </c>
      <c r="I331" s="2">
        <v>1</v>
      </c>
      <c r="J331" s="2">
        <v>0.72699999999999998</v>
      </c>
      <c r="K331" t="e">
        <v>#N/A</v>
      </c>
      <c r="L331" s="19">
        <v>0</v>
      </c>
      <c r="M331" s="21">
        <f>L331</f>
        <v>0</v>
      </c>
    </row>
    <row r="332" spans="1:13" x14ac:dyDescent="0.2">
      <c r="A332" t="s">
        <v>148</v>
      </c>
      <c r="B332" t="str">
        <f>VLOOKUP(A332,MasterTutor!A:E,4,FALSE)</f>
        <v>Advanced</v>
      </c>
      <c r="C332" t="str">
        <f>VLOOKUP(A332,MasterTutor!A:E,3,FALSE)</f>
        <v>Adjunct</v>
      </c>
      <c r="D332" t="str">
        <f>VLOOKUP(A332,MasterTutor!A:E,2,FALSE)</f>
        <v>Ela Cross</v>
      </c>
      <c r="E332" t="s">
        <v>328</v>
      </c>
      <c r="F332" s="2">
        <v>1.25</v>
      </c>
      <c r="G332" s="2">
        <v>1.31</v>
      </c>
      <c r="H332" s="2">
        <v>0.99139999999999995</v>
      </c>
      <c r="I332" s="2">
        <v>0.97919999999999996</v>
      </c>
      <c r="J332" s="2">
        <v>1</v>
      </c>
      <c r="K332">
        <v>5</v>
      </c>
      <c r="L332" s="19">
        <v>0</v>
      </c>
      <c r="M332" s="21">
        <f>L332</f>
        <v>0</v>
      </c>
    </row>
    <row r="333" spans="1:13" x14ac:dyDescent="0.2">
      <c r="A333" t="s">
        <v>149</v>
      </c>
      <c r="B333" t="str">
        <f>VLOOKUP(A333,MasterTutor!A:E,4,FALSE)</f>
        <v>Distinguished</v>
      </c>
      <c r="C333" t="str">
        <f>VLOOKUP(A333,MasterTutor!A:E,3,FALSE)</f>
        <v>Professional</v>
      </c>
      <c r="D333" t="str">
        <f>VLOOKUP(A333,MasterTutor!A:E,2,FALSE)</f>
        <v>Ian Plamondon</v>
      </c>
      <c r="E333" t="s">
        <v>328</v>
      </c>
      <c r="F333" s="2">
        <v>0.51</v>
      </c>
      <c r="G333" s="2">
        <v>1.1599999999999999</v>
      </c>
      <c r="H333" s="2">
        <v>0.81420000000000003</v>
      </c>
      <c r="I333" s="2">
        <v>0.67500000000000004</v>
      </c>
      <c r="J333" s="2">
        <v>0.72699999999999998</v>
      </c>
      <c r="K333">
        <v>1</v>
      </c>
      <c r="L333" s="19" t="s">
        <v>337</v>
      </c>
      <c r="M333" s="21">
        <f>1/3</f>
        <v>0.33333333333333331</v>
      </c>
    </row>
    <row r="334" spans="1:13" x14ac:dyDescent="0.2">
      <c r="A334" t="s">
        <v>150</v>
      </c>
      <c r="B334" t="str">
        <f>VLOOKUP(A334,MasterTutor!A:E,4,FALSE)</f>
        <v>Advanced</v>
      </c>
      <c r="C334" t="str">
        <f>VLOOKUP(A334,MasterTutor!A:E,3,FALSE)</f>
        <v>Adjunct</v>
      </c>
      <c r="D334" t="str">
        <f>VLOOKUP(A334,MasterTutor!A:E,2,FALSE)</f>
        <v>Ela Cross</v>
      </c>
      <c r="E334" t="s">
        <v>328</v>
      </c>
      <c r="F334" s="2">
        <v>1.07</v>
      </c>
      <c r="G334" s="2">
        <v>1.02</v>
      </c>
      <c r="H334" s="2">
        <v>0.9919</v>
      </c>
      <c r="I334" s="2">
        <v>0.81820000000000004</v>
      </c>
      <c r="J334" s="2">
        <v>1</v>
      </c>
      <c r="K334">
        <v>9</v>
      </c>
      <c r="L334" s="19" t="s">
        <v>337</v>
      </c>
      <c r="M334" s="21">
        <f>1/3</f>
        <v>0.33333333333333331</v>
      </c>
    </row>
    <row r="335" spans="1:13" x14ac:dyDescent="0.2">
      <c r="A335" t="s">
        <v>151</v>
      </c>
      <c r="B335" t="e">
        <f>VLOOKUP(A335,MasterTutor!A:E,4,FALSE)</f>
        <v>#N/A</v>
      </c>
      <c r="C335" t="e">
        <f>VLOOKUP(A335,MasterTutor!A:E,3,FALSE)</f>
        <v>#N/A</v>
      </c>
      <c r="D335" t="e">
        <f>VLOOKUP(A335,MasterTutor!A:E,2,FALSE)</f>
        <v>#N/A</v>
      </c>
      <c r="E335" t="s">
        <v>328</v>
      </c>
      <c r="F335" s="2">
        <v>0.52</v>
      </c>
      <c r="G335" s="2">
        <v>0.82</v>
      </c>
      <c r="H335" s="2">
        <v>1</v>
      </c>
      <c r="I335" s="2">
        <v>1</v>
      </c>
      <c r="J335" s="2">
        <v>0</v>
      </c>
      <c r="K335">
        <v>1</v>
      </c>
      <c r="L335" s="19" t="s">
        <v>346</v>
      </c>
      <c r="M335" s="21">
        <v>0.78</v>
      </c>
    </row>
    <row r="336" spans="1:13" x14ac:dyDescent="0.2">
      <c r="A336" t="s">
        <v>152</v>
      </c>
      <c r="B336" t="str">
        <f>VLOOKUP(A336,MasterTutor!A:E,4,FALSE)</f>
        <v>Premium</v>
      </c>
      <c r="C336" t="str">
        <f>VLOOKUP(A336,MasterTutor!A:E,3,FALSE)</f>
        <v>Professional</v>
      </c>
      <c r="D336" t="str">
        <f>VLOOKUP(A336,MasterTutor!A:E,2,FALSE)</f>
        <v>Ian Plamondon</v>
      </c>
      <c r="E336" t="s">
        <v>328</v>
      </c>
      <c r="F336" s="2">
        <v>0.89</v>
      </c>
      <c r="G336" s="2">
        <v>1.48</v>
      </c>
      <c r="H336" s="2">
        <v>1</v>
      </c>
      <c r="I336" s="2">
        <v>0.85919999999999996</v>
      </c>
      <c r="J336" s="2">
        <v>0.42899999999999999</v>
      </c>
      <c r="K336">
        <v>3</v>
      </c>
      <c r="L336" s="19" t="s">
        <v>338</v>
      </c>
      <c r="M336" s="21">
        <v>0.8</v>
      </c>
    </row>
    <row r="337" spans="1:13" x14ac:dyDescent="0.2">
      <c r="A337" t="s">
        <v>153</v>
      </c>
      <c r="B337" t="str">
        <f>VLOOKUP(A337,MasterTutor!A:E,4,FALSE)</f>
        <v>Distinguished</v>
      </c>
      <c r="C337" t="str">
        <f>VLOOKUP(A337,MasterTutor!A:E,3,FALSE)</f>
        <v>Professional</v>
      </c>
      <c r="D337" t="str">
        <f>VLOOKUP(A337,MasterTutor!A:E,2,FALSE)</f>
        <v>Ian Plamondon</v>
      </c>
      <c r="E337" t="s">
        <v>328</v>
      </c>
      <c r="F337" s="2">
        <v>0.96</v>
      </c>
      <c r="G337" s="2">
        <v>0.98</v>
      </c>
      <c r="H337" s="2">
        <v>0.98050000000000004</v>
      </c>
      <c r="I337" s="2">
        <v>0.97089999999999999</v>
      </c>
      <c r="J337" s="2">
        <v>4.4999999999999998E-2</v>
      </c>
      <c r="K337">
        <v>9</v>
      </c>
      <c r="L337" s="19">
        <v>0</v>
      </c>
      <c r="M337" s="21">
        <f>L337</f>
        <v>0</v>
      </c>
    </row>
    <row r="338" spans="1:13" x14ac:dyDescent="0.2">
      <c r="A338" t="s">
        <v>154</v>
      </c>
      <c r="B338" t="e">
        <f>VLOOKUP(A338,MasterTutor!A:E,4,FALSE)</f>
        <v>#N/A</v>
      </c>
      <c r="C338" t="e">
        <f>VLOOKUP(A338,MasterTutor!A:E,3,FALSE)</f>
        <v>#N/A</v>
      </c>
      <c r="D338" t="e">
        <f>VLOOKUP(A338,MasterTutor!A:E,2,FALSE)</f>
        <v>#N/A</v>
      </c>
      <c r="E338" t="s">
        <v>328</v>
      </c>
      <c r="F338" s="2">
        <v>1.04</v>
      </c>
      <c r="G338" s="2">
        <v>1.17</v>
      </c>
      <c r="H338" s="2">
        <v>0.9022</v>
      </c>
      <c r="I338" s="2">
        <v>0.84209999999999996</v>
      </c>
      <c r="J338" s="2">
        <v>0</v>
      </c>
      <c r="K338">
        <v>3</v>
      </c>
      <c r="L338" s="19">
        <v>0</v>
      </c>
      <c r="M338" s="21">
        <f>L338</f>
        <v>0</v>
      </c>
    </row>
    <row r="339" spans="1:13" x14ac:dyDescent="0.2">
      <c r="A339" t="s">
        <v>155</v>
      </c>
      <c r="B339" t="str">
        <f>VLOOKUP(A339,MasterTutor!A:E,4,FALSE)</f>
        <v>Distinguished</v>
      </c>
      <c r="C339" t="str">
        <f>VLOOKUP(A339,MasterTutor!A:E,3,FALSE)</f>
        <v>Professional</v>
      </c>
      <c r="D339" t="str">
        <f>VLOOKUP(A339,MasterTutor!A:E,2,FALSE)</f>
        <v>Kristin Haase-Alvey</v>
      </c>
      <c r="E339" t="s">
        <v>328</v>
      </c>
      <c r="F339" s="2">
        <v>0.65</v>
      </c>
      <c r="G339" s="2">
        <v>0.95</v>
      </c>
      <c r="H339" s="2">
        <v>1</v>
      </c>
      <c r="I339" s="2">
        <v>0.93220000000000003</v>
      </c>
      <c r="J339" s="2">
        <v>0.66700000000000004</v>
      </c>
      <c r="K339">
        <v>5</v>
      </c>
      <c r="L339" s="19" t="s">
        <v>331</v>
      </c>
      <c r="M339" s="21">
        <v>0.5</v>
      </c>
    </row>
    <row r="340" spans="1:13" x14ac:dyDescent="0.2">
      <c r="A340" t="s">
        <v>156</v>
      </c>
      <c r="B340" t="e">
        <f>VLOOKUP(A340,MasterTutor!A:E,4,FALSE)</f>
        <v>#N/A</v>
      </c>
      <c r="C340" t="e">
        <f>VLOOKUP(A340,MasterTutor!A:E,3,FALSE)</f>
        <v>#N/A</v>
      </c>
      <c r="D340" t="e">
        <f>VLOOKUP(A340,MasterTutor!A:E,2,FALSE)</f>
        <v>#N/A</v>
      </c>
      <c r="E340" t="s">
        <v>328</v>
      </c>
      <c r="F340" s="2">
        <v>1.99</v>
      </c>
      <c r="G340" s="2">
        <v>1.98</v>
      </c>
      <c r="H340" s="2">
        <v>0.99070000000000003</v>
      </c>
      <c r="I340" s="2">
        <v>0.89710000000000001</v>
      </c>
      <c r="J340" s="2">
        <v>1</v>
      </c>
      <c r="K340">
        <v>5</v>
      </c>
      <c r="L340" s="19" t="s">
        <v>346</v>
      </c>
      <c r="M340" s="21">
        <v>0.78</v>
      </c>
    </row>
    <row r="341" spans="1:13" x14ac:dyDescent="0.2">
      <c r="A341" t="s">
        <v>157</v>
      </c>
      <c r="B341" t="str">
        <f>VLOOKUP(A341,MasterTutor!A:E,4,FALSE)</f>
        <v>Advanced</v>
      </c>
      <c r="C341" t="str">
        <f>VLOOKUP(A341,MasterTutor!A:E,3,FALSE)</f>
        <v>Adjunct</v>
      </c>
      <c r="D341" t="str">
        <f>VLOOKUP(A341,MasterTutor!A:E,2,FALSE)</f>
        <v>Kristin Haase-Alvey</v>
      </c>
      <c r="E341" t="s">
        <v>328</v>
      </c>
      <c r="F341" s="2">
        <v>0.74</v>
      </c>
      <c r="G341" s="2">
        <v>0.92</v>
      </c>
      <c r="H341" s="2">
        <v>0.95489999999999997</v>
      </c>
      <c r="I341" s="2">
        <v>0.94869999999999999</v>
      </c>
      <c r="J341" s="2">
        <v>0.83299999999999996</v>
      </c>
      <c r="K341">
        <v>7</v>
      </c>
      <c r="L341" s="19">
        <v>0</v>
      </c>
      <c r="M341" s="21">
        <f>L341</f>
        <v>0</v>
      </c>
    </row>
    <row r="342" spans="1:13" x14ac:dyDescent="0.2">
      <c r="A342" t="s">
        <v>158</v>
      </c>
      <c r="B342" t="str">
        <f>VLOOKUP(A342,MasterTutor!A:E,4,FALSE)</f>
        <v>Advanced</v>
      </c>
      <c r="C342" t="str">
        <f>VLOOKUP(A342,MasterTutor!A:E,3,FALSE)</f>
        <v>Adjunct</v>
      </c>
      <c r="D342" t="str">
        <f>VLOOKUP(A342,MasterTutor!A:E,2,FALSE)</f>
        <v>Annelies de Groot</v>
      </c>
      <c r="E342" t="s">
        <v>328</v>
      </c>
      <c r="F342" s="2">
        <v>0.7</v>
      </c>
      <c r="G342" s="2">
        <v>0.81</v>
      </c>
      <c r="H342" s="2">
        <v>1</v>
      </c>
      <c r="I342" s="2">
        <v>0.8478</v>
      </c>
      <c r="J342" s="2">
        <v>0.8</v>
      </c>
      <c r="K342">
        <v>7</v>
      </c>
      <c r="L342" s="19">
        <v>0</v>
      </c>
      <c r="M342" s="21">
        <f>L342</f>
        <v>0</v>
      </c>
    </row>
    <row r="343" spans="1:13" x14ac:dyDescent="0.2">
      <c r="A343" t="s">
        <v>159</v>
      </c>
      <c r="B343" t="e">
        <f>VLOOKUP(A343,MasterTutor!A:E,4,FALSE)</f>
        <v>#N/A</v>
      </c>
      <c r="C343" t="e">
        <f>VLOOKUP(A343,MasterTutor!A:E,3,FALSE)</f>
        <v>#N/A</v>
      </c>
      <c r="D343" t="e">
        <f>VLOOKUP(A343,MasterTutor!A:E,2,FALSE)</f>
        <v>#N/A</v>
      </c>
      <c r="E343" t="s">
        <v>328</v>
      </c>
      <c r="F343" s="2">
        <v>0.23</v>
      </c>
      <c r="G343" s="2">
        <v>0.25</v>
      </c>
      <c r="H343" s="2">
        <v>0.58330000000000004</v>
      </c>
      <c r="I343" s="2">
        <v>0.75</v>
      </c>
      <c r="J343" s="2">
        <v>0</v>
      </c>
      <c r="K343">
        <v>2</v>
      </c>
    </row>
    <row r="344" spans="1:13" x14ac:dyDescent="0.2">
      <c r="A344" t="s">
        <v>160</v>
      </c>
      <c r="B344" t="str">
        <f>VLOOKUP(A344,MasterTutor!A:E,4,FALSE)</f>
        <v>Distinguished</v>
      </c>
      <c r="C344" t="str">
        <f>VLOOKUP(A344,MasterTutor!A:E,3,FALSE)</f>
        <v>Adjunct</v>
      </c>
      <c r="D344" t="str">
        <f>VLOOKUP(A344,MasterTutor!A:E,2,FALSE)</f>
        <v>Ela Cross</v>
      </c>
      <c r="E344" t="s">
        <v>328</v>
      </c>
      <c r="F344" s="2">
        <v>0.48</v>
      </c>
      <c r="G344" s="2">
        <v>1.18</v>
      </c>
      <c r="H344" s="2">
        <v>0.98080000000000001</v>
      </c>
      <c r="I344" s="2">
        <v>0.9355</v>
      </c>
      <c r="J344" s="2">
        <v>0.55600000000000005</v>
      </c>
      <c r="K344">
        <v>1</v>
      </c>
      <c r="L344" s="19">
        <v>1</v>
      </c>
      <c r="M344" s="21">
        <f>L344</f>
        <v>1</v>
      </c>
    </row>
    <row r="345" spans="1:13" x14ac:dyDescent="0.2">
      <c r="A345" t="s">
        <v>161</v>
      </c>
      <c r="B345" t="str">
        <f>VLOOKUP(A345,MasterTutor!A:E,4,FALSE)</f>
        <v>Distinguished</v>
      </c>
      <c r="C345" t="str">
        <f>VLOOKUP(A345,MasterTutor!A:E,3,FALSE)</f>
        <v>Professional</v>
      </c>
      <c r="D345" t="str">
        <f>VLOOKUP(A345,MasterTutor!A:E,2,FALSE)</f>
        <v>Ian Plamondon</v>
      </c>
      <c r="E345" t="s">
        <v>328</v>
      </c>
      <c r="F345" s="2">
        <v>0.78</v>
      </c>
      <c r="G345" s="2">
        <v>1.38</v>
      </c>
      <c r="H345" s="2">
        <v>0.98860000000000003</v>
      </c>
      <c r="I345" s="2">
        <v>0.98109999999999997</v>
      </c>
      <c r="J345" s="2">
        <v>0.66700000000000004</v>
      </c>
      <c r="K345">
        <v>3</v>
      </c>
      <c r="L345" s="19">
        <v>1</v>
      </c>
      <c r="M345" s="21">
        <f>L345</f>
        <v>1</v>
      </c>
    </row>
    <row r="346" spans="1:13" x14ac:dyDescent="0.2">
      <c r="A346" t="s">
        <v>162</v>
      </c>
      <c r="B346" t="e">
        <f>VLOOKUP(A346,MasterTutor!A:E,4,FALSE)</f>
        <v>#N/A</v>
      </c>
      <c r="C346" t="e">
        <f>VLOOKUP(A346,MasterTutor!A:E,3,FALSE)</f>
        <v>#N/A</v>
      </c>
      <c r="D346" t="e">
        <f>VLOOKUP(A346,MasterTutor!A:E,2,FALSE)</f>
        <v>#N/A</v>
      </c>
      <c r="E346" t="s">
        <v>328</v>
      </c>
      <c r="F346" s="2">
        <v>0.92</v>
      </c>
      <c r="G346" s="2">
        <v>1.4</v>
      </c>
      <c r="H346" s="2">
        <v>0.7167</v>
      </c>
      <c r="I346" s="2">
        <v>0.96879999999999999</v>
      </c>
      <c r="J346" s="2">
        <v>0.81799999999999995</v>
      </c>
      <c r="K346">
        <v>3</v>
      </c>
      <c r="L346" s="19">
        <v>0</v>
      </c>
      <c r="M346" s="21">
        <f>L346</f>
        <v>0</v>
      </c>
    </row>
    <row r="347" spans="1:13" x14ac:dyDescent="0.2">
      <c r="A347" t="s">
        <v>163</v>
      </c>
      <c r="B347" t="str">
        <f>VLOOKUP(A347,MasterTutor!A:E,4,FALSE)</f>
        <v>Premium</v>
      </c>
      <c r="C347" t="str">
        <f>VLOOKUP(A347,MasterTutor!A:E,3,FALSE)</f>
        <v>Professional</v>
      </c>
      <c r="D347" t="str">
        <f>VLOOKUP(A347,MasterTutor!A:E,2,FALSE)</f>
        <v>Jessica Milner</v>
      </c>
      <c r="E347" t="s">
        <v>328</v>
      </c>
      <c r="F347" s="2">
        <v>1.03</v>
      </c>
      <c r="G347" s="2">
        <v>1.37</v>
      </c>
      <c r="H347" s="2">
        <v>0.91439999999999999</v>
      </c>
      <c r="I347" s="2">
        <v>0.96150000000000002</v>
      </c>
      <c r="J347" s="2">
        <v>0.17399999999999999</v>
      </c>
      <c r="K347" t="e">
        <v>#N/A</v>
      </c>
      <c r="L347" s="19" t="s">
        <v>331</v>
      </c>
      <c r="M347" s="21">
        <v>0.5</v>
      </c>
    </row>
    <row r="348" spans="1:13" x14ac:dyDescent="0.2">
      <c r="A348" t="s">
        <v>164</v>
      </c>
      <c r="B348" t="str">
        <f>VLOOKUP(A348,MasterTutor!A:E,4,FALSE)</f>
        <v>Advanced</v>
      </c>
      <c r="C348" t="str">
        <f>VLOOKUP(A348,MasterTutor!A:E,3,FALSE)</f>
        <v>Professional</v>
      </c>
      <c r="D348" t="str">
        <f>VLOOKUP(A348,MasterTutor!A:E,2,FALSE)</f>
        <v>Annelies de Groot</v>
      </c>
      <c r="E348" t="s">
        <v>328</v>
      </c>
      <c r="F348" s="2">
        <v>0.78</v>
      </c>
      <c r="G348" s="2">
        <v>1.04</v>
      </c>
      <c r="H348" s="2">
        <v>0.92110000000000003</v>
      </c>
      <c r="I348" s="2">
        <v>0.98280000000000001</v>
      </c>
      <c r="J348" s="2">
        <v>0.875</v>
      </c>
      <c r="K348">
        <v>11</v>
      </c>
      <c r="L348" s="19">
        <v>0</v>
      </c>
      <c r="M348" s="21">
        <f>L348</f>
        <v>0</v>
      </c>
    </row>
    <row r="349" spans="1:13" x14ac:dyDescent="0.2">
      <c r="A349" t="s">
        <v>165</v>
      </c>
      <c r="B349" t="str">
        <f>VLOOKUP(A349,MasterTutor!A:E,4,FALSE)</f>
        <v>Advanced</v>
      </c>
      <c r="C349" t="str">
        <f>VLOOKUP(A349,MasterTutor!A:E,3,FALSE)</f>
        <v>Adjunct</v>
      </c>
      <c r="D349" t="str">
        <f>VLOOKUP(A349,MasterTutor!A:E,2,FALSE)</f>
        <v>Ela Cross</v>
      </c>
      <c r="E349" t="s">
        <v>328</v>
      </c>
      <c r="F349" s="2">
        <v>0.64</v>
      </c>
      <c r="G349" s="2">
        <v>0.92</v>
      </c>
      <c r="H349" s="2">
        <v>0.96879999999999999</v>
      </c>
      <c r="I349" s="2">
        <v>1</v>
      </c>
      <c r="J349" s="2">
        <v>0.55600000000000005</v>
      </c>
      <c r="K349">
        <v>3</v>
      </c>
      <c r="L349" s="19">
        <v>0</v>
      </c>
      <c r="M349" s="21">
        <f>L349</f>
        <v>0</v>
      </c>
    </row>
    <row r="350" spans="1:13" x14ac:dyDescent="0.2">
      <c r="A350" t="s">
        <v>166</v>
      </c>
      <c r="B350" t="str">
        <f>VLOOKUP(A350,MasterTutor!A:E,4,FALSE)</f>
        <v>Distinguished</v>
      </c>
      <c r="C350" t="str">
        <f>VLOOKUP(A350,MasterTutor!A:E,3,FALSE)</f>
        <v>Adjunct</v>
      </c>
      <c r="D350" t="str">
        <f>VLOOKUP(A350,MasterTutor!A:E,2,FALSE)</f>
        <v>Annelies de Groot</v>
      </c>
      <c r="E350" t="s">
        <v>328</v>
      </c>
      <c r="F350" s="2">
        <v>1.27</v>
      </c>
      <c r="G350" s="2">
        <v>1.32</v>
      </c>
      <c r="H350" s="2">
        <v>1</v>
      </c>
      <c r="I350" s="2">
        <v>0.95309999999999995</v>
      </c>
      <c r="J350" s="2">
        <v>0.4</v>
      </c>
      <c r="K350">
        <v>3</v>
      </c>
      <c r="L350" s="19" t="s">
        <v>329</v>
      </c>
      <c r="M350" s="21">
        <v>0.75</v>
      </c>
    </row>
    <row r="351" spans="1:13" x14ac:dyDescent="0.2">
      <c r="A351" t="s">
        <v>167</v>
      </c>
      <c r="B351" t="str">
        <f>VLOOKUP(A351,MasterTutor!A:E,4,FALSE)</f>
        <v>Advanced</v>
      </c>
      <c r="C351" t="str">
        <f>VLOOKUP(A351,MasterTutor!A:E,3,FALSE)</f>
        <v>Adjunct</v>
      </c>
      <c r="D351" t="str">
        <f>VLOOKUP(A351,MasterTutor!A:E,2,FALSE)</f>
        <v>Ela Cross</v>
      </c>
      <c r="E351" t="s">
        <v>328</v>
      </c>
      <c r="F351" s="2">
        <v>0.75</v>
      </c>
      <c r="G351" s="2">
        <v>0.78</v>
      </c>
      <c r="H351" s="2">
        <v>0.89549999999999996</v>
      </c>
      <c r="I351" s="2">
        <v>0.78569999999999995</v>
      </c>
      <c r="J351" s="2">
        <v>0.8</v>
      </c>
      <c r="K351" t="e">
        <v>#N/A</v>
      </c>
      <c r="L351" s="19">
        <v>0</v>
      </c>
      <c r="M351" s="21">
        <f>L351</f>
        <v>0</v>
      </c>
    </row>
    <row r="352" spans="1:13" x14ac:dyDescent="0.2">
      <c r="A352" t="s">
        <v>168</v>
      </c>
      <c r="B352" t="str">
        <f>VLOOKUP(A352,MasterTutor!A:E,4,FALSE)</f>
        <v>Advanced</v>
      </c>
      <c r="C352" t="str">
        <f>VLOOKUP(A352,MasterTutor!A:E,3,FALSE)</f>
        <v>Adjunct</v>
      </c>
      <c r="D352" t="str">
        <f>VLOOKUP(A352,MasterTutor!A:E,2,FALSE)</f>
        <v>Kristin Haase-Alvey</v>
      </c>
      <c r="E352" t="s">
        <v>328</v>
      </c>
      <c r="F352" s="2">
        <v>0.74</v>
      </c>
      <c r="G352" s="2">
        <v>1.04</v>
      </c>
      <c r="H352" s="2">
        <v>1</v>
      </c>
      <c r="I352" s="2">
        <v>1</v>
      </c>
      <c r="J352" s="2">
        <v>0.85699999999999998</v>
      </c>
      <c r="K352">
        <v>5</v>
      </c>
      <c r="L352" s="19">
        <v>1</v>
      </c>
      <c r="M352" s="21">
        <f>L352</f>
        <v>1</v>
      </c>
    </row>
    <row r="353" spans="1:13" x14ac:dyDescent="0.2">
      <c r="A353" t="s">
        <v>169</v>
      </c>
      <c r="B353" t="e">
        <f>VLOOKUP(A353,MasterTutor!A:E,4,FALSE)</f>
        <v>#N/A</v>
      </c>
      <c r="C353" t="e">
        <f>VLOOKUP(A353,MasterTutor!A:E,3,FALSE)</f>
        <v>#N/A</v>
      </c>
      <c r="D353" t="e">
        <f>VLOOKUP(A353,MasterTutor!A:E,2,FALSE)</f>
        <v>#N/A</v>
      </c>
      <c r="E353" t="s">
        <v>328</v>
      </c>
      <c r="F353" s="2">
        <v>0.85</v>
      </c>
      <c r="G353" s="2">
        <v>1.26</v>
      </c>
      <c r="H353" s="2">
        <v>0.99</v>
      </c>
      <c r="I353" s="2">
        <v>0.87039999999999995</v>
      </c>
      <c r="J353" s="2">
        <v>1</v>
      </c>
      <c r="K353" t="e">
        <v>#N/A</v>
      </c>
      <c r="L353" s="19" t="s">
        <v>331</v>
      </c>
      <c r="M353" s="21">
        <v>0.5</v>
      </c>
    </row>
    <row r="354" spans="1:13" x14ac:dyDescent="0.2">
      <c r="A354" t="s">
        <v>170</v>
      </c>
      <c r="B354" t="str">
        <f>VLOOKUP(A354,MasterTutor!A:E,4,FALSE)</f>
        <v>Advanced</v>
      </c>
      <c r="C354" t="str">
        <f>VLOOKUP(A354,MasterTutor!A:E,3,FALSE)</f>
        <v>Professional</v>
      </c>
      <c r="D354" t="str">
        <f>VLOOKUP(A354,MasterTutor!A:E,2,FALSE)</f>
        <v>Ela Cross</v>
      </c>
      <c r="E354" t="s">
        <v>328</v>
      </c>
      <c r="F354" s="2">
        <v>1.01</v>
      </c>
      <c r="G354" s="2">
        <v>1.32</v>
      </c>
      <c r="H354" s="2">
        <v>0.9365</v>
      </c>
      <c r="I354" s="2">
        <v>0.92679999999999996</v>
      </c>
      <c r="J354" s="2">
        <v>0.66700000000000004</v>
      </c>
      <c r="K354">
        <v>1</v>
      </c>
      <c r="L354" s="19" t="s">
        <v>345</v>
      </c>
      <c r="M354" s="21">
        <v>0.2</v>
      </c>
    </row>
    <row r="355" spans="1:13" x14ac:dyDescent="0.2">
      <c r="A355" t="s">
        <v>171</v>
      </c>
      <c r="B355" t="str">
        <f>VLOOKUP(A355,MasterTutor!A:E,4,FALSE)</f>
        <v>Advanced</v>
      </c>
      <c r="C355" t="str">
        <f>VLOOKUP(A355,MasterTutor!A:E,3,FALSE)</f>
        <v>Adjunct</v>
      </c>
      <c r="D355" t="str">
        <f>VLOOKUP(A355,MasterTutor!A:E,2,FALSE)</f>
        <v>Annelies de Groot</v>
      </c>
      <c r="E355" t="s">
        <v>328</v>
      </c>
      <c r="F355" s="2">
        <v>0.79</v>
      </c>
      <c r="G355" s="2">
        <v>1.1399999999999999</v>
      </c>
      <c r="H355" s="2">
        <v>0.95830000000000004</v>
      </c>
      <c r="I355" s="2">
        <v>1</v>
      </c>
      <c r="J355" s="2">
        <v>0.5</v>
      </c>
      <c r="K355">
        <v>3</v>
      </c>
      <c r="L355" s="19" t="s">
        <v>345</v>
      </c>
      <c r="M355" s="21">
        <v>0.2</v>
      </c>
    </row>
    <row r="356" spans="1:13" x14ac:dyDescent="0.2">
      <c r="A356" t="s">
        <v>172</v>
      </c>
      <c r="B356" t="e">
        <f>VLOOKUP(A356,MasterTutor!A:E,4,FALSE)</f>
        <v>#N/A</v>
      </c>
      <c r="C356" t="e">
        <f>VLOOKUP(A356,MasterTutor!A:E,3,FALSE)</f>
        <v>#N/A</v>
      </c>
      <c r="D356" t="e">
        <f>VLOOKUP(A356,MasterTutor!A:E,2,FALSE)</f>
        <v>#N/A</v>
      </c>
      <c r="E356" t="s">
        <v>328</v>
      </c>
      <c r="F356" s="2">
        <v>0.44</v>
      </c>
      <c r="G356" s="2">
        <v>1.45</v>
      </c>
      <c r="H356" s="2">
        <v>1</v>
      </c>
      <c r="I356" s="2">
        <v>0.58819999999999995</v>
      </c>
      <c r="J356" s="2">
        <v>1</v>
      </c>
      <c r="K356">
        <v>6</v>
      </c>
      <c r="L356" s="19">
        <v>0</v>
      </c>
      <c r="M356" s="21">
        <f>L356</f>
        <v>0</v>
      </c>
    </row>
    <row r="357" spans="1:13" x14ac:dyDescent="0.2">
      <c r="A357" t="s">
        <v>173</v>
      </c>
      <c r="B357" t="e">
        <f>VLOOKUP(A357,MasterTutor!A:E,4,FALSE)</f>
        <v>#N/A</v>
      </c>
      <c r="C357" t="e">
        <f>VLOOKUP(A357,MasterTutor!A:E,3,FALSE)</f>
        <v>#N/A</v>
      </c>
      <c r="D357" t="e">
        <f>VLOOKUP(A357,MasterTutor!A:E,2,FALSE)</f>
        <v>#N/A</v>
      </c>
      <c r="E357" t="s">
        <v>328</v>
      </c>
      <c r="F357" s="2">
        <v>0.54</v>
      </c>
      <c r="G357" s="2">
        <v>0.97</v>
      </c>
      <c r="H357" s="2">
        <v>0.93489999999999995</v>
      </c>
      <c r="I357" s="2">
        <v>0.89580000000000004</v>
      </c>
      <c r="J357" s="2">
        <v>0.61499999999999999</v>
      </c>
      <c r="K357">
        <v>2</v>
      </c>
      <c r="L357" s="19">
        <v>1</v>
      </c>
      <c r="M357" s="21">
        <f>L357</f>
        <v>1</v>
      </c>
    </row>
    <row r="358" spans="1:13" x14ac:dyDescent="0.2">
      <c r="A358" t="s">
        <v>175</v>
      </c>
      <c r="B358" t="str">
        <f>VLOOKUP(A358,MasterTutor!A:E,4,FALSE)</f>
        <v>Distinguished</v>
      </c>
      <c r="C358" t="str">
        <f>VLOOKUP(A358,MasterTutor!A:E,3,FALSE)</f>
        <v>Adjunct</v>
      </c>
      <c r="D358" t="str">
        <f>VLOOKUP(A358,MasterTutor!A:E,2,FALSE)</f>
        <v>Annelies de Groot</v>
      </c>
      <c r="E358" t="s">
        <v>328</v>
      </c>
      <c r="F358" s="2">
        <v>0.71</v>
      </c>
      <c r="G358" s="2">
        <v>1.04</v>
      </c>
      <c r="H358" s="2">
        <v>0.91320000000000001</v>
      </c>
      <c r="I358" s="2">
        <v>1</v>
      </c>
      <c r="J358" s="2">
        <v>0.75</v>
      </c>
      <c r="K358" t="e">
        <v>#N/A</v>
      </c>
      <c r="L358" s="19">
        <v>1</v>
      </c>
      <c r="M358" s="21">
        <f>L358</f>
        <v>1</v>
      </c>
    </row>
    <row r="359" spans="1:13" x14ac:dyDescent="0.2">
      <c r="A359" t="s">
        <v>176</v>
      </c>
      <c r="B359" t="str">
        <f>VLOOKUP(A359,MasterTutor!A:E,4,FALSE)</f>
        <v>Premium</v>
      </c>
      <c r="C359" t="str">
        <f>VLOOKUP(A359,MasterTutor!A:E,3,FALSE)</f>
        <v>Professional</v>
      </c>
      <c r="D359" t="str">
        <f>VLOOKUP(A359,MasterTutor!A:E,2,FALSE)</f>
        <v>Ian Plamondon</v>
      </c>
      <c r="E359" t="s">
        <v>328</v>
      </c>
      <c r="F359" s="2">
        <v>0.66</v>
      </c>
      <c r="G359" s="2">
        <v>1.27</v>
      </c>
      <c r="H359" s="2">
        <v>1</v>
      </c>
      <c r="I359" s="2">
        <v>1</v>
      </c>
      <c r="J359" s="2">
        <v>0.45</v>
      </c>
      <c r="K359">
        <v>2</v>
      </c>
      <c r="L359" s="19">
        <v>1</v>
      </c>
      <c r="M359" s="21">
        <f>L359</f>
        <v>1</v>
      </c>
    </row>
    <row r="360" spans="1:13" x14ac:dyDescent="0.2">
      <c r="A360" t="s">
        <v>177</v>
      </c>
      <c r="B360" t="e">
        <f>VLOOKUP(A360,MasterTutor!A:E,4,FALSE)</f>
        <v>#N/A</v>
      </c>
      <c r="C360" t="e">
        <f>VLOOKUP(A360,MasterTutor!A:E,3,FALSE)</f>
        <v>#N/A</v>
      </c>
      <c r="D360" t="e">
        <f>VLOOKUP(A360,MasterTutor!A:E,2,FALSE)</f>
        <v>#N/A</v>
      </c>
      <c r="E360" t="s">
        <v>328</v>
      </c>
      <c r="F360" s="2">
        <v>0.63</v>
      </c>
      <c r="G360" s="2">
        <v>1.06</v>
      </c>
      <c r="H360" s="2">
        <v>0.93130000000000002</v>
      </c>
      <c r="I360" s="2">
        <v>0.86050000000000004</v>
      </c>
      <c r="J360" s="2">
        <v>0.71399999999999997</v>
      </c>
      <c r="K360">
        <v>2</v>
      </c>
      <c r="L360" s="19">
        <v>0</v>
      </c>
      <c r="M360" s="21">
        <f>L360</f>
        <v>0</v>
      </c>
    </row>
    <row r="361" spans="1:13" x14ac:dyDescent="0.2">
      <c r="A361" t="s">
        <v>178</v>
      </c>
      <c r="B361" t="e">
        <f>VLOOKUP(A361,MasterTutor!A:E,4,FALSE)</f>
        <v>#N/A</v>
      </c>
      <c r="C361" t="e">
        <f>VLOOKUP(A361,MasterTutor!A:E,3,FALSE)</f>
        <v>#N/A</v>
      </c>
      <c r="D361" t="e">
        <f>VLOOKUP(A361,MasterTutor!A:E,2,FALSE)</f>
        <v>#N/A</v>
      </c>
      <c r="E361" t="s">
        <v>328</v>
      </c>
      <c r="F361" s="2">
        <v>0.59</v>
      </c>
      <c r="G361" s="2">
        <v>0.66</v>
      </c>
      <c r="H361" s="2">
        <v>1</v>
      </c>
      <c r="I361" s="2">
        <v>0.58819999999999995</v>
      </c>
      <c r="J361" s="2">
        <v>0.33300000000000002</v>
      </c>
      <c r="K361">
        <v>3</v>
      </c>
    </row>
    <row r="362" spans="1:13" x14ac:dyDescent="0.2">
      <c r="A362" t="s">
        <v>179</v>
      </c>
      <c r="B362" t="str">
        <f>VLOOKUP(A362,MasterTutor!A:E,4,FALSE)</f>
        <v>Advanced</v>
      </c>
      <c r="C362" t="str">
        <f>VLOOKUP(A362,MasterTutor!A:E,3,FALSE)</f>
        <v>Adjunct</v>
      </c>
      <c r="D362" t="str">
        <f>VLOOKUP(A362,MasterTutor!A:E,2,FALSE)</f>
        <v>Ela Cross</v>
      </c>
      <c r="E362" t="s">
        <v>328</v>
      </c>
      <c r="F362" s="2">
        <v>0.63</v>
      </c>
      <c r="G362" s="2">
        <v>1.2</v>
      </c>
      <c r="H362" s="2">
        <v>1</v>
      </c>
      <c r="I362" s="2">
        <v>1</v>
      </c>
      <c r="J362" s="2">
        <v>0.8</v>
      </c>
      <c r="K362">
        <v>4</v>
      </c>
      <c r="L362" s="19">
        <v>1</v>
      </c>
      <c r="M362" s="21">
        <f>L362</f>
        <v>1</v>
      </c>
    </row>
    <row r="363" spans="1:13" x14ac:dyDescent="0.2">
      <c r="A363" t="s">
        <v>180</v>
      </c>
      <c r="B363" t="str">
        <f>VLOOKUP(A363,MasterTutor!A:E,4,FALSE)</f>
        <v>Premium</v>
      </c>
      <c r="C363" t="str">
        <f>VLOOKUP(A363,MasterTutor!A:E,3,FALSE)</f>
        <v>Adjunct</v>
      </c>
      <c r="D363" t="str">
        <f>VLOOKUP(A363,MasterTutor!A:E,2,FALSE)</f>
        <v>Geoff St. Marie</v>
      </c>
      <c r="E363" t="s">
        <v>328</v>
      </c>
      <c r="F363" s="2">
        <v>0.74</v>
      </c>
      <c r="G363" s="2">
        <v>1.52</v>
      </c>
      <c r="H363" s="2">
        <v>1</v>
      </c>
      <c r="I363" s="2">
        <v>0.9677</v>
      </c>
      <c r="J363" s="2">
        <v>0.7</v>
      </c>
      <c r="K363">
        <v>4</v>
      </c>
      <c r="L363" s="19">
        <v>0</v>
      </c>
      <c r="M363" s="21">
        <f>L363</f>
        <v>0</v>
      </c>
    </row>
    <row r="364" spans="1:13" x14ac:dyDescent="0.2">
      <c r="A364" t="s">
        <v>181</v>
      </c>
      <c r="B364" t="str">
        <f>VLOOKUP(A364,MasterTutor!A:E,4,FALSE)</f>
        <v>Advanced</v>
      </c>
      <c r="C364" t="str">
        <f>VLOOKUP(A364,MasterTutor!A:E,3,FALSE)</f>
        <v>Professional</v>
      </c>
      <c r="D364" t="str">
        <f>VLOOKUP(A364,MasterTutor!A:E,2,FALSE)</f>
        <v>Ela Cross</v>
      </c>
      <c r="E364" t="s">
        <v>328</v>
      </c>
      <c r="F364" s="2">
        <v>0.94</v>
      </c>
      <c r="G364" s="2">
        <v>0.91</v>
      </c>
      <c r="H364" s="2">
        <v>0.97419999999999995</v>
      </c>
      <c r="I364" s="2">
        <v>0.96430000000000005</v>
      </c>
      <c r="J364" s="2">
        <v>0.875</v>
      </c>
      <c r="K364">
        <v>10</v>
      </c>
      <c r="L364" s="19" t="s">
        <v>330</v>
      </c>
      <c r="M364" s="21">
        <v>0.67</v>
      </c>
    </row>
    <row r="365" spans="1:13" x14ac:dyDescent="0.2">
      <c r="A365" t="s">
        <v>182</v>
      </c>
      <c r="B365" t="str">
        <f>VLOOKUP(A365,MasterTutor!A:E,4,FALSE)</f>
        <v>Premium</v>
      </c>
      <c r="C365" t="str">
        <f>VLOOKUP(A365,MasterTutor!A:E,3,FALSE)</f>
        <v>Professional</v>
      </c>
      <c r="D365" t="str">
        <f>VLOOKUP(A365,MasterTutor!A:E,2,FALSE)</f>
        <v>Annelies de Groot</v>
      </c>
      <c r="E365" t="s">
        <v>328</v>
      </c>
      <c r="F365" s="2">
        <v>0.87</v>
      </c>
      <c r="G365" s="2">
        <v>1.04</v>
      </c>
      <c r="H365" s="2">
        <v>1</v>
      </c>
      <c r="I365" s="2">
        <v>0.878</v>
      </c>
      <c r="J365" s="2">
        <v>0.53300000000000003</v>
      </c>
      <c r="K365">
        <v>0</v>
      </c>
    </row>
    <row r="366" spans="1:13" x14ac:dyDescent="0.2">
      <c r="A366" t="s">
        <v>183</v>
      </c>
      <c r="B366" t="str">
        <f>VLOOKUP(A366,MasterTutor!A:E,4,FALSE)</f>
        <v>Advanced</v>
      </c>
      <c r="C366" t="str">
        <f>VLOOKUP(A366,MasterTutor!A:E,3,FALSE)</f>
        <v>Adjunct</v>
      </c>
      <c r="D366" t="str">
        <f>VLOOKUP(A366,MasterTutor!A:E,2,FALSE)</f>
        <v>Annelies de Groot</v>
      </c>
      <c r="E366" t="s">
        <v>328</v>
      </c>
      <c r="F366" s="2">
        <v>1.1100000000000001</v>
      </c>
      <c r="G366" s="2">
        <v>1.27</v>
      </c>
      <c r="H366" s="2">
        <v>0.90629999999999999</v>
      </c>
      <c r="I366" s="2">
        <v>1</v>
      </c>
      <c r="J366" s="2">
        <v>1</v>
      </c>
      <c r="K366">
        <v>5</v>
      </c>
      <c r="L366" s="19">
        <v>1</v>
      </c>
      <c r="M366" s="21">
        <f>L366</f>
        <v>1</v>
      </c>
    </row>
    <row r="367" spans="1:13" x14ac:dyDescent="0.2">
      <c r="A367" t="s">
        <v>184</v>
      </c>
      <c r="B367" t="str">
        <f>VLOOKUP(A367,MasterTutor!A:E,4,FALSE)</f>
        <v>Advanced</v>
      </c>
      <c r="C367" t="str">
        <f>VLOOKUP(A367,MasterTutor!A:E,3,FALSE)</f>
        <v>Adjunct</v>
      </c>
      <c r="D367" t="str">
        <f>VLOOKUP(A367,MasterTutor!A:E,2,FALSE)</f>
        <v>Kristin Haase-Alvey</v>
      </c>
      <c r="E367" t="s">
        <v>328</v>
      </c>
      <c r="F367" s="2">
        <v>0.93</v>
      </c>
      <c r="G367" s="2">
        <v>1.04</v>
      </c>
      <c r="H367" s="2">
        <v>0.98329999999999995</v>
      </c>
      <c r="I367" s="2">
        <v>0.97219999999999995</v>
      </c>
      <c r="J367" s="2">
        <v>0.83299999999999996</v>
      </c>
      <c r="K367">
        <v>9</v>
      </c>
      <c r="L367" s="19" t="s">
        <v>329</v>
      </c>
      <c r="M367" s="21">
        <v>0.75</v>
      </c>
    </row>
    <row r="368" spans="1:13" x14ac:dyDescent="0.2">
      <c r="A368" t="s">
        <v>185</v>
      </c>
      <c r="B368" t="str">
        <f>VLOOKUP(A368,MasterTutor!A:E,4,FALSE)</f>
        <v>Distinguished</v>
      </c>
      <c r="C368" t="str">
        <f>VLOOKUP(A368,MasterTutor!A:E,3,FALSE)</f>
        <v>Professional</v>
      </c>
      <c r="D368" t="str">
        <f>VLOOKUP(A368,MasterTutor!A:E,2,FALSE)</f>
        <v>Ian Plamondon</v>
      </c>
      <c r="E368" t="s">
        <v>328</v>
      </c>
      <c r="F368" s="2">
        <v>0.45</v>
      </c>
      <c r="G368" s="2">
        <v>0.95</v>
      </c>
      <c r="H368" s="2">
        <v>0.98209999999999997</v>
      </c>
      <c r="I368" s="2">
        <v>0.97299999999999998</v>
      </c>
      <c r="J368" s="2">
        <v>8.3000000000000004E-2</v>
      </c>
      <c r="K368">
        <v>2</v>
      </c>
      <c r="L368" s="19">
        <v>0</v>
      </c>
      <c r="M368" s="21">
        <f>L368</f>
        <v>0</v>
      </c>
    </row>
    <row r="369" spans="1:13" x14ac:dyDescent="0.2">
      <c r="A369" t="s">
        <v>186</v>
      </c>
      <c r="B369" t="str">
        <f>VLOOKUP(A369,MasterTutor!A:E,4,FALSE)</f>
        <v>Premium</v>
      </c>
      <c r="C369" t="str">
        <f>VLOOKUP(A369,MasterTutor!A:E,3,FALSE)</f>
        <v>Adjunct</v>
      </c>
      <c r="D369" t="str">
        <f>VLOOKUP(A369,MasterTutor!A:E,2,FALSE)</f>
        <v>Ela Cross</v>
      </c>
      <c r="E369" t="s">
        <v>328</v>
      </c>
      <c r="F369" s="2">
        <v>0</v>
      </c>
      <c r="G369" s="2">
        <v>0.01</v>
      </c>
      <c r="H369" s="2">
        <v>0</v>
      </c>
      <c r="I369" s="2">
        <v>0</v>
      </c>
      <c r="J369" s="2">
        <v>1</v>
      </c>
      <c r="K369" t="e">
        <v>#N/A</v>
      </c>
    </row>
    <row r="370" spans="1:13" x14ac:dyDescent="0.2">
      <c r="A370" t="s">
        <v>187</v>
      </c>
      <c r="B370" t="str">
        <f>VLOOKUP(A370,MasterTutor!A:E,4,FALSE)</f>
        <v>Distinguished</v>
      </c>
      <c r="C370" t="str">
        <f>VLOOKUP(A370,MasterTutor!A:E,3,FALSE)</f>
        <v>Adjunct</v>
      </c>
      <c r="D370" t="str">
        <f>VLOOKUP(A370,MasterTutor!A:E,2,FALSE)</f>
        <v>Ela Cross</v>
      </c>
      <c r="E370" t="s">
        <v>328</v>
      </c>
      <c r="F370" s="2">
        <v>0.96</v>
      </c>
      <c r="G370" s="2">
        <v>1.22</v>
      </c>
      <c r="H370" s="2">
        <v>0.95309999999999995</v>
      </c>
      <c r="I370" s="2">
        <v>0.9677</v>
      </c>
      <c r="J370" s="2">
        <v>0.71399999999999997</v>
      </c>
      <c r="K370">
        <v>1</v>
      </c>
      <c r="L370" s="19" t="s">
        <v>329</v>
      </c>
      <c r="M370" s="21">
        <v>0.75</v>
      </c>
    </row>
    <row r="371" spans="1:13" x14ac:dyDescent="0.2">
      <c r="A371" t="s">
        <v>188</v>
      </c>
      <c r="B371" t="str">
        <f>VLOOKUP(A371,MasterTutor!A:E,4,FALSE)</f>
        <v>Premium</v>
      </c>
      <c r="C371" t="str">
        <f>VLOOKUP(A371,MasterTutor!A:E,3,FALSE)</f>
        <v>Professional</v>
      </c>
      <c r="D371" t="str">
        <f>VLOOKUP(A371,MasterTutor!A:E,2,FALSE)</f>
        <v>Ian Plamondon</v>
      </c>
      <c r="E371" t="s">
        <v>328</v>
      </c>
      <c r="F371" s="2">
        <v>0.51</v>
      </c>
      <c r="G371" s="2">
        <v>1.1599999999999999</v>
      </c>
      <c r="H371" s="2">
        <v>1</v>
      </c>
      <c r="I371" s="2">
        <v>0.875</v>
      </c>
      <c r="J371" s="2">
        <v>0.64300000000000002</v>
      </c>
      <c r="K371">
        <v>5</v>
      </c>
      <c r="L371" s="19" t="s">
        <v>331</v>
      </c>
      <c r="M371" s="21">
        <v>0.5</v>
      </c>
    </row>
    <row r="372" spans="1:13" x14ac:dyDescent="0.2">
      <c r="A372" t="s">
        <v>189</v>
      </c>
      <c r="B372" t="str">
        <f>VLOOKUP(A372,MasterTutor!A:E,4,FALSE)</f>
        <v>Advanced</v>
      </c>
      <c r="C372" t="str">
        <f>VLOOKUP(A372,MasterTutor!A:E,3,FALSE)</f>
        <v>Adjunct</v>
      </c>
      <c r="D372" t="str">
        <f>VLOOKUP(A372,MasterTutor!A:E,2,FALSE)</f>
        <v>Annelies de Groot</v>
      </c>
      <c r="E372" t="s">
        <v>328</v>
      </c>
      <c r="F372" s="2">
        <v>1.23</v>
      </c>
      <c r="G372" s="2">
        <v>1.21</v>
      </c>
      <c r="H372" s="2">
        <v>0.97729999999999995</v>
      </c>
      <c r="I372" s="2">
        <v>0.57140000000000002</v>
      </c>
      <c r="J372" s="2">
        <v>0.1</v>
      </c>
      <c r="K372">
        <v>6</v>
      </c>
      <c r="L372" s="19">
        <v>0</v>
      </c>
      <c r="M372" s="21">
        <f>L372</f>
        <v>0</v>
      </c>
    </row>
    <row r="373" spans="1:13" x14ac:dyDescent="0.2">
      <c r="A373" t="s">
        <v>190</v>
      </c>
      <c r="B373" t="e">
        <f>VLOOKUP(A373,MasterTutor!A:E,4,FALSE)</f>
        <v>#N/A</v>
      </c>
      <c r="C373" t="e">
        <f>VLOOKUP(A373,MasterTutor!A:E,3,FALSE)</f>
        <v>#N/A</v>
      </c>
      <c r="D373" t="e">
        <f>VLOOKUP(A373,MasterTutor!A:E,2,FALSE)</f>
        <v>#N/A</v>
      </c>
      <c r="E373" t="s">
        <v>328</v>
      </c>
      <c r="F373" s="2">
        <v>0.85</v>
      </c>
      <c r="G373" s="2">
        <v>0.98</v>
      </c>
      <c r="H373" s="2">
        <v>0.98650000000000004</v>
      </c>
      <c r="I373" s="2">
        <v>0.43419999999999997</v>
      </c>
      <c r="J373" s="2">
        <v>0.54500000000000004</v>
      </c>
      <c r="K373">
        <v>10</v>
      </c>
      <c r="L373" s="19" t="s">
        <v>344</v>
      </c>
      <c r="M373" s="21">
        <v>0.83</v>
      </c>
    </row>
    <row r="374" spans="1:13" x14ac:dyDescent="0.2">
      <c r="A374" t="s">
        <v>191</v>
      </c>
      <c r="B374" t="e">
        <f>VLOOKUP(A374,MasterTutor!A:E,4,FALSE)</f>
        <v>#N/A</v>
      </c>
      <c r="C374" t="e">
        <f>VLOOKUP(A374,MasterTutor!A:E,3,FALSE)</f>
        <v>#N/A</v>
      </c>
      <c r="D374" t="e">
        <f>VLOOKUP(A374,MasterTutor!A:E,2,FALSE)</f>
        <v>#N/A</v>
      </c>
      <c r="E374" t="s">
        <v>328</v>
      </c>
      <c r="F374" s="2">
        <v>7.0000000000000007E-2</v>
      </c>
      <c r="G374" s="2">
        <v>0.31</v>
      </c>
      <c r="H374" s="2">
        <v>1</v>
      </c>
      <c r="I374" s="2">
        <v>0.5</v>
      </c>
      <c r="J374" s="2" t="e">
        <v>#N/A</v>
      </c>
      <c r="K374" t="e">
        <v>#N/A</v>
      </c>
      <c r="L374" s="19">
        <v>1</v>
      </c>
      <c r="M374" s="21">
        <f>L374</f>
        <v>1</v>
      </c>
    </row>
    <row r="375" spans="1:13" x14ac:dyDescent="0.2">
      <c r="A375" t="s">
        <v>192</v>
      </c>
      <c r="B375" t="str">
        <f>VLOOKUP(A375,MasterTutor!A:E,4,FALSE)</f>
        <v>Advanced</v>
      </c>
      <c r="C375" t="str">
        <f>VLOOKUP(A375,MasterTutor!A:E,3,FALSE)</f>
        <v>Adjunct</v>
      </c>
      <c r="D375" t="str">
        <f>VLOOKUP(A375,MasterTutor!A:E,2,FALSE)</f>
        <v>Ela Cross</v>
      </c>
      <c r="E375" t="s">
        <v>328</v>
      </c>
      <c r="F375" s="2">
        <v>1.1499999999999999</v>
      </c>
      <c r="G375" s="2">
        <v>1.2</v>
      </c>
      <c r="H375" s="2">
        <v>1</v>
      </c>
      <c r="I375" s="2">
        <v>0.88890000000000002</v>
      </c>
      <c r="J375" s="2">
        <v>0.28599999999999998</v>
      </c>
      <c r="K375">
        <v>1</v>
      </c>
      <c r="L375" s="19" t="s">
        <v>330</v>
      </c>
      <c r="M375" s="21">
        <v>0.67</v>
      </c>
    </row>
    <row r="376" spans="1:13" x14ac:dyDescent="0.2">
      <c r="A376" t="s">
        <v>194</v>
      </c>
      <c r="B376" t="e">
        <f>VLOOKUP(A376,MasterTutor!A:E,4,FALSE)</f>
        <v>#N/A</v>
      </c>
      <c r="C376" t="e">
        <f>VLOOKUP(A376,MasterTutor!A:E,3,FALSE)</f>
        <v>#N/A</v>
      </c>
      <c r="D376" t="e">
        <f>VLOOKUP(A376,MasterTutor!A:E,2,FALSE)</f>
        <v>#N/A</v>
      </c>
      <c r="E376" t="s">
        <v>328</v>
      </c>
      <c r="F376" s="2">
        <v>0.83</v>
      </c>
      <c r="G376" s="2">
        <v>1.04</v>
      </c>
      <c r="H376" s="2">
        <v>0.97919999999999996</v>
      </c>
      <c r="I376" s="2">
        <v>0.82350000000000001</v>
      </c>
      <c r="J376" s="2">
        <v>0.66700000000000004</v>
      </c>
      <c r="K376">
        <v>1</v>
      </c>
      <c r="L376" s="19" t="s">
        <v>330</v>
      </c>
      <c r="M376" s="21">
        <v>0.67</v>
      </c>
    </row>
    <row r="377" spans="1:13" x14ac:dyDescent="0.2">
      <c r="A377" t="s">
        <v>195</v>
      </c>
      <c r="B377" t="e">
        <f>VLOOKUP(A377,MasterTutor!A:E,4,FALSE)</f>
        <v>#N/A</v>
      </c>
      <c r="C377" t="e">
        <f>VLOOKUP(A377,MasterTutor!A:E,3,FALSE)</f>
        <v>#N/A</v>
      </c>
      <c r="D377" t="e">
        <f>VLOOKUP(A377,MasterTutor!A:E,2,FALSE)</f>
        <v>#N/A</v>
      </c>
      <c r="E377" t="s">
        <v>328</v>
      </c>
      <c r="F377" s="2">
        <v>0.96</v>
      </c>
      <c r="G377" s="2">
        <v>0.98</v>
      </c>
      <c r="H377" s="2">
        <v>0.83689999999999998</v>
      </c>
      <c r="I377" s="2">
        <v>0.94869999999999999</v>
      </c>
      <c r="J377" s="2">
        <v>0.57099999999999995</v>
      </c>
      <c r="K377">
        <v>2</v>
      </c>
      <c r="L377" s="19">
        <v>0</v>
      </c>
      <c r="M377" s="21">
        <f t="shared" ref="M377:M383" si="8">L377</f>
        <v>0</v>
      </c>
    </row>
    <row r="378" spans="1:13" x14ac:dyDescent="0.2">
      <c r="A378" t="s">
        <v>196</v>
      </c>
      <c r="B378" t="str">
        <f>VLOOKUP(A378,MasterTutor!A:E,4,FALSE)</f>
        <v>Advanced</v>
      </c>
      <c r="C378" t="str">
        <f>VLOOKUP(A378,MasterTutor!A:E,3,FALSE)</f>
        <v>Adjunct</v>
      </c>
      <c r="D378" t="str">
        <f>VLOOKUP(A378,MasterTutor!A:E,2,FALSE)</f>
        <v>Kristin Haase-Alvey</v>
      </c>
      <c r="E378" t="s">
        <v>328</v>
      </c>
      <c r="F378" s="2">
        <v>0.95</v>
      </c>
      <c r="G378" s="2">
        <v>1.04</v>
      </c>
      <c r="H378" s="2">
        <v>0.96150000000000002</v>
      </c>
      <c r="I378" s="2">
        <v>0.88890000000000002</v>
      </c>
      <c r="J378" s="2">
        <v>0.875</v>
      </c>
      <c r="K378">
        <v>2</v>
      </c>
      <c r="L378" s="19">
        <v>1</v>
      </c>
      <c r="M378" s="21">
        <f t="shared" si="8"/>
        <v>1</v>
      </c>
    </row>
    <row r="379" spans="1:13" x14ac:dyDescent="0.2">
      <c r="A379" t="s">
        <v>197</v>
      </c>
      <c r="B379" t="str">
        <f>VLOOKUP(A379,MasterTutor!A:E,4,FALSE)</f>
        <v>Premium</v>
      </c>
      <c r="C379" t="str">
        <f>VLOOKUP(A379,MasterTutor!A:E,3,FALSE)</f>
        <v>Professional</v>
      </c>
      <c r="D379" t="str">
        <f>VLOOKUP(A379,MasterTutor!A:E,2,FALSE)</f>
        <v>Jessica Milner</v>
      </c>
      <c r="E379" t="s">
        <v>328</v>
      </c>
      <c r="F379" s="2">
        <v>0.66</v>
      </c>
      <c r="G379" s="2">
        <v>1.5</v>
      </c>
      <c r="H379" s="2">
        <v>0.88300000000000001</v>
      </c>
      <c r="I379" s="2">
        <v>0.79169999999999996</v>
      </c>
      <c r="J379" s="2">
        <v>0.93799999999999994</v>
      </c>
      <c r="K379">
        <v>5</v>
      </c>
      <c r="L379" s="19">
        <v>1</v>
      </c>
      <c r="M379" s="21">
        <f t="shared" si="8"/>
        <v>1</v>
      </c>
    </row>
    <row r="380" spans="1:13" x14ac:dyDescent="0.2">
      <c r="A380" t="s">
        <v>198</v>
      </c>
      <c r="B380" t="str">
        <f>VLOOKUP(A380,MasterTutor!A:E,4,FALSE)</f>
        <v>Distinguished</v>
      </c>
      <c r="C380" t="str">
        <f>VLOOKUP(A380,MasterTutor!A:E,3,FALSE)</f>
        <v>Adjunct</v>
      </c>
      <c r="D380" t="str">
        <f>VLOOKUP(A380,MasterTutor!A:E,2,FALSE)</f>
        <v>Ian Plamondon</v>
      </c>
      <c r="E380" t="s">
        <v>328</v>
      </c>
      <c r="F380" s="2">
        <v>0.83</v>
      </c>
      <c r="G380" s="2">
        <v>1.17</v>
      </c>
      <c r="H380" s="2">
        <v>1</v>
      </c>
      <c r="I380" s="2">
        <v>1</v>
      </c>
      <c r="J380" s="2">
        <v>0.57099999999999995</v>
      </c>
      <c r="K380" t="e">
        <v>#N/A</v>
      </c>
      <c r="L380" s="19">
        <v>1</v>
      </c>
      <c r="M380" s="21">
        <f t="shared" si="8"/>
        <v>1</v>
      </c>
    </row>
    <row r="381" spans="1:13" x14ac:dyDescent="0.2">
      <c r="A381" t="s">
        <v>199</v>
      </c>
      <c r="B381" t="e">
        <f>VLOOKUP(A381,MasterTutor!A:E,4,FALSE)</f>
        <v>#N/A</v>
      </c>
      <c r="C381" t="e">
        <f>VLOOKUP(A381,MasterTutor!A:E,3,FALSE)</f>
        <v>#N/A</v>
      </c>
      <c r="D381" t="e">
        <f>VLOOKUP(A381,MasterTutor!A:E,2,FALSE)</f>
        <v>#N/A</v>
      </c>
      <c r="E381" t="s">
        <v>328</v>
      </c>
      <c r="F381" s="2">
        <v>0.61</v>
      </c>
      <c r="G381" s="2">
        <v>0.94</v>
      </c>
      <c r="H381" s="2">
        <v>1</v>
      </c>
      <c r="I381" s="2">
        <v>0.98529999999999995</v>
      </c>
      <c r="J381" s="2">
        <v>0.71399999999999997</v>
      </c>
      <c r="K381">
        <v>6</v>
      </c>
      <c r="L381" s="19">
        <v>1</v>
      </c>
      <c r="M381" s="21">
        <f t="shared" si="8"/>
        <v>1</v>
      </c>
    </row>
    <row r="382" spans="1:13" x14ac:dyDescent="0.2">
      <c r="A382" t="s">
        <v>200</v>
      </c>
      <c r="B382" t="e">
        <f>VLOOKUP(A382,MasterTutor!A:E,4,FALSE)</f>
        <v>#N/A</v>
      </c>
      <c r="C382" t="e">
        <f>VLOOKUP(A382,MasterTutor!A:E,3,FALSE)</f>
        <v>#N/A</v>
      </c>
      <c r="D382" t="e">
        <f>VLOOKUP(A382,MasterTutor!A:E,2,FALSE)</f>
        <v>#N/A</v>
      </c>
      <c r="E382" t="s">
        <v>328</v>
      </c>
      <c r="F382" s="2">
        <v>0.97</v>
      </c>
      <c r="G382" s="2">
        <v>1.1000000000000001</v>
      </c>
      <c r="H382" s="2">
        <v>0.75949999999999995</v>
      </c>
      <c r="I382" s="2">
        <v>1</v>
      </c>
      <c r="J382" s="2">
        <v>0.94699999999999995</v>
      </c>
      <c r="K382">
        <v>8</v>
      </c>
      <c r="L382" s="19">
        <v>0</v>
      </c>
      <c r="M382" s="21">
        <f t="shared" si="8"/>
        <v>0</v>
      </c>
    </row>
    <row r="383" spans="1:13" x14ac:dyDescent="0.2">
      <c r="A383" t="s">
        <v>201</v>
      </c>
      <c r="B383" t="str">
        <f>VLOOKUP(A383,MasterTutor!A:E,4,FALSE)</f>
        <v>Distinguished</v>
      </c>
      <c r="C383" t="str">
        <f>VLOOKUP(A383,MasterTutor!A:E,3,FALSE)</f>
        <v>Professional</v>
      </c>
      <c r="D383" t="str">
        <f>VLOOKUP(A383,MasterTutor!A:E,2,FALSE)</f>
        <v>Ian Plamondon</v>
      </c>
      <c r="E383" t="s">
        <v>328</v>
      </c>
      <c r="F383" s="2">
        <v>0.6</v>
      </c>
      <c r="G383" s="2">
        <v>0.97</v>
      </c>
      <c r="H383" s="2">
        <v>1</v>
      </c>
      <c r="I383" s="2">
        <v>0.94440000000000002</v>
      </c>
      <c r="J383" s="2">
        <v>0.83299999999999996</v>
      </c>
      <c r="K383">
        <v>3</v>
      </c>
      <c r="L383" s="19">
        <v>0</v>
      </c>
      <c r="M383" s="21">
        <f t="shared" si="8"/>
        <v>0</v>
      </c>
    </row>
    <row r="384" spans="1:13" x14ac:dyDescent="0.2">
      <c r="A384" t="s">
        <v>202</v>
      </c>
      <c r="B384" t="str">
        <f>VLOOKUP(A384,MasterTutor!A:E,4,FALSE)</f>
        <v>Advanced</v>
      </c>
      <c r="C384" t="str">
        <f>VLOOKUP(A384,MasterTutor!A:E,3,FALSE)</f>
        <v>Professional</v>
      </c>
      <c r="D384" t="str">
        <f>VLOOKUP(A384,MasterTutor!A:E,2,FALSE)</f>
        <v>Annelies de Groot</v>
      </c>
      <c r="E384" t="s">
        <v>328</v>
      </c>
      <c r="F384" s="2">
        <v>0.98</v>
      </c>
      <c r="G384" s="2">
        <v>1.1399999999999999</v>
      </c>
      <c r="H384" s="2">
        <v>1</v>
      </c>
      <c r="I384" s="2">
        <v>0.82050000000000001</v>
      </c>
      <c r="J384" s="2">
        <v>0.83299999999999996</v>
      </c>
      <c r="K384">
        <v>5</v>
      </c>
      <c r="L384" s="19" t="s">
        <v>347</v>
      </c>
      <c r="M384" s="21">
        <v>0.56999999999999995</v>
      </c>
    </row>
    <row r="385" spans="1:13" x14ac:dyDescent="0.2">
      <c r="A385" t="s">
        <v>203</v>
      </c>
      <c r="B385" t="str">
        <f>VLOOKUP(A385,MasterTutor!A:E,4,FALSE)</f>
        <v>Premium</v>
      </c>
      <c r="C385" t="str">
        <f>VLOOKUP(A385,MasterTutor!A:E,3,FALSE)</f>
        <v>Professional</v>
      </c>
      <c r="D385" t="str">
        <f>VLOOKUP(A385,MasterTutor!A:E,2,FALSE)</f>
        <v>Ian Plamondon</v>
      </c>
      <c r="E385" t="s">
        <v>328</v>
      </c>
      <c r="F385" s="2">
        <v>0.71</v>
      </c>
      <c r="G385" s="2">
        <v>0.99</v>
      </c>
      <c r="H385" s="2">
        <v>0.99</v>
      </c>
      <c r="I385" s="2">
        <v>1</v>
      </c>
      <c r="J385" s="2">
        <v>0.15</v>
      </c>
      <c r="K385">
        <v>3</v>
      </c>
      <c r="L385" s="19">
        <v>1</v>
      </c>
      <c r="M385" s="21">
        <f>L385</f>
        <v>1</v>
      </c>
    </row>
    <row r="386" spans="1:13" x14ac:dyDescent="0.2">
      <c r="A386" t="s">
        <v>204</v>
      </c>
      <c r="B386" t="str">
        <f>VLOOKUP(A386,MasterTutor!A:E,4,FALSE)</f>
        <v>Advanced</v>
      </c>
      <c r="C386" t="str">
        <f>VLOOKUP(A386,MasterTutor!A:E,3,FALSE)</f>
        <v>Professional</v>
      </c>
      <c r="D386" t="str">
        <f>VLOOKUP(A386,MasterTutor!A:E,2,FALSE)</f>
        <v>Ela Cross</v>
      </c>
      <c r="E386" t="s">
        <v>328</v>
      </c>
      <c r="F386" s="2">
        <v>1.33</v>
      </c>
      <c r="G386" s="2">
        <v>1.36</v>
      </c>
      <c r="H386" s="2">
        <v>0.97340000000000004</v>
      </c>
      <c r="I386" s="2">
        <v>0.72499999999999998</v>
      </c>
      <c r="J386" s="2">
        <v>0.4</v>
      </c>
      <c r="K386">
        <v>5</v>
      </c>
      <c r="L386" s="19">
        <v>0</v>
      </c>
      <c r="M386" s="21">
        <f>L386</f>
        <v>0</v>
      </c>
    </row>
    <row r="387" spans="1:13" x14ac:dyDescent="0.2">
      <c r="A387" t="s">
        <v>205</v>
      </c>
      <c r="B387" t="e">
        <f>VLOOKUP(A387,MasterTutor!A:E,4,FALSE)</f>
        <v>#N/A</v>
      </c>
      <c r="C387" t="e">
        <f>VLOOKUP(A387,MasterTutor!A:E,3,FALSE)</f>
        <v>#N/A</v>
      </c>
      <c r="D387" t="e">
        <f>VLOOKUP(A387,MasterTutor!A:E,2,FALSE)</f>
        <v>#N/A</v>
      </c>
      <c r="E387" t="s">
        <v>328</v>
      </c>
      <c r="F387" s="2">
        <v>1.21</v>
      </c>
      <c r="G387" s="2">
        <v>1.33</v>
      </c>
      <c r="H387" s="2">
        <v>0.98609999999999998</v>
      </c>
      <c r="I387" s="2">
        <v>0.97729999999999995</v>
      </c>
      <c r="J387" s="2">
        <v>0.75</v>
      </c>
      <c r="K387">
        <v>6</v>
      </c>
      <c r="L387" s="19">
        <v>1</v>
      </c>
      <c r="M387" s="21">
        <f>L387</f>
        <v>1</v>
      </c>
    </row>
    <row r="388" spans="1:13" x14ac:dyDescent="0.2">
      <c r="A388" t="s">
        <v>207</v>
      </c>
      <c r="B388" t="str">
        <f>VLOOKUP(A388,MasterTutor!A:E,4,FALSE)</f>
        <v>Advanced</v>
      </c>
      <c r="C388" t="str">
        <f>VLOOKUP(A388,MasterTutor!A:E,3,FALSE)</f>
        <v>Adjunct</v>
      </c>
      <c r="D388" t="str">
        <f>VLOOKUP(A388,MasterTutor!A:E,2,FALSE)</f>
        <v>Ela Cross</v>
      </c>
      <c r="E388" t="s">
        <v>328</v>
      </c>
      <c r="F388" s="2">
        <v>1.1200000000000001</v>
      </c>
      <c r="G388" s="2">
        <v>1.17</v>
      </c>
      <c r="H388" s="2">
        <v>0.98409999999999997</v>
      </c>
      <c r="I388" s="2">
        <v>0.79800000000000004</v>
      </c>
      <c r="J388" s="2">
        <v>0.4</v>
      </c>
      <c r="K388">
        <v>11</v>
      </c>
      <c r="L388" s="19" t="s">
        <v>338</v>
      </c>
      <c r="M388" s="21">
        <v>0.8</v>
      </c>
    </row>
    <row r="389" spans="1:13" x14ac:dyDescent="0.2">
      <c r="A389" t="s">
        <v>348</v>
      </c>
      <c r="B389" t="e">
        <f>VLOOKUP(A389,MasterTutor!A:E,4,FALSE)</f>
        <v>#N/A</v>
      </c>
      <c r="C389" t="e">
        <f>VLOOKUP(A389,MasterTutor!A:E,3,FALSE)</f>
        <v>#N/A</v>
      </c>
      <c r="D389" t="e">
        <f>VLOOKUP(A389,MasterTutor!A:E,2,FALSE)</f>
        <v>#N/A</v>
      </c>
      <c r="E389" t="s">
        <v>328</v>
      </c>
      <c r="F389" s="2">
        <v>0</v>
      </c>
      <c r="G389" s="2">
        <v>0.4</v>
      </c>
      <c r="H389" s="2">
        <v>0</v>
      </c>
      <c r="I389" s="2">
        <v>0</v>
      </c>
      <c r="J389" s="2" t="e">
        <v>#N/A</v>
      </c>
      <c r="K389" t="e">
        <v>#N/A</v>
      </c>
    </row>
    <row r="390" spans="1:13" x14ac:dyDescent="0.2">
      <c r="A390" t="s">
        <v>208</v>
      </c>
      <c r="B390" t="str">
        <f>VLOOKUP(A390,MasterTutor!A:E,4,FALSE)</f>
        <v>Distinguished</v>
      </c>
      <c r="C390" t="str">
        <f>VLOOKUP(A390,MasterTutor!A:E,3,FALSE)</f>
        <v>Adjunct</v>
      </c>
      <c r="D390" t="str">
        <f>VLOOKUP(A390,MasterTutor!A:E,2,FALSE)</f>
        <v>Annelies de Groot</v>
      </c>
      <c r="E390" t="s">
        <v>328</v>
      </c>
      <c r="F390" s="2">
        <v>0.91</v>
      </c>
      <c r="G390" s="2">
        <v>1.25</v>
      </c>
      <c r="H390" s="2">
        <v>1</v>
      </c>
      <c r="I390" s="2">
        <v>0.9667</v>
      </c>
      <c r="J390" s="2">
        <v>0.5</v>
      </c>
      <c r="K390">
        <v>3</v>
      </c>
      <c r="L390" s="19" t="s">
        <v>330</v>
      </c>
      <c r="M390" s="21">
        <v>0.67</v>
      </c>
    </row>
    <row r="391" spans="1:13" x14ac:dyDescent="0.2">
      <c r="A391" t="s">
        <v>209</v>
      </c>
      <c r="B391" t="str">
        <f>VLOOKUP(A391,MasterTutor!A:E,4,FALSE)</f>
        <v>Premium</v>
      </c>
      <c r="C391" t="str">
        <f>VLOOKUP(A391,MasterTutor!A:E,3,FALSE)</f>
        <v>Professional</v>
      </c>
      <c r="D391" t="str">
        <f>VLOOKUP(A391,MasterTutor!A:E,2,FALSE)</f>
        <v>Jessica Milner</v>
      </c>
      <c r="E391" t="s">
        <v>328</v>
      </c>
      <c r="F391" s="2">
        <v>0.75</v>
      </c>
      <c r="G391" s="2">
        <v>1.25</v>
      </c>
      <c r="H391" s="2">
        <v>1</v>
      </c>
      <c r="I391" s="2">
        <v>1</v>
      </c>
      <c r="J391" s="2">
        <v>0.95</v>
      </c>
      <c r="K391">
        <v>4</v>
      </c>
      <c r="L391" s="19" t="s">
        <v>331</v>
      </c>
      <c r="M391" s="21">
        <v>0.5</v>
      </c>
    </row>
    <row r="392" spans="1:13" x14ac:dyDescent="0.2">
      <c r="A392" t="s">
        <v>12</v>
      </c>
      <c r="B392" t="str">
        <f>VLOOKUP(A392,MasterTutor!A:E,4,FALSE)</f>
        <v>Advanced</v>
      </c>
      <c r="C392" t="str">
        <f>VLOOKUP(A392,MasterTutor!A:E,3,FALSE)</f>
        <v>Adjunct</v>
      </c>
      <c r="D392" t="str">
        <f>VLOOKUP(A392,MasterTutor!A:E,2,FALSE)</f>
        <v>Ian Plamondon</v>
      </c>
      <c r="E392" t="s">
        <v>349</v>
      </c>
      <c r="F392" s="2">
        <v>1.07</v>
      </c>
      <c r="G392" s="2">
        <v>1.06</v>
      </c>
      <c r="H392" s="2">
        <v>1</v>
      </c>
      <c r="I392" s="2">
        <v>0.95650000000000002</v>
      </c>
      <c r="J392" s="2">
        <v>0.77800000000000002</v>
      </c>
      <c r="K392">
        <v>9</v>
      </c>
      <c r="L392" s="19" t="s">
        <v>331</v>
      </c>
      <c r="M392" s="21">
        <v>0.5</v>
      </c>
    </row>
    <row r="393" spans="1:13" x14ac:dyDescent="0.2">
      <c r="A393" t="s">
        <v>14</v>
      </c>
      <c r="B393" t="e">
        <f>VLOOKUP(A393,MasterTutor!A:E,4,FALSE)</f>
        <v>#N/A</v>
      </c>
      <c r="C393" t="e">
        <f>VLOOKUP(A393,MasterTutor!A:E,3,FALSE)</f>
        <v>#N/A</v>
      </c>
      <c r="D393" t="e">
        <f>VLOOKUP(A393,MasterTutor!A:E,2,FALSE)</f>
        <v>#N/A</v>
      </c>
      <c r="E393" t="s">
        <v>349</v>
      </c>
      <c r="F393" s="2">
        <v>0.84</v>
      </c>
      <c r="G393" s="2">
        <v>0.97</v>
      </c>
      <c r="H393" s="2">
        <v>0.89439999999999997</v>
      </c>
      <c r="I393" s="2">
        <v>1</v>
      </c>
      <c r="J393" s="2">
        <v>0.73299999999999998</v>
      </c>
      <c r="K393" t="e">
        <v>#N/A</v>
      </c>
      <c r="M393" s="21"/>
    </row>
    <row r="394" spans="1:13" x14ac:dyDescent="0.2">
      <c r="A394" t="s">
        <v>15</v>
      </c>
      <c r="B394" t="str">
        <f>VLOOKUP(A394,MasterTutor!A:E,4,FALSE)</f>
        <v>Advanced</v>
      </c>
      <c r="C394" t="str">
        <f>VLOOKUP(A394,MasterTutor!A:E,3,FALSE)</f>
        <v>Professional</v>
      </c>
      <c r="D394" t="str">
        <f>VLOOKUP(A394,MasterTutor!A:E,2,FALSE)</f>
        <v>Ian Plamondon</v>
      </c>
      <c r="E394" t="s">
        <v>349</v>
      </c>
      <c r="F394" s="2">
        <v>0.88</v>
      </c>
      <c r="G394" s="2">
        <v>1.01</v>
      </c>
      <c r="H394" s="2">
        <v>1</v>
      </c>
      <c r="I394" s="2">
        <v>0.97850000000000004</v>
      </c>
      <c r="J394" s="2">
        <v>0.32400000000000001</v>
      </c>
      <c r="K394">
        <v>6</v>
      </c>
      <c r="L394" s="19" t="s">
        <v>345</v>
      </c>
      <c r="M394" s="21">
        <v>0.2</v>
      </c>
    </row>
    <row r="395" spans="1:13" x14ac:dyDescent="0.2">
      <c r="A395" t="s">
        <v>16</v>
      </c>
      <c r="B395" t="str">
        <f>VLOOKUP(A395,MasterTutor!A:E,4,FALSE)</f>
        <v>Premium</v>
      </c>
      <c r="C395" t="str">
        <f>VLOOKUP(A395,MasterTutor!A:E,3,FALSE)</f>
        <v>Adjunct</v>
      </c>
      <c r="D395" t="str">
        <f>VLOOKUP(A395,MasterTutor!A:E,2,FALSE)</f>
        <v>Ela Cross</v>
      </c>
      <c r="E395" t="s">
        <v>349</v>
      </c>
      <c r="F395" s="2">
        <v>0.81</v>
      </c>
      <c r="G395" s="2">
        <v>1.02</v>
      </c>
      <c r="H395" s="2">
        <v>1</v>
      </c>
      <c r="I395" s="2">
        <v>1</v>
      </c>
      <c r="J395" s="2">
        <v>0.33300000000000002</v>
      </c>
      <c r="K395">
        <v>1</v>
      </c>
      <c r="M395" s="21"/>
    </row>
    <row r="396" spans="1:13" x14ac:dyDescent="0.2">
      <c r="A396" t="s">
        <v>17</v>
      </c>
      <c r="B396" t="str">
        <f>VLOOKUP(A396,MasterTutor!A:E,4,FALSE)</f>
        <v>Premium</v>
      </c>
      <c r="C396" t="str">
        <f>VLOOKUP(A396,MasterTutor!A:E,3,FALSE)</f>
        <v>Professional</v>
      </c>
      <c r="D396" t="str">
        <f>VLOOKUP(A396,MasterTutor!A:E,2,FALSE)</f>
        <v>Ian Plamondon</v>
      </c>
      <c r="E396" t="s">
        <v>349</v>
      </c>
      <c r="F396" s="2">
        <v>0.86</v>
      </c>
      <c r="G396" s="2">
        <v>1.82</v>
      </c>
      <c r="H396" s="2">
        <v>0.98529999999999995</v>
      </c>
      <c r="I396" s="2">
        <v>0.98440000000000005</v>
      </c>
      <c r="J396" s="2">
        <v>0.83299999999999996</v>
      </c>
      <c r="K396">
        <v>4</v>
      </c>
      <c r="L396" s="19" t="s">
        <v>334</v>
      </c>
      <c r="M396" s="21">
        <v>0.86</v>
      </c>
    </row>
    <row r="397" spans="1:13" x14ac:dyDescent="0.2">
      <c r="A397" t="s">
        <v>18</v>
      </c>
      <c r="B397" t="str">
        <f>VLOOKUP(A397,MasterTutor!A:E,4,FALSE)</f>
        <v>Distinguished</v>
      </c>
      <c r="C397" t="str">
        <f>VLOOKUP(A397,MasterTutor!A:E,3,FALSE)</f>
        <v>Professional</v>
      </c>
      <c r="D397" t="str">
        <f>VLOOKUP(A397,MasterTutor!A:E,2,FALSE)</f>
        <v>Ian Plamondon</v>
      </c>
      <c r="E397" t="s">
        <v>349</v>
      </c>
      <c r="F397" s="2">
        <v>0.97</v>
      </c>
      <c r="G397" s="2">
        <v>1.03</v>
      </c>
      <c r="H397" s="2">
        <v>0.99070000000000003</v>
      </c>
      <c r="I397" s="2">
        <v>0.91890000000000005</v>
      </c>
      <c r="J397" s="2">
        <v>0.69599999999999995</v>
      </c>
      <c r="K397">
        <v>4</v>
      </c>
      <c r="L397" s="19">
        <v>1</v>
      </c>
      <c r="M397" s="21">
        <f>L397</f>
        <v>1</v>
      </c>
    </row>
    <row r="398" spans="1:13" x14ac:dyDescent="0.2">
      <c r="A398" t="s">
        <v>19</v>
      </c>
      <c r="B398" t="str">
        <f>VLOOKUP(A398,MasterTutor!A:E,4,FALSE)</f>
        <v>Premium</v>
      </c>
      <c r="C398" t="str">
        <f>VLOOKUP(A398,MasterTutor!A:E,3,FALSE)</f>
        <v>Adjunct</v>
      </c>
      <c r="D398" t="str">
        <f>VLOOKUP(A398,MasterTutor!A:E,2,FALSE)</f>
        <v>Geoff St. Marie</v>
      </c>
      <c r="E398" t="s">
        <v>349</v>
      </c>
      <c r="F398" s="2">
        <v>1.02</v>
      </c>
      <c r="G398" s="2">
        <v>1.04</v>
      </c>
      <c r="H398" s="2">
        <v>1</v>
      </c>
      <c r="I398" s="2">
        <v>0.88570000000000004</v>
      </c>
      <c r="J398" s="2">
        <v>0.94699999999999995</v>
      </c>
      <c r="K398" t="e">
        <v>#N/A</v>
      </c>
      <c r="M398" s="21"/>
    </row>
    <row r="399" spans="1:13" x14ac:dyDescent="0.2">
      <c r="A399" t="s">
        <v>20</v>
      </c>
      <c r="B399" t="e">
        <f>VLOOKUP(A399,MasterTutor!A:E,4,FALSE)</f>
        <v>#N/A</v>
      </c>
      <c r="C399" t="e">
        <f>VLOOKUP(A399,MasterTutor!A:E,3,FALSE)</f>
        <v>#N/A</v>
      </c>
      <c r="D399" t="e">
        <f>VLOOKUP(A399,MasterTutor!A:E,2,FALSE)</f>
        <v>#N/A</v>
      </c>
      <c r="E399" t="s">
        <v>349</v>
      </c>
      <c r="F399" s="2">
        <v>1.66</v>
      </c>
      <c r="G399" s="2">
        <v>1.45</v>
      </c>
      <c r="H399" s="2">
        <v>0.96120000000000005</v>
      </c>
      <c r="I399" s="2">
        <v>0.96550000000000002</v>
      </c>
      <c r="J399" s="2">
        <v>1</v>
      </c>
      <c r="K399">
        <v>5</v>
      </c>
      <c r="L399" s="19" t="s">
        <v>337</v>
      </c>
      <c r="M399" s="21">
        <f>1/3</f>
        <v>0.33333333333333331</v>
      </c>
    </row>
    <row r="400" spans="1:13" x14ac:dyDescent="0.2">
      <c r="A400" t="s">
        <v>21</v>
      </c>
      <c r="B400" t="str">
        <f>VLOOKUP(A400,MasterTutor!A:E,4,FALSE)</f>
        <v>Distinguished</v>
      </c>
      <c r="C400" t="str">
        <f>VLOOKUP(A400,MasterTutor!A:E,3,FALSE)</f>
        <v>Adjunct</v>
      </c>
      <c r="D400" t="str">
        <f>VLOOKUP(A400,MasterTutor!A:E,2,FALSE)</f>
        <v>Kristin Haase-Alvey</v>
      </c>
      <c r="E400" t="s">
        <v>349</v>
      </c>
      <c r="F400" s="2">
        <v>0.9</v>
      </c>
      <c r="G400" s="2">
        <v>1.33</v>
      </c>
      <c r="H400" s="2">
        <v>1</v>
      </c>
      <c r="I400" s="2">
        <v>0.86209999999999998</v>
      </c>
      <c r="J400" s="2">
        <v>0.72699999999999998</v>
      </c>
      <c r="K400" t="e">
        <v>#N/A</v>
      </c>
      <c r="L400" s="19">
        <v>1</v>
      </c>
      <c r="M400" s="21">
        <f>L400</f>
        <v>1</v>
      </c>
    </row>
    <row r="401" spans="1:13" x14ac:dyDescent="0.2">
      <c r="A401" t="s">
        <v>22</v>
      </c>
      <c r="B401" t="str">
        <f>VLOOKUP(A401,MasterTutor!A:E,4,FALSE)</f>
        <v>Advanced</v>
      </c>
      <c r="C401" t="str">
        <f>VLOOKUP(A401,MasterTutor!A:E,3,FALSE)</f>
        <v>Professional</v>
      </c>
      <c r="D401" t="str">
        <f>VLOOKUP(A401,MasterTutor!A:E,2,FALSE)</f>
        <v>Annelies de Groot</v>
      </c>
      <c r="E401" t="s">
        <v>349</v>
      </c>
      <c r="F401" s="2">
        <v>0.8</v>
      </c>
      <c r="G401" s="2">
        <v>1.04</v>
      </c>
      <c r="H401" s="2">
        <v>0.89149999999999996</v>
      </c>
      <c r="I401" s="2">
        <v>0.94340000000000002</v>
      </c>
      <c r="J401" s="2">
        <v>0.71399999999999997</v>
      </c>
      <c r="K401" t="e">
        <v>#N/A</v>
      </c>
      <c r="L401" s="19" t="s">
        <v>350</v>
      </c>
      <c r="M401" s="21">
        <v>0.28999999999999998</v>
      </c>
    </row>
    <row r="402" spans="1:13" x14ac:dyDescent="0.2">
      <c r="A402" t="s">
        <v>23</v>
      </c>
      <c r="B402" t="str">
        <f>VLOOKUP(A402,MasterTutor!A:E,4,FALSE)</f>
        <v>Premium</v>
      </c>
      <c r="C402" t="str">
        <f>VLOOKUP(A402,MasterTutor!A:E,3,FALSE)</f>
        <v>Professional</v>
      </c>
      <c r="D402" t="str">
        <f>VLOOKUP(A402,MasterTutor!A:E,2,FALSE)</f>
        <v>Jessica Milner</v>
      </c>
      <c r="E402" t="s">
        <v>349</v>
      </c>
      <c r="F402" s="2">
        <v>0.64</v>
      </c>
      <c r="G402" s="2">
        <v>1.17</v>
      </c>
      <c r="H402" s="2">
        <v>1</v>
      </c>
      <c r="I402" s="2">
        <v>0.89359999999999995</v>
      </c>
      <c r="J402" s="2">
        <v>0.33300000000000002</v>
      </c>
      <c r="K402">
        <v>1</v>
      </c>
      <c r="L402" s="19">
        <v>0</v>
      </c>
      <c r="M402" s="21">
        <f>L402</f>
        <v>0</v>
      </c>
    </row>
    <row r="403" spans="1:13" x14ac:dyDescent="0.2">
      <c r="A403" t="s">
        <v>24</v>
      </c>
      <c r="B403" t="str">
        <f>VLOOKUP(A403,MasterTutor!A:E,4,FALSE)</f>
        <v>Distinguished</v>
      </c>
      <c r="C403" t="str">
        <f>VLOOKUP(A403,MasterTutor!A:E,3,FALSE)</f>
        <v>Professional</v>
      </c>
      <c r="D403" t="str">
        <f>VLOOKUP(A403,MasterTutor!A:E,2,FALSE)</f>
        <v>Kristin Haase-Alvey</v>
      </c>
      <c r="E403" t="s">
        <v>349</v>
      </c>
      <c r="F403" s="2">
        <v>0.93</v>
      </c>
      <c r="G403" s="2">
        <v>0.99</v>
      </c>
      <c r="H403" s="2">
        <v>1</v>
      </c>
      <c r="I403" s="2">
        <v>0.86419999999999997</v>
      </c>
      <c r="J403" s="2">
        <v>0.92</v>
      </c>
      <c r="K403">
        <v>5</v>
      </c>
      <c r="L403" s="19" t="s">
        <v>330</v>
      </c>
      <c r="M403" s="21">
        <v>0.67</v>
      </c>
    </row>
    <row r="404" spans="1:13" x14ac:dyDescent="0.2">
      <c r="A404" t="s">
        <v>25</v>
      </c>
      <c r="B404" t="e">
        <f>VLOOKUP(A404,MasterTutor!A:E,4,FALSE)</f>
        <v>#N/A</v>
      </c>
      <c r="C404" t="e">
        <f>VLOOKUP(A404,MasterTutor!A:E,3,FALSE)</f>
        <v>#N/A</v>
      </c>
      <c r="D404" t="e">
        <f>VLOOKUP(A404,MasterTutor!A:E,2,FALSE)</f>
        <v>#N/A</v>
      </c>
      <c r="E404" t="s">
        <v>349</v>
      </c>
      <c r="F404" s="2">
        <v>1.1299999999999999</v>
      </c>
      <c r="G404" s="2">
        <v>1.05</v>
      </c>
      <c r="H404" s="2">
        <v>1</v>
      </c>
      <c r="I404" s="2">
        <v>0.46150000000000002</v>
      </c>
      <c r="J404" s="2">
        <v>0.55600000000000005</v>
      </c>
      <c r="K404">
        <v>10</v>
      </c>
      <c r="L404" s="19">
        <v>0</v>
      </c>
      <c r="M404" s="21">
        <f>L404</f>
        <v>0</v>
      </c>
    </row>
    <row r="405" spans="1:13" x14ac:dyDescent="0.2">
      <c r="A405" t="s">
        <v>26</v>
      </c>
      <c r="B405" t="str">
        <f>VLOOKUP(A405,MasterTutor!A:E,4,FALSE)</f>
        <v>Distinguished</v>
      </c>
      <c r="C405" t="str">
        <f>VLOOKUP(A405,MasterTutor!A:E,3,FALSE)</f>
        <v>Professional</v>
      </c>
      <c r="D405" t="str">
        <f>VLOOKUP(A405,MasterTutor!A:E,2,FALSE)</f>
        <v>Ian Plamondon</v>
      </c>
      <c r="E405" t="s">
        <v>349</v>
      </c>
      <c r="F405" s="2">
        <v>0.94</v>
      </c>
      <c r="G405" s="2">
        <v>1.06</v>
      </c>
      <c r="H405" s="2">
        <v>0.99070000000000003</v>
      </c>
      <c r="I405" s="2">
        <v>0.87839999999999996</v>
      </c>
      <c r="J405" s="2">
        <v>0.66700000000000004</v>
      </c>
      <c r="K405">
        <v>5</v>
      </c>
      <c r="L405" s="19">
        <v>0</v>
      </c>
      <c r="M405" s="21">
        <f>L405</f>
        <v>0</v>
      </c>
    </row>
    <row r="406" spans="1:13" x14ac:dyDescent="0.2">
      <c r="A406" t="s">
        <v>27</v>
      </c>
      <c r="B406" t="str">
        <f>VLOOKUP(A406,MasterTutor!A:E,4,FALSE)</f>
        <v>Premium</v>
      </c>
      <c r="C406" t="str">
        <f>VLOOKUP(A406,MasterTutor!A:E,3,FALSE)</f>
        <v>Professional</v>
      </c>
      <c r="D406" t="str">
        <f>VLOOKUP(A406,MasterTutor!A:E,2,FALSE)</f>
        <v>Jessica Milner</v>
      </c>
      <c r="E406" t="s">
        <v>349</v>
      </c>
      <c r="F406" s="2">
        <v>0.56000000000000005</v>
      </c>
      <c r="G406" s="2">
        <v>0.85</v>
      </c>
      <c r="H406" s="2">
        <v>0.97050000000000003</v>
      </c>
      <c r="I406" s="2">
        <v>0.97670000000000001</v>
      </c>
      <c r="J406" s="2">
        <v>0.73299999999999998</v>
      </c>
      <c r="K406">
        <v>1</v>
      </c>
      <c r="L406" s="19">
        <v>1</v>
      </c>
      <c r="M406" s="21">
        <f>L406</f>
        <v>1</v>
      </c>
    </row>
    <row r="407" spans="1:13" x14ac:dyDescent="0.2">
      <c r="A407" t="s">
        <v>28</v>
      </c>
      <c r="B407" t="e">
        <f>VLOOKUP(A407,MasterTutor!A:E,4,FALSE)</f>
        <v>#N/A</v>
      </c>
      <c r="C407" t="e">
        <f>VLOOKUP(A407,MasterTutor!A:E,3,FALSE)</f>
        <v>#N/A</v>
      </c>
      <c r="D407" t="e">
        <f>VLOOKUP(A407,MasterTutor!A:E,2,FALSE)</f>
        <v>#N/A</v>
      </c>
      <c r="E407" t="s">
        <v>349</v>
      </c>
      <c r="F407" s="2">
        <v>1.1499999999999999</v>
      </c>
      <c r="G407" s="2">
        <v>0.98</v>
      </c>
      <c r="H407" s="2">
        <v>1</v>
      </c>
      <c r="I407" s="2">
        <v>0.98060000000000003</v>
      </c>
      <c r="J407" s="2">
        <v>0.82899999999999996</v>
      </c>
      <c r="K407">
        <v>10</v>
      </c>
      <c r="L407" s="19">
        <v>1</v>
      </c>
      <c r="M407" s="21">
        <f>L407</f>
        <v>1</v>
      </c>
    </row>
    <row r="408" spans="1:13" x14ac:dyDescent="0.2">
      <c r="A408" t="s">
        <v>29</v>
      </c>
      <c r="B408" t="str">
        <f>VLOOKUP(A408,MasterTutor!A:E,4,FALSE)</f>
        <v>Distinguished</v>
      </c>
      <c r="C408" t="str">
        <f>VLOOKUP(A408,MasterTutor!A:E,3,FALSE)</f>
        <v>Adjunct</v>
      </c>
      <c r="D408" t="str">
        <f>VLOOKUP(A408,MasterTutor!A:E,2,FALSE)</f>
        <v>Kristin Haase-Alvey</v>
      </c>
      <c r="E408" t="s">
        <v>349</v>
      </c>
      <c r="F408" s="2">
        <v>0.88</v>
      </c>
      <c r="G408" s="2">
        <v>0.87</v>
      </c>
      <c r="H408" s="2">
        <v>1</v>
      </c>
      <c r="I408" s="2">
        <v>1</v>
      </c>
      <c r="J408" s="2">
        <v>0.73699999999999999</v>
      </c>
      <c r="K408">
        <v>6</v>
      </c>
      <c r="M408" s="21"/>
    </row>
    <row r="409" spans="1:13" x14ac:dyDescent="0.2">
      <c r="A409" t="s">
        <v>30</v>
      </c>
      <c r="B409" t="str">
        <f>VLOOKUP(A409,MasterTutor!A:E,4,FALSE)</f>
        <v>Distinguished</v>
      </c>
      <c r="C409" t="str">
        <f>VLOOKUP(A409,MasterTutor!A:E,3,FALSE)</f>
        <v>Professional</v>
      </c>
      <c r="D409" t="str">
        <f>VLOOKUP(A409,MasterTutor!A:E,2,FALSE)</f>
        <v>Ian Plamondon</v>
      </c>
      <c r="E409" t="s">
        <v>349</v>
      </c>
      <c r="F409" s="2">
        <v>1.03</v>
      </c>
      <c r="G409" s="2">
        <v>1.58</v>
      </c>
      <c r="H409" s="2">
        <v>0.97299999999999998</v>
      </c>
      <c r="I409" s="2">
        <v>1</v>
      </c>
      <c r="J409" s="2">
        <v>0.77300000000000002</v>
      </c>
      <c r="K409">
        <v>6</v>
      </c>
      <c r="L409" s="19" t="s">
        <v>329</v>
      </c>
      <c r="M409" s="21">
        <v>0.75</v>
      </c>
    </row>
    <row r="410" spans="1:13" x14ac:dyDescent="0.2">
      <c r="A410" t="s">
        <v>31</v>
      </c>
      <c r="B410" t="str">
        <f>VLOOKUP(A410,MasterTutor!A:E,4,FALSE)</f>
        <v>Premium</v>
      </c>
      <c r="C410" t="str">
        <f>VLOOKUP(A410,MasterTutor!A:E,3,FALSE)</f>
        <v>Adjunct</v>
      </c>
      <c r="D410" t="str">
        <f>VLOOKUP(A410,MasterTutor!A:E,2,FALSE)</f>
        <v>Kristin Haase-Alvey</v>
      </c>
      <c r="E410" t="s">
        <v>349</v>
      </c>
      <c r="F410" s="2">
        <v>0.87</v>
      </c>
      <c r="G410" s="2">
        <v>0.98</v>
      </c>
      <c r="H410" s="2">
        <v>1</v>
      </c>
      <c r="I410" s="2">
        <v>1</v>
      </c>
      <c r="J410" s="2">
        <v>0.45500000000000002</v>
      </c>
      <c r="K410">
        <v>2</v>
      </c>
      <c r="L410" s="19">
        <v>1</v>
      </c>
      <c r="M410" s="21">
        <f>L410</f>
        <v>1</v>
      </c>
    </row>
    <row r="411" spans="1:13" x14ac:dyDescent="0.2">
      <c r="A411" t="s">
        <v>32</v>
      </c>
      <c r="B411" t="e">
        <f>VLOOKUP(A411,MasterTutor!A:E,4,FALSE)</f>
        <v>#N/A</v>
      </c>
      <c r="C411" t="e">
        <f>VLOOKUP(A411,MasterTutor!A:E,3,FALSE)</f>
        <v>#N/A</v>
      </c>
      <c r="D411" t="e">
        <f>VLOOKUP(A411,MasterTutor!A:E,2,FALSE)</f>
        <v>#N/A</v>
      </c>
      <c r="E411" t="s">
        <v>349</v>
      </c>
      <c r="F411" s="2">
        <v>0.78</v>
      </c>
      <c r="G411" s="2">
        <v>1.01</v>
      </c>
      <c r="H411" s="2">
        <v>0.97289999999999999</v>
      </c>
      <c r="I411" s="2">
        <v>0.70150000000000001</v>
      </c>
      <c r="J411" s="2">
        <v>0.37</v>
      </c>
      <c r="K411">
        <v>8</v>
      </c>
      <c r="M411" s="21"/>
    </row>
    <row r="412" spans="1:13" x14ac:dyDescent="0.2">
      <c r="A412" t="s">
        <v>33</v>
      </c>
      <c r="B412" t="str">
        <f>VLOOKUP(A412,MasterTutor!A:E,4,FALSE)</f>
        <v>Premium</v>
      </c>
      <c r="C412" t="str">
        <f>VLOOKUP(A412,MasterTutor!A:E,3,FALSE)</f>
        <v>Professional</v>
      </c>
      <c r="D412" t="str">
        <f>VLOOKUP(A412,MasterTutor!A:E,2,FALSE)</f>
        <v>Geoff St. Marie</v>
      </c>
      <c r="E412" t="s">
        <v>349</v>
      </c>
      <c r="F412" s="2">
        <v>1.37</v>
      </c>
      <c r="G412" s="2">
        <v>1.54</v>
      </c>
      <c r="H412" s="2">
        <v>0.93920000000000003</v>
      </c>
      <c r="I412" s="2">
        <v>0.96509999999999996</v>
      </c>
      <c r="J412" s="2">
        <v>0.85199999999999998</v>
      </c>
      <c r="K412">
        <v>5</v>
      </c>
      <c r="L412" s="19">
        <v>0</v>
      </c>
      <c r="M412" s="21">
        <f>L412</f>
        <v>0</v>
      </c>
    </row>
    <row r="413" spans="1:13" x14ac:dyDescent="0.2">
      <c r="A413" t="s">
        <v>34</v>
      </c>
      <c r="B413" t="e">
        <f>VLOOKUP(A413,MasterTutor!A:E,4,FALSE)</f>
        <v>#N/A</v>
      </c>
      <c r="C413" t="e">
        <f>VLOOKUP(A413,MasterTutor!A:E,3,FALSE)</f>
        <v>#N/A</v>
      </c>
      <c r="D413" t="e">
        <f>VLOOKUP(A413,MasterTutor!A:E,2,FALSE)</f>
        <v>#N/A</v>
      </c>
      <c r="E413" t="s">
        <v>349</v>
      </c>
      <c r="F413" s="2">
        <v>1.92</v>
      </c>
      <c r="G413" s="2">
        <v>1.63</v>
      </c>
      <c r="H413" s="2">
        <v>0.99309999999999998</v>
      </c>
      <c r="I413" s="2">
        <v>1</v>
      </c>
      <c r="J413" s="2">
        <v>0.60899999999999999</v>
      </c>
      <c r="K413">
        <v>10</v>
      </c>
      <c r="L413" s="19" t="s">
        <v>335</v>
      </c>
      <c r="M413" s="21">
        <v>0.25</v>
      </c>
    </row>
    <row r="414" spans="1:13" x14ac:dyDescent="0.2">
      <c r="A414" t="s">
        <v>35</v>
      </c>
      <c r="B414" t="str">
        <f>VLOOKUP(A414,MasterTutor!A:E,4,FALSE)</f>
        <v>Advanced</v>
      </c>
      <c r="C414" t="str">
        <f>VLOOKUP(A414,MasterTutor!A:E,3,FALSE)</f>
        <v>Adjunct</v>
      </c>
      <c r="D414" t="str">
        <f>VLOOKUP(A414,MasterTutor!A:E,2,FALSE)</f>
        <v>Annelies de Groot</v>
      </c>
      <c r="E414" t="s">
        <v>349</v>
      </c>
      <c r="F414" s="2">
        <v>1.78</v>
      </c>
      <c r="G414" s="2">
        <v>2.5</v>
      </c>
      <c r="H414" s="2">
        <v>0.89319999999999999</v>
      </c>
      <c r="I414" s="2">
        <v>1</v>
      </c>
      <c r="J414" s="2">
        <v>0.81799999999999995</v>
      </c>
      <c r="K414">
        <v>3</v>
      </c>
      <c r="L414" s="19" t="s">
        <v>330</v>
      </c>
      <c r="M414" s="21">
        <v>0.67</v>
      </c>
    </row>
    <row r="415" spans="1:13" x14ac:dyDescent="0.2">
      <c r="A415" t="s">
        <v>36</v>
      </c>
      <c r="B415" t="str">
        <f>VLOOKUP(A415,MasterTutor!A:E,4,FALSE)</f>
        <v>Premium</v>
      </c>
      <c r="C415" t="str">
        <f>VLOOKUP(A415,MasterTutor!A:E,3,FALSE)</f>
        <v>Professional</v>
      </c>
      <c r="D415" t="str">
        <f>VLOOKUP(A415,MasterTutor!A:E,2,FALSE)</f>
        <v>Jessica Milner</v>
      </c>
      <c r="E415" t="s">
        <v>349</v>
      </c>
      <c r="F415" s="2">
        <v>0.85</v>
      </c>
      <c r="G415" s="2">
        <v>1.2</v>
      </c>
      <c r="H415" s="2">
        <v>1</v>
      </c>
      <c r="I415" s="2">
        <v>1</v>
      </c>
      <c r="J415" s="2">
        <v>0.89500000000000002</v>
      </c>
      <c r="K415">
        <v>2</v>
      </c>
      <c r="L415" s="19">
        <v>1</v>
      </c>
      <c r="M415" s="21">
        <f>L415</f>
        <v>1</v>
      </c>
    </row>
    <row r="416" spans="1:13" x14ac:dyDescent="0.2">
      <c r="A416" t="s">
        <v>37</v>
      </c>
      <c r="B416" t="e">
        <f>VLOOKUP(A416,MasterTutor!A:E,4,FALSE)</f>
        <v>#N/A</v>
      </c>
      <c r="C416" t="e">
        <f>VLOOKUP(A416,MasterTutor!A:E,3,FALSE)</f>
        <v>#N/A</v>
      </c>
      <c r="D416" t="e">
        <f>VLOOKUP(A416,MasterTutor!A:E,2,FALSE)</f>
        <v>#N/A</v>
      </c>
      <c r="E416" t="s">
        <v>349</v>
      </c>
      <c r="F416" s="2">
        <v>0.99</v>
      </c>
      <c r="G416" s="2">
        <v>0.89</v>
      </c>
      <c r="H416" s="2">
        <v>0.91290000000000004</v>
      </c>
      <c r="I416" s="2">
        <v>1</v>
      </c>
      <c r="J416" s="2">
        <v>1</v>
      </c>
      <c r="K416">
        <v>5</v>
      </c>
      <c r="L416" s="19">
        <v>0</v>
      </c>
      <c r="M416" s="21">
        <f>L416</f>
        <v>0</v>
      </c>
    </row>
    <row r="417" spans="1:13" x14ac:dyDescent="0.2">
      <c r="A417" t="s">
        <v>38</v>
      </c>
      <c r="B417" t="str">
        <f>VLOOKUP(A417,MasterTutor!A:E,4,FALSE)</f>
        <v>Advanced</v>
      </c>
      <c r="C417" t="str">
        <f>VLOOKUP(A417,MasterTutor!A:E,3,FALSE)</f>
        <v>Adjunct</v>
      </c>
      <c r="D417" t="str">
        <f>VLOOKUP(A417,MasterTutor!A:E,2,FALSE)</f>
        <v>Annelies de Groot</v>
      </c>
      <c r="E417" t="s">
        <v>349</v>
      </c>
      <c r="F417" s="2">
        <v>1.81</v>
      </c>
      <c r="G417" s="2">
        <v>1.72</v>
      </c>
      <c r="H417" s="2">
        <v>1</v>
      </c>
      <c r="I417" s="2">
        <v>1</v>
      </c>
      <c r="J417" s="2">
        <v>0.88500000000000001</v>
      </c>
      <c r="K417">
        <v>11</v>
      </c>
      <c r="L417" s="19" t="s">
        <v>336</v>
      </c>
      <c r="M417" s="21">
        <v>0.6</v>
      </c>
    </row>
    <row r="418" spans="1:13" x14ac:dyDescent="0.2">
      <c r="A418" t="s">
        <v>39</v>
      </c>
      <c r="B418" t="str">
        <f>VLOOKUP(A418,MasterTutor!A:E,4,FALSE)</f>
        <v>Premium</v>
      </c>
      <c r="C418" t="str">
        <f>VLOOKUP(A418,MasterTutor!A:E,3,FALSE)</f>
        <v>Adjunct</v>
      </c>
      <c r="D418" t="str">
        <f>VLOOKUP(A418,MasterTutor!A:E,2,FALSE)</f>
        <v>Jessica Milner</v>
      </c>
      <c r="E418" t="s">
        <v>349</v>
      </c>
      <c r="F418" s="2">
        <v>0.71</v>
      </c>
      <c r="G418" s="2">
        <v>1.03</v>
      </c>
      <c r="H418" s="2">
        <v>1</v>
      </c>
      <c r="I418" s="2">
        <v>1</v>
      </c>
      <c r="J418" s="2">
        <v>0.69199999999999995</v>
      </c>
      <c r="K418">
        <v>5</v>
      </c>
      <c r="L418" s="19">
        <v>1</v>
      </c>
      <c r="M418" s="21">
        <f>L418</f>
        <v>1</v>
      </c>
    </row>
    <row r="419" spans="1:13" x14ac:dyDescent="0.2">
      <c r="A419" t="s">
        <v>40</v>
      </c>
      <c r="B419" t="str">
        <f>VLOOKUP(A419,MasterTutor!A:E,4,FALSE)</f>
        <v>Advanced</v>
      </c>
      <c r="C419" t="str">
        <f>VLOOKUP(A419,MasterTutor!A:E,3,FALSE)</f>
        <v>Professional</v>
      </c>
      <c r="D419" t="str">
        <f>VLOOKUP(A419,MasterTutor!A:E,2,FALSE)</f>
        <v>Annelies de Groot</v>
      </c>
      <c r="E419" t="s">
        <v>349</v>
      </c>
      <c r="F419" s="2">
        <v>1.43</v>
      </c>
      <c r="G419" s="2">
        <v>1.26</v>
      </c>
      <c r="H419" s="2">
        <v>1</v>
      </c>
      <c r="I419" s="2">
        <v>0.98450000000000004</v>
      </c>
      <c r="J419" s="2">
        <v>0.77500000000000002</v>
      </c>
      <c r="K419">
        <v>22</v>
      </c>
      <c r="L419" s="19" t="s">
        <v>330</v>
      </c>
      <c r="M419" s="21">
        <v>0.67</v>
      </c>
    </row>
    <row r="420" spans="1:13" x14ac:dyDescent="0.2">
      <c r="A420" t="s">
        <v>41</v>
      </c>
      <c r="B420" t="str">
        <f>VLOOKUP(A420,MasterTutor!A:E,4,FALSE)</f>
        <v>Premium</v>
      </c>
      <c r="C420" t="str">
        <f>VLOOKUP(A420,MasterTutor!A:E,3,FALSE)</f>
        <v>Professional</v>
      </c>
      <c r="D420" t="str">
        <f>VLOOKUP(A420,MasterTutor!A:E,2,FALSE)</f>
        <v>Jessica Milner</v>
      </c>
      <c r="E420" t="s">
        <v>349</v>
      </c>
      <c r="F420" s="2">
        <v>0.99</v>
      </c>
      <c r="G420" s="2">
        <v>1.08</v>
      </c>
      <c r="H420" s="2">
        <v>0.9607</v>
      </c>
      <c r="I420" s="2">
        <v>0.91890000000000005</v>
      </c>
      <c r="J420" s="2">
        <v>0.8</v>
      </c>
      <c r="K420">
        <v>4</v>
      </c>
      <c r="L420" s="19">
        <v>1</v>
      </c>
      <c r="M420" s="21">
        <f>L420</f>
        <v>1</v>
      </c>
    </row>
    <row r="421" spans="1:13" x14ac:dyDescent="0.2">
      <c r="A421" t="s">
        <v>42</v>
      </c>
      <c r="B421" t="str">
        <f>VLOOKUP(A421,MasterTutor!A:E,4,FALSE)</f>
        <v>Premium</v>
      </c>
      <c r="C421" t="str">
        <f>VLOOKUP(A421,MasterTutor!A:E,3,FALSE)</f>
        <v>Adjunct</v>
      </c>
      <c r="D421" t="str">
        <f>VLOOKUP(A421,MasterTutor!A:E,2,FALSE)</f>
        <v>Ela Cross</v>
      </c>
      <c r="E421" t="s">
        <v>349</v>
      </c>
      <c r="F421" s="2">
        <v>0.48</v>
      </c>
      <c r="G421" s="2">
        <v>1.34</v>
      </c>
      <c r="H421" s="2">
        <v>1</v>
      </c>
      <c r="I421" s="2">
        <v>1</v>
      </c>
      <c r="J421" s="2">
        <v>0.5</v>
      </c>
      <c r="K421" t="e">
        <v>#N/A</v>
      </c>
      <c r="M421" s="21"/>
    </row>
    <row r="422" spans="1:13" x14ac:dyDescent="0.2">
      <c r="A422" t="s">
        <v>43</v>
      </c>
      <c r="B422" t="e">
        <f>VLOOKUP(A422,MasterTutor!A:E,4,FALSE)</f>
        <v>#N/A</v>
      </c>
      <c r="C422" t="e">
        <f>VLOOKUP(A422,MasterTutor!A:E,3,FALSE)</f>
        <v>#N/A</v>
      </c>
      <c r="D422" t="e">
        <f>VLOOKUP(A422,MasterTutor!A:E,2,FALSE)</f>
        <v>#N/A</v>
      </c>
      <c r="E422" t="s">
        <v>349</v>
      </c>
      <c r="F422" s="2">
        <v>0.74</v>
      </c>
      <c r="G422" s="2">
        <v>0.93</v>
      </c>
      <c r="H422" s="2">
        <v>1</v>
      </c>
      <c r="I422" s="2">
        <v>0.69810000000000005</v>
      </c>
      <c r="J422" s="2">
        <v>0.81299999999999994</v>
      </c>
      <c r="K422">
        <v>1</v>
      </c>
      <c r="L422" s="19">
        <v>1</v>
      </c>
      <c r="M422" s="21">
        <f>L422</f>
        <v>1</v>
      </c>
    </row>
    <row r="423" spans="1:13" x14ac:dyDescent="0.2">
      <c r="A423" t="s">
        <v>44</v>
      </c>
      <c r="B423" t="e">
        <f>VLOOKUP(A423,MasterTutor!A:E,4,FALSE)</f>
        <v>#N/A</v>
      </c>
      <c r="C423" t="e">
        <f>VLOOKUP(A423,MasterTutor!A:E,3,FALSE)</f>
        <v>#N/A</v>
      </c>
      <c r="D423" t="e">
        <f>VLOOKUP(A423,MasterTutor!A:E,2,FALSE)</f>
        <v>#N/A</v>
      </c>
      <c r="E423" t="s">
        <v>349</v>
      </c>
      <c r="F423" s="2">
        <v>1.03</v>
      </c>
      <c r="G423" s="2">
        <v>1.23</v>
      </c>
      <c r="H423" s="2">
        <v>0.85019999999999996</v>
      </c>
      <c r="I423" s="2">
        <v>0.97140000000000004</v>
      </c>
      <c r="J423" s="2">
        <v>0.84599999999999997</v>
      </c>
      <c r="K423">
        <v>4</v>
      </c>
      <c r="L423" s="19">
        <v>1</v>
      </c>
      <c r="M423" s="21">
        <f>L423</f>
        <v>1</v>
      </c>
    </row>
    <row r="424" spans="1:13" x14ac:dyDescent="0.2">
      <c r="A424" t="s">
        <v>45</v>
      </c>
      <c r="B424" t="str">
        <f>VLOOKUP(A424,MasterTutor!A:E,4,FALSE)</f>
        <v>Distinguished</v>
      </c>
      <c r="C424" t="str">
        <f>VLOOKUP(A424,MasterTutor!A:E,3,FALSE)</f>
        <v>Adjunct</v>
      </c>
      <c r="D424" t="str">
        <f>VLOOKUP(A424,MasterTutor!A:E,2,FALSE)</f>
        <v>Kristin Haase-Alvey</v>
      </c>
      <c r="E424" t="s">
        <v>349</v>
      </c>
      <c r="F424" s="2">
        <v>1.31</v>
      </c>
      <c r="G424" s="2">
        <v>1.1200000000000001</v>
      </c>
      <c r="H424" s="2">
        <v>1</v>
      </c>
      <c r="I424" s="2">
        <v>0.95740000000000003</v>
      </c>
      <c r="J424" s="2">
        <v>0.93799999999999994</v>
      </c>
      <c r="K424">
        <v>9</v>
      </c>
      <c r="L424" s="19">
        <v>1</v>
      </c>
      <c r="M424" s="21">
        <f>L424</f>
        <v>1</v>
      </c>
    </row>
    <row r="425" spans="1:13" x14ac:dyDescent="0.2">
      <c r="A425" t="s">
        <v>46</v>
      </c>
      <c r="B425" t="str">
        <f>VLOOKUP(A425,MasterTutor!A:E,4,FALSE)</f>
        <v>Distinguished</v>
      </c>
      <c r="C425" t="str">
        <f>VLOOKUP(A425,MasterTutor!A:E,3,FALSE)</f>
        <v>Professional</v>
      </c>
      <c r="D425" t="str">
        <f>VLOOKUP(A425,MasterTutor!A:E,2,FALSE)</f>
        <v>Ian Plamondon</v>
      </c>
      <c r="E425" t="s">
        <v>349</v>
      </c>
      <c r="F425" s="2">
        <v>1.25</v>
      </c>
      <c r="G425" s="2">
        <v>1.1399999999999999</v>
      </c>
      <c r="H425" s="2">
        <v>0.81799999999999995</v>
      </c>
      <c r="I425" s="2">
        <v>0.48110000000000003</v>
      </c>
      <c r="J425" s="2">
        <v>0.35099999999999998</v>
      </c>
      <c r="K425">
        <v>11</v>
      </c>
    </row>
    <row r="426" spans="1:13" x14ac:dyDescent="0.2">
      <c r="A426" t="s">
        <v>47</v>
      </c>
      <c r="B426" t="e">
        <f>VLOOKUP(A426,MasterTutor!A:E,4,FALSE)</f>
        <v>#N/A</v>
      </c>
      <c r="C426" t="e">
        <f>VLOOKUP(A426,MasterTutor!A:E,3,FALSE)</f>
        <v>#N/A</v>
      </c>
      <c r="D426" t="e">
        <f>VLOOKUP(A426,MasterTutor!A:E,2,FALSE)</f>
        <v>#N/A</v>
      </c>
      <c r="E426" t="s">
        <v>349</v>
      </c>
      <c r="F426" s="2">
        <v>1.25</v>
      </c>
      <c r="G426" s="2">
        <v>1.2</v>
      </c>
      <c r="H426" s="2">
        <v>1</v>
      </c>
      <c r="I426" s="2">
        <v>0.97619999999999996</v>
      </c>
      <c r="J426" s="2">
        <v>0.6</v>
      </c>
      <c r="K426">
        <v>7</v>
      </c>
    </row>
    <row r="427" spans="1:13" x14ac:dyDescent="0.2">
      <c r="A427" t="s">
        <v>48</v>
      </c>
      <c r="B427" t="str">
        <f>VLOOKUP(A427,MasterTutor!A:E,4,FALSE)</f>
        <v>Advanced</v>
      </c>
      <c r="C427" t="str">
        <f>VLOOKUP(A427,MasterTutor!A:E,3,FALSE)</f>
        <v>Professional</v>
      </c>
      <c r="D427" t="str">
        <f>VLOOKUP(A427,MasterTutor!A:E,2,FALSE)</f>
        <v>Annelies de Groot</v>
      </c>
      <c r="E427" t="s">
        <v>349</v>
      </c>
      <c r="F427" s="2">
        <v>0.98</v>
      </c>
      <c r="G427" s="2">
        <v>1.1299999999999999</v>
      </c>
      <c r="H427" s="2">
        <v>0.99239999999999995</v>
      </c>
      <c r="I427" s="2">
        <v>0.75</v>
      </c>
      <c r="J427" s="2">
        <v>0.54500000000000004</v>
      </c>
      <c r="K427" t="e">
        <v>#N/A</v>
      </c>
      <c r="L427" s="19" t="s">
        <v>351</v>
      </c>
      <c r="M427" s="21">
        <v>0.44</v>
      </c>
    </row>
    <row r="428" spans="1:13" x14ac:dyDescent="0.2">
      <c r="A428" t="s">
        <v>49</v>
      </c>
      <c r="B428" t="str">
        <f>VLOOKUP(A428,MasterTutor!A:E,4,FALSE)</f>
        <v>Advanced</v>
      </c>
      <c r="C428" t="str">
        <f>VLOOKUP(A428,MasterTutor!A:E,3,FALSE)</f>
        <v>Professional</v>
      </c>
      <c r="D428" t="str">
        <f>VLOOKUP(A428,MasterTutor!A:E,2,FALSE)</f>
        <v>Ian Plamondon</v>
      </c>
      <c r="E428" t="s">
        <v>349</v>
      </c>
      <c r="F428" s="2">
        <v>0.86</v>
      </c>
      <c r="G428" s="2">
        <v>1.03</v>
      </c>
      <c r="H428" s="2">
        <v>0.84550000000000003</v>
      </c>
      <c r="I428" s="2">
        <v>0.91549999999999998</v>
      </c>
      <c r="J428" s="2">
        <v>0.53600000000000003</v>
      </c>
      <c r="K428">
        <v>2</v>
      </c>
      <c r="L428" s="19">
        <v>0</v>
      </c>
      <c r="M428" s="21">
        <f>L428</f>
        <v>0</v>
      </c>
    </row>
    <row r="429" spans="1:13" x14ac:dyDescent="0.2">
      <c r="A429" t="s">
        <v>50</v>
      </c>
      <c r="B429" t="str">
        <f>VLOOKUP(A429,MasterTutor!A:E,4,FALSE)</f>
        <v>Premium</v>
      </c>
      <c r="C429" t="str">
        <f>VLOOKUP(A429,MasterTutor!A:E,3,FALSE)</f>
        <v>Adjunct</v>
      </c>
      <c r="D429" t="str">
        <f>VLOOKUP(A429,MasterTutor!A:E,2,FALSE)</f>
        <v>Kristin Haase-Alvey</v>
      </c>
      <c r="E429" t="s">
        <v>349</v>
      </c>
      <c r="F429" s="2">
        <v>0.77</v>
      </c>
      <c r="G429" s="2">
        <v>1.1399999999999999</v>
      </c>
      <c r="H429" s="2">
        <v>0.97919999999999996</v>
      </c>
      <c r="I429" s="2">
        <v>1</v>
      </c>
      <c r="J429" s="2">
        <v>1</v>
      </c>
      <c r="K429">
        <v>1</v>
      </c>
      <c r="L429" s="19">
        <v>0</v>
      </c>
      <c r="M429" s="21">
        <f>L429</f>
        <v>0</v>
      </c>
    </row>
    <row r="430" spans="1:13" x14ac:dyDescent="0.2">
      <c r="A430" t="s">
        <v>51</v>
      </c>
      <c r="B430" t="str">
        <f>VLOOKUP(A430,MasterTutor!A:E,4,FALSE)</f>
        <v>Premium</v>
      </c>
      <c r="C430" t="str">
        <f>VLOOKUP(A430,MasterTutor!A:E,3,FALSE)</f>
        <v>Adjunct</v>
      </c>
      <c r="D430" t="str">
        <f>VLOOKUP(A430,MasterTutor!A:E,2,FALSE)</f>
        <v>Annelies de Groot</v>
      </c>
      <c r="E430" t="s">
        <v>349</v>
      </c>
      <c r="F430" s="2">
        <v>0.74</v>
      </c>
      <c r="G430" s="2">
        <v>0.96</v>
      </c>
      <c r="H430" s="2">
        <v>0.98609999999999998</v>
      </c>
      <c r="I430" s="2">
        <v>0.92859999999999998</v>
      </c>
      <c r="J430" s="2">
        <v>0.92900000000000005</v>
      </c>
      <c r="K430" t="e">
        <v>#N/A</v>
      </c>
      <c r="L430" s="19" t="s">
        <v>344</v>
      </c>
      <c r="M430" s="21">
        <v>0.83</v>
      </c>
    </row>
    <row r="431" spans="1:13" x14ac:dyDescent="0.2">
      <c r="A431" t="s">
        <v>52</v>
      </c>
      <c r="B431" t="str">
        <f>VLOOKUP(A431,MasterTutor!A:E,4,FALSE)</f>
        <v>Premium</v>
      </c>
      <c r="C431" t="str">
        <f>VLOOKUP(A431,MasterTutor!A:E,3,FALSE)</f>
        <v>Professional</v>
      </c>
      <c r="D431" t="str">
        <f>VLOOKUP(A431,MasterTutor!A:E,2,FALSE)</f>
        <v>Jessica Milner</v>
      </c>
      <c r="E431" t="s">
        <v>349</v>
      </c>
      <c r="F431" s="2">
        <v>1</v>
      </c>
      <c r="G431" s="2">
        <v>1.36</v>
      </c>
      <c r="H431" s="2">
        <v>0.9929</v>
      </c>
      <c r="I431" s="2">
        <v>0.98570000000000002</v>
      </c>
      <c r="J431" s="2">
        <v>0.81799999999999995</v>
      </c>
      <c r="K431">
        <v>2</v>
      </c>
      <c r="L431" s="19">
        <v>1</v>
      </c>
      <c r="M431" s="21">
        <f>L431</f>
        <v>1</v>
      </c>
    </row>
    <row r="432" spans="1:13" x14ac:dyDescent="0.2">
      <c r="A432" t="s">
        <v>53</v>
      </c>
      <c r="B432" t="str">
        <f>VLOOKUP(A432,MasterTutor!A:E,4,FALSE)</f>
        <v>Advanced</v>
      </c>
      <c r="C432" t="str">
        <f>VLOOKUP(A432,MasterTutor!A:E,3,FALSE)</f>
        <v>Professional</v>
      </c>
      <c r="D432" t="str">
        <f>VLOOKUP(A432,MasterTutor!A:E,2,FALSE)</f>
        <v>Kristin Haase-Alvey</v>
      </c>
      <c r="E432" t="s">
        <v>349</v>
      </c>
      <c r="F432" s="2">
        <v>0.84</v>
      </c>
      <c r="G432" s="2">
        <v>0.89</v>
      </c>
      <c r="H432" s="2">
        <v>0.86660000000000004</v>
      </c>
      <c r="I432" s="2">
        <v>0.98609999999999998</v>
      </c>
      <c r="J432" s="2">
        <v>0.72699999999999998</v>
      </c>
      <c r="K432">
        <v>9</v>
      </c>
      <c r="L432" s="19" t="s">
        <v>334</v>
      </c>
      <c r="M432" s="21">
        <v>0.86</v>
      </c>
    </row>
    <row r="433" spans="1:13" x14ac:dyDescent="0.2">
      <c r="A433" t="s">
        <v>54</v>
      </c>
      <c r="B433" t="str">
        <f>VLOOKUP(A433,MasterTutor!A:E,4,FALSE)</f>
        <v>Premium</v>
      </c>
      <c r="C433" t="str">
        <f>VLOOKUP(A433,MasterTutor!A:E,3,FALSE)</f>
        <v>Professional</v>
      </c>
      <c r="D433" t="str">
        <f>VLOOKUP(A433,MasterTutor!A:E,2,FALSE)</f>
        <v>Jessica Milner</v>
      </c>
      <c r="E433" t="s">
        <v>349</v>
      </c>
      <c r="F433" s="2">
        <v>0.83</v>
      </c>
      <c r="G433" s="2">
        <v>1.2</v>
      </c>
      <c r="H433" s="2">
        <v>1</v>
      </c>
      <c r="I433" s="2">
        <v>1</v>
      </c>
      <c r="J433" s="2">
        <v>0.4</v>
      </c>
      <c r="K433" t="e">
        <v>#N/A</v>
      </c>
      <c r="L433" s="19">
        <v>1</v>
      </c>
      <c r="M433" s="21">
        <f>L433</f>
        <v>1</v>
      </c>
    </row>
    <row r="434" spans="1:13" x14ac:dyDescent="0.2">
      <c r="A434" t="s">
        <v>55</v>
      </c>
      <c r="B434" t="str">
        <f>VLOOKUP(A434,MasterTutor!A:E,4,FALSE)</f>
        <v>Premium</v>
      </c>
      <c r="C434" t="str">
        <f>VLOOKUP(A434,MasterTutor!A:E,3,FALSE)</f>
        <v>Adjunct</v>
      </c>
      <c r="D434" t="str">
        <f>VLOOKUP(A434,MasterTutor!A:E,2,FALSE)</f>
        <v>Ela Cross</v>
      </c>
      <c r="E434" t="s">
        <v>349</v>
      </c>
      <c r="F434" s="2">
        <v>1.6</v>
      </c>
      <c r="G434" s="2">
        <v>1.58</v>
      </c>
      <c r="H434" s="2">
        <v>0.96050000000000002</v>
      </c>
      <c r="I434" s="2">
        <v>0.58330000000000004</v>
      </c>
      <c r="J434" s="2">
        <v>0.17599999999999999</v>
      </c>
      <c r="K434">
        <v>8</v>
      </c>
      <c r="L434" s="19" t="s">
        <v>331</v>
      </c>
      <c r="M434" s="21">
        <v>0.5</v>
      </c>
    </row>
    <row r="435" spans="1:13" x14ac:dyDescent="0.2">
      <c r="A435" t="s">
        <v>56</v>
      </c>
      <c r="B435" t="str">
        <f>VLOOKUP(A435,MasterTutor!A:E,4,FALSE)</f>
        <v>Advanced</v>
      </c>
      <c r="C435" t="str">
        <f>VLOOKUP(A435,MasterTutor!A:E,3,FALSE)</f>
        <v>Professional</v>
      </c>
      <c r="D435" t="str">
        <f>VLOOKUP(A435,MasterTutor!A:E,2,FALSE)</f>
        <v>Ela Cross</v>
      </c>
      <c r="E435" t="s">
        <v>349</v>
      </c>
      <c r="F435" s="2">
        <v>0.94</v>
      </c>
      <c r="G435" s="2">
        <v>1.04</v>
      </c>
      <c r="H435" s="2">
        <v>0.95989999999999998</v>
      </c>
      <c r="I435" s="2">
        <v>0.98729999999999996</v>
      </c>
      <c r="J435" s="2">
        <v>0.74199999999999999</v>
      </c>
      <c r="K435">
        <v>8</v>
      </c>
    </row>
    <row r="436" spans="1:13" x14ac:dyDescent="0.2">
      <c r="A436" t="s">
        <v>57</v>
      </c>
      <c r="B436" t="str">
        <f>VLOOKUP(A436,MasterTutor!A:E,4,FALSE)</f>
        <v>Advanced</v>
      </c>
      <c r="C436" t="str">
        <f>VLOOKUP(A436,MasterTutor!A:E,3,FALSE)</f>
        <v>Professional</v>
      </c>
      <c r="D436" t="str">
        <f>VLOOKUP(A436,MasterTutor!A:E,2,FALSE)</f>
        <v>Ian Plamondon</v>
      </c>
      <c r="E436" t="s">
        <v>349</v>
      </c>
      <c r="F436" s="2">
        <v>0.84</v>
      </c>
      <c r="G436" s="2">
        <v>1.03</v>
      </c>
      <c r="H436" s="2">
        <v>0</v>
      </c>
      <c r="I436" s="2">
        <v>0.92859999999999998</v>
      </c>
      <c r="J436" s="2">
        <v>0.60499999999999998</v>
      </c>
      <c r="K436">
        <v>4</v>
      </c>
      <c r="L436" s="19">
        <v>1</v>
      </c>
      <c r="M436" s="21">
        <f>L436</f>
        <v>1</v>
      </c>
    </row>
    <row r="437" spans="1:13" x14ac:dyDescent="0.2">
      <c r="A437" t="s">
        <v>58</v>
      </c>
      <c r="B437" t="str">
        <f>VLOOKUP(A437,MasterTutor!A:E,4,FALSE)</f>
        <v>Premium</v>
      </c>
      <c r="C437" t="str">
        <f>VLOOKUP(A437,MasterTutor!A:E,3,FALSE)</f>
        <v>Professional</v>
      </c>
      <c r="D437" t="str">
        <f>VLOOKUP(A437,MasterTutor!A:E,2,FALSE)</f>
        <v>Jessica Milner</v>
      </c>
      <c r="E437" t="s">
        <v>349</v>
      </c>
      <c r="F437" s="2">
        <v>1.0900000000000001</v>
      </c>
      <c r="G437" s="2">
        <v>1.19</v>
      </c>
      <c r="H437" s="2">
        <v>0.9486</v>
      </c>
      <c r="I437" s="2">
        <v>0.96299999999999997</v>
      </c>
      <c r="J437" s="2">
        <v>0.90900000000000003</v>
      </c>
      <c r="K437">
        <v>6</v>
      </c>
      <c r="L437" s="19" t="s">
        <v>347</v>
      </c>
      <c r="M437" s="21">
        <v>0.56999999999999995</v>
      </c>
    </row>
    <row r="438" spans="1:13" x14ac:dyDescent="0.2">
      <c r="A438" t="s">
        <v>59</v>
      </c>
      <c r="B438" t="str">
        <f>VLOOKUP(A438,MasterTutor!A:E,4,FALSE)</f>
        <v>Distinguished</v>
      </c>
      <c r="C438" t="str">
        <f>VLOOKUP(A438,MasterTutor!A:E,3,FALSE)</f>
        <v>Professional</v>
      </c>
      <c r="D438" t="str">
        <f>VLOOKUP(A438,MasterTutor!A:E,2,FALSE)</f>
        <v>Ela Cross</v>
      </c>
      <c r="E438" t="s">
        <v>349</v>
      </c>
      <c r="F438" s="2">
        <v>1.02</v>
      </c>
      <c r="G438" s="2">
        <v>1.01</v>
      </c>
      <c r="H438" s="2">
        <v>1</v>
      </c>
      <c r="I438" s="2">
        <v>0.96079999999999999</v>
      </c>
      <c r="J438" s="2">
        <v>0.42399999999999999</v>
      </c>
      <c r="K438">
        <v>18</v>
      </c>
      <c r="L438" s="19">
        <v>1</v>
      </c>
      <c r="M438" s="21">
        <f>L438</f>
        <v>1</v>
      </c>
    </row>
    <row r="439" spans="1:13" x14ac:dyDescent="0.2">
      <c r="A439" t="s">
        <v>60</v>
      </c>
      <c r="B439" t="str">
        <f>VLOOKUP(A439,MasterTutor!A:E,4,FALSE)</f>
        <v>Advanced</v>
      </c>
      <c r="C439" t="str">
        <f>VLOOKUP(A439,MasterTutor!A:E,3,FALSE)</f>
        <v>Adjunct</v>
      </c>
      <c r="D439" t="str">
        <f>VLOOKUP(A439,MasterTutor!A:E,2,FALSE)</f>
        <v>Kristin Haase-Alvey</v>
      </c>
      <c r="E439" t="s">
        <v>349</v>
      </c>
      <c r="F439" s="2">
        <v>1.28</v>
      </c>
      <c r="G439" s="2">
        <v>1.57</v>
      </c>
      <c r="H439" s="2">
        <v>0.9375</v>
      </c>
      <c r="I439" s="2">
        <v>0.86360000000000003</v>
      </c>
      <c r="J439" s="2">
        <v>0.78600000000000003</v>
      </c>
      <c r="K439">
        <v>4</v>
      </c>
      <c r="L439" s="19">
        <v>1</v>
      </c>
      <c r="M439" s="21">
        <f>L439</f>
        <v>1</v>
      </c>
    </row>
    <row r="440" spans="1:13" x14ac:dyDescent="0.2">
      <c r="A440" t="s">
        <v>61</v>
      </c>
      <c r="B440" t="str">
        <f>VLOOKUP(A440,MasterTutor!A:E,4,FALSE)</f>
        <v>Advanced</v>
      </c>
      <c r="C440" t="str">
        <f>VLOOKUP(A440,MasterTutor!A:E,3,FALSE)</f>
        <v>Adjunct</v>
      </c>
      <c r="D440" t="str">
        <f>VLOOKUP(A440,MasterTutor!A:E,2,FALSE)</f>
        <v>Ela Cross</v>
      </c>
      <c r="E440" t="s">
        <v>349</v>
      </c>
      <c r="F440" s="2">
        <v>1.1499999999999999</v>
      </c>
      <c r="G440" s="2">
        <v>1.49</v>
      </c>
      <c r="H440" s="2">
        <v>0.96350000000000002</v>
      </c>
      <c r="I440" s="2">
        <v>0.70450000000000002</v>
      </c>
      <c r="J440" s="2">
        <v>0.68799999999999994</v>
      </c>
      <c r="K440">
        <v>6</v>
      </c>
    </row>
    <row r="441" spans="1:13" x14ac:dyDescent="0.2">
      <c r="A441" t="s">
        <v>62</v>
      </c>
      <c r="B441" t="e">
        <f>VLOOKUP(A441,MasterTutor!A:E,4,FALSE)</f>
        <v>#N/A</v>
      </c>
      <c r="C441" t="e">
        <f>VLOOKUP(A441,MasterTutor!A:E,3,FALSE)</f>
        <v>#N/A</v>
      </c>
      <c r="D441" t="e">
        <f>VLOOKUP(A441,MasterTutor!A:E,2,FALSE)</f>
        <v>#N/A</v>
      </c>
      <c r="E441" t="s">
        <v>349</v>
      </c>
      <c r="F441" s="2">
        <v>1.1399999999999999</v>
      </c>
      <c r="G441" s="2">
        <v>2.02</v>
      </c>
      <c r="H441" s="2">
        <v>1</v>
      </c>
      <c r="I441" s="2">
        <v>0.96879999999999999</v>
      </c>
      <c r="J441" s="2">
        <v>0.7</v>
      </c>
      <c r="K441">
        <v>5</v>
      </c>
      <c r="L441" s="19" t="s">
        <v>337</v>
      </c>
      <c r="M441" s="21">
        <f>1/3</f>
        <v>0.33333333333333331</v>
      </c>
    </row>
    <row r="442" spans="1:13" x14ac:dyDescent="0.2">
      <c r="A442" t="s">
        <v>63</v>
      </c>
      <c r="B442" t="str">
        <f>VLOOKUP(A442,MasterTutor!A:E,4,FALSE)</f>
        <v>Advanced</v>
      </c>
      <c r="C442" t="str">
        <f>VLOOKUP(A442,MasterTutor!A:E,3,FALSE)</f>
        <v>Adjunct</v>
      </c>
      <c r="D442" t="str">
        <f>VLOOKUP(A442,MasterTutor!A:E,2,FALSE)</f>
        <v>Kristin Haase-Alvey</v>
      </c>
      <c r="E442" t="s">
        <v>349</v>
      </c>
      <c r="F442" s="2">
        <v>1.1399999999999999</v>
      </c>
      <c r="G442" s="2">
        <v>1.21</v>
      </c>
      <c r="H442" s="2">
        <v>0.99039999999999995</v>
      </c>
      <c r="I442" s="2">
        <v>0.97499999999999998</v>
      </c>
      <c r="J442" s="2">
        <v>0.84599999999999997</v>
      </c>
      <c r="K442">
        <v>9</v>
      </c>
      <c r="L442" s="19">
        <v>1</v>
      </c>
      <c r="M442" s="21">
        <f>L442</f>
        <v>1</v>
      </c>
    </row>
    <row r="443" spans="1:13" x14ac:dyDescent="0.2">
      <c r="A443" t="s">
        <v>64</v>
      </c>
      <c r="B443" t="str">
        <f>VLOOKUP(A443,MasterTutor!A:E,4,FALSE)</f>
        <v>Distinguished</v>
      </c>
      <c r="C443" t="str">
        <f>VLOOKUP(A443,MasterTutor!A:E,3,FALSE)</f>
        <v>Professional</v>
      </c>
      <c r="D443" t="str">
        <f>VLOOKUP(A443,MasterTutor!A:E,2,FALSE)</f>
        <v>Ian Plamondon</v>
      </c>
      <c r="E443" t="s">
        <v>349</v>
      </c>
      <c r="F443" s="2">
        <v>0.92</v>
      </c>
      <c r="G443" s="2">
        <v>1.18</v>
      </c>
      <c r="H443" s="2">
        <v>0.93259999999999998</v>
      </c>
      <c r="I443" s="2">
        <v>1</v>
      </c>
      <c r="J443" s="2">
        <v>1</v>
      </c>
      <c r="K443">
        <v>3</v>
      </c>
      <c r="L443" s="19">
        <v>1</v>
      </c>
      <c r="M443" s="21">
        <f>L443</f>
        <v>1</v>
      </c>
    </row>
    <row r="444" spans="1:13" x14ac:dyDescent="0.2">
      <c r="A444" t="s">
        <v>65</v>
      </c>
      <c r="B444" t="str">
        <f>VLOOKUP(A444,MasterTutor!A:E,4,FALSE)</f>
        <v>Premium</v>
      </c>
      <c r="C444" t="str">
        <f>VLOOKUP(A444,MasterTutor!A:E,3,FALSE)</f>
        <v>Professional</v>
      </c>
      <c r="D444" t="str">
        <f>VLOOKUP(A444,MasterTutor!A:E,2,FALSE)</f>
        <v>Ian Plamondon</v>
      </c>
      <c r="E444" t="s">
        <v>349</v>
      </c>
      <c r="F444" s="2">
        <v>0.88</v>
      </c>
      <c r="G444" s="2">
        <v>1.02</v>
      </c>
      <c r="H444" s="2">
        <v>1</v>
      </c>
      <c r="I444" s="2">
        <v>0.7097</v>
      </c>
      <c r="J444" s="2">
        <v>0.77300000000000002</v>
      </c>
      <c r="K444">
        <v>3</v>
      </c>
      <c r="L444" s="19">
        <v>1</v>
      </c>
      <c r="M444" s="21">
        <f>L444</f>
        <v>1</v>
      </c>
    </row>
    <row r="445" spans="1:13" x14ac:dyDescent="0.2">
      <c r="A445" t="s">
        <v>66</v>
      </c>
      <c r="B445" t="e">
        <f>VLOOKUP(A445,MasterTutor!A:E,4,FALSE)</f>
        <v>#N/A</v>
      </c>
      <c r="C445" t="e">
        <f>VLOOKUP(A445,MasterTutor!A:E,3,FALSE)</f>
        <v>#N/A</v>
      </c>
      <c r="D445" t="e">
        <f>VLOOKUP(A445,MasterTutor!A:E,2,FALSE)</f>
        <v>#N/A</v>
      </c>
      <c r="E445" t="s">
        <v>349</v>
      </c>
      <c r="F445" s="2">
        <v>0.96</v>
      </c>
      <c r="G445" s="2">
        <v>1.3</v>
      </c>
      <c r="H445" s="2">
        <v>0.85299999999999998</v>
      </c>
      <c r="I445" s="2">
        <v>0.76119999999999999</v>
      </c>
      <c r="J445" s="2">
        <v>0.68799999999999994</v>
      </c>
      <c r="K445">
        <v>4</v>
      </c>
      <c r="L445" s="19" t="s">
        <v>330</v>
      </c>
      <c r="M445" s="21">
        <v>0.67</v>
      </c>
    </row>
    <row r="446" spans="1:13" x14ac:dyDescent="0.2">
      <c r="A446" t="s">
        <v>254</v>
      </c>
      <c r="B446" t="str">
        <f>VLOOKUP(A446,MasterTutor!A:E,4,FALSE)</f>
        <v>Advanced</v>
      </c>
      <c r="C446" t="str">
        <f>VLOOKUP(A446,MasterTutor!A:E,3,FALSE)</f>
        <v>Professional</v>
      </c>
      <c r="D446" t="str">
        <f>VLOOKUP(A446,MasterTutor!A:E,2,FALSE)</f>
        <v>Annelies de Groot</v>
      </c>
      <c r="E446" t="s">
        <v>349</v>
      </c>
      <c r="F446" s="2">
        <v>0.04</v>
      </c>
      <c r="G446" s="2">
        <v>0.5</v>
      </c>
      <c r="H446" s="2">
        <v>1</v>
      </c>
      <c r="I446" s="2">
        <v>1</v>
      </c>
      <c r="J446" s="2">
        <v>0.85699999999999998</v>
      </c>
      <c r="K446" t="e">
        <v>#N/A</v>
      </c>
      <c r="L446" s="19" t="s">
        <v>331</v>
      </c>
      <c r="M446" s="21">
        <v>0.5</v>
      </c>
    </row>
    <row r="447" spans="1:13" x14ac:dyDescent="0.2">
      <c r="A447" t="s">
        <v>67</v>
      </c>
      <c r="B447" t="str">
        <f>VLOOKUP(A447,MasterTutor!A:E,4,FALSE)</f>
        <v>Distinguished</v>
      </c>
      <c r="C447" t="str">
        <f>VLOOKUP(A447,MasterTutor!A:E,3,FALSE)</f>
        <v>Professional</v>
      </c>
      <c r="D447" t="str">
        <f>VLOOKUP(A447,MasterTutor!A:E,2,FALSE)</f>
        <v>Ian Plamondon</v>
      </c>
      <c r="E447" t="s">
        <v>349</v>
      </c>
      <c r="F447" s="2">
        <v>0.98</v>
      </c>
      <c r="G447" s="2">
        <v>0.97</v>
      </c>
      <c r="H447" s="2">
        <v>1</v>
      </c>
      <c r="I447" s="2">
        <v>1</v>
      </c>
      <c r="J447" s="2">
        <v>0.73899999999999999</v>
      </c>
      <c r="K447">
        <v>8</v>
      </c>
      <c r="L447" s="19" t="s">
        <v>343</v>
      </c>
      <c r="M447" s="21">
        <v>0.89</v>
      </c>
    </row>
    <row r="448" spans="1:13" x14ac:dyDescent="0.2">
      <c r="A448" t="s">
        <v>68</v>
      </c>
      <c r="B448" t="str">
        <f>VLOOKUP(A448,MasterTutor!A:E,4,FALSE)</f>
        <v>Advanced</v>
      </c>
      <c r="C448" t="str">
        <f>VLOOKUP(A448,MasterTutor!A:E,3,FALSE)</f>
        <v>Professional</v>
      </c>
      <c r="D448" t="str">
        <f>VLOOKUP(A448,MasterTutor!A:E,2,FALSE)</f>
        <v>Ian Plamondon</v>
      </c>
      <c r="E448" t="s">
        <v>349</v>
      </c>
      <c r="F448" s="2">
        <v>1</v>
      </c>
      <c r="G448" s="2">
        <v>1.03</v>
      </c>
      <c r="H448" s="2">
        <v>0.93079999999999996</v>
      </c>
      <c r="I448" s="2">
        <v>0.51319999999999999</v>
      </c>
      <c r="J448" s="2">
        <v>0.54200000000000004</v>
      </c>
      <c r="K448">
        <v>2</v>
      </c>
      <c r="L448" s="19">
        <v>0</v>
      </c>
      <c r="M448" s="21">
        <f>L448</f>
        <v>0</v>
      </c>
    </row>
    <row r="449" spans="1:13" x14ac:dyDescent="0.2">
      <c r="A449" t="s">
        <v>69</v>
      </c>
      <c r="B449" t="str">
        <f>VLOOKUP(A449,MasterTutor!A:E,4,FALSE)</f>
        <v>Advanced</v>
      </c>
      <c r="C449" t="str">
        <f>VLOOKUP(A449,MasterTutor!A:E,3,FALSE)</f>
        <v>Adjunct</v>
      </c>
      <c r="D449" t="str">
        <f>VLOOKUP(A449,MasterTutor!A:E,2,FALSE)</f>
        <v>Ela Cross</v>
      </c>
      <c r="E449" t="s">
        <v>349</v>
      </c>
      <c r="F449" s="2">
        <v>0.78</v>
      </c>
      <c r="G449" s="2">
        <v>0.79</v>
      </c>
      <c r="H449" s="2">
        <v>1</v>
      </c>
      <c r="I449" s="2">
        <v>1</v>
      </c>
      <c r="J449" s="2">
        <v>0.93799999999999994</v>
      </c>
      <c r="K449">
        <v>3</v>
      </c>
      <c r="L449" s="19">
        <v>1</v>
      </c>
      <c r="M449" s="21">
        <f>L449</f>
        <v>1</v>
      </c>
    </row>
    <row r="450" spans="1:13" x14ac:dyDescent="0.2">
      <c r="A450" t="s">
        <v>70</v>
      </c>
      <c r="B450" t="str">
        <f>VLOOKUP(A450,MasterTutor!A:E,4,FALSE)</f>
        <v>Distinguished</v>
      </c>
      <c r="C450" t="str">
        <f>VLOOKUP(A450,MasterTutor!A:E,3,FALSE)</f>
        <v>Professional</v>
      </c>
      <c r="D450" t="str">
        <f>VLOOKUP(A450,MasterTutor!A:E,2,FALSE)</f>
        <v>Ela Cross</v>
      </c>
      <c r="E450" t="s">
        <v>349</v>
      </c>
      <c r="F450" s="2">
        <v>1.2</v>
      </c>
      <c r="G450" s="2">
        <v>1.24</v>
      </c>
      <c r="H450" s="2">
        <v>0.97850000000000004</v>
      </c>
      <c r="I450" s="2">
        <v>0.98060000000000003</v>
      </c>
      <c r="J450" s="2">
        <v>0.74199999999999999</v>
      </c>
      <c r="K450">
        <v>15</v>
      </c>
      <c r="L450" s="19">
        <v>1</v>
      </c>
      <c r="M450" s="21">
        <f>L450</f>
        <v>1</v>
      </c>
    </row>
    <row r="451" spans="1:13" x14ac:dyDescent="0.2">
      <c r="A451" t="s">
        <v>71</v>
      </c>
      <c r="B451" t="str">
        <f>VLOOKUP(A451,MasterTutor!A:E,4,FALSE)</f>
        <v>Premium</v>
      </c>
      <c r="C451" t="str">
        <f>VLOOKUP(A451,MasterTutor!A:E,3,FALSE)</f>
        <v>Professional</v>
      </c>
      <c r="D451" t="str">
        <f>VLOOKUP(A451,MasterTutor!A:E,2,FALSE)</f>
        <v>Ian Plamondon</v>
      </c>
      <c r="E451" t="s">
        <v>349</v>
      </c>
      <c r="F451" s="2">
        <v>1.04</v>
      </c>
      <c r="G451" s="2">
        <v>1.18</v>
      </c>
      <c r="H451" s="2">
        <v>0.94710000000000005</v>
      </c>
      <c r="I451" s="2">
        <v>0.95289999999999997</v>
      </c>
      <c r="J451" s="2">
        <v>0.68</v>
      </c>
      <c r="K451">
        <v>1</v>
      </c>
      <c r="L451" s="19">
        <v>0</v>
      </c>
      <c r="M451" s="21">
        <f>L451</f>
        <v>0</v>
      </c>
    </row>
    <row r="452" spans="1:13" x14ac:dyDescent="0.2">
      <c r="A452" t="s">
        <v>72</v>
      </c>
      <c r="B452" t="str">
        <f>VLOOKUP(A452,MasterTutor!A:E,4,FALSE)</f>
        <v>Premium</v>
      </c>
      <c r="C452" t="str">
        <f>VLOOKUP(A452,MasterTutor!A:E,3,FALSE)</f>
        <v>Adjunct</v>
      </c>
      <c r="D452" t="str">
        <f>VLOOKUP(A452,MasterTutor!A:E,2,FALSE)</f>
        <v>Annelies de Groot</v>
      </c>
      <c r="E452" t="s">
        <v>349</v>
      </c>
      <c r="F452" s="2">
        <v>1.21</v>
      </c>
      <c r="G452" s="2">
        <v>1.1299999999999999</v>
      </c>
      <c r="H452" s="2">
        <v>0.96030000000000004</v>
      </c>
      <c r="I452" s="2">
        <v>1</v>
      </c>
      <c r="J452" s="2">
        <v>0.92900000000000005</v>
      </c>
      <c r="K452">
        <v>2</v>
      </c>
    </row>
    <row r="453" spans="1:13" x14ac:dyDescent="0.2">
      <c r="A453" t="s">
        <v>73</v>
      </c>
      <c r="B453" t="str">
        <f>VLOOKUP(A453,MasterTutor!A:E,4,FALSE)</f>
        <v>Advanced</v>
      </c>
      <c r="C453" t="str">
        <f>VLOOKUP(A453,MasterTutor!A:E,3,FALSE)</f>
        <v>Adjunct</v>
      </c>
      <c r="D453" t="str">
        <f>VLOOKUP(A453,MasterTutor!A:E,2,FALSE)</f>
        <v>Geoff St. Marie</v>
      </c>
      <c r="E453" t="s">
        <v>349</v>
      </c>
      <c r="F453" s="2">
        <v>0.96</v>
      </c>
      <c r="G453" s="2">
        <v>1.1499999999999999</v>
      </c>
      <c r="H453" s="2">
        <v>0.98529999999999995</v>
      </c>
      <c r="I453" s="2">
        <v>0.84909999999999997</v>
      </c>
      <c r="J453" s="2">
        <v>0.73299999999999998</v>
      </c>
      <c r="K453">
        <v>3</v>
      </c>
    </row>
    <row r="454" spans="1:13" x14ac:dyDescent="0.2">
      <c r="A454" t="s">
        <v>74</v>
      </c>
      <c r="B454" t="str">
        <f>VLOOKUP(A454,MasterTutor!A:E,4,FALSE)</f>
        <v>Distinguished</v>
      </c>
      <c r="C454" t="str">
        <f>VLOOKUP(A454,MasterTutor!A:E,3,FALSE)</f>
        <v>Adjunct</v>
      </c>
      <c r="D454" t="str">
        <f>VLOOKUP(A454,MasterTutor!A:E,2,FALSE)</f>
        <v>Ela Cross</v>
      </c>
      <c r="E454" t="s">
        <v>349</v>
      </c>
      <c r="F454" s="2">
        <v>1.04</v>
      </c>
      <c r="G454" s="2">
        <v>1.22</v>
      </c>
      <c r="H454" s="2">
        <v>0.97919999999999996</v>
      </c>
      <c r="I454" s="2">
        <v>0.96550000000000002</v>
      </c>
      <c r="J454" s="2">
        <v>0.54500000000000004</v>
      </c>
      <c r="K454" t="e">
        <v>#N/A</v>
      </c>
      <c r="L454" s="19">
        <v>1</v>
      </c>
      <c r="M454" s="21">
        <f>L454</f>
        <v>1</v>
      </c>
    </row>
    <row r="455" spans="1:13" x14ac:dyDescent="0.2">
      <c r="A455" t="s">
        <v>75</v>
      </c>
      <c r="B455" t="str">
        <f>VLOOKUP(A455,MasterTutor!A:E,4,FALSE)</f>
        <v>Advanced</v>
      </c>
      <c r="C455" t="str">
        <f>VLOOKUP(A455,MasterTutor!A:E,3,FALSE)</f>
        <v>Professional</v>
      </c>
      <c r="D455" t="str">
        <f>VLOOKUP(A455,MasterTutor!A:E,2,FALSE)</f>
        <v>Geoff St. Marie</v>
      </c>
      <c r="E455" t="s">
        <v>349</v>
      </c>
      <c r="F455" s="2">
        <v>1.01</v>
      </c>
      <c r="G455" s="2">
        <v>1.1100000000000001</v>
      </c>
      <c r="H455" s="2">
        <v>0.99260000000000004</v>
      </c>
      <c r="I455" s="2">
        <v>0.72370000000000001</v>
      </c>
      <c r="J455" s="2">
        <v>0.69199999999999995</v>
      </c>
      <c r="K455">
        <v>5</v>
      </c>
      <c r="L455" s="19" t="s">
        <v>352</v>
      </c>
      <c r="M455" s="21">
        <v>0.63</v>
      </c>
    </row>
    <row r="456" spans="1:13" x14ac:dyDescent="0.2">
      <c r="A456" t="s">
        <v>76</v>
      </c>
      <c r="B456" t="e">
        <f>VLOOKUP(A456,MasterTutor!A:E,4,FALSE)</f>
        <v>#N/A</v>
      </c>
      <c r="C456" t="e">
        <f>VLOOKUP(A456,MasterTutor!A:E,3,FALSE)</f>
        <v>#N/A</v>
      </c>
      <c r="D456" t="e">
        <f>VLOOKUP(A456,MasterTutor!A:E,2,FALSE)</f>
        <v>#N/A</v>
      </c>
      <c r="E456" t="s">
        <v>349</v>
      </c>
      <c r="F456" s="2">
        <v>1.27</v>
      </c>
      <c r="G456" s="2">
        <v>1.25</v>
      </c>
      <c r="H456" s="2">
        <v>1</v>
      </c>
      <c r="I456" s="2">
        <v>0.89739999999999998</v>
      </c>
      <c r="J456" s="2">
        <v>0.5</v>
      </c>
      <c r="K456">
        <v>6</v>
      </c>
      <c r="L456" s="19">
        <v>0</v>
      </c>
      <c r="M456" s="21">
        <f>L456</f>
        <v>0</v>
      </c>
    </row>
    <row r="457" spans="1:13" x14ac:dyDescent="0.2">
      <c r="A457" t="s">
        <v>77</v>
      </c>
      <c r="B457" t="str">
        <f>VLOOKUP(A457,MasterTutor!A:E,4,FALSE)</f>
        <v>Distinguished</v>
      </c>
      <c r="C457" t="str">
        <f>VLOOKUP(A457,MasterTutor!A:E,3,FALSE)</f>
        <v>Professional</v>
      </c>
      <c r="D457" t="str">
        <f>VLOOKUP(A457,MasterTutor!A:E,2,FALSE)</f>
        <v>Ian Plamondon</v>
      </c>
      <c r="E457" t="s">
        <v>349</v>
      </c>
      <c r="F457" s="2">
        <v>0.93</v>
      </c>
      <c r="G457" s="2">
        <v>0.99</v>
      </c>
      <c r="H457" s="2">
        <v>0.96179999999999999</v>
      </c>
      <c r="I457" s="2">
        <v>1</v>
      </c>
      <c r="J457" s="2">
        <v>0.81499999999999995</v>
      </c>
      <c r="K457">
        <v>2</v>
      </c>
      <c r="L457" s="19" t="s">
        <v>330</v>
      </c>
      <c r="M457" s="21">
        <v>0.67</v>
      </c>
    </row>
    <row r="458" spans="1:13" x14ac:dyDescent="0.2">
      <c r="A458" t="s">
        <v>78</v>
      </c>
      <c r="B458" t="str">
        <f>VLOOKUP(A458,MasterTutor!A:E,4,FALSE)</f>
        <v>Distinguished</v>
      </c>
      <c r="C458" t="str">
        <f>VLOOKUP(A458,MasterTutor!A:E,3,FALSE)</f>
        <v>Adjunct</v>
      </c>
      <c r="D458" t="str">
        <f>VLOOKUP(A458,MasterTutor!A:E,2,FALSE)</f>
        <v>Geoff St. Marie</v>
      </c>
      <c r="E458" t="s">
        <v>349</v>
      </c>
      <c r="F458" s="2">
        <v>0.74</v>
      </c>
      <c r="G458" s="2">
        <v>1.07</v>
      </c>
      <c r="H458" s="2">
        <v>1</v>
      </c>
      <c r="I458" s="2">
        <v>1</v>
      </c>
      <c r="J458" s="2">
        <v>1</v>
      </c>
      <c r="K458">
        <v>0</v>
      </c>
      <c r="L458" s="19">
        <v>0</v>
      </c>
      <c r="M458" s="21">
        <f>L458</f>
        <v>0</v>
      </c>
    </row>
    <row r="459" spans="1:13" x14ac:dyDescent="0.2">
      <c r="A459" t="s">
        <v>79</v>
      </c>
      <c r="B459" t="str">
        <f>VLOOKUP(A459,MasterTutor!A:E,4,FALSE)</f>
        <v>Premium</v>
      </c>
      <c r="C459" t="str">
        <f>VLOOKUP(A459,MasterTutor!A:E,3,FALSE)</f>
        <v>Professional</v>
      </c>
      <c r="D459" t="str">
        <f>VLOOKUP(A459,MasterTutor!A:E,2,FALSE)</f>
        <v>Ian Plamondon</v>
      </c>
      <c r="E459" t="s">
        <v>349</v>
      </c>
      <c r="F459" s="2">
        <v>1.01</v>
      </c>
      <c r="G459" s="2">
        <v>1.05</v>
      </c>
      <c r="H459" s="2">
        <v>0.99109999999999998</v>
      </c>
      <c r="I459" s="2">
        <v>0.92410000000000003</v>
      </c>
      <c r="J459" s="2">
        <v>0.58599999999999997</v>
      </c>
      <c r="K459">
        <v>5</v>
      </c>
      <c r="L459" s="19">
        <v>0</v>
      </c>
      <c r="M459" s="21">
        <f>L459</f>
        <v>0</v>
      </c>
    </row>
    <row r="460" spans="1:13" x14ac:dyDescent="0.2">
      <c r="A460" t="s">
        <v>80</v>
      </c>
      <c r="B460" t="e">
        <f>VLOOKUP(A460,MasterTutor!A:E,4,FALSE)</f>
        <v>#N/A</v>
      </c>
      <c r="C460" t="e">
        <f>VLOOKUP(A460,MasterTutor!A:E,3,FALSE)</f>
        <v>#N/A</v>
      </c>
      <c r="D460" t="e">
        <f>VLOOKUP(A460,MasterTutor!A:E,2,FALSE)</f>
        <v>#N/A</v>
      </c>
      <c r="E460" t="s">
        <v>349</v>
      </c>
      <c r="F460" s="2">
        <v>0.79</v>
      </c>
      <c r="G460" s="2">
        <v>0.93</v>
      </c>
      <c r="H460" s="2">
        <v>0.98529999999999995</v>
      </c>
      <c r="I460" s="2">
        <v>0.93330000000000002</v>
      </c>
      <c r="J460" s="2">
        <v>0.6</v>
      </c>
      <c r="K460" t="e">
        <v>#N/A</v>
      </c>
      <c r="L460" s="19" t="s">
        <v>338</v>
      </c>
      <c r="M460" s="21">
        <v>0.8</v>
      </c>
    </row>
    <row r="461" spans="1:13" x14ac:dyDescent="0.2">
      <c r="A461" t="s">
        <v>81</v>
      </c>
      <c r="B461" t="str">
        <f>VLOOKUP(A461,MasterTutor!A:E,4,FALSE)</f>
        <v>Distinguished</v>
      </c>
      <c r="C461" t="str">
        <f>VLOOKUP(A461,MasterTutor!A:E,3,FALSE)</f>
        <v>Professional</v>
      </c>
      <c r="D461" t="str">
        <f>VLOOKUP(A461,MasterTutor!A:E,2,FALSE)</f>
        <v>Ian Plamondon</v>
      </c>
      <c r="E461" t="s">
        <v>349</v>
      </c>
      <c r="F461" s="2">
        <v>0.98</v>
      </c>
      <c r="G461" s="2">
        <v>1.1399999999999999</v>
      </c>
      <c r="H461" s="2">
        <v>0.97899999999999998</v>
      </c>
      <c r="I461" s="2">
        <v>0.90480000000000005</v>
      </c>
      <c r="J461" s="2">
        <v>0.6</v>
      </c>
      <c r="K461">
        <v>2</v>
      </c>
      <c r="L461" s="19">
        <v>1</v>
      </c>
      <c r="M461" s="21">
        <f>L461</f>
        <v>1</v>
      </c>
    </row>
    <row r="462" spans="1:13" x14ac:dyDescent="0.2">
      <c r="A462" t="s">
        <v>353</v>
      </c>
      <c r="B462" t="e">
        <f>VLOOKUP(A462,MasterTutor!A:E,4,FALSE)</f>
        <v>#N/A</v>
      </c>
      <c r="C462" t="e">
        <f>VLOOKUP(A462,MasterTutor!A:E,3,FALSE)</f>
        <v>#N/A</v>
      </c>
      <c r="D462" t="e">
        <f>VLOOKUP(A462,MasterTutor!A:E,2,FALSE)</f>
        <v>#N/A</v>
      </c>
      <c r="E462" t="s">
        <v>349</v>
      </c>
      <c r="F462" s="2">
        <v>0.33</v>
      </c>
      <c r="G462" s="2">
        <v>0.86</v>
      </c>
      <c r="H462" s="2">
        <v>1</v>
      </c>
      <c r="I462" s="2">
        <v>1</v>
      </c>
      <c r="J462" s="2">
        <v>0.85299999999999998</v>
      </c>
      <c r="K462">
        <v>1</v>
      </c>
      <c r="L462" s="19" t="s">
        <v>335</v>
      </c>
      <c r="M462" s="21">
        <v>0.25</v>
      </c>
    </row>
    <row r="463" spans="1:13" x14ac:dyDescent="0.2">
      <c r="A463" t="s">
        <v>82</v>
      </c>
      <c r="B463" t="str">
        <f>VLOOKUP(A463,MasterTutor!A:E,4,FALSE)</f>
        <v>Premium</v>
      </c>
      <c r="C463" t="str">
        <f>VLOOKUP(A463,MasterTutor!A:E,3,FALSE)</f>
        <v>Adjunct</v>
      </c>
      <c r="D463" t="str">
        <f>VLOOKUP(A463,MasterTutor!A:E,2,FALSE)</f>
        <v>Jessica Milner</v>
      </c>
      <c r="E463" t="s">
        <v>349</v>
      </c>
      <c r="F463" s="2">
        <v>0.68</v>
      </c>
      <c r="G463" s="2">
        <v>1.22</v>
      </c>
      <c r="H463" s="2">
        <v>0.96430000000000005</v>
      </c>
      <c r="I463" s="2">
        <v>1</v>
      </c>
      <c r="J463" s="2">
        <v>0.95499999999999996</v>
      </c>
      <c r="K463">
        <v>2</v>
      </c>
    </row>
    <row r="464" spans="1:13" x14ac:dyDescent="0.2">
      <c r="A464" t="s">
        <v>83</v>
      </c>
      <c r="B464" t="str">
        <f>VLOOKUP(A464,MasterTutor!A:E,4,FALSE)</f>
        <v>Premium</v>
      </c>
      <c r="C464" t="str">
        <f>VLOOKUP(A464,MasterTutor!A:E,3,FALSE)</f>
        <v>Professional</v>
      </c>
      <c r="D464" t="str">
        <f>VLOOKUP(A464,MasterTutor!A:E,2,FALSE)</f>
        <v>Jessica Milner</v>
      </c>
      <c r="E464" t="s">
        <v>349</v>
      </c>
      <c r="F464" s="2">
        <v>1.23</v>
      </c>
      <c r="G464" s="2">
        <v>1.5</v>
      </c>
      <c r="H464" s="2">
        <v>0.98870000000000002</v>
      </c>
      <c r="I464" s="2">
        <v>0.96589999999999998</v>
      </c>
      <c r="J464" s="2">
        <v>0.56499999999999995</v>
      </c>
      <c r="K464">
        <v>5</v>
      </c>
      <c r="L464" s="19" t="s">
        <v>330</v>
      </c>
      <c r="M464" s="21">
        <v>0.67</v>
      </c>
    </row>
    <row r="465" spans="1:13" x14ac:dyDescent="0.2">
      <c r="A465" t="s">
        <v>84</v>
      </c>
      <c r="B465" t="str">
        <f>VLOOKUP(A465,MasterTutor!A:E,4,FALSE)</f>
        <v>Advanced</v>
      </c>
      <c r="C465" t="str">
        <f>VLOOKUP(A465,MasterTutor!A:E,3,FALSE)</f>
        <v>Professional</v>
      </c>
      <c r="D465" t="str">
        <f>VLOOKUP(A465,MasterTutor!A:E,2,FALSE)</f>
        <v>Kristin Haase-Alvey</v>
      </c>
      <c r="E465" t="s">
        <v>349</v>
      </c>
      <c r="F465" s="2">
        <v>0.92</v>
      </c>
      <c r="G465" s="2">
        <v>1.01</v>
      </c>
      <c r="H465" s="2">
        <v>0.97670000000000001</v>
      </c>
      <c r="I465" s="2">
        <v>0.83540000000000003</v>
      </c>
      <c r="J465" s="2">
        <v>0.71399999999999997</v>
      </c>
      <c r="K465">
        <v>3</v>
      </c>
      <c r="L465" s="19" t="s">
        <v>344</v>
      </c>
      <c r="M465" s="21">
        <v>0.83</v>
      </c>
    </row>
    <row r="466" spans="1:13" x14ac:dyDescent="0.2">
      <c r="A466" t="s">
        <v>85</v>
      </c>
      <c r="B466" t="str">
        <f>VLOOKUP(A466,MasterTutor!A:E,4,FALSE)</f>
        <v>Premium</v>
      </c>
      <c r="C466" t="str">
        <f>VLOOKUP(A466,MasterTutor!A:E,3,FALSE)</f>
        <v>Professional</v>
      </c>
      <c r="D466" t="str">
        <f>VLOOKUP(A466,MasterTutor!A:E,2,FALSE)</f>
        <v>Ian Plamondon</v>
      </c>
      <c r="E466" t="s">
        <v>349</v>
      </c>
      <c r="F466" s="2">
        <v>1.31</v>
      </c>
      <c r="G466" s="2">
        <v>1.32</v>
      </c>
      <c r="H466" s="2">
        <v>0.96950000000000003</v>
      </c>
      <c r="I466" s="2">
        <v>0.96230000000000004</v>
      </c>
      <c r="J466" s="2">
        <v>0.96</v>
      </c>
      <c r="K466">
        <v>4</v>
      </c>
      <c r="L466" s="19" t="s">
        <v>331</v>
      </c>
      <c r="M466" s="21">
        <v>0.5</v>
      </c>
    </row>
    <row r="467" spans="1:13" x14ac:dyDescent="0.2">
      <c r="A467" t="s">
        <v>86</v>
      </c>
      <c r="B467" t="e">
        <f>VLOOKUP(A467,MasterTutor!A:E,4,FALSE)</f>
        <v>#N/A</v>
      </c>
      <c r="C467" t="e">
        <f>VLOOKUP(A467,MasterTutor!A:E,3,FALSE)</f>
        <v>#N/A</v>
      </c>
      <c r="D467" t="e">
        <f>VLOOKUP(A467,MasterTutor!A:E,2,FALSE)</f>
        <v>#N/A</v>
      </c>
      <c r="E467" t="s">
        <v>349</v>
      </c>
      <c r="F467" s="2">
        <v>0.96</v>
      </c>
      <c r="G467" s="2">
        <v>1.28</v>
      </c>
      <c r="H467" s="2">
        <v>0.92500000000000004</v>
      </c>
      <c r="I467" s="2">
        <v>0.9667</v>
      </c>
      <c r="J467" s="2">
        <v>0.88900000000000001</v>
      </c>
      <c r="K467">
        <v>3</v>
      </c>
      <c r="L467" s="19">
        <v>1</v>
      </c>
      <c r="M467" s="21">
        <f>L467</f>
        <v>1</v>
      </c>
    </row>
    <row r="468" spans="1:13" x14ac:dyDescent="0.2">
      <c r="A468" t="s">
        <v>87</v>
      </c>
      <c r="B468" t="str">
        <f>VLOOKUP(A468,MasterTutor!A:E,4,FALSE)</f>
        <v>Advanced</v>
      </c>
      <c r="C468" t="str">
        <f>VLOOKUP(A468,MasterTutor!A:E,3,FALSE)</f>
        <v>Adjunct</v>
      </c>
      <c r="D468" t="str">
        <f>VLOOKUP(A468,MasterTutor!A:E,2,FALSE)</f>
        <v>Ela Cross</v>
      </c>
      <c r="E468" t="s">
        <v>349</v>
      </c>
      <c r="F468" s="2">
        <v>1.22</v>
      </c>
      <c r="G468" s="2">
        <v>1.1399999999999999</v>
      </c>
      <c r="H468" s="2">
        <v>0.98129999999999995</v>
      </c>
      <c r="I468" s="2">
        <v>0.98750000000000004</v>
      </c>
      <c r="J468" s="2">
        <v>0.53600000000000003</v>
      </c>
      <c r="K468">
        <v>8</v>
      </c>
      <c r="L468" s="19">
        <v>1</v>
      </c>
      <c r="M468" s="21">
        <f>L468</f>
        <v>1</v>
      </c>
    </row>
    <row r="469" spans="1:13" x14ac:dyDescent="0.2">
      <c r="A469" t="s">
        <v>88</v>
      </c>
      <c r="B469" t="str">
        <f>VLOOKUP(A469,MasterTutor!A:E,4,FALSE)</f>
        <v>Distinguished</v>
      </c>
      <c r="C469" t="str">
        <f>VLOOKUP(A469,MasterTutor!A:E,3,FALSE)</f>
        <v>Professional</v>
      </c>
      <c r="D469" t="str">
        <f>VLOOKUP(A469,MasterTutor!A:E,2,FALSE)</f>
        <v>Ian Plamondon</v>
      </c>
      <c r="E469" t="s">
        <v>349</v>
      </c>
      <c r="F469" s="2">
        <v>1.44</v>
      </c>
      <c r="G469" s="2">
        <v>1.45</v>
      </c>
      <c r="H469" s="2">
        <v>0.99539999999999995</v>
      </c>
      <c r="I469" s="2">
        <v>0.99260000000000004</v>
      </c>
      <c r="J469" s="2">
        <v>0.96</v>
      </c>
      <c r="K469">
        <v>20</v>
      </c>
      <c r="L469" s="19" t="s">
        <v>351</v>
      </c>
      <c r="M469" s="21">
        <v>0.44</v>
      </c>
    </row>
    <row r="470" spans="1:13" x14ac:dyDescent="0.2">
      <c r="A470" t="s">
        <v>272</v>
      </c>
      <c r="B470" t="str">
        <f>VLOOKUP(A470,MasterTutor!A:E,4,FALSE)</f>
        <v>Advanced</v>
      </c>
      <c r="C470" t="str">
        <f>VLOOKUP(A470,MasterTutor!A:E,3,FALSE)</f>
        <v xml:space="preserve">Professional </v>
      </c>
      <c r="D470" t="str">
        <f>VLOOKUP(A470,MasterTutor!A:E,2,FALSE)</f>
        <v>Ian Plamondon</v>
      </c>
      <c r="E470" t="s">
        <v>349</v>
      </c>
      <c r="F470" s="2">
        <v>0.1</v>
      </c>
      <c r="G470" s="2">
        <v>0.36</v>
      </c>
      <c r="H470" s="2">
        <v>1</v>
      </c>
      <c r="I470" s="2">
        <v>1</v>
      </c>
      <c r="J470" s="2">
        <v>0.66700000000000004</v>
      </c>
      <c r="K470" t="e">
        <v>#N/A</v>
      </c>
      <c r="L470" s="19">
        <v>0</v>
      </c>
      <c r="M470" s="21">
        <f>L470</f>
        <v>0</v>
      </c>
    </row>
    <row r="471" spans="1:13" x14ac:dyDescent="0.2">
      <c r="A471" t="s">
        <v>89</v>
      </c>
      <c r="B471" t="e">
        <f>VLOOKUP(A471,MasterTutor!A:E,4,FALSE)</f>
        <v>#N/A</v>
      </c>
      <c r="C471" t="e">
        <f>VLOOKUP(A471,MasterTutor!A:E,3,FALSE)</f>
        <v>#N/A</v>
      </c>
      <c r="D471" t="e">
        <f>VLOOKUP(A471,MasterTutor!A:E,2,FALSE)</f>
        <v>#N/A</v>
      </c>
      <c r="E471" t="s">
        <v>349</v>
      </c>
      <c r="F471" s="2">
        <v>1.53</v>
      </c>
      <c r="G471" s="2">
        <v>1.43</v>
      </c>
      <c r="H471" s="2">
        <v>0.98680000000000001</v>
      </c>
      <c r="I471" s="2">
        <v>0.96299999999999997</v>
      </c>
      <c r="J471" s="2">
        <v>0.5</v>
      </c>
      <c r="K471">
        <v>1</v>
      </c>
    </row>
    <row r="472" spans="1:13" x14ac:dyDescent="0.2">
      <c r="A472" t="s">
        <v>90</v>
      </c>
      <c r="B472" t="str">
        <f>VLOOKUP(A472,MasterTutor!A:E,4,FALSE)</f>
        <v>Advanced</v>
      </c>
      <c r="C472" t="str">
        <f>VLOOKUP(A472,MasterTutor!A:E,3,FALSE)</f>
        <v>Adjunct</v>
      </c>
      <c r="D472" t="str">
        <f>VLOOKUP(A472,MasterTutor!A:E,2,FALSE)</f>
        <v>Ela Cross</v>
      </c>
      <c r="E472" t="s">
        <v>349</v>
      </c>
      <c r="F472" s="2">
        <v>1.34</v>
      </c>
      <c r="G472" s="2">
        <v>1.5</v>
      </c>
      <c r="H472" s="2">
        <v>0.92479999999999996</v>
      </c>
      <c r="I472" s="2">
        <v>1</v>
      </c>
      <c r="J472" s="2">
        <v>0.28599999999999998</v>
      </c>
      <c r="K472">
        <v>5</v>
      </c>
    </row>
    <row r="473" spans="1:13" x14ac:dyDescent="0.2">
      <c r="A473" t="s">
        <v>92</v>
      </c>
      <c r="B473" t="str">
        <f>VLOOKUP(A473,MasterTutor!A:E,4,FALSE)</f>
        <v>Premium</v>
      </c>
      <c r="C473" t="str">
        <f>VLOOKUP(A473,MasterTutor!A:E,3,FALSE)</f>
        <v>Professional</v>
      </c>
      <c r="D473" t="str">
        <f>VLOOKUP(A473,MasterTutor!A:E,2,FALSE)</f>
        <v>Ian Plamondon</v>
      </c>
      <c r="E473" t="s">
        <v>349</v>
      </c>
      <c r="F473" s="2">
        <v>0.67</v>
      </c>
      <c r="G473" s="2">
        <v>1.1200000000000001</v>
      </c>
      <c r="H473" s="2">
        <v>0.99170000000000003</v>
      </c>
      <c r="I473" s="2">
        <v>0.94289999999999996</v>
      </c>
      <c r="J473" s="2">
        <v>0.66700000000000004</v>
      </c>
      <c r="K473">
        <v>2</v>
      </c>
      <c r="L473" s="19">
        <v>0</v>
      </c>
      <c r="M473" s="21">
        <f>L473</f>
        <v>0</v>
      </c>
    </row>
    <row r="474" spans="1:13" x14ac:dyDescent="0.2">
      <c r="A474" t="s">
        <v>93</v>
      </c>
      <c r="B474" t="str">
        <f>VLOOKUP(A474,MasterTutor!A:E,4,FALSE)</f>
        <v>Advanced</v>
      </c>
      <c r="C474" t="str">
        <f>VLOOKUP(A474,MasterTutor!A:E,3,FALSE)</f>
        <v>Professional</v>
      </c>
      <c r="D474" t="str">
        <f>VLOOKUP(A474,MasterTutor!A:E,2,FALSE)</f>
        <v>Ian Plamondon</v>
      </c>
      <c r="E474" t="s">
        <v>349</v>
      </c>
      <c r="F474" s="2">
        <v>1.02</v>
      </c>
      <c r="G474" s="2">
        <v>1.08</v>
      </c>
      <c r="H474" s="2">
        <v>1</v>
      </c>
      <c r="I474" s="2">
        <v>0.98060000000000003</v>
      </c>
      <c r="J474" s="2">
        <v>0.70699999999999996</v>
      </c>
      <c r="K474">
        <v>4</v>
      </c>
      <c r="L474" s="19" t="s">
        <v>346</v>
      </c>
      <c r="M474" s="21">
        <v>0.78</v>
      </c>
    </row>
    <row r="475" spans="1:13" x14ac:dyDescent="0.2">
      <c r="A475" t="s">
        <v>94</v>
      </c>
      <c r="B475" t="str">
        <f>VLOOKUP(A475,MasterTutor!A:E,4,FALSE)</f>
        <v>Premium</v>
      </c>
      <c r="C475" t="str">
        <f>VLOOKUP(A475,MasterTutor!A:E,3,FALSE)</f>
        <v>Professional</v>
      </c>
      <c r="D475" t="str">
        <f>VLOOKUP(A475,MasterTutor!A:E,2,FALSE)</f>
        <v>Jessica Milner</v>
      </c>
      <c r="E475" t="s">
        <v>349</v>
      </c>
      <c r="F475" s="2">
        <v>0.99</v>
      </c>
      <c r="G475" s="2">
        <v>1.25</v>
      </c>
      <c r="H475" s="2">
        <v>0.98680000000000001</v>
      </c>
      <c r="I475" s="2">
        <v>0.98670000000000002</v>
      </c>
      <c r="J475" s="2">
        <v>0.45200000000000001</v>
      </c>
      <c r="K475">
        <v>1</v>
      </c>
      <c r="L475" s="19" t="s">
        <v>337</v>
      </c>
      <c r="M475" s="21">
        <f>1/3</f>
        <v>0.33333333333333331</v>
      </c>
    </row>
    <row r="476" spans="1:13" x14ac:dyDescent="0.2">
      <c r="A476" t="s">
        <v>95</v>
      </c>
      <c r="B476" t="str">
        <f>VLOOKUP(A476,MasterTutor!A:E,4,FALSE)</f>
        <v>Advanced</v>
      </c>
      <c r="C476" t="str">
        <f>VLOOKUP(A476,MasterTutor!A:E,3,FALSE)</f>
        <v>Professional</v>
      </c>
      <c r="D476" t="str">
        <f>VLOOKUP(A476,MasterTutor!A:E,2,FALSE)</f>
        <v>Kristin Haase-Alvey</v>
      </c>
      <c r="E476" t="s">
        <v>349</v>
      </c>
      <c r="F476" s="2">
        <v>0.85</v>
      </c>
      <c r="G476" s="2">
        <v>0.95</v>
      </c>
      <c r="H476" s="2">
        <v>0.89159999999999995</v>
      </c>
      <c r="I476" s="2">
        <v>0.92649999999999999</v>
      </c>
      <c r="J476" s="2">
        <v>0.53600000000000003</v>
      </c>
      <c r="K476">
        <v>10</v>
      </c>
      <c r="L476" s="19">
        <v>1</v>
      </c>
      <c r="M476" s="21">
        <f>L476</f>
        <v>1</v>
      </c>
    </row>
    <row r="477" spans="1:13" x14ac:dyDescent="0.2">
      <c r="A477" t="s">
        <v>96</v>
      </c>
      <c r="B477" t="str">
        <f>VLOOKUP(A477,MasterTutor!A:E,4,FALSE)</f>
        <v>Distinguished</v>
      </c>
      <c r="C477" t="str">
        <f>VLOOKUP(A477,MasterTutor!A:E,3,FALSE)</f>
        <v>Adjunct</v>
      </c>
      <c r="D477" t="str">
        <f>VLOOKUP(A477,MasterTutor!A:E,2,FALSE)</f>
        <v>Kristin Haase-Alvey</v>
      </c>
      <c r="E477" t="s">
        <v>349</v>
      </c>
      <c r="F477" s="2">
        <v>1.06</v>
      </c>
      <c r="G477" s="2">
        <v>1.17</v>
      </c>
      <c r="H477" s="2">
        <v>1</v>
      </c>
      <c r="I477" s="2">
        <v>1</v>
      </c>
      <c r="J477" s="2">
        <v>0.875</v>
      </c>
      <c r="K477">
        <v>9</v>
      </c>
      <c r="L477" s="19">
        <v>0</v>
      </c>
      <c r="M477" s="21">
        <f>L477</f>
        <v>0</v>
      </c>
    </row>
    <row r="478" spans="1:13" x14ac:dyDescent="0.2">
      <c r="A478" t="s">
        <v>97</v>
      </c>
      <c r="B478" t="str">
        <f>VLOOKUP(A478,MasterTutor!A:E,4,FALSE)</f>
        <v>Advanced</v>
      </c>
      <c r="C478" t="str">
        <f>VLOOKUP(A478,MasterTutor!A:E,3,FALSE)</f>
        <v>Professional</v>
      </c>
      <c r="D478" t="str">
        <f>VLOOKUP(A478,MasterTutor!A:E,2,FALSE)</f>
        <v>Kristin Haase-Alvey</v>
      </c>
      <c r="E478" t="s">
        <v>349</v>
      </c>
      <c r="F478" s="2">
        <v>0.38</v>
      </c>
      <c r="G478" s="2">
        <v>0.81</v>
      </c>
      <c r="H478" s="2">
        <v>0.9375</v>
      </c>
      <c r="I478" s="2">
        <v>0.96150000000000002</v>
      </c>
      <c r="J478" s="2">
        <v>0.72199999999999998</v>
      </c>
      <c r="K478" t="e">
        <v>#N/A</v>
      </c>
      <c r="L478" s="19" t="s">
        <v>354</v>
      </c>
      <c r="M478" s="21">
        <v>0.43</v>
      </c>
    </row>
    <row r="479" spans="1:13" x14ac:dyDescent="0.2">
      <c r="A479" t="s">
        <v>98</v>
      </c>
      <c r="B479" t="str">
        <f>VLOOKUP(A479,MasterTutor!A:E,4,FALSE)</f>
        <v>Premium</v>
      </c>
      <c r="C479" t="str">
        <f>VLOOKUP(A479,MasterTutor!A:E,3,FALSE)</f>
        <v>Adjunct</v>
      </c>
      <c r="D479" t="str">
        <f>VLOOKUP(A479,MasterTutor!A:E,2,FALSE)</f>
        <v>Ela Cross</v>
      </c>
      <c r="E479" t="s">
        <v>349</v>
      </c>
      <c r="F479" s="2">
        <v>1.21</v>
      </c>
      <c r="G479" s="2">
        <v>1.25</v>
      </c>
      <c r="H479" s="2">
        <v>1</v>
      </c>
      <c r="I479" s="2">
        <v>0.97729999999999995</v>
      </c>
      <c r="J479" s="2">
        <v>0.75</v>
      </c>
      <c r="K479">
        <v>6</v>
      </c>
      <c r="L479" s="19">
        <v>1</v>
      </c>
      <c r="M479" s="21">
        <f>L479</f>
        <v>1</v>
      </c>
    </row>
    <row r="480" spans="1:13" x14ac:dyDescent="0.2">
      <c r="A480" t="s">
        <v>100</v>
      </c>
      <c r="B480" t="str">
        <f>VLOOKUP(A480,MasterTutor!A:E,4,FALSE)</f>
        <v>Premium</v>
      </c>
      <c r="C480" t="str">
        <f>VLOOKUP(A480,MasterTutor!A:E,3,FALSE)</f>
        <v>Adjunct</v>
      </c>
      <c r="D480" t="str">
        <f>VLOOKUP(A480,MasterTutor!A:E,2,FALSE)</f>
        <v>Annelies de Groot</v>
      </c>
      <c r="E480" t="s">
        <v>349</v>
      </c>
      <c r="F480" s="2">
        <v>1.58</v>
      </c>
      <c r="G480" s="2">
        <v>1.25</v>
      </c>
      <c r="H480" s="2">
        <v>0.95430000000000004</v>
      </c>
      <c r="I480" s="2">
        <v>1</v>
      </c>
      <c r="J480" s="2">
        <v>0.81799999999999995</v>
      </c>
      <c r="K480">
        <v>1</v>
      </c>
    </row>
    <row r="481" spans="1:13" x14ac:dyDescent="0.2">
      <c r="A481" t="s">
        <v>101</v>
      </c>
      <c r="B481" t="str">
        <f>VLOOKUP(A481,MasterTutor!A:E,4,FALSE)</f>
        <v>Advanced</v>
      </c>
      <c r="C481" t="str">
        <f>VLOOKUP(A481,MasterTutor!A:E,3,FALSE)</f>
        <v>Professional</v>
      </c>
      <c r="D481" t="str">
        <f>VLOOKUP(A481,MasterTutor!A:E,2,FALSE)</f>
        <v>Kristin Haase-Alvey</v>
      </c>
      <c r="E481" t="s">
        <v>349</v>
      </c>
      <c r="F481" s="2">
        <v>1.03</v>
      </c>
      <c r="G481" s="2">
        <v>1.06</v>
      </c>
      <c r="H481" s="2">
        <v>0.98809999999999998</v>
      </c>
      <c r="I481" s="2">
        <v>1</v>
      </c>
      <c r="J481" s="2">
        <v>0.6</v>
      </c>
      <c r="K481">
        <v>4</v>
      </c>
      <c r="L481" s="19">
        <v>1</v>
      </c>
      <c r="M481" s="21">
        <f>L481</f>
        <v>1</v>
      </c>
    </row>
    <row r="482" spans="1:13" x14ac:dyDescent="0.2">
      <c r="A482" t="s">
        <v>102</v>
      </c>
      <c r="B482" t="e">
        <f>VLOOKUP(A482,MasterTutor!A:E,4,FALSE)</f>
        <v>#N/A</v>
      </c>
      <c r="C482" t="e">
        <f>VLOOKUP(A482,MasterTutor!A:E,3,FALSE)</f>
        <v>#N/A</v>
      </c>
      <c r="D482" t="e">
        <f>VLOOKUP(A482,MasterTutor!A:E,2,FALSE)</f>
        <v>#N/A</v>
      </c>
      <c r="E482" t="s">
        <v>349</v>
      </c>
      <c r="F482" s="2">
        <v>1.1299999999999999</v>
      </c>
      <c r="G482" s="2">
        <v>0.99</v>
      </c>
      <c r="H482" s="2">
        <v>0.92500000000000004</v>
      </c>
      <c r="I482" s="2">
        <v>0.88370000000000004</v>
      </c>
      <c r="J482" s="2">
        <v>0.61499999999999999</v>
      </c>
      <c r="K482">
        <v>1</v>
      </c>
    </row>
    <row r="483" spans="1:13" x14ac:dyDescent="0.2">
      <c r="A483" t="s">
        <v>103</v>
      </c>
      <c r="B483" t="str">
        <f>VLOOKUP(A483,MasterTutor!A:E,4,FALSE)</f>
        <v>Distinguished</v>
      </c>
      <c r="C483" t="str">
        <f>VLOOKUP(A483,MasterTutor!A:E,3,FALSE)</f>
        <v>Adjunct</v>
      </c>
      <c r="D483" t="str">
        <f>VLOOKUP(A483,MasterTutor!A:E,2,FALSE)</f>
        <v>Kristin Haase-Alvey</v>
      </c>
      <c r="E483" t="s">
        <v>349</v>
      </c>
      <c r="F483" s="2">
        <v>1.06</v>
      </c>
      <c r="G483" s="2">
        <v>1.25</v>
      </c>
      <c r="H483" s="2">
        <v>1</v>
      </c>
      <c r="I483" s="2">
        <v>1</v>
      </c>
      <c r="J483" s="2">
        <v>0.46700000000000003</v>
      </c>
      <c r="K483">
        <v>1</v>
      </c>
      <c r="L483" s="19" t="s">
        <v>331</v>
      </c>
      <c r="M483" s="21">
        <v>0.5</v>
      </c>
    </row>
    <row r="484" spans="1:13" x14ac:dyDescent="0.2">
      <c r="A484" t="s">
        <v>104</v>
      </c>
      <c r="B484" t="e">
        <f>VLOOKUP(A484,MasterTutor!A:E,4,FALSE)</f>
        <v>#N/A</v>
      </c>
      <c r="C484" t="e">
        <f>VLOOKUP(A484,MasterTutor!A:E,3,FALSE)</f>
        <v>#N/A</v>
      </c>
      <c r="D484" t="e">
        <f>VLOOKUP(A484,MasterTutor!A:E,2,FALSE)</f>
        <v>#N/A</v>
      </c>
      <c r="E484" t="s">
        <v>349</v>
      </c>
      <c r="F484" s="2">
        <v>1.04</v>
      </c>
      <c r="G484" s="2">
        <v>1.32</v>
      </c>
      <c r="H484" s="2">
        <v>0.92010000000000003</v>
      </c>
      <c r="I484" s="2">
        <v>1</v>
      </c>
      <c r="J484" s="2">
        <v>0.75</v>
      </c>
      <c r="K484" t="e">
        <v>#N/A</v>
      </c>
    </row>
    <row r="485" spans="1:13" x14ac:dyDescent="0.2">
      <c r="A485" t="s">
        <v>105</v>
      </c>
      <c r="B485" t="str">
        <f>VLOOKUP(A485,MasterTutor!A:E,4,FALSE)</f>
        <v>Advanced</v>
      </c>
      <c r="C485" t="str">
        <f>VLOOKUP(A485,MasterTutor!A:E,3,FALSE)</f>
        <v>Adjunct</v>
      </c>
      <c r="D485" t="str">
        <f>VLOOKUP(A485,MasterTutor!A:E,2,FALSE)</f>
        <v>Annelies de Groot</v>
      </c>
      <c r="E485" t="s">
        <v>349</v>
      </c>
      <c r="F485" s="2">
        <v>1.1000000000000001</v>
      </c>
      <c r="G485" s="2">
        <v>1.21</v>
      </c>
      <c r="H485" s="2">
        <v>0.9405</v>
      </c>
      <c r="I485" s="2">
        <v>1</v>
      </c>
      <c r="J485" s="2">
        <v>0.61499999999999999</v>
      </c>
      <c r="K485">
        <v>4</v>
      </c>
      <c r="L485" s="19" t="s">
        <v>331</v>
      </c>
      <c r="M485" s="21">
        <v>0.5</v>
      </c>
    </row>
    <row r="486" spans="1:13" x14ac:dyDescent="0.2">
      <c r="A486" t="s">
        <v>106</v>
      </c>
      <c r="B486" t="e">
        <f>VLOOKUP(A486,MasterTutor!A:E,4,FALSE)</f>
        <v>#N/A</v>
      </c>
      <c r="C486" t="e">
        <f>VLOOKUP(A486,MasterTutor!A:E,3,FALSE)</f>
        <v>#N/A</v>
      </c>
      <c r="D486" t="e">
        <f>VLOOKUP(A486,MasterTutor!A:E,2,FALSE)</f>
        <v>#N/A</v>
      </c>
      <c r="E486" t="s">
        <v>349</v>
      </c>
      <c r="F486" s="2">
        <v>0.85</v>
      </c>
      <c r="G486" s="2">
        <v>1.26</v>
      </c>
      <c r="H486" s="2">
        <v>0.9929</v>
      </c>
      <c r="I486" s="2">
        <v>1</v>
      </c>
      <c r="J486" s="2">
        <v>0.70599999999999996</v>
      </c>
      <c r="K486">
        <v>2</v>
      </c>
      <c r="L486" s="19">
        <v>1</v>
      </c>
      <c r="M486" s="21">
        <f>L486</f>
        <v>1</v>
      </c>
    </row>
    <row r="487" spans="1:13" x14ac:dyDescent="0.2">
      <c r="A487" t="s">
        <v>107</v>
      </c>
      <c r="B487" t="str">
        <f>VLOOKUP(A487,MasterTutor!A:E,4,FALSE)</f>
        <v>Distinguished</v>
      </c>
      <c r="C487" t="str">
        <f>VLOOKUP(A487,MasterTutor!A:E,3,FALSE)</f>
        <v>Professional</v>
      </c>
      <c r="D487" t="str">
        <f>VLOOKUP(A487,MasterTutor!A:E,2,FALSE)</f>
        <v>Ian Plamondon</v>
      </c>
      <c r="E487" t="s">
        <v>349</v>
      </c>
      <c r="F487" s="2">
        <v>1.1000000000000001</v>
      </c>
      <c r="G487" s="2">
        <v>1.33</v>
      </c>
      <c r="H487" s="2">
        <v>1</v>
      </c>
      <c r="I487" s="2">
        <v>0.97370000000000001</v>
      </c>
      <c r="J487" s="2">
        <v>0.6</v>
      </c>
      <c r="K487">
        <v>2</v>
      </c>
      <c r="L487" s="19" t="s">
        <v>332</v>
      </c>
      <c r="M487" s="21">
        <v>0.71</v>
      </c>
    </row>
    <row r="488" spans="1:13" x14ac:dyDescent="0.2">
      <c r="A488" t="s">
        <v>108</v>
      </c>
      <c r="B488" t="str">
        <f>VLOOKUP(A488,MasterTutor!A:E,4,FALSE)</f>
        <v>Advanced</v>
      </c>
      <c r="C488" t="str">
        <f>VLOOKUP(A488,MasterTutor!A:E,3,FALSE)</f>
        <v>Professional</v>
      </c>
      <c r="D488" t="str">
        <f>VLOOKUP(A488,MasterTutor!A:E,2,FALSE)</f>
        <v>Geoff St. Marie</v>
      </c>
      <c r="E488" t="s">
        <v>349</v>
      </c>
      <c r="F488" s="2">
        <v>1.1599999999999999</v>
      </c>
      <c r="G488" s="2">
        <v>1.31</v>
      </c>
      <c r="H488" s="2">
        <v>1</v>
      </c>
      <c r="I488" s="2">
        <v>0.98909999999999998</v>
      </c>
      <c r="J488" s="2">
        <v>0.81799999999999995</v>
      </c>
      <c r="K488">
        <v>13</v>
      </c>
      <c r="L488" s="19" t="s">
        <v>336</v>
      </c>
      <c r="M488" s="21">
        <v>0.6</v>
      </c>
    </row>
    <row r="489" spans="1:13" x14ac:dyDescent="0.2">
      <c r="A489" t="s">
        <v>110</v>
      </c>
      <c r="B489" t="e">
        <f>VLOOKUP(A489,MasterTutor!A:E,4,FALSE)</f>
        <v>#N/A</v>
      </c>
      <c r="C489" t="e">
        <f>VLOOKUP(A489,MasterTutor!A:E,3,FALSE)</f>
        <v>#N/A</v>
      </c>
      <c r="D489" t="e">
        <f>VLOOKUP(A489,MasterTutor!A:E,2,FALSE)</f>
        <v>#N/A</v>
      </c>
      <c r="E489" t="s">
        <v>349</v>
      </c>
      <c r="F489" s="2">
        <v>0.61</v>
      </c>
      <c r="G489" s="2">
        <v>0.98</v>
      </c>
      <c r="H489" s="2">
        <v>1</v>
      </c>
      <c r="I489" s="2">
        <v>0.98080000000000001</v>
      </c>
      <c r="J489" s="2">
        <v>0.77300000000000002</v>
      </c>
      <c r="K489">
        <v>2</v>
      </c>
      <c r="L489" s="19">
        <v>1</v>
      </c>
      <c r="M489" s="21">
        <f>L489</f>
        <v>1</v>
      </c>
    </row>
    <row r="490" spans="1:13" x14ac:dyDescent="0.2">
      <c r="A490" t="s">
        <v>111</v>
      </c>
      <c r="B490" t="str">
        <f>VLOOKUP(A490,MasterTutor!A:E,4,FALSE)</f>
        <v>Premium</v>
      </c>
      <c r="C490" t="str">
        <f>VLOOKUP(A490,MasterTutor!A:E,3,FALSE)</f>
        <v>Adjunct</v>
      </c>
      <c r="D490" t="str">
        <f>VLOOKUP(A490,MasterTutor!A:E,2,FALSE)</f>
        <v>Kristin Haase-Alvey</v>
      </c>
      <c r="E490" t="s">
        <v>349</v>
      </c>
      <c r="F490" s="2">
        <v>1.28</v>
      </c>
      <c r="G490" s="2">
        <v>1.34</v>
      </c>
      <c r="H490" s="2">
        <v>0.97919999999999996</v>
      </c>
      <c r="I490" s="2">
        <v>1</v>
      </c>
      <c r="J490" s="2">
        <v>0.85699999999999998</v>
      </c>
      <c r="K490">
        <v>3</v>
      </c>
      <c r="L490" s="19">
        <v>1</v>
      </c>
      <c r="M490" s="21">
        <f>L490</f>
        <v>1</v>
      </c>
    </row>
    <row r="491" spans="1:13" x14ac:dyDescent="0.2">
      <c r="A491" t="s">
        <v>112</v>
      </c>
      <c r="B491" t="e">
        <f>VLOOKUP(A491,MasterTutor!A:E,4,FALSE)</f>
        <v>#N/A</v>
      </c>
      <c r="C491" t="e">
        <f>VLOOKUP(A491,MasterTutor!A:E,3,FALSE)</f>
        <v>#N/A</v>
      </c>
      <c r="D491" t="e">
        <f>VLOOKUP(A491,MasterTutor!A:E,2,FALSE)</f>
        <v>#N/A</v>
      </c>
      <c r="E491" t="s">
        <v>349</v>
      </c>
      <c r="F491" s="2">
        <v>0.77</v>
      </c>
      <c r="G491" s="2">
        <v>1.04</v>
      </c>
      <c r="H491" s="2">
        <v>1</v>
      </c>
      <c r="I491" s="2">
        <v>1</v>
      </c>
      <c r="J491" s="2">
        <v>0.85699999999999998</v>
      </c>
      <c r="K491">
        <v>1</v>
      </c>
    </row>
    <row r="492" spans="1:13" x14ac:dyDescent="0.2">
      <c r="A492" t="s">
        <v>113</v>
      </c>
      <c r="B492" t="e">
        <f>VLOOKUP(A492,MasterTutor!A:E,4,FALSE)</f>
        <v>#N/A</v>
      </c>
      <c r="C492" t="e">
        <f>VLOOKUP(A492,MasterTutor!A:E,3,FALSE)</f>
        <v>#N/A</v>
      </c>
      <c r="D492" t="e">
        <f>VLOOKUP(A492,MasterTutor!A:E,2,FALSE)</f>
        <v>#N/A</v>
      </c>
      <c r="E492" t="s">
        <v>349</v>
      </c>
      <c r="F492" s="2">
        <v>0.76</v>
      </c>
      <c r="G492" s="2">
        <v>0.74</v>
      </c>
      <c r="H492" s="2">
        <v>0.99199999999999999</v>
      </c>
      <c r="I492" s="2">
        <v>0.94379999999999997</v>
      </c>
      <c r="J492" s="2">
        <v>0.48</v>
      </c>
      <c r="K492">
        <v>14</v>
      </c>
      <c r="L492" s="19" t="s">
        <v>331</v>
      </c>
      <c r="M492" s="21">
        <v>0.5</v>
      </c>
    </row>
    <row r="493" spans="1:13" x14ac:dyDescent="0.2">
      <c r="A493" t="s">
        <v>114</v>
      </c>
      <c r="B493" t="e">
        <f>VLOOKUP(A493,MasterTutor!A:E,4,FALSE)</f>
        <v>#N/A</v>
      </c>
      <c r="C493" t="e">
        <f>VLOOKUP(A493,MasterTutor!A:E,3,FALSE)</f>
        <v>#N/A</v>
      </c>
      <c r="D493" t="e">
        <f>VLOOKUP(A493,MasterTutor!A:E,2,FALSE)</f>
        <v>#N/A</v>
      </c>
      <c r="E493" t="s">
        <v>349</v>
      </c>
      <c r="F493" s="2">
        <v>0.96</v>
      </c>
      <c r="G493" s="2">
        <v>1.36</v>
      </c>
      <c r="H493" s="2">
        <v>0.96250000000000002</v>
      </c>
      <c r="I493" s="2">
        <v>0.83099999999999996</v>
      </c>
      <c r="J493" s="2">
        <v>0.76900000000000002</v>
      </c>
      <c r="K493">
        <v>3</v>
      </c>
    </row>
    <row r="494" spans="1:13" x14ac:dyDescent="0.2">
      <c r="A494" t="s">
        <v>115</v>
      </c>
      <c r="B494" t="str">
        <f>VLOOKUP(A494,MasterTutor!A:E,4,FALSE)</f>
        <v>Advanced</v>
      </c>
      <c r="C494" t="str">
        <f>VLOOKUP(A494,MasterTutor!A:E,3,FALSE)</f>
        <v>Adjunct</v>
      </c>
      <c r="D494" t="str">
        <f>VLOOKUP(A494,MasterTutor!A:E,2,FALSE)</f>
        <v>Kristin Haase-Alvey</v>
      </c>
      <c r="E494" t="s">
        <v>349</v>
      </c>
      <c r="F494" s="2">
        <v>2.2000000000000002</v>
      </c>
      <c r="G494" s="2">
        <v>2.2999999999999998</v>
      </c>
      <c r="H494" s="2">
        <v>0.99109999999999998</v>
      </c>
      <c r="I494" s="2">
        <v>0.9194</v>
      </c>
      <c r="J494" s="2">
        <v>1</v>
      </c>
      <c r="K494">
        <v>5</v>
      </c>
      <c r="L494" s="19" t="s">
        <v>331</v>
      </c>
      <c r="M494" s="21">
        <v>0.5</v>
      </c>
    </row>
    <row r="495" spans="1:13" x14ac:dyDescent="0.2">
      <c r="A495" t="s">
        <v>116</v>
      </c>
      <c r="B495" t="str">
        <f>VLOOKUP(A495,MasterTutor!A:E,4,FALSE)</f>
        <v>Premium</v>
      </c>
      <c r="C495" t="str">
        <f>VLOOKUP(A495,MasterTutor!A:E,3,FALSE)</f>
        <v>Professional</v>
      </c>
      <c r="D495" t="str">
        <f>VLOOKUP(A495,MasterTutor!A:E,2,FALSE)</f>
        <v>Jessica Milner</v>
      </c>
      <c r="E495" t="s">
        <v>349</v>
      </c>
      <c r="F495" s="2">
        <v>0.99</v>
      </c>
      <c r="G495" s="2">
        <v>1.1000000000000001</v>
      </c>
      <c r="H495" s="2">
        <v>1</v>
      </c>
      <c r="I495" s="2">
        <v>1</v>
      </c>
      <c r="J495" s="2">
        <v>0.75</v>
      </c>
      <c r="K495">
        <v>5</v>
      </c>
      <c r="L495" s="19">
        <v>0</v>
      </c>
      <c r="M495" s="21">
        <f>L495</f>
        <v>0</v>
      </c>
    </row>
    <row r="496" spans="1:13" x14ac:dyDescent="0.2">
      <c r="A496" t="s">
        <v>117</v>
      </c>
      <c r="B496" t="str">
        <f>VLOOKUP(A496,MasterTutor!A:E,4,FALSE)</f>
        <v>Advanced</v>
      </c>
      <c r="C496" t="str">
        <f>VLOOKUP(A496,MasterTutor!A:E,3,FALSE)</f>
        <v>Professional</v>
      </c>
      <c r="D496" t="str">
        <f>VLOOKUP(A496,MasterTutor!A:E,2,FALSE)</f>
        <v>Kristin Haase-Alvey</v>
      </c>
      <c r="E496" t="s">
        <v>349</v>
      </c>
      <c r="F496" s="2">
        <v>1.01</v>
      </c>
      <c r="G496" s="2">
        <v>1</v>
      </c>
      <c r="H496" s="2">
        <v>1</v>
      </c>
      <c r="I496" s="2">
        <v>1</v>
      </c>
      <c r="J496" s="2">
        <v>0.61799999999999999</v>
      </c>
      <c r="K496">
        <v>8</v>
      </c>
      <c r="L496" s="19" t="s">
        <v>355</v>
      </c>
      <c r="M496" s="21">
        <v>0.14000000000000001</v>
      </c>
    </row>
    <row r="497" spans="1:13" x14ac:dyDescent="0.2">
      <c r="A497" t="s">
        <v>118</v>
      </c>
      <c r="B497" t="e">
        <f>VLOOKUP(A497,MasterTutor!A:E,4,FALSE)</f>
        <v>#N/A</v>
      </c>
      <c r="C497" t="e">
        <f>VLOOKUP(A497,MasterTutor!A:E,3,FALSE)</f>
        <v>#N/A</v>
      </c>
      <c r="D497" t="e">
        <f>VLOOKUP(A497,MasterTutor!A:E,2,FALSE)</f>
        <v>#N/A</v>
      </c>
      <c r="E497" t="s">
        <v>349</v>
      </c>
      <c r="F497" s="2">
        <v>1.2</v>
      </c>
      <c r="G497" s="2">
        <v>1.66</v>
      </c>
      <c r="H497" s="2">
        <v>0.98199999999999998</v>
      </c>
      <c r="I497" s="2">
        <v>0.94740000000000002</v>
      </c>
      <c r="J497" s="2">
        <v>0.4</v>
      </c>
      <c r="K497">
        <v>0</v>
      </c>
      <c r="L497" s="19" t="s">
        <v>337</v>
      </c>
      <c r="M497" s="21">
        <f>1/3</f>
        <v>0.33333333333333331</v>
      </c>
    </row>
    <row r="498" spans="1:13" x14ac:dyDescent="0.2">
      <c r="A498" t="s">
        <v>119</v>
      </c>
      <c r="B498" t="str">
        <f>VLOOKUP(A498,MasterTutor!A:E,4,FALSE)</f>
        <v>Distinguished</v>
      </c>
      <c r="C498" t="str">
        <f>VLOOKUP(A498,MasterTutor!A:E,3,FALSE)</f>
        <v>Professional</v>
      </c>
      <c r="D498" t="str">
        <f>VLOOKUP(A498,MasterTutor!A:E,2,FALSE)</f>
        <v>Kristin Haase-Alvey</v>
      </c>
      <c r="E498" t="s">
        <v>349</v>
      </c>
      <c r="F498" s="2">
        <v>0.87</v>
      </c>
      <c r="G498" s="2">
        <v>0.94</v>
      </c>
      <c r="H498" s="2">
        <v>1</v>
      </c>
      <c r="I498" s="2">
        <v>0.98729999999999996</v>
      </c>
      <c r="J498" s="2">
        <v>0.84799999999999998</v>
      </c>
      <c r="K498">
        <v>7</v>
      </c>
      <c r="L498" s="19" t="s">
        <v>338</v>
      </c>
      <c r="M498" s="21">
        <v>0.8</v>
      </c>
    </row>
    <row r="499" spans="1:13" x14ac:dyDescent="0.2">
      <c r="A499" t="s">
        <v>120</v>
      </c>
      <c r="B499" t="str">
        <f>VLOOKUP(A499,MasterTutor!A:E,4,FALSE)</f>
        <v>Premium</v>
      </c>
      <c r="C499" t="str">
        <f>VLOOKUP(A499,MasterTutor!A:E,3,FALSE)</f>
        <v>Professional</v>
      </c>
      <c r="D499" t="str">
        <f>VLOOKUP(A499,MasterTutor!A:E,2,FALSE)</f>
        <v>Jessica Milner</v>
      </c>
      <c r="E499" t="s">
        <v>349</v>
      </c>
      <c r="F499" s="2">
        <v>0.81</v>
      </c>
      <c r="G499" s="2">
        <v>1.31</v>
      </c>
      <c r="H499" s="2">
        <v>1</v>
      </c>
      <c r="I499" s="2">
        <v>0.94440000000000002</v>
      </c>
      <c r="J499" s="2">
        <v>0.39100000000000001</v>
      </c>
      <c r="K499">
        <v>1</v>
      </c>
      <c r="L499" s="19">
        <v>0</v>
      </c>
      <c r="M499" s="21">
        <f>L499</f>
        <v>0</v>
      </c>
    </row>
    <row r="500" spans="1:13" x14ac:dyDescent="0.2">
      <c r="A500" t="s">
        <v>121</v>
      </c>
      <c r="B500" t="str">
        <f>VLOOKUP(A500,MasterTutor!A:E,4,FALSE)</f>
        <v>Advanced</v>
      </c>
      <c r="C500" t="str">
        <f>VLOOKUP(A500,MasterTutor!A:E,3,FALSE)</f>
        <v>Adjunct</v>
      </c>
      <c r="D500" t="str">
        <f>VLOOKUP(A500,MasterTutor!A:E,2,FALSE)</f>
        <v>Annelies de Groot</v>
      </c>
      <c r="E500" t="s">
        <v>349</v>
      </c>
      <c r="F500" s="2">
        <v>1.02</v>
      </c>
      <c r="G500" s="2">
        <v>1.27</v>
      </c>
      <c r="H500" s="2">
        <v>0.98080000000000001</v>
      </c>
      <c r="I500" s="2">
        <v>1</v>
      </c>
      <c r="J500" s="2">
        <v>0.38500000000000001</v>
      </c>
      <c r="K500">
        <v>3</v>
      </c>
    </row>
    <row r="501" spans="1:13" x14ac:dyDescent="0.2">
      <c r="A501" t="s">
        <v>123</v>
      </c>
      <c r="B501" t="str">
        <f>VLOOKUP(A501,MasterTutor!A:E,4,FALSE)</f>
        <v>Premium</v>
      </c>
      <c r="C501" t="str">
        <f>VLOOKUP(A501,MasterTutor!A:E,3,FALSE)</f>
        <v xml:space="preserve">Professional </v>
      </c>
      <c r="D501" t="str">
        <f>VLOOKUP(A501,MasterTutor!A:E,2,FALSE)</f>
        <v>Ela Cross</v>
      </c>
      <c r="E501" t="s">
        <v>349</v>
      </c>
      <c r="F501" s="2">
        <v>1.52</v>
      </c>
      <c r="G501" s="2">
        <v>1.8</v>
      </c>
      <c r="H501" s="2">
        <v>1</v>
      </c>
      <c r="I501" s="2">
        <v>1</v>
      </c>
      <c r="J501" s="2">
        <v>0.85699999999999998</v>
      </c>
      <c r="K501">
        <v>3</v>
      </c>
      <c r="L501" s="19">
        <v>1</v>
      </c>
      <c r="M501" s="21">
        <f>L501</f>
        <v>1</v>
      </c>
    </row>
    <row r="502" spans="1:13" x14ac:dyDescent="0.2">
      <c r="A502" t="s">
        <v>124</v>
      </c>
      <c r="B502" t="e">
        <f>VLOOKUP(A502,MasterTutor!A:E,4,FALSE)</f>
        <v>#N/A</v>
      </c>
      <c r="C502" t="e">
        <f>VLOOKUP(A502,MasterTutor!A:E,3,FALSE)</f>
        <v>#N/A</v>
      </c>
      <c r="D502" t="e">
        <f>VLOOKUP(A502,MasterTutor!A:E,2,FALSE)</f>
        <v>#N/A</v>
      </c>
      <c r="E502" t="s">
        <v>349</v>
      </c>
      <c r="F502" s="2">
        <v>1.23</v>
      </c>
      <c r="G502" s="2">
        <v>1.18</v>
      </c>
      <c r="H502" s="2">
        <v>1</v>
      </c>
      <c r="I502" s="2">
        <v>1</v>
      </c>
      <c r="J502" s="2">
        <v>0.59099999999999997</v>
      </c>
      <c r="K502">
        <v>2</v>
      </c>
      <c r="L502" s="19" t="s">
        <v>331</v>
      </c>
      <c r="M502" s="21">
        <v>0.5</v>
      </c>
    </row>
    <row r="503" spans="1:13" x14ac:dyDescent="0.2">
      <c r="A503" t="s">
        <v>125</v>
      </c>
      <c r="B503" t="str">
        <f>VLOOKUP(A503,MasterTutor!A:E,4,FALSE)</f>
        <v>Advanced</v>
      </c>
      <c r="C503" t="str">
        <f>VLOOKUP(A503,MasterTutor!A:E,3,FALSE)</f>
        <v>Professional</v>
      </c>
      <c r="D503" t="str">
        <f>VLOOKUP(A503,MasterTutor!A:E,2,FALSE)</f>
        <v>Kristin Haase-Alvey</v>
      </c>
      <c r="E503" t="s">
        <v>349</v>
      </c>
      <c r="F503" s="2">
        <v>0.96</v>
      </c>
      <c r="G503" s="2">
        <v>0.99</v>
      </c>
      <c r="H503" s="2">
        <v>0.92600000000000005</v>
      </c>
      <c r="I503" s="2">
        <v>0.97870000000000001</v>
      </c>
      <c r="J503" s="2">
        <v>0.60599999999999998</v>
      </c>
      <c r="K503">
        <v>11</v>
      </c>
      <c r="L503" s="19" t="s">
        <v>330</v>
      </c>
      <c r="M503" s="21">
        <v>0.67</v>
      </c>
    </row>
    <row r="504" spans="1:13" x14ac:dyDescent="0.2">
      <c r="A504" t="s">
        <v>126</v>
      </c>
      <c r="B504" t="str">
        <f>VLOOKUP(A504,MasterTutor!A:E,4,FALSE)</f>
        <v>Distinguished</v>
      </c>
      <c r="C504" t="str">
        <f>VLOOKUP(A504,MasterTutor!A:E,3,FALSE)</f>
        <v>Professional</v>
      </c>
      <c r="D504" t="str">
        <f>VLOOKUP(A504,MasterTutor!A:E,2,FALSE)</f>
        <v>Ian Plamondon</v>
      </c>
      <c r="E504" t="s">
        <v>349</v>
      </c>
      <c r="F504" s="2">
        <v>0.64</v>
      </c>
      <c r="G504" s="2">
        <v>1.06</v>
      </c>
      <c r="H504" s="2">
        <v>0.95450000000000002</v>
      </c>
      <c r="I504" s="2">
        <v>1</v>
      </c>
      <c r="J504" s="2">
        <v>0.78600000000000003</v>
      </c>
      <c r="K504">
        <v>1</v>
      </c>
      <c r="L504" s="19">
        <v>1</v>
      </c>
      <c r="M504" s="21">
        <f>L504</f>
        <v>1</v>
      </c>
    </row>
    <row r="505" spans="1:13" x14ac:dyDescent="0.2">
      <c r="A505" t="s">
        <v>127</v>
      </c>
      <c r="B505" t="str">
        <f>VLOOKUP(A505,MasterTutor!A:E,4,FALSE)</f>
        <v>Premium</v>
      </c>
      <c r="C505" t="str">
        <f>VLOOKUP(A505,MasterTutor!A:E,3,FALSE)</f>
        <v>Professional</v>
      </c>
      <c r="D505" t="str">
        <f>VLOOKUP(A505,MasterTutor!A:E,2,FALSE)</f>
        <v>Jessica Milner</v>
      </c>
      <c r="E505" t="s">
        <v>349</v>
      </c>
      <c r="F505" s="2">
        <v>0.81</v>
      </c>
      <c r="G505" s="2">
        <v>1.05</v>
      </c>
      <c r="H505" s="2">
        <v>0.97640000000000005</v>
      </c>
      <c r="I505" s="2">
        <v>0.86360000000000003</v>
      </c>
      <c r="J505" s="2">
        <v>0.81799999999999995</v>
      </c>
      <c r="K505">
        <v>5</v>
      </c>
      <c r="L505" s="19">
        <v>0</v>
      </c>
      <c r="M505" s="21">
        <f>L505</f>
        <v>0</v>
      </c>
    </row>
    <row r="506" spans="1:13" x14ac:dyDescent="0.2">
      <c r="A506" t="s">
        <v>128</v>
      </c>
      <c r="B506" t="str">
        <f>VLOOKUP(A506,MasterTutor!A:E,4,FALSE)</f>
        <v>Distinguished</v>
      </c>
      <c r="C506" t="str">
        <f>VLOOKUP(A506,MasterTutor!A:E,3,FALSE)</f>
        <v>Professional</v>
      </c>
      <c r="D506" t="str">
        <f>VLOOKUP(A506,MasterTutor!A:E,2,FALSE)</f>
        <v>Ian Plamondon</v>
      </c>
      <c r="E506" t="s">
        <v>349</v>
      </c>
      <c r="F506" s="2">
        <v>1.1100000000000001</v>
      </c>
      <c r="G506" s="2">
        <v>1.72</v>
      </c>
      <c r="H506" s="2">
        <v>0.86280000000000001</v>
      </c>
      <c r="I506" s="2">
        <v>1</v>
      </c>
      <c r="J506" s="2">
        <v>0.95799999999999996</v>
      </c>
      <c r="K506">
        <v>0</v>
      </c>
      <c r="L506" s="19" t="s">
        <v>337</v>
      </c>
      <c r="M506" s="21">
        <f>1/3</f>
        <v>0.33333333333333331</v>
      </c>
    </row>
    <row r="507" spans="1:13" x14ac:dyDescent="0.2">
      <c r="A507" t="s">
        <v>129</v>
      </c>
      <c r="B507" t="str">
        <f>VLOOKUP(A507,MasterTutor!A:E,4,FALSE)</f>
        <v>Premium</v>
      </c>
      <c r="C507" t="str">
        <f>VLOOKUP(A507,MasterTutor!A:E,3,FALSE)</f>
        <v>Adjunct</v>
      </c>
      <c r="D507" t="str">
        <f>VLOOKUP(A507,MasterTutor!A:E,2,FALSE)</f>
        <v>Annelies de Groot</v>
      </c>
      <c r="E507" t="s">
        <v>349</v>
      </c>
      <c r="F507" s="2">
        <v>1.1200000000000001</v>
      </c>
      <c r="G507" s="2">
        <v>0.98</v>
      </c>
      <c r="H507" s="2">
        <v>0.98860000000000003</v>
      </c>
      <c r="I507" s="2">
        <v>0.84379999999999999</v>
      </c>
      <c r="J507" s="2">
        <v>0.78600000000000003</v>
      </c>
      <c r="K507">
        <v>1</v>
      </c>
    </row>
    <row r="508" spans="1:13" x14ac:dyDescent="0.2">
      <c r="A508" t="s">
        <v>130</v>
      </c>
      <c r="B508" t="str">
        <f>VLOOKUP(A508,MasterTutor!A:E,4,FALSE)</f>
        <v>Premium</v>
      </c>
      <c r="C508" t="str">
        <f>VLOOKUP(A508,MasterTutor!A:E,3,FALSE)</f>
        <v>Adjunct</v>
      </c>
      <c r="D508" t="str">
        <f>VLOOKUP(A508,MasterTutor!A:E,2,FALSE)</f>
        <v>Ela Cross</v>
      </c>
      <c r="E508" t="s">
        <v>349</v>
      </c>
      <c r="F508" s="2">
        <v>0.77</v>
      </c>
      <c r="G508" s="2">
        <v>1.37</v>
      </c>
      <c r="H508" s="2">
        <v>0.95450000000000002</v>
      </c>
      <c r="I508" s="2">
        <v>0.71740000000000004</v>
      </c>
      <c r="J508" s="2">
        <v>0.33300000000000002</v>
      </c>
      <c r="K508" t="e">
        <v>#N/A</v>
      </c>
      <c r="L508" s="19" t="s">
        <v>336</v>
      </c>
      <c r="M508" s="21">
        <v>0.6</v>
      </c>
    </row>
    <row r="509" spans="1:13" x14ac:dyDescent="0.2">
      <c r="A509" t="s">
        <v>131</v>
      </c>
      <c r="B509" t="str">
        <f>VLOOKUP(A509,MasterTutor!A:E,4,FALSE)</f>
        <v>Advanced</v>
      </c>
      <c r="C509" t="str">
        <f>VLOOKUP(A509,MasterTutor!A:E,3,FALSE)</f>
        <v>Professional</v>
      </c>
      <c r="D509" t="str">
        <f>VLOOKUP(A509,MasterTutor!A:E,2,FALSE)</f>
        <v>Ian Plamondon</v>
      </c>
      <c r="E509" t="s">
        <v>349</v>
      </c>
      <c r="F509" s="2">
        <v>1.1200000000000001</v>
      </c>
      <c r="G509" s="2">
        <v>1.1200000000000001</v>
      </c>
      <c r="H509" s="2">
        <v>1</v>
      </c>
      <c r="I509" s="2">
        <v>0.97940000000000005</v>
      </c>
      <c r="J509" s="2">
        <v>0.31</v>
      </c>
      <c r="K509">
        <v>6</v>
      </c>
      <c r="L509" s="19" t="s">
        <v>338</v>
      </c>
      <c r="M509" s="21">
        <v>0.8</v>
      </c>
    </row>
    <row r="510" spans="1:13" x14ac:dyDescent="0.2">
      <c r="A510" t="s">
        <v>132</v>
      </c>
      <c r="B510" t="str">
        <f>VLOOKUP(A510,MasterTutor!A:E,4,FALSE)</f>
        <v>Distinguished</v>
      </c>
      <c r="C510" t="str">
        <f>VLOOKUP(A510,MasterTutor!A:E,3,FALSE)</f>
        <v>Professional</v>
      </c>
      <c r="D510" t="str">
        <f>VLOOKUP(A510,MasterTutor!A:E,2,FALSE)</f>
        <v>Kristin Haase-Alvey</v>
      </c>
      <c r="E510" t="s">
        <v>349</v>
      </c>
      <c r="F510" s="2">
        <v>1.18</v>
      </c>
      <c r="G510" s="2">
        <v>1.33</v>
      </c>
      <c r="H510" s="2">
        <v>1</v>
      </c>
      <c r="I510" s="2">
        <v>0.97350000000000003</v>
      </c>
      <c r="J510" s="2">
        <v>0.90900000000000003</v>
      </c>
      <c r="K510">
        <v>8</v>
      </c>
      <c r="L510" s="19" t="s">
        <v>329</v>
      </c>
      <c r="M510" s="21">
        <v>0.75</v>
      </c>
    </row>
    <row r="511" spans="1:13" x14ac:dyDescent="0.2">
      <c r="A511" t="s">
        <v>133</v>
      </c>
      <c r="B511" t="e">
        <f>VLOOKUP(A511,MasterTutor!A:E,4,FALSE)</f>
        <v>#N/A</v>
      </c>
      <c r="C511" t="e">
        <f>VLOOKUP(A511,MasterTutor!A:E,3,FALSE)</f>
        <v>#N/A</v>
      </c>
      <c r="D511" t="e">
        <f>VLOOKUP(A511,MasterTutor!A:E,2,FALSE)</f>
        <v>#N/A</v>
      </c>
      <c r="E511" t="s">
        <v>349</v>
      </c>
      <c r="F511" s="2">
        <v>1.46</v>
      </c>
      <c r="G511" s="2">
        <v>1.47</v>
      </c>
      <c r="H511" s="2">
        <v>0.98440000000000005</v>
      </c>
      <c r="I511" s="2">
        <v>0.9556</v>
      </c>
      <c r="J511" s="2">
        <v>0.8</v>
      </c>
      <c r="K511">
        <v>4</v>
      </c>
      <c r="L511" s="19">
        <v>0</v>
      </c>
      <c r="M511" s="21">
        <f>L511</f>
        <v>0</v>
      </c>
    </row>
    <row r="512" spans="1:13" x14ac:dyDescent="0.2">
      <c r="A512" t="s">
        <v>134</v>
      </c>
      <c r="B512" t="str">
        <f>VLOOKUP(A512,MasterTutor!A:E,4,FALSE)</f>
        <v>Distinguished</v>
      </c>
      <c r="C512" t="str">
        <f>VLOOKUP(A512,MasterTutor!A:E,3,FALSE)</f>
        <v>Professional</v>
      </c>
      <c r="D512" t="str">
        <f>VLOOKUP(A512,MasterTutor!A:E,2,FALSE)</f>
        <v>Annelies de Groot</v>
      </c>
      <c r="E512" t="s">
        <v>349</v>
      </c>
      <c r="F512" s="2">
        <v>1.18</v>
      </c>
      <c r="G512" s="2">
        <v>1.06</v>
      </c>
      <c r="H512" s="2">
        <v>1</v>
      </c>
      <c r="I512" s="2">
        <v>0.9798</v>
      </c>
      <c r="J512" s="2">
        <v>0.71399999999999997</v>
      </c>
      <c r="K512">
        <v>8</v>
      </c>
      <c r="L512" s="19">
        <v>0</v>
      </c>
      <c r="M512" s="21">
        <f>L512</f>
        <v>0</v>
      </c>
    </row>
    <row r="513" spans="1:13" x14ac:dyDescent="0.2">
      <c r="A513" t="s">
        <v>135</v>
      </c>
      <c r="B513" t="str">
        <f>VLOOKUP(A513,MasterTutor!A:E,4,FALSE)</f>
        <v>Distinguished</v>
      </c>
      <c r="C513" t="str">
        <f>VLOOKUP(A513,MasterTutor!A:E,3,FALSE)</f>
        <v>Adjunct</v>
      </c>
      <c r="D513" t="str">
        <f>VLOOKUP(A513,MasterTutor!A:E,2,FALSE)</f>
        <v>Annelies de Groot</v>
      </c>
      <c r="E513" t="s">
        <v>349</v>
      </c>
      <c r="F513" s="2">
        <v>1.23</v>
      </c>
      <c r="G513" s="2">
        <v>1.36</v>
      </c>
      <c r="H513" s="2">
        <v>0.95589999999999997</v>
      </c>
      <c r="I513" s="2">
        <v>0.95</v>
      </c>
      <c r="J513" s="2">
        <v>0.9</v>
      </c>
      <c r="K513">
        <v>1</v>
      </c>
      <c r="L513" s="19">
        <v>0</v>
      </c>
      <c r="M513" s="21">
        <f>L513</f>
        <v>0</v>
      </c>
    </row>
    <row r="514" spans="1:13" x14ac:dyDescent="0.2">
      <c r="A514" t="s">
        <v>136</v>
      </c>
      <c r="B514" t="e">
        <f>VLOOKUP(A514,MasterTutor!A:E,4,FALSE)</f>
        <v>#N/A</v>
      </c>
      <c r="C514" t="e">
        <f>VLOOKUP(A514,MasterTutor!A:E,3,FALSE)</f>
        <v>#N/A</v>
      </c>
      <c r="D514" t="e">
        <f>VLOOKUP(A514,MasterTutor!A:E,2,FALSE)</f>
        <v>#N/A</v>
      </c>
      <c r="E514" t="s">
        <v>349</v>
      </c>
      <c r="F514" s="2">
        <v>1.22</v>
      </c>
      <c r="G514" s="2">
        <v>1.33</v>
      </c>
      <c r="H514" s="2">
        <v>0.89849999999999997</v>
      </c>
      <c r="I514" s="2">
        <v>0.80489999999999995</v>
      </c>
      <c r="J514" s="2">
        <v>0.78600000000000003</v>
      </c>
      <c r="K514">
        <v>9</v>
      </c>
    </row>
    <row r="515" spans="1:13" x14ac:dyDescent="0.2">
      <c r="A515" t="s">
        <v>294</v>
      </c>
      <c r="B515" t="str">
        <f>VLOOKUP(A515,MasterTutor!A:E,4,FALSE)</f>
        <v>Advanced</v>
      </c>
      <c r="C515" t="str">
        <f>VLOOKUP(A515,MasterTutor!A:E,3,FALSE)</f>
        <v>Adjunct</v>
      </c>
      <c r="D515" t="str">
        <f>VLOOKUP(A515,MasterTutor!A:E,2,FALSE)</f>
        <v>Kristin Haase-Alvey</v>
      </c>
      <c r="E515" t="s">
        <v>349</v>
      </c>
      <c r="F515" s="2">
        <v>0</v>
      </c>
      <c r="G515" s="2">
        <v>0.3</v>
      </c>
      <c r="H515" s="2">
        <v>0</v>
      </c>
      <c r="I515" s="2">
        <v>0</v>
      </c>
      <c r="J515" s="2">
        <v>1</v>
      </c>
      <c r="K515" t="e">
        <v>#N/A</v>
      </c>
    </row>
    <row r="516" spans="1:13" x14ac:dyDescent="0.2">
      <c r="A516" t="s">
        <v>137</v>
      </c>
      <c r="B516" t="str">
        <f>VLOOKUP(A516,MasterTutor!A:E,4,FALSE)</f>
        <v>Premium</v>
      </c>
      <c r="C516" t="str">
        <f>VLOOKUP(A516,MasterTutor!A:E,3,FALSE)</f>
        <v>Professional</v>
      </c>
      <c r="D516" t="str">
        <f>VLOOKUP(A516,MasterTutor!A:E,2,FALSE)</f>
        <v>Jessica Milner</v>
      </c>
      <c r="E516" t="s">
        <v>349</v>
      </c>
      <c r="F516" s="2">
        <v>0.9</v>
      </c>
      <c r="G516" s="2">
        <v>1.1299999999999999</v>
      </c>
      <c r="H516" s="2">
        <v>0.97340000000000004</v>
      </c>
      <c r="I516" s="2">
        <v>0.93589999999999995</v>
      </c>
      <c r="J516" s="2">
        <v>0.39100000000000001</v>
      </c>
      <c r="K516">
        <v>1</v>
      </c>
      <c r="L516" s="19">
        <v>0</v>
      </c>
      <c r="M516" s="21">
        <f>L516</f>
        <v>0</v>
      </c>
    </row>
    <row r="517" spans="1:13" x14ac:dyDescent="0.2">
      <c r="A517" t="s">
        <v>138</v>
      </c>
      <c r="B517" t="str">
        <f>VLOOKUP(A517,MasterTutor!A:E,4,FALSE)</f>
        <v>Advanced</v>
      </c>
      <c r="C517" t="str">
        <f>VLOOKUP(A517,MasterTutor!A:E,3,FALSE)</f>
        <v>Professional</v>
      </c>
      <c r="D517" t="str">
        <f>VLOOKUP(A517,MasterTutor!A:E,2,FALSE)</f>
        <v>Ela Cross</v>
      </c>
      <c r="E517" t="s">
        <v>349</v>
      </c>
      <c r="F517" s="2">
        <v>1.03</v>
      </c>
      <c r="G517" s="2">
        <v>1.08</v>
      </c>
      <c r="H517" s="2">
        <v>1</v>
      </c>
      <c r="I517" s="2">
        <v>0.98040000000000005</v>
      </c>
      <c r="J517" s="2">
        <v>0.66700000000000004</v>
      </c>
      <c r="K517">
        <v>14</v>
      </c>
    </row>
    <row r="518" spans="1:13" x14ac:dyDescent="0.2">
      <c r="A518" t="s">
        <v>139</v>
      </c>
      <c r="B518" t="str">
        <f>VLOOKUP(A518,MasterTutor!A:E,4,FALSE)</f>
        <v>Distinguished</v>
      </c>
      <c r="C518" t="str">
        <f>VLOOKUP(A518,MasterTutor!A:E,3,FALSE)</f>
        <v>Professional</v>
      </c>
      <c r="D518" t="str">
        <f>VLOOKUP(A518,MasterTutor!A:E,2,FALSE)</f>
        <v>Ian Plamondon</v>
      </c>
      <c r="E518" t="s">
        <v>349</v>
      </c>
      <c r="F518" s="2">
        <v>0.8</v>
      </c>
      <c r="G518" s="2">
        <v>1.04</v>
      </c>
      <c r="H518" s="2">
        <v>1</v>
      </c>
      <c r="I518" s="2">
        <v>1</v>
      </c>
      <c r="J518" s="2">
        <v>0.64700000000000002</v>
      </c>
      <c r="K518">
        <v>3</v>
      </c>
    </row>
    <row r="519" spans="1:13" x14ac:dyDescent="0.2">
      <c r="A519" t="s">
        <v>140</v>
      </c>
      <c r="B519" t="str">
        <f>VLOOKUP(A519,MasterTutor!A:E,4,FALSE)</f>
        <v>Advanced</v>
      </c>
      <c r="C519" t="str">
        <f>VLOOKUP(A519,MasterTutor!A:E,3,FALSE)</f>
        <v>Adjunct</v>
      </c>
      <c r="D519" t="str">
        <f>VLOOKUP(A519,MasterTutor!A:E,2,FALSE)</f>
        <v>Annelies de Groot</v>
      </c>
      <c r="E519" t="s">
        <v>349</v>
      </c>
      <c r="F519" s="2">
        <v>0.87</v>
      </c>
      <c r="G519" s="2">
        <v>0.89</v>
      </c>
      <c r="H519" s="2">
        <v>0.92410000000000003</v>
      </c>
      <c r="I519" s="2">
        <v>0.94640000000000002</v>
      </c>
      <c r="J519" s="2">
        <v>0.66700000000000004</v>
      </c>
      <c r="K519">
        <v>7</v>
      </c>
      <c r="L519" s="19">
        <v>1</v>
      </c>
      <c r="M519" s="21">
        <f>L519</f>
        <v>1</v>
      </c>
    </row>
    <row r="520" spans="1:13" x14ac:dyDescent="0.2">
      <c r="A520" t="s">
        <v>141</v>
      </c>
      <c r="B520" t="str">
        <f>VLOOKUP(A520,MasterTutor!A:E,4,FALSE)</f>
        <v>Distinguished</v>
      </c>
      <c r="C520" t="str">
        <f>VLOOKUP(A520,MasterTutor!A:E,3,FALSE)</f>
        <v>Adjunct</v>
      </c>
      <c r="D520" t="str">
        <f>VLOOKUP(A520,MasterTutor!A:E,2,FALSE)</f>
        <v>Annelies de Groot</v>
      </c>
      <c r="E520" t="s">
        <v>349</v>
      </c>
      <c r="F520" s="2">
        <v>1.08</v>
      </c>
      <c r="G520" s="2">
        <v>1.1399999999999999</v>
      </c>
      <c r="H520" s="2">
        <v>1</v>
      </c>
      <c r="I520" s="2">
        <v>1</v>
      </c>
      <c r="J520" s="2">
        <v>0.8</v>
      </c>
      <c r="K520">
        <v>6</v>
      </c>
    </row>
    <row r="521" spans="1:13" x14ac:dyDescent="0.2">
      <c r="A521" t="s">
        <v>142</v>
      </c>
      <c r="B521" t="str">
        <f>VLOOKUP(A521,MasterTutor!A:E,4,FALSE)</f>
        <v>Advanced</v>
      </c>
      <c r="C521" t="str">
        <f>VLOOKUP(A521,MasterTutor!A:E,3,FALSE)</f>
        <v>Professional</v>
      </c>
      <c r="D521" t="str">
        <f>VLOOKUP(A521,MasterTutor!A:E,2,FALSE)</f>
        <v>Ian Plamondon</v>
      </c>
      <c r="E521" t="s">
        <v>349</v>
      </c>
      <c r="F521" s="2">
        <v>1.03</v>
      </c>
      <c r="G521" s="2">
        <v>1.1200000000000001</v>
      </c>
      <c r="H521" s="2">
        <v>0.97789999999999999</v>
      </c>
      <c r="I521" s="2">
        <v>0.97170000000000001</v>
      </c>
      <c r="J521" s="2">
        <v>0.32500000000000001</v>
      </c>
      <c r="K521">
        <v>8</v>
      </c>
      <c r="L521" s="19" t="s">
        <v>337</v>
      </c>
      <c r="M521" s="21">
        <f>1/3</f>
        <v>0.33333333333333331</v>
      </c>
    </row>
    <row r="522" spans="1:13" x14ac:dyDescent="0.2">
      <c r="A522" t="s">
        <v>143</v>
      </c>
      <c r="B522" t="str">
        <f>VLOOKUP(A522,MasterTutor!A:E,4,FALSE)</f>
        <v>Distinguished</v>
      </c>
      <c r="C522" t="str">
        <f>VLOOKUP(A522,MasterTutor!A:E,3,FALSE)</f>
        <v>Adjunct</v>
      </c>
      <c r="D522" t="str">
        <f>VLOOKUP(A522,MasterTutor!A:E,2,FALSE)</f>
        <v>Annelies de Groot</v>
      </c>
      <c r="E522" t="s">
        <v>349</v>
      </c>
      <c r="F522" s="2">
        <v>0.92</v>
      </c>
      <c r="G522" s="2">
        <v>1.0900000000000001</v>
      </c>
      <c r="H522" s="2">
        <v>1</v>
      </c>
      <c r="I522" s="2">
        <v>1</v>
      </c>
      <c r="J522" s="2">
        <v>0.9</v>
      </c>
      <c r="K522">
        <v>1</v>
      </c>
      <c r="L522" s="19" t="s">
        <v>331</v>
      </c>
      <c r="M522" s="21">
        <v>0.5</v>
      </c>
    </row>
    <row r="523" spans="1:13" x14ac:dyDescent="0.2">
      <c r="A523" t="s">
        <v>144</v>
      </c>
      <c r="B523" t="str">
        <f>VLOOKUP(A523,MasterTutor!A:E,4,FALSE)</f>
        <v>Distinguished</v>
      </c>
      <c r="C523" t="str">
        <f>VLOOKUP(A523,MasterTutor!A:E,3,FALSE)</f>
        <v>Professional</v>
      </c>
      <c r="D523" t="str">
        <f>VLOOKUP(A523,MasterTutor!A:E,2,FALSE)</f>
        <v>Annelies de Groot</v>
      </c>
      <c r="E523" t="s">
        <v>349</v>
      </c>
      <c r="F523" s="2">
        <v>1</v>
      </c>
      <c r="G523" s="2">
        <v>1.0900000000000001</v>
      </c>
      <c r="H523" s="2">
        <v>0.98560000000000003</v>
      </c>
      <c r="I523" s="2">
        <v>0.9677</v>
      </c>
      <c r="J523" s="2">
        <v>0.71899999999999997</v>
      </c>
      <c r="K523">
        <v>9</v>
      </c>
      <c r="L523" s="19">
        <v>1</v>
      </c>
      <c r="M523" s="21">
        <f>L523</f>
        <v>1</v>
      </c>
    </row>
    <row r="524" spans="1:13" x14ac:dyDescent="0.2">
      <c r="A524" t="s">
        <v>145</v>
      </c>
      <c r="B524" t="str">
        <f>VLOOKUP(A524,MasterTutor!A:E,4,FALSE)</f>
        <v>Premium</v>
      </c>
      <c r="C524" t="str">
        <f>VLOOKUP(A524,MasterTutor!A:E,3,FALSE)</f>
        <v>Professional</v>
      </c>
      <c r="D524" t="str">
        <f>VLOOKUP(A524,MasterTutor!A:E,2,FALSE)</f>
        <v>Jessica Milner</v>
      </c>
      <c r="E524" t="s">
        <v>349</v>
      </c>
      <c r="F524" s="2">
        <v>0.88</v>
      </c>
      <c r="G524" s="2">
        <v>1.28</v>
      </c>
      <c r="H524" s="2">
        <v>1</v>
      </c>
      <c r="I524" s="2">
        <v>0.98209999999999997</v>
      </c>
      <c r="J524" s="2">
        <v>0.72199999999999998</v>
      </c>
      <c r="K524">
        <v>5</v>
      </c>
      <c r="L524" s="19">
        <v>1</v>
      </c>
      <c r="M524" s="21">
        <f>L524</f>
        <v>1</v>
      </c>
    </row>
    <row r="525" spans="1:13" x14ac:dyDescent="0.2">
      <c r="A525" t="s">
        <v>146</v>
      </c>
      <c r="B525" t="str">
        <f>VLOOKUP(A525,MasterTutor!A:E,4,FALSE)</f>
        <v>Distinguished</v>
      </c>
      <c r="C525" t="str">
        <f>VLOOKUP(A525,MasterTutor!A:E,3,FALSE)</f>
        <v>Adjunct</v>
      </c>
      <c r="D525" t="str">
        <f>VLOOKUP(A525,MasterTutor!A:E,2,FALSE)</f>
        <v>Ian Plamondon</v>
      </c>
      <c r="E525" t="s">
        <v>349</v>
      </c>
      <c r="F525" s="2">
        <v>0.72</v>
      </c>
      <c r="G525" s="2">
        <v>0.81</v>
      </c>
      <c r="H525" s="2">
        <v>0.99</v>
      </c>
      <c r="I525" s="2">
        <v>1</v>
      </c>
      <c r="J525" s="2">
        <v>0.72699999999999998</v>
      </c>
      <c r="K525" t="e">
        <v>#N/A</v>
      </c>
      <c r="L525" s="19">
        <v>1</v>
      </c>
      <c r="M525" s="21">
        <f>L525</f>
        <v>1</v>
      </c>
    </row>
    <row r="526" spans="1:13" x14ac:dyDescent="0.2">
      <c r="A526" t="s">
        <v>147</v>
      </c>
      <c r="B526" t="str">
        <f>VLOOKUP(A526,MasterTutor!A:E,4,FALSE)</f>
        <v>Premium</v>
      </c>
      <c r="C526" t="str">
        <f>VLOOKUP(A526,MasterTutor!A:E,3,FALSE)</f>
        <v>Adjunct</v>
      </c>
      <c r="D526" t="str">
        <f>VLOOKUP(A526,MasterTutor!A:E,2,FALSE)</f>
        <v>Ela Cross</v>
      </c>
      <c r="E526" t="s">
        <v>349</v>
      </c>
      <c r="F526" s="2">
        <v>0.93</v>
      </c>
      <c r="G526" s="2">
        <v>1.18</v>
      </c>
      <c r="H526" s="2">
        <v>0.98209999999999997</v>
      </c>
      <c r="I526" s="2">
        <v>1</v>
      </c>
      <c r="J526" s="2">
        <v>0.78600000000000003</v>
      </c>
      <c r="K526">
        <v>2</v>
      </c>
    </row>
    <row r="527" spans="1:13" x14ac:dyDescent="0.2">
      <c r="A527" t="s">
        <v>148</v>
      </c>
      <c r="B527" t="str">
        <f>VLOOKUP(A527,MasterTutor!A:E,4,FALSE)</f>
        <v>Advanced</v>
      </c>
      <c r="C527" t="str">
        <f>VLOOKUP(A527,MasterTutor!A:E,3,FALSE)</f>
        <v>Adjunct</v>
      </c>
      <c r="D527" t="str">
        <f>VLOOKUP(A527,MasterTutor!A:E,2,FALSE)</f>
        <v>Ela Cross</v>
      </c>
      <c r="E527" t="s">
        <v>349</v>
      </c>
      <c r="F527" s="2">
        <v>1.33</v>
      </c>
      <c r="G527" s="2">
        <v>1.1599999999999999</v>
      </c>
      <c r="H527" s="2">
        <v>0.98960000000000004</v>
      </c>
      <c r="I527" s="2">
        <v>1</v>
      </c>
      <c r="J527" s="2">
        <v>0.92900000000000005</v>
      </c>
      <c r="K527">
        <v>9</v>
      </c>
      <c r="L527" s="19">
        <v>0</v>
      </c>
      <c r="M527" s="21">
        <f>L527</f>
        <v>0</v>
      </c>
    </row>
    <row r="528" spans="1:13" x14ac:dyDescent="0.2">
      <c r="A528" t="s">
        <v>149</v>
      </c>
      <c r="B528" t="str">
        <f>VLOOKUP(A528,MasterTutor!A:E,4,FALSE)</f>
        <v>Distinguished</v>
      </c>
      <c r="C528" t="str">
        <f>VLOOKUP(A528,MasterTutor!A:E,3,FALSE)</f>
        <v>Professional</v>
      </c>
      <c r="D528" t="str">
        <f>VLOOKUP(A528,MasterTutor!A:E,2,FALSE)</f>
        <v>Ian Plamondon</v>
      </c>
      <c r="E528" t="s">
        <v>349</v>
      </c>
      <c r="F528" s="2">
        <v>1</v>
      </c>
      <c r="G528" s="2">
        <v>1.42</v>
      </c>
      <c r="H528" s="2">
        <v>0.95709999999999995</v>
      </c>
      <c r="I528" s="2">
        <v>0.89549999999999996</v>
      </c>
      <c r="J528" s="2">
        <v>0.92</v>
      </c>
      <c r="K528">
        <v>3</v>
      </c>
      <c r="L528" s="19">
        <v>1</v>
      </c>
      <c r="M528" s="21">
        <f>L528</f>
        <v>1</v>
      </c>
    </row>
    <row r="529" spans="1:13" x14ac:dyDescent="0.2">
      <c r="A529" t="s">
        <v>150</v>
      </c>
      <c r="B529" t="str">
        <f>VLOOKUP(A529,MasterTutor!A:E,4,FALSE)</f>
        <v>Advanced</v>
      </c>
      <c r="C529" t="str">
        <f>VLOOKUP(A529,MasterTutor!A:E,3,FALSE)</f>
        <v>Adjunct</v>
      </c>
      <c r="D529" t="str">
        <f>VLOOKUP(A529,MasterTutor!A:E,2,FALSE)</f>
        <v>Ela Cross</v>
      </c>
      <c r="E529" t="s">
        <v>349</v>
      </c>
      <c r="F529" s="2">
        <v>2.0099999999999998</v>
      </c>
      <c r="G529" s="2">
        <v>1.79</v>
      </c>
      <c r="H529" s="2">
        <v>0.9022</v>
      </c>
      <c r="I529" s="2">
        <v>0.91300000000000003</v>
      </c>
      <c r="J529" s="2">
        <v>0.83299999999999996</v>
      </c>
      <c r="K529">
        <v>7</v>
      </c>
      <c r="L529" s="19">
        <v>0</v>
      </c>
      <c r="M529" s="21">
        <f>L529</f>
        <v>0</v>
      </c>
    </row>
    <row r="530" spans="1:13" x14ac:dyDescent="0.2">
      <c r="A530" t="s">
        <v>151</v>
      </c>
      <c r="B530" t="e">
        <f>VLOOKUP(A530,MasterTutor!A:E,4,FALSE)</f>
        <v>#N/A</v>
      </c>
      <c r="C530" t="e">
        <f>VLOOKUP(A530,MasterTutor!A:E,3,FALSE)</f>
        <v>#N/A</v>
      </c>
      <c r="D530" t="e">
        <f>VLOOKUP(A530,MasterTutor!A:E,2,FALSE)</f>
        <v>#N/A</v>
      </c>
      <c r="E530" t="s">
        <v>349</v>
      </c>
      <c r="F530" s="2">
        <v>1.1299999999999999</v>
      </c>
      <c r="G530" s="2">
        <v>1.18</v>
      </c>
      <c r="H530" s="2">
        <v>0.97729999999999995</v>
      </c>
      <c r="I530" s="2">
        <v>0.83640000000000003</v>
      </c>
      <c r="J530" s="2">
        <v>0.76200000000000001</v>
      </c>
      <c r="K530">
        <v>3</v>
      </c>
      <c r="L530" s="19">
        <v>1</v>
      </c>
      <c r="M530" s="21">
        <f>L530</f>
        <v>1</v>
      </c>
    </row>
    <row r="531" spans="1:13" x14ac:dyDescent="0.2">
      <c r="A531" t="s">
        <v>152</v>
      </c>
      <c r="B531" t="str">
        <f>VLOOKUP(A531,MasterTutor!A:E,4,FALSE)</f>
        <v>Premium</v>
      </c>
      <c r="C531" t="str">
        <f>VLOOKUP(A531,MasterTutor!A:E,3,FALSE)</f>
        <v>Professional</v>
      </c>
      <c r="D531" t="str">
        <f>VLOOKUP(A531,MasterTutor!A:E,2,FALSE)</f>
        <v>Ian Plamondon</v>
      </c>
      <c r="E531" t="s">
        <v>349</v>
      </c>
      <c r="F531" s="2">
        <v>1.21</v>
      </c>
      <c r="G531" s="2">
        <v>1.47</v>
      </c>
      <c r="H531" s="2">
        <v>0.99239999999999995</v>
      </c>
      <c r="I531" s="2">
        <v>0.99009999999999998</v>
      </c>
      <c r="J531" s="2">
        <v>0.65600000000000003</v>
      </c>
      <c r="K531">
        <v>1</v>
      </c>
      <c r="L531" s="19" t="s">
        <v>330</v>
      </c>
      <c r="M531" s="21">
        <v>0.67</v>
      </c>
    </row>
    <row r="532" spans="1:13" x14ac:dyDescent="0.2">
      <c r="A532" t="s">
        <v>153</v>
      </c>
      <c r="B532" t="str">
        <f>VLOOKUP(A532,MasterTutor!A:E,4,FALSE)</f>
        <v>Distinguished</v>
      </c>
      <c r="C532" t="str">
        <f>VLOOKUP(A532,MasterTutor!A:E,3,FALSE)</f>
        <v>Professional</v>
      </c>
      <c r="D532" t="str">
        <f>VLOOKUP(A532,MasterTutor!A:E,2,FALSE)</f>
        <v>Ian Plamondon</v>
      </c>
      <c r="E532" t="s">
        <v>349</v>
      </c>
      <c r="F532" s="2">
        <v>1</v>
      </c>
      <c r="G532" s="2">
        <v>1.23</v>
      </c>
      <c r="H532" s="2">
        <v>0.99439999999999995</v>
      </c>
      <c r="I532" s="2">
        <v>0.96</v>
      </c>
      <c r="J532" s="2">
        <v>0.60499999999999998</v>
      </c>
      <c r="K532">
        <v>10</v>
      </c>
      <c r="L532" s="19">
        <v>0</v>
      </c>
      <c r="M532" s="21">
        <f>L532</f>
        <v>0</v>
      </c>
    </row>
    <row r="533" spans="1:13" x14ac:dyDescent="0.2">
      <c r="A533" t="s">
        <v>154</v>
      </c>
      <c r="B533" t="e">
        <f>VLOOKUP(A533,MasterTutor!A:E,4,FALSE)</f>
        <v>#N/A</v>
      </c>
      <c r="C533" t="e">
        <f>VLOOKUP(A533,MasterTutor!A:E,3,FALSE)</f>
        <v>#N/A</v>
      </c>
      <c r="D533" t="e">
        <f>VLOOKUP(A533,MasterTutor!A:E,2,FALSE)</f>
        <v>#N/A</v>
      </c>
      <c r="E533" t="s">
        <v>349</v>
      </c>
      <c r="F533" s="2">
        <v>0.93</v>
      </c>
      <c r="G533" s="2">
        <v>1.32</v>
      </c>
      <c r="H533" s="2">
        <v>0.95830000000000004</v>
      </c>
      <c r="I533" s="2">
        <v>0.85709999999999997</v>
      </c>
      <c r="J533" s="2">
        <v>1</v>
      </c>
      <c r="K533">
        <v>2</v>
      </c>
    </row>
    <row r="534" spans="1:13" x14ac:dyDescent="0.2">
      <c r="A534" t="s">
        <v>155</v>
      </c>
      <c r="B534" t="str">
        <f>VLOOKUP(A534,MasterTutor!A:E,4,FALSE)</f>
        <v>Distinguished</v>
      </c>
      <c r="C534" t="str">
        <f>VLOOKUP(A534,MasterTutor!A:E,3,FALSE)</f>
        <v>Professional</v>
      </c>
      <c r="D534" t="str">
        <f>VLOOKUP(A534,MasterTutor!A:E,2,FALSE)</f>
        <v>Kristin Haase-Alvey</v>
      </c>
      <c r="E534" t="s">
        <v>349</v>
      </c>
      <c r="F534" s="2">
        <v>0.79</v>
      </c>
      <c r="G534" s="2">
        <v>0.87</v>
      </c>
      <c r="H534" s="2">
        <v>1</v>
      </c>
      <c r="I534" s="2">
        <v>0.98409999999999997</v>
      </c>
      <c r="J534" s="2">
        <v>0.66700000000000004</v>
      </c>
      <c r="K534">
        <v>6</v>
      </c>
      <c r="L534" s="19" t="s">
        <v>331</v>
      </c>
      <c r="M534" s="21">
        <v>0.5</v>
      </c>
    </row>
    <row r="535" spans="1:13" x14ac:dyDescent="0.2">
      <c r="A535" t="s">
        <v>301</v>
      </c>
      <c r="B535" t="str">
        <f>VLOOKUP(A535,MasterTutor!A:E,4,FALSE)</f>
        <v>Advanced</v>
      </c>
      <c r="C535" t="str">
        <f>VLOOKUP(A535,MasterTutor!A:E,3,FALSE)</f>
        <v>Professional</v>
      </c>
      <c r="D535" t="str">
        <f>VLOOKUP(A535,MasterTutor!A:E,2,FALSE)</f>
        <v>Kristin Haase-Alvey</v>
      </c>
      <c r="E535" t="s">
        <v>349</v>
      </c>
      <c r="F535" s="2">
        <v>0.23</v>
      </c>
      <c r="G535" s="2">
        <v>0.65</v>
      </c>
      <c r="H535" s="2">
        <v>1</v>
      </c>
      <c r="I535" s="2">
        <v>0.56520000000000004</v>
      </c>
      <c r="J535" s="2">
        <v>0.90500000000000003</v>
      </c>
      <c r="K535" t="e">
        <v>#N/A</v>
      </c>
      <c r="L535" s="19" t="s">
        <v>356</v>
      </c>
      <c r="M535" s="21">
        <v>0.88</v>
      </c>
    </row>
    <row r="536" spans="1:13" x14ac:dyDescent="0.2">
      <c r="A536" t="s">
        <v>156</v>
      </c>
      <c r="B536" t="e">
        <f>VLOOKUP(A536,MasterTutor!A:E,4,FALSE)</f>
        <v>#N/A</v>
      </c>
      <c r="C536" t="e">
        <f>VLOOKUP(A536,MasterTutor!A:E,3,FALSE)</f>
        <v>#N/A</v>
      </c>
      <c r="D536" t="e">
        <f>VLOOKUP(A536,MasterTutor!A:E,2,FALSE)</f>
        <v>#N/A</v>
      </c>
      <c r="E536" t="s">
        <v>349</v>
      </c>
      <c r="F536" s="2">
        <v>2.33</v>
      </c>
      <c r="G536" s="2">
        <v>2.23</v>
      </c>
      <c r="H536" s="2">
        <v>0.99419999999999997</v>
      </c>
      <c r="I536" s="2">
        <v>0.89410000000000001</v>
      </c>
      <c r="J536" s="2">
        <v>1</v>
      </c>
      <c r="K536">
        <v>3</v>
      </c>
      <c r="L536" s="19">
        <v>1</v>
      </c>
      <c r="M536" s="21">
        <f>L536</f>
        <v>1</v>
      </c>
    </row>
    <row r="537" spans="1:13" x14ac:dyDescent="0.2">
      <c r="A537" t="s">
        <v>157</v>
      </c>
      <c r="B537" t="str">
        <f>VLOOKUP(A537,MasterTutor!A:E,4,FALSE)</f>
        <v>Advanced</v>
      </c>
      <c r="C537" t="str">
        <f>VLOOKUP(A537,MasterTutor!A:E,3,FALSE)</f>
        <v>Adjunct</v>
      </c>
      <c r="D537" t="str">
        <f>VLOOKUP(A537,MasterTutor!A:E,2,FALSE)</f>
        <v>Kristin Haase-Alvey</v>
      </c>
      <c r="E537" t="s">
        <v>349</v>
      </c>
      <c r="F537" s="2">
        <v>1.01</v>
      </c>
      <c r="G537" s="2">
        <v>1.18</v>
      </c>
      <c r="H537" s="2">
        <v>0.99039999999999995</v>
      </c>
      <c r="I537" s="2">
        <v>0.98309999999999997</v>
      </c>
      <c r="J537" s="2">
        <v>0.79200000000000004</v>
      </c>
      <c r="K537">
        <v>6</v>
      </c>
      <c r="L537" s="19" t="s">
        <v>331</v>
      </c>
      <c r="M537" s="21">
        <v>0.5</v>
      </c>
    </row>
    <row r="538" spans="1:13" x14ac:dyDescent="0.2">
      <c r="A538" t="s">
        <v>158</v>
      </c>
      <c r="B538" t="str">
        <f>VLOOKUP(A538,MasterTutor!A:E,4,FALSE)</f>
        <v>Advanced</v>
      </c>
      <c r="C538" t="str">
        <f>VLOOKUP(A538,MasterTutor!A:E,3,FALSE)</f>
        <v>Adjunct</v>
      </c>
      <c r="D538" t="str">
        <f>VLOOKUP(A538,MasterTutor!A:E,2,FALSE)</f>
        <v>Annelies de Groot</v>
      </c>
      <c r="E538" t="s">
        <v>349</v>
      </c>
      <c r="F538" s="2">
        <v>0.83</v>
      </c>
      <c r="G538" s="2">
        <v>0.86</v>
      </c>
      <c r="H538" s="2">
        <v>0.98329999999999995</v>
      </c>
      <c r="I538" s="2">
        <v>0.68179999999999996</v>
      </c>
      <c r="J538" s="2">
        <v>0.75</v>
      </c>
      <c r="K538">
        <v>4</v>
      </c>
      <c r="L538" s="19">
        <v>0</v>
      </c>
      <c r="M538" s="21">
        <f>L538</f>
        <v>0</v>
      </c>
    </row>
    <row r="539" spans="1:13" x14ac:dyDescent="0.2">
      <c r="A539" t="s">
        <v>160</v>
      </c>
      <c r="B539" t="str">
        <f>VLOOKUP(A539,MasterTutor!A:E,4,FALSE)</f>
        <v>Distinguished</v>
      </c>
      <c r="C539" t="str">
        <f>VLOOKUP(A539,MasterTutor!A:E,3,FALSE)</f>
        <v>Adjunct</v>
      </c>
      <c r="D539" t="str">
        <f>VLOOKUP(A539,MasterTutor!A:E,2,FALSE)</f>
        <v>Ela Cross</v>
      </c>
      <c r="E539" t="s">
        <v>349</v>
      </c>
      <c r="F539" s="2">
        <v>1.04</v>
      </c>
      <c r="G539" s="2">
        <v>1.26</v>
      </c>
      <c r="H539" s="2">
        <v>0.95860000000000001</v>
      </c>
      <c r="I539" s="2">
        <v>0.77590000000000003</v>
      </c>
      <c r="J539" s="2">
        <v>0.66700000000000004</v>
      </c>
      <c r="K539" t="e">
        <v>#N/A</v>
      </c>
      <c r="L539" s="19">
        <v>0</v>
      </c>
      <c r="M539" s="21">
        <f>L539</f>
        <v>0</v>
      </c>
    </row>
    <row r="540" spans="1:13" x14ac:dyDescent="0.2">
      <c r="A540" t="s">
        <v>161</v>
      </c>
      <c r="B540" t="str">
        <f>VLOOKUP(A540,MasterTutor!A:E,4,FALSE)</f>
        <v>Distinguished</v>
      </c>
      <c r="C540" t="str">
        <f>VLOOKUP(A540,MasterTutor!A:E,3,FALSE)</f>
        <v>Professional</v>
      </c>
      <c r="D540" t="str">
        <f>VLOOKUP(A540,MasterTutor!A:E,2,FALSE)</f>
        <v>Ian Plamondon</v>
      </c>
      <c r="E540" t="s">
        <v>349</v>
      </c>
      <c r="F540" s="2">
        <v>0.92</v>
      </c>
      <c r="G540" s="2">
        <v>1.42</v>
      </c>
      <c r="H540" s="2">
        <v>0.98440000000000005</v>
      </c>
      <c r="I540" s="2">
        <v>0.98480000000000001</v>
      </c>
      <c r="J540" s="2">
        <v>0.82599999999999996</v>
      </c>
      <c r="K540">
        <v>1</v>
      </c>
      <c r="L540" s="19" t="s">
        <v>337</v>
      </c>
      <c r="M540" s="21">
        <f>1/3</f>
        <v>0.33333333333333331</v>
      </c>
    </row>
    <row r="541" spans="1:13" x14ac:dyDescent="0.2">
      <c r="A541" t="s">
        <v>162</v>
      </c>
      <c r="B541" t="e">
        <f>VLOOKUP(A541,MasterTutor!A:E,4,FALSE)</f>
        <v>#N/A</v>
      </c>
      <c r="C541" t="e">
        <f>VLOOKUP(A541,MasterTutor!A:E,3,FALSE)</f>
        <v>#N/A</v>
      </c>
      <c r="D541" t="e">
        <f>VLOOKUP(A541,MasterTutor!A:E,2,FALSE)</f>
        <v>#N/A</v>
      </c>
      <c r="E541" t="s">
        <v>349</v>
      </c>
      <c r="F541" s="2">
        <v>0.93</v>
      </c>
      <c r="G541" s="2">
        <v>0.98</v>
      </c>
      <c r="H541" s="2">
        <v>0.93879999999999997</v>
      </c>
      <c r="I541" s="2">
        <v>0.97729999999999995</v>
      </c>
      <c r="J541" s="2">
        <v>0.4</v>
      </c>
      <c r="K541">
        <v>4</v>
      </c>
      <c r="L541" s="19">
        <v>0</v>
      </c>
      <c r="M541" s="21">
        <f>L541</f>
        <v>0</v>
      </c>
    </row>
    <row r="542" spans="1:13" x14ac:dyDescent="0.2">
      <c r="A542" t="s">
        <v>163</v>
      </c>
      <c r="B542" t="str">
        <f>VLOOKUP(A542,MasterTutor!A:E,4,FALSE)</f>
        <v>Premium</v>
      </c>
      <c r="C542" t="str">
        <f>VLOOKUP(A542,MasterTutor!A:E,3,FALSE)</f>
        <v>Professional</v>
      </c>
      <c r="D542" t="str">
        <f>VLOOKUP(A542,MasterTutor!A:E,2,FALSE)</f>
        <v>Jessica Milner</v>
      </c>
      <c r="E542" t="s">
        <v>349</v>
      </c>
      <c r="F542" s="2">
        <v>1.21</v>
      </c>
      <c r="G542" s="2">
        <v>1.38</v>
      </c>
      <c r="H542" s="2">
        <v>0.73750000000000004</v>
      </c>
      <c r="I542" s="2">
        <v>0.93</v>
      </c>
      <c r="J542" s="2">
        <v>0.41899999999999998</v>
      </c>
      <c r="K542">
        <v>2</v>
      </c>
      <c r="L542" s="19" t="s">
        <v>357</v>
      </c>
      <c r="M542" s="21">
        <v>0.17</v>
      </c>
    </row>
    <row r="543" spans="1:13" x14ac:dyDescent="0.2">
      <c r="A543" t="s">
        <v>164</v>
      </c>
      <c r="B543" t="str">
        <f>VLOOKUP(A543,MasterTutor!A:E,4,FALSE)</f>
        <v>Advanced</v>
      </c>
      <c r="C543" t="str">
        <f>VLOOKUP(A543,MasterTutor!A:E,3,FALSE)</f>
        <v>Professional</v>
      </c>
      <c r="D543" t="str">
        <f>VLOOKUP(A543,MasterTutor!A:E,2,FALSE)</f>
        <v>Annelies de Groot</v>
      </c>
      <c r="E543" t="s">
        <v>349</v>
      </c>
      <c r="F543" s="2">
        <v>1.17</v>
      </c>
      <c r="G543" s="2">
        <v>1.1000000000000001</v>
      </c>
      <c r="H543" s="2">
        <v>0.96250000000000002</v>
      </c>
      <c r="I543" s="2">
        <v>0.98860000000000003</v>
      </c>
      <c r="J543" s="2">
        <v>0.53300000000000003</v>
      </c>
      <c r="K543">
        <v>4</v>
      </c>
      <c r="L543" s="19" t="s">
        <v>357</v>
      </c>
      <c r="M543" s="21">
        <v>0.17</v>
      </c>
    </row>
    <row r="544" spans="1:13" x14ac:dyDescent="0.2">
      <c r="A544" t="s">
        <v>165</v>
      </c>
      <c r="B544" t="str">
        <f>VLOOKUP(A544,MasterTutor!A:E,4,FALSE)</f>
        <v>Advanced</v>
      </c>
      <c r="C544" t="str">
        <f>VLOOKUP(A544,MasterTutor!A:E,3,FALSE)</f>
        <v>Adjunct</v>
      </c>
      <c r="D544" t="str">
        <f>VLOOKUP(A544,MasterTutor!A:E,2,FALSE)</f>
        <v>Ela Cross</v>
      </c>
      <c r="E544" t="s">
        <v>349</v>
      </c>
      <c r="F544" s="2">
        <v>1.53</v>
      </c>
      <c r="G544" s="2">
        <v>1.49</v>
      </c>
      <c r="H544" s="2">
        <v>0.97860000000000003</v>
      </c>
      <c r="I544" s="2">
        <v>0.98019999999999996</v>
      </c>
      <c r="J544" s="2">
        <v>0.78100000000000003</v>
      </c>
      <c r="K544">
        <v>12</v>
      </c>
      <c r="L544" s="19" t="s">
        <v>337</v>
      </c>
      <c r="M544" s="21">
        <f>1/3</f>
        <v>0.33333333333333331</v>
      </c>
    </row>
    <row r="545" spans="1:13" x14ac:dyDescent="0.2">
      <c r="A545" t="s">
        <v>166</v>
      </c>
      <c r="B545" t="str">
        <f>VLOOKUP(A545,MasterTutor!A:E,4,FALSE)</f>
        <v>Distinguished</v>
      </c>
      <c r="C545" t="str">
        <f>VLOOKUP(A545,MasterTutor!A:E,3,FALSE)</f>
        <v>Adjunct</v>
      </c>
      <c r="D545" t="str">
        <f>VLOOKUP(A545,MasterTutor!A:E,2,FALSE)</f>
        <v>Annelies de Groot</v>
      </c>
      <c r="E545" t="s">
        <v>349</v>
      </c>
      <c r="F545" s="2">
        <v>1.97</v>
      </c>
      <c r="G545" s="2">
        <v>1.64</v>
      </c>
      <c r="H545" s="2">
        <v>0.98209999999999997</v>
      </c>
      <c r="I545" s="2">
        <v>0.94440000000000002</v>
      </c>
      <c r="J545" s="2">
        <v>0.41199999999999998</v>
      </c>
      <c r="K545">
        <v>8</v>
      </c>
      <c r="L545" s="19">
        <v>0</v>
      </c>
      <c r="M545" s="21">
        <f>L545</f>
        <v>0</v>
      </c>
    </row>
    <row r="546" spans="1:13" x14ac:dyDescent="0.2">
      <c r="A546" t="s">
        <v>167</v>
      </c>
      <c r="B546" t="str">
        <f>VLOOKUP(A546,MasterTutor!A:E,4,FALSE)</f>
        <v>Advanced</v>
      </c>
      <c r="C546" t="str">
        <f>VLOOKUP(A546,MasterTutor!A:E,3,FALSE)</f>
        <v>Adjunct</v>
      </c>
      <c r="D546" t="str">
        <f>VLOOKUP(A546,MasterTutor!A:E,2,FALSE)</f>
        <v>Ela Cross</v>
      </c>
      <c r="E546" t="s">
        <v>349</v>
      </c>
      <c r="F546" s="2">
        <v>1.03</v>
      </c>
      <c r="G546" s="2">
        <v>1.04</v>
      </c>
      <c r="H546" s="2">
        <v>0.95279999999999998</v>
      </c>
      <c r="I546" s="2">
        <v>0.89659999999999995</v>
      </c>
      <c r="J546" s="2">
        <v>0.71399999999999997</v>
      </c>
      <c r="K546">
        <v>6</v>
      </c>
      <c r="L546" s="19">
        <v>0</v>
      </c>
      <c r="M546" s="21">
        <f>L546</f>
        <v>0</v>
      </c>
    </row>
    <row r="547" spans="1:13" x14ac:dyDescent="0.2">
      <c r="A547" t="s">
        <v>168</v>
      </c>
      <c r="B547" t="str">
        <f>VLOOKUP(A547,MasterTutor!A:E,4,FALSE)</f>
        <v>Advanced</v>
      </c>
      <c r="C547" t="str">
        <f>VLOOKUP(A547,MasterTutor!A:E,3,FALSE)</f>
        <v>Adjunct</v>
      </c>
      <c r="D547" t="str">
        <f>VLOOKUP(A547,MasterTutor!A:E,2,FALSE)</f>
        <v>Kristin Haase-Alvey</v>
      </c>
      <c r="E547" t="s">
        <v>349</v>
      </c>
      <c r="F547" s="2">
        <v>0.67</v>
      </c>
      <c r="G547" s="2">
        <v>0.99</v>
      </c>
      <c r="H547" s="2">
        <v>1</v>
      </c>
      <c r="I547" s="2">
        <v>1</v>
      </c>
      <c r="J547" s="2">
        <v>0.5</v>
      </c>
      <c r="K547">
        <v>9</v>
      </c>
    </row>
    <row r="548" spans="1:13" x14ac:dyDescent="0.2">
      <c r="A548" t="s">
        <v>169</v>
      </c>
      <c r="B548" t="e">
        <f>VLOOKUP(A548,MasterTutor!A:E,4,FALSE)</f>
        <v>#N/A</v>
      </c>
      <c r="C548" t="e">
        <f>VLOOKUP(A548,MasterTutor!A:E,3,FALSE)</f>
        <v>#N/A</v>
      </c>
      <c r="D548" t="e">
        <f>VLOOKUP(A548,MasterTutor!A:E,2,FALSE)</f>
        <v>#N/A</v>
      </c>
      <c r="E548" t="s">
        <v>349</v>
      </c>
      <c r="F548" s="2">
        <v>0.94</v>
      </c>
      <c r="G548" s="2">
        <v>1.31</v>
      </c>
      <c r="H548" s="2">
        <v>1</v>
      </c>
      <c r="I548" s="2">
        <v>1</v>
      </c>
      <c r="J548" s="2">
        <v>0.88900000000000001</v>
      </c>
      <c r="K548">
        <v>2</v>
      </c>
      <c r="L548" s="19">
        <v>0</v>
      </c>
      <c r="M548" s="21">
        <f>L548</f>
        <v>0</v>
      </c>
    </row>
    <row r="549" spans="1:13" x14ac:dyDescent="0.2">
      <c r="A549" t="s">
        <v>170</v>
      </c>
      <c r="B549" t="str">
        <f>VLOOKUP(A549,MasterTutor!A:E,4,FALSE)</f>
        <v>Advanced</v>
      </c>
      <c r="C549" t="str">
        <f>VLOOKUP(A549,MasterTutor!A:E,3,FALSE)</f>
        <v>Professional</v>
      </c>
      <c r="D549" t="str">
        <f>VLOOKUP(A549,MasterTutor!A:E,2,FALSE)</f>
        <v>Ela Cross</v>
      </c>
      <c r="E549" t="s">
        <v>349</v>
      </c>
      <c r="F549" s="2">
        <v>2.71</v>
      </c>
      <c r="G549" s="2">
        <v>2.92</v>
      </c>
      <c r="H549" s="2">
        <v>0.94430000000000003</v>
      </c>
      <c r="I549" s="2">
        <v>0.94379999999999997</v>
      </c>
      <c r="J549" s="2">
        <v>0.52600000000000002</v>
      </c>
      <c r="K549">
        <v>7</v>
      </c>
      <c r="L549" s="19" t="s">
        <v>350</v>
      </c>
      <c r="M549" s="21">
        <v>0.28999999999999998</v>
      </c>
    </row>
    <row r="550" spans="1:13" x14ac:dyDescent="0.2">
      <c r="A550" t="s">
        <v>171</v>
      </c>
      <c r="B550" t="str">
        <f>VLOOKUP(A550,MasterTutor!A:E,4,FALSE)</f>
        <v>Advanced</v>
      </c>
      <c r="C550" t="str">
        <f>VLOOKUP(A550,MasterTutor!A:E,3,FALSE)</f>
        <v>Adjunct</v>
      </c>
      <c r="D550" t="str">
        <f>VLOOKUP(A550,MasterTutor!A:E,2,FALSE)</f>
        <v>Annelies de Groot</v>
      </c>
      <c r="E550" t="s">
        <v>349</v>
      </c>
      <c r="F550" s="2">
        <v>1.31</v>
      </c>
      <c r="G550" s="2">
        <v>1.36</v>
      </c>
      <c r="H550" s="2">
        <v>0.85809999999999997</v>
      </c>
      <c r="I550" s="2">
        <v>0.97829999999999995</v>
      </c>
      <c r="J550" s="2">
        <v>0.53800000000000003</v>
      </c>
      <c r="K550">
        <v>4</v>
      </c>
      <c r="L550" s="19">
        <v>0</v>
      </c>
      <c r="M550" s="21">
        <f>L550</f>
        <v>0</v>
      </c>
    </row>
    <row r="551" spans="1:13" x14ac:dyDescent="0.2">
      <c r="A551" t="s">
        <v>172</v>
      </c>
      <c r="B551" t="e">
        <f>VLOOKUP(A551,MasterTutor!A:E,4,FALSE)</f>
        <v>#N/A</v>
      </c>
      <c r="C551" t="e">
        <f>VLOOKUP(A551,MasterTutor!A:E,3,FALSE)</f>
        <v>#N/A</v>
      </c>
      <c r="D551" t="e">
        <f>VLOOKUP(A551,MasterTutor!A:E,2,FALSE)</f>
        <v>#N/A</v>
      </c>
      <c r="E551" t="s">
        <v>349</v>
      </c>
      <c r="F551" s="2">
        <v>1.18</v>
      </c>
      <c r="G551" s="2">
        <v>1.56</v>
      </c>
      <c r="H551" s="2">
        <v>1</v>
      </c>
      <c r="I551" s="2">
        <v>0.47499999999999998</v>
      </c>
      <c r="J551" s="2">
        <v>0.6</v>
      </c>
      <c r="K551">
        <v>7</v>
      </c>
    </row>
    <row r="552" spans="1:13" x14ac:dyDescent="0.2">
      <c r="A552" t="s">
        <v>173</v>
      </c>
      <c r="B552" t="e">
        <f>VLOOKUP(A552,MasterTutor!A:E,4,FALSE)</f>
        <v>#N/A</v>
      </c>
      <c r="C552" t="e">
        <f>VLOOKUP(A552,MasterTutor!A:E,3,FALSE)</f>
        <v>#N/A</v>
      </c>
      <c r="D552" t="e">
        <f>VLOOKUP(A552,MasterTutor!A:E,2,FALSE)</f>
        <v>#N/A</v>
      </c>
      <c r="E552" t="s">
        <v>349</v>
      </c>
      <c r="F552" s="2">
        <v>0.69</v>
      </c>
      <c r="G552" s="2">
        <v>0.95</v>
      </c>
      <c r="H552" s="2">
        <v>0.75570000000000004</v>
      </c>
      <c r="I552" s="2">
        <v>0.62</v>
      </c>
      <c r="J552" s="2">
        <v>0.76500000000000001</v>
      </c>
      <c r="K552" t="e">
        <v>#N/A</v>
      </c>
    </row>
    <row r="553" spans="1:13" x14ac:dyDescent="0.2">
      <c r="A553" t="s">
        <v>174</v>
      </c>
      <c r="B553" t="e">
        <f>VLOOKUP(A553,MasterTutor!A:E,4,FALSE)</f>
        <v>#N/A</v>
      </c>
      <c r="C553" t="e">
        <f>VLOOKUP(A553,MasterTutor!A:E,3,FALSE)</f>
        <v>#N/A</v>
      </c>
      <c r="D553" t="e">
        <f>VLOOKUP(A553,MasterTutor!A:E,2,FALSE)</f>
        <v>#N/A</v>
      </c>
      <c r="E553" t="s">
        <v>349</v>
      </c>
      <c r="F553" s="2">
        <v>0.76</v>
      </c>
      <c r="G553" s="2">
        <v>0.87</v>
      </c>
      <c r="H553" s="2">
        <v>0.9839</v>
      </c>
      <c r="I553" s="2">
        <v>0.92749999999999999</v>
      </c>
      <c r="J553" s="2">
        <v>0.64700000000000002</v>
      </c>
      <c r="K553">
        <v>3</v>
      </c>
      <c r="L553" s="19" t="s">
        <v>357</v>
      </c>
      <c r="M553" s="21">
        <v>0.17</v>
      </c>
    </row>
    <row r="554" spans="1:13" x14ac:dyDescent="0.2">
      <c r="A554" t="s">
        <v>175</v>
      </c>
      <c r="B554" t="str">
        <f>VLOOKUP(A554,MasterTutor!A:E,4,FALSE)</f>
        <v>Distinguished</v>
      </c>
      <c r="C554" t="str">
        <f>VLOOKUP(A554,MasterTutor!A:E,3,FALSE)</f>
        <v>Adjunct</v>
      </c>
      <c r="D554" t="str">
        <f>VLOOKUP(A554,MasterTutor!A:E,2,FALSE)</f>
        <v>Annelies de Groot</v>
      </c>
      <c r="E554" t="s">
        <v>349</v>
      </c>
      <c r="F554" s="2">
        <v>0.94</v>
      </c>
      <c r="G554" s="2">
        <v>1.0900000000000001</v>
      </c>
      <c r="H554" s="2">
        <v>0.9375</v>
      </c>
      <c r="I554" s="2">
        <v>0.9667</v>
      </c>
      <c r="J554" s="2">
        <v>0.57099999999999995</v>
      </c>
      <c r="K554">
        <v>2</v>
      </c>
      <c r="L554" s="19" t="s">
        <v>331</v>
      </c>
      <c r="M554" s="21">
        <v>0.5</v>
      </c>
    </row>
    <row r="555" spans="1:13" x14ac:dyDescent="0.2">
      <c r="A555" t="s">
        <v>176</v>
      </c>
      <c r="B555" t="str">
        <f>VLOOKUP(A555,MasterTutor!A:E,4,FALSE)</f>
        <v>Premium</v>
      </c>
      <c r="C555" t="str">
        <f>VLOOKUP(A555,MasterTutor!A:E,3,FALSE)</f>
        <v>Professional</v>
      </c>
      <c r="D555" t="str">
        <f>VLOOKUP(A555,MasterTutor!A:E,2,FALSE)</f>
        <v>Ian Plamondon</v>
      </c>
      <c r="E555" t="s">
        <v>349</v>
      </c>
      <c r="F555" s="2">
        <v>1.1100000000000001</v>
      </c>
      <c r="G555" s="2">
        <v>1.38</v>
      </c>
      <c r="H555" s="2">
        <v>0.99309999999999998</v>
      </c>
      <c r="I555" s="2">
        <v>0.98970000000000002</v>
      </c>
      <c r="J555" s="2">
        <v>0.66700000000000004</v>
      </c>
      <c r="K555">
        <v>4</v>
      </c>
      <c r="L555" s="19">
        <v>1</v>
      </c>
      <c r="M555" s="21">
        <f>L555</f>
        <v>1</v>
      </c>
    </row>
    <row r="556" spans="1:13" x14ac:dyDescent="0.2">
      <c r="A556" t="s">
        <v>177</v>
      </c>
      <c r="B556" t="e">
        <f>VLOOKUP(A556,MasterTutor!A:E,4,FALSE)</f>
        <v>#N/A</v>
      </c>
      <c r="C556" t="e">
        <f>VLOOKUP(A556,MasterTutor!A:E,3,FALSE)</f>
        <v>#N/A</v>
      </c>
      <c r="D556" t="e">
        <f>VLOOKUP(A556,MasterTutor!A:E,2,FALSE)</f>
        <v>#N/A</v>
      </c>
      <c r="E556" t="s">
        <v>349</v>
      </c>
      <c r="F556" s="2">
        <v>0.8</v>
      </c>
      <c r="G556" s="2">
        <v>0.91</v>
      </c>
      <c r="H556" s="2">
        <v>1</v>
      </c>
      <c r="I556" s="2">
        <v>0.6552</v>
      </c>
      <c r="J556" s="2">
        <v>0.70599999999999996</v>
      </c>
      <c r="K556">
        <v>3</v>
      </c>
      <c r="L556" s="19">
        <v>0</v>
      </c>
      <c r="M556" s="21">
        <f>L556</f>
        <v>0</v>
      </c>
    </row>
    <row r="557" spans="1:13" x14ac:dyDescent="0.2">
      <c r="A557" t="s">
        <v>178</v>
      </c>
      <c r="B557" t="e">
        <f>VLOOKUP(A557,MasterTutor!A:E,4,FALSE)</f>
        <v>#N/A</v>
      </c>
      <c r="C557" t="e">
        <f>VLOOKUP(A557,MasterTutor!A:E,3,FALSE)</f>
        <v>#N/A</v>
      </c>
      <c r="D557" t="e">
        <f>VLOOKUP(A557,MasterTutor!A:E,2,FALSE)</f>
        <v>#N/A</v>
      </c>
      <c r="E557" t="s">
        <v>349</v>
      </c>
      <c r="F557" s="2">
        <v>0.55000000000000004</v>
      </c>
      <c r="G557" s="2">
        <v>0.68</v>
      </c>
      <c r="H557" s="2">
        <v>1</v>
      </c>
      <c r="I557" s="2">
        <v>0.63639999999999997</v>
      </c>
      <c r="J557" s="2">
        <v>0.72699999999999998</v>
      </c>
      <c r="K557">
        <v>1</v>
      </c>
    </row>
    <row r="558" spans="1:13" x14ac:dyDescent="0.2">
      <c r="A558" t="s">
        <v>314</v>
      </c>
      <c r="B558" t="str">
        <f>VLOOKUP(A558,MasterTutor!A:E,4,FALSE)</f>
        <v>Advanced</v>
      </c>
      <c r="C558" t="str">
        <f>VLOOKUP(A558,MasterTutor!A:E,3,FALSE)</f>
        <v>Professional</v>
      </c>
      <c r="D558" t="str">
        <f>VLOOKUP(A558,MasterTutor!A:E,2,FALSE)</f>
        <v>Ian Plamondon</v>
      </c>
      <c r="E558" t="s">
        <v>349</v>
      </c>
      <c r="F558" s="2">
        <v>0.15</v>
      </c>
      <c r="G558" s="2">
        <v>0.56999999999999995</v>
      </c>
      <c r="H558" s="2">
        <v>1</v>
      </c>
      <c r="I558" s="2">
        <v>1</v>
      </c>
      <c r="J558" s="2">
        <v>0.8</v>
      </c>
      <c r="K558" t="e">
        <v>#N/A</v>
      </c>
      <c r="L558" s="19" t="s">
        <v>345</v>
      </c>
      <c r="M558" s="21">
        <v>0.2</v>
      </c>
    </row>
    <row r="559" spans="1:13" x14ac:dyDescent="0.2">
      <c r="A559" t="s">
        <v>179</v>
      </c>
      <c r="B559" t="str">
        <f>VLOOKUP(A559,MasterTutor!A:E,4,FALSE)</f>
        <v>Advanced</v>
      </c>
      <c r="C559" t="str">
        <f>VLOOKUP(A559,MasterTutor!A:E,3,FALSE)</f>
        <v>Adjunct</v>
      </c>
      <c r="D559" t="str">
        <f>VLOOKUP(A559,MasterTutor!A:E,2,FALSE)</f>
        <v>Ela Cross</v>
      </c>
      <c r="E559" t="s">
        <v>349</v>
      </c>
      <c r="F559" s="2">
        <v>0.92</v>
      </c>
      <c r="G559" s="2">
        <v>1.38</v>
      </c>
      <c r="H559" s="2">
        <v>0.97499999999999998</v>
      </c>
      <c r="I559" s="2">
        <v>0.96430000000000005</v>
      </c>
      <c r="J559" s="2">
        <v>0.8</v>
      </c>
      <c r="K559">
        <v>2</v>
      </c>
      <c r="L559" s="19" t="s">
        <v>337</v>
      </c>
      <c r="M559" s="21">
        <f>1/3</f>
        <v>0.33333333333333331</v>
      </c>
    </row>
    <row r="560" spans="1:13" x14ac:dyDescent="0.2">
      <c r="A560" t="s">
        <v>180</v>
      </c>
      <c r="B560" t="str">
        <f>VLOOKUP(A560,MasterTutor!A:E,4,FALSE)</f>
        <v>Premium</v>
      </c>
      <c r="C560" t="str">
        <f>VLOOKUP(A560,MasterTutor!A:E,3,FALSE)</f>
        <v>Adjunct</v>
      </c>
      <c r="D560" t="str">
        <f>VLOOKUP(A560,MasterTutor!A:E,2,FALSE)</f>
        <v>Geoff St. Marie</v>
      </c>
      <c r="E560" t="s">
        <v>349</v>
      </c>
      <c r="F560" s="2">
        <v>1.04</v>
      </c>
      <c r="G560" s="2">
        <v>1.4</v>
      </c>
      <c r="H560" s="2">
        <v>1</v>
      </c>
      <c r="I560" s="2">
        <v>0.75</v>
      </c>
      <c r="J560" s="2">
        <v>0.55600000000000005</v>
      </c>
      <c r="K560">
        <v>3</v>
      </c>
    </row>
    <row r="561" spans="1:13" x14ac:dyDescent="0.2">
      <c r="A561" t="s">
        <v>181</v>
      </c>
      <c r="B561" t="str">
        <f>VLOOKUP(A561,MasterTutor!A:E,4,FALSE)</f>
        <v>Advanced</v>
      </c>
      <c r="C561" t="str">
        <f>VLOOKUP(A561,MasterTutor!A:E,3,FALSE)</f>
        <v>Professional</v>
      </c>
      <c r="D561" t="str">
        <f>VLOOKUP(A561,MasterTutor!A:E,2,FALSE)</f>
        <v>Ela Cross</v>
      </c>
      <c r="E561" t="s">
        <v>349</v>
      </c>
      <c r="F561" s="2">
        <v>1.03</v>
      </c>
      <c r="G561" s="2">
        <v>0.88</v>
      </c>
      <c r="H561" s="2">
        <v>0.86229999999999996</v>
      </c>
      <c r="I561" s="2">
        <v>0.96150000000000002</v>
      </c>
      <c r="J561" s="2">
        <v>0.88900000000000001</v>
      </c>
      <c r="K561">
        <v>4</v>
      </c>
      <c r="L561" s="19" t="s">
        <v>336</v>
      </c>
      <c r="M561" s="21">
        <v>0.6</v>
      </c>
    </row>
    <row r="562" spans="1:13" x14ac:dyDescent="0.2">
      <c r="A562" t="s">
        <v>182</v>
      </c>
      <c r="B562" t="str">
        <f>VLOOKUP(A562,MasterTutor!A:E,4,FALSE)</f>
        <v>Premium</v>
      </c>
      <c r="C562" t="str">
        <f>VLOOKUP(A562,MasterTutor!A:E,3,FALSE)</f>
        <v>Professional</v>
      </c>
      <c r="D562" t="str">
        <f>VLOOKUP(A562,MasterTutor!A:E,2,FALSE)</f>
        <v>Annelies de Groot</v>
      </c>
      <c r="E562" t="s">
        <v>349</v>
      </c>
      <c r="F562" s="2">
        <v>0.92</v>
      </c>
      <c r="G562" s="2">
        <v>1.2</v>
      </c>
      <c r="H562" s="2">
        <v>1</v>
      </c>
      <c r="I562" s="2">
        <v>0.9556</v>
      </c>
      <c r="J562" s="2">
        <v>0.66700000000000004</v>
      </c>
      <c r="K562">
        <v>4</v>
      </c>
      <c r="L562" s="19" t="s">
        <v>330</v>
      </c>
      <c r="M562" s="21">
        <v>0.67</v>
      </c>
    </row>
    <row r="563" spans="1:13" x14ac:dyDescent="0.2">
      <c r="A563" t="s">
        <v>315</v>
      </c>
      <c r="B563" t="str">
        <f>VLOOKUP(A563,MasterTutor!A:E,4,FALSE)</f>
        <v>Advanced</v>
      </c>
      <c r="C563" t="str">
        <f>VLOOKUP(A563,MasterTutor!A:E,3,FALSE)</f>
        <v>Professional</v>
      </c>
      <c r="D563" t="str">
        <f>VLOOKUP(A563,MasterTutor!A:E,2,FALSE)</f>
        <v>Ela Cross</v>
      </c>
      <c r="E563" t="s">
        <v>349</v>
      </c>
      <c r="F563" s="2">
        <v>0.03</v>
      </c>
      <c r="G563" s="2">
        <v>0.44</v>
      </c>
      <c r="H563" s="2">
        <v>1</v>
      </c>
      <c r="I563" s="2">
        <v>1</v>
      </c>
      <c r="J563" s="2">
        <v>0.81799999999999995</v>
      </c>
      <c r="K563" t="e">
        <v>#N/A</v>
      </c>
      <c r="L563" s="19">
        <v>1</v>
      </c>
      <c r="M563" s="21">
        <f>L563</f>
        <v>1</v>
      </c>
    </row>
    <row r="564" spans="1:13" x14ac:dyDescent="0.2">
      <c r="A564" t="s">
        <v>183</v>
      </c>
      <c r="B564" t="str">
        <f>VLOOKUP(A564,MasterTutor!A:E,4,FALSE)</f>
        <v>Advanced</v>
      </c>
      <c r="C564" t="str">
        <f>VLOOKUP(A564,MasterTutor!A:E,3,FALSE)</f>
        <v>Adjunct</v>
      </c>
      <c r="D564" t="str">
        <f>VLOOKUP(A564,MasterTutor!A:E,2,FALSE)</f>
        <v>Annelies de Groot</v>
      </c>
      <c r="E564" t="s">
        <v>349</v>
      </c>
      <c r="F564" s="2">
        <v>1.48</v>
      </c>
      <c r="G564" s="2">
        <v>1.55</v>
      </c>
      <c r="H564" s="2">
        <v>1</v>
      </c>
      <c r="I564" s="2">
        <v>0.98109999999999997</v>
      </c>
      <c r="J564" s="2">
        <v>1</v>
      </c>
      <c r="K564">
        <v>4</v>
      </c>
      <c r="L564" s="19">
        <v>1</v>
      </c>
      <c r="M564" s="21">
        <f>L564</f>
        <v>1</v>
      </c>
    </row>
    <row r="565" spans="1:13" x14ac:dyDescent="0.2">
      <c r="A565" t="s">
        <v>184</v>
      </c>
      <c r="B565" t="str">
        <f>VLOOKUP(A565,MasterTutor!A:E,4,FALSE)</f>
        <v>Advanced</v>
      </c>
      <c r="C565" t="str">
        <f>VLOOKUP(A565,MasterTutor!A:E,3,FALSE)</f>
        <v>Adjunct</v>
      </c>
      <c r="D565" t="str">
        <f>VLOOKUP(A565,MasterTutor!A:E,2,FALSE)</f>
        <v>Kristin Haase-Alvey</v>
      </c>
      <c r="E565" t="s">
        <v>349</v>
      </c>
      <c r="F565" s="2">
        <v>0.82</v>
      </c>
      <c r="G565" s="2">
        <v>1.1000000000000001</v>
      </c>
      <c r="H565" s="2">
        <v>0.97729999999999995</v>
      </c>
      <c r="I565" s="2">
        <v>0.871</v>
      </c>
      <c r="J565" s="2">
        <v>0.76900000000000002</v>
      </c>
      <c r="K565" t="e">
        <v>#N/A</v>
      </c>
      <c r="L565" s="19" t="s">
        <v>337</v>
      </c>
      <c r="M565" s="21">
        <f>1/3</f>
        <v>0.33333333333333331</v>
      </c>
    </row>
    <row r="566" spans="1:13" x14ac:dyDescent="0.2">
      <c r="A566" t="s">
        <v>185</v>
      </c>
      <c r="B566" t="str">
        <f>VLOOKUP(A566,MasterTutor!A:E,4,FALSE)</f>
        <v>Distinguished</v>
      </c>
      <c r="C566" t="str">
        <f>VLOOKUP(A566,MasterTutor!A:E,3,FALSE)</f>
        <v>Professional</v>
      </c>
      <c r="D566" t="str">
        <f>VLOOKUP(A566,MasterTutor!A:E,2,FALSE)</f>
        <v>Ian Plamondon</v>
      </c>
      <c r="E566" t="s">
        <v>349</v>
      </c>
      <c r="F566" s="2">
        <v>0.67</v>
      </c>
      <c r="G566" s="2">
        <v>0.82</v>
      </c>
      <c r="H566" s="2">
        <v>0.9083</v>
      </c>
      <c r="I566" s="2">
        <v>1</v>
      </c>
      <c r="J566" s="2">
        <v>0.91700000000000004</v>
      </c>
      <c r="K566">
        <v>1</v>
      </c>
    </row>
    <row r="567" spans="1:13" x14ac:dyDescent="0.2">
      <c r="A567" t="s">
        <v>186</v>
      </c>
      <c r="B567" t="str">
        <f>VLOOKUP(A567,MasterTutor!A:E,4,FALSE)</f>
        <v>Premium</v>
      </c>
      <c r="C567" t="str">
        <f>VLOOKUP(A567,MasterTutor!A:E,3,FALSE)</f>
        <v>Adjunct</v>
      </c>
      <c r="D567" t="str">
        <f>VLOOKUP(A567,MasterTutor!A:E,2,FALSE)</f>
        <v>Ela Cross</v>
      </c>
      <c r="E567" t="s">
        <v>349</v>
      </c>
      <c r="F567" s="2">
        <v>0.14000000000000001</v>
      </c>
      <c r="G567" s="2">
        <v>0.4</v>
      </c>
      <c r="H567" s="2">
        <v>1</v>
      </c>
      <c r="I567" s="2">
        <v>1</v>
      </c>
      <c r="J567" s="2">
        <v>0.75</v>
      </c>
      <c r="K567" t="e">
        <v>#N/A</v>
      </c>
      <c r="L567" s="19">
        <v>1</v>
      </c>
      <c r="M567" s="21">
        <f>L567</f>
        <v>1</v>
      </c>
    </row>
    <row r="568" spans="1:13" x14ac:dyDescent="0.2">
      <c r="A568" t="s">
        <v>187</v>
      </c>
      <c r="B568" t="str">
        <f>VLOOKUP(A568,MasterTutor!A:E,4,FALSE)</f>
        <v>Distinguished</v>
      </c>
      <c r="C568" t="str">
        <f>VLOOKUP(A568,MasterTutor!A:E,3,FALSE)</f>
        <v>Adjunct</v>
      </c>
      <c r="D568" t="str">
        <f>VLOOKUP(A568,MasterTutor!A:E,2,FALSE)</f>
        <v>Ela Cross</v>
      </c>
      <c r="E568" t="s">
        <v>349</v>
      </c>
      <c r="F568" s="2">
        <v>1.42</v>
      </c>
      <c r="G568" s="2">
        <v>1.56</v>
      </c>
      <c r="H568" s="2">
        <v>0.96830000000000005</v>
      </c>
      <c r="I568" s="2">
        <v>0.92110000000000003</v>
      </c>
      <c r="J568" s="2">
        <v>0.77800000000000002</v>
      </c>
      <c r="K568">
        <v>1</v>
      </c>
    </row>
    <row r="569" spans="1:13" x14ac:dyDescent="0.2">
      <c r="A569" t="s">
        <v>188</v>
      </c>
      <c r="B569" t="str">
        <f>VLOOKUP(A569,MasterTutor!A:E,4,FALSE)</f>
        <v>Premium</v>
      </c>
      <c r="C569" t="str">
        <f>VLOOKUP(A569,MasterTutor!A:E,3,FALSE)</f>
        <v>Professional</v>
      </c>
      <c r="D569" t="str">
        <f>VLOOKUP(A569,MasterTutor!A:E,2,FALSE)</f>
        <v>Ian Plamondon</v>
      </c>
      <c r="E569" t="s">
        <v>349</v>
      </c>
      <c r="F569" s="2">
        <v>0.98</v>
      </c>
      <c r="G569" s="2">
        <v>1.3</v>
      </c>
      <c r="H569" s="2">
        <v>0.98529999999999995</v>
      </c>
      <c r="I569" s="2">
        <v>0.94669999999999999</v>
      </c>
      <c r="J569" s="2">
        <v>0.95199999999999996</v>
      </c>
      <c r="K569">
        <v>1</v>
      </c>
      <c r="L569" s="19">
        <v>0</v>
      </c>
      <c r="M569" s="21">
        <f>L569</f>
        <v>0</v>
      </c>
    </row>
    <row r="570" spans="1:13" x14ac:dyDescent="0.2">
      <c r="A570" t="s">
        <v>189</v>
      </c>
      <c r="B570" t="str">
        <f>VLOOKUP(A570,MasterTutor!A:E,4,FALSE)</f>
        <v>Advanced</v>
      </c>
      <c r="C570" t="str">
        <f>VLOOKUP(A570,MasterTutor!A:E,3,FALSE)</f>
        <v>Adjunct</v>
      </c>
      <c r="D570" t="str">
        <f>VLOOKUP(A570,MasterTutor!A:E,2,FALSE)</f>
        <v>Annelies de Groot</v>
      </c>
      <c r="E570" t="s">
        <v>349</v>
      </c>
      <c r="F570" s="2">
        <v>1.65</v>
      </c>
      <c r="G570" s="2">
        <v>1.61</v>
      </c>
      <c r="H570" s="2">
        <v>0.92349999999999999</v>
      </c>
      <c r="I570" s="2">
        <v>0.84379999999999999</v>
      </c>
      <c r="J570" s="2">
        <v>0.77300000000000002</v>
      </c>
      <c r="K570">
        <v>5</v>
      </c>
      <c r="L570" s="19">
        <v>0</v>
      </c>
      <c r="M570" s="21">
        <f>L570</f>
        <v>0</v>
      </c>
    </row>
    <row r="571" spans="1:13" x14ac:dyDescent="0.2">
      <c r="A571" t="s">
        <v>191</v>
      </c>
      <c r="B571" t="e">
        <f>VLOOKUP(A571,MasterTutor!A:E,4,FALSE)</f>
        <v>#N/A</v>
      </c>
      <c r="C571" t="e">
        <f>VLOOKUP(A571,MasterTutor!A:E,3,FALSE)</f>
        <v>#N/A</v>
      </c>
      <c r="D571" t="e">
        <f>VLOOKUP(A571,MasterTutor!A:E,2,FALSE)</f>
        <v>#N/A</v>
      </c>
      <c r="E571" t="s">
        <v>349</v>
      </c>
      <c r="F571" s="2">
        <v>1.0900000000000001</v>
      </c>
      <c r="G571" s="2">
        <v>1.1000000000000001</v>
      </c>
      <c r="H571" s="2">
        <v>0.98329999999999995</v>
      </c>
      <c r="I571" s="2">
        <v>0.96630000000000005</v>
      </c>
      <c r="J571" s="2">
        <v>0.72199999999999998</v>
      </c>
      <c r="K571">
        <v>8</v>
      </c>
      <c r="L571" s="19" t="s">
        <v>346</v>
      </c>
      <c r="M571" s="21">
        <v>0.78</v>
      </c>
    </row>
    <row r="572" spans="1:13" x14ac:dyDescent="0.2">
      <c r="A572" t="s">
        <v>192</v>
      </c>
      <c r="B572" t="str">
        <f>VLOOKUP(A572,MasterTutor!A:E,4,FALSE)</f>
        <v>Advanced</v>
      </c>
      <c r="C572" t="str">
        <f>VLOOKUP(A572,MasterTutor!A:E,3,FALSE)</f>
        <v>Adjunct</v>
      </c>
      <c r="D572" t="str">
        <f>VLOOKUP(A572,MasterTutor!A:E,2,FALSE)</f>
        <v>Ela Cross</v>
      </c>
      <c r="E572" t="s">
        <v>349</v>
      </c>
      <c r="F572" s="2">
        <v>1.81</v>
      </c>
      <c r="G572" s="2">
        <v>1.49</v>
      </c>
      <c r="H572" s="2">
        <v>0.97050000000000003</v>
      </c>
      <c r="I572" s="2">
        <v>0.9839</v>
      </c>
      <c r="J572" s="2">
        <v>0.71399999999999997</v>
      </c>
      <c r="K572">
        <v>5</v>
      </c>
      <c r="L572" s="19">
        <v>1</v>
      </c>
      <c r="M572" s="21">
        <f>L572</f>
        <v>1</v>
      </c>
    </row>
    <row r="573" spans="1:13" x14ac:dyDescent="0.2">
      <c r="A573" t="s">
        <v>193</v>
      </c>
      <c r="B573" t="str">
        <f>VLOOKUP(A573,MasterTutor!A:E,4,FALSE)</f>
        <v>Advanced</v>
      </c>
      <c r="C573" t="str">
        <f>VLOOKUP(A573,MasterTutor!A:E,3,FALSE)</f>
        <v>Professional</v>
      </c>
      <c r="D573" t="str">
        <f>VLOOKUP(A573,MasterTutor!A:E,2,FALSE)</f>
        <v>Annelies de Groot</v>
      </c>
      <c r="E573" t="s">
        <v>349</v>
      </c>
      <c r="F573" s="2">
        <v>0.74</v>
      </c>
      <c r="G573" s="2">
        <v>0.92</v>
      </c>
      <c r="H573" s="2">
        <v>0.97209999999999996</v>
      </c>
      <c r="I573" s="2">
        <v>0.98040000000000005</v>
      </c>
      <c r="J573" s="2">
        <v>0.79200000000000004</v>
      </c>
      <c r="K573" t="e">
        <v>#N/A</v>
      </c>
      <c r="L573" s="19" t="s">
        <v>332</v>
      </c>
      <c r="M573" s="21">
        <v>0.71</v>
      </c>
    </row>
    <row r="574" spans="1:13" x14ac:dyDescent="0.2">
      <c r="A574" t="s">
        <v>194</v>
      </c>
      <c r="B574" t="e">
        <f>VLOOKUP(A574,MasterTutor!A:E,4,FALSE)</f>
        <v>#N/A</v>
      </c>
      <c r="C574" t="e">
        <f>VLOOKUP(A574,MasterTutor!A:E,3,FALSE)</f>
        <v>#N/A</v>
      </c>
      <c r="D574" t="e">
        <f>VLOOKUP(A574,MasterTutor!A:E,2,FALSE)</f>
        <v>#N/A</v>
      </c>
      <c r="E574" t="s">
        <v>349</v>
      </c>
      <c r="F574" s="2">
        <v>1.06</v>
      </c>
      <c r="G574" s="2">
        <v>1.1599999999999999</v>
      </c>
      <c r="H574" s="2">
        <v>1</v>
      </c>
      <c r="I574" s="2">
        <v>0.74360000000000004</v>
      </c>
      <c r="J574" s="2">
        <v>1</v>
      </c>
      <c r="K574">
        <v>3</v>
      </c>
    </row>
    <row r="575" spans="1:13" x14ac:dyDescent="0.2">
      <c r="A575" t="s">
        <v>195</v>
      </c>
      <c r="B575" t="e">
        <f>VLOOKUP(A575,MasterTutor!A:E,4,FALSE)</f>
        <v>#N/A</v>
      </c>
      <c r="C575" t="e">
        <f>VLOOKUP(A575,MasterTutor!A:E,3,FALSE)</f>
        <v>#N/A</v>
      </c>
      <c r="D575" t="e">
        <f>VLOOKUP(A575,MasterTutor!A:E,2,FALSE)</f>
        <v>#N/A</v>
      </c>
      <c r="E575" t="s">
        <v>349</v>
      </c>
      <c r="F575" s="2">
        <v>0.93</v>
      </c>
      <c r="G575" s="2">
        <v>1.4</v>
      </c>
      <c r="H575" s="2">
        <v>0.78639999999999999</v>
      </c>
      <c r="I575" s="2">
        <v>1</v>
      </c>
      <c r="J575" s="2">
        <v>0.875</v>
      </c>
      <c r="K575">
        <v>2</v>
      </c>
      <c r="L575" s="19">
        <v>1</v>
      </c>
      <c r="M575" s="21">
        <f>L575</f>
        <v>1</v>
      </c>
    </row>
    <row r="576" spans="1:13" x14ac:dyDescent="0.2">
      <c r="A576" t="s">
        <v>196</v>
      </c>
      <c r="B576" t="str">
        <f>VLOOKUP(A576,MasterTutor!A:E,4,FALSE)</f>
        <v>Advanced</v>
      </c>
      <c r="C576" t="str">
        <f>VLOOKUP(A576,MasterTutor!A:E,3,FALSE)</f>
        <v>Adjunct</v>
      </c>
      <c r="D576" t="str">
        <f>VLOOKUP(A576,MasterTutor!A:E,2,FALSE)</f>
        <v>Kristin Haase-Alvey</v>
      </c>
      <c r="E576" t="s">
        <v>349</v>
      </c>
      <c r="F576" s="2">
        <v>0.91</v>
      </c>
      <c r="G576" s="2">
        <v>1.08</v>
      </c>
      <c r="H576" s="2">
        <v>0.94499999999999995</v>
      </c>
      <c r="I576" s="2">
        <v>0.96970000000000001</v>
      </c>
      <c r="J576" s="2">
        <v>0.75</v>
      </c>
      <c r="K576">
        <v>2</v>
      </c>
      <c r="L576" s="19">
        <v>0</v>
      </c>
      <c r="M576" s="21">
        <f>L576</f>
        <v>0</v>
      </c>
    </row>
    <row r="577" spans="1:13" x14ac:dyDescent="0.2">
      <c r="A577" t="s">
        <v>197</v>
      </c>
      <c r="B577" t="str">
        <f>VLOOKUP(A577,MasterTutor!A:E,4,FALSE)</f>
        <v>Premium</v>
      </c>
      <c r="C577" t="str">
        <f>VLOOKUP(A577,MasterTutor!A:E,3,FALSE)</f>
        <v>Professional</v>
      </c>
      <c r="D577" t="str">
        <f>VLOOKUP(A577,MasterTutor!A:E,2,FALSE)</f>
        <v>Jessica Milner</v>
      </c>
      <c r="E577" t="s">
        <v>349</v>
      </c>
      <c r="F577" s="2">
        <v>1.0900000000000001</v>
      </c>
      <c r="G577" s="2">
        <v>1.52</v>
      </c>
      <c r="H577" s="2">
        <v>0.98240000000000005</v>
      </c>
      <c r="I577" s="2">
        <v>0.82889999999999997</v>
      </c>
      <c r="J577" s="2">
        <v>0.71399999999999997</v>
      </c>
      <c r="K577">
        <v>7</v>
      </c>
      <c r="L577" s="19">
        <v>1</v>
      </c>
      <c r="M577" s="21">
        <f>L577</f>
        <v>1</v>
      </c>
    </row>
    <row r="578" spans="1:13" x14ac:dyDescent="0.2">
      <c r="A578" t="s">
        <v>198</v>
      </c>
      <c r="B578" t="str">
        <f>VLOOKUP(A578,MasterTutor!A:E,4,FALSE)</f>
        <v>Distinguished</v>
      </c>
      <c r="C578" t="str">
        <f>VLOOKUP(A578,MasterTutor!A:E,3,FALSE)</f>
        <v>Adjunct</v>
      </c>
      <c r="D578" t="str">
        <f>VLOOKUP(A578,MasterTutor!A:E,2,FALSE)</f>
        <v>Ian Plamondon</v>
      </c>
      <c r="E578" t="s">
        <v>349</v>
      </c>
      <c r="F578" s="2">
        <v>1.22</v>
      </c>
      <c r="G578" s="2">
        <v>1.44</v>
      </c>
      <c r="H578" s="2">
        <v>1</v>
      </c>
      <c r="I578" s="2">
        <v>0.70450000000000002</v>
      </c>
      <c r="J578" s="2">
        <v>0.53800000000000003</v>
      </c>
      <c r="K578">
        <v>3</v>
      </c>
      <c r="L578" s="19">
        <v>1</v>
      </c>
      <c r="M578" s="21">
        <f>L578</f>
        <v>1</v>
      </c>
    </row>
    <row r="579" spans="1:13" x14ac:dyDescent="0.2">
      <c r="A579" t="s">
        <v>199</v>
      </c>
      <c r="B579" t="e">
        <f>VLOOKUP(A579,MasterTutor!A:E,4,FALSE)</f>
        <v>#N/A</v>
      </c>
      <c r="C579" t="e">
        <f>VLOOKUP(A579,MasterTutor!A:E,3,FALSE)</f>
        <v>#N/A</v>
      </c>
      <c r="D579" t="e">
        <f>VLOOKUP(A579,MasterTutor!A:E,2,FALSE)</f>
        <v>#N/A</v>
      </c>
      <c r="E579" t="s">
        <v>349</v>
      </c>
      <c r="F579" s="2">
        <v>0.95</v>
      </c>
      <c r="G579" s="2">
        <v>1.1499999999999999</v>
      </c>
      <c r="H579" s="2">
        <v>1</v>
      </c>
      <c r="I579" s="2">
        <v>0.97850000000000004</v>
      </c>
      <c r="J579" s="2">
        <v>0.53100000000000003</v>
      </c>
      <c r="K579">
        <v>5</v>
      </c>
      <c r="L579" s="19">
        <v>1</v>
      </c>
      <c r="M579" s="21">
        <f>L579</f>
        <v>1</v>
      </c>
    </row>
    <row r="580" spans="1:13" x14ac:dyDescent="0.2">
      <c r="A580" t="s">
        <v>200</v>
      </c>
      <c r="B580" t="e">
        <f>VLOOKUP(A580,MasterTutor!A:E,4,FALSE)</f>
        <v>#N/A</v>
      </c>
      <c r="C580" t="e">
        <f>VLOOKUP(A580,MasterTutor!A:E,3,FALSE)</f>
        <v>#N/A</v>
      </c>
      <c r="D580" t="e">
        <f>VLOOKUP(A580,MasterTutor!A:E,2,FALSE)</f>
        <v>#N/A</v>
      </c>
      <c r="E580" t="s">
        <v>349</v>
      </c>
      <c r="F580" s="2">
        <v>1.04</v>
      </c>
      <c r="G580" s="2">
        <v>1.05</v>
      </c>
      <c r="H580" s="2">
        <v>0.90159999999999996</v>
      </c>
      <c r="I580" s="2">
        <v>1</v>
      </c>
      <c r="J580" s="2">
        <v>0.378</v>
      </c>
      <c r="K580">
        <v>11</v>
      </c>
      <c r="L580" s="19" t="s">
        <v>330</v>
      </c>
      <c r="M580" s="21">
        <v>0.67</v>
      </c>
    </row>
    <row r="581" spans="1:13" x14ac:dyDescent="0.2">
      <c r="A581" t="s">
        <v>201</v>
      </c>
      <c r="B581" t="str">
        <f>VLOOKUP(A581,MasterTutor!A:E,4,FALSE)</f>
        <v>Distinguished</v>
      </c>
      <c r="C581" t="str">
        <f>VLOOKUP(A581,MasterTutor!A:E,3,FALSE)</f>
        <v>Professional</v>
      </c>
      <c r="D581" t="str">
        <f>VLOOKUP(A581,MasterTutor!A:E,2,FALSE)</f>
        <v>Ian Plamondon</v>
      </c>
      <c r="E581" t="s">
        <v>349</v>
      </c>
      <c r="F581" s="2">
        <v>0.97</v>
      </c>
      <c r="G581" s="2">
        <v>1</v>
      </c>
      <c r="H581" s="2">
        <v>1</v>
      </c>
      <c r="I581" s="2">
        <v>0.92310000000000003</v>
      </c>
      <c r="J581" s="2">
        <v>0.8</v>
      </c>
      <c r="K581">
        <v>4</v>
      </c>
    </row>
    <row r="582" spans="1:13" x14ac:dyDescent="0.2">
      <c r="A582" t="s">
        <v>202</v>
      </c>
      <c r="B582" t="str">
        <f>VLOOKUP(A582,MasterTutor!A:E,4,FALSE)</f>
        <v>Advanced</v>
      </c>
      <c r="C582" t="str">
        <f>VLOOKUP(A582,MasterTutor!A:E,3,FALSE)</f>
        <v>Professional</v>
      </c>
      <c r="D582" t="str">
        <f>VLOOKUP(A582,MasterTutor!A:E,2,FALSE)</f>
        <v>Annelies de Groot</v>
      </c>
      <c r="E582" t="s">
        <v>349</v>
      </c>
      <c r="F582" s="2">
        <v>1.28</v>
      </c>
      <c r="G582" s="2">
        <v>1.3</v>
      </c>
      <c r="H582" s="2">
        <v>0.98209999999999997</v>
      </c>
      <c r="I582" s="2">
        <v>1</v>
      </c>
      <c r="J582" s="2">
        <v>0.61499999999999999</v>
      </c>
      <c r="K582">
        <v>9</v>
      </c>
      <c r="L582" s="19" t="s">
        <v>344</v>
      </c>
      <c r="M582" s="21">
        <v>0.83</v>
      </c>
    </row>
    <row r="583" spans="1:13" x14ac:dyDescent="0.2">
      <c r="A583" t="s">
        <v>203</v>
      </c>
      <c r="B583" t="str">
        <f>VLOOKUP(A583,MasterTutor!A:E,4,FALSE)</f>
        <v>Premium</v>
      </c>
      <c r="C583" t="str">
        <f>VLOOKUP(A583,MasterTutor!A:E,3,FALSE)</f>
        <v>Professional</v>
      </c>
      <c r="D583" t="str">
        <f>VLOOKUP(A583,MasterTutor!A:E,2,FALSE)</f>
        <v>Ian Plamondon</v>
      </c>
      <c r="E583" t="s">
        <v>349</v>
      </c>
      <c r="F583" s="2">
        <v>1.08</v>
      </c>
      <c r="G583" s="2">
        <v>1.05</v>
      </c>
      <c r="H583" s="2">
        <v>1</v>
      </c>
      <c r="I583" s="2">
        <v>1</v>
      </c>
      <c r="J583" s="2">
        <v>0.75</v>
      </c>
      <c r="K583">
        <v>8</v>
      </c>
      <c r="L583" s="19" t="s">
        <v>337</v>
      </c>
      <c r="M583" s="21">
        <f>1/3</f>
        <v>0.33333333333333331</v>
      </c>
    </row>
    <row r="584" spans="1:13" x14ac:dyDescent="0.2">
      <c r="A584" t="s">
        <v>204</v>
      </c>
      <c r="B584" t="str">
        <f>VLOOKUP(A584,MasterTutor!A:E,4,FALSE)</f>
        <v>Advanced</v>
      </c>
      <c r="C584" t="str">
        <f>VLOOKUP(A584,MasterTutor!A:E,3,FALSE)</f>
        <v>Professional</v>
      </c>
      <c r="D584" t="str">
        <f>VLOOKUP(A584,MasterTutor!A:E,2,FALSE)</f>
        <v>Ela Cross</v>
      </c>
      <c r="E584" t="s">
        <v>349</v>
      </c>
      <c r="F584" s="2">
        <v>1.89</v>
      </c>
      <c r="G584" s="2">
        <v>1.56</v>
      </c>
      <c r="H584" s="2">
        <v>0.98480000000000001</v>
      </c>
      <c r="I584" s="2">
        <v>0.53949999999999998</v>
      </c>
      <c r="J584" s="2">
        <v>0.46200000000000002</v>
      </c>
      <c r="K584">
        <v>6</v>
      </c>
      <c r="L584" s="19">
        <v>0</v>
      </c>
      <c r="M584" s="21">
        <f>L584</f>
        <v>0</v>
      </c>
    </row>
    <row r="585" spans="1:13" x14ac:dyDescent="0.2">
      <c r="A585" t="s">
        <v>205</v>
      </c>
      <c r="B585" t="e">
        <f>VLOOKUP(A585,MasterTutor!A:E,4,FALSE)</f>
        <v>#N/A</v>
      </c>
      <c r="C585" t="e">
        <f>VLOOKUP(A585,MasterTutor!A:E,3,FALSE)</f>
        <v>#N/A</v>
      </c>
      <c r="D585" t="e">
        <f>VLOOKUP(A585,MasterTutor!A:E,2,FALSE)</f>
        <v>#N/A</v>
      </c>
      <c r="E585" t="s">
        <v>349</v>
      </c>
      <c r="F585" s="2">
        <v>0.59</v>
      </c>
      <c r="G585" s="2">
        <v>0.95</v>
      </c>
      <c r="H585" s="2">
        <v>0.96430000000000005</v>
      </c>
      <c r="I585" s="2">
        <v>0.95240000000000002</v>
      </c>
      <c r="J585" s="2">
        <v>0</v>
      </c>
      <c r="K585">
        <v>1</v>
      </c>
      <c r="L585" s="19">
        <v>0</v>
      </c>
      <c r="M585" s="21">
        <f>L585</f>
        <v>0</v>
      </c>
    </row>
    <row r="586" spans="1:13" x14ac:dyDescent="0.2">
      <c r="A586" t="s">
        <v>206</v>
      </c>
      <c r="B586" t="e">
        <f>VLOOKUP(A586,MasterTutor!A:E,4,FALSE)</f>
        <v>#N/A</v>
      </c>
      <c r="C586" t="e">
        <f>VLOOKUP(A586,MasterTutor!A:E,3,FALSE)</f>
        <v>#N/A</v>
      </c>
      <c r="D586" t="e">
        <f>VLOOKUP(A586,MasterTutor!A:E,2,FALSE)</f>
        <v>#N/A</v>
      </c>
      <c r="E586" t="s">
        <v>349</v>
      </c>
      <c r="F586" s="2">
        <v>0.5</v>
      </c>
      <c r="G586" s="2">
        <v>0.68</v>
      </c>
      <c r="H586" s="2">
        <v>1</v>
      </c>
      <c r="I586" s="2">
        <v>0.40479999999999999</v>
      </c>
      <c r="J586" s="2">
        <v>0.5</v>
      </c>
      <c r="K586" t="e">
        <v>#N/A</v>
      </c>
      <c r="L586" s="19" t="s">
        <v>337</v>
      </c>
      <c r="M586" s="21">
        <f>1/3</f>
        <v>0.33333333333333331</v>
      </c>
    </row>
    <row r="587" spans="1:13" x14ac:dyDescent="0.2">
      <c r="A587" t="s">
        <v>207</v>
      </c>
      <c r="B587" t="str">
        <f>VLOOKUP(A587,MasterTutor!A:E,4,FALSE)</f>
        <v>Advanced</v>
      </c>
      <c r="C587" t="str">
        <f>VLOOKUP(A587,MasterTutor!A:E,3,FALSE)</f>
        <v>Adjunct</v>
      </c>
      <c r="D587" t="str">
        <f>VLOOKUP(A587,MasterTutor!A:E,2,FALSE)</f>
        <v>Ela Cross</v>
      </c>
      <c r="E587" t="s">
        <v>349</v>
      </c>
      <c r="F587" s="2">
        <v>0.98</v>
      </c>
      <c r="G587" s="2">
        <v>1.1299999999999999</v>
      </c>
      <c r="H587" s="2">
        <v>0.9919</v>
      </c>
      <c r="I587" s="2">
        <v>0.9375</v>
      </c>
      <c r="J587" s="2">
        <v>0.75800000000000001</v>
      </c>
      <c r="K587">
        <v>5</v>
      </c>
    </row>
    <row r="588" spans="1:13" x14ac:dyDescent="0.2">
      <c r="A588" t="s">
        <v>208</v>
      </c>
      <c r="B588" t="str">
        <f>VLOOKUP(A588,MasterTutor!A:E,4,FALSE)</f>
        <v>Distinguished</v>
      </c>
      <c r="C588" t="str">
        <f>VLOOKUP(A588,MasterTutor!A:E,3,FALSE)</f>
        <v>Adjunct</v>
      </c>
      <c r="D588" t="str">
        <f>VLOOKUP(A588,MasterTutor!A:E,2,FALSE)</f>
        <v>Annelies de Groot</v>
      </c>
      <c r="E588" t="s">
        <v>349</v>
      </c>
      <c r="F588" s="2">
        <v>1.22</v>
      </c>
      <c r="G588" s="2">
        <v>1.37</v>
      </c>
      <c r="H588" s="2">
        <v>0.98440000000000005</v>
      </c>
      <c r="I588" s="2">
        <v>0.95</v>
      </c>
      <c r="J588" s="2">
        <v>0.70599999999999996</v>
      </c>
      <c r="K588">
        <v>7</v>
      </c>
      <c r="L588" s="19">
        <v>1</v>
      </c>
      <c r="M588" s="21">
        <f>L588</f>
        <v>1</v>
      </c>
    </row>
    <row r="589" spans="1:13" x14ac:dyDescent="0.2">
      <c r="A589" t="s">
        <v>209</v>
      </c>
      <c r="B589" t="str">
        <f>VLOOKUP(A589,MasterTutor!A:E,4,FALSE)</f>
        <v>Premium</v>
      </c>
      <c r="C589" t="str">
        <f>VLOOKUP(A589,MasterTutor!A:E,3,FALSE)</f>
        <v>Professional</v>
      </c>
      <c r="D589" t="str">
        <f>VLOOKUP(A589,MasterTutor!A:E,2,FALSE)</f>
        <v>Jessica Milner</v>
      </c>
      <c r="E589" t="s">
        <v>349</v>
      </c>
      <c r="F589" s="2">
        <v>1.1499999999999999</v>
      </c>
      <c r="G589" s="2">
        <v>1.22</v>
      </c>
      <c r="H589" s="2">
        <v>1</v>
      </c>
      <c r="I589" s="2">
        <v>1</v>
      </c>
      <c r="J589" s="2">
        <v>0.74199999999999999</v>
      </c>
      <c r="K589">
        <v>4</v>
      </c>
      <c r="L589" s="19" t="s">
        <v>337</v>
      </c>
      <c r="M589" s="21">
        <f>1/3</f>
        <v>0.33333333333333331</v>
      </c>
    </row>
    <row r="590" spans="1:13" x14ac:dyDescent="0.2">
      <c r="A590" t="s">
        <v>210</v>
      </c>
      <c r="B590" t="str">
        <f>VLOOKUP(A590,MasterTutor!A:E,4,FALSE)</f>
        <v>Advanced</v>
      </c>
      <c r="C590" t="str">
        <f>VLOOKUP(A590,MasterTutor!A:E,3,FALSE)</f>
        <v>Professional</v>
      </c>
      <c r="D590" t="str">
        <f>VLOOKUP(A590,MasterTutor!A:E,2,FALSE)</f>
        <v>Kristin Haase-Alvey</v>
      </c>
      <c r="E590" t="s">
        <v>349</v>
      </c>
      <c r="F590" s="2">
        <v>0.91</v>
      </c>
      <c r="G590" s="2">
        <v>1</v>
      </c>
      <c r="H590" s="2">
        <v>1</v>
      </c>
      <c r="I590" s="2">
        <v>1</v>
      </c>
      <c r="J590" s="2">
        <v>0.55600000000000005</v>
      </c>
      <c r="K590">
        <v>7</v>
      </c>
      <c r="L590" s="19" t="s">
        <v>332</v>
      </c>
      <c r="M590" s="21">
        <v>0.71</v>
      </c>
    </row>
    <row r="591" spans="1:13" x14ac:dyDescent="0.2">
      <c r="A591" t="s">
        <v>211</v>
      </c>
      <c r="B591" t="str">
        <f>VLOOKUP(A591,MasterTutor!A:E,4,FALSE)</f>
        <v>Advanced</v>
      </c>
      <c r="C591" t="str">
        <f>VLOOKUP(A591,MasterTutor!A:E,3,FALSE)</f>
        <v>Professional</v>
      </c>
      <c r="D591" t="str">
        <f>VLOOKUP(A591,MasterTutor!A:E,2,FALSE)</f>
        <v>Kristin Haase-Alvey</v>
      </c>
      <c r="E591" t="s">
        <v>349</v>
      </c>
      <c r="F591" s="2">
        <v>0.9</v>
      </c>
      <c r="G591" s="2">
        <v>1.0900000000000001</v>
      </c>
      <c r="H591" s="2">
        <v>1</v>
      </c>
      <c r="I591" s="2">
        <v>1</v>
      </c>
      <c r="J591" s="2">
        <v>0.76900000000000002</v>
      </c>
      <c r="K591">
        <v>1</v>
      </c>
      <c r="L591" s="19" t="s">
        <v>338</v>
      </c>
      <c r="M591" s="21">
        <v>0.8</v>
      </c>
    </row>
    <row r="592" spans="1:13" x14ac:dyDescent="0.2">
      <c r="A592" t="s">
        <v>12</v>
      </c>
      <c r="B592" t="str">
        <f>VLOOKUP(A592,MasterTutor!A:E,4,FALSE)</f>
        <v>Advanced</v>
      </c>
      <c r="C592" t="str">
        <f>VLOOKUP(A592,MasterTutor!A:E,3,FALSE)</f>
        <v>Adjunct</v>
      </c>
      <c r="D592" t="str">
        <f>VLOOKUP(A592,MasterTutor!A:E,2,FALSE)</f>
        <v>Ian Plamondon</v>
      </c>
      <c r="E592" t="s">
        <v>358</v>
      </c>
      <c r="F592" s="2">
        <v>0.99</v>
      </c>
      <c r="G592" s="2">
        <v>0.92</v>
      </c>
      <c r="H592" s="2">
        <v>0.99419999999999997</v>
      </c>
      <c r="I592" s="2">
        <v>1</v>
      </c>
      <c r="J592" s="2">
        <v>0.58799999999999997</v>
      </c>
      <c r="K592">
        <v>8</v>
      </c>
      <c r="L592" s="19" t="s">
        <v>337</v>
      </c>
      <c r="M592" s="21">
        <f>1/3</f>
        <v>0.33333333333333331</v>
      </c>
    </row>
    <row r="593" spans="1:13" x14ac:dyDescent="0.2">
      <c r="A593" t="s">
        <v>14</v>
      </c>
      <c r="B593" t="e">
        <f>VLOOKUP(A593,MasterTutor!A:E,4,FALSE)</f>
        <v>#N/A</v>
      </c>
      <c r="C593" t="e">
        <f>VLOOKUP(A593,MasterTutor!A:E,3,FALSE)</f>
        <v>#N/A</v>
      </c>
      <c r="D593" t="e">
        <f>VLOOKUP(A593,MasterTutor!A:E,2,FALSE)</f>
        <v>#N/A</v>
      </c>
      <c r="E593" t="s">
        <v>358</v>
      </c>
      <c r="F593" s="2">
        <v>1.06</v>
      </c>
      <c r="G593" s="2">
        <v>1.1599999999999999</v>
      </c>
      <c r="H593" s="2">
        <v>0.88029999999999997</v>
      </c>
      <c r="I593" s="2">
        <v>0.96970000000000001</v>
      </c>
      <c r="J593" s="2">
        <v>0.72699999999999998</v>
      </c>
      <c r="K593" t="e">
        <v>#N/A</v>
      </c>
      <c r="L593" s="19" t="s">
        <v>338</v>
      </c>
      <c r="M593" s="21">
        <v>0.8</v>
      </c>
    </row>
    <row r="594" spans="1:13" x14ac:dyDescent="0.2">
      <c r="A594" t="s">
        <v>15</v>
      </c>
      <c r="B594" t="str">
        <f>VLOOKUP(A594,MasterTutor!A:E,4,FALSE)</f>
        <v>Advanced</v>
      </c>
      <c r="C594" t="str">
        <f>VLOOKUP(A594,MasterTutor!A:E,3,FALSE)</f>
        <v>Professional</v>
      </c>
      <c r="D594" t="str">
        <f>VLOOKUP(A594,MasterTutor!A:E,2,FALSE)</f>
        <v>Ian Plamondon</v>
      </c>
      <c r="E594" t="s">
        <v>358</v>
      </c>
      <c r="F594" s="2">
        <v>0.86</v>
      </c>
      <c r="G594" s="2">
        <v>0.99</v>
      </c>
      <c r="H594" s="2">
        <v>0.99170000000000003</v>
      </c>
      <c r="I594" s="2">
        <v>0.96630000000000005</v>
      </c>
      <c r="J594" s="2">
        <v>0.41199999999999998</v>
      </c>
      <c r="K594">
        <v>12</v>
      </c>
      <c r="L594" s="19">
        <v>0</v>
      </c>
      <c r="M594" s="21">
        <f>L594</f>
        <v>0</v>
      </c>
    </row>
    <row r="595" spans="1:13" x14ac:dyDescent="0.2">
      <c r="A595" t="s">
        <v>16</v>
      </c>
      <c r="B595" t="str">
        <f>VLOOKUP(A595,MasterTutor!A:E,4,FALSE)</f>
        <v>Premium</v>
      </c>
      <c r="C595" t="str">
        <f>VLOOKUP(A595,MasterTutor!A:E,3,FALSE)</f>
        <v>Adjunct</v>
      </c>
      <c r="D595" t="str">
        <f>VLOOKUP(A595,MasterTutor!A:E,2,FALSE)</f>
        <v>Ela Cross</v>
      </c>
      <c r="E595" t="s">
        <v>358</v>
      </c>
      <c r="F595" s="2">
        <v>0.9</v>
      </c>
      <c r="G595" s="2">
        <v>1.04</v>
      </c>
      <c r="H595" s="2">
        <v>1</v>
      </c>
      <c r="I595" s="2">
        <v>0.72729999999999995</v>
      </c>
      <c r="J595" s="2">
        <v>0.4</v>
      </c>
      <c r="K595">
        <v>2</v>
      </c>
      <c r="M595" s="21"/>
    </row>
    <row r="596" spans="1:13" x14ac:dyDescent="0.2">
      <c r="A596" t="s">
        <v>17</v>
      </c>
      <c r="B596" t="str">
        <f>VLOOKUP(A596,MasterTutor!A:E,4,FALSE)</f>
        <v>Premium</v>
      </c>
      <c r="C596" t="str">
        <f>VLOOKUP(A596,MasterTutor!A:E,3,FALSE)</f>
        <v>Professional</v>
      </c>
      <c r="D596" t="str">
        <f>VLOOKUP(A596,MasterTutor!A:E,2,FALSE)</f>
        <v>Ian Plamondon</v>
      </c>
      <c r="E596" t="s">
        <v>358</v>
      </c>
      <c r="F596" s="2">
        <v>1.1000000000000001</v>
      </c>
      <c r="G596" s="2">
        <v>1.08</v>
      </c>
      <c r="H596" s="2">
        <v>0.98299999999999998</v>
      </c>
      <c r="I596" s="2">
        <v>1</v>
      </c>
      <c r="J596" s="2">
        <v>0.72</v>
      </c>
      <c r="K596">
        <v>5</v>
      </c>
      <c r="L596" s="19" t="s">
        <v>344</v>
      </c>
      <c r="M596" s="21">
        <v>0.83</v>
      </c>
    </row>
    <row r="597" spans="1:13" x14ac:dyDescent="0.2">
      <c r="A597" t="s">
        <v>217</v>
      </c>
      <c r="B597" t="str">
        <f>VLOOKUP(A597,MasterTutor!A:E,4,FALSE)</f>
        <v>Advanced</v>
      </c>
      <c r="C597" t="str">
        <f>VLOOKUP(A597,MasterTutor!A:E,3,FALSE)</f>
        <v>Adjunct</v>
      </c>
      <c r="D597" t="str">
        <f>VLOOKUP(A597,MasterTutor!A:E,2,FALSE)</f>
        <v>Kristin Haase-Alvey</v>
      </c>
      <c r="E597" t="s">
        <v>358</v>
      </c>
      <c r="F597" s="2">
        <v>0</v>
      </c>
      <c r="G597" s="2">
        <v>0.36</v>
      </c>
      <c r="H597" s="2">
        <v>0</v>
      </c>
      <c r="I597" s="2">
        <v>0</v>
      </c>
      <c r="J597" s="2">
        <v>1</v>
      </c>
      <c r="K597" t="e">
        <v>#N/A</v>
      </c>
      <c r="M597" s="21"/>
    </row>
    <row r="598" spans="1:13" x14ac:dyDescent="0.2">
      <c r="A598" t="s">
        <v>18</v>
      </c>
      <c r="B598" t="str">
        <f>VLOOKUP(A598,MasterTutor!A:E,4,FALSE)</f>
        <v>Distinguished</v>
      </c>
      <c r="C598" t="str">
        <f>VLOOKUP(A598,MasterTutor!A:E,3,FALSE)</f>
        <v>Professional</v>
      </c>
      <c r="D598" t="str">
        <f>VLOOKUP(A598,MasterTutor!A:E,2,FALSE)</f>
        <v>Ian Plamondon</v>
      </c>
      <c r="E598" t="s">
        <v>358</v>
      </c>
      <c r="F598" s="2">
        <v>0.81</v>
      </c>
      <c r="G598" s="2">
        <v>1.02</v>
      </c>
      <c r="H598" s="2">
        <v>1</v>
      </c>
      <c r="I598" s="2">
        <v>0.95709999999999995</v>
      </c>
      <c r="J598" s="2">
        <v>1</v>
      </c>
      <c r="K598">
        <v>4</v>
      </c>
      <c r="M598" s="21"/>
    </row>
    <row r="599" spans="1:13" x14ac:dyDescent="0.2">
      <c r="A599" t="s">
        <v>19</v>
      </c>
      <c r="B599" t="str">
        <f>VLOOKUP(A599,MasterTutor!A:E,4,FALSE)</f>
        <v>Premium</v>
      </c>
      <c r="C599" t="str">
        <f>VLOOKUP(A599,MasterTutor!A:E,3,FALSE)</f>
        <v>Adjunct</v>
      </c>
      <c r="D599" t="str">
        <f>VLOOKUP(A599,MasterTutor!A:E,2,FALSE)</f>
        <v>Geoff St. Marie</v>
      </c>
      <c r="E599" t="s">
        <v>358</v>
      </c>
      <c r="F599" s="2">
        <v>1.47</v>
      </c>
      <c r="G599" s="2">
        <v>1.22</v>
      </c>
      <c r="H599" s="2">
        <v>1</v>
      </c>
      <c r="I599" s="2">
        <v>0.89739999999999998</v>
      </c>
      <c r="J599" s="2">
        <v>1</v>
      </c>
      <c r="K599">
        <v>3</v>
      </c>
      <c r="M599" s="21"/>
    </row>
    <row r="600" spans="1:13" x14ac:dyDescent="0.2">
      <c r="A600" t="s">
        <v>20</v>
      </c>
      <c r="B600" t="e">
        <f>VLOOKUP(A600,MasterTutor!A:E,4,FALSE)</f>
        <v>#N/A</v>
      </c>
      <c r="C600" t="e">
        <f>VLOOKUP(A600,MasterTutor!A:E,3,FALSE)</f>
        <v>#N/A</v>
      </c>
      <c r="D600" t="e">
        <f>VLOOKUP(A600,MasterTutor!A:E,2,FALSE)</f>
        <v>#N/A</v>
      </c>
      <c r="E600" t="s">
        <v>358</v>
      </c>
      <c r="F600" s="2">
        <v>1.4</v>
      </c>
      <c r="G600" s="2">
        <v>1.25</v>
      </c>
      <c r="H600" s="2">
        <v>0.97560000000000002</v>
      </c>
      <c r="I600" s="2">
        <v>0.96360000000000001</v>
      </c>
      <c r="J600" s="2">
        <v>0.94699999999999995</v>
      </c>
      <c r="K600">
        <v>5</v>
      </c>
      <c r="L600" s="19">
        <v>1</v>
      </c>
      <c r="M600" s="21">
        <f>L600</f>
        <v>1</v>
      </c>
    </row>
    <row r="601" spans="1:13" x14ac:dyDescent="0.2">
      <c r="A601" t="s">
        <v>21</v>
      </c>
      <c r="B601" t="str">
        <f>VLOOKUP(A601,MasterTutor!A:E,4,FALSE)</f>
        <v>Distinguished</v>
      </c>
      <c r="C601" t="str">
        <f>VLOOKUP(A601,MasterTutor!A:E,3,FALSE)</f>
        <v>Adjunct</v>
      </c>
      <c r="D601" t="str">
        <f>VLOOKUP(A601,MasterTutor!A:E,2,FALSE)</f>
        <v>Kristin Haase-Alvey</v>
      </c>
      <c r="E601" t="s">
        <v>358</v>
      </c>
      <c r="F601" s="2">
        <v>0.59</v>
      </c>
      <c r="G601" s="2">
        <v>0.94</v>
      </c>
      <c r="H601" s="2">
        <v>1</v>
      </c>
      <c r="I601" s="2">
        <v>1</v>
      </c>
      <c r="J601" s="2">
        <v>0.91700000000000004</v>
      </c>
      <c r="K601">
        <v>1</v>
      </c>
      <c r="M601" s="21"/>
    </row>
    <row r="602" spans="1:13" x14ac:dyDescent="0.2">
      <c r="A602" t="s">
        <v>22</v>
      </c>
      <c r="B602" t="str">
        <f>VLOOKUP(A602,MasterTutor!A:E,4,FALSE)</f>
        <v>Advanced</v>
      </c>
      <c r="C602" t="str">
        <f>VLOOKUP(A602,MasterTutor!A:E,3,FALSE)</f>
        <v>Professional</v>
      </c>
      <c r="D602" t="str">
        <f>VLOOKUP(A602,MasterTutor!A:E,2,FALSE)</f>
        <v>Annelies de Groot</v>
      </c>
      <c r="E602" t="s">
        <v>358</v>
      </c>
      <c r="F602" s="2">
        <v>0.72</v>
      </c>
      <c r="G602" s="2">
        <v>0.91</v>
      </c>
      <c r="H602" s="2">
        <v>0.81540000000000001</v>
      </c>
      <c r="I602" s="2">
        <v>0.94640000000000002</v>
      </c>
      <c r="J602" s="2">
        <v>0.88900000000000001</v>
      </c>
      <c r="K602">
        <v>1</v>
      </c>
      <c r="L602" s="19" t="s">
        <v>336</v>
      </c>
      <c r="M602" s="21">
        <v>0.6</v>
      </c>
    </row>
    <row r="603" spans="1:13" x14ac:dyDescent="0.2">
      <c r="A603" t="s">
        <v>23</v>
      </c>
      <c r="B603" t="str">
        <f>VLOOKUP(A603,MasterTutor!A:E,4,FALSE)</f>
        <v>Premium</v>
      </c>
      <c r="C603" t="str">
        <f>VLOOKUP(A603,MasterTutor!A:E,3,FALSE)</f>
        <v>Professional</v>
      </c>
      <c r="D603" t="str">
        <f>VLOOKUP(A603,MasterTutor!A:E,2,FALSE)</f>
        <v>Jessica Milner</v>
      </c>
      <c r="E603" t="s">
        <v>358</v>
      </c>
      <c r="F603" s="2">
        <v>0.61</v>
      </c>
      <c r="G603" s="2">
        <v>1.22</v>
      </c>
      <c r="H603" s="2">
        <v>0.98440000000000005</v>
      </c>
      <c r="I603" s="2">
        <v>0.77549999999999997</v>
      </c>
      <c r="J603" s="2">
        <v>0.55000000000000004</v>
      </c>
      <c r="K603">
        <v>3</v>
      </c>
      <c r="L603" s="19">
        <v>0</v>
      </c>
      <c r="M603" s="21">
        <f>L603</f>
        <v>0</v>
      </c>
    </row>
    <row r="604" spans="1:13" x14ac:dyDescent="0.2">
      <c r="A604" t="s">
        <v>24</v>
      </c>
      <c r="B604" t="str">
        <f>VLOOKUP(A604,MasterTutor!A:E,4,FALSE)</f>
        <v>Distinguished</v>
      </c>
      <c r="C604" t="str">
        <f>VLOOKUP(A604,MasterTutor!A:E,3,FALSE)</f>
        <v>Professional</v>
      </c>
      <c r="D604" t="str">
        <f>VLOOKUP(A604,MasterTutor!A:E,2,FALSE)</f>
        <v>Kristin Haase-Alvey</v>
      </c>
      <c r="E604" t="s">
        <v>358</v>
      </c>
      <c r="F604" s="2">
        <v>0.85</v>
      </c>
      <c r="G604" s="2">
        <v>0.93</v>
      </c>
      <c r="H604" s="2">
        <v>1</v>
      </c>
      <c r="I604" s="2">
        <v>0.8659</v>
      </c>
      <c r="J604" s="2">
        <v>0.89300000000000002</v>
      </c>
      <c r="K604">
        <v>10</v>
      </c>
      <c r="L604" s="19" t="s">
        <v>331</v>
      </c>
      <c r="M604" s="21">
        <v>0.5</v>
      </c>
    </row>
    <row r="605" spans="1:13" x14ac:dyDescent="0.2">
      <c r="A605" t="s">
        <v>25</v>
      </c>
      <c r="B605" t="e">
        <f>VLOOKUP(A605,MasterTutor!A:E,4,FALSE)</f>
        <v>#N/A</v>
      </c>
      <c r="C605" t="e">
        <f>VLOOKUP(A605,MasterTutor!A:E,3,FALSE)</f>
        <v>#N/A</v>
      </c>
      <c r="D605" t="e">
        <f>VLOOKUP(A605,MasterTutor!A:E,2,FALSE)</f>
        <v>#N/A</v>
      </c>
      <c r="E605" t="s">
        <v>358</v>
      </c>
      <c r="F605" s="2">
        <v>0.83</v>
      </c>
      <c r="G605" s="2">
        <v>0.82</v>
      </c>
      <c r="H605" s="2">
        <v>0.97330000000000005</v>
      </c>
      <c r="I605" s="2">
        <v>0.30230000000000001</v>
      </c>
      <c r="J605" s="2">
        <v>0.23499999999999999</v>
      </c>
      <c r="K605">
        <v>4</v>
      </c>
      <c r="L605" s="19">
        <v>0</v>
      </c>
      <c r="M605" s="21">
        <f>L605</f>
        <v>0</v>
      </c>
    </row>
    <row r="606" spans="1:13" x14ac:dyDescent="0.2">
      <c r="A606" t="s">
        <v>26</v>
      </c>
      <c r="B606" t="str">
        <f>VLOOKUP(A606,MasterTutor!A:E,4,FALSE)</f>
        <v>Distinguished</v>
      </c>
      <c r="C606" t="str">
        <f>VLOOKUP(A606,MasterTutor!A:E,3,FALSE)</f>
        <v>Professional</v>
      </c>
      <c r="D606" t="str">
        <f>VLOOKUP(A606,MasterTutor!A:E,2,FALSE)</f>
        <v>Ian Plamondon</v>
      </c>
      <c r="E606" t="s">
        <v>358</v>
      </c>
      <c r="F606" s="2">
        <v>1.06</v>
      </c>
      <c r="G606" s="2">
        <v>1.28</v>
      </c>
      <c r="H606" s="2">
        <v>0.97309999999999997</v>
      </c>
      <c r="I606" s="2">
        <v>0.93899999999999995</v>
      </c>
      <c r="J606" s="2">
        <v>0.69199999999999995</v>
      </c>
      <c r="K606">
        <v>3</v>
      </c>
      <c r="L606" s="19" t="s">
        <v>331</v>
      </c>
      <c r="M606" s="21">
        <v>0.5</v>
      </c>
    </row>
    <row r="607" spans="1:13" x14ac:dyDescent="0.2">
      <c r="A607" t="s">
        <v>27</v>
      </c>
      <c r="B607" t="str">
        <f>VLOOKUP(A607,MasterTutor!A:E,4,FALSE)</f>
        <v>Premium</v>
      </c>
      <c r="C607" t="str">
        <f>VLOOKUP(A607,MasterTutor!A:E,3,FALSE)</f>
        <v>Professional</v>
      </c>
      <c r="D607" t="str">
        <f>VLOOKUP(A607,MasterTutor!A:E,2,FALSE)</f>
        <v>Jessica Milner</v>
      </c>
      <c r="E607" t="s">
        <v>358</v>
      </c>
      <c r="F607" s="2">
        <v>0.74</v>
      </c>
      <c r="G607" s="2">
        <v>1.08</v>
      </c>
      <c r="H607" s="2">
        <v>0.94030000000000002</v>
      </c>
      <c r="I607" s="2">
        <v>0.98150000000000004</v>
      </c>
      <c r="J607" s="2">
        <v>0.82399999999999995</v>
      </c>
      <c r="K607">
        <v>1</v>
      </c>
      <c r="L607" s="19">
        <v>1</v>
      </c>
      <c r="M607" s="21">
        <f>L607</f>
        <v>1</v>
      </c>
    </row>
    <row r="608" spans="1:13" x14ac:dyDescent="0.2">
      <c r="A608" t="s">
        <v>28</v>
      </c>
      <c r="B608" t="e">
        <f>VLOOKUP(A608,MasterTutor!A:E,4,FALSE)</f>
        <v>#N/A</v>
      </c>
      <c r="C608" t="e">
        <f>VLOOKUP(A608,MasterTutor!A:E,3,FALSE)</f>
        <v>#N/A</v>
      </c>
      <c r="D608" t="e">
        <f>VLOOKUP(A608,MasterTutor!A:E,2,FALSE)</f>
        <v>#N/A</v>
      </c>
      <c r="E608" t="s">
        <v>358</v>
      </c>
      <c r="F608" s="2">
        <v>1.18</v>
      </c>
      <c r="G608" s="2">
        <v>0.98</v>
      </c>
      <c r="H608" s="2">
        <v>1</v>
      </c>
      <c r="I608" s="2">
        <v>0.9899</v>
      </c>
      <c r="J608" s="2">
        <v>0.84</v>
      </c>
      <c r="K608">
        <v>7</v>
      </c>
      <c r="L608" s="19">
        <v>1</v>
      </c>
      <c r="M608" s="21">
        <f>L608</f>
        <v>1</v>
      </c>
    </row>
    <row r="609" spans="1:13" x14ac:dyDescent="0.2">
      <c r="A609" t="s">
        <v>29</v>
      </c>
      <c r="B609" t="str">
        <f>VLOOKUP(A609,MasterTutor!A:E,4,FALSE)</f>
        <v>Distinguished</v>
      </c>
      <c r="C609" t="str">
        <f>VLOOKUP(A609,MasterTutor!A:E,3,FALSE)</f>
        <v>Adjunct</v>
      </c>
      <c r="D609" t="str">
        <f>VLOOKUP(A609,MasterTutor!A:E,2,FALSE)</f>
        <v>Kristin Haase-Alvey</v>
      </c>
      <c r="E609" t="s">
        <v>358</v>
      </c>
      <c r="F609" s="2">
        <v>1.8</v>
      </c>
      <c r="G609" s="2">
        <v>1.66</v>
      </c>
      <c r="H609" s="2">
        <v>1</v>
      </c>
      <c r="I609" s="2">
        <v>1</v>
      </c>
      <c r="J609" s="2">
        <v>0.9</v>
      </c>
      <c r="K609">
        <v>6</v>
      </c>
      <c r="M609" s="21"/>
    </row>
    <row r="610" spans="1:13" x14ac:dyDescent="0.2">
      <c r="A610" t="s">
        <v>30</v>
      </c>
      <c r="B610" t="str">
        <f>VLOOKUP(A610,MasterTutor!A:E,4,FALSE)</f>
        <v>Distinguished</v>
      </c>
      <c r="C610" t="str">
        <f>VLOOKUP(A610,MasterTutor!A:E,3,FALSE)</f>
        <v>Professional</v>
      </c>
      <c r="D610" t="str">
        <f>VLOOKUP(A610,MasterTutor!A:E,2,FALSE)</f>
        <v>Ian Plamondon</v>
      </c>
      <c r="E610" t="s">
        <v>358</v>
      </c>
      <c r="F610" s="2">
        <v>0.99</v>
      </c>
      <c r="G610" s="2">
        <v>1.72</v>
      </c>
      <c r="H610" s="2">
        <v>0.9718</v>
      </c>
      <c r="I610" s="2">
        <v>1</v>
      </c>
      <c r="J610" s="2">
        <v>0.90900000000000003</v>
      </c>
      <c r="K610">
        <v>2</v>
      </c>
      <c r="L610" s="19">
        <v>1</v>
      </c>
      <c r="M610" s="21">
        <f>L610</f>
        <v>1</v>
      </c>
    </row>
    <row r="611" spans="1:13" x14ac:dyDescent="0.2">
      <c r="A611" t="s">
        <v>359</v>
      </c>
      <c r="B611" t="e">
        <f>VLOOKUP(A611,MasterTutor!A:E,4,FALSE)</f>
        <v>#N/A</v>
      </c>
      <c r="C611" t="e">
        <f>VLOOKUP(A611,MasterTutor!A:E,3,FALSE)</f>
        <v>#N/A</v>
      </c>
      <c r="D611" t="e">
        <f>VLOOKUP(A611,MasterTutor!A:E,2,FALSE)</f>
        <v>#N/A</v>
      </c>
      <c r="E611" t="s">
        <v>358</v>
      </c>
      <c r="F611" s="2">
        <v>0.11</v>
      </c>
      <c r="G611" s="2">
        <v>0.47</v>
      </c>
      <c r="H611" s="2">
        <v>1</v>
      </c>
      <c r="I611" s="2">
        <v>0.75</v>
      </c>
      <c r="J611" s="2">
        <v>0.85699999999999998</v>
      </c>
      <c r="K611">
        <v>1</v>
      </c>
      <c r="L611" s="19">
        <v>1</v>
      </c>
      <c r="M611" s="21">
        <f>L611</f>
        <v>1</v>
      </c>
    </row>
    <row r="612" spans="1:13" x14ac:dyDescent="0.2">
      <c r="A612" t="s">
        <v>31</v>
      </c>
      <c r="B612" t="str">
        <f>VLOOKUP(A612,MasterTutor!A:E,4,FALSE)</f>
        <v>Premium</v>
      </c>
      <c r="C612" t="str">
        <f>VLOOKUP(A612,MasterTutor!A:E,3,FALSE)</f>
        <v>Adjunct</v>
      </c>
      <c r="D612" t="str">
        <f>VLOOKUP(A612,MasterTutor!A:E,2,FALSE)</f>
        <v>Kristin Haase-Alvey</v>
      </c>
      <c r="E612" t="s">
        <v>358</v>
      </c>
      <c r="F612" s="2">
        <v>0.74</v>
      </c>
      <c r="G612" s="2">
        <v>0.93</v>
      </c>
      <c r="H612" s="2">
        <v>0.98440000000000005</v>
      </c>
      <c r="I612" s="2">
        <v>1</v>
      </c>
      <c r="J612" s="2">
        <v>0.76900000000000002</v>
      </c>
      <c r="K612">
        <v>2</v>
      </c>
      <c r="L612" s="19">
        <v>1</v>
      </c>
      <c r="M612" s="21">
        <f>L612</f>
        <v>1</v>
      </c>
    </row>
    <row r="613" spans="1:13" x14ac:dyDescent="0.2">
      <c r="A613" t="s">
        <v>32</v>
      </c>
      <c r="B613" t="e">
        <f>VLOOKUP(A613,MasterTutor!A:E,4,FALSE)</f>
        <v>#N/A</v>
      </c>
      <c r="C613" t="e">
        <f>VLOOKUP(A613,MasterTutor!A:E,3,FALSE)</f>
        <v>#N/A</v>
      </c>
      <c r="D613" t="e">
        <f>VLOOKUP(A613,MasterTutor!A:E,2,FALSE)</f>
        <v>#N/A</v>
      </c>
      <c r="E613" t="s">
        <v>358</v>
      </c>
      <c r="F613" s="2">
        <v>0.86</v>
      </c>
      <c r="G613" s="2">
        <v>0.9</v>
      </c>
      <c r="H613" s="2">
        <v>1</v>
      </c>
      <c r="I613" s="2">
        <v>0.90139999999999998</v>
      </c>
      <c r="J613" s="2">
        <v>0.34499999999999997</v>
      </c>
      <c r="K613">
        <v>10</v>
      </c>
      <c r="L613" s="19" t="s">
        <v>345</v>
      </c>
      <c r="M613" s="21">
        <v>0.2</v>
      </c>
    </row>
    <row r="614" spans="1:13" x14ac:dyDescent="0.2">
      <c r="A614" t="s">
        <v>33</v>
      </c>
      <c r="B614" t="str">
        <f>VLOOKUP(A614,MasterTutor!A:E,4,FALSE)</f>
        <v>Premium</v>
      </c>
      <c r="C614" t="str">
        <f>VLOOKUP(A614,MasterTutor!A:E,3,FALSE)</f>
        <v>Professional</v>
      </c>
      <c r="D614" t="str">
        <f>VLOOKUP(A614,MasterTutor!A:E,2,FALSE)</f>
        <v>Geoff St. Marie</v>
      </c>
      <c r="E614" t="s">
        <v>358</v>
      </c>
      <c r="F614" s="2">
        <v>1.34</v>
      </c>
      <c r="G614" s="2">
        <v>1.44</v>
      </c>
      <c r="H614" s="2">
        <v>0.88780000000000003</v>
      </c>
      <c r="I614" s="2">
        <v>0.8659</v>
      </c>
      <c r="J614" s="2">
        <v>0.61299999999999999</v>
      </c>
      <c r="K614">
        <v>7</v>
      </c>
      <c r="L614" s="19">
        <v>0</v>
      </c>
      <c r="M614" s="21">
        <f>L614</f>
        <v>0</v>
      </c>
    </row>
    <row r="615" spans="1:13" x14ac:dyDescent="0.2">
      <c r="A615" t="s">
        <v>34</v>
      </c>
      <c r="B615" t="e">
        <f>VLOOKUP(A615,MasterTutor!A:E,4,FALSE)</f>
        <v>#N/A</v>
      </c>
      <c r="C615" t="e">
        <f>VLOOKUP(A615,MasterTutor!A:E,3,FALSE)</f>
        <v>#N/A</v>
      </c>
      <c r="D615" t="e">
        <f>VLOOKUP(A615,MasterTutor!A:E,2,FALSE)</f>
        <v>#N/A</v>
      </c>
      <c r="E615" t="s">
        <v>358</v>
      </c>
      <c r="F615" s="2">
        <v>1.36</v>
      </c>
      <c r="G615" s="2">
        <v>1.43</v>
      </c>
      <c r="H615" s="2">
        <v>0.98299999999999998</v>
      </c>
      <c r="I615" s="2">
        <v>1</v>
      </c>
      <c r="J615" s="2">
        <v>0.36399999999999999</v>
      </c>
      <c r="K615">
        <v>5</v>
      </c>
      <c r="L615" s="19">
        <v>0</v>
      </c>
      <c r="M615" s="21">
        <f>L615</f>
        <v>0</v>
      </c>
    </row>
    <row r="616" spans="1:13" x14ac:dyDescent="0.2">
      <c r="A616" t="s">
        <v>35</v>
      </c>
      <c r="B616" t="str">
        <f>VLOOKUP(A616,MasterTutor!A:E,4,FALSE)</f>
        <v>Advanced</v>
      </c>
      <c r="C616" t="str">
        <f>VLOOKUP(A616,MasterTutor!A:E,3,FALSE)</f>
        <v>Adjunct</v>
      </c>
      <c r="D616" t="str">
        <f>VLOOKUP(A616,MasterTutor!A:E,2,FALSE)</f>
        <v>Annelies de Groot</v>
      </c>
      <c r="E616" t="s">
        <v>358</v>
      </c>
      <c r="F616" s="2">
        <v>1.77</v>
      </c>
      <c r="G616" s="2">
        <v>2.25</v>
      </c>
      <c r="H616" s="2">
        <v>0.98750000000000004</v>
      </c>
      <c r="I616" s="2">
        <v>0.90739999999999998</v>
      </c>
      <c r="J616" s="2">
        <v>0.66700000000000004</v>
      </c>
      <c r="K616">
        <v>5</v>
      </c>
      <c r="L616" s="19" t="s">
        <v>347</v>
      </c>
      <c r="M616" s="21">
        <v>0.56999999999999995</v>
      </c>
    </row>
    <row r="617" spans="1:13" x14ac:dyDescent="0.2">
      <c r="A617" t="s">
        <v>36</v>
      </c>
      <c r="B617" t="str">
        <f>VLOOKUP(A617,MasterTutor!A:E,4,FALSE)</f>
        <v>Premium</v>
      </c>
      <c r="C617" t="str">
        <f>VLOOKUP(A617,MasterTutor!A:E,3,FALSE)</f>
        <v>Professional</v>
      </c>
      <c r="D617" t="str">
        <f>VLOOKUP(A617,MasterTutor!A:E,2,FALSE)</f>
        <v>Jessica Milner</v>
      </c>
      <c r="E617" t="s">
        <v>358</v>
      </c>
      <c r="F617" s="2">
        <v>1.03</v>
      </c>
      <c r="G617" s="2">
        <v>1.24</v>
      </c>
      <c r="H617" s="2">
        <v>1</v>
      </c>
      <c r="I617" s="2">
        <v>0.98609999999999998</v>
      </c>
      <c r="J617" s="2">
        <v>0.7</v>
      </c>
      <c r="K617">
        <v>2</v>
      </c>
      <c r="L617" s="19">
        <v>1</v>
      </c>
      <c r="M617" s="21">
        <f>L617</f>
        <v>1</v>
      </c>
    </row>
    <row r="618" spans="1:13" x14ac:dyDescent="0.2">
      <c r="A618" t="s">
        <v>37</v>
      </c>
      <c r="B618" t="e">
        <f>VLOOKUP(A618,MasterTutor!A:E,4,FALSE)</f>
        <v>#N/A</v>
      </c>
      <c r="C618" t="e">
        <f>VLOOKUP(A618,MasterTutor!A:E,3,FALSE)</f>
        <v>#N/A</v>
      </c>
      <c r="D618" t="e">
        <f>VLOOKUP(A618,MasterTutor!A:E,2,FALSE)</f>
        <v>#N/A</v>
      </c>
      <c r="E618" t="s">
        <v>358</v>
      </c>
      <c r="F618" s="2">
        <v>0.95</v>
      </c>
      <c r="G618" s="2">
        <v>1.05</v>
      </c>
      <c r="H618" s="2">
        <v>0.97729999999999995</v>
      </c>
      <c r="I618" s="2">
        <v>0.75760000000000005</v>
      </c>
      <c r="J618" s="2">
        <v>0.625</v>
      </c>
      <c r="K618">
        <v>6</v>
      </c>
      <c r="M618" s="21"/>
    </row>
    <row r="619" spans="1:13" x14ac:dyDescent="0.2">
      <c r="A619" t="s">
        <v>38</v>
      </c>
      <c r="B619" t="str">
        <f>VLOOKUP(A619,MasterTutor!A:E,4,FALSE)</f>
        <v>Advanced</v>
      </c>
      <c r="C619" t="str">
        <f>VLOOKUP(A619,MasterTutor!A:E,3,FALSE)</f>
        <v>Adjunct</v>
      </c>
      <c r="D619" t="str">
        <f>VLOOKUP(A619,MasterTutor!A:E,2,FALSE)</f>
        <v>Annelies de Groot</v>
      </c>
      <c r="E619" t="s">
        <v>358</v>
      </c>
      <c r="F619" s="2">
        <v>1.21</v>
      </c>
      <c r="G619" s="2">
        <v>1.28</v>
      </c>
      <c r="H619" s="2">
        <v>1</v>
      </c>
      <c r="I619" s="2">
        <v>1</v>
      </c>
      <c r="J619" s="2">
        <v>0.76200000000000001</v>
      </c>
      <c r="K619">
        <v>5</v>
      </c>
      <c r="L619" s="19">
        <v>1</v>
      </c>
      <c r="M619" s="21">
        <f>L619</f>
        <v>1</v>
      </c>
    </row>
    <row r="620" spans="1:13" x14ac:dyDescent="0.2">
      <c r="A620" t="s">
        <v>39</v>
      </c>
      <c r="B620" t="str">
        <f>VLOOKUP(A620,MasterTutor!A:E,4,FALSE)</f>
        <v>Premium</v>
      </c>
      <c r="C620" t="str">
        <f>VLOOKUP(A620,MasterTutor!A:E,3,FALSE)</f>
        <v>Adjunct</v>
      </c>
      <c r="D620" t="str">
        <f>VLOOKUP(A620,MasterTutor!A:E,2,FALSE)</f>
        <v>Jessica Milner</v>
      </c>
      <c r="E620" t="s">
        <v>358</v>
      </c>
      <c r="F620" s="2">
        <v>0.66</v>
      </c>
      <c r="G620" s="2">
        <v>0.9</v>
      </c>
      <c r="H620" s="2">
        <v>1</v>
      </c>
      <c r="I620" s="2">
        <v>0.96150000000000002</v>
      </c>
      <c r="J620" s="2">
        <v>0.76900000000000002</v>
      </c>
      <c r="K620" t="e">
        <v>#N/A</v>
      </c>
      <c r="M620" s="21"/>
    </row>
    <row r="621" spans="1:13" x14ac:dyDescent="0.2">
      <c r="A621" t="s">
        <v>40</v>
      </c>
      <c r="B621" t="str">
        <f>VLOOKUP(A621,MasterTutor!A:E,4,FALSE)</f>
        <v>Advanced</v>
      </c>
      <c r="C621" t="str">
        <f>VLOOKUP(A621,MasterTutor!A:E,3,FALSE)</f>
        <v>Professional</v>
      </c>
      <c r="D621" t="str">
        <f>VLOOKUP(A621,MasterTutor!A:E,2,FALSE)</f>
        <v>Annelies de Groot</v>
      </c>
      <c r="E621" t="s">
        <v>358</v>
      </c>
      <c r="F621" s="2">
        <v>1.44</v>
      </c>
      <c r="G621" s="2">
        <v>1.37</v>
      </c>
      <c r="H621" s="2">
        <v>0.98870000000000002</v>
      </c>
      <c r="I621" s="2">
        <v>0.96519999999999995</v>
      </c>
      <c r="J621" s="2">
        <v>0.63200000000000001</v>
      </c>
      <c r="K621">
        <v>19</v>
      </c>
      <c r="M621" s="21"/>
    </row>
    <row r="622" spans="1:13" x14ac:dyDescent="0.2">
      <c r="A622" t="s">
        <v>41</v>
      </c>
      <c r="B622" t="str">
        <f>VLOOKUP(A622,MasterTutor!A:E,4,FALSE)</f>
        <v>Premium</v>
      </c>
      <c r="C622" t="str">
        <f>VLOOKUP(A622,MasterTutor!A:E,3,FALSE)</f>
        <v>Professional</v>
      </c>
      <c r="D622" t="str">
        <f>VLOOKUP(A622,MasterTutor!A:E,2,FALSE)</f>
        <v>Jessica Milner</v>
      </c>
      <c r="E622" t="s">
        <v>358</v>
      </c>
      <c r="F622" s="2">
        <v>0.88</v>
      </c>
      <c r="G622" s="2">
        <v>1.01</v>
      </c>
      <c r="H622" s="2">
        <v>0.97919999999999996</v>
      </c>
      <c r="I622" s="2">
        <v>0.97060000000000002</v>
      </c>
      <c r="J622" s="2">
        <v>0.76200000000000001</v>
      </c>
      <c r="K622">
        <v>2</v>
      </c>
      <c r="L622" s="19" t="s">
        <v>331</v>
      </c>
      <c r="M622" s="21">
        <v>0.5</v>
      </c>
    </row>
    <row r="623" spans="1:13" x14ac:dyDescent="0.2">
      <c r="A623" t="s">
        <v>42</v>
      </c>
      <c r="B623" t="str">
        <f>VLOOKUP(A623,MasterTutor!A:E,4,FALSE)</f>
        <v>Premium</v>
      </c>
      <c r="C623" t="str">
        <f>VLOOKUP(A623,MasterTutor!A:E,3,FALSE)</f>
        <v>Adjunct</v>
      </c>
      <c r="D623" t="str">
        <f>VLOOKUP(A623,MasterTutor!A:E,2,FALSE)</f>
        <v>Ela Cross</v>
      </c>
      <c r="E623" t="s">
        <v>358</v>
      </c>
      <c r="F623" s="2">
        <v>0.35</v>
      </c>
      <c r="G623" s="2">
        <v>1.5</v>
      </c>
      <c r="H623" s="2">
        <v>1</v>
      </c>
      <c r="I623" s="2">
        <v>1</v>
      </c>
      <c r="J623" s="2">
        <v>0.66700000000000004</v>
      </c>
      <c r="K623" t="e">
        <v>#N/A</v>
      </c>
      <c r="M623" s="21"/>
    </row>
    <row r="624" spans="1:13" x14ac:dyDescent="0.2">
      <c r="A624" t="s">
        <v>43</v>
      </c>
      <c r="B624" t="e">
        <f>VLOOKUP(A624,MasterTutor!A:E,4,FALSE)</f>
        <v>#N/A</v>
      </c>
      <c r="C624" t="e">
        <f>VLOOKUP(A624,MasterTutor!A:E,3,FALSE)</f>
        <v>#N/A</v>
      </c>
      <c r="D624" t="e">
        <f>VLOOKUP(A624,MasterTutor!A:E,2,FALSE)</f>
        <v>#N/A</v>
      </c>
      <c r="E624" t="s">
        <v>358</v>
      </c>
      <c r="F624" s="2">
        <v>0.98</v>
      </c>
      <c r="G624" s="2">
        <v>1.1499999999999999</v>
      </c>
      <c r="H624" s="2">
        <v>0.98860000000000003</v>
      </c>
      <c r="I624" s="2">
        <v>0.98409999999999997</v>
      </c>
      <c r="J624" s="2">
        <v>0.66700000000000004</v>
      </c>
      <c r="K624">
        <v>4</v>
      </c>
      <c r="L624" s="19" t="s">
        <v>331</v>
      </c>
      <c r="M624" s="21">
        <v>0.5</v>
      </c>
    </row>
    <row r="625" spans="1:13" x14ac:dyDescent="0.2">
      <c r="A625" t="s">
        <v>44</v>
      </c>
      <c r="B625" t="e">
        <f>VLOOKUP(A625,MasterTutor!A:E,4,FALSE)</f>
        <v>#N/A</v>
      </c>
      <c r="C625" t="e">
        <f>VLOOKUP(A625,MasterTutor!A:E,3,FALSE)</f>
        <v>#N/A</v>
      </c>
      <c r="D625" t="e">
        <f>VLOOKUP(A625,MasterTutor!A:E,2,FALSE)</f>
        <v>#N/A</v>
      </c>
      <c r="E625" t="s">
        <v>358</v>
      </c>
      <c r="F625" s="2">
        <v>0.75</v>
      </c>
      <c r="G625" s="2">
        <v>1.37</v>
      </c>
      <c r="H625" s="2">
        <v>0.92730000000000001</v>
      </c>
      <c r="I625" s="2">
        <v>1</v>
      </c>
      <c r="J625" s="2">
        <v>0.90900000000000003</v>
      </c>
      <c r="K625">
        <v>3</v>
      </c>
      <c r="L625" s="19">
        <v>1</v>
      </c>
      <c r="M625" s="21">
        <f>L625</f>
        <v>1</v>
      </c>
    </row>
    <row r="626" spans="1:13" x14ac:dyDescent="0.2">
      <c r="A626" t="s">
        <v>45</v>
      </c>
      <c r="B626" t="str">
        <f>VLOOKUP(A626,MasterTutor!A:E,4,FALSE)</f>
        <v>Distinguished</v>
      </c>
      <c r="C626" t="str">
        <f>VLOOKUP(A626,MasterTutor!A:E,3,FALSE)</f>
        <v>Adjunct</v>
      </c>
      <c r="D626" t="str">
        <f>VLOOKUP(A626,MasterTutor!A:E,2,FALSE)</f>
        <v>Kristin Haase-Alvey</v>
      </c>
      <c r="E626" t="s">
        <v>358</v>
      </c>
      <c r="F626" s="2">
        <v>1.29</v>
      </c>
      <c r="G626" s="2">
        <v>1.23</v>
      </c>
      <c r="H626" s="2">
        <v>0.98750000000000004</v>
      </c>
      <c r="I626" s="2">
        <v>0.92310000000000003</v>
      </c>
      <c r="J626" s="2">
        <v>0.73299999999999998</v>
      </c>
      <c r="K626">
        <v>8</v>
      </c>
      <c r="L626" s="19">
        <v>0</v>
      </c>
      <c r="M626" s="21">
        <f>L626</f>
        <v>0</v>
      </c>
    </row>
    <row r="627" spans="1:13" x14ac:dyDescent="0.2">
      <c r="A627" t="s">
        <v>46</v>
      </c>
      <c r="B627" t="str">
        <f>VLOOKUP(A627,MasterTutor!A:E,4,FALSE)</f>
        <v>Distinguished</v>
      </c>
      <c r="C627" t="str">
        <f>VLOOKUP(A627,MasterTutor!A:E,3,FALSE)</f>
        <v>Professional</v>
      </c>
      <c r="D627" t="str">
        <f>VLOOKUP(A627,MasterTutor!A:E,2,FALSE)</f>
        <v>Ian Plamondon</v>
      </c>
      <c r="E627" t="s">
        <v>358</v>
      </c>
      <c r="F627" s="2">
        <v>1.35</v>
      </c>
      <c r="G627" s="2">
        <v>1.1599999999999999</v>
      </c>
      <c r="H627" s="2">
        <v>0.89159999999999995</v>
      </c>
      <c r="I627" s="2">
        <v>0.91379999999999995</v>
      </c>
      <c r="J627" s="2">
        <v>0.79500000000000004</v>
      </c>
      <c r="K627">
        <v>15</v>
      </c>
      <c r="L627" s="19" t="s">
        <v>330</v>
      </c>
      <c r="M627" s="21">
        <v>0.67</v>
      </c>
    </row>
    <row r="628" spans="1:13" x14ac:dyDescent="0.2">
      <c r="A628" t="s">
        <v>236</v>
      </c>
      <c r="B628" t="str">
        <f>VLOOKUP(A628,MasterTutor!A:E,4,FALSE)</f>
        <v>Advanced</v>
      </c>
      <c r="C628" t="str">
        <f>VLOOKUP(A628,MasterTutor!A:E,3,FALSE)</f>
        <v xml:space="preserve">Professional </v>
      </c>
      <c r="D628" t="str">
        <f>VLOOKUP(A628,MasterTutor!A:E,2,FALSE)</f>
        <v>Kristin Haase-Alvey</v>
      </c>
      <c r="E628" t="s">
        <v>358</v>
      </c>
      <c r="F628" s="2">
        <v>0</v>
      </c>
      <c r="G628" s="2">
        <v>0.33</v>
      </c>
      <c r="H628" s="2">
        <v>0</v>
      </c>
      <c r="I628" s="2">
        <v>0</v>
      </c>
      <c r="J628" s="2">
        <v>1</v>
      </c>
      <c r="K628" t="e">
        <v>#N/A</v>
      </c>
    </row>
    <row r="629" spans="1:13" x14ac:dyDescent="0.2">
      <c r="A629" t="s">
        <v>47</v>
      </c>
      <c r="B629" t="e">
        <f>VLOOKUP(A629,MasterTutor!A:E,4,FALSE)</f>
        <v>#N/A</v>
      </c>
      <c r="C629" t="e">
        <f>VLOOKUP(A629,MasterTutor!A:E,3,FALSE)</f>
        <v>#N/A</v>
      </c>
      <c r="D629" t="e">
        <f>VLOOKUP(A629,MasterTutor!A:E,2,FALSE)</f>
        <v>#N/A</v>
      </c>
      <c r="E629" t="s">
        <v>358</v>
      </c>
      <c r="F629" s="2">
        <v>0.49</v>
      </c>
      <c r="G629" s="2">
        <v>0.86</v>
      </c>
      <c r="H629" s="2">
        <v>1</v>
      </c>
      <c r="I629" s="2">
        <v>1</v>
      </c>
      <c r="J629" s="2">
        <v>0.56299999999999994</v>
      </c>
      <c r="K629">
        <v>4</v>
      </c>
    </row>
    <row r="630" spans="1:13" x14ac:dyDescent="0.2">
      <c r="A630" t="s">
        <v>48</v>
      </c>
      <c r="B630" t="str">
        <f>VLOOKUP(A630,MasterTutor!A:E,4,FALSE)</f>
        <v>Advanced</v>
      </c>
      <c r="C630" t="str">
        <f>VLOOKUP(A630,MasterTutor!A:E,3,FALSE)</f>
        <v>Professional</v>
      </c>
      <c r="D630" t="str">
        <f>VLOOKUP(A630,MasterTutor!A:E,2,FALSE)</f>
        <v>Annelies de Groot</v>
      </c>
      <c r="E630" t="s">
        <v>358</v>
      </c>
      <c r="F630" s="2">
        <v>1</v>
      </c>
      <c r="G630" s="2">
        <v>1.1399999999999999</v>
      </c>
      <c r="H630" s="2">
        <v>1</v>
      </c>
      <c r="I630" s="2">
        <v>0.98780000000000001</v>
      </c>
      <c r="J630" s="2">
        <v>0.5</v>
      </c>
      <c r="K630">
        <v>1</v>
      </c>
      <c r="L630" s="19" t="s">
        <v>332</v>
      </c>
      <c r="M630" s="21">
        <v>0.71</v>
      </c>
    </row>
    <row r="631" spans="1:13" x14ac:dyDescent="0.2">
      <c r="A631" t="s">
        <v>49</v>
      </c>
      <c r="B631" t="str">
        <f>VLOOKUP(A631,MasterTutor!A:E,4,FALSE)</f>
        <v>Advanced</v>
      </c>
      <c r="C631" t="str">
        <f>VLOOKUP(A631,MasterTutor!A:E,3,FALSE)</f>
        <v>Professional</v>
      </c>
      <c r="D631" t="str">
        <f>VLOOKUP(A631,MasterTutor!A:E,2,FALSE)</f>
        <v>Ian Plamondon</v>
      </c>
      <c r="E631" t="s">
        <v>358</v>
      </c>
      <c r="F631" s="2">
        <v>1</v>
      </c>
      <c r="G631" s="2">
        <v>1.1299999999999999</v>
      </c>
      <c r="H631" s="2">
        <v>0.86599999999999999</v>
      </c>
      <c r="I631" s="2">
        <v>0.96340000000000003</v>
      </c>
      <c r="J631" s="2">
        <v>0.51900000000000002</v>
      </c>
      <c r="K631">
        <v>2</v>
      </c>
      <c r="L631" s="19" t="s">
        <v>335</v>
      </c>
      <c r="M631" s="21">
        <v>0.25</v>
      </c>
    </row>
    <row r="632" spans="1:13" x14ac:dyDescent="0.2">
      <c r="A632" t="s">
        <v>50</v>
      </c>
      <c r="B632" t="str">
        <f>VLOOKUP(A632,MasterTutor!A:E,4,FALSE)</f>
        <v>Premium</v>
      </c>
      <c r="C632" t="str">
        <f>VLOOKUP(A632,MasterTutor!A:E,3,FALSE)</f>
        <v>Adjunct</v>
      </c>
      <c r="D632" t="str">
        <f>VLOOKUP(A632,MasterTutor!A:E,2,FALSE)</f>
        <v>Kristin Haase-Alvey</v>
      </c>
      <c r="E632" t="s">
        <v>358</v>
      </c>
      <c r="F632" s="2">
        <v>0.64</v>
      </c>
      <c r="G632" s="2">
        <v>0.92</v>
      </c>
      <c r="H632" s="2">
        <v>1</v>
      </c>
      <c r="I632" s="2">
        <v>1</v>
      </c>
      <c r="J632" s="2">
        <v>0.6</v>
      </c>
      <c r="K632">
        <v>1</v>
      </c>
      <c r="L632" s="19">
        <v>1</v>
      </c>
      <c r="M632" s="21">
        <f>L632</f>
        <v>1</v>
      </c>
    </row>
    <row r="633" spans="1:13" x14ac:dyDescent="0.2">
      <c r="A633" t="s">
        <v>51</v>
      </c>
      <c r="B633" t="str">
        <f>VLOOKUP(A633,MasterTutor!A:E,4,FALSE)</f>
        <v>Premium</v>
      </c>
      <c r="C633" t="str">
        <f>VLOOKUP(A633,MasterTutor!A:E,3,FALSE)</f>
        <v>Adjunct</v>
      </c>
      <c r="D633" t="str">
        <f>VLOOKUP(A633,MasterTutor!A:E,2,FALSE)</f>
        <v>Annelies de Groot</v>
      </c>
      <c r="E633" t="s">
        <v>358</v>
      </c>
      <c r="F633" s="2">
        <v>1</v>
      </c>
      <c r="G633" s="2">
        <v>1.1000000000000001</v>
      </c>
      <c r="H633" s="2">
        <v>1</v>
      </c>
      <c r="I633" s="2">
        <v>0.73809999999999998</v>
      </c>
      <c r="J633" s="2">
        <v>1</v>
      </c>
      <c r="K633">
        <v>1</v>
      </c>
      <c r="L633" s="19" t="s">
        <v>330</v>
      </c>
      <c r="M633" s="21">
        <v>0.67</v>
      </c>
    </row>
    <row r="634" spans="1:13" x14ac:dyDescent="0.2">
      <c r="A634" t="s">
        <v>52</v>
      </c>
      <c r="B634" t="str">
        <f>VLOOKUP(A634,MasterTutor!A:E,4,FALSE)</f>
        <v>Premium</v>
      </c>
      <c r="C634" t="str">
        <f>VLOOKUP(A634,MasterTutor!A:E,3,FALSE)</f>
        <v>Professional</v>
      </c>
      <c r="D634" t="str">
        <f>VLOOKUP(A634,MasterTutor!A:E,2,FALSE)</f>
        <v>Jessica Milner</v>
      </c>
      <c r="E634" t="s">
        <v>358</v>
      </c>
      <c r="F634" s="2">
        <v>1.06</v>
      </c>
      <c r="G634" s="2">
        <v>1.37</v>
      </c>
      <c r="H634" s="2">
        <v>1</v>
      </c>
      <c r="I634" s="2">
        <v>1</v>
      </c>
      <c r="J634" s="2">
        <v>0.76</v>
      </c>
      <c r="K634">
        <v>3</v>
      </c>
      <c r="L634" s="19" t="s">
        <v>338</v>
      </c>
      <c r="M634" s="21">
        <v>0.8</v>
      </c>
    </row>
    <row r="635" spans="1:13" x14ac:dyDescent="0.2">
      <c r="A635" t="s">
        <v>53</v>
      </c>
      <c r="B635" t="str">
        <f>VLOOKUP(A635,MasterTutor!A:E,4,FALSE)</f>
        <v>Advanced</v>
      </c>
      <c r="C635" t="str">
        <f>VLOOKUP(A635,MasterTutor!A:E,3,FALSE)</f>
        <v>Professional</v>
      </c>
      <c r="D635" t="str">
        <f>VLOOKUP(A635,MasterTutor!A:E,2,FALSE)</f>
        <v>Kristin Haase-Alvey</v>
      </c>
      <c r="E635" t="s">
        <v>358</v>
      </c>
      <c r="F635" s="2">
        <v>0.97</v>
      </c>
      <c r="G635" s="2">
        <v>1.06</v>
      </c>
      <c r="H635" s="2">
        <v>0.94669999999999999</v>
      </c>
      <c r="I635" s="2">
        <v>0.98409999999999997</v>
      </c>
      <c r="J635" s="2">
        <v>0.7</v>
      </c>
      <c r="K635">
        <v>9</v>
      </c>
      <c r="L635" s="19">
        <v>0</v>
      </c>
      <c r="M635" s="21">
        <f>L635</f>
        <v>0</v>
      </c>
    </row>
    <row r="636" spans="1:13" x14ac:dyDescent="0.2">
      <c r="A636" t="s">
        <v>54</v>
      </c>
      <c r="B636" t="str">
        <f>VLOOKUP(A636,MasterTutor!A:E,4,FALSE)</f>
        <v>Premium</v>
      </c>
      <c r="C636" t="str">
        <f>VLOOKUP(A636,MasterTutor!A:E,3,FALSE)</f>
        <v>Professional</v>
      </c>
      <c r="D636" t="str">
        <f>VLOOKUP(A636,MasterTutor!A:E,2,FALSE)</f>
        <v>Jessica Milner</v>
      </c>
      <c r="E636" t="s">
        <v>358</v>
      </c>
      <c r="F636" s="2">
        <v>0.86</v>
      </c>
      <c r="G636" s="2">
        <v>1.22</v>
      </c>
      <c r="H636" s="2">
        <v>1</v>
      </c>
      <c r="I636" s="2">
        <v>0.92959999999999998</v>
      </c>
      <c r="J636" s="2">
        <v>0.308</v>
      </c>
      <c r="K636">
        <v>2</v>
      </c>
    </row>
    <row r="637" spans="1:13" x14ac:dyDescent="0.2">
      <c r="A637" t="s">
        <v>55</v>
      </c>
      <c r="B637" t="str">
        <f>VLOOKUP(A637,MasterTutor!A:E,4,FALSE)</f>
        <v>Premium</v>
      </c>
      <c r="C637" t="str">
        <f>VLOOKUP(A637,MasterTutor!A:E,3,FALSE)</f>
        <v>Adjunct</v>
      </c>
      <c r="D637" t="str">
        <f>VLOOKUP(A637,MasterTutor!A:E,2,FALSE)</f>
        <v>Ela Cross</v>
      </c>
      <c r="E637" t="s">
        <v>358</v>
      </c>
      <c r="F637" s="2">
        <v>1.45</v>
      </c>
      <c r="G637" s="2">
        <v>1.45</v>
      </c>
      <c r="H637" s="2">
        <v>0.97219999999999995</v>
      </c>
      <c r="I637" s="2">
        <v>0.89580000000000004</v>
      </c>
      <c r="J637" s="2">
        <v>0.26300000000000001</v>
      </c>
      <c r="K637">
        <v>5</v>
      </c>
      <c r="L637" s="19" t="s">
        <v>331</v>
      </c>
      <c r="M637" s="21">
        <v>0.5</v>
      </c>
    </row>
    <row r="638" spans="1:13" x14ac:dyDescent="0.2">
      <c r="A638" t="s">
        <v>56</v>
      </c>
      <c r="B638" t="str">
        <f>VLOOKUP(A638,MasterTutor!A:E,4,FALSE)</f>
        <v>Advanced</v>
      </c>
      <c r="C638" t="str">
        <f>VLOOKUP(A638,MasterTutor!A:E,3,FALSE)</f>
        <v>Professional</v>
      </c>
      <c r="D638" t="str">
        <f>VLOOKUP(A638,MasterTutor!A:E,2,FALSE)</f>
        <v>Ela Cross</v>
      </c>
      <c r="E638" t="s">
        <v>358</v>
      </c>
      <c r="F638" s="2">
        <v>0.96</v>
      </c>
      <c r="G638" s="2">
        <v>1.03</v>
      </c>
      <c r="H638" s="2">
        <v>0.92869999999999997</v>
      </c>
      <c r="I638" s="2">
        <v>0.72370000000000001</v>
      </c>
      <c r="J638" s="2">
        <v>0.48099999999999998</v>
      </c>
      <c r="K638">
        <v>9</v>
      </c>
      <c r="L638" s="19" t="s">
        <v>344</v>
      </c>
      <c r="M638" s="21">
        <v>0.83</v>
      </c>
    </row>
    <row r="639" spans="1:13" x14ac:dyDescent="0.2">
      <c r="A639" t="s">
        <v>245</v>
      </c>
      <c r="B639" t="str">
        <f>VLOOKUP(A639,MasterTutor!A:E,4,FALSE)</f>
        <v>Advanced</v>
      </c>
      <c r="C639" t="str">
        <f>VLOOKUP(A639,MasterTutor!A:E,3,FALSE)</f>
        <v>Professional</v>
      </c>
      <c r="D639" t="str">
        <f>VLOOKUP(A639,MasterTutor!A:E,2,FALSE)</f>
        <v>Ela Cross</v>
      </c>
      <c r="E639" t="s">
        <v>358</v>
      </c>
      <c r="F639" s="2">
        <v>0</v>
      </c>
      <c r="G639" s="2">
        <v>0.27</v>
      </c>
      <c r="H639" s="2">
        <v>0</v>
      </c>
      <c r="I639" s="2">
        <v>0</v>
      </c>
      <c r="J639" s="2">
        <v>0.83299999999999996</v>
      </c>
      <c r="K639" t="e">
        <v>#N/A</v>
      </c>
    </row>
    <row r="640" spans="1:13" x14ac:dyDescent="0.2">
      <c r="A640" t="s">
        <v>57</v>
      </c>
      <c r="B640" t="str">
        <f>VLOOKUP(A640,MasterTutor!A:E,4,FALSE)</f>
        <v>Advanced</v>
      </c>
      <c r="C640" t="str">
        <f>VLOOKUP(A640,MasterTutor!A:E,3,FALSE)</f>
        <v>Professional</v>
      </c>
      <c r="D640" t="str">
        <f>VLOOKUP(A640,MasterTutor!A:E,2,FALSE)</f>
        <v>Ian Plamondon</v>
      </c>
      <c r="E640" t="s">
        <v>358</v>
      </c>
      <c r="F640" s="2">
        <v>1.05</v>
      </c>
      <c r="G640" s="2">
        <v>0.94</v>
      </c>
      <c r="H640" s="2">
        <v>0.98440000000000005</v>
      </c>
      <c r="I640" s="2">
        <v>0.98799999999999999</v>
      </c>
      <c r="J640" s="2">
        <v>0.55900000000000005</v>
      </c>
      <c r="K640">
        <v>7</v>
      </c>
      <c r="L640" s="19" t="s">
        <v>337</v>
      </c>
      <c r="M640" s="21">
        <f>1/3</f>
        <v>0.33333333333333331</v>
      </c>
    </row>
    <row r="641" spans="1:13" x14ac:dyDescent="0.2">
      <c r="A641" t="s">
        <v>249</v>
      </c>
      <c r="B641" t="str">
        <f>VLOOKUP(A641,MasterTutor!A:E,4,FALSE)</f>
        <v>Advanced</v>
      </c>
      <c r="C641" t="str">
        <f>VLOOKUP(A641,MasterTutor!A:E,3,FALSE)</f>
        <v>Adjunct</v>
      </c>
      <c r="D641" t="str">
        <f>VLOOKUP(A641,MasterTutor!A:E,2,FALSE)</f>
        <v>Annelies de Groot</v>
      </c>
      <c r="E641" t="s">
        <v>358</v>
      </c>
      <c r="F641" s="2">
        <v>0</v>
      </c>
      <c r="G641" s="2">
        <v>0.34</v>
      </c>
      <c r="H641" s="2">
        <v>0</v>
      </c>
      <c r="I641" s="2">
        <v>0</v>
      </c>
      <c r="J641" s="2" t="e">
        <v>#N/A</v>
      </c>
      <c r="K641" t="e">
        <v>#N/A</v>
      </c>
    </row>
    <row r="642" spans="1:13" x14ac:dyDescent="0.2">
      <c r="A642" t="s">
        <v>58</v>
      </c>
      <c r="B642" t="str">
        <f>VLOOKUP(A642,MasterTutor!A:E,4,FALSE)</f>
        <v>Premium</v>
      </c>
      <c r="C642" t="str">
        <f>VLOOKUP(A642,MasterTutor!A:E,3,FALSE)</f>
        <v>Professional</v>
      </c>
      <c r="D642" t="str">
        <f>VLOOKUP(A642,MasterTutor!A:E,2,FALSE)</f>
        <v>Jessica Milner</v>
      </c>
      <c r="E642" t="s">
        <v>358</v>
      </c>
      <c r="F642" s="2">
        <v>1.01</v>
      </c>
      <c r="G642" s="2">
        <v>1.1299999999999999</v>
      </c>
      <c r="H642" s="2">
        <v>0.94179999999999997</v>
      </c>
      <c r="I642" s="2">
        <v>0.98699999999999999</v>
      </c>
      <c r="J642" s="2">
        <v>0.73099999999999998</v>
      </c>
      <c r="K642">
        <v>6</v>
      </c>
      <c r="L642" s="19">
        <v>1</v>
      </c>
      <c r="M642" s="21">
        <f>L642</f>
        <v>1</v>
      </c>
    </row>
    <row r="643" spans="1:13" x14ac:dyDescent="0.2">
      <c r="A643" t="s">
        <v>59</v>
      </c>
      <c r="B643" t="str">
        <f>VLOOKUP(A643,MasterTutor!A:E,4,FALSE)</f>
        <v>Distinguished</v>
      </c>
      <c r="C643" t="str">
        <f>VLOOKUP(A643,MasterTutor!A:E,3,FALSE)</f>
        <v>Professional</v>
      </c>
      <c r="D643" t="str">
        <f>VLOOKUP(A643,MasterTutor!A:E,2,FALSE)</f>
        <v>Ela Cross</v>
      </c>
      <c r="E643" t="s">
        <v>358</v>
      </c>
      <c r="F643" s="2">
        <v>0.89</v>
      </c>
      <c r="G643" s="2">
        <v>0.94</v>
      </c>
      <c r="H643" s="2">
        <v>1</v>
      </c>
      <c r="I643" s="2">
        <v>0.95</v>
      </c>
      <c r="J643" s="2">
        <v>0.36699999999999999</v>
      </c>
      <c r="K643">
        <v>7</v>
      </c>
      <c r="L643" s="19">
        <v>1</v>
      </c>
      <c r="M643" s="21">
        <f>L643</f>
        <v>1</v>
      </c>
    </row>
    <row r="644" spans="1:13" x14ac:dyDescent="0.2">
      <c r="A644" t="s">
        <v>60</v>
      </c>
      <c r="B644" t="str">
        <f>VLOOKUP(A644,MasterTutor!A:E,4,FALSE)</f>
        <v>Advanced</v>
      </c>
      <c r="C644" t="str">
        <f>VLOOKUP(A644,MasterTutor!A:E,3,FALSE)</f>
        <v>Adjunct</v>
      </c>
      <c r="D644" t="str">
        <f>VLOOKUP(A644,MasterTutor!A:E,2,FALSE)</f>
        <v>Kristin Haase-Alvey</v>
      </c>
      <c r="E644" t="s">
        <v>358</v>
      </c>
      <c r="F644" s="2">
        <v>1.35</v>
      </c>
      <c r="G644" s="2">
        <v>1.3</v>
      </c>
      <c r="H644" s="2">
        <v>0.97370000000000001</v>
      </c>
      <c r="I644" s="2">
        <v>0.93330000000000002</v>
      </c>
      <c r="J644" s="2">
        <v>0.5</v>
      </c>
      <c r="K644">
        <v>4</v>
      </c>
      <c r="L644" s="19">
        <v>0</v>
      </c>
      <c r="M644" s="21">
        <f>L644</f>
        <v>0</v>
      </c>
    </row>
    <row r="645" spans="1:13" x14ac:dyDescent="0.2">
      <c r="A645" t="s">
        <v>61</v>
      </c>
      <c r="B645" t="str">
        <f>VLOOKUP(A645,MasterTutor!A:E,4,FALSE)</f>
        <v>Advanced</v>
      </c>
      <c r="C645" t="str">
        <f>VLOOKUP(A645,MasterTutor!A:E,3,FALSE)</f>
        <v>Adjunct</v>
      </c>
      <c r="D645" t="str">
        <f>VLOOKUP(A645,MasterTutor!A:E,2,FALSE)</f>
        <v>Ela Cross</v>
      </c>
      <c r="E645" t="s">
        <v>358</v>
      </c>
      <c r="F645" s="2">
        <v>1.46</v>
      </c>
      <c r="G645" s="2">
        <v>1.6</v>
      </c>
      <c r="H645" s="2">
        <v>0.96730000000000005</v>
      </c>
      <c r="I645" s="2">
        <v>0.79630000000000001</v>
      </c>
      <c r="J645" s="2">
        <v>0.4</v>
      </c>
      <c r="K645">
        <v>6</v>
      </c>
      <c r="L645" s="19">
        <v>0</v>
      </c>
      <c r="M645" s="21">
        <f>L645</f>
        <v>0</v>
      </c>
    </row>
    <row r="646" spans="1:13" x14ac:dyDescent="0.2">
      <c r="A646" t="s">
        <v>62</v>
      </c>
      <c r="B646" t="e">
        <f>VLOOKUP(A646,MasterTutor!A:E,4,FALSE)</f>
        <v>#N/A</v>
      </c>
      <c r="C646" t="e">
        <f>VLOOKUP(A646,MasterTutor!A:E,3,FALSE)</f>
        <v>#N/A</v>
      </c>
      <c r="D646" t="e">
        <f>VLOOKUP(A646,MasterTutor!A:E,2,FALSE)</f>
        <v>#N/A</v>
      </c>
      <c r="E646" t="s">
        <v>358</v>
      </c>
      <c r="F646" s="2">
        <v>1.44</v>
      </c>
      <c r="G646" s="2">
        <v>1.49</v>
      </c>
      <c r="H646" s="2">
        <v>0.97430000000000005</v>
      </c>
      <c r="I646" s="2">
        <v>0.90480000000000005</v>
      </c>
      <c r="J646" s="2">
        <v>0.46700000000000003</v>
      </c>
      <c r="K646">
        <v>2</v>
      </c>
      <c r="L646" s="19" t="s">
        <v>337</v>
      </c>
      <c r="M646" s="21">
        <f>1/3</f>
        <v>0.33333333333333331</v>
      </c>
    </row>
    <row r="647" spans="1:13" x14ac:dyDescent="0.2">
      <c r="A647" t="s">
        <v>63</v>
      </c>
      <c r="B647" t="str">
        <f>VLOOKUP(A647,MasterTutor!A:E,4,FALSE)</f>
        <v>Advanced</v>
      </c>
      <c r="C647" t="str">
        <f>VLOOKUP(A647,MasterTutor!A:E,3,FALSE)</f>
        <v>Adjunct</v>
      </c>
      <c r="D647" t="str">
        <f>VLOOKUP(A647,MasterTutor!A:E,2,FALSE)</f>
        <v>Kristin Haase-Alvey</v>
      </c>
      <c r="E647" t="s">
        <v>358</v>
      </c>
      <c r="F647" s="2">
        <v>1.18</v>
      </c>
      <c r="G647" s="2">
        <v>1.24</v>
      </c>
      <c r="H647" s="2">
        <v>1</v>
      </c>
      <c r="I647" s="2">
        <v>0.78380000000000005</v>
      </c>
      <c r="J647" s="2">
        <v>9.0999999999999998E-2</v>
      </c>
      <c r="K647">
        <v>5</v>
      </c>
      <c r="L647" s="19">
        <v>0</v>
      </c>
      <c r="M647" s="21">
        <f>L647</f>
        <v>0</v>
      </c>
    </row>
    <row r="648" spans="1:13" x14ac:dyDescent="0.2">
      <c r="A648" t="s">
        <v>64</v>
      </c>
      <c r="B648" t="str">
        <f>VLOOKUP(A648,MasterTutor!A:E,4,FALSE)</f>
        <v>Distinguished</v>
      </c>
      <c r="C648" t="str">
        <f>VLOOKUP(A648,MasterTutor!A:E,3,FALSE)</f>
        <v>Professional</v>
      </c>
      <c r="D648" t="str">
        <f>VLOOKUP(A648,MasterTutor!A:E,2,FALSE)</f>
        <v>Ian Plamondon</v>
      </c>
      <c r="E648" t="s">
        <v>358</v>
      </c>
      <c r="F648" s="2">
        <v>0.83</v>
      </c>
      <c r="G648" s="2">
        <v>1.1000000000000001</v>
      </c>
      <c r="H648" s="2">
        <v>0.91679999999999995</v>
      </c>
      <c r="I648" s="2">
        <v>1</v>
      </c>
      <c r="J648" s="2">
        <v>1</v>
      </c>
      <c r="K648">
        <v>3</v>
      </c>
      <c r="L648" s="19">
        <v>1</v>
      </c>
      <c r="M648" s="21">
        <f>L648</f>
        <v>1</v>
      </c>
    </row>
    <row r="649" spans="1:13" x14ac:dyDescent="0.2">
      <c r="A649" t="s">
        <v>65</v>
      </c>
      <c r="B649" t="str">
        <f>VLOOKUP(A649,MasterTutor!A:E,4,FALSE)</f>
        <v>Premium</v>
      </c>
      <c r="C649" t="str">
        <f>VLOOKUP(A649,MasterTutor!A:E,3,FALSE)</f>
        <v>Professional</v>
      </c>
      <c r="D649" t="str">
        <f>VLOOKUP(A649,MasterTutor!A:E,2,FALSE)</f>
        <v>Ian Plamondon</v>
      </c>
      <c r="E649" t="s">
        <v>358</v>
      </c>
      <c r="F649" s="2">
        <v>0.91</v>
      </c>
      <c r="G649" s="2">
        <v>1.1499999999999999</v>
      </c>
      <c r="H649" s="2">
        <v>1</v>
      </c>
      <c r="I649" s="2">
        <v>0.97260000000000002</v>
      </c>
      <c r="J649" s="2">
        <v>0.85699999999999998</v>
      </c>
      <c r="K649">
        <v>5</v>
      </c>
      <c r="L649" s="19">
        <v>1</v>
      </c>
      <c r="M649" s="21">
        <f>L649</f>
        <v>1</v>
      </c>
    </row>
    <row r="650" spans="1:13" x14ac:dyDescent="0.2">
      <c r="A650" t="s">
        <v>66</v>
      </c>
      <c r="B650" t="e">
        <f>VLOOKUP(A650,MasterTutor!A:E,4,FALSE)</f>
        <v>#N/A</v>
      </c>
      <c r="C650" t="e">
        <f>VLOOKUP(A650,MasterTutor!A:E,3,FALSE)</f>
        <v>#N/A</v>
      </c>
      <c r="D650" t="e">
        <f>VLOOKUP(A650,MasterTutor!A:E,2,FALSE)</f>
        <v>#N/A</v>
      </c>
      <c r="E650" t="s">
        <v>358</v>
      </c>
      <c r="F650" s="2">
        <v>0.61</v>
      </c>
      <c r="G650" s="2">
        <v>1.25</v>
      </c>
      <c r="H650" s="2">
        <v>0.92589999999999995</v>
      </c>
      <c r="I650" s="2">
        <v>0.91669999999999996</v>
      </c>
      <c r="J650" s="2">
        <v>0.83299999999999996</v>
      </c>
      <c r="K650">
        <v>2</v>
      </c>
    </row>
    <row r="651" spans="1:13" x14ac:dyDescent="0.2">
      <c r="A651" t="s">
        <v>254</v>
      </c>
      <c r="B651" t="str">
        <f>VLOOKUP(A651,MasterTutor!A:E,4,FALSE)</f>
        <v>Advanced</v>
      </c>
      <c r="C651" t="str">
        <f>VLOOKUP(A651,MasterTutor!A:E,3,FALSE)</f>
        <v>Professional</v>
      </c>
      <c r="D651" t="str">
        <f>VLOOKUP(A651,MasterTutor!A:E,2,FALSE)</f>
        <v>Annelies de Groot</v>
      </c>
      <c r="E651" t="s">
        <v>358</v>
      </c>
      <c r="F651" s="2">
        <v>0.72</v>
      </c>
      <c r="G651" s="2">
        <v>1.07</v>
      </c>
      <c r="H651" s="2">
        <v>0.96799999999999997</v>
      </c>
      <c r="I651" s="2">
        <v>0.84</v>
      </c>
      <c r="J651" s="2">
        <v>0.72199999999999998</v>
      </c>
      <c r="K651" t="e">
        <v>#N/A</v>
      </c>
      <c r="L651" s="19">
        <v>0</v>
      </c>
      <c r="M651" s="21">
        <f>L651</f>
        <v>0</v>
      </c>
    </row>
    <row r="652" spans="1:13" x14ac:dyDescent="0.2">
      <c r="A652" t="s">
        <v>67</v>
      </c>
      <c r="B652" t="str">
        <f>VLOOKUP(A652,MasterTutor!A:E,4,FALSE)</f>
        <v>Distinguished</v>
      </c>
      <c r="C652" t="str">
        <f>VLOOKUP(A652,MasterTutor!A:E,3,FALSE)</f>
        <v>Professional</v>
      </c>
      <c r="D652" t="str">
        <f>VLOOKUP(A652,MasterTutor!A:E,2,FALSE)</f>
        <v>Ian Plamondon</v>
      </c>
      <c r="E652" t="s">
        <v>358</v>
      </c>
      <c r="F652" s="2">
        <v>0.88</v>
      </c>
      <c r="G652" s="2">
        <v>1.22</v>
      </c>
      <c r="H652" s="2">
        <v>1</v>
      </c>
      <c r="I652" s="2">
        <v>1</v>
      </c>
      <c r="J652" s="2">
        <v>0.875</v>
      </c>
      <c r="K652">
        <v>6</v>
      </c>
      <c r="L652" s="19" t="s">
        <v>329</v>
      </c>
      <c r="M652" s="21">
        <v>0.75</v>
      </c>
    </row>
    <row r="653" spans="1:13" x14ac:dyDescent="0.2">
      <c r="A653" t="s">
        <v>68</v>
      </c>
      <c r="B653" t="str">
        <f>VLOOKUP(A653,MasterTutor!A:E,4,FALSE)</f>
        <v>Advanced</v>
      </c>
      <c r="C653" t="str">
        <f>VLOOKUP(A653,MasterTutor!A:E,3,FALSE)</f>
        <v>Professional</v>
      </c>
      <c r="D653" t="str">
        <f>VLOOKUP(A653,MasterTutor!A:E,2,FALSE)</f>
        <v>Ian Plamondon</v>
      </c>
      <c r="E653" t="s">
        <v>358</v>
      </c>
      <c r="F653" s="2">
        <v>0.7</v>
      </c>
      <c r="G653" s="2">
        <v>1.02</v>
      </c>
      <c r="H653" s="2">
        <v>0.95609999999999995</v>
      </c>
      <c r="I653" s="2">
        <v>1</v>
      </c>
      <c r="J653" s="2">
        <v>0.47399999999999998</v>
      </c>
      <c r="K653">
        <v>3</v>
      </c>
      <c r="L653" s="19" t="s">
        <v>331</v>
      </c>
      <c r="M653" s="21">
        <v>0.5</v>
      </c>
    </row>
    <row r="654" spans="1:13" x14ac:dyDescent="0.2">
      <c r="A654" t="s">
        <v>69</v>
      </c>
      <c r="B654" t="str">
        <f>VLOOKUP(A654,MasterTutor!A:E,4,FALSE)</f>
        <v>Advanced</v>
      </c>
      <c r="C654" t="str">
        <f>VLOOKUP(A654,MasterTutor!A:E,3,FALSE)</f>
        <v>Adjunct</v>
      </c>
      <c r="D654" t="str">
        <f>VLOOKUP(A654,MasterTutor!A:E,2,FALSE)</f>
        <v>Ela Cross</v>
      </c>
      <c r="E654" t="s">
        <v>358</v>
      </c>
      <c r="F654" s="2">
        <v>0.92</v>
      </c>
      <c r="G654" s="2">
        <v>1.02</v>
      </c>
      <c r="H654" s="2">
        <v>1</v>
      </c>
      <c r="I654" s="2">
        <v>0.94440000000000002</v>
      </c>
      <c r="J654" s="2">
        <v>0.85699999999999998</v>
      </c>
      <c r="K654">
        <v>5</v>
      </c>
      <c r="L654" s="19" t="s">
        <v>331</v>
      </c>
      <c r="M654" s="21">
        <v>0.5</v>
      </c>
    </row>
    <row r="655" spans="1:13" x14ac:dyDescent="0.2">
      <c r="A655" t="s">
        <v>70</v>
      </c>
      <c r="B655" t="str">
        <f>VLOOKUP(A655,MasterTutor!A:E,4,FALSE)</f>
        <v>Distinguished</v>
      </c>
      <c r="C655" t="str">
        <f>VLOOKUP(A655,MasterTutor!A:E,3,FALSE)</f>
        <v>Professional</v>
      </c>
      <c r="D655" t="str">
        <f>VLOOKUP(A655,MasterTutor!A:E,2,FALSE)</f>
        <v>Ela Cross</v>
      </c>
      <c r="E655" t="s">
        <v>358</v>
      </c>
      <c r="F655" s="2">
        <v>1.1599999999999999</v>
      </c>
      <c r="G655" s="2">
        <v>1.21</v>
      </c>
      <c r="H655" s="2">
        <v>0.98199999999999998</v>
      </c>
      <c r="I655" s="2">
        <v>0.95189999999999997</v>
      </c>
      <c r="J655" s="2">
        <v>0.70599999999999996</v>
      </c>
      <c r="K655">
        <v>10</v>
      </c>
      <c r="L655" s="19" t="s">
        <v>344</v>
      </c>
      <c r="M655" s="21">
        <v>0.83</v>
      </c>
    </row>
    <row r="656" spans="1:13" x14ac:dyDescent="0.2">
      <c r="A656" t="s">
        <v>71</v>
      </c>
      <c r="B656" t="str">
        <f>VLOOKUP(A656,MasterTutor!A:E,4,FALSE)</f>
        <v>Premium</v>
      </c>
      <c r="C656" t="str">
        <f>VLOOKUP(A656,MasterTutor!A:E,3,FALSE)</f>
        <v>Professional</v>
      </c>
      <c r="D656" t="str">
        <f>VLOOKUP(A656,MasterTutor!A:E,2,FALSE)</f>
        <v>Ian Plamondon</v>
      </c>
      <c r="E656" t="s">
        <v>358</v>
      </c>
      <c r="F656" s="2">
        <v>1.19</v>
      </c>
      <c r="G656" s="2">
        <v>1.28</v>
      </c>
      <c r="H656" s="2">
        <v>0.97629999999999995</v>
      </c>
      <c r="I656" s="2">
        <v>0.92130000000000001</v>
      </c>
      <c r="J656" s="2">
        <v>0.84</v>
      </c>
      <c r="K656">
        <v>3</v>
      </c>
    </row>
    <row r="657" spans="1:13" x14ac:dyDescent="0.2">
      <c r="A657" t="s">
        <v>258</v>
      </c>
      <c r="B657" t="str">
        <f>VLOOKUP(A657,MasterTutor!A:E,4,FALSE)</f>
        <v>Advanced</v>
      </c>
      <c r="C657" t="str">
        <f>VLOOKUP(A657,MasterTutor!A:E,3,FALSE)</f>
        <v>Adjunct</v>
      </c>
      <c r="D657" t="str">
        <f>VLOOKUP(A657,MasterTutor!A:E,2,FALSE)</f>
        <v>Kristin Haase-Alvey</v>
      </c>
      <c r="E657" t="s">
        <v>358</v>
      </c>
      <c r="F657" s="2">
        <v>0.26</v>
      </c>
      <c r="G657" s="2">
        <v>1.07</v>
      </c>
      <c r="H657" s="2">
        <v>1</v>
      </c>
      <c r="I657" s="2">
        <v>1</v>
      </c>
      <c r="J657" s="2">
        <v>0.71399999999999997</v>
      </c>
      <c r="K657" t="e">
        <v>#N/A</v>
      </c>
      <c r="L657" s="19" t="s">
        <v>338</v>
      </c>
      <c r="M657" s="21">
        <v>0.8</v>
      </c>
    </row>
    <row r="658" spans="1:13" x14ac:dyDescent="0.2">
      <c r="A658" t="s">
        <v>72</v>
      </c>
      <c r="B658" t="str">
        <f>VLOOKUP(A658,MasterTutor!A:E,4,FALSE)</f>
        <v>Premium</v>
      </c>
      <c r="C658" t="str">
        <f>VLOOKUP(A658,MasterTutor!A:E,3,FALSE)</f>
        <v>Adjunct</v>
      </c>
      <c r="D658" t="str">
        <f>VLOOKUP(A658,MasterTutor!A:E,2,FALSE)</f>
        <v>Annelies de Groot</v>
      </c>
      <c r="E658" t="s">
        <v>358</v>
      </c>
      <c r="F658" s="2">
        <v>1.37</v>
      </c>
      <c r="G658" s="2">
        <v>1.08</v>
      </c>
      <c r="H658" s="2">
        <v>0.98529999999999995</v>
      </c>
      <c r="I658" s="2">
        <v>1</v>
      </c>
      <c r="J658" s="2">
        <v>0.625</v>
      </c>
      <c r="K658">
        <v>1</v>
      </c>
      <c r="L658" s="19">
        <v>0</v>
      </c>
      <c r="M658" s="21">
        <f>L658</f>
        <v>0</v>
      </c>
    </row>
    <row r="659" spans="1:13" x14ac:dyDescent="0.2">
      <c r="A659" t="s">
        <v>73</v>
      </c>
      <c r="B659" t="str">
        <f>VLOOKUP(A659,MasterTutor!A:E,4,FALSE)</f>
        <v>Advanced</v>
      </c>
      <c r="C659" t="str">
        <f>VLOOKUP(A659,MasterTutor!A:E,3,FALSE)</f>
        <v>Adjunct</v>
      </c>
      <c r="D659" t="str">
        <f>VLOOKUP(A659,MasterTutor!A:E,2,FALSE)</f>
        <v>Geoff St. Marie</v>
      </c>
      <c r="E659" t="s">
        <v>358</v>
      </c>
      <c r="F659" s="2">
        <v>1.44</v>
      </c>
      <c r="G659" s="2">
        <v>1.64</v>
      </c>
      <c r="H659" s="2">
        <v>1</v>
      </c>
      <c r="I659" s="2">
        <v>0.9556</v>
      </c>
      <c r="J659" s="2">
        <v>0.625</v>
      </c>
      <c r="K659">
        <v>3</v>
      </c>
      <c r="L659" s="19">
        <v>0</v>
      </c>
      <c r="M659" s="21">
        <f>L659</f>
        <v>0</v>
      </c>
    </row>
    <row r="660" spans="1:13" x14ac:dyDescent="0.2">
      <c r="A660" t="s">
        <v>74</v>
      </c>
      <c r="B660" t="str">
        <f>VLOOKUP(A660,MasterTutor!A:E,4,FALSE)</f>
        <v>Distinguished</v>
      </c>
      <c r="C660" t="str">
        <f>VLOOKUP(A660,MasterTutor!A:E,3,FALSE)</f>
        <v>Adjunct</v>
      </c>
      <c r="D660" t="str">
        <f>VLOOKUP(A660,MasterTutor!A:E,2,FALSE)</f>
        <v>Ela Cross</v>
      </c>
      <c r="E660" t="s">
        <v>358</v>
      </c>
      <c r="F660" s="2">
        <v>0.95</v>
      </c>
      <c r="G660" s="2">
        <v>1.1299999999999999</v>
      </c>
      <c r="H660" s="2">
        <v>0.9375</v>
      </c>
      <c r="I660" s="2">
        <v>1</v>
      </c>
      <c r="J660" s="2">
        <v>0.72699999999999998</v>
      </c>
      <c r="K660">
        <v>2</v>
      </c>
      <c r="L660" s="19">
        <v>0</v>
      </c>
      <c r="M660" s="21">
        <f>L660</f>
        <v>0</v>
      </c>
    </row>
    <row r="661" spans="1:13" x14ac:dyDescent="0.2">
      <c r="A661" t="s">
        <v>75</v>
      </c>
      <c r="B661" t="str">
        <f>VLOOKUP(A661,MasterTutor!A:E,4,FALSE)</f>
        <v>Advanced</v>
      </c>
      <c r="C661" t="str">
        <f>VLOOKUP(A661,MasterTutor!A:E,3,FALSE)</f>
        <v>Professional</v>
      </c>
      <c r="D661" t="str">
        <f>VLOOKUP(A661,MasterTutor!A:E,2,FALSE)</f>
        <v>Geoff St. Marie</v>
      </c>
      <c r="E661" t="s">
        <v>358</v>
      </c>
      <c r="F661" s="2">
        <v>1.07</v>
      </c>
      <c r="G661" s="2">
        <v>1.1299999999999999</v>
      </c>
      <c r="H661" s="2">
        <v>0.9919</v>
      </c>
      <c r="I661" s="2">
        <v>0.6905</v>
      </c>
      <c r="J661" s="2">
        <v>0.36399999999999999</v>
      </c>
      <c r="K661">
        <v>3</v>
      </c>
      <c r="L661" s="19" t="s">
        <v>329</v>
      </c>
      <c r="M661" s="21">
        <v>0.75</v>
      </c>
    </row>
    <row r="662" spans="1:13" x14ac:dyDescent="0.2">
      <c r="A662" t="s">
        <v>265</v>
      </c>
      <c r="B662" t="str">
        <f>VLOOKUP(A662,MasterTutor!A:E,4,FALSE)</f>
        <v>Advanced</v>
      </c>
      <c r="C662" t="str">
        <f>VLOOKUP(A662,MasterTutor!A:E,3,FALSE)</f>
        <v>Adjunct</v>
      </c>
      <c r="D662" t="str">
        <f>VLOOKUP(A662,MasterTutor!A:E,2,FALSE)</f>
        <v>Kristin Haase-Alvey</v>
      </c>
      <c r="E662" t="s">
        <v>358</v>
      </c>
      <c r="F662" s="2">
        <v>0.02</v>
      </c>
      <c r="G662" s="2">
        <v>0.85</v>
      </c>
      <c r="H662" s="2">
        <v>1</v>
      </c>
      <c r="I662" s="2">
        <v>1</v>
      </c>
      <c r="J662" s="2">
        <v>1</v>
      </c>
      <c r="K662" t="e">
        <v>#N/A</v>
      </c>
    </row>
    <row r="663" spans="1:13" x14ac:dyDescent="0.2">
      <c r="A663" t="s">
        <v>76</v>
      </c>
      <c r="B663" t="e">
        <f>VLOOKUP(A663,MasterTutor!A:E,4,FALSE)</f>
        <v>#N/A</v>
      </c>
      <c r="C663" t="e">
        <f>VLOOKUP(A663,MasterTutor!A:E,3,FALSE)</f>
        <v>#N/A</v>
      </c>
      <c r="D663" t="e">
        <f>VLOOKUP(A663,MasterTutor!A:E,2,FALSE)</f>
        <v>#N/A</v>
      </c>
      <c r="E663" t="s">
        <v>358</v>
      </c>
      <c r="F663" s="2">
        <v>1.06</v>
      </c>
      <c r="G663" s="2">
        <v>1.23</v>
      </c>
      <c r="H663" s="2">
        <v>1</v>
      </c>
      <c r="I663" s="2">
        <v>0.94120000000000004</v>
      </c>
      <c r="J663" s="2">
        <v>0.72699999999999998</v>
      </c>
      <c r="K663">
        <v>1</v>
      </c>
      <c r="L663" s="19" t="s">
        <v>331</v>
      </c>
      <c r="M663" s="21">
        <v>0.5</v>
      </c>
    </row>
    <row r="664" spans="1:13" x14ac:dyDescent="0.2">
      <c r="A664" t="s">
        <v>77</v>
      </c>
      <c r="B664" t="str">
        <f>VLOOKUP(A664,MasterTutor!A:E,4,FALSE)</f>
        <v>Distinguished</v>
      </c>
      <c r="C664" t="str">
        <f>VLOOKUP(A664,MasterTutor!A:E,3,FALSE)</f>
        <v>Professional</v>
      </c>
      <c r="D664" t="str">
        <f>VLOOKUP(A664,MasterTutor!A:E,2,FALSE)</f>
        <v>Ian Plamondon</v>
      </c>
      <c r="E664" t="s">
        <v>358</v>
      </c>
      <c r="F664" s="2">
        <v>0.84</v>
      </c>
      <c r="G664" s="2">
        <v>1.04</v>
      </c>
      <c r="H664" s="2">
        <v>0.92390000000000005</v>
      </c>
      <c r="I664" s="2">
        <v>0.95520000000000005</v>
      </c>
      <c r="J664" s="2">
        <v>0.52200000000000002</v>
      </c>
      <c r="K664">
        <v>2</v>
      </c>
      <c r="L664" s="19" t="s">
        <v>331</v>
      </c>
      <c r="M664" s="21">
        <v>0.5</v>
      </c>
    </row>
    <row r="665" spans="1:13" x14ac:dyDescent="0.2">
      <c r="A665" t="s">
        <v>78</v>
      </c>
      <c r="B665" t="str">
        <f>VLOOKUP(A665,MasterTutor!A:E,4,FALSE)</f>
        <v>Distinguished</v>
      </c>
      <c r="C665" t="str">
        <f>VLOOKUP(A665,MasterTutor!A:E,3,FALSE)</f>
        <v>Adjunct</v>
      </c>
      <c r="D665" t="str">
        <f>VLOOKUP(A665,MasterTutor!A:E,2,FALSE)</f>
        <v>Geoff St. Marie</v>
      </c>
      <c r="E665" t="s">
        <v>358</v>
      </c>
      <c r="F665" s="2">
        <v>0.68</v>
      </c>
      <c r="G665" s="2">
        <v>1.08</v>
      </c>
      <c r="H665" s="2">
        <v>1</v>
      </c>
      <c r="I665" s="2">
        <v>1</v>
      </c>
      <c r="J665" s="2">
        <v>1</v>
      </c>
      <c r="K665">
        <v>2</v>
      </c>
      <c r="L665" s="19" t="s">
        <v>335</v>
      </c>
      <c r="M665" s="21">
        <v>0.25</v>
      </c>
    </row>
    <row r="666" spans="1:13" x14ac:dyDescent="0.2">
      <c r="A666" t="s">
        <v>79</v>
      </c>
      <c r="B666" t="str">
        <f>VLOOKUP(A666,MasterTutor!A:E,4,FALSE)</f>
        <v>Premium</v>
      </c>
      <c r="C666" t="str">
        <f>VLOOKUP(A666,MasterTutor!A:E,3,FALSE)</f>
        <v>Professional</v>
      </c>
      <c r="D666" t="str">
        <f>VLOOKUP(A666,MasterTutor!A:E,2,FALSE)</f>
        <v>Ian Plamondon</v>
      </c>
      <c r="E666" t="s">
        <v>358</v>
      </c>
      <c r="F666" s="2">
        <v>1.01</v>
      </c>
      <c r="G666" s="2">
        <v>1.1200000000000001</v>
      </c>
      <c r="H666" s="2">
        <v>0.98150000000000004</v>
      </c>
      <c r="I666" s="2">
        <v>0.98729999999999996</v>
      </c>
      <c r="J666" s="2">
        <v>0.81499999999999995</v>
      </c>
      <c r="K666">
        <v>3</v>
      </c>
      <c r="L666" s="19">
        <v>0</v>
      </c>
      <c r="M666" s="21">
        <f>L666</f>
        <v>0</v>
      </c>
    </row>
    <row r="667" spans="1:13" x14ac:dyDescent="0.2">
      <c r="A667" t="s">
        <v>80</v>
      </c>
      <c r="B667" t="e">
        <f>VLOOKUP(A667,MasterTutor!A:E,4,FALSE)</f>
        <v>#N/A</v>
      </c>
      <c r="C667" t="e">
        <f>VLOOKUP(A667,MasterTutor!A:E,3,FALSE)</f>
        <v>#N/A</v>
      </c>
      <c r="D667" t="e">
        <f>VLOOKUP(A667,MasterTutor!A:E,2,FALSE)</f>
        <v>#N/A</v>
      </c>
      <c r="E667" t="s">
        <v>358</v>
      </c>
      <c r="F667" s="2">
        <v>0.68</v>
      </c>
      <c r="G667" s="2">
        <v>0.76</v>
      </c>
      <c r="H667" s="2">
        <v>1</v>
      </c>
      <c r="I667" s="2">
        <v>0.90380000000000005</v>
      </c>
      <c r="J667" s="2">
        <v>0.45500000000000002</v>
      </c>
      <c r="K667" t="e">
        <v>#N/A</v>
      </c>
      <c r="L667" s="19">
        <v>1</v>
      </c>
      <c r="M667" s="21">
        <f>L667</f>
        <v>1</v>
      </c>
    </row>
    <row r="668" spans="1:13" x14ac:dyDescent="0.2">
      <c r="A668" t="s">
        <v>81</v>
      </c>
      <c r="B668" t="str">
        <f>VLOOKUP(A668,MasterTutor!A:E,4,FALSE)</f>
        <v>Distinguished</v>
      </c>
      <c r="C668" t="str">
        <f>VLOOKUP(A668,MasterTutor!A:E,3,FALSE)</f>
        <v>Professional</v>
      </c>
      <c r="D668" t="str">
        <f>VLOOKUP(A668,MasterTutor!A:E,2,FALSE)</f>
        <v>Ian Plamondon</v>
      </c>
      <c r="E668" t="s">
        <v>358</v>
      </c>
      <c r="F668" s="2">
        <v>0.83</v>
      </c>
      <c r="G668" s="2">
        <v>1.08</v>
      </c>
      <c r="H668" s="2">
        <v>0.99039999999999995</v>
      </c>
      <c r="I668" s="2">
        <v>0.94640000000000002</v>
      </c>
      <c r="J668" s="2">
        <v>1</v>
      </c>
      <c r="K668">
        <v>4</v>
      </c>
      <c r="L668" s="19">
        <v>1</v>
      </c>
      <c r="M668" s="21">
        <f>L668</f>
        <v>1</v>
      </c>
    </row>
    <row r="669" spans="1:13" x14ac:dyDescent="0.2">
      <c r="A669" t="s">
        <v>268</v>
      </c>
      <c r="B669" t="str">
        <f>VLOOKUP(A669,MasterTutor!A:E,4,FALSE)</f>
        <v>Advanced</v>
      </c>
      <c r="C669" t="str">
        <f>VLOOKUP(A669,MasterTutor!A:E,3,FALSE)</f>
        <v xml:space="preserve">Adjunct </v>
      </c>
      <c r="D669" t="str">
        <f>VLOOKUP(A669,MasterTutor!A:E,2,FALSE)</f>
        <v>Kristin Haase-Alvey</v>
      </c>
      <c r="E669" t="s">
        <v>358</v>
      </c>
      <c r="F669" s="2">
        <v>0.04</v>
      </c>
      <c r="G669" s="2">
        <v>0.46</v>
      </c>
      <c r="H669" s="2">
        <v>1</v>
      </c>
      <c r="I669" s="2">
        <v>1</v>
      </c>
      <c r="J669" s="2">
        <v>0.84599999999999997</v>
      </c>
      <c r="K669" t="e">
        <v>#N/A</v>
      </c>
      <c r="L669" s="19">
        <v>1</v>
      </c>
      <c r="M669" s="21">
        <f>L669</f>
        <v>1</v>
      </c>
    </row>
    <row r="670" spans="1:13" x14ac:dyDescent="0.2">
      <c r="A670" t="s">
        <v>353</v>
      </c>
      <c r="B670" t="e">
        <f>VLOOKUP(A670,MasterTutor!A:E,4,FALSE)</f>
        <v>#N/A</v>
      </c>
      <c r="C670" t="e">
        <f>VLOOKUP(A670,MasterTutor!A:E,3,FALSE)</f>
        <v>#N/A</v>
      </c>
      <c r="D670" t="e">
        <f>VLOOKUP(A670,MasterTutor!A:E,2,FALSE)</f>
        <v>#N/A</v>
      </c>
      <c r="E670" t="s">
        <v>358</v>
      </c>
      <c r="F670" s="2">
        <v>1.05</v>
      </c>
      <c r="G670" s="2">
        <v>1.24</v>
      </c>
      <c r="H670" s="2">
        <v>0.8397</v>
      </c>
      <c r="I670" s="2">
        <v>0.92159999999999997</v>
      </c>
      <c r="J670" s="2">
        <v>0.69399999999999995</v>
      </c>
      <c r="K670">
        <v>15</v>
      </c>
      <c r="L670" s="19" t="s">
        <v>335</v>
      </c>
      <c r="M670" s="21">
        <v>0.25</v>
      </c>
    </row>
    <row r="671" spans="1:13" x14ac:dyDescent="0.2">
      <c r="A671" t="s">
        <v>82</v>
      </c>
      <c r="B671" t="str">
        <f>VLOOKUP(A671,MasterTutor!A:E,4,FALSE)</f>
        <v>Premium</v>
      </c>
      <c r="C671" t="str">
        <f>VLOOKUP(A671,MasterTutor!A:E,3,FALSE)</f>
        <v>Adjunct</v>
      </c>
      <c r="D671" t="str">
        <f>VLOOKUP(A671,MasterTutor!A:E,2,FALSE)</f>
        <v>Jessica Milner</v>
      </c>
      <c r="E671" t="s">
        <v>358</v>
      </c>
      <c r="F671" s="2">
        <v>0.75</v>
      </c>
      <c r="G671" s="2">
        <v>1.1299999999999999</v>
      </c>
      <c r="H671" s="2">
        <v>1</v>
      </c>
      <c r="I671" s="2">
        <v>1</v>
      </c>
      <c r="J671" s="2">
        <v>1</v>
      </c>
      <c r="K671">
        <v>7</v>
      </c>
    </row>
    <row r="672" spans="1:13" x14ac:dyDescent="0.2">
      <c r="A672" t="s">
        <v>83</v>
      </c>
      <c r="B672" t="str">
        <f>VLOOKUP(A672,MasterTutor!A:E,4,FALSE)</f>
        <v>Premium</v>
      </c>
      <c r="C672" t="str">
        <f>VLOOKUP(A672,MasterTutor!A:E,3,FALSE)</f>
        <v>Professional</v>
      </c>
      <c r="D672" t="str">
        <f>VLOOKUP(A672,MasterTutor!A:E,2,FALSE)</f>
        <v>Jessica Milner</v>
      </c>
      <c r="E672" t="s">
        <v>358</v>
      </c>
      <c r="F672" s="2">
        <v>1.0900000000000001</v>
      </c>
      <c r="G672" s="2">
        <v>1.46</v>
      </c>
      <c r="H672" s="2">
        <v>0.98409999999999997</v>
      </c>
      <c r="I672" s="2">
        <v>1</v>
      </c>
      <c r="J672" s="2">
        <v>0.71399999999999997</v>
      </c>
      <c r="K672">
        <v>5</v>
      </c>
    </row>
    <row r="673" spans="1:13" x14ac:dyDescent="0.2">
      <c r="A673" t="s">
        <v>84</v>
      </c>
      <c r="B673" t="str">
        <f>VLOOKUP(A673,MasterTutor!A:E,4,FALSE)</f>
        <v>Advanced</v>
      </c>
      <c r="C673" t="str">
        <f>VLOOKUP(A673,MasterTutor!A:E,3,FALSE)</f>
        <v>Professional</v>
      </c>
      <c r="D673" t="str">
        <f>VLOOKUP(A673,MasterTutor!A:E,2,FALSE)</f>
        <v>Kristin Haase-Alvey</v>
      </c>
      <c r="E673" t="s">
        <v>358</v>
      </c>
      <c r="F673" s="2">
        <v>0.99</v>
      </c>
      <c r="G673" s="2">
        <v>1.06</v>
      </c>
      <c r="H673" s="2">
        <v>0.98909999999999998</v>
      </c>
      <c r="I673" s="2">
        <v>1</v>
      </c>
      <c r="J673" s="2">
        <v>0.73099999999999998</v>
      </c>
      <c r="K673">
        <v>9</v>
      </c>
      <c r="L673" s="19" t="s">
        <v>330</v>
      </c>
      <c r="M673" s="21">
        <v>0.67</v>
      </c>
    </row>
    <row r="674" spans="1:13" x14ac:dyDescent="0.2">
      <c r="A674" t="s">
        <v>85</v>
      </c>
      <c r="B674" t="str">
        <f>VLOOKUP(A674,MasterTutor!A:E,4,FALSE)</f>
        <v>Premium</v>
      </c>
      <c r="C674" t="str">
        <f>VLOOKUP(A674,MasterTutor!A:E,3,FALSE)</f>
        <v>Professional</v>
      </c>
      <c r="D674" t="str">
        <f>VLOOKUP(A674,MasterTutor!A:E,2,FALSE)</f>
        <v>Ian Plamondon</v>
      </c>
      <c r="E674" t="s">
        <v>358</v>
      </c>
      <c r="F674" s="2">
        <v>1.0900000000000001</v>
      </c>
      <c r="G674" s="2">
        <v>1.42</v>
      </c>
      <c r="H674" s="2">
        <v>0.97829999999999995</v>
      </c>
      <c r="I674" s="2">
        <v>0.96879999999999999</v>
      </c>
      <c r="J674" s="2">
        <v>0.84599999999999997</v>
      </c>
      <c r="K674">
        <v>2</v>
      </c>
      <c r="L674" s="19">
        <v>1</v>
      </c>
      <c r="M674" s="21">
        <f>L674</f>
        <v>1</v>
      </c>
    </row>
    <row r="675" spans="1:13" x14ac:dyDescent="0.2">
      <c r="A675" t="s">
        <v>86</v>
      </c>
      <c r="B675" t="e">
        <f>VLOOKUP(A675,MasterTutor!A:E,4,FALSE)</f>
        <v>#N/A</v>
      </c>
      <c r="C675" t="e">
        <f>VLOOKUP(A675,MasterTutor!A:E,3,FALSE)</f>
        <v>#N/A</v>
      </c>
      <c r="D675" t="e">
        <f>VLOOKUP(A675,MasterTutor!A:E,2,FALSE)</f>
        <v>#N/A</v>
      </c>
      <c r="E675" t="s">
        <v>358</v>
      </c>
      <c r="F675" s="2">
        <v>0.84</v>
      </c>
      <c r="G675" s="2">
        <v>1.05</v>
      </c>
      <c r="H675" s="2">
        <v>0.90400000000000003</v>
      </c>
      <c r="I675" s="2">
        <v>0.89290000000000003</v>
      </c>
      <c r="J675" s="2">
        <v>0.68799999999999994</v>
      </c>
      <c r="K675">
        <v>6</v>
      </c>
      <c r="L675" s="19" t="s">
        <v>330</v>
      </c>
      <c r="M675" s="21">
        <v>0.67</v>
      </c>
    </row>
    <row r="676" spans="1:13" x14ac:dyDescent="0.2">
      <c r="A676" t="s">
        <v>87</v>
      </c>
      <c r="B676" t="str">
        <f>VLOOKUP(A676,MasterTutor!A:E,4,FALSE)</f>
        <v>Advanced</v>
      </c>
      <c r="C676" t="str">
        <f>VLOOKUP(A676,MasterTutor!A:E,3,FALSE)</f>
        <v>Adjunct</v>
      </c>
      <c r="D676" t="str">
        <f>VLOOKUP(A676,MasterTutor!A:E,2,FALSE)</f>
        <v>Ela Cross</v>
      </c>
      <c r="E676" t="s">
        <v>358</v>
      </c>
      <c r="F676" s="2">
        <v>0.96</v>
      </c>
      <c r="G676" s="2">
        <v>0.93</v>
      </c>
      <c r="H676" s="2">
        <v>1</v>
      </c>
      <c r="I676" s="2">
        <v>0.97330000000000005</v>
      </c>
      <c r="J676" s="2">
        <v>0.59299999999999997</v>
      </c>
      <c r="K676">
        <v>8</v>
      </c>
      <c r="L676" s="19" t="s">
        <v>337</v>
      </c>
      <c r="M676" s="21">
        <f>1/3</f>
        <v>0.33333333333333331</v>
      </c>
    </row>
    <row r="677" spans="1:13" x14ac:dyDescent="0.2">
      <c r="A677" t="s">
        <v>88</v>
      </c>
      <c r="B677" t="str">
        <f>VLOOKUP(A677,MasterTutor!A:E,4,FALSE)</f>
        <v>Distinguished</v>
      </c>
      <c r="C677" t="str">
        <f>VLOOKUP(A677,MasterTutor!A:E,3,FALSE)</f>
        <v>Professional</v>
      </c>
      <c r="D677" t="str">
        <f>VLOOKUP(A677,MasterTutor!A:E,2,FALSE)</f>
        <v>Ian Plamondon</v>
      </c>
      <c r="E677" t="s">
        <v>358</v>
      </c>
      <c r="F677" s="2">
        <v>1.38</v>
      </c>
      <c r="G677" s="2">
        <v>1.31</v>
      </c>
      <c r="H677" s="2">
        <v>1</v>
      </c>
      <c r="I677" s="2">
        <v>0.98519999999999996</v>
      </c>
      <c r="J677" s="2">
        <v>0.878</v>
      </c>
      <c r="K677">
        <v>14</v>
      </c>
      <c r="L677" s="19">
        <v>1</v>
      </c>
      <c r="M677" s="21">
        <f>L677</f>
        <v>1</v>
      </c>
    </row>
    <row r="678" spans="1:13" x14ac:dyDescent="0.2">
      <c r="A678" t="s">
        <v>272</v>
      </c>
      <c r="B678" t="str">
        <f>VLOOKUP(A678,MasterTutor!A:E,4,FALSE)</f>
        <v>Advanced</v>
      </c>
      <c r="C678" t="str">
        <f>VLOOKUP(A678,MasterTutor!A:E,3,FALSE)</f>
        <v xml:space="preserve">Professional </v>
      </c>
      <c r="D678" t="str">
        <f>VLOOKUP(A678,MasterTutor!A:E,2,FALSE)</f>
        <v>Ian Plamondon</v>
      </c>
      <c r="E678" t="s">
        <v>358</v>
      </c>
      <c r="F678" s="2">
        <v>0.59</v>
      </c>
      <c r="G678" s="2">
        <v>0.81</v>
      </c>
      <c r="H678" s="2">
        <v>1</v>
      </c>
      <c r="I678" s="2">
        <v>0.71879999999999999</v>
      </c>
      <c r="J678" s="2">
        <v>0.5</v>
      </c>
      <c r="K678">
        <v>3</v>
      </c>
      <c r="L678" s="19">
        <v>1</v>
      </c>
      <c r="M678" s="21">
        <f>L678</f>
        <v>1</v>
      </c>
    </row>
    <row r="679" spans="1:13" x14ac:dyDescent="0.2">
      <c r="A679" t="s">
        <v>89</v>
      </c>
      <c r="B679" t="e">
        <f>VLOOKUP(A679,MasterTutor!A:E,4,FALSE)</f>
        <v>#N/A</v>
      </c>
      <c r="C679" t="e">
        <f>VLOOKUP(A679,MasterTutor!A:E,3,FALSE)</f>
        <v>#N/A</v>
      </c>
      <c r="D679" t="e">
        <f>VLOOKUP(A679,MasterTutor!A:E,2,FALSE)</f>
        <v>#N/A</v>
      </c>
      <c r="E679" t="s">
        <v>358</v>
      </c>
      <c r="F679" s="2">
        <v>1.23</v>
      </c>
      <c r="G679" s="2">
        <v>1.1499999999999999</v>
      </c>
      <c r="H679" s="2">
        <v>1</v>
      </c>
      <c r="I679" s="2">
        <v>0.9778</v>
      </c>
      <c r="J679" s="2">
        <v>0.84599999999999997</v>
      </c>
      <c r="K679">
        <v>7</v>
      </c>
      <c r="L679" s="19" t="s">
        <v>331</v>
      </c>
      <c r="M679" s="21">
        <v>0.5</v>
      </c>
    </row>
    <row r="680" spans="1:13" x14ac:dyDescent="0.2">
      <c r="A680" t="s">
        <v>90</v>
      </c>
      <c r="B680" t="str">
        <f>VLOOKUP(A680,MasterTutor!A:E,4,FALSE)</f>
        <v>Advanced</v>
      </c>
      <c r="C680" t="str">
        <f>VLOOKUP(A680,MasterTutor!A:E,3,FALSE)</f>
        <v>Adjunct</v>
      </c>
      <c r="D680" t="str">
        <f>VLOOKUP(A680,MasterTutor!A:E,2,FALSE)</f>
        <v>Ela Cross</v>
      </c>
      <c r="E680" t="s">
        <v>358</v>
      </c>
      <c r="F680" s="2">
        <v>1.19</v>
      </c>
      <c r="G680" s="2">
        <v>1.34</v>
      </c>
      <c r="H680" s="2">
        <v>0.94599999999999995</v>
      </c>
      <c r="I680" s="2">
        <v>1</v>
      </c>
      <c r="J680" s="2">
        <v>0.125</v>
      </c>
      <c r="K680">
        <v>11</v>
      </c>
    </row>
    <row r="681" spans="1:13" x14ac:dyDescent="0.2">
      <c r="A681" t="s">
        <v>92</v>
      </c>
      <c r="B681" t="str">
        <f>VLOOKUP(A681,MasterTutor!A:E,4,FALSE)</f>
        <v>Premium</v>
      </c>
      <c r="C681" t="str">
        <f>VLOOKUP(A681,MasterTutor!A:E,3,FALSE)</f>
        <v>Professional</v>
      </c>
      <c r="D681" t="str">
        <f>VLOOKUP(A681,MasterTutor!A:E,2,FALSE)</f>
        <v>Ian Plamondon</v>
      </c>
      <c r="E681" t="s">
        <v>358</v>
      </c>
      <c r="F681" s="2">
        <v>0.46</v>
      </c>
      <c r="G681" s="2">
        <v>0.88</v>
      </c>
      <c r="H681" s="2">
        <v>1</v>
      </c>
      <c r="I681" s="2">
        <v>0.97370000000000001</v>
      </c>
      <c r="J681" s="2">
        <v>0.86699999999999999</v>
      </c>
      <c r="K681">
        <v>1</v>
      </c>
      <c r="L681" s="19">
        <v>1</v>
      </c>
      <c r="M681" s="21">
        <f>L681</f>
        <v>1</v>
      </c>
    </row>
    <row r="682" spans="1:13" x14ac:dyDescent="0.2">
      <c r="A682" t="s">
        <v>93</v>
      </c>
      <c r="B682" t="str">
        <f>VLOOKUP(A682,MasterTutor!A:E,4,FALSE)</f>
        <v>Advanced</v>
      </c>
      <c r="C682" t="str">
        <f>VLOOKUP(A682,MasterTutor!A:E,3,FALSE)</f>
        <v>Professional</v>
      </c>
      <c r="D682" t="str">
        <f>VLOOKUP(A682,MasterTutor!A:E,2,FALSE)</f>
        <v>Ian Plamondon</v>
      </c>
      <c r="E682" t="s">
        <v>358</v>
      </c>
      <c r="F682" s="2">
        <v>1.06</v>
      </c>
      <c r="G682" s="2">
        <v>1.1000000000000001</v>
      </c>
      <c r="H682" s="2">
        <v>1</v>
      </c>
      <c r="I682" s="2">
        <v>0.89910000000000001</v>
      </c>
      <c r="J682" s="2">
        <v>0.86699999999999999</v>
      </c>
      <c r="K682">
        <v>18</v>
      </c>
      <c r="L682" s="19">
        <v>1</v>
      </c>
      <c r="M682" s="21">
        <f>L682</f>
        <v>1</v>
      </c>
    </row>
    <row r="683" spans="1:13" x14ac:dyDescent="0.2">
      <c r="A683" t="s">
        <v>94</v>
      </c>
      <c r="B683" t="str">
        <f>VLOOKUP(A683,MasterTutor!A:E,4,FALSE)</f>
        <v>Premium</v>
      </c>
      <c r="C683" t="str">
        <f>VLOOKUP(A683,MasterTutor!A:E,3,FALSE)</f>
        <v>Professional</v>
      </c>
      <c r="D683" t="str">
        <f>VLOOKUP(A683,MasterTutor!A:E,2,FALSE)</f>
        <v>Jessica Milner</v>
      </c>
      <c r="E683" t="s">
        <v>358</v>
      </c>
      <c r="F683" s="2">
        <v>1.04</v>
      </c>
      <c r="G683" s="2">
        <v>1.1499999999999999</v>
      </c>
      <c r="H683" s="2">
        <v>0.95609999999999995</v>
      </c>
      <c r="I683" s="2">
        <v>0.95350000000000001</v>
      </c>
      <c r="J683" s="2">
        <v>0.22600000000000001</v>
      </c>
      <c r="K683">
        <v>1</v>
      </c>
      <c r="L683" s="19">
        <v>1</v>
      </c>
      <c r="M683" s="21">
        <f>L683</f>
        <v>1</v>
      </c>
    </row>
    <row r="684" spans="1:13" x14ac:dyDescent="0.2">
      <c r="A684" t="s">
        <v>95</v>
      </c>
      <c r="B684" t="str">
        <f>VLOOKUP(A684,MasterTutor!A:E,4,FALSE)</f>
        <v>Advanced</v>
      </c>
      <c r="C684" t="str">
        <f>VLOOKUP(A684,MasterTutor!A:E,3,FALSE)</f>
        <v>Professional</v>
      </c>
      <c r="D684" t="str">
        <f>VLOOKUP(A684,MasterTutor!A:E,2,FALSE)</f>
        <v>Kristin Haase-Alvey</v>
      </c>
      <c r="E684" t="s">
        <v>358</v>
      </c>
      <c r="F684" s="2">
        <v>0.84</v>
      </c>
      <c r="G684" s="2">
        <v>0.85</v>
      </c>
      <c r="H684" s="2">
        <v>0.84630000000000005</v>
      </c>
      <c r="I684" s="2">
        <v>0.89190000000000003</v>
      </c>
      <c r="J684" s="2">
        <v>0.58599999999999997</v>
      </c>
      <c r="K684">
        <v>17</v>
      </c>
      <c r="L684" s="19">
        <v>1</v>
      </c>
      <c r="M684" s="21">
        <f>L684</f>
        <v>1</v>
      </c>
    </row>
    <row r="685" spans="1:13" x14ac:dyDescent="0.2">
      <c r="A685" t="s">
        <v>96</v>
      </c>
      <c r="B685" t="str">
        <f>VLOOKUP(A685,MasterTutor!A:E,4,FALSE)</f>
        <v>Distinguished</v>
      </c>
      <c r="C685" t="str">
        <f>VLOOKUP(A685,MasterTutor!A:E,3,FALSE)</f>
        <v>Adjunct</v>
      </c>
      <c r="D685" t="str">
        <f>VLOOKUP(A685,MasterTutor!A:E,2,FALSE)</f>
        <v>Kristin Haase-Alvey</v>
      </c>
      <c r="E685" t="s">
        <v>358</v>
      </c>
      <c r="F685" s="2">
        <v>0.87</v>
      </c>
      <c r="G685" s="2">
        <v>0.97</v>
      </c>
      <c r="H685" s="2">
        <v>1</v>
      </c>
      <c r="I685" s="2">
        <v>0.98309999999999997</v>
      </c>
      <c r="J685" s="2">
        <v>0.88900000000000001</v>
      </c>
      <c r="K685">
        <v>5</v>
      </c>
      <c r="L685" s="19">
        <v>1</v>
      </c>
      <c r="M685" s="21">
        <f>L685</f>
        <v>1</v>
      </c>
    </row>
    <row r="686" spans="1:13" x14ac:dyDescent="0.2">
      <c r="A686" t="s">
        <v>97</v>
      </c>
      <c r="B686" t="str">
        <f>VLOOKUP(A686,MasterTutor!A:E,4,FALSE)</f>
        <v>Advanced</v>
      </c>
      <c r="C686" t="str">
        <f>VLOOKUP(A686,MasterTutor!A:E,3,FALSE)</f>
        <v>Professional</v>
      </c>
      <c r="D686" t="str">
        <f>VLOOKUP(A686,MasterTutor!A:E,2,FALSE)</f>
        <v>Kristin Haase-Alvey</v>
      </c>
      <c r="E686" t="s">
        <v>358</v>
      </c>
      <c r="F686" s="2">
        <v>0.92</v>
      </c>
      <c r="G686" s="2">
        <v>1.0900000000000001</v>
      </c>
      <c r="H686" s="2">
        <v>1</v>
      </c>
      <c r="I686" s="2">
        <v>0.97009999999999996</v>
      </c>
      <c r="J686" s="2">
        <v>0.58599999999999997</v>
      </c>
      <c r="K686">
        <v>4</v>
      </c>
      <c r="L686" s="19" t="s">
        <v>350</v>
      </c>
      <c r="M686" s="21">
        <v>0.28999999999999998</v>
      </c>
    </row>
    <row r="687" spans="1:13" x14ac:dyDescent="0.2">
      <c r="A687" t="s">
        <v>98</v>
      </c>
      <c r="B687" t="str">
        <f>VLOOKUP(A687,MasterTutor!A:E,4,FALSE)</f>
        <v>Premium</v>
      </c>
      <c r="C687" t="str">
        <f>VLOOKUP(A687,MasterTutor!A:E,3,FALSE)</f>
        <v>Adjunct</v>
      </c>
      <c r="D687" t="str">
        <f>VLOOKUP(A687,MasterTutor!A:E,2,FALSE)</f>
        <v>Ela Cross</v>
      </c>
      <c r="E687" t="s">
        <v>358</v>
      </c>
      <c r="F687" s="2">
        <v>1.07</v>
      </c>
      <c r="G687" s="2">
        <v>1.45</v>
      </c>
      <c r="H687" s="2">
        <v>0.97729999999999995</v>
      </c>
      <c r="I687" s="2">
        <v>0.97060000000000002</v>
      </c>
      <c r="J687" s="2">
        <v>0.90900000000000003</v>
      </c>
      <c r="K687">
        <v>2</v>
      </c>
      <c r="L687" s="19">
        <v>1</v>
      </c>
      <c r="M687" s="21">
        <f>L687</f>
        <v>1</v>
      </c>
    </row>
    <row r="688" spans="1:13" x14ac:dyDescent="0.2">
      <c r="A688" t="s">
        <v>99</v>
      </c>
      <c r="B688" t="e">
        <f>VLOOKUP(A688,MasterTutor!A:E,4,FALSE)</f>
        <v>#N/A</v>
      </c>
      <c r="C688" t="e">
        <f>VLOOKUP(A688,MasterTutor!A:E,3,FALSE)</f>
        <v>#N/A</v>
      </c>
      <c r="D688" t="e">
        <f>VLOOKUP(A688,MasterTutor!A:E,2,FALSE)</f>
        <v>#N/A</v>
      </c>
      <c r="E688" t="s">
        <v>358</v>
      </c>
      <c r="F688" s="2">
        <v>0.13</v>
      </c>
      <c r="G688" s="2">
        <v>1.0900000000000001</v>
      </c>
      <c r="H688" s="2">
        <v>1</v>
      </c>
      <c r="I688" s="2">
        <v>0.88890000000000002</v>
      </c>
      <c r="J688" s="2">
        <v>0</v>
      </c>
      <c r="K688" t="e">
        <v>#N/A</v>
      </c>
    </row>
    <row r="689" spans="1:13" x14ac:dyDescent="0.2">
      <c r="A689" t="s">
        <v>100</v>
      </c>
      <c r="B689" t="str">
        <f>VLOOKUP(A689,MasterTutor!A:E,4,FALSE)</f>
        <v>Premium</v>
      </c>
      <c r="C689" t="str">
        <f>VLOOKUP(A689,MasterTutor!A:E,3,FALSE)</f>
        <v>Adjunct</v>
      </c>
      <c r="D689" t="str">
        <f>VLOOKUP(A689,MasterTutor!A:E,2,FALSE)</f>
        <v>Annelies de Groot</v>
      </c>
      <c r="E689" t="s">
        <v>358</v>
      </c>
      <c r="F689" s="2">
        <v>1.43</v>
      </c>
      <c r="G689" s="2">
        <v>1.1399999999999999</v>
      </c>
      <c r="H689" s="2">
        <v>0.98529999999999995</v>
      </c>
      <c r="I689" s="2">
        <v>1</v>
      </c>
      <c r="J689" s="2">
        <v>0.91700000000000004</v>
      </c>
      <c r="K689">
        <v>3</v>
      </c>
      <c r="L689" s="19">
        <v>1</v>
      </c>
      <c r="M689" s="21">
        <f>L689</f>
        <v>1</v>
      </c>
    </row>
    <row r="690" spans="1:13" x14ac:dyDescent="0.2">
      <c r="A690" t="s">
        <v>101</v>
      </c>
      <c r="B690" t="str">
        <f>VLOOKUP(A690,MasterTutor!A:E,4,FALSE)</f>
        <v>Advanced</v>
      </c>
      <c r="C690" t="str">
        <f>VLOOKUP(A690,MasterTutor!A:E,3,FALSE)</f>
        <v>Professional</v>
      </c>
      <c r="D690" t="str">
        <f>VLOOKUP(A690,MasterTutor!A:E,2,FALSE)</f>
        <v>Kristin Haase-Alvey</v>
      </c>
      <c r="E690" t="s">
        <v>358</v>
      </c>
      <c r="F690" s="2">
        <v>0.96</v>
      </c>
      <c r="G690" s="2">
        <v>1.08</v>
      </c>
      <c r="H690" s="2">
        <v>0.96389999999999998</v>
      </c>
      <c r="I690" s="2">
        <v>1</v>
      </c>
      <c r="J690" s="2">
        <v>0.66700000000000004</v>
      </c>
      <c r="K690">
        <v>2</v>
      </c>
      <c r="L690" s="19" t="s">
        <v>334</v>
      </c>
      <c r="M690" s="21">
        <v>0.86</v>
      </c>
    </row>
    <row r="691" spans="1:13" x14ac:dyDescent="0.2">
      <c r="A691" t="s">
        <v>102</v>
      </c>
      <c r="B691" t="e">
        <f>VLOOKUP(A691,MasterTutor!A:E,4,FALSE)</f>
        <v>#N/A</v>
      </c>
      <c r="C691" t="e">
        <f>VLOOKUP(A691,MasterTutor!A:E,3,FALSE)</f>
        <v>#N/A</v>
      </c>
      <c r="D691" t="e">
        <f>VLOOKUP(A691,MasterTutor!A:E,2,FALSE)</f>
        <v>#N/A</v>
      </c>
      <c r="E691" t="s">
        <v>358</v>
      </c>
      <c r="F691" s="2">
        <v>1.01</v>
      </c>
      <c r="G691" s="2">
        <v>1.05</v>
      </c>
      <c r="H691" s="2">
        <v>0.95750000000000002</v>
      </c>
      <c r="I691" s="2">
        <v>0.94289999999999996</v>
      </c>
      <c r="J691" s="2">
        <v>1</v>
      </c>
      <c r="K691">
        <v>5</v>
      </c>
      <c r="L691" s="19">
        <v>1</v>
      </c>
      <c r="M691" s="21">
        <f>L691</f>
        <v>1</v>
      </c>
    </row>
    <row r="692" spans="1:13" x14ac:dyDescent="0.2">
      <c r="A692" t="s">
        <v>103</v>
      </c>
      <c r="B692" t="str">
        <f>VLOOKUP(A692,MasterTutor!A:E,4,FALSE)</f>
        <v>Distinguished</v>
      </c>
      <c r="C692" t="str">
        <f>VLOOKUP(A692,MasterTutor!A:E,3,FALSE)</f>
        <v>Adjunct</v>
      </c>
      <c r="D692" t="str">
        <f>VLOOKUP(A692,MasterTutor!A:E,2,FALSE)</f>
        <v>Kristin Haase-Alvey</v>
      </c>
      <c r="E692" t="s">
        <v>358</v>
      </c>
      <c r="F692" s="2">
        <v>0.69</v>
      </c>
      <c r="G692" s="2">
        <v>0.89</v>
      </c>
      <c r="H692" s="2">
        <v>1</v>
      </c>
      <c r="I692" s="2">
        <v>1</v>
      </c>
      <c r="J692" s="2">
        <v>0.38900000000000001</v>
      </c>
      <c r="K692">
        <v>2</v>
      </c>
      <c r="L692" s="19">
        <v>0</v>
      </c>
      <c r="M692" s="21">
        <f>L692</f>
        <v>0</v>
      </c>
    </row>
    <row r="693" spans="1:13" x14ac:dyDescent="0.2">
      <c r="A693" t="s">
        <v>104</v>
      </c>
      <c r="B693" t="e">
        <f>VLOOKUP(A693,MasterTutor!A:E,4,FALSE)</f>
        <v>#N/A</v>
      </c>
      <c r="C693" t="e">
        <f>VLOOKUP(A693,MasterTutor!A:E,3,FALSE)</f>
        <v>#N/A</v>
      </c>
      <c r="D693" t="e">
        <f>VLOOKUP(A693,MasterTutor!A:E,2,FALSE)</f>
        <v>#N/A</v>
      </c>
      <c r="E693" t="s">
        <v>358</v>
      </c>
      <c r="F693" s="2">
        <v>0.73</v>
      </c>
      <c r="G693" s="2">
        <v>1.2</v>
      </c>
      <c r="H693" s="2">
        <v>0.97729999999999995</v>
      </c>
      <c r="I693" s="2">
        <v>0.78129999999999999</v>
      </c>
      <c r="J693" s="2">
        <v>0.25</v>
      </c>
      <c r="K693">
        <v>3</v>
      </c>
      <c r="L693" s="19">
        <v>0</v>
      </c>
      <c r="M693" s="21">
        <f>L693</f>
        <v>0</v>
      </c>
    </row>
    <row r="694" spans="1:13" x14ac:dyDescent="0.2">
      <c r="A694" t="s">
        <v>105</v>
      </c>
      <c r="B694" t="str">
        <f>VLOOKUP(A694,MasterTutor!A:E,4,FALSE)</f>
        <v>Advanced</v>
      </c>
      <c r="C694" t="str">
        <f>VLOOKUP(A694,MasterTutor!A:E,3,FALSE)</f>
        <v>Adjunct</v>
      </c>
      <c r="D694" t="str">
        <f>VLOOKUP(A694,MasterTutor!A:E,2,FALSE)</f>
        <v>Annelies de Groot</v>
      </c>
      <c r="E694" t="s">
        <v>358</v>
      </c>
      <c r="F694" s="2">
        <v>0.65</v>
      </c>
      <c r="G694" s="2">
        <v>0.86</v>
      </c>
      <c r="H694" s="2">
        <v>0.92079999999999995</v>
      </c>
      <c r="I694" s="2">
        <v>0.88460000000000005</v>
      </c>
      <c r="J694" s="2">
        <v>0.5</v>
      </c>
      <c r="K694">
        <v>5</v>
      </c>
      <c r="L694" s="19">
        <v>1</v>
      </c>
      <c r="M694" s="21">
        <f>L694</f>
        <v>1</v>
      </c>
    </row>
    <row r="695" spans="1:13" x14ac:dyDescent="0.2">
      <c r="A695" t="s">
        <v>106</v>
      </c>
      <c r="B695" t="e">
        <f>VLOOKUP(A695,MasterTutor!A:E,4,FALSE)</f>
        <v>#N/A</v>
      </c>
      <c r="C695" t="e">
        <f>VLOOKUP(A695,MasterTutor!A:E,3,FALSE)</f>
        <v>#N/A</v>
      </c>
      <c r="D695" t="e">
        <f>VLOOKUP(A695,MasterTutor!A:E,2,FALSE)</f>
        <v>#N/A</v>
      </c>
      <c r="E695" t="s">
        <v>358</v>
      </c>
      <c r="F695" s="2">
        <v>0.44</v>
      </c>
      <c r="G695" s="2">
        <v>0.75</v>
      </c>
      <c r="H695" s="2">
        <v>0.98329999999999995</v>
      </c>
      <c r="I695" s="2">
        <v>0.95120000000000005</v>
      </c>
      <c r="J695" s="2">
        <v>0.308</v>
      </c>
      <c r="K695">
        <v>1</v>
      </c>
    </row>
    <row r="696" spans="1:13" x14ac:dyDescent="0.2">
      <c r="A696" t="s">
        <v>107</v>
      </c>
      <c r="B696" t="str">
        <f>VLOOKUP(A696,MasterTutor!A:E,4,FALSE)</f>
        <v>Distinguished</v>
      </c>
      <c r="C696" t="str">
        <f>VLOOKUP(A696,MasterTutor!A:E,3,FALSE)</f>
        <v>Professional</v>
      </c>
      <c r="D696" t="str">
        <f>VLOOKUP(A696,MasterTutor!A:E,2,FALSE)</f>
        <v>Ian Plamondon</v>
      </c>
      <c r="E696" t="s">
        <v>358</v>
      </c>
      <c r="F696" s="2">
        <v>1.07</v>
      </c>
      <c r="G696" s="2">
        <v>1.34</v>
      </c>
      <c r="H696" s="2">
        <v>1</v>
      </c>
      <c r="I696" s="2">
        <v>0.98670000000000002</v>
      </c>
      <c r="J696" s="2">
        <v>0.75</v>
      </c>
      <c r="K696">
        <v>4</v>
      </c>
      <c r="L696" s="19" t="s">
        <v>329</v>
      </c>
      <c r="M696" s="21">
        <v>0.75</v>
      </c>
    </row>
    <row r="697" spans="1:13" x14ac:dyDescent="0.2">
      <c r="A697" t="s">
        <v>108</v>
      </c>
      <c r="B697" t="str">
        <f>VLOOKUP(A697,MasterTutor!A:E,4,FALSE)</f>
        <v>Advanced</v>
      </c>
      <c r="C697" t="str">
        <f>VLOOKUP(A697,MasterTutor!A:E,3,FALSE)</f>
        <v>Professional</v>
      </c>
      <c r="D697" t="str">
        <f>VLOOKUP(A697,MasterTutor!A:E,2,FALSE)</f>
        <v>Geoff St. Marie</v>
      </c>
      <c r="E697" t="s">
        <v>358</v>
      </c>
      <c r="F697" s="2">
        <v>1.1100000000000001</v>
      </c>
      <c r="G697" s="2">
        <v>1.05</v>
      </c>
      <c r="H697" s="2">
        <v>0.97989999999999999</v>
      </c>
      <c r="I697" s="2">
        <v>0.98799999999999999</v>
      </c>
      <c r="J697" s="2">
        <v>0.64300000000000002</v>
      </c>
      <c r="K697">
        <v>11</v>
      </c>
      <c r="L697" s="19">
        <v>1</v>
      </c>
      <c r="M697" s="21">
        <f>L697</f>
        <v>1</v>
      </c>
    </row>
    <row r="698" spans="1:13" x14ac:dyDescent="0.2">
      <c r="A698" t="s">
        <v>110</v>
      </c>
      <c r="B698" t="e">
        <f>VLOOKUP(A698,MasterTutor!A:E,4,FALSE)</f>
        <v>#N/A</v>
      </c>
      <c r="C698" t="e">
        <f>VLOOKUP(A698,MasterTutor!A:E,3,FALSE)</f>
        <v>#N/A</v>
      </c>
      <c r="D698" t="e">
        <f>VLOOKUP(A698,MasterTutor!A:E,2,FALSE)</f>
        <v>#N/A</v>
      </c>
      <c r="E698" t="s">
        <v>358</v>
      </c>
      <c r="F698" s="2">
        <v>0.66</v>
      </c>
      <c r="G698" s="2">
        <v>1.2</v>
      </c>
      <c r="H698" s="2">
        <v>0.98329999999999995</v>
      </c>
      <c r="I698" s="2">
        <v>1</v>
      </c>
      <c r="J698" s="2">
        <v>0.86699999999999999</v>
      </c>
      <c r="K698">
        <v>1</v>
      </c>
      <c r="L698" s="19">
        <v>1</v>
      </c>
      <c r="M698" s="21">
        <f>L698</f>
        <v>1</v>
      </c>
    </row>
    <row r="699" spans="1:13" x14ac:dyDescent="0.2">
      <c r="A699" t="s">
        <v>111</v>
      </c>
      <c r="B699" t="str">
        <f>VLOOKUP(A699,MasterTutor!A:E,4,FALSE)</f>
        <v>Premium</v>
      </c>
      <c r="C699" t="str">
        <f>VLOOKUP(A699,MasterTutor!A:E,3,FALSE)</f>
        <v>Adjunct</v>
      </c>
      <c r="D699" t="str">
        <f>VLOOKUP(A699,MasterTutor!A:E,2,FALSE)</f>
        <v>Kristin Haase-Alvey</v>
      </c>
      <c r="E699" t="s">
        <v>358</v>
      </c>
      <c r="F699" s="2">
        <v>1.19</v>
      </c>
      <c r="G699" s="2">
        <v>1.43</v>
      </c>
      <c r="H699" s="2">
        <v>0.98209999999999997</v>
      </c>
      <c r="I699" s="2">
        <v>1</v>
      </c>
      <c r="J699" s="2">
        <v>0.90900000000000003</v>
      </c>
      <c r="K699">
        <v>1</v>
      </c>
      <c r="L699" s="19">
        <v>1</v>
      </c>
      <c r="M699" s="21">
        <f>L699</f>
        <v>1</v>
      </c>
    </row>
    <row r="700" spans="1:13" x14ac:dyDescent="0.2">
      <c r="A700" t="s">
        <v>281</v>
      </c>
      <c r="B700" t="str">
        <f>VLOOKUP(A700,MasterTutor!A:E,4,FALSE)</f>
        <v>Advanced</v>
      </c>
      <c r="C700" t="str">
        <f>VLOOKUP(A700,MasterTutor!A:E,3,FALSE)</f>
        <v>Professional</v>
      </c>
      <c r="D700" t="str">
        <f>VLOOKUP(A700,MasterTutor!A:E,2,FALSE)</f>
        <v>Annelies de Groot</v>
      </c>
      <c r="E700" t="s">
        <v>358</v>
      </c>
      <c r="F700" s="2">
        <v>0.17</v>
      </c>
      <c r="G700" s="2">
        <v>0.56999999999999995</v>
      </c>
      <c r="H700" s="2">
        <v>1</v>
      </c>
      <c r="I700" s="2">
        <v>1</v>
      </c>
      <c r="J700" s="2">
        <v>0.78600000000000003</v>
      </c>
      <c r="K700" t="e">
        <v>#N/A</v>
      </c>
      <c r="L700" s="19" t="s">
        <v>329</v>
      </c>
      <c r="M700" s="21">
        <v>0.75</v>
      </c>
    </row>
    <row r="701" spans="1:13" x14ac:dyDescent="0.2">
      <c r="A701" t="s">
        <v>112</v>
      </c>
      <c r="B701" t="e">
        <f>VLOOKUP(A701,MasterTutor!A:E,4,FALSE)</f>
        <v>#N/A</v>
      </c>
      <c r="C701" t="e">
        <f>VLOOKUP(A701,MasterTutor!A:E,3,FALSE)</f>
        <v>#N/A</v>
      </c>
      <c r="D701" t="e">
        <f>VLOOKUP(A701,MasterTutor!A:E,2,FALSE)</f>
        <v>#N/A</v>
      </c>
      <c r="E701" t="s">
        <v>358</v>
      </c>
      <c r="F701" s="2">
        <v>0.54</v>
      </c>
      <c r="G701" s="2">
        <v>0.8</v>
      </c>
      <c r="H701" s="2">
        <v>1</v>
      </c>
      <c r="I701" s="2">
        <v>1</v>
      </c>
      <c r="J701" s="2">
        <v>0.6</v>
      </c>
      <c r="K701">
        <v>2</v>
      </c>
    </row>
    <row r="702" spans="1:13" x14ac:dyDescent="0.2">
      <c r="A702" t="s">
        <v>113</v>
      </c>
      <c r="B702" t="e">
        <f>VLOOKUP(A702,MasterTutor!A:E,4,FALSE)</f>
        <v>#N/A</v>
      </c>
      <c r="C702" t="e">
        <f>VLOOKUP(A702,MasterTutor!A:E,3,FALSE)</f>
        <v>#N/A</v>
      </c>
      <c r="D702" t="e">
        <f>VLOOKUP(A702,MasterTutor!A:E,2,FALSE)</f>
        <v>#N/A</v>
      </c>
      <c r="E702" t="s">
        <v>358</v>
      </c>
      <c r="F702" s="2">
        <v>0.38</v>
      </c>
      <c r="G702" s="2">
        <v>0.44</v>
      </c>
      <c r="H702" s="2">
        <v>1</v>
      </c>
      <c r="I702" s="2">
        <v>0.97440000000000004</v>
      </c>
      <c r="J702" s="2">
        <v>0.64100000000000001</v>
      </c>
      <c r="K702">
        <v>5</v>
      </c>
      <c r="L702" s="19" t="s">
        <v>331</v>
      </c>
      <c r="M702" s="21">
        <v>0.5</v>
      </c>
    </row>
    <row r="703" spans="1:13" x14ac:dyDescent="0.2">
      <c r="A703" t="s">
        <v>115</v>
      </c>
      <c r="B703" t="str">
        <f>VLOOKUP(A703,MasterTutor!A:E,4,FALSE)</f>
        <v>Advanced</v>
      </c>
      <c r="C703" t="str">
        <f>VLOOKUP(A703,MasterTutor!A:E,3,FALSE)</f>
        <v>Adjunct</v>
      </c>
      <c r="D703" t="str">
        <f>VLOOKUP(A703,MasterTutor!A:E,2,FALSE)</f>
        <v>Kristin Haase-Alvey</v>
      </c>
      <c r="E703" t="s">
        <v>358</v>
      </c>
      <c r="F703" s="2">
        <v>1.68</v>
      </c>
      <c r="G703" s="2">
        <v>2.2200000000000002</v>
      </c>
      <c r="H703" s="2">
        <v>1</v>
      </c>
      <c r="I703" s="2">
        <v>0.97870000000000001</v>
      </c>
      <c r="J703" s="2">
        <v>0.83299999999999996</v>
      </c>
      <c r="K703">
        <v>3</v>
      </c>
      <c r="L703" s="19">
        <v>0</v>
      </c>
      <c r="M703" s="21">
        <f>L703</f>
        <v>0</v>
      </c>
    </row>
    <row r="704" spans="1:13" x14ac:dyDescent="0.2">
      <c r="A704" t="s">
        <v>116</v>
      </c>
      <c r="B704" t="str">
        <f>VLOOKUP(A704,MasterTutor!A:E,4,FALSE)</f>
        <v>Premium</v>
      </c>
      <c r="C704" t="str">
        <f>VLOOKUP(A704,MasterTutor!A:E,3,FALSE)</f>
        <v>Professional</v>
      </c>
      <c r="D704" t="str">
        <f>VLOOKUP(A704,MasterTutor!A:E,2,FALSE)</f>
        <v>Jessica Milner</v>
      </c>
      <c r="E704" t="s">
        <v>358</v>
      </c>
      <c r="F704" s="2">
        <v>1.04</v>
      </c>
      <c r="G704" s="2">
        <v>1.1100000000000001</v>
      </c>
      <c r="H704" s="2">
        <v>1</v>
      </c>
      <c r="I704" s="2">
        <v>1</v>
      </c>
      <c r="J704" s="2">
        <v>0.84</v>
      </c>
      <c r="K704">
        <v>4</v>
      </c>
      <c r="L704" s="19">
        <v>1</v>
      </c>
      <c r="M704" s="21">
        <f>L704</f>
        <v>1</v>
      </c>
    </row>
    <row r="705" spans="1:13" x14ac:dyDescent="0.2">
      <c r="A705" t="s">
        <v>117</v>
      </c>
      <c r="B705" t="str">
        <f>VLOOKUP(A705,MasterTutor!A:E,4,FALSE)</f>
        <v>Advanced</v>
      </c>
      <c r="C705" t="str">
        <f>VLOOKUP(A705,MasterTutor!A:E,3,FALSE)</f>
        <v>Professional</v>
      </c>
      <c r="D705" t="str">
        <f>VLOOKUP(A705,MasterTutor!A:E,2,FALSE)</f>
        <v>Kristin Haase-Alvey</v>
      </c>
      <c r="E705" t="s">
        <v>358</v>
      </c>
      <c r="F705" s="2">
        <v>1.18</v>
      </c>
      <c r="G705" s="2">
        <v>1.19</v>
      </c>
      <c r="H705" s="2">
        <v>1</v>
      </c>
      <c r="I705" s="2">
        <v>0.99</v>
      </c>
      <c r="J705" s="2">
        <v>0.74299999999999999</v>
      </c>
      <c r="K705">
        <v>10</v>
      </c>
      <c r="L705" s="19">
        <v>0</v>
      </c>
      <c r="M705" s="21">
        <f>L705</f>
        <v>0</v>
      </c>
    </row>
    <row r="706" spans="1:13" x14ac:dyDescent="0.2">
      <c r="A706" t="s">
        <v>118</v>
      </c>
      <c r="B706" t="e">
        <f>VLOOKUP(A706,MasterTutor!A:E,4,FALSE)</f>
        <v>#N/A</v>
      </c>
      <c r="C706" t="e">
        <f>VLOOKUP(A706,MasterTutor!A:E,3,FALSE)</f>
        <v>#N/A</v>
      </c>
      <c r="D706" t="e">
        <f>VLOOKUP(A706,MasterTutor!A:E,2,FALSE)</f>
        <v>#N/A</v>
      </c>
      <c r="E706" t="s">
        <v>358</v>
      </c>
      <c r="F706" s="2">
        <v>1.1299999999999999</v>
      </c>
      <c r="G706" s="2">
        <v>1.73</v>
      </c>
      <c r="H706" s="2">
        <v>0.94089999999999996</v>
      </c>
      <c r="I706" s="2">
        <v>0.97260000000000002</v>
      </c>
      <c r="J706" s="2">
        <v>0.5</v>
      </c>
      <c r="K706">
        <v>5</v>
      </c>
      <c r="L706" s="19" t="s">
        <v>329</v>
      </c>
      <c r="M706" s="21">
        <v>0.75</v>
      </c>
    </row>
    <row r="707" spans="1:13" x14ac:dyDescent="0.2">
      <c r="A707" t="s">
        <v>119</v>
      </c>
      <c r="B707" t="str">
        <f>VLOOKUP(A707,MasterTutor!A:E,4,FALSE)</f>
        <v>Distinguished</v>
      </c>
      <c r="C707" t="str">
        <f>VLOOKUP(A707,MasterTutor!A:E,3,FALSE)</f>
        <v>Professional</v>
      </c>
      <c r="D707" t="str">
        <f>VLOOKUP(A707,MasterTutor!A:E,2,FALSE)</f>
        <v>Kristin Haase-Alvey</v>
      </c>
      <c r="E707" t="s">
        <v>358</v>
      </c>
      <c r="F707" s="2">
        <v>0.96</v>
      </c>
      <c r="G707" s="2">
        <v>0.94</v>
      </c>
      <c r="H707" s="2">
        <v>1</v>
      </c>
      <c r="I707" s="2">
        <v>0.93020000000000003</v>
      </c>
      <c r="J707" s="2">
        <v>0.63200000000000001</v>
      </c>
      <c r="K707">
        <v>5</v>
      </c>
      <c r="L707" s="19" t="s">
        <v>331</v>
      </c>
      <c r="M707" s="21">
        <v>0.5</v>
      </c>
    </row>
    <row r="708" spans="1:13" x14ac:dyDescent="0.2">
      <c r="A708" t="s">
        <v>120</v>
      </c>
      <c r="B708" t="str">
        <f>VLOOKUP(A708,MasterTutor!A:E,4,FALSE)</f>
        <v>Premium</v>
      </c>
      <c r="C708" t="str">
        <f>VLOOKUP(A708,MasterTutor!A:E,3,FALSE)</f>
        <v>Professional</v>
      </c>
      <c r="D708" t="str">
        <f>VLOOKUP(A708,MasterTutor!A:E,2,FALSE)</f>
        <v>Jessica Milner</v>
      </c>
      <c r="E708" t="s">
        <v>358</v>
      </c>
      <c r="F708" s="2">
        <v>0.86</v>
      </c>
      <c r="G708" s="2">
        <v>1.3</v>
      </c>
      <c r="H708" s="2">
        <v>0.9919</v>
      </c>
      <c r="I708" s="2">
        <v>0.93100000000000005</v>
      </c>
      <c r="J708" s="2">
        <v>0.182</v>
      </c>
      <c r="K708">
        <v>2</v>
      </c>
      <c r="L708" s="19">
        <v>0</v>
      </c>
      <c r="M708" s="21">
        <f>L708</f>
        <v>0</v>
      </c>
    </row>
    <row r="709" spans="1:13" x14ac:dyDescent="0.2">
      <c r="A709" t="s">
        <v>121</v>
      </c>
      <c r="B709" t="str">
        <f>VLOOKUP(A709,MasterTutor!A:E,4,FALSE)</f>
        <v>Advanced</v>
      </c>
      <c r="C709" t="str">
        <f>VLOOKUP(A709,MasterTutor!A:E,3,FALSE)</f>
        <v>Adjunct</v>
      </c>
      <c r="D709" t="str">
        <f>VLOOKUP(A709,MasterTutor!A:E,2,FALSE)</f>
        <v>Annelies de Groot</v>
      </c>
      <c r="E709" t="s">
        <v>358</v>
      </c>
      <c r="F709" s="2">
        <v>0.99</v>
      </c>
      <c r="G709" s="2">
        <v>1.31</v>
      </c>
      <c r="H709" s="2">
        <v>0.98080000000000001</v>
      </c>
      <c r="I709" s="2">
        <v>1</v>
      </c>
      <c r="J709" s="2">
        <v>0.53800000000000003</v>
      </c>
      <c r="K709">
        <v>3</v>
      </c>
      <c r="L709" s="19">
        <v>1</v>
      </c>
      <c r="M709" s="21">
        <f>L709</f>
        <v>1</v>
      </c>
    </row>
    <row r="710" spans="1:13" x14ac:dyDescent="0.2">
      <c r="A710" t="s">
        <v>123</v>
      </c>
      <c r="B710" t="str">
        <f>VLOOKUP(A710,MasterTutor!A:E,4,FALSE)</f>
        <v>Premium</v>
      </c>
      <c r="C710" t="str">
        <f>VLOOKUP(A710,MasterTutor!A:E,3,FALSE)</f>
        <v xml:space="preserve">Professional </v>
      </c>
      <c r="D710" t="str">
        <f>VLOOKUP(A710,MasterTutor!A:E,2,FALSE)</f>
        <v>Ela Cross</v>
      </c>
      <c r="E710" t="s">
        <v>358</v>
      </c>
      <c r="F710" s="2">
        <v>1.39</v>
      </c>
      <c r="G710" s="2">
        <v>1.89</v>
      </c>
      <c r="H710" s="2">
        <v>0.96509999999999996</v>
      </c>
      <c r="I710" s="2">
        <v>0.91300000000000003</v>
      </c>
      <c r="J710" s="2">
        <v>0.81299999999999994</v>
      </c>
      <c r="K710">
        <v>2</v>
      </c>
    </row>
    <row r="711" spans="1:13" x14ac:dyDescent="0.2">
      <c r="A711" t="s">
        <v>124</v>
      </c>
      <c r="B711" t="e">
        <f>VLOOKUP(A711,MasterTutor!A:E,4,FALSE)</f>
        <v>#N/A</v>
      </c>
      <c r="C711" t="e">
        <f>VLOOKUP(A711,MasterTutor!A:E,3,FALSE)</f>
        <v>#N/A</v>
      </c>
      <c r="D711" t="e">
        <f>VLOOKUP(A711,MasterTutor!A:E,2,FALSE)</f>
        <v>#N/A</v>
      </c>
      <c r="E711" t="s">
        <v>358</v>
      </c>
      <c r="F711" s="2">
        <v>1.01</v>
      </c>
      <c r="G711" s="2">
        <v>1.08</v>
      </c>
      <c r="H711" s="2">
        <v>0.96309999999999996</v>
      </c>
      <c r="I711" s="2">
        <v>1</v>
      </c>
      <c r="J711" s="2">
        <v>0.45</v>
      </c>
      <c r="K711">
        <v>1</v>
      </c>
      <c r="L711" s="19" t="s">
        <v>331</v>
      </c>
      <c r="M711" s="21">
        <v>0.5</v>
      </c>
    </row>
    <row r="712" spans="1:13" x14ac:dyDescent="0.2">
      <c r="A712" t="s">
        <v>125</v>
      </c>
      <c r="B712" t="str">
        <f>VLOOKUP(A712,MasterTutor!A:E,4,FALSE)</f>
        <v>Advanced</v>
      </c>
      <c r="C712" t="str">
        <f>VLOOKUP(A712,MasterTutor!A:E,3,FALSE)</f>
        <v>Professional</v>
      </c>
      <c r="D712" t="str">
        <f>VLOOKUP(A712,MasterTutor!A:E,2,FALSE)</f>
        <v>Kristin Haase-Alvey</v>
      </c>
      <c r="E712" t="s">
        <v>358</v>
      </c>
      <c r="F712" s="2">
        <v>0.93</v>
      </c>
      <c r="G712" s="2">
        <v>1.05</v>
      </c>
      <c r="H712" s="2">
        <v>0.89939999999999998</v>
      </c>
      <c r="I712" s="2">
        <v>0.93100000000000005</v>
      </c>
      <c r="J712" s="2">
        <v>0.8</v>
      </c>
      <c r="K712">
        <v>10</v>
      </c>
      <c r="L712" s="19">
        <v>1</v>
      </c>
      <c r="M712" s="21">
        <f>L712</f>
        <v>1</v>
      </c>
    </row>
    <row r="713" spans="1:13" x14ac:dyDescent="0.2">
      <c r="A713" t="s">
        <v>126</v>
      </c>
      <c r="B713" t="str">
        <f>VLOOKUP(A713,MasterTutor!A:E,4,FALSE)</f>
        <v>Distinguished</v>
      </c>
      <c r="C713" t="str">
        <f>VLOOKUP(A713,MasterTutor!A:E,3,FALSE)</f>
        <v>Professional</v>
      </c>
      <c r="D713" t="str">
        <f>VLOOKUP(A713,MasterTutor!A:E,2,FALSE)</f>
        <v>Ian Plamondon</v>
      </c>
      <c r="E713" t="s">
        <v>358</v>
      </c>
      <c r="F713" s="2">
        <v>0.6</v>
      </c>
      <c r="G713" s="2">
        <v>1.03</v>
      </c>
      <c r="H713" s="2">
        <v>0.96940000000000004</v>
      </c>
      <c r="I713" s="2">
        <v>1</v>
      </c>
      <c r="J713" s="2">
        <v>0.76200000000000001</v>
      </c>
      <c r="K713">
        <v>2</v>
      </c>
      <c r="L713" s="19" t="s">
        <v>329</v>
      </c>
      <c r="M713" s="21">
        <v>0.75</v>
      </c>
    </row>
    <row r="714" spans="1:13" x14ac:dyDescent="0.2">
      <c r="A714" t="s">
        <v>127</v>
      </c>
      <c r="B714" t="str">
        <f>VLOOKUP(A714,MasterTutor!A:E,4,FALSE)</f>
        <v>Premium</v>
      </c>
      <c r="C714" t="str">
        <f>VLOOKUP(A714,MasterTutor!A:E,3,FALSE)</f>
        <v>Professional</v>
      </c>
      <c r="D714" t="str">
        <f>VLOOKUP(A714,MasterTutor!A:E,2,FALSE)</f>
        <v>Jessica Milner</v>
      </c>
      <c r="E714" t="s">
        <v>358</v>
      </c>
      <c r="F714" s="2">
        <v>0.88</v>
      </c>
      <c r="G714" s="2">
        <v>1.0900000000000001</v>
      </c>
      <c r="H714" s="2">
        <v>0.93759999999999999</v>
      </c>
      <c r="I714" s="2">
        <v>0.97140000000000004</v>
      </c>
      <c r="J714" s="2">
        <v>0.73099999999999998</v>
      </c>
      <c r="K714">
        <v>2</v>
      </c>
      <c r="L714" s="19">
        <v>1</v>
      </c>
      <c r="M714" s="21">
        <f>L714</f>
        <v>1</v>
      </c>
    </row>
    <row r="715" spans="1:13" x14ac:dyDescent="0.2">
      <c r="A715" t="s">
        <v>128</v>
      </c>
      <c r="B715" t="str">
        <f>VLOOKUP(A715,MasterTutor!A:E,4,FALSE)</f>
        <v>Distinguished</v>
      </c>
      <c r="C715" t="str">
        <f>VLOOKUP(A715,MasterTutor!A:E,3,FALSE)</f>
        <v>Professional</v>
      </c>
      <c r="D715" t="str">
        <f>VLOOKUP(A715,MasterTutor!A:E,2,FALSE)</f>
        <v>Ian Plamondon</v>
      </c>
      <c r="E715" t="s">
        <v>358</v>
      </c>
      <c r="F715" s="2">
        <v>0.99</v>
      </c>
      <c r="G715" s="2">
        <v>1.66</v>
      </c>
      <c r="H715" s="2">
        <v>0.9506</v>
      </c>
      <c r="I715" s="2">
        <v>1</v>
      </c>
      <c r="J715" s="2">
        <v>1</v>
      </c>
      <c r="K715">
        <v>1</v>
      </c>
      <c r="L715" s="19">
        <v>1</v>
      </c>
      <c r="M715" s="21">
        <f>L715</f>
        <v>1</v>
      </c>
    </row>
    <row r="716" spans="1:13" x14ac:dyDescent="0.2">
      <c r="A716" t="s">
        <v>129</v>
      </c>
      <c r="B716" t="str">
        <f>VLOOKUP(A716,MasterTutor!A:E,4,FALSE)</f>
        <v>Premium</v>
      </c>
      <c r="C716" t="str">
        <f>VLOOKUP(A716,MasterTutor!A:E,3,FALSE)</f>
        <v>Adjunct</v>
      </c>
      <c r="D716" t="str">
        <f>VLOOKUP(A716,MasterTutor!A:E,2,FALSE)</f>
        <v>Annelies de Groot</v>
      </c>
      <c r="E716" t="s">
        <v>358</v>
      </c>
      <c r="F716" s="2">
        <v>1.79</v>
      </c>
      <c r="G716" s="2">
        <v>1.63</v>
      </c>
      <c r="H716" s="2">
        <v>0.98860000000000003</v>
      </c>
      <c r="I716" s="2">
        <v>0.73170000000000002</v>
      </c>
      <c r="J716" s="2">
        <v>0.9</v>
      </c>
      <c r="K716">
        <v>1</v>
      </c>
    </row>
    <row r="717" spans="1:13" x14ac:dyDescent="0.2">
      <c r="A717" t="s">
        <v>130</v>
      </c>
      <c r="B717" t="str">
        <f>VLOOKUP(A717,MasterTutor!A:E,4,FALSE)</f>
        <v>Premium</v>
      </c>
      <c r="C717" t="str">
        <f>VLOOKUP(A717,MasterTutor!A:E,3,FALSE)</f>
        <v>Adjunct</v>
      </c>
      <c r="D717" t="str">
        <f>VLOOKUP(A717,MasterTutor!A:E,2,FALSE)</f>
        <v>Ela Cross</v>
      </c>
      <c r="E717" t="s">
        <v>358</v>
      </c>
      <c r="F717" s="2">
        <v>0.76</v>
      </c>
      <c r="G717" s="2">
        <v>1.36</v>
      </c>
      <c r="H717" s="2">
        <v>0.88839999999999997</v>
      </c>
      <c r="I717" s="2">
        <v>0.70450000000000002</v>
      </c>
      <c r="J717" s="2">
        <v>0.5</v>
      </c>
      <c r="K717">
        <v>1</v>
      </c>
      <c r="L717" s="19">
        <v>1</v>
      </c>
      <c r="M717" s="21">
        <f>L717</f>
        <v>1</v>
      </c>
    </row>
    <row r="718" spans="1:13" x14ac:dyDescent="0.2">
      <c r="A718" t="s">
        <v>131</v>
      </c>
      <c r="B718" t="str">
        <f>VLOOKUP(A718,MasterTutor!A:E,4,FALSE)</f>
        <v>Advanced</v>
      </c>
      <c r="C718" t="str">
        <f>VLOOKUP(A718,MasterTutor!A:E,3,FALSE)</f>
        <v>Professional</v>
      </c>
      <c r="D718" t="str">
        <f>VLOOKUP(A718,MasterTutor!A:E,2,FALSE)</f>
        <v>Ian Plamondon</v>
      </c>
      <c r="E718" t="s">
        <v>358</v>
      </c>
      <c r="F718" s="2">
        <v>0.9</v>
      </c>
      <c r="G718" s="2">
        <v>1.1399999999999999</v>
      </c>
      <c r="H718" s="2">
        <v>0.99219999999999997</v>
      </c>
      <c r="I718" s="2">
        <v>1</v>
      </c>
      <c r="J718" s="2">
        <v>0.57099999999999995</v>
      </c>
      <c r="K718">
        <v>3</v>
      </c>
      <c r="L718" s="19">
        <v>1</v>
      </c>
      <c r="M718" s="21">
        <f>L718</f>
        <v>1</v>
      </c>
    </row>
    <row r="719" spans="1:13" x14ac:dyDescent="0.2">
      <c r="A719" t="s">
        <v>132</v>
      </c>
      <c r="B719" t="str">
        <f>VLOOKUP(A719,MasterTutor!A:E,4,FALSE)</f>
        <v>Distinguished</v>
      </c>
      <c r="C719" t="str">
        <f>VLOOKUP(A719,MasterTutor!A:E,3,FALSE)</f>
        <v>Professional</v>
      </c>
      <c r="D719" t="str">
        <f>VLOOKUP(A719,MasterTutor!A:E,2,FALSE)</f>
        <v>Kristin Haase-Alvey</v>
      </c>
      <c r="E719" t="s">
        <v>358</v>
      </c>
      <c r="F719" s="2">
        <v>1.08</v>
      </c>
      <c r="G719" s="2">
        <v>0.98</v>
      </c>
      <c r="H719" s="2">
        <v>1</v>
      </c>
      <c r="I719" s="2">
        <v>0.97299999999999998</v>
      </c>
      <c r="J719" s="2">
        <v>0.875</v>
      </c>
      <c r="K719">
        <v>2</v>
      </c>
      <c r="L719" s="19">
        <v>1</v>
      </c>
      <c r="M719" s="21">
        <f>L719</f>
        <v>1</v>
      </c>
    </row>
    <row r="720" spans="1:13" x14ac:dyDescent="0.2">
      <c r="A720" t="s">
        <v>133</v>
      </c>
      <c r="B720" t="e">
        <f>VLOOKUP(A720,MasterTutor!A:E,4,FALSE)</f>
        <v>#N/A</v>
      </c>
      <c r="C720" t="e">
        <f>VLOOKUP(A720,MasterTutor!A:E,3,FALSE)</f>
        <v>#N/A</v>
      </c>
      <c r="D720" t="e">
        <f>VLOOKUP(A720,MasterTutor!A:E,2,FALSE)</f>
        <v>#N/A</v>
      </c>
      <c r="E720" t="s">
        <v>358</v>
      </c>
      <c r="F720" s="2">
        <v>0.77</v>
      </c>
      <c r="G720" s="2">
        <v>0.79</v>
      </c>
      <c r="H720" s="2">
        <v>1</v>
      </c>
      <c r="I720" s="2">
        <v>0.95</v>
      </c>
      <c r="J720" s="2">
        <v>0.86699999999999999</v>
      </c>
      <c r="K720">
        <v>2</v>
      </c>
      <c r="L720" s="19" t="s">
        <v>360</v>
      </c>
      <c r="M720" s="21">
        <v>0.4</v>
      </c>
    </row>
    <row r="721" spans="1:13" x14ac:dyDescent="0.2">
      <c r="A721" t="s">
        <v>134</v>
      </c>
      <c r="B721" t="str">
        <f>VLOOKUP(A721,MasterTutor!A:E,4,FALSE)</f>
        <v>Distinguished</v>
      </c>
      <c r="C721" t="str">
        <f>VLOOKUP(A721,MasterTutor!A:E,3,FALSE)</f>
        <v>Professional</v>
      </c>
      <c r="D721" t="str">
        <f>VLOOKUP(A721,MasterTutor!A:E,2,FALSE)</f>
        <v>Annelies de Groot</v>
      </c>
      <c r="E721" t="s">
        <v>358</v>
      </c>
      <c r="F721" s="2">
        <v>1</v>
      </c>
      <c r="G721" s="2">
        <v>1.01</v>
      </c>
      <c r="H721" s="2">
        <v>0.9919</v>
      </c>
      <c r="I721" s="2">
        <v>1</v>
      </c>
      <c r="J721" s="2">
        <v>0.68200000000000005</v>
      </c>
      <c r="K721">
        <v>6</v>
      </c>
      <c r="L721" s="19">
        <v>0</v>
      </c>
      <c r="M721" s="21">
        <f>L721</f>
        <v>0</v>
      </c>
    </row>
    <row r="722" spans="1:13" x14ac:dyDescent="0.2">
      <c r="A722" t="s">
        <v>135</v>
      </c>
      <c r="B722" t="str">
        <f>VLOOKUP(A722,MasterTutor!A:E,4,FALSE)</f>
        <v>Distinguished</v>
      </c>
      <c r="C722" t="str">
        <f>VLOOKUP(A722,MasterTutor!A:E,3,FALSE)</f>
        <v>Adjunct</v>
      </c>
      <c r="D722" t="str">
        <f>VLOOKUP(A722,MasterTutor!A:E,2,FALSE)</f>
        <v>Annelies de Groot</v>
      </c>
      <c r="E722" t="s">
        <v>358</v>
      </c>
      <c r="F722" s="2">
        <v>1.04</v>
      </c>
      <c r="G722" s="2">
        <v>1.39</v>
      </c>
      <c r="H722" s="2">
        <v>1</v>
      </c>
      <c r="I722" s="2">
        <v>0.84209999999999996</v>
      </c>
      <c r="J722" s="2">
        <v>1</v>
      </c>
      <c r="K722" t="e">
        <v>#N/A</v>
      </c>
      <c r="L722" s="19">
        <v>0</v>
      </c>
      <c r="M722" s="21">
        <f>L722</f>
        <v>0</v>
      </c>
    </row>
    <row r="723" spans="1:13" x14ac:dyDescent="0.2">
      <c r="A723" t="s">
        <v>136</v>
      </c>
      <c r="B723" t="e">
        <f>VLOOKUP(A723,MasterTutor!A:E,4,FALSE)</f>
        <v>#N/A</v>
      </c>
      <c r="C723" t="e">
        <f>VLOOKUP(A723,MasterTutor!A:E,3,FALSE)</f>
        <v>#N/A</v>
      </c>
      <c r="D723" t="e">
        <f>VLOOKUP(A723,MasterTutor!A:E,2,FALSE)</f>
        <v>#N/A</v>
      </c>
      <c r="E723" t="s">
        <v>358</v>
      </c>
      <c r="F723" s="2">
        <v>0.89</v>
      </c>
      <c r="G723" s="2">
        <v>1.0900000000000001</v>
      </c>
      <c r="H723" s="2">
        <v>0.94620000000000004</v>
      </c>
      <c r="I723" s="2">
        <v>0.94740000000000002</v>
      </c>
      <c r="J723" s="2">
        <v>0.91700000000000004</v>
      </c>
      <c r="K723" t="e">
        <v>#N/A</v>
      </c>
      <c r="L723" s="19">
        <v>0</v>
      </c>
      <c r="M723" s="21">
        <f>L723</f>
        <v>0</v>
      </c>
    </row>
    <row r="724" spans="1:13" x14ac:dyDescent="0.2">
      <c r="A724" t="s">
        <v>294</v>
      </c>
      <c r="B724" t="str">
        <f>VLOOKUP(A724,MasterTutor!A:E,4,FALSE)</f>
        <v>Advanced</v>
      </c>
      <c r="C724" t="str">
        <f>VLOOKUP(A724,MasterTutor!A:E,3,FALSE)</f>
        <v>Adjunct</v>
      </c>
      <c r="D724" t="str">
        <f>VLOOKUP(A724,MasterTutor!A:E,2,FALSE)</f>
        <v>Kristin Haase-Alvey</v>
      </c>
      <c r="E724" t="s">
        <v>358</v>
      </c>
      <c r="F724" s="2">
        <v>0.71</v>
      </c>
      <c r="G724" s="2">
        <v>1.03</v>
      </c>
      <c r="H724" s="2">
        <v>1</v>
      </c>
      <c r="I724" s="2">
        <v>0.73080000000000001</v>
      </c>
      <c r="J724" s="2">
        <v>0.82599999999999996</v>
      </c>
      <c r="K724">
        <v>2</v>
      </c>
      <c r="L724" s="19" t="s">
        <v>337</v>
      </c>
      <c r="M724" s="21">
        <f>1/3</f>
        <v>0.33333333333333331</v>
      </c>
    </row>
    <row r="725" spans="1:13" x14ac:dyDescent="0.2">
      <c r="A725" t="s">
        <v>137</v>
      </c>
      <c r="B725" t="str">
        <f>VLOOKUP(A725,MasterTutor!A:E,4,FALSE)</f>
        <v>Premium</v>
      </c>
      <c r="C725" t="str">
        <f>VLOOKUP(A725,MasterTutor!A:E,3,FALSE)</f>
        <v>Professional</v>
      </c>
      <c r="D725" t="str">
        <f>VLOOKUP(A725,MasterTutor!A:E,2,FALSE)</f>
        <v>Jessica Milner</v>
      </c>
      <c r="E725" t="s">
        <v>358</v>
      </c>
      <c r="F725" s="2">
        <v>0.86</v>
      </c>
      <c r="G725" s="2">
        <v>1.28</v>
      </c>
      <c r="H725" s="2">
        <v>0.9708</v>
      </c>
      <c r="I725" s="2">
        <v>0.87839999999999996</v>
      </c>
      <c r="J725" s="2">
        <v>0.58599999999999997</v>
      </c>
      <c r="K725">
        <v>1</v>
      </c>
      <c r="L725" s="19">
        <v>0</v>
      </c>
      <c r="M725" s="21">
        <f>L725</f>
        <v>0</v>
      </c>
    </row>
    <row r="726" spans="1:13" x14ac:dyDescent="0.2">
      <c r="A726" t="s">
        <v>138</v>
      </c>
      <c r="B726" t="str">
        <f>VLOOKUP(A726,MasterTutor!A:E,4,FALSE)</f>
        <v>Advanced</v>
      </c>
      <c r="C726" t="str">
        <f>VLOOKUP(A726,MasterTutor!A:E,3,FALSE)</f>
        <v>Professional</v>
      </c>
      <c r="D726" t="str">
        <f>VLOOKUP(A726,MasterTutor!A:E,2,FALSE)</f>
        <v>Ela Cross</v>
      </c>
      <c r="E726" t="s">
        <v>358</v>
      </c>
      <c r="F726" s="2">
        <v>0.91</v>
      </c>
      <c r="G726" s="2">
        <v>1.05</v>
      </c>
      <c r="H726" s="2">
        <v>1</v>
      </c>
      <c r="I726" s="2">
        <v>0.89039999999999997</v>
      </c>
      <c r="J726" s="2">
        <v>0.59099999999999997</v>
      </c>
      <c r="K726">
        <v>11</v>
      </c>
      <c r="L726" s="19">
        <v>1</v>
      </c>
      <c r="M726" s="21">
        <f>L726</f>
        <v>1</v>
      </c>
    </row>
    <row r="727" spans="1:13" x14ac:dyDescent="0.2">
      <c r="A727" t="s">
        <v>139</v>
      </c>
      <c r="B727" t="str">
        <f>VLOOKUP(A727,MasterTutor!A:E,4,FALSE)</f>
        <v>Distinguished</v>
      </c>
      <c r="C727" t="str">
        <f>VLOOKUP(A727,MasterTutor!A:E,3,FALSE)</f>
        <v>Professional</v>
      </c>
      <c r="D727" t="str">
        <f>VLOOKUP(A727,MasterTutor!A:E,2,FALSE)</f>
        <v>Ian Plamondon</v>
      </c>
      <c r="E727" t="s">
        <v>358</v>
      </c>
      <c r="F727" s="2">
        <v>0.66</v>
      </c>
      <c r="G727" s="2">
        <v>1.06</v>
      </c>
      <c r="H727" s="2">
        <v>1</v>
      </c>
      <c r="I727" s="2">
        <v>0.94230000000000003</v>
      </c>
      <c r="J727" s="2">
        <v>0.52900000000000003</v>
      </c>
      <c r="K727">
        <v>3</v>
      </c>
      <c r="L727" s="19">
        <v>1</v>
      </c>
      <c r="M727" s="21">
        <f>L727</f>
        <v>1</v>
      </c>
    </row>
    <row r="728" spans="1:13" x14ac:dyDescent="0.2">
      <c r="A728" t="s">
        <v>140</v>
      </c>
      <c r="B728" t="str">
        <f>VLOOKUP(A728,MasterTutor!A:E,4,FALSE)</f>
        <v>Advanced</v>
      </c>
      <c r="C728" t="str">
        <f>VLOOKUP(A728,MasterTutor!A:E,3,FALSE)</f>
        <v>Adjunct</v>
      </c>
      <c r="D728" t="str">
        <f>VLOOKUP(A728,MasterTutor!A:E,2,FALSE)</f>
        <v>Annelies de Groot</v>
      </c>
      <c r="E728" t="s">
        <v>358</v>
      </c>
      <c r="F728" s="2">
        <v>0.92</v>
      </c>
      <c r="G728" s="2">
        <v>0.91</v>
      </c>
      <c r="H728" s="2">
        <v>0.93889999999999996</v>
      </c>
      <c r="I728" s="2">
        <v>1</v>
      </c>
      <c r="J728" s="2">
        <v>0.72699999999999998</v>
      </c>
      <c r="K728">
        <v>5</v>
      </c>
      <c r="L728" s="19" t="s">
        <v>330</v>
      </c>
      <c r="M728" s="21">
        <v>0.67</v>
      </c>
    </row>
    <row r="729" spans="1:13" x14ac:dyDescent="0.2">
      <c r="A729" t="s">
        <v>141</v>
      </c>
      <c r="B729" t="str">
        <f>VLOOKUP(A729,MasterTutor!A:E,4,FALSE)</f>
        <v>Distinguished</v>
      </c>
      <c r="C729" t="str">
        <f>VLOOKUP(A729,MasterTutor!A:E,3,FALSE)</f>
        <v>Adjunct</v>
      </c>
      <c r="D729" t="str">
        <f>VLOOKUP(A729,MasterTutor!A:E,2,FALSE)</f>
        <v>Annelies de Groot</v>
      </c>
      <c r="E729" t="s">
        <v>358</v>
      </c>
      <c r="F729" s="2">
        <v>1.02</v>
      </c>
      <c r="G729" s="2">
        <v>1.1499999999999999</v>
      </c>
      <c r="H729" s="2">
        <v>1</v>
      </c>
      <c r="I729" s="2">
        <v>1</v>
      </c>
      <c r="J729" s="2">
        <v>0.88900000000000001</v>
      </c>
      <c r="K729">
        <v>6</v>
      </c>
    </row>
    <row r="730" spans="1:13" x14ac:dyDescent="0.2">
      <c r="A730" t="s">
        <v>142</v>
      </c>
      <c r="B730" t="str">
        <f>VLOOKUP(A730,MasterTutor!A:E,4,FALSE)</f>
        <v>Advanced</v>
      </c>
      <c r="C730" t="str">
        <f>VLOOKUP(A730,MasterTutor!A:E,3,FALSE)</f>
        <v>Professional</v>
      </c>
      <c r="D730" t="str">
        <f>VLOOKUP(A730,MasterTutor!A:E,2,FALSE)</f>
        <v>Ian Plamondon</v>
      </c>
      <c r="E730" t="s">
        <v>358</v>
      </c>
      <c r="F730" s="2">
        <v>1.0900000000000001</v>
      </c>
      <c r="G730" s="2">
        <v>1.0900000000000001</v>
      </c>
      <c r="H730" s="2">
        <v>0.98089999999999999</v>
      </c>
      <c r="I730" s="2">
        <v>0.7732</v>
      </c>
      <c r="J730" s="2">
        <v>0.28899999999999998</v>
      </c>
      <c r="K730">
        <v>9</v>
      </c>
      <c r="L730" s="19">
        <v>0</v>
      </c>
      <c r="M730" s="21">
        <f>L730</f>
        <v>0</v>
      </c>
    </row>
    <row r="731" spans="1:13" x14ac:dyDescent="0.2">
      <c r="A731" t="s">
        <v>143</v>
      </c>
      <c r="B731" t="str">
        <f>VLOOKUP(A731,MasterTutor!A:E,4,FALSE)</f>
        <v>Distinguished</v>
      </c>
      <c r="C731" t="str">
        <f>VLOOKUP(A731,MasterTutor!A:E,3,FALSE)</f>
        <v>Adjunct</v>
      </c>
      <c r="D731" t="str">
        <f>VLOOKUP(A731,MasterTutor!A:E,2,FALSE)</f>
        <v>Annelies de Groot</v>
      </c>
      <c r="E731" t="s">
        <v>358</v>
      </c>
      <c r="F731" s="2">
        <v>1.03</v>
      </c>
      <c r="G731" s="2">
        <v>1.38</v>
      </c>
      <c r="H731" s="2">
        <v>1</v>
      </c>
      <c r="I731" s="2">
        <v>0.96299999999999997</v>
      </c>
      <c r="J731" s="2">
        <v>0.77800000000000002</v>
      </c>
      <c r="K731" t="e">
        <v>#N/A</v>
      </c>
    </row>
    <row r="732" spans="1:13" x14ac:dyDescent="0.2">
      <c r="A732" t="s">
        <v>144</v>
      </c>
      <c r="B732" t="str">
        <f>VLOOKUP(A732,MasterTutor!A:E,4,FALSE)</f>
        <v>Distinguished</v>
      </c>
      <c r="C732" t="str">
        <f>VLOOKUP(A732,MasterTutor!A:E,3,FALSE)</f>
        <v>Professional</v>
      </c>
      <c r="D732" t="str">
        <f>VLOOKUP(A732,MasterTutor!A:E,2,FALSE)</f>
        <v>Annelies de Groot</v>
      </c>
      <c r="E732" t="s">
        <v>358</v>
      </c>
      <c r="F732" s="2">
        <v>1.02</v>
      </c>
      <c r="G732" s="2">
        <v>1.04</v>
      </c>
      <c r="H732" s="2">
        <v>0.98780000000000001</v>
      </c>
      <c r="I732" s="2">
        <v>0.90480000000000005</v>
      </c>
      <c r="J732" s="2">
        <v>0.76500000000000001</v>
      </c>
      <c r="K732">
        <v>6</v>
      </c>
    </row>
    <row r="733" spans="1:13" x14ac:dyDescent="0.2">
      <c r="A733" t="s">
        <v>145</v>
      </c>
      <c r="B733" t="str">
        <f>VLOOKUP(A733,MasterTutor!A:E,4,FALSE)</f>
        <v>Premium</v>
      </c>
      <c r="C733" t="str">
        <f>VLOOKUP(A733,MasterTutor!A:E,3,FALSE)</f>
        <v>Professional</v>
      </c>
      <c r="D733" t="str">
        <f>VLOOKUP(A733,MasterTutor!A:E,2,FALSE)</f>
        <v>Jessica Milner</v>
      </c>
      <c r="E733" t="s">
        <v>358</v>
      </c>
      <c r="F733" s="2">
        <v>0.95</v>
      </c>
      <c r="G733" s="2">
        <v>1.3</v>
      </c>
      <c r="H733" s="2">
        <v>0.99070000000000003</v>
      </c>
      <c r="I733" s="2">
        <v>0.98409999999999997</v>
      </c>
      <c r="J733" s="2">
        <v>0.89500000000000002</v>
      </c>
      <c r="K733">
        <v>7</v>
      </c>
    </row>
    <row r="734" spans="1:13" x14ac:dyDescent="0.2">
      <c r="A734" t="s">
        <v>146</v>
      </c>
      <c r="B734" t="str">
        <f>VLOOKUP(A734,MasterTutor!A:E,4,FALSE)</f>
        <v>Distinguished</v>
      </c>
      <c r="C734" t="str">
        <f>VLOOKUP(A734,MasterTutor!A:E,3,FALSE)</f>
        <v>Adjunct</v>
      </c>
      <c r="D734" t="str">
        <f>VLOOKUP(A734,MasterTutor!A:E,2,FALSE)</f>
        <v>Ian Plamondon</v>
      </c>
      <c r="E734" t="s">
        <v>358</v>
      </c>
      <c r="F734" s="2">
        <v>0.78</v>
      </c>
      <c r="G734" s="2">
        <v>0.95</v>
      </c>
      <c r="H734" s="2">
        <v>1</v>
      </c>
      <c r="I734" s="2">
        <v>0.98609999999999998</v>
      </c>
      <c r="J734" s="2">
        <v>0.85699999999999998</v>
      </c>
      <c r="K734">
        <v>9</v>
      </c>
      <c r="L734" s="19">
        <v>1</v>
      </c>
      <c r="M734" s="21">
        <f>L734</f>
        <v>1</v>
      </c>
    </row>
    <row r="735" spans="1:13" x14ac:dyDescent="0.2">
      <c r="A735" t="s">
        <v>147</v>
      </c>
      <c r="B735" t="str">
        <f>VLOOKUP(A735,MasterTutor!A:E,4,FALSE)</f>
        <v>Premium</v>
      </c>
      <c r="C735" t="str">
        <f>VLOOKUP(A735,MasterTutor!A:E,3,FALSE)</f>
        <v>Adjunct</v>
      </c>
      <c r="D735" t="str">
        <f>VLOOKUP(A735,MasterTutor!A:E,2,FALSE)</f>
        <v>Ela Cross</v>
      </c>
      <c r="E735" t="s">
        <v>358</v>
      </c>
      <c r="F735" s="2">
        <v>0.93</v>
      </c>
      <c r="G735" s="2">
        <v>1.1599999999999999</v>
      </c>
      <c r="H735" s="2">
        <v>1</v>
      </c>
      <c r="I735" s="2">
        <v>1</v>
      </c>
      <c r="J735" s="2">
        <v>0.66700000000000004</v>
      </c>
      <c r="K735">
        <v>1</v>
      </c>
      <c r="L735" s="19">
        <v>0</v>
      </c>
      <c r="M735" s="21">
        <f>L735</f>
        <v>0</v>
      </c>
    </row>
    <row r="736" spans="1:13" x14ac:dyDescent="0.2">
      <c r="A736" t="s">
        <v>148</v>
      </c>
      <c r="B736" t="str">
        <f>VLOOKUP(A736,MasterTutor!A:E,4,FALSE)</f>
        <v>Advanced</v>
      </c>
      <c r="C736" t="str">
        <f>VLOOKUP(A736,MasterTutor!A:E,3,FALSE)</f>
        <v>Adjunct</v>
      </c>
      <c r="D736" t="str">
        <f>VLOOKUP(A736,MasterTutor!A:E,2,FALSE)</f>
        <v>Ela Cross</v>
      </c>
      <c r="E736" t="s">
        <v>358</v>
      </c>
      <c r="F736" s="2">
        <v>1.24</v>
      </c>
      <c r="G736" s="2">
        <v>1.1000000000000001</v>
      </c>
      <c r="H736" s="2">
        <v>0.98960000000000004</v>
      </c>
      <c r="I736" s="2">
        <v>1</v>
      </c>
      <c r="J736" s="2">
        <v>1</v>
      </c>
      <c r="K736">
        <v>8</v>
      </c>
    </row>
    <row r="737" spans="1:13" x14ac:dyDescent="0.2">
      <c r="A737" t="s">
        <v>149</v>
      </c>
      <c r="B737" t="str">
        <f>VLOOKUP(A737,MasterTutor!A:E,4,FALSE)</f>
        <v>Distinguished</v>
      </c>
      <c r="C737" t="str">
        <f>VLOOKUP(A737,MasterTutor!A:E,3,FALSE)</f>
        <v>Professional</v>
      </c>
      <c r="D737" t="str">
        <f>VLOOKUP(A737,MasterTutor!A:E,2,FALSE)</f>
        <v>Ian Plamondon</v>
      </c>
      <c r="E737" t="s">
        <v>358</v>
      </c>
      <c r="F737" s="2">
        <v>0.82</v>
      </c>
      <c r="G737" s="2">
        <v>1.33</v>
      </c>
      <c r="H737" s="2">
        <v>0.95420000000000005</v>
      </c>
      <c r="I737" s="2">
        <v>0.87880000000000003</v>
      </c>
      <c r="J737" s="2">
        <v>0.67900000000000005</v>
      </c>
      <c r="K737">
        <v>1</v>
      </c>
      <c r="L737" s="19" t="s">
        <v>337</v>
      </c>
      <c r="M737" s="21">
        <f>1/3</f>
        <v>0.33333333333333331</v>
      </c>
    </row>
    <row r="738" spans="1:13" x14ac:dyDescent="0.2">
      <c r="A738" t="s">
        <v>361</v>
      </c>
      <c r="B738" t="e">
        <f>VLOOKUP(A738,MasterTutor!A:E,4,FALSE)</f>
        <v>#N/A</v>
      </c>
      <c r="C738" t="e">
        <f>VLOOKUP(A738,MasterTutor!A:E,3,FALSE)</f>
        <v>#N/A</v>
      </c>
      <c r="D738" t="e">
        <f>VLOOKUP(A738,MasterTutor!A:E,2,FALSE)</f>
        <v>#N/A</v>
      </c>
      <c r="E738" t="s">
        <v>358</v>
      </c>
      <c r="F738" s="2">
        <v>0.02</v>
      </c>
      <c r="G738" s="2">
        <v>0.31</v>
      </c>
      <c r="H738" s="2">
        <v>1</v>
      </c>
      <c r="I738" s="2">
        <v>0</v>
      </c>
      <c r="J738" s="2">
        <v>1</v>
      </c>
      <c r="K738" t="e">
        <v>#N/A</v>
      </c>
      <c r="L738" s="19">
        <v>0</v>
      </c>
      <c r="M738" s="21">
        <f>L738</f>
        <v>0</v>
      </c>
    </row>
    <row r="739" spans="1:13" x14ac:dyDescent="0.2">
      <c r="A739" t="s">
        <v>150</v>
      </c>
      <c r="B739" t="str">
        <f>VLOOKUP(A739,MasterTutor!A:E,4,FALSE)</f>
        <v>Advanced</v>
      </c>
      <c r="C739" t="str">
        <f>VLOOKUP(A739,MasterTutor!A:E,3,FALSE)</f>
        <v>Adjunct</v>
      </c>
      <c r="D739" t="str">
        <f>VLOOKUP(A739,MasterTutor!A:E,2,FALSE)</f>
        <v>Ela Cross</v>
      </c>
      <c r="E739" t="s">
        <v>358</v>
      </c>
      <c r="F739" s="2">
        <v>1.22</v>
      </c>
      <c r="G739" s="2">
        <v>1.23</v>
      </c>
      <c r="H739" s="2">
        <v>1</v>
      </c>
      <c r="I739" s="2">
        <v>0.93879999999999997</v>
      </c>
      <c r="J739" s="2">
        <v>0.93300000000000005</v>
      </c>
      <c r="K739">
        <v>9</v>
      </c>
      <c r="L739" s="19">
        <v>0</v>
      </c>
      <c r="M739" s="21">
        <f>L739</f>
        <v>0</v>
      </c>
    </row>
    <row r="740" spans="1:13" x14ac:dyDescent="0.2">
      <c r="A740" t="s">
        <v>151</v>
      </c>
      <c r="B740" t="e">
        <f>VLOOKUP(A740,MasterTutor!A:E,4,FALSE)</f>
        <v>#N/A</v>
      </c>
      <c r="C740" t="e">
        <f>VLOOKUP(A740,MasterTutor!A:E,3,FALSE)</f>
        <v>#N/A</v>
      </c>
      <c r="D740" t="e">
        <f>VLOOKUP(A740,MasterTutor!A:E,2,FALSE)</f>
        <v>#N/A</v>
      </c>
      <c r="E740" t="s">
        <v>358</v>
      </c>
      <c r="F740" s="2">
        <v>1.52</v>
      </c>
      <c r="G740" s="2">
        <v>1.41</v>
      </c>
      <c r="H740" s="2">
        <v>0.98680000000000001</v>
      </c>
      <c r="I740" s="2">
        <v>1</v>
      </c>
      <c r="J740" s="2">
        <v>0.76500000000000001</v>
      </c>
      <c r="K740">
        <v>7</v>
      </c>
    </row>
    <row r="741" spans="1:13" x14ac:dyDescent="0.2">
      <c r="A741" t="s">
        <v>297</v>
      </c>
      <c r="B741" t="e">
        <f>VLOOKUP(A741,MasterTutor!A:E,4,FALSE)</f>
        <v>#N/A</v>
      </c>
      <c r="C741" t="e">
        <f>VLOOKUP(A741,MasterTutor!A:E,3,FALSE)</f>
        <v>#N/A</v>
      </c>
      <c r="D741" t="e">
        <f>VLOOKUP(A741,MasterTutor!A:E,2,FALSE)</f>
        <v>#N/A</v>
      </c>
      <c r="E741" t="s">
        <v>358</v>
      </c>
      <c r="F741" s="2">
        <v>0.02</v>
      </c>
      <c r="G741" s="2">
        <v>0.28999999999999998</v>
      </c>
      <c r="H741" s="2">
        <v>0</v>
      </c>
      <c r="I741" s="2">
        <v>1</v>
      </c>
      <c r="J741" s="2">
        <v>0.88900000000000001</v>
      </c>
      <c r="K741" t="e">
        <v>#N/A</v>
      </c>
    </row>
    <row r="742" spans="1:13" x14ac:dyDescent="0.2">
      <c r="A742" t="s">
        <v>152</v>
      </c>
      <c r="B742" t="str">
        <f>VLOOKUP(A742,MasterTutor!A:E,4,FALSE)</f>
        <v>Premium</v>
      </c>
      <c r="C742" t="str">
        <f>VLOOKUP(A742,MasterTutor!A:E,3,FALSE)</f>
        <v>Professional</v>
      </c>
      <c r="D742" t="str">
        <f>VLOOKUP(A742,MasterTutor!A:E,2,FALSE)</f>
        <v>Ian Plamondon</v>
      </c>
      <c r="E742" t="s">
        <v>358</v>
      </c>
      <c r="F742" s="2">
        <v>1.31</v>
      </c>
      <c r="G742" s="2">
        <v>1.52</v>
      </c>
      <c r="H742" s="2">
        <v>0.99260000000000004</v>
      </c>
      <c r="I742" s="2">
        <v>1</v>
      </c>
      <c r="J742" s="2">
        <v>0.622</v>
      </c>
      <c r="K742">
        <v>3</v>
      </c>
      <c r="L742" s="19" t="s">
        <v>331</v>
      </c>
      <c r="M742" s="21">
        <v>0.5</v>
      </c>
    </row>
    <row r="743" spans="1:13" x14ac:dyDescent="0.2">
      <c r="A743" t="s">
        <v>153</v>
      </c>
      <c r="B743" t="str">
        <f>VLOOKUP(A743,MasterTutor!A:E,4,FALSE)</f>
        <v>Distinguished</v>
      </c>
      <c r="C743" t="str">
        <f>VLOOKUP(A743,MasterTutor!A:E,3,FALSE)</f>
        <v>Professional</v>
      </c>
      <c r="D743" t="str">
        <f>VLOOKUP(A743,MasterTutor!A:E,2,FALSE)</f>
        <v>Ian Plamondon</v>
      </c>
      <c r="E743" t="s">
        <v>358</v>
      </c>
      <c r="F743" s="2">
        <v>0.92</v>
      </c>
      <c r="G743" s="2">
        <v>1.1299999999999999</v>
      </c>
      <c r="H743" s="2">
        <v>1</v>
      </c>
      <c r="I743" s="2">
        <v>0.95650000000000002</v>
      </c>
      <c r="J743" s="2">
        <v>0.70699999999999996</v>
      </c>
      <c r="K743">
        <v>6</v>
      </c>
      <c r="L743" s="19">
        <v>0</v>
      </c>
      <c r="M743" s="21">
        <f>L743</f>
        <v>0</v>
      </c>
    </row>
    <row r="744" spans="1:13" x14ac:dyDescent="0.2">
      <c r="A744" t="s">
        <v>155</v>
      </c>
      <c r="B744" t="str">
        <f>VLOOKUP(A744,MasterTutor!A:E,4,FALSE)</f>
        <v>Distinguished</v>
      </c>
      <c r="C744" t="str">
        <f>VLOOKUP(A744,MasterTutor!A:E,3,FALSE)</f>
        <v>Professional</v>
      </c>
      <c r="D744" t="str">
        <f>VLOOKUP(A744,MasterTutor!A:E,2,FALSE)</f>
        <v>Kristin Haase-Alvey</v>
      </c>
      <c r="E744" t="s">
        <v>358</v>
      </c>
      <c r="F744" s="2">
        <v>1</v>
      </c>
      <c r="G744" s="2">
        <v>1.1599999999999999</v>
      </c>
      <c r="H744" s="2">
        <v>1</v>
      </c>
      <c r="I744" s="2">
        <v>1</v>
      </c>
      <c r="J744" s="2">
        <v>0.77800000000000002</v>
      </c>
      <c r="K744">
        <v>6</v>
      </c>
      <c r="L744" s="19" t="s">
        <v>331</v>
      </c>
      <c r="M744" s="21">
        <v>0.5</v>
      </c>
    </row>
    <row r="745" spans="1:13" x14ac:dyDescent="0.2">
      <c r="A745" t="s">
        <v>301</v>
      </c>
      <c r="B745" t="str">
        <f>VLOOKUP(A745,MasterTutor!A:E,4,FALSE)</f>
        <v>Advanced</v>
      </c>
      <c r="C745" t="str">
        <f>VLOOKUP(A745,MasterTutor!A:E,3,FALSE)</f>
        <v>Professional</v>
      </c>
      <c r="D745" t="str">
        <f>VLOOKUP(A745,MasterTutor!A:E,2,FALSE)</f>
        <v>Kristin Haase-Alvey</v>
      </c>
      <c r="E745" t="s">
        <v>358</v>
      </c>
      <c r="F745" s="2">
        <v>0.89</v>
      </c>
      <c r="G745" s="2">
        <v>1.24</v>
      </c>
      <c r="H745" s="2">
        <v>1</v>
      </c>
      <c r="I745" s="2">
        <v>1</v>
      </c>
      <c r="J745" s="2">
        <v>0.5</v>
      </c>
      <c r="K745">
        <v>2</v>
      </c>
      <c r="L745" s="19" t="s">
        <v>330</v>
      </c>
      <c r="M745" s="21">
        <v>0.67</v>
      </c>
    </row>
    <row r="746" spans="1:13" x14ac:dyDescent="0.2">
      <c r="A746" t="s">
        <v>156</v>
      </c>
      <c r="B746" t="e">
        <f>VLOOKUP(A746,MasterTutor!A:E,4,FALSE)</f>
        <v>#N/A</v>
      </c>
      <c r="C746" t="e">
        <f>VLOOKUP(A746,MasterTutor!A:E,3,FALSE)</f>
        <v>#N/A</v>
      </c>
      <c r="D746" t="e">
        <f>VLOOKUP(A746,MasterTutor!A:E,2,FALSE)</f>
        <v>#N/A</v>
      </c>
      <c r="E746" t="s">
        <v>358</v>
      </c>
      <c r="F746" s="2">
        <v>1.94</v>
      </c>
      <c r="G746" s="2">
        <v>1.87</v>
      </c>
      <c r="H746" s="2">
        <v>1</v>
      </c>
      <c r="I746" s="2">
        <v>0.91890000000000005</v>
      </c>
      <c r="J746" s="2">
        <v>1</v>
      </c>
      <c r="K746">
        <v>7</v>
      </c>
      <c r="L746" s="19" t="s">
        <v>352</v>
      </c>
      <c r="M746" s="21">
        <v>0.63</v>
      </c>
    </row>
    <row r="747" spans="1:13" x14ac:dyDescent="0.2">
      <c r="A747" t="s">
        <v>157</v>
      </c>
      <c r="B747" t="str">
        <f>VLOOKUP(A747,MasterTutor!A:E,4,FALSE)</f>
        <v>Advanced</v>
      </c>
      <c r="C747" t="str">
        <f>VLOOKUP(A747,MasterTutor!A:E,3,FALSE)</f>
        <v>Adjunct</v>
      </c>
      <c r="D747" t="str">
        <f>VLOOKUP(A747,MasterTutor!A:E,2,FALSE)</f>
        <v>Kristin Haase-Alvey</v>
      </c>
      <c r="E747" t="s">
        <v>358</v>
      </c>
      <c r="F747" s="2">
        <v>1.0900000000000001</v>
      </c>
      <c r="G747" s="2">
        <v>1.29</v>
      </c>
      <c r="H747" s="2">
        <v>0.96650000000000003</v>
      </c>
      <c r="I747" s="2">
        <v>0.98250000000000004</v>
      </c>
      <c r="J747" s="2">
        <v>0.82599999999999996</v>
      </c>
      <c r="K747">
        <v>7</v>
      </c>
      <c r="L747" s="19" t="s">
        <v>329</v>
      </c>
      <c r="M747" s="21">
        <v>0.75</v>
      </c>
    </row>
    <row r="748" spans="1:13" x14ac:dyDescent="0.2">
      <c r="A748" t="s">
        <v>158</v>
      </c>
      <c r="B748" t="str">
        <f>VLOOKUP(A748,MasterTutor!A:E,4,FALSE)</f>
        <v>Advanced</v>
      </c>
      <c r="C748" t="str">
        <f>VLOOKUP(A748,MasterTutor!A:E,3,FALSE)</f>
        <v>Adjunct</v>
      </c>
      <c r="D748" t="str">
        <f>VLOOKUP(A748,MasterTutor!A:E,2,FALSE)</f>
        <v>Annelies de Groot</v>
      </c>
      <c r="E748" t="s">
        <v>358</v>
      </c>
      <c r="F748" s="2">
        <v>0.56000000000000005</v>
      </c>
      <c r="G748" s="2">
        <v>0.77</v>
      </c>
      <c r="H748" s="2">
        <v>1</v>
      </c>
      <c r="I748" s="2">
        <v>0.89470000000000005</v>
      </c>
      <c r="J748" s="2">
        <v>0.69599999999999995</v>
      </c>
      <c r="K748">
        <v>4</v>
      </c>
      <c r="L748" s="19">
        <v>0</v>
      </c>
      <c r="M748" s="21">
        <f>L748</f>
        <v>0</v>
      </c>
    </row>
    <row r="749" spans="1:13" x14ac:dyDescent="0.2">
      <c r="A749" t="s">
        <v>160</v>
      </c>
      <c r="B749" t="str">
        <f>VLOOKUP(A749,MasterTutor!A:E,4,FALSE)</f>
        <v>Distinguished</v>
      </c>
      <c r="C749" t="str">
        <f>VLOOKUP(A749,MasterTutor!A:E,3,FALSE)</f>
        <v>Adjunct</v>
      </c>
      <c r="D749" t="str">
        <f>VLOOKUP(A749,MasterTutor!A:E,2,FALSE)</f>
        <v>Ela Cross</v>
      </c>
      <c r="E749" t="s">
        <v>358</v>
      </c>
      <c r="F749" s="2">
        <v>1.0900000000000001</v>
      </c>
      <c r="G749" s="2">
        <v>1.27</v>
      </c>
      <c r="H749" s="2">
        <v>0.97989999999999999</v>
      </c>
      <c r="I749" s="2">
        <v>1</v>
      </c>
      <c r="J749" s="2">
        <v>0.88900000000000001</v>
      </c>
      <c r="K749" t="e">
        <v>#N/A</v>
      </c>
    </row>
    <row r="750" spans="1:13" x14ac:dyDescent="0.2">
      <c r="A750" t="s">
        <v>161</v>
      </c>
      <c r="B750" t="str">
        <f>VLOOKUP(A750,MasterTutor!A:E,4,FALSE)</f>
        <v>Distinguished</v>
      </c>
      <c r="C750" t="str">
        <f>VLOOKUP(A750,MasterTutor!A:E,3,FALSE)</f>
        <v>Professional</v>
      </c>
      <c r="D750" t="str">
        <f>VLOOKUP(A750,MasterTutor!A:E,2,FALSE)</f>
        <v>Ian Plamondon</v>
      </c>
      <c r="E750" t="s">
        <v>358</v>
      </c>
      <c r="F750" s="2">
        <v>0.93</v>
      </c>
      <c r="G750" s="2">
        <v>1.4</v>
      </c>
      <c r="H750" s="2">
        <v>0.98860000000000003</v>
      </c>
      <c r="I750" s="2">
        <v>1</v>
      </c>
      <c r="J750" s="2">
        <v>0.88500000000000001</v>
      </c>
      <c r="K750">
        <v>4</v>
      </c>
      <c r="L750" s="19">
        <v>1</v>
      </c>
      <c r="M750" s="21">
        <f>L750</f>
        <v>1</v>
      </c>
    </row>
    <row r="751" spans="1:13" x14ac:dyDescent="0.2">
      <c r="A751" t="s">
        <v>162</v>
      </c>
      <c r="B751" t="e">
        <f>VLOOKUP(A751,MasterTutor!A:E,4,FALSE)</f>
        <v>#N/A</v>
      </c>
      <c r="C751" t="e">
        <f>VLOOKUP(A751,MasterTutor!A:E,3,FALSE)</f>
        <v>#N/A</v>
      </c>
      <c r="D751" t="e">
        <f>VLOOKUP(A751,MasterTutor!A:E,2,FALSE)</f>
        <v>#N/A</v>
      </c>
      <c r="E751" t="s">
        <v>358</v>
      </c>
      <c r="F751" s="2">
        <v>0.96</v>
      </c>
      <c r="G751" s="2">
        <v>1.19</v>
      </c>
      <c r="H751" s="2">
        <v>0.77349999999999997</v>
      </c>
      <c r="I751" s="2">
        <v>0.90700000000000003</v>
      </c>
      <c r="J751" s="2">
        <v>0.375</v>
      </c>
      <c r="K751">
        <v>4</v>
      </c>
    </row>
    <row r="752" spans="1:13" x14ac:dyDescent="0.2">
      <c r="A752" t="s">
        <v>163</v>
      </c>
      <c r="B752" t="str">
        <f>VLOOKUP(A752,MasterTutor!A:E,4,FALSE)</f>
        <v>Premium</v>
      </c>
      <c r="C752" t="str">
        <f>VLOOKUP(A752,MasterTutor!A:E,3,FALSE)</f>
        <v>Professional</v>
      </c>
      <c r="D752" t="str">
        <f>VLOOKUP(A752,MasterTutor!A:E,2,FALSE)</f>
        <v>Jessica Milner</v>
      </c>
      <c r="E752" t="s">
        <v>358</v>
      </c>
      <c r="F752" s="2">
        <v>0.96</v>
      </c>
      <c r="G752" s="2">
        <v>1.32</v>
      </c>
      <c r="H752" s="2">
        <v>0.63229999999999997</v>
      </c>
      <c r="I752" s="2">
        <v>0.76</v>
      </c>
      <c r="J752" s="2">
        <v>0.28999999999999998</v>
      </c>
      <c r="K752">
        <v>1</v>
      </c>
      <c r="L752" s="19" t="s">
        <v>335</v>
      </c>
      <c r="M752" s="21">
        <v>0.25</v>
      </c>
    </row>
    <row r="753" spans="1:13" x14ac:dyDescent="0.2">
      <c r="A753" t="s">
        <v>164</v>
      </c>
      <c r="B753" t="str">
        <f>VLOOKUP(A753,MasterTutor!A:E,4,FALSE)</f>
        <v>Advanced</v>
      </c>
      <c r="C753" t="str">
        <f>VLOOKUP(A753,MasterTutor!A:E,3,FALSE)</f>
        <v>Professional</v>
      </c>
      <c r="D753" t="str">
        <f>VLOOKUP(A753,MasterTutor!A:E,2,FALSE)</f>
        <v>Annelies de Groot</v>
      </c>
      <c r="E753" t="s">
        <v>358</v>
      </c>
      <c r="F753" s="2">
        <v>1.06</v>
      </c>
      <c r="G753" s="2">
        <v>1</v>
      </c>
      <c r="H753" s="2">
        <v>0.92879999999999996</v>
      </c>
      <c r="I753" s="2">
        <v>0.96199999999999997</v>
      </c>
      <c r="J753" s="2">
        <v>0.66700000000000004</v>
      </c>
      <c r="K753">
        <v>12</v>
      </c>
      <c r="L753" s="19">
        <v>0</v>
      </c>
      <c r="M753" s="21">
        <f>L753</f>
        <v>0</v>
      </c>
    </row>
    <row r="754" spans="1:13" x14ac:dyDescent="0.2">
      <c r="A754" t="s">
        <v>165</v>
      </c>
      <c r="B754" t="str">
        <f>VLOOKUP(A754,MasterTutor!A:E,4,FALSE)</f>
        <v>Advanced</v>
      </c>
      <c r="C754" t="str">
        <f>VLOOKUP(A754,MasterTutor!A:E,3,FALSE)</f>
        <v>Adjunct</v>
      </c>
      <c r="D754" t="str">
        <f>VLOOKUP(A754,MasterTutor!A:E,2,FALSE)</f>
        <v>Ela Cross</v>
      </c>
      <c r="E754" t="s">
        <v>358</v>
      </c>
      <c r="F754" s="2">
        <v>1.1200000000000001</v>
      </c>
      <c r="G754" s="2">
        <v>1.26</v>
      </c>
      <c r="H754" s="2">
        <v>0.94989999999999997</v>
      </c>
      <c r="I754" s="2">
        <v>0.9647</v>
      </c>
      <c r="J754" s="2">
        <v>0.66700000000000004</v>
      </c>
      <c r="K754">
        <v>7</v>
      </c>
    </row>
    <row r="755" spans="1:13" x14ac:dyDescent="0.2">
      <c r="A755" t="s">
        <v>166</v>
      </c>
      <c r="B755" t="str">
        <f>VLOOKUP(A755,MasterTutor!A:E,4,FALSE)</f>
        <v>Distinguished</v>
      </c>
      <c r="C755" t="str">
        <f>VLOOKUP(A755,MasterTutor!A:E,3,FALSE)</f>
        <v>Adjunct</v>
      </c>
      <c r="D755" t="str">
        <f>VLOOKUP(A755,MasterTutor!A:E,2,FALSE)</f>
        <v>Annelies de Groot</v>
      </c>
      <c r="E755" t="s">
        <v>358</v>
      </c>
      <c r="F755" s="2">
        <v>1.27</v>
      </c>
      <c r="G755" s="2">
        <v>1.3</v>
      </c>
      <c r="H755" s="2">
        <v>1</v>
      </c>
      <c r="I755" s="2">
        <v>0.97829999999999995</v>
      </c>
      <c r="J755" s="2">
        <v>0.6</v>
      </c>
      <c r="K755">
        <v>8</v>
      </c>
      <c r="L755" s="19">
        <v>0</v>
      </c>
      <c r="M755" s="21">
        <f>L755</f>
        <v>0</v>
      </c>
    </row>
    <row r="756" spans="1:13" x14ac:dyDescent="0.2">
      <c r="A756" t="s">
        <v>167</v>
      </c>
      <c r="B756" t="str">
        <f>VLOOKUP(A756,MasterTutor!A:E,4,FALSE)</f>
        <v>Advanced</v>
      </c>
      <c r="C756" t="str">
        <f>VLOOKUP(A756,MasterTutor!A:E,3,FALSE)</f>
        <v>Adjunct</v>
      </c>
      <c r="D756" t="str">
        <f>VLOOKUP(A756,MasterTutor!A:E,2,FALSE)</f>
        <v>Ela Cross</v>
      </c>
      <c r="E756" t="s">
        <v>358</v>
      </c>
      <c r="F756" s="2">
        <v>0.96</v>
      </c>
      <c r="G756" s="2">
        <v>1.04</v>
      </c>
      <c r="H756" s="2">
        <v>0.90090000000000003</v>
      </c>
      <c r="I756" s="2">
        <v>0.875</v>
      </c>
      <c r="J756" s="2">
        <v>0.88900000000000001</v>
      </c>
      <c r="K756">
        <v>5</v>
      </c>
    </row>
    <row r="757" spans="1:13" x14ac:dyDescent="0.2">
      <c r="A757" t="s">
        <v>168</v>
      </c>
      <c r="B757" t="str">
        <f>VLOOKUP(A757,MasterTutor!A:E,4,FALSE)</f>
        <v>Advanced</v>
      </c>
      <c r="C757" t="str">
        <f>VLOOKUP(A757,MasterTutor!A:E,3,FALSE)</f>
        <v>Adjunct</v>
      </c>
      <c r="D757" t="str">
        <f>VLOOKUP(A757,MasterTutor!A:E,2,FALSE)</f>
        <v>Kristin Haase-Alvey</v>
      </c>
      <c r="E757" t="s">
        <v>358</v>
      </c>
      <c r="F757" s="2">
        <v>1.01</v>
      </c>
      <c r="G757" s="2">
        <v>1.03</v>
      </c>
      <c r="H757" s="2">
        <v>1</v>
      </c>
      <c r="I757" s="2">
        <v>0.98280000000000001</v>
      </c>
      <c r="J757" s="2">
        <v>0.875</v>
      </c>
      <c r="K757">
        <v>6</v>
      </c>
      <c r="L757" s="19" t="s">
        <v>331</v>
      </c>
      <c r="M757" s="21">
        <v>0.5</v>
      </c>
    </row>
    <row r="758" spans="1:13" x14ac:dyDescent="0.2">
      <c r="A758" t="s">
        <v>169</v>
      </c>
      <c r="B758" t="e">
        <f>VLOOKUP(A758,MasterTutor!A:E,4,FALSE)</f>
        <v>#N/A</v>
      </c>
      <c r="C758" t="e">
        <f>VLOOKUP(A758,MasterTutor!A:E,3,FALSE)</f>
        <v>#N/A</v>
      </c>
      <c r="D758" t="e">
        <f>VLOOKUP(A758,MasterTutor!A:E,2,FALSE)</f>
        <v>#N/A</v>
      </c>
      <c r="E758" t="s">
        <v>358</v>
      </c>
      <c r="F758" s="2">
        <v>0.95</v>
      </c>
      <c r="G758" s="2">
        <v>1.29</v>
      </c>
      <c r="H758" s="2">
        <v>0.99139999999999995</v>
      </c>
      <c r="I758" s="2">
        <v>0.54900000000000004</v>
      </c>
      <c r="J758" s="2">
        <v>1</v>
      </c>
      <c r="K758">
        <v>1</v>
      </c>
      <c r="L758" s="19" t="s">
        <v>329</v>
      </c>
      <c r="M758" s="21">
        <v>0.75</v>
      </c>
    </row>
    <row r="759" spans="1:13" x14ac:dyDescent="0.2">
      <c r="A759" t="s">
        <v>170</v>
      </c>
      <c r="B759" t="str">
        <f>VLOOKUP(A759,MasterTutor!A:E,4,FALSE)</f>
        <v>Advanced</v>
      </c>
      <c r="C759" t="str">
        <f>VLOOKUP(A759,MasterTutor!A:E,3,FALSE)</f>
        <v>Professional</v>
      </c>
      <c r="D759" t="str">
        <f>VLOOKUP(A759,MasterTutor!A:E,2,FALSE)</f>
        <v>Ela Cross</v>
      </c>
      <c r="E759" t="s">
        <v>358</v>
      </c>
      <c r="F759" s="2">
        <v>2.5299999999999998</v>
      </c>
      <c r="G759" s="2">
        <v>2.76</v>
      </c>
      <c r="H759" s="2">
        <v>0.90980000000000005</v>
      </c>
      <c r="I759" s="2">
        <v>0.98550000000000004</v>
      </c>
      <c r="J759" s="2">
        <v>0.90900000000000003</v>
      </c>
      <c r="K759">
        <v>6</v>
      </c>
      <c r="L759" s="19" t="s">
        <v>360</v>
      </c>
      <c r="M759" s="21">
        <v>0.4</v>
      </c>
    </row>
    <row r="760" spans="1:13" x14ac:dyDescent="0.2">
      <c r="A760" t="s">
        <v>305</v>
      </c>
      <c r="B760" t="str">
        <f>VLOOKUP(A760,MasterTutor!A:E,4,FALSE)</f>
        <v>Advanced</v>
      </c>
      <c r="C760" t="str">
        <f>VLOOKUP(A760,MasterTutor!A:E,3,FALSE)</f>
        <v>Professional</v>
      </c>
      <c r="D760" t="str">
        <f>VLOOKUP(A760,MasterTutor!A:E,2,FALSE)</f>
        <v>Ian Plamondon</v>
      </c>
      <c r="E760" t="s">
        <v>358</v>
      </c>
      <c r="F760" s="2">
        <v>0</v>
      </c>
      <c r="G760" s="2">
        <v>0.28000000000000003</v>
      </c>
      <c r="H760" s="2">
        <v>0</v>
      </c>
      <c r="I760" s="2">
        <v>0</v>
      </c>
      <c r="J760" s="2">
        <v>1</v>
      </c>
      <c r="K760" t="e">
        <v>#N/A</v>
      </c>
    </row>
    <row r="761" spans="1:13" x14ac:dyDescent="0.2">
      <c r="A761" t="s">
        <v>171</v>
      </c>
      <c r="B761" t="str">
        <f>VLOOKUP(A761,MasterTutor!A:E,4,FALSE)</f>
        <v>Advanced</v>
      </c>
      <c r="C761" t="str">
        <f>VLOOKUP(A761,MasterTutor!A:E,3,FALSE)</f>
        <v>Adjunct</v>
      </c>
      <c r="D761" t="str">
        <f>VLOOKUP(A761,MasterTutor!A:E,2,FALSE)</f>
        <v>Annelies de Groot</v>
      </c>
      <c r="E761" t="s">
        <v>358</v>
      </c>
      <c r="F761" s="2">
        <v>1.05</v>
      </c>
      <c r="G761" s="2">
        <v>1.29</v>
      </c>
      <c r="H761" s="2">
        <v>0.72919999999999996</v>
      </c>
      <c r="I761" s="2">
        <v>0.94869999999999999</v>
      </c>
      <c r="J761" s="2">
        <v>0.4</v>
      </c>
      <c r="K761">
        <v>2</v>
      </c>
      <c r="L761" s="19">
        <v>0</v>
      </c>
      <c r="M761" s="21">
        <f>L761</f>
        <v>0</v>
      </c>
    </row>
    <row r="762" spans="1:13" x14ac:dyDescent="0.2">
      <c r="A762" t="s">
        <v>172</v>
      </c>
      <c r="B762" t="e">
        <f>VLOOKUP(A762,MasterTutor!A:E,4,FALSE)</f>
        <v>#N/A</v>
      </c>
      <c r="C762" t="e">
        <f>VLOOKUP(A762,MasterTutor!A:E,3,FALSE)</f>
        <v>#N/A</v>
      </c>
      <c r="D762" t="e">
        <f>VLOOKUP(A762,MasterTutor!A:E,2,FALSE)</f>
        <v>#N/A</v>
      </c>
      <c r="E762" t="s">
        <v>358</v>
      </c>
      <c r="F762" s="2">
        <v>1.07</v>
      </c>
      <c r="G762" s="2">
        <v>1.5</v>
      </c>
      <c r="H762" s="2">
        <v>0.98529999999999995</v>
      </c>
      <c r="I762" s="2">
        <v>0.78380000000000005</v>
      </c>
      <c r="J762" s="2">
        <v>1</v>
      </c>
      <c r="K762">
        <v>2</v>
      </c>
    </row>
    <row r="763" spans="1:13" x14ac:dyDescent="0.2">
      <c r="A763" t="s">
        <v>173</v>
      </c>
      <c r="B763" t="e">
        <f>VLOOKUP(A763,MasterTutor!A:E,4,FALSE)</f>
        <v>#N/A</v>
      </c>
      <c r="C763" t="e">
        <f>VLOOKUP(A763,MasterTutor!A:E,3,FALSE)</f>
        <v>#N/A</v>
      </c>
      <c r="D763" t="e">
        <f>VLOOKUP(A763,MasterTutor!A:E,2,FALSE)</f>
        <v>#N/A</v>
      </c>
      <c r="E763" t="s">
        <v>358</v>
      </c>
      <c r="F763" s="2">
        <v>0.6</v>
      </c>
      <c r="G763" s="2">
        <v>0.92</v>
      </c>
      <c r="H763" s="2">
        <v>0.85829999999999995</v>
      </c>
      <c r="I763" s="2">
        <v>0.70589999999999997</v>
      </c>
      <c r="J763" s="2">
        <v>0.88200000000000001</v>
      </c>
      <c r="K763">
        <v>1</v>
      </c>
      <c r="L763" s="19" t="s">
        <v>360</v>
      </c>
      <c r="M763" s="21">
        <v>0.4</v>
      </c>
    </row>
    <row r="764" spans="1:13" x14ac:dyDescent="0.2">
      <c r="A764" t="s">
        <v>174</v>
      </c>
      <c r="B764" t="e">
        <f>VLOOKUP(A764,MasterTutor!A:E,4,FALSE)</f>
        <v>#N/A</v>
      </c>
      <c r="C764" t="e">
        <f>VLOOKUP(A764,MasterTutor!A:E,3,FALSE)</f>
        <v>#N/A</v>
      </c>
      <c r="D764" t="e">
        <f>VLOOKUP(A764,MasterTutor!A:E,2,FALSE)</f>
        <v>#N/A</v>
      </c>
      <c r="E764" t="s">
        <v>358</v>
      </c>
      <c r="F764" s="2">
        <v>0.88</v>
      </c>
      <c r="G764" s="2">
        <v>0.95</v>
      </c>
      <c r="H764" s="2">
        <v>0.94189999999999996</v>
      </c>
      <c r="I764" s="2">
        <v>0.95350000000000001</v>
      </c>
      <c r="J764" s="2">
        <v>0.58099999999999996</v>
      </c>
      <c r="K764">
        <v>6</v>
      </c>
      <c r="L764" s="19" t="s">
        <v>360</v>
      </c>
      <c r="M764" s="21">
        <v>0.4</v>
      </c>
    </row>
    <row r="765" spans="1:13" x14ac:dyDescent="0.2">
      <c r="A765" t="s">
        <v>175</v>
      </c>
      <c r="B765" t="str">
        <f>VLOOKUP(A765,MasterTutor!A:E,4,FALSE)</f>
        <v>Distinguished</v>
      </c>
      <c r="C765" t="str">
        <f>VLOOKUP(A765,MasterTutor!A:E,3,FALSE)</f>
        <v>Adjunct</v>
      </c>
      <c r="D765" t="str">
        <f>VLOOKUP(A765,MasterTutor!A:E,2,FALSE)</f>
        <v>Annelies de Groot</v>
      </c>
      <c r="E765" t="s">
        <v>358</v>
      </c>
      <c r="F765" s="2">
        <v>0.69</v>
      </c>
      <c r="G765" s="2">
        <v>1.06</v>
      </c>
      <c r="H765" s="2">
        <v>0.90080000000000005</v>
      </c>
      <c r="I765" s="2">
        <v>0.64</v>
      </c>
      <c r="J765" s="2">
        <v>0.8</v>
      </c>
      <c r="K765">
        <v>2</v>
      </c>
      <c r="L765" s="19">
        <v>0</v>
      </c>
      <c r="M765" s="21">
        <f>L765</f>
        <v>0</v>
      </c>
    </row>
    <row r="766" spans="1:13" x14ac:dyDescent="0.2">
      <c r="A766" t="s">
        <v>176</v>
      </c>
      <c r="B766" t="str">
        <f>VLOOKUP(A766,MasterTutor!A:E,4,FALSE)</f>
        <v>Premium</v>
      </c>
      <c r="C766" t="str">
        <f>VLOOKUP(A766,MasterTutor!A:E,3,FALSE)</f>
        <v>Professional</v>
      </c>
      <c r="D766" t="str">
        <f>VLOOKUP(A766,MasterTutor!A:E,2,FALSE)</f>
        <v>Ian Plamondon</v>
      </c>
      <c r="E766" t="s">
        <v>358</v>
      </c>
      <c r="F766" s="2">
        <v>1.03</v>
      </c>
      <c r="G766" s="2">
        <v>1.39</v>
      </c>
      <c r="H766" s="2">
        <v>1</v>
      </c>
      <c r="I766" s="2">
        <v>1</v>
      </c>
      <c r="J766" s="2">
        <v>0.25</v>
      </c>
      <c r="K766">
        <v>4</v>
      </c>
      <c r="L766" s="19" t="s">
        <v>338</v>
      </c>
      <c r="M766" s="21">
        <v>0.8</v>
      </c>
    </row>
    <row r="767" spans="1:13" x14ac:dyDescent="0.2">
      <c r="A767" t="s">
        <v>362</v>
      </c>
      <c r="B767" t="e">
        <f>VLOOKUP(A767,MasterTutor!A:E,4,FALSE)</f>
        <v>#N/A</v>
      </c>
      <c r="C767" t="e">
        <f>VLOOKUP(A767,MasterTutor!A:E,3,FALSE)</f>
        <v>#N/A</v>
      </c>
      <c r="D767" t="e">
        <f>VLOOKUP(A767,MasterTutor!A:E,2,FALSE)</f>
        <v>#N/A</v>
      </c>
      <c r="E767" t="s">
        <v>358</v>
      </c>
      <c r="F767" s="2">
        <v>0.04</v>
      </c>
      <c r="G767" s="2">
        <v>0.28999999999999998</v>
      </c>
      <c r="H767" s="2">
        <v>1</v>
      </c>
      <c r="I767" s="2">
        <v>1</v>
      </c>
      <c r="J767" s="2">
        <v>0.90900000000000003</v>
      </c>
      <c r="K767" t="e">
        <v>#N/A</v>
      </c>
      <c r="L767" s="19">
        <v>1</v>
      </c>
      <c r="M767" s="21">
        <f>L767</f>
        <v>1</v>
      </c>
    </row>
    <row r="768" spans="1:13" x14ac:dyDescent="0.2">
      <c r="A768" t="s">
        <v>177</v>
      </c>
      <c r="B768" t="e">
        <f>VLOOKUP(A768,MasterTutor!A:E,4,FALSE)</f>
        <v>#N/A</v>
      </c>
      <c r="C768" t="e">
        <f>VLOOKUP(A768,MasterTutor!A:E,3,FALSE)</f>
        <v>#N/A</v>
      </c>
      <c r="D768" t="e">
        <f>VLOOKUP(A768,MasterTutor!A:E,2,FALSE)</f>
        <v>#N/A</v>
      </c>
      <c r="E768" t="s">
        <v>358</v>
      </c>
      <c r="F768" s="2">
        <v>0.88</v>
      </c>
      <c r="G768" s="2">
        <v>1.05</v>
      </c>
      <c r="H768" s="2">
        <v>0.86299999999999999</v>
      </c>
      <c r="I768" s="2">
        <v>0.91800000000000004</v>
      </c>
      <c r="J768" s="2">
        <v>0.46700000000000003</v>
      </c>
      <c r="K768">
        <v>3</v>
      </c>
      <c r="L768" s="19">
        <v>0</v>
      </c>
      <c r="M768" s="21">
        <f>L768</f>
        <v>0</v>
      </c>
    </row>
    <row r="769" spans="1:13" x14ac:dyDescent="0.2">
      <c r="A769" t="s">
        <v>178</v>
      </c>
      <c r="B769" t="e">
        <f>VLOOKUP(A769,MasterTutor!A:E,4,FALSE)</f>
        <v>#N/A</v>
      </c>
      <c r="C769" t="e">
        <f>VLOOKUP(A769,MasterTutor!A:E,3,FALSE)</f>
        <v>#N/A</v>
      </c>
      <c r="D769" t="e">
        <f>VLOOKUP(A769,MasterTutor!A:E,2,FALSE)</f>
        <v>#N/A</v>
      </c>
      <c r="E769" t="s">
        <v>358</v>
      </c>
      <c r="F769" s="2">
        <v>0.85</v>
      </c>
      <c r="G769" s="2">
        <v>0.85</v>
      </c>
      <c r="H769" s="2">
        <v>1</v>
      </c>
      <c r="I769" s="2">
        <v>0.72409999999999997</v>
      </c>
      <c r="J769" s="2">
        <v>0.7</v>
      </c>
      <c r="K769">
        <v>3</v>
      </c>
      <c r="L769" s="19">
        <v>1</v>
      </c>
      <c r="M769" s="21">
        <f>L769</f>
        <v>1</v>
      </c>
    </row>
    <row r="770" spans="1:13" x14ac:dyDescent="0.2">
      <c r="A770" t="s">
        <v>314</v>
      </c>
      <c r="B770" t="str">
        <f>VLOOKUP(A770,MasterTutor!A:E,4,FALSE)</f>
        <v>Advanced</v>
      </c>
      <c r="C770" t="str">
        <f>VLOOKUP(A770,MasterTutor!A:E,3,FALSE)</f>
        <v>Professional</v>
      </c>
      <c r="D770" t="str">
        <f>VLOOKUP(A770,MasterTutor!A:E,2,FALSE)</f>
        <v>Ian Plamondon</v>
      </c>
      <c r="E770" t="s">
        <v>358</v>
      </c>
      <c r="F770" s="2">
        <v>0.44</v>
      </c>
      <c r="G770" s="2">
        <v>0.66</v>
      </c>
      <c r="H770" s="2">
        <v>1</v>
      </c>
      <c r="I770" s="2">
        <v>1</v>
      </c>
      <c r="J770" s="2">
        <v>0.61499999999999999</v>
      </c>
      <c r="K770" t="e">
        <v>#N/A</v>
      </c>
      <c r="L770" s="19" t="s">
        <v>335</v>
      </c>
      <c r="M770" s="21">
        <v>0.25</v>
      </c>
    </row>
    <row r="771" spans="1:13" x14ac:dyDescent="0.2">
      <c r="A771" t="s">
        <v>179</v>
      </c>
      <c r="B771" t="str">
        <f>VLOOKUP(A771,MasterTutor!A:E,4,FALSE)</f>
        <v>Advanced</v>
      </c>
      <c r="C771" t="str">
        <f>VLOOKUP(A771,MasterTutor!A:E,3,FALSE)</f>
        <v>Adjunct</v>
      </c>
      <c r="D771" t="str">
        <f>VLOOKUP(A771,MasterTutor!A:E,2,FALSE)</f>
        <v>Ela Cross</v>
      </c>
      <c r="E771" t="s">
        <v>358</v>
      </c>
      <c r="F771" s="2">
        <v>1.21</v>
      </c>
      <c r="G771" s="2">
        <v>1.35</v>
      </c>
      <c r="H771" s="2">
        <v>1</v>
      </c>
      <c r="I771" s="2">
        <v>1</v>
      </c>
      <c r="J771" s="2">
        <v>0.81799999999999995</v>
      </c>
      <c r="K771">
        <v>2</v>
      </c>
      <c r="L771" s="19">
        <v>1</v>
      </c>
      <c r="M771" s="21">
        <f>L771</f>
        <v>1</v>
      </c>
    </row>
    <row r="772" spans="1:13" x14ac:dyDescent="0.2">
      <c r="A772" t="s">
        <v>180</v>
      </c>
      <c r="B772" t="str">
        <f>VLOOKUP(A772,MasterTutor!A:E,4,FALSE)</f>
        <v>Premium</v>
      </c>
      <c r="C772" t="str">
        <f>VLOOKUP(A772,MasterTutor!A:E,3,FALSE)</f>
        <v>Adjunct</v>
      </c>
      <c r="D772" t="str">
        <f>VLOOKUP(A772,MasterTutor!A:E,2,FALSE)</f>
        <v>Geoff St. Marie</v>
      </c>
      <c r="E772" t="s">
        <v>358</v>
      </c>
      <c r="F772" s="2">
        <v>0.98</v>
      </c>
      <c r="G772" s="2">
        <v>1.42</v>
      </c>
      <c r="H772" s="2">
        <v>1</v>
      </c>
      <c r="I772" s="2">
        <v>0.875</v>
      </c>
      <c r="J772" s="2">
        <v>0.81799999999999995</v>
      </c>
      <c r="K772">
        <v>1</v>
      </c>
      <c r="L772" s="19">
        <v>0</v>
      </c>
      <c r="M772" s="21">
        <f>L772</f>
        <v>0</v>
      </c>
    </row>
    <row r="773" spans="1:13" x14ac:dyDescent="0.2">
      <c r="A773" t="s">
        <v>181</v>
      </c>
      <c r="B773" t="str">
        <f>VLOOKUP(A773,MasterTutor!A:E,4,FALSE)</f>
        <v>Advanced</v>
      </c>
      <c r="C773" t="str">
        <f>VLOOKUP(A773,MasterTutor!A:E,3,FALSE)</f>
        <v>Professional</v>
      </c>
      <c r="D773" t="str">
        <f>VLOOKUP(A773,MasterTutor!A:E,2,FALSE)</f>
        <v>Ela Cross</v>
      </c>
      <c r="E773" t="s">
        <v>358</v>
      </c>
      <c r="F773" s="2">
        <v>1.08</v>
      </c>
      <c r="G773" s="2">
        <v>1.05</v>
      </c>
      <c r="H773" s="2">
        <v>0.9919</v>
      </c>
      <c r="I773" s="2">
        <v>0.98819999999999997</v>
      </c>
      <c r="J773" s="2">
        <v>0.96</v>
      </c>
      <c r="K773">
        <v>3</v>
      </c>
      <c r="L773" s="19" t="s">
        <v>338</v>
      </c>
      <c r="M773" s="21">
        <v>0.8</v>
      </c>
    </row>
    <row r="774" spans="1:13" x14ac:dyDescent="0.2">
      <c r="A774" t="s">
        <v>182</v>
      </c>
      <c r="B774" t="str">
        <f>VLOOKUP(A774,MasterTutor!A:E,4,FALSE)</f>
        <v>Premium</v>
      </c>
      <c r="C774" t="str">
        <f>VLOOKUP(A774,MasterTutor!A:E,3,FALSE)</f>
        <v>Professional</v>
      </c>
      <c r="D774" t="str">
        <f>VLOOKUP(A774,MasterTutor!A:E,2,FALSE)</f>
        <v>Annelies de Groot</v>
      </c>
      <c r="E774" t="s">
        <v>358</v>
      </c>
      <c r="F774" s="2">
        <v>1.39</v>
      </c>
      <c r="G774" s="2">
        <v>1.34</v>
      </c>
      <c r="H774" s="2">
        <v>1</v>
      </c>
      <c r="I774" s="2">
        <v>0.97260000000000002</v>
      </c>
      <c r="J774" s="2">
        <v>0.65500000000000003</v>
      </c>
      <c r="K774">
        <v>4</v>
      </c>
      <c r="L774" s="19">
        <v>1</v>
      </c>
      <c r="M774" s="21">
        <f>L774</f>
        <v>1</v>
      </c>
    </row>
    <row r="775" spans="1:13" x14ac:dyDescent="0.2">
      <c r="A775" t="s">
        <v>315</v>
      </c>
      <c r="B775" t="str">
        <f>VLOOKUP(A775,MasterTutor!A:E,4,FALSE)</f>
        <v>Advanced</v>
      </c>
      <c r="C775" t="str">
        <f>VLOOKUP(A775,MasterTutor!A:E,3,FALSE)</f>
        <v>Professional</v>
      </c>
      <c r="D775" t="str">
        <f>VLOOKUP(A775,MasterTutor!A:E,2,FALSE)</f>
        <v>Ela Cross</v>
      </c>
      <c r="E775" t="s">
        <v>358</v>
      </c>
      <c r="F775" s="2">
        <v>0.75</v>
      </c>
      <c r="G775" s="2">
        <v>1.1299999999999999</v>
      </c>
      <c r="H775" s="2">
        <v>0.94199999999999995</v>
      </c>
      <c r="I775" s="2">
        <v>0.87039999999999995</v>
      </c>
      <c r="J775" s="2">
        <v>0.70599999999999996</v>
      </c>
      <c r="K775">
        <v>1</v>
      </c>
      <c r="L775" s="19" t="s">
        <v>330</v>
      </c>
      <c r="M775" s="21">
        <v>0.67</v>
      </c>
    </row>
    <row r="776" spans="1:13" x14ac:dyDescent="0.2">
      <c r="A776" t="s">
        <v>183</v>
      </c>
      <c r="B776" t="str">
        <f>VLOOKUP(A776,MasterTutor!A:E,4,FALSE)</f>
        <v>Advanced</v>
      </c>
      <c r="C776" t="str">
        <f>VLOOKUP(A776,MasterTutor!A:E,3,FALSE)</f>
        <v>Adjunct</v>
      </c>
      <c r="D776" t="str">
        <f>VLOOKUP(A776,MasterTutor!A:E,2,FALSE)</f>
        <v>Annelies de Groot</v>
      </c>
      <c r="E776" t="s">
        <v>358</v>
      </c>
      <c r="F776" s="2">
        <v>1.25</v>
      </c>
      <c r="G776" s="2">
        <v>1.39</v>
      </c>
      <c r="H776" s="2">
        <v>0.98609999999999998</v>
      </c>
      <c r="I776" s="2">
        <v>1</v>
      </c>
      <c r="J776" s="2">
        <v>0.90900000000000003</v>
      </c>
      <c r="K776">
        <v>6</v>
      </c>
      <c r="L776" s="19">
        <v>1</v>
      </c>
      <c r="M776" s="21">
        <f>L776</f>
        <v>1</v>
      </c>
    </row>
    <row r="777" spans="1:13" x14ac:dyDescent="0.2">
      <c r="A777" t="s">
        <v>184</v>
      </c>
      <c r="B777" t="str">
        <f>VLOOKUP(A777,MasterTutor!A:E,4,FALSE)</f>
        <v>Advanced</v>
      </c>
      <c r="C777" t="str">
        <f>VLOOKUP(A777,MasterTutor!A:E,3,FALSE)</f>
        <v>Adjunct</v>
      </c>
      <c r="D777" t="str">
        <f>VLOOKUP(A777,MasterTutor!A:E,2,FALSE)</f>
        <v>Kristin Haase-Alvey</v>
      </c>
      <c r="E777" t="s">
        <v>358</v>
      </c>
      <c r="F777" s="2">
        <v>0.93</v>
      </c>
      <c r="G777" s="2">
        <v>1.01</v>
      </c>
      <c r="H777" s="2">
        <v>0.95</v>
      </c>
      <c r="I777" s="2">
        <v>0.97370000000000001</v>
      </c>
      <c r="J777" s="2">
        <v>0.66700000000000004</v>
      </c>
      <c r="K777">
        <v>6</v>
      </c>
      <c r="L777" s="19">
        <v>1</v>
      </c>
      <c r="M777" s="21">
        <f>L777</f>
        <v>1</v>
      </c>
    </row>
    <row r="778" spans="1:13" x14ac:dyDescent="0.2">
      <c r="A778" t="s">
        <v>185</v>
      </c>
      <c r="B778" t="str">
        <f>VLOOKUP(A778,MasterTutor!A:E,4,FALSE)</f>
        <v>Distinguished</v>
      </c>
      <c r="C778" t="str">
        <f>VLOOKUP(A778,MasterTutor!A:E,3,FALSE)</f>
        <v>Professional</v>
      </c>
      <c r="D778" t="str">
        <f>VLOOKUP(A778,MasterTutor!A:E,2,FALSE)</f>
        <v>Ian Plamondon</v>
      </c>
      <c r="E778" t="s">
        <v>358</v>
      </c>
      <c r="F778" s="2">
        <v>0.5</v>
      </c>
      <c r="G778" s="2">
        <v>0.98</v>
      </c>
      <c r="H778" s="2">
        <v>0.98440000000000005</v>
      </c>
      <c r="I778" s="2">
        <v>1</v>
      </c>
      <c r="J778" s="2">
        <v>0.93799999999999994</v>
      </c>
      <c r="K778">
        <v>1</v>
      </c>
      <c r="L778" s="19">
        <v>0</v>
      </c>
      <c r="M778" s="21">
        <f>L778</f>
        <v>0</v>
      </c>
    </row>
    <row r="779" spans="1:13" x14ac:dyDescent="0.2">
      <c r="A779" t="s">
        <v>186</v>
      </c>
      <c r="B779" t="str">
        <f>VLOOKUP(A779,MasterTutor!A:E,4,FALSE)</f>
        <v>Premium</v>
      </c>
      <c r="C779" t="str">
        <f>VLOOKUP(A779,MasterTutor!A:E,3,FALSE)</f>
        <v>Adjunct</v>
      </c>
      <c r="D779" t="str">
        <f>VLOOKUP(A779,MasterTutor!A:E,2,FALSE)</f>
        <v>Ela Cross</v>
      </c>
      <c r="E779" t="s">
        <v>358</v>
      </c>
      <c r="F779" s="2">
        <v>1.04</v>
      </c>
      <c r="G779" s="2">
        <v>1.58</v>
      </c>
      <c r="H779" s="2">
        <v>1</v>
      </c>
      <c r="I779" s="2">
        <v>0.97299999999999998</v>
      </c>
      <c r="J779" s="2">
        <v>0.5</v>
      </c>
      <c r="K779">
        <v>2</v>
      </c>
      <c r="L779" s="19">
        <v>1</v>
      </c>
      <c r="M779" s="21">
        <f>L779</f>
        <v>1</v>
      </c>
    </row>
    <row r="780" spans="1:13" x14ac:dyDescent="0.2">
      <c r="A780" t="s">
        <v>187</v>
      </c>
      <c r="B780" t="str">
        <f>VLOOKUP(A780,MasterTutor!A:E,4,FALSE)</f>
        <v>Distinguished</v>
      </c>
      <c r="C780" t="str">
        <f>VLOOKUP(A780,MasterTutor!A:E,3,FALSE)</f>
        <v>Adjunct</v>
      </c>
      <c r="D780" t="str">
        <f>VLOOKUP(A780,MasterTutor!A:E,2,FALSE)</f>
        <v>Ela Cross</v>
      </c>
      <c r="E780" t="s">
        <v>358</v>
      </c>
      <c r="F780" s="2">
        <v>0.96</v>
      </c>
      <c r="G780" s="2">
        <v>1.36</v>
      </c>
      <c r="H780" s="2">
        <v>0.98440000000000005</v>
      </c>
      <c r="I780" s="2">
        <v>0.88460000000000005</v>
      </c>
      <c r="J780" s="2">
        <v>0.45500000000000002</v>
      </c>
      <c r="K780">
        <v>1</v>
      </c>
    </row>
    <row r="781" spans="1:13" x14ac:dyDescent="0.2">
      <c r="A781" t="s">
        <v>188</v>
      </c>
      <c r="B781" t="str">
        <f>VLOOKUP(A781,MasterTutor!A:E,4,FALSE)</f>
        <v>Premium</v>
      </c>
      <c r="C781" t="str">
        <f>VLOOKUP(A781,MasterTutor!A:E,3,FALSE)</f>
        <v>Professional</v>
      </c>
      <c r="D781" t="str">
        <f>VLOOKUP(A781,MasterTutor!A:E,2,FALSE)</f>
        <v>Ian Plamondon</v>
      </c>
      <c r="E781" t="s">
        <v>358</v>
      </c>
      <c r="F781" s="2">
        <v>0.85</v>
      </c>
      <c r="G781" s="2">
        <v>1.1399999999999999</v>
      </c>
      <c r="H781" s="2">
        <v>0.98860000000000003</v>
      </c>
      <c r="I781" s="2">
        <v>1</v>
      </c>
      <c r="J781" s="2">
        <v>0.77300000000000002</v>
      </c>
      <c r="K781">
        <v>1</v>
      </c>
      <c r="L781" s="19" t="s">
        <v>331</v>
      </c>
      <c r="M781" s="21">
        <v>0.5</v>
      </c>
    </row>
    <row r="782" spans="1:13" x14ac:dyDescent="0.2">
      <c r="A782" t="s">
        <v>189</v>
      </c>
      <c r="B782" t="str">
        <f>VLOOKUP(A782,MasterTutor!A:E,4,FALSE)</f>
        <v>Advanced</v>
      </c>
      <c r="C782" t="str">
        <f>VLOOKUP(A782,MasterTutor!A:E,3,FALSE)</f>
        <v>Adjunct</v>
      </c>
      <c r="D782" t="str">
        <f>VLOOKUP(A782,MasterTutor!A:E,2,FALSE)</f>
        <v>Annelies de Groot</v>
      </c>
      <c r="E782" t="s">
        <v>358</v>
      </c>
      <c r="F782" s="2">
        <v>1.39</v>
      </c>
      <c r="G782" s="2">
        <v>1.54</v>
      </c>
      <c r="H782" s="2">
        <v>0.94159999999999999</v>
      </c>
      <c r="I782" s="2">
        <v>0.94440000000000002</v>
      </c>
      <c r="J782" s="2">
        <v>0.52900000000000003</v>
      </c>
      <c r="K782">
        <v>6</v>
      </c>
      <c r="L782" s="19" t="s">
        <v>345</v>
      </c>
      <c r="M782" s="21">
        <v>0.2</v>
      </c>
    </row>
    <row r="783" spans="1:13" x14ac:dyDescent="0.2">
      <c r="A783" t="s">
        <v>191</v>
      </c>
      <c r="B783" t="e">
        <f>VLOOKUP(A783,MasterTutor!A:E,4,FALSE)</f>
        <v>#N/A</v>
      </c>
      <c r="C783" t="e">
        <f>VLOOKUP(A783,MasterTutor!A:E,3,FALSE)</f>
        <v>#N/A</v>
      </c>
      <c r="D783" t="e">
        <f>VLOOKUP(A783,MasterTutor!A:E,2,FALSE)</f>
        <v>#N/A</v>
      </c>
      <c r="E783" t="s">
        <v>358</v>
      </c>
      <c r="F783" s="2">
        <v>1.07</v>
      </c>
      <c r="G783" s="2">
        <v>1.03</v>
      </c>
      <c r="H783" s="2">
        <v>1</v>
      </c>
      <c r="I783" s="2">
        <v>0.95450000000000002</v>
      </c>
      <c r="J783" s="2">
        <v>0.82399999999999995</v>
      </c>
      <c r="K783">
        <v>5</v>
      </c>
      <c r="L783" s="19">
        <v>1</v>
      </c>
      <c r="M783" s="21">
        <f>L783</f>
        <v>1</v>
      </c>
    </row>
    <row r="784" spans="1:13" x14ac:dyDescent="0.2">
      <c r="A784" t="s">
        <v>318</v>
      </c>
      <c r="B784" t="str">
        <f>VLOOKUP(A784,MasterTutor!A:E,4,FALSE)</f>
        <v>Advanced</v>
      </c>
      <c r="C784" t="str">
        <f>VLOOKUP(A784,MasterTutor!A:E,3,FALSE)</f>
        <v>Adjunct</v>
      </c>
      <c r="D784" t="str">
        <f>VLOOKUP(A784,MasterTutor!A:E,2,FALSE)</f>
        <v>Ela Cross</v>
      </c>
      <c r="E784" t="s">
        <v>358</v>
      </c>
      <c r="F784" s="2">
        <v>0.3</v>
      </c>
      <c r="G784" s="2">
        <v>1.21</v>
      </c>
      <c r="H784" s="2">
        <v>0.92859999999999998</v>
      </c>
      <c r="I784" s="2">
        <v>1</v>
      </c>
      <c r="J784" s="2">
        <v>0.5</v>
      </c>
      <c r="K784" t="e">
        <v>#N/A</v>
      </c>
      <c r="L784" s="19" t="s">
        <v>337</v>
      </c>
      <c r="M784" s="21">
        <f>1/3</f>
        <v>0.33333333333333331</v>
      </c>
    </row>
    <row r="785" spans="1:13" x14ac:dyDescent="0.2">
      <c r="A785" t="s">
        <v>192</v>
      </c>
      <c r="B785" t="str">
        <f>VLOOKUP(A785,MasterTutor!A:E,4,FALSE)</f>
        <v>Advanced</v>
      </c>
      <c r="C785" t="str">
        <f>VLOOKUP(A785,MasterTutor!A:E,3,FALSE)</f>
        <v>Adjunct</v>
      </c>
      <c r="D785" t="str">
        <f>VLOOKUP(A785,MasterTutor!A:E,2,FALSE)</f>
        <v>Ela Cross</v>
      </c>
      <c r="E785" t="s">
        <v>358</v>
      </c>
      <c r="F785" s="2">
        <v>1.97</v>
      </c>
      <c r="G785" s="2">
        <v>1.78</v>
      </c>
      <c r="H785" s="2">
        <v>0.98909999999999998</v>
      </c>
      <c r="I785" s="2">
        <v>0.9677</v>
      </c>
      <c r="J785" s="2">
        <v>0.95499999999999996</v>
      </c>
      <c r="K785">
        <v>3</v>
      </c>
      <c r="L785" s="19" t="s">
        <v>336</v>
      </c>
      <c r="M785" s="21">
        <v>0.6</v>
      </c>
    </row>
    <row r="786" spans="1:13" x14ac:dyDescent="0.2">
      <c r="A786" t="s">
        <v>193</v>
      </c>
      <c r="B786" t="str">
        <f>VLOOKUP(A786,MasterTutor!A:E,4,FALSE)</f>
        <v>Advanced</v>
      </c>
      <c r="C786" t="str">
        <f>VLOOKUP(A786,MasterTutor!A:E,3,FALSE)</f>
        <v>Professional</v>
      </c>
      <c r="D786" t="str">
        <f>VLOOKUP(A786,MasterTutor!A:E,2,FALSE)</f>
        <v>Annelies de Groot</v>
      </c>
      <c r="E786" t="s">
        <v>358</v>
      </c>
      <c r="F786" s="2">
        <v>1.04</v>
      </c>
      <c r="G786" s="2">
        <v>1.1100000000000001</v>
      </c>
      <c r="H786" s="2">
        <v>1</v>
      </c>
      <c r="I786" s="2">
        <v>0.97399999999999998</v>
      </c>
      <c r="J786" s="2">
        <v>0.76900000000000002</v>
      </c>
      <c r="K786" t="e">
        <v>#N/A</v>
      </c>
      <c r="L786" s="19" t="s">
        <v>343</v>
      </c>
      <c r="M786" s="21">
        <v>0.89</v>
      </c>
    </row>
    <row r="787" spans="1:13" x14ac:dyDescent="0.2">
      <c r="A787" t="s">
        <v>194</v>
      </c>
      <c r="B787" t="e">
        <f>VLOOKUP(A787,MasterTutor!A:E,4,FALSE)</f>
        <v>#N/A</v>
      </c>
      <c r="C787" t="e">
        <f>VLOOKUP(A787,MasterTutor!A:E,3,FALSE)</f>
        <v>#N/A</v>
      </c>
      <c r="D787" t="e">
        <f>VLOOKUP(A787,MasterTutor!A:E,2,FALSE)</f>
        <v>#N/A</v>
      </c>
      <c r="E787" t="s">
        <v>358</v>
      </c>
      <c r="F787" s="2">
        <v>1.27</v>
      </c>
      <c r="G787" s="2">
        <v>1.19</v>
      </c>
      <c r="H787" s="2">
        <v>0.98329999999999995</v>
      </c>
      <c r="I787" s="2">
        <v>0.93620000000000003</v>
      </c>
      <c r="J787" s="2">
        <v>0.91700000000000004</v>
      </c>
      <c r="K787">
        <v>5</v>
      </c>
    </row>
    <row r="788" spans="1:13" x14ac:dyDescent="0.2">
      <c r="A788" t="s">
        <v>195</v>
      </c>
      <c r="B788" t="e">
        <f>VLOOKUP(A788,MasterTutor!A:E,4,FALSE)</f>
        <v>#N/A</v>
      </c>
      <c r="C788" t="e">
        <f>VLOOKUP(A788,MasterTutor!A:E,3,FALSE)</f>
        <v>#N/A</v>
      </c>
      <c r="D788" t="e">
        <f>VLOOKUP(A788,MasterTutor!A:E,2,FALSE)</f>
        <v>#N/A</v>
      </c>
      <c r="E788" t="s">
        <v>358</v>
      </c>
      <c r="F788" s="2">
        <v>1</v>
      </c>
      <c r="G788" s="2">
        <v>1.25</v>
      </c>
      <c r="H788" s="2">
        <v>0.83340000000000003</v>
      </c>
      <c r="I788" s="2">
        <v>0.75</v>
      </c>
      <c r="J788" s="2">
        <v>0.81299999999999994</v>
      </c>
      <c r="K788">
        <v>1</v>
      </c>
      <c r="L788" s="19" t="s">
        <v>330</v>
      </c>
      <c r="M788" s="21">
        <v>0.67</v>
      </c>
    </row>
    <row r="789" spans="1:13" x14ac:dyDescent="0.2">
      <c r="A789" t="s">
        <v>196</v>
      </c>
      <c r="B789" t="str">
        <f>VLOOKUP(A789,MasterTutor!A:E,4,FALSE)</f>
        <v>Advanced</v>
      </c>
      <c r="C789" t="str">
        <f>VLOOKUP(A789,MasterTutor!A:E,3,FALSE)</f>
        <v>Adjunct</v>
      </c>
      <c r="D789" t="str">
        <f>VLOOKUP(A789,MasterTutor!A:E,2,FALSE)</f>
        <v>Kristin Haase-Alvey</v>
      </c>
      <c r="E789" t="s">
        <v>358</v>
      </c>
      <c r="F789" s="2">
        <v>1.0900000000000001</v>
      </c>
      <c r="G789" s="2">
        <v>1.0900000000000001</v>
      </c>
      <c r="H789" s="2">
        <v>0.96289999999999998</v>
      </c>
      <c r="I789" s="2">
        <v>0.84850000000000003</v>
      </c>
      <c r="J789" s="2">
        <v>0.222</v>
      </c>
      <c r="K789">
        <v>2</v>
      </c>
    </row>
    <row r="790" spans="1:13" x14ac:dyDescent="0.2">
      <c r="A790" t="s">
        <v>197</v>
      </c>
      <c r="B790" t="str">
        <f>VLOOKUP(A790,MasterTutor!A:E,4,FALSE)</f>
        <v>Premium</v>
      </c>
      <c r="C790" t="str">
        <f>VLOOKUP(A790,MasterTutor!A:E,3,FALSE)</f>
        <v>Professional</v>
      </c>
      <c r="D790" t="str">
        <f>VLOOKUP(A790,MasterTutor!A:E,2,FALSE)</f>
        <v>Jessica Milner</v>
      </c>
      <c r="E790" t="s">
        <v>358</v>
      </c>
      <c r="F790" s="2">
        <v>0.43</v>
      </c>
      <c r="G790" s="2">
        <v>0.75</v>
      </c>
      <c r="H790" s="2">
        <v>0.98209999999999997</v>
      </c>
      <c r="I790" s="2">
        <v>0.89290000000000003</v>
      </c>
      <c r="J790" s="2">
        <v>0.81</v>
      </c>
      <c r="K790">
        <v>3</v>
      </c>
    </row>
    <row r="791" spans="1:13" x14ac:dyDescent="0.2">
      <c r="A791" t="s">
        <v>319</v>
      </c>
      <c r="B791" t="str">
        <f>VLOOKUP(A791,MasterTutor!A:E,4,FALSE)</f>
        <v>Advanced</v>
      </c>
      <c r="C791" t="str">
        <f>VLOOKUP(A791,MasterTutor!A:E,3,FALSE)</f>
        <v>Adjunct</v>
      </c>
      <c r="D791" t="str">
        <f>VLOOKUP(A791,MasterTutor!A:E,2,FALSE)</f>
        <v>Ela Cross</v>
      </c>
      <c r="E791" t="s">
        <v>358</v>
      </c>
      <c r="F791" s="2">
        <v>0.35</v>
      </c>
      <c r="G791" s="2">
        <v>0.93</v>
      </c>
      <c r="H791" s="2">
        <v>1</v>
      </c>
      <c r="I791" s="2">
        <v>0.93330000000000002</v>
      </c>
      <c r="J791" s="2">
        <v>0.625</v>
      </c>
      <c r="K791" t="e">
        <v>#N/A</v>
      </c>
      <c r="L791" s="19" t="s">
        <v>331</v>
      </c>
      <c r="M791" s="21">
        <v>0.5</v>
      </c>
    </row>
    <row r="792" spans="1:13" x14ac:dyDescent="0.2">
      <c r="A792" t="s">
        <v>198</v>
      </c>
      <c r="B792" t="str">
        <f>VLOOKUP(A792,MasterTutor!A:E,4,FALSE)</f>
        <v>Distinguished</v>
      </c>
      <c r="C792" t="str">
        <f>VLOOKUP(A792,MasterTutor!A:E,3,FALSE)</f>
        <v>Adjunct</v>
      </c>
      <c r="D792" t="str">
        <f>VLOOKUP(A792,MasterTutor!A:E,2,FALSE)</f>
        <v>Ian Plamondon</v>
      </c>
      <c r="E792" t="s">
        <v>358</v>
      </c>
      <c r="F792" s="2">
        <v>1.1100000000000001</v>
      </c>
      <c r="G792" s="2">
        <v>1.43</v>
      </c>
      <c r="H792" s="2">
        <v>1</v>
      </c>
      <c r="I792" s="2">
        <v>0.83330000000000004</v>
      </c>
      <c r="J792" s="2">
        <v>0.23499999999999999</v>
      </c>
      <c r="K792">
        <v>1</v>
      </c>
      <c r="L792" s="19">
        <v>0</v>
      </c>
      <c r="M792" s="21">
        <f>L792</f>
        <v>0</v>
      </c>
    </row>
    <row r="793" spans="1:13" x14ac:dyDescent="0.2">
      <c r="A793" t="s">
        <v>199</v>
      </c>
      <c r="B793" t="e">
        <f>VLOOKUP(A793,MasterTutor!A:E,4,FALSE)</f>
        <v>#N/A</v>
      </c>
      <c r="C793" t="e">
        <f>VLOOKUP(A793,MasterTutor!A:E,3,FALSE)</f>
        <v>#N/A</v>
      </c>
      <c r="D793" t="e">
        <f>VLOOKUP(A793,MasterTutor!A:E,2,FALSE)</f>
        <v>#N/A</v>
      </c>
      <c r="E793" t="s">
        <v>358</v>
      </c>
      <c r="F793" s="2">
        <v>0.93</v>
      </c>
      <c r="G793" s="2">
        <v>1.04</v>
      </c>
      <c r="H793" s="2">
        <v>1</v>
      </c>
      <c r="I793" s="2">
        <v>0.95179999999999998</v>
      </c>
      <c r="J793" s="2">
        <v>0.5</v>
      </c>
      <c r="K793">
        <v>11</v>
      </c>
      <c r="L793" s="19">
        <v>1</v>
      </c>
      <c r="M793" s="21">
        <f>L793</f>
        <v>1</v>
      </c>
    </row>
    <row r="794" spans="1:13" x14ac:dyDescent="0.2">
      <c r="A794" t="s">
        <v>200</v>
      </c>
      <c r="B794" t="e">
        <f>VLOOKUP(A794,MasterTutor!A:E,4,FALSE)</f>
        <v>#N/A</v>
      </c>
      <c r="C794" t="e">
        <f>VLOOKUP(A794,MasterTutor!A:E,3,FALSE)</f>
        <v>#N/A</v>
      </c>
      <c r="D794" t="e">
        <f>VLOOKUP(A794,MasterTutor!A:E,2,FALSE)</f>
        <v>#N/A</v>
      </c>
      <c r="E794" t="s">
        <v>358</v>
      </c>
      <c r="F794" s="2">
        <v>1</v>
      </c>
      <c r="G794" s="2">
        <v>1.1000000000000001</v>
      </c>
      <c r="H794" s="2">
        <v>0.87190000000000001</v>
      </c>
      <c r="I794" s="2">
        <v>1</v>
      </c>
      <c r="J794" s="2">
        <v>0.86799999999999999</v>
      </c>
      <c r="K794">
        <v>7</v>
      </c>
      <c r="L794" s="19" t="s">
        <v>357</v>
      </c>
      <c r="M794" s="21">
        <v>0.17</v>
      </c>
    </row>
    <row r="795" spans="1:13" x14ac:dyDescent="0.2">
      <c r="A795" t="s">
        <v>201</v>
      </c>
      <c r="B795" t="str">
        <f>VLOOKUP(A795,MasterTutor!A:E,4,FALSE)</f>
        <v>Distinguished</v>
      </c>
      <c r="C795" t="str">
        <f>VLOOKUP(A795,MasterTutor!A:E,3,FALSE)</f>
        <v>Professional</v>
      </c>
      <c r="D795" t="str">
        <f>VLOOKUP(A795,MasterTutor!A:E,2,FALSE)</f>
        <v>Ian Plamondon</v>
      </c>
      <c r="E795" t="s">
        <v>358</v>
      </c>
      <c r="F795" s="2">
        <v>0.88</v>
      </c>
      <c r="G795" s="2">
        <v>0.96</v>
      </c>
      <c r="H795" s="2">
        <v>0.98080000000000001</v>
      </c>
      <c r="I795" s="2">
        <v>0.90669999999999995</v>
      </c>
      <c r="J795" s="2">
        <v>0.52400000000000002</v>
      </c>
      <c r="K795">
        <v>5</v>
      </c>
      <c r="L795" s="19" t="s">
        <v>335</v>
      </c>
      <c r="M795" s="21">
        <v>0.25</v>
      </c>
    </row>
    <row r="796" spans="1:13" x14ac:dyDescent="0.2">
      <c r="A796" t="s">
        <v>202</v>
      </c>
      <c r="B796" t="str">
        <f>VLOOKUP(A796,MasterTutor!A:E,4,FALSE)</f>
        <v>Advanced</v>
      </c>
      <c r="C796" t="str">
        <f>VLOOKUP(A796,MasterTutor!A:E,3,FALSE)</f>
        <v>Professional</v>
      </c>
      <c r="D796" t="str">
        <f>VLOOKUP(A796,MasterTutor!A:E,2,FALSE)</f>
        <v>Annelies de Groot</v>
      </c>
      <c r="E796" t="s">
        <v>358</v>
      </c>
      <c r="F796" s="2">
        <v>1.1399999999999999</v>
      </c>
      <c r="G796" s="2">
        <v>1.24</v>
      </c>
      <c r="H796" s="2">
        <v>0.96830000000000005</v>
      </c>
      <c r="I796" s="2">
        <v>1</v>
      </c>
      <c r="J796" s="2">
        <v>0.68</v>
      </c>
      <c r="K796">
        <v>7</v>
      </c>
      <c r="L796" s="19">
        <v>1</v>
      </c>
      <c r="M796" s="21">
        <f>L796</f>
        <v>1</v>
      </c>
    </row>
    <row r="797" spans="1:13" x14ac:dyDescent="0.2">
      <c r="A797" t="s">
        <v>203</v>
      </c>
      <c r="B797" t="str">
        <f>VLOOKUP(A797,MasterTutor!A:E,4,FALSE)</f>
        <v>Premium</v>
      </c>
      <c r="C797" t="str">
        <f>VLOOKUP(A797,MasterTutor!A:E,3,FALSE)</f>
        <v>Professional</v>
      </c>
      <c r="D797" t="str">
        <f>VLOOKUP(A797,MasterTutor!A:E,2,FALSE)</f>
        <v>Ian Plamondon</v>
      </c>
      <c r="E797" t="s">
        <v>358</v>
      </c>
      <c r="F797" s="2">
        <v>1.0900000000000001</v>
      </c>
      <c r="G797" s="2">
        <v>1.07</v>
      </c>
      <c r="H797" s="2">
        <v>0.99239999999999995</v>
      </c>
      <c r="I797" s="2">
        <v>1</v>
      </c>
      <c r="J797" s="2">
        <v>0.9</v>
      </c>
      <c r="K797">
        <v>1</v>
      </c>
    </row>
    <row r="798" spans="1:13" x14ac:dyDescent="0.2">
      <c r="A798" t="s">
        <v>204</v>
      </c>
      <c r="B798" t="str">
        <f>VLOOKUP(A798,MasterTutor!A:E,4,FALSE)</f>
        <v>Advanced</v>
      </c>
      <c r="C798" t="str">
        <f>VLOOKUP(A798,MasterTutor!A:E,3,FALSE)</f>
        <v>Professional</v>
      </c>
      <c r="D798" t="str">
        <f>VLOOKUP(A798,MasterTutor!A:E,2,FALSE)</f>
        <v>Ela Cross</v>
      </c>
      <c r="E798" t="s">
        <v>358</v>
      </c>
      <c r="F798" s="2">
        <v>1.57</v>
      </c>
      <c r="G798" s="2">
        <v>1.36</v>
      </c>
      <c r="H798" s="2">
        <v>0.99039999999999995</v>
      </c>
      <c r="I798" s="2">
        <v>0.60780000000000001</v>
      </c>
      <c r="J798" s="2">
        <v>0.14299999999999999</v>
      </c>
      <c r="K798">
        <v>4</v>
      </c>
    </row>
    <row r="799" spans="1:13" x14ac:dyDescent="0.2">
      <c r="A799" t="s">
        <v>205</v>
      </c>
      <c r="B799" t="e">
        <f>VLOOKUP(A799,MasterTutor!A:E,4,FALSE)</f>
        <v>#N/A</v>
      </c>
      <c r="C799" t="e">
        <f>VLOOKUP(A799,MasterTutor!A:E,3,FALSE)</f>
        <v>#N/A</v>
      </c>
      <c r="D799" t="e">
        <f>VLOOKUP(A799,MasterTutor!A:E,2,FALSE)</f>
        <v>#N/A</v>
      </c>
      <c r="E799" t="s">
        <v>358</v>
      </c>
      <c r="F799" s="2">
        <v>0.8</v>
      </c>
      <c r="G799" s="2">
        <v>1.03</v>
      </c>
      <c r="H799" s="2">
        <v>1</v>
      </c>
      <c r="I799" s="2">
        <v>0.7</v>
      </c>
      <c r="J799" s="2">
        <v>0.27300000000000002</v>
      </c>
      <c r="K799">
        <v>1</v>
      </c>
      <c r="L799" s="19" t="s">
        <v>331</v>
      </c>
      <c r="M799" s="21">
        <v>0.5</v>
      </c>
    </row>
    <row r="800" spans="1:13" x14ac:dyDescent="0.2">
      <c r="A800" t="s">
        <v>206</v>
      </c>
      <c r="B800" t="e">
        <f>VLOOKUP(A800,MasterTutor!A:E,4,FALSE)</f>
        <v>#N/A</v>
      </c>
      <c r="C800" t="e">
        <f>VLOOKUP(A800,MasterTutor!A:E,3,FALSE)</f>
        <v>#N/A</v>
      </c>
      <c r="D800" t="e">
        <f>VLOOKUP(A800,MasterTutor!A:E,2,FALSE)</f>
        <v>#N/A</v>
      </c>
      <c r="E800" t="s">
        <v>358</v>
      </c>
      <c r="F800" s="2">
        <v>0.63</v>
      </c>
      <c r="G800" s="2">
        <v>0.7</v>
      </c>
      <c r="H800" s="2">
        <v>0.97499999999999998</v>
      </c>
      <c r="I800" s="2">
        <v>1</v>
      </c>
      <c r="J800" s="2">
        <v>0.5</v>
      </c>
      <c r="K800">
        <v>1</v>
      </c>
      <c r="L800" s="19">
        <v>0</v>
      </c>
      <c r="M800" s="21">
        <f>L800</f>
        <v>0</v>
      </c>
    </row>
    <row r="801" spans="1:13" x14ac:dyDescent="0.2">
      <c r="A801" t="s">
        <v>207</v>
      </c>
      <c r="B801" t="str">
        <f>VLOOKUP(A801,MasterTutor!A:E,4,FALSE)</f>
        <v>Advanced</v>
      </c>
      <c r="C801" t="str">
        <f>VLOOKUP(A801,MasterTutor!A:E,3,FALSE)</f>
        <v>Adjunct</v>
      </c>
      <c r="D801" t="str">
        <f>VLOOKUP(A801,MasterTutor!A:E,2,FALSE)</f>
        <v>Ela Cross</v>
      </c>
      <c r="E801" t="s">
        <v>358</v>
      </c>
      <c r="F801" s="2">
        <v>1.06</v>
      </c>
      <c r="G801" s="2">
        <v>1.3</v>
      </c>
      <c r="H801" s="2">
        <v>0.99109999999999998</v>
      </c>
      <c r="I801" s="2">
        <v>0.81930000000000003</v>
      </c>
      <c r="J801" s="2">
        <v>0.64700000000000002</v>
      </c>
      <c r="K801">
        <v>10</v>
      </c>
      <c r="L801" s="19" t="s">
        <v>334</v>
      </c>
      <c r="M801" s="21">
        <v>0.86</v>
      </c>
    </row>
    <row r="802" spans="1:13" x14ac:dyDescent="0.2">
      <c r="A802" t="s">
        <v>208</v>
      </c>
      <c r="B802" t="str">
        <f>VLOOKUP(A802,MasterTutor!A:E,4,FALSE)</f>
        <v>Distinguished</v>
      </c>
      <c r="C802" t="str">
        <f>VLOOKUP(A802,MasterTutor!A:E,3,FALSE)</f>
        <v>Adjunct</v>
      </c>
      <c r="D802" t="str">
        <f>VLOOKUP(A802,MasterTutor!A:E,2,FALSE)</f>
        <v>Annelies de Groot</v>
      </c>
      <c r="E802" t="s">
        <v>358</v>
      </c>
      <c r="F802" s="2">
        <v>1.07</v>
      </c>
      <c r="G802" s="2">
        <v>1.32</v>
      </c>
      <c r="H802" s="2">
        <v>1</v>
      </c>
      <c r="I802" s="2">
        <v>0.97219999999999995</v>
      </c>
      <c r="J802" s="2">
        <v>0.61499999999999999</v>
      </c>
      <c r="K802">
        <v>3</v>
      </c>
      <c r="L802" s="19" t="s">
        <v>330</v>
      </c>
      <c r="M802" s="21">
        <v>0.67</v>
      </c>
    </row>
    <row r="803" spans="1:13" x14ac:dyDescent="0.2">
      <c r="A803" t="s">
        <v>209</v>
      </c>
      <c r="B803" t="str">
        <f>VLOOKUP(A803,MasterTutor!A:E,4,FALSE)</f>
        <v>Premium</v>
      </c>
      <c r="C803" t="str">
        <f>VLOOKUP(A803,MasterTutor!A:E,3,FALSE)</f>
        <v>Professional</v>
      </c>
      <c r="D803" t="str">
        <f>VLOOKUP(A803,MasterTutor!A:E,2,FALSE)</f>
        <v>Jessica Milner</v>
      </c>
      <c r="E803" t="s">
        <v>358</v>
      </c>
      <c r="F803" s="2">
        <v>1.08</v>
      </c>
      <c r="G803" s="2">
        <v>1.1100000000000001</v>
      </c>
      <c r="H803" s="2">
        <v>1</v>
      </c>
      <c r="I803" s="2">
        <v>1</v>
      </c>
      <c r="J803" s="2">
        <v>0.96899999999999997</v>
      </c>
      <c r="K803">
        <v>3</v>
      </c>
      <c r="L803" s="19" t="s">
        <v>331</v>
      </c>
      <c r="M803" s="21">
        <v>0.5</v>
      </c>
    </row>
    <row r="804" spans="1:13" x14ac:dyDescent="0.2">
      <c r="A804" t="s">
        <v>210</v>
      </c>
      <c r="B804" t="str">
        <f>VLOOKUP(A804,MasterTutor!A:E,4,FALSE)</f>
        <v>Advanced</v>
      </c>
      <c r="C804" t="str">
        <f>VLOOKUP(A804,MasterTutor!A:E,3,FALSE)</f>
        <v>Professional</v>
      </c>
      <c r="D804" t="str">
        <f>VLOOKUP(A804,MasterTutor!A:E,2,FALSE)</f>
        <v>Kristin Haase-Alvey</v>
      </c>
      <c r="E804" t="s">
        <v>358</v>
      </c>
      <c r="F804" s="2">
        <v>0.96</v>
      </c>
      <c r="G804" s="2">
        <v>0.95</v>
      </c>
      <c r="H804" s="2">
        <v>1</v>
      </c>
      <c r="I804" s="2">
        <v>0.84809999999999997</v>
      </c>
      <c r="J804" s="2">
        <v>0.56499999999999995</v>
      </c>
      <c r="K804">
        <v>8</v>
      </c>
      <c r="L804" s="19" t="s">
        <v>330</v>
      </c>
      <c r="M804" s="21">
        <v>0.67</v>
      </c>
    </row>
    <row r="805" spans="1:13" x14ac:dyDescent="0.2">
      <c r="A805" t="s">
        <v>211</v>
      </c>
      <c r="B805" t="str">
        <f>VLOOKUP(A805,MasterTutor!A:E,4,FALSE)</f>
        <v>Advanced</v>
      </c>
      <c r="C805" t="str">
        <f>VLOOKUP(A805,MasterTutor!A:E,3,FALSE)</f>
        <v>Professional</v>
      </c>
      <c r="D805" t="str">
        <f>VLOOKUP(A805,MasterTutor!A:E,2,FALSE)</f>
        <v>Kristin Haase-Alvey</v>
      </c>
      <c r="E805" t="s">
        <v>358</v>
      </c>
      <c r="F805" s="2">
        <v>1</v>
      </c>
      <c r="G805" s="2">
        <v>1.18</v>
      </c>
      <c r="H805" s="2">
        <v>0.99219999999999997</v>
      </c>
      <c r="I805" s="2">
        <v>0.9859</v>
      </c>
      <c r="J805" s="2">
        <v>0.88900000000000001</v>
      </c>
      <c r="K805">
        <v>6</v>
      </c>
      <c r="L805" s="19" t="s">
        <v>344</v>
      </c>
      <c r="M805" s="21">
        <v>0.83</v>
      </c>
    </row>
    <row r="806" spans="1:13" x14ac:dyDescent="0.2">
      <c r="A806" t="s">
        <v>12</v>
      </c>
      <c r="B806" t="str">
        <f>VLOOKUP(A806,MasterTutor!A:E,4,FALSE)</f>
        <v>Advanced</v>
      </c>
      <c r="C806" t="str">
        <f>VLOOKUP(A806,MasterTutor!A:E,3,FALSE)</f>
        <v>Adjunct</v>
      </c>
      <c r="D806" t="str">
        <f>VLOOKUP(A806,MasterTutor!A:E,2,FALSE)</f>
        <v>Ian Plamondon</v>
      </c>
      <c r="E806" t="s">
        <v>363</v>
      </c>
      <c r="F806" s="2">
        <v>1.02</v>
      </c>
      <c r="G806" s="2">
        <v>1.05</v>
      </c>
      <c r="H806" s="2">
        <v>1</v>
      </c>
      <c r="I806" s="2">
        <v>0.98860000000000003</v>
      </c>
      <c r="J806" s="2">
        <v>0.68400000000000005</v>
      </c>
      <c r="K806">
        <v>10</v>
      </c>
      <c r="L806" s="19">
        <v>1</v>
      </c>
      <c r="M806" s="21">
        <f>L806</f>
        <v>1</v>
      </c>
    </row>
    <row r="807" spans="1:13" x14ac:dyDescent="0.2">
      <c r="A807" t="s">
        <v>14</v>
      </c>
      <c r="B807" t="e">
        <f>VLOOKUP(A807,MasterTutor!A:E,4,FALSE)</f>
        <v>#N/A</v>
      </c>
      <c r="C807" t="e">
        <f>VLOOKUP(A807,MasterTutor!A:E,3,FALSE)</f>
        <v>#N/A</v>
      </c>
      <c r="D807" t="e">
        <f>VLOOKUP(A807,MasterTutor!A:E,2,FALSE)</f>
        <v>#N/A</v>
      </c>
      <c r="E807" t="s">
        <v>363</v>
      </c>
      <c r="F807" s="2">
        <v>1.01</v>
      </c>
      <c r="G807" s="2">
        <v>1.1499999999999999</v>
      </c>
      <c r="H807" s="2">
        <v>0.93630000000000002</v>
      </c>
      <c r="I807" s="2">
        <v>0.97140000000000004</v>
      </c>
      <c r="J807" s="2">
        <v>0.83299999999999996</v>
      </c>
      <c r="K807">
        <v>3</v>
      </c>
      <c r="L807" s="19">
        <v>1</v>
      </c>
      <c r="M807" s="21">
        <f>L807</f>
        <v>1</v>
      </c>
    </row>
    <row r="808" spans="1:13" x14ac:dyDescent="0.2">
      <c r="A808" t="s">
        <v>15</v>
      </c>
      <c r="B808" t="str">
        <f>VLOOKUP(A808,MasterTutor!A:E,4,FALSE)</f>
        <v>Advanced</v>
      </c>
      <c r="C808" t="str">
        <f>VLOOKUP(A808,MasterTutor!A:E,3,FALSE)</f>
        <v>Professional</v>
      </c>
      <c r="D808" t="str">
        <f>VLOOKUP(A808,MasterTutor!A:E,2,FALSE)</f>
        <v>Ian Plamondon</v>
      </c>
      <c r="E808" t="s">
        <v>363</v>
      </c>
      <c r="F808" s="2">
        <v>1</v>
      </c>
      <c r="G808" s="2">
        <v>1.01</v>
      </c>
      <c r="H808" s="2">
        <v>1</v>
      </c>
      <c r="I808" s="2">
        <v>0.97829999999999995</v>
      </c>
      <c r="J808" s="2">
        <v>0.72</v>
      </c>
      <c r="K808">
        <v>15</v>
      </c>
      <c r="L808" s="19" t="s">
        <v>331</v>
      </c>
      <c r="M808" s="21">
        <v>0.5</v>
      </c>
    </row>
    <row r="809" spans="1:13" x14ac:dyDescent="0.2">
      <c r="A809" t="s">
        <v>16</v>
      </c>
      <c r="B809" t="str">
        <f>VLOOKUP(A809,MasterTutor!A:E,4,FALSE)</f>
        <v>Premium</v>
      </c>
      <c r="C809" t="str">
        <f>VLOOKUP(A809,MasterTutor!A:E,3,FALSE)</f>
        <v>Adjunct</v>
      </c>
      <c r="D809" t="str">
        <f>VLOOKUP(A809,MasterTutor!A:E,2,FALSE)</f>
        <v>Ela Cross</v>
      </c>
      <c r="E809" t="s">
        <v>363</v>
      </c>
      <c r="F809" s="2">
        <v>1.03</v>
      </c>
      <c r="G809" s="2">
        <v>1.02</v>
      </c>
      <c r="H809" s="2">
        <v>1</v>
      </c>
      <c r="I809" s="2">
        <v>0.97060000000000002</v>
      </c>
      <c r="J809" s="2">
        <v>0.33300000000000002</v>
      </c>
      <c r="K809" t="e">
        <v>#N/A</v>
      </c>
      <c r="M809" s="21"/>
    </row>
    <row r="810" spans="1:13" x14ac:dyDescent="0.2">
      <c r="A810" t="s">
        <v>17</v>
      </c>
      <c r="B810" t="str">
        <f>VLOOKUP(A810,MasterTutor!A:E,4,FALSE)</f>
        <v>Premium</v>
      </c>
      <c r="C810" t="str">
        <f>VLOOKUP(A810,MasterTutor!A:E,3,FALSE)</f>
        <v>Professional</v>
      </c>
      <c r="D810" t="str">
        <f>VLOOKUP(A810,MasterTutor!A:E,2,FALSE)</f>
        <v>Ian Plamondon</v>
      </c>
      <c r="E810" t="s">
        <v>363</v>
      </c>
      <c r="F810" s="2">
        <v>1.02</v>
      </c>
      <c r="G810" s="2">
        <v>1.55</v>
      </c>
      <c r="H810" s="2">
        <v>0.97299999999999998</v>
      </c>
      <c r="I810" s="2">
        <v>0.98629999999999995</v>
      </c>
      <c r="J810" s="2">
        <v>0.69599999999999995</v>
      </c>
      <c r="K810">
        <v>10</v>
      </c>
      <c r="L810" s="19">
        <v>0</v>
      </c>
      <c r="M810" s="21">
        <f>L810</f>
        <v>0</v>
      </c>
    </row>
    <row r="811" spans="1:13" x14ac:dyDescent="0.2">
      <c r="A811" t="s">
        <v>217</v>
      </c>
      <c r="B811" t="str">
        <f>VLOOKUP(A811,MasterTutor!A:E,4,FALSE)</f>
        <v>Advanced</v>
      </c>
      <c r="C811" t="str">
        <f>VLOOKUP(A811,MasterTutor!A:E,3,FALSE)</f>
        <v>Adjunct</v>
      </c>
      <c r="D811" t="str">
        <f>VLOOKUP(A811,MasterTutor!A:E,2,FALSE)</f>
        <v>Kristin Haase-Alvey</v>
      </c>
      <c r="E811" t="s">
        <v>363</v>
      </c>
      <c r="F811" s="2">
        <v>0.94</v>
      </c>
      <c r="G811" s="2">
        <v>1.01</v>
      </c>
      <c r="H811" s="2">
        <v>0.92920000000000003</v>
      </c>
      <c r="I811" s="2">
        <v>0.89659999999999995</v>
      </c>
      <c r="J811" s="2">
        <v>0.875</v>
      </c>
      <c r="K811">
        <v>1</v>
      </c>
      <c r="L811" s="19">
        <v>1</v>
      </c>
      <c r="M811" s="21">
        <f>L811</f>
        <v>1</v>
      </c>
    </row>
    <row r="812" spans="1:13" x14ac:dyDescent="0.2">
      <c r="A812" t="s">
        <v>18</v>
      </c>
      <c r="B812" t="str">
        <f>VLOOKUP(A812,MasterTutor!A:E,4,FALSE)</f>
        <v>Distinguished</v>
      </c>
      <c r="C812" t="str">
        <f>VLOOKUP(A812,MasterTutor!A:E,3,FALSE)</f>
        <v>Professional</v>
      </c>
      <c r="D812" t="str">
        <f>VLOOKUP(A812,MasterTutor!A:E,2,FALSE)</f>
        <v>Ian Plamondon</v>
      </c>
      <c r="E812" t="s">
        <v>363</v>
      </c>
      <c r="F812" s="2">
        <v>0.85</v>
      </c>
      <c r="G812" s="2">
        <v>0.96</v>
      </c>
      <c r="H812" s="2">
        <v>0.99</v>
      </c>
      <c r="I812" s="2">
        <v>0.94640000000000002</v>
      </c>
      <c r="J812" s="2">
        <v>0.83299999999999996</v>
      </c>
      <c r="K812">
        <v>2</v>
      </c>
      <c r="M812" s="21"/>
    </row>
    <row r="813" spans="1:13" x14ac:dyDescent="0.2">
      <c r="A813" t="s">
        <v>19</v>
      </c>
      <c r="B813" t="str">
        <f>VLOOKUP(A813,MasterTutor!A:E,4,FALSE)</f>
        <v>Premium</v>
      </c>
      <c r="C813" t="str">
        <f>VLOOKUP(A813,MasterTutor!A:E,3,FALSE)</f>
        <v>Adjunct</v>
      </c>
      <c r="D813" t="str">
        <f>VLOOKUP(A813,MasterTutor!A:E,2,FALSE)</f>
        <v>Geoff St. Marie</v>
      </c>
      <c r="E813" t="s">
        <v>363</v>
      </c>
      <c r="F813" s="2">
        <v>0.83</v>
      </c>
      <c r="G813" s="2">
        <v>0.75</v>
      </c>
      <c r="H813" s="2">
        <v>1</v>
      </c>
      <c r="I813" s="2">
        <v>0.875</v>
      </c>
      <c r="J813" s="2">
        <v>0.93799999999999994</v>
      </c>
      <c r="K813">
        <v>1</v>
      </c>
      <c r="L813" s="19">
        <v>1</v>
      </c>
      <c r="M813" s="21">
        <f>L813</f>
        <v>1</v>
      </c>
    </row>
    <row r="814" spans="1:13" x14ac:dyDescent="0.2">
      <c r="A814" t="s">
        <v>20</v>
      </c>
      <c r="B814" t="e">
        <f>VLOOKUP(A814,MasterTutor!A:E,4,FALSE)</f>
        <v>#N/A</v>
      </c>
      <c r="C814" t="e">
        <f>VLOOKUP(A814,MasterTutor!A:E,3,FALSE)</f>
        <v>#N/A</v>
      </c>
      <c r="D814" t="e">
        <f>VLOOKUP(A814,MasterTutor!A:E,2,FALSE)</f>
        <v>#N/A</v>
      </c>
      <c r="E814" t="s">
        <v>363</v>
      </c>
      <c r="F814" s="2">
        <v>1.21</v>
      </c>
      <c r="G814" s="2">
        <v>1.02</v>
      </c>
      <c r="H814" s="2">
        <v>0.98080000000000001</v>
      </c>
      <c r="I814" s="2">
        <v>0.93179999999999996</v>
      </c>
      <c r="J814" s="2">
        <v>1</v>
      </c>
      <c r="K814">
        <v>3</v>
      </c>
      <c r="L814" s="19">
        <v>0</v>
      </c>
      <c r="M814" s="21">
        <f>L814</f>
        <v>0</v>
      </c>
    </row>
    <row r="815" spans="1:13" x14ac:dyDescent="0.2">
      <c r="A815" t="s">
        <v>21</v>
      </c>
      <c r="B815" t="str">
        <f>VLOOKUP(A815,MasterTutor!A:E,4,FALSE)</f>
        <v>Distinguished</v>
      </c>
      <c r="C815" t="str">
        <f>VLOOKUP(A815,MasterTutor!A:E,3,FALSE)</f>
        <v>Adjunct</v>
      </c>
      <c r="D815" t="str">
        <f>VLOOKUP(A815,MasterTutor!A:E,2,FALSE)</f>
        <v>Kristin Haase-Alvey</v>
      </c>
      <c r="E815" t="s">
        <v>363</v>
      </c>
      <c r="F815" s="2">
        <v>0.02</v>
      </c>
      <c r="G815" s="2">
        <v>0.02</v>
      </c>
      <c r="H815" s="2">
        <v>0</v>
      </c>
      <c r="I815" s="2">
        <v>0</v>
      </c>
      <c r="J815" s="2" t="e">
        <v>#N/A</v>
      </c>
      <c r="K815" t="e">
        <v>#N/A</v>
      </c>
      <c r="M815" s="21"/>
    </row>
    <row r="816" spans="1:13" x14ac:dyDescent="0.2">
      <c r="A816" t="s">
        <v>22</v>
      </c>
      <c r="B816" t="str">
        <f>VLOOKUP(A816,MasterTutor!A:E,4,FALSE)</f>
        <v>Advanced</v>
      </c>
      <c r="C816" t="str">
        <f>VLOOKUP(A816,MasterTutor!A:E,3,FALSE)</f>
        <v>Professional</v>
      </c>
      <c r="D816" t="str">
        <f>VLOOKUP(A816,MasterTutor!A:E,2,FALSE)</f>
        <v>Annelies de Groot</v>
      </c>
      <c r="E816" t="s">
        <v>363</v>
      </c>
      <c r="F816" s="2">
        <v>0.53</v>
      </c>
      <c r="G816" s="2">
        <v>0.78</v>
      </c>
      <c r="H816" s="2">
        <v>0.95</v>
      </c>
      <c r="I816" s="2">
        <v>0.92679999999999996</v>
      </c>
      <c r="J816" s="2">
        <v>0.875</v>
      </c>
      <c r="K816">
        <v>2</v>
      </c>
      <c r="M816" s="21"/>
    </row>
    <row r="817" spans="1:13" x14ac:dyDescent="0.2">
      <c r="A817" t="s">
        <v>23</v>
      </c>
      <c r="B817" t="str">
        <f>VLOOKUP(A817,MasterTutor!A:E,4,FALSE)</f>
        <v>Premium</v>
      </c>
      <c r="C817" t="str">
        <f>VLOOKUP(A817,MasterTutor!A:E,3,FALSE)</f>
        <v>Professional</v>
      </c>
      <c r="D817" t="str">
        <f>VLOOKUP(A817,MasterTutor!A:E,2,FALSE)</f>
        <v>Jessica Milner</v>
      </c>
      <c r="E817" t="s">
        <v>363</v>
      </c>
      <c r="F817" s="2">
        <v>0.56000000000000005</v>
      </c>
      <c r="G817" s="2">
        <v>0.87</v>
      </c>
      <c r="H817" s="2">
        <v>1</v>
      </c>
      <c r="I817" s="2">
        <v>0.8</v>
      </c>
      <c r="J817" s="2">
        <v>0.55600000000000005</v>
      </c>
      <c r="K817">
        <v>2</v>
      </c>
      <c r="L817" s="19" t="s">
        <v>331</v>
      </c>
      <c r="M817" s="21">
        <v>0.5</v>
      </c>
    </row>
    <row r="818" spans="1:13" x14ac:dyDescent="0.2">
      <c r="A818" t="s">
        <v>24</v>
      </c>
      <c r="B818" t="str">
        <f>VLOOKUP(A818,MasterTutor!A:E,4,FALSE)</f>
        <v>Distinguished</v>
      </c>
      <c r="C818" t="str">
        <f>VLOOKUP(A818,MasterTutor!A:E,3,FALSE)</f>
        <v>Professional</v>
      </c>
      <c r="D818" t="str">
        <f>VLOOKUP(A818,MasterTutor!A:E,2,FALSE)</f>
        <v>Kristin Haase-Alvey</v>
      </c>
      <c r="E818" t="s">
        <v>363</v>
      </c>
      <c r="F818" s="2">
        <v>0.9</v>
      </c>
      <c r="G818" s="2">
        <v>0.99</v>
      </c>
      <c r="H818" s="2">
        <v>0.97619999999999996</v>
      </c>
      <c r="I818" s="2">
        <v>0.89129999999999998</v>
      </c>
      <c r="J818" s="2">
        <v>0.87</v>
      </c>
      <c r="K818">
        <v>7</v>
      </c>
      <c r="L818" s="19">
        <v>1</v>
      </c>
      <c r="M818" s="21">
        <f>L818</f>
        <v>1</v>
      </c>
    </row>
    <row r="819" spans="1:13" x14ac:dyDescent="0.2">
      <c r="A819" t="s">
        <v>26</v>
      </c>
      <c r="B819" t="str">
        <f>VLOOKUP(A819,MasterTutor!A:E,4,FALSE)</f>
        <v>Distinguished</v>
      </c>
      <c r="C819" t="str">
        <f>VLOOKUP(A819,MasterTutor!A:E,3,FALSE)</f>
        <v>Professional</v>
      </c>
      <c r="D819" t="str">
        <f>VLOOKUP(A819,MasterTutor!A:E,2,FALSE)</f>
        <v>Ian Plamondon</v>
      </c>
      <c r="E819" t="s">
        <v>363</v>
      </c>
      <c r="F819" s="2">
        <v>1.03</v>
      </c>
      <c r="G819" s="2">
        <v>1.1100000000000001</v>
      </c>
      <c r="H819" s="2">
        <v>0.95930000000000004</v>
      </c>
      <c r="I819" s="2">
        <v>0.89190000000000003</v>
      </c>
      <c r="J819" s="2">
        <v>0.88200000000000001</v>
      </c>
      <c r="K819">
        <v>5</v>
      </c>
      <c r="L819" s="19">
        <v>0</v>
      </c>
      <c r="M819" s="21">
        <f>L819</f>
        <v>0</v>
      </c>
    </row>
    <row r="820" spans="1:13" x14ac:dyDescent="0.2">
      <c r="A820" t="s">
        <v>27</v>
      </c>
      <c r="B820" t="str">
        <f>VLOOKUP(A820,MasterTutor!A:E,4,FALSE)</f>
        <v>Premium</v>
      </c>
      <c r="C820" t="str">
        <f>VLOOKUP(A820,MasterTutor!A:E,3,FALSE)</f>
        <v>Professional</v>
      </c>
      <c r="D820" t="str">
        <f>VLOOKUP(A820,MasterTutor!A:E,2,FALSE)</f>
        <v>Jessica Milner</v>
      </c>
      <c r="E820" t="s">
        <v>363</v>
      </c>
      <c r="F820" s="2">
        <v>0.75</v>
      </c>
      <c r="G820" s="2">
        <v>1.02</v>
      </c>
      <c r="H820" s="2">
        <v>0.98750000000000004</v>
      </c>
      <c r="I820" s="2">
        <v>0.82</v>
      </c>
      <c r="J820" s="2">
        <v>0.86699999999999999</v>
      </c>
      <c r="K820">
        <v>3</v>
      </c>
      <c r="L820" s="19">
        <v>1</v>
      </c>
      <c r="M820" s="21">
        <f>L820</f>
        <v>1</v>
      </c>
    </row>
    <row r="821" spans="1:13" x14ac:dyDescent="0.2">
      <c r="A821" t="s">
        <v>28</v>
      </c>
      <c r="B821" t="e">
        <f>VLOOKUP(A821,MasterTutor!A:E,4,FALSE)</f>
        <v>#N/A</v>
      </c>
      <c r="C821" t="e">
        <f>VLOOKUP(A821,MasterTutor!A:E,3,FALSE)</f>
        <v>#N/A</v>
      </c>
      <c r="D821" t="e">
        <f>VLOOKUP(A821,MasterTutor!A:E,2,FALSE)</f>
        <v>#N/A</v>
      </c>
      <c r="E821" t="s">
        <v>363</v>
      </c>
      <c r="F821" s="2">
        <v>1.04</v>
      </c>
      <c r="G821" s="2">
        <v>0.97</v>
      </c>
      <c r="H821" s="2">
        <v>1</v>
      </c>
      <c r="I821" s="2">
        <v>1</v>
      </c>
      <c r="J821" s="2">
        <v>0.94099999999999995</v>
      </c>
      <c r="K821">
        <v>6</v>
      </c>
      <c r="M821" s="21"/>
    </row>
    <row r="822" spans="1:13" x14ac:dyDescent="0.2">
      <c r="A822" t="s">
        <v>29</v>
      </c>
      <c r="B822" t="str">
        <f>VLOOKUP(A822,MasterTutor!A:E,4,FALSE)</f>
        <v>Distinguished</v>
      </c>
      <c r="C822" t="str">
        <f>VLOOKUP(A822,MasterTutor!A:E,3,FALSE)</f>
        <v>Adjunct</v>
      </c>
      <c r="D822" t="str">
        <f>VLOOKUP(A822,MasterTutor!A:E,2,FALSE)</f>
        <v>Kristin Haase-Alvey</v>
      </c>
      <c r="E822" t="s">
        <v>363</v>
      </c>
      <c r="F822" s="2">
        <v>1.41</v>
      </c>
      <c r="G822" s="2">
        <v>1.29</v>
      </c>
      <c r="H822" s="2">
        <v>1</v>
      </c>
      <c r="I822" s="2">
        <v>1</v>
      </c>
      <c r="J822" s="2">
        <v>0.78600000000000003</v>
      </c>
      <c r="K822">
        <v>2</v>
      </c>
      <c r="M822" s="21"/>
    </row>
    <row r="823" spans="1:13" x14ac:dyDescent="0.2">
      <c r="A823" t="s">
        <v>30</v>
      </c>
      <c r="B823" t="str">
        <f>VLOOKUP(A823,MasterTutor!A:E,4,FALSE)</f>
        <v>Distinguished</v>
      </c>
      <c r="C823" t="str">
        <f>VLOOKUP(A823,MasterTutor!A:E,3,FALSE)</f>
        <v>Professional</v>
      </c>
      <c r="D823" t="str">
        <f>VLOOKUP(A823,MasterTutor!A:E,2,FALSE)</f>
        <v>Ian Plamondon</v>
      </c>
      <c r="E823" t="s">
        <v>363</v>
      </c>
      <c r="F823" s="2">
        <v>1.03</v>
      </c>
      <c r="G823" s="2">
        <v>1.73</v>
      </c>
      <c r="H823" s="2">
        <v>1</v>
      </c>
      <c r="I823" s="2">
        <v>1</v>
      </c>
      <c r="J823" s="2">
        <v>0.875</v>
      </c>
      <c r="K823">
        <v>1</v>
      </c>
      <c r="L823" s="19">
        <v>1</v>
      </c>
      <c r="M823" s="21">
        <f>L823</f>
        <v>1</v>
      </c>
    </row>
    <row r="824" spans="1:13" x14ac:dyDescent="0.2">
      <c r="A824" t="s">
        <v>359</v>
      </c>
      <c r="B824" t="e">
        <f>VLOOKUP(A824,MasterTutor!A:E,4,FALSE)</f>
        <v>#N/A</v>
      </c>
      <c r="C824" t="e">
        <f>VLOOKUP(A824,MasterTutor!A:E,3,FALSE)</f>
        <v>#N/A</v>
      </c>
      <c r="D824" t="e">
        <f>VLOOKUP(A824,MasterTutor!A:E,2,FALSE)</f>
        <v>#N/A</v>
      </c>
      <c r="E824" t="s">
        <v>363</v>
      </c>
      <c r="F824" s="2">
        <v>0.86</v>
      </c>
      <c r="G824" s="2">
        <v>1.1200000000000001</v>
      </c>
      <c r="H824" s="2">
        <v>1</v>
      </c>
      <c r="I824" s="2">
        <v>0.83330000000000004</v>
      </c>
      <c r="J824" s="2">
        <v>0.57099999999999995</v>
      </c>
      <c r="K824">
        <v>1</v>
      </c>
      <c r="L824" s="19">
        <v>1</v>
      </c>
      <c r="M824" s="21">
        <f>L824</f>
        <v>1</v>
      </c>
    </row>
    <row r="825" spans="1:13" x14ac:dyDescent="0.2">
      <c r="A825" t="s">
        <v>31</v>
      </c>
      <c r="B825" t="str">
        <f>VLOOKUP(A825,MasterTutor!A:E,4,FALSE)</f>
        <v>Premium</v>
      </c>
      <c r="C825" t="str">
        <f>VLOOKUP(A825,MasterTutor!A:E,3,FALSE)</f>
        <v>Adjunct</v>
      </c>
      <c r="D825" t="str">
        <f>VLOOKUP(A825,MasterTutor!A:E,2,FALSE)</f>
        <v>Kristin Haase-Alvey</v>
      </c>
      <c r="E825" t="s">
        <v>363</v>
      </c>
      <c r="F825" s="2">
        <v>0.59</v>
      </c>
      <c r="G825" s="2">
        <v>0.76</v>
      </c>
      <c r="H825" s="2">
        <v>1</v>
      </c>
      <c r="I825" s="2">
        <v>1</v>
      </c>
      <c r="J825" s="2">
        <v>0.55600000000000005</v>
      </c>
      <c r="K825">
        <v>1</v>
      </c>
      <c r="M825" s="21"/>
    </row>
    <row r="826" spans="1:13" x14ac:dyDescent="0.2">
      <c r="A826" t="s">
        <v>32</v>
      </c>
      <c r="B826" t="e">
        <f>VLOOKUP(A826,MasterTutor!A:E,4,FALSE)</f>
        <v>#N/A</v>
      </c>
      <c r="C826" t="e">
        <f>VLOOKUP(A826,MasterTutor!A:E,3,FALSE)</f>
        <v>#N/A</v>
      </c>
      <c r="D826" t="e">
        <f>VLOOKUP(A826,MasterTutor!A:E,2,FALSE)</f>
        <v>#N/A</v>
      </c>
      <c r="E826" t="s">
        <v>363</v>
      </c>
      <c r="F826" s="2">
        <v>0.83</v>
      </c>
      <c r="G826" s="2">
        <v>1.07</v>
      </c>
      <c r="H826" s="2">
        <v>0.99070000000000003</v>
      </c>
      <c r="I826" s="2">
        <v>0.90769999999999995</v>
      </c>
      <c r="J826" s="2">
        <v>0.46200000000000002</v>
      </c>
      <c r="K826">
        <v>2</v>
      </c>
      <c r="M826" s="21"/>
    </row>
    <row r="827" spans="1:13" x14ac:dyDescent="0.2">
      <c r="A827" t="s">
        <v>33</v>
      </c>
      <c r="B827" t="str">
        <f>VLOOKUP(A827,MasterTutor!A:E,4,FALSE)</f>
        <v>Premium</v>
      </c>
      <c r="C827" t="str">
        <f>VLOOKUP(A827,MasterTutor!A:E,3,FALSE)</f>
        <v>Professional</v>
      </c>
      <c r="D827" t="str">
        <f>VLOOKUP(A827,MasterTutor!A:E,2,FALSE)</f>
        <v>Geoff St. Marie</v>
      </c>
      <c r="E827" t="s">
        <v>363</v>
      </c>
      <c r="F827" s="2">
        <v>1.49</v>
      </c>
      <c r="G827" s="2">
        <v>1.71</v>
      </c>
      <c r="H827" s="2">
        <v>0.88339999999999996</v>
      </c>
      <c r="I827" s="2">
        <v>0.93620000000000003</v>
      </c>
      <c r="J827" s="2">
        <v>0.76700000000000002</v>
      </c>
      <c r="K827">
        <v>2</v>
      </c>
      <c r="L827" s="19">
        <v>0</v>
      </c>
      <c r="M827" s="21">
        <f>L827</f>
        <v>0</v>
      </c>
    </row>
    <row r="828" spans="1:13" x14ac:dyDescent="0.2">
      <c r="A828" t="s">
        <v>34</v>
      </c>
      <c r="B828" t="e">
        <f>VLOOKUP(A828,MasterTutor!A:E,4,FALSE)</f>
        <v>#N/A</v>
      </c>
      <c r="C828" t="e">
        <f>VLOOKUP(A828,MasterTutor!A:E,3,FALSE)</f>
        <v>#N/A</v>
      </c>
      <c r="D828" t="e">
        <f>VLOOKUP(A828,MasterTutor!A:E,2,FALSE)</f>
        <v>#N/A</v>
      </c>
      <c r="E828" t="s">
        <v>363</v>
      </c>
      <c r="F828" s="2">
        <v>1.69</v>
      </c>
      <c r="G828" s="2">
        <v>1.51</v>
      </c>
      <c r="H828" s="2">
        <v>0.99139999999999995</v>
      </c>
      <c r="I828" s="2">
        <v>0.98440000000000005</v>
      </c>
      <c r="J828" s="2">
        <v>0.5</v>
      </c>
      <c r="K828">
        <v>1</v>
      </c>
      <c r="M828" s="21"/>
    </row>
    <row r="829" spans="1:13" x14ac:dyDescent="0.2">
      <c r="A829" t="s">
        <v>35</v>
      </c>
      <c r="B829" t="str">
        <f>VLOOKUP(A829,MasterTutor!A:E,4,FALSE)</f>
        <v>Advanced</v>
      </c>
      <c r="C829" t="str">
        <f>VLOOKUP(A829,MasterTutor!A:E,3,FALSE)</f>
        <v>Adjunct</v>
      </c>
      <c r="D829" t="str">
        <f>VLOOKUP(A829,MasterTutor!A:E,2,FALSE)</f>
        <v>Annelies de Groot</v>
      </c>
      <c r="E829" t="s">
        <v>363</v>
      </c>
      <c r="F829" s="2">
        <v>1.29</v>
      </c>
      <c r="G829" s="2">
        <v>1.98</v>
      </c>
      <c r="H829" s="2">
        <v>0.97550000000000003</v>
      </c>
      <c r="I829" s="2">
        <v>0.97560000000000002</v>
      </c>
      <c r="J829" s="2">
        <v>0.54500000000000004</v>
      </c>
      <c r="K829">
        <v>4</v>
      </c>
      <c r="L829" s="19">
        <v>1</v>
      </c>
      <c r="M829" s="21">
        <f>L829</f>
        <v>1</v>
      </c>
    </row>
    <row r="830" spans="1:13" x14ac:dyDescent="0.2">
      <c r="A830" t="s">
        <v>36</v>
      </c>
      <c r="B830" t="str">
        <f>VLOOKUP(A830,MasterTutor!A:E,4,FALSE)</f>
        <v>Premium</v>
      </c>
      <c r="C830" t="str">
        <f>VLOOKUP(A830,MasterTutor!A:E,3,FALSE)</f>
        <v>Professional</v>
      </c>
      <c r="D830" t="str">
        <f>VLOOKUP(A830,MasterTutor!A:E,2,FALSE)</f>
        <v>Jessica Milner</v>
      </c>
      <c r="E830" t="s">
        <v>363</v>
      </c>
      <c r="F830" s="2">
        <v>0.99</v>
      </c>
      <c r="G830" s="2">
        <v>1.26</v>
      </c>
      <c r="H830" s="2">
        <v>1</v>
      </c>
      <c r="I830" s="2">
        <v>1</v>
      </c>
      <c r="J830" s="2">
        <v>0.93799999999999994</v>
      </c>
      <c r="K830">
        <v>2</v>
      </c>
      <c r="M830" s="21"/>
    </row>
    <row r="831" spans="1:13" x14ac:dyDescent="0.2">
      <c r="A831" t="s">
        <v>37</v>
      </c>
      <c r="B831" t="e">
        <f>VLOOKUP(A831,MasterTutor!A:E,4,FALSE)</f>
        <v>#N/A</v>
      </c>
      <c r="C831" t="e">
        <f>VLOOKUP(A831,MasterTutor!A:E,3,FALSE)</f>
        <v>#N/A</v>
      </c>
      <c r="D831" t="e">
        <f>VLOOKUP(A831,MasterTutor!A:E,2,FALSE)</f>
        <v>#N/A</v>
      </c>
      <c r="E831" t="s">
        <v>363</v>
      </c>
      <c r="F831" s="2">
        <v>0.96</v>
      </c>
      <c r="G831" s="2">
        <v>0.81</v>
      </c>
      <c r="H831" s="2">
        <v>0.79079999999999995</v>
      </c>
      <c r="I831" s="2">
        <v>1</v>
      </c>
      <c r="J831" s="2">
        <v>1</v>
      </c>
      <c r="K831">
        <v>3</v>
      </c>
      <c r="L831" s="19" t="s">
        <v>331</v>
      </c>
      <c r="M831" s="21">
        <v>0.5</v>
      </c>
    </row>
    <row r="832" spans="1:13" x14ac:dyDescent="0.2">
      <c r="A832" t="s">
        <v>38</v>
      </c>
      <c r="B832" t="str">
        <f>VLOOKUP(A832,MasterTutor!A:E,4,FALSE)</f>
        <v>Advanced</v>
      </c>
      <c r="C832" t="str">
        <f>VLOOKUP(A832,MasterTutor!A:E,3,FALSE)</f>
        <v>Adjunct</v>
      </c>
      <c r="D832" t="str">
        <f>VLOOKUP(A832,MasterTutor!A:E,2,FALSE)</f>
        <v>Annelies de Groot</v>
      </c>
      <c r="E832" t="s">
        <v>363</v>
      </c>
      <c r="F832" s="2">
        <v>1.34</v>
      </c>
      <c r="G832" s="2">
        <v>1.31</v>
      </c>
      <c r="H832" s="2">
        <v>1</v>
      </c>
      <c r="I832" s="2">
        <v>1</v>
      </c>
      <c r="J832" s="2">
        <v>0.8</v>
      </c>
      <c r="K832">
        <v>7</v>
      </c>
      <c r="M832" s="21"/>
    </row>
    <row r="833" spans="1:13" x14ac:dyDescent="0.2">
      <c r="A833" t="s">
        <v>39</v>
      </c>
      <c r="B833" t="str">
        <f>VLOOKUP(A833,MasterTutor!A:E,4,FALSE)</f>
        <v>Premium</v>
      </c>
      <c r="C833" t="str">
        <f>VLOOKUP(A833,MasterTutor!A:E,3,FALSE)</f>
        <v>Adjunct</v>
      </c>
      <c r="D833" t="str">
        <f>VLOOKUP(A833,MasterTutor!A:E,2,FALSE)</f>
        <v>Jessica Milner</v>
      </c>
      <c r="E833" t="s">
        <v>363</v>
      </c>
      <c r="F833" s="2">
        <v>0.89</v>
      </c>
      <c r="G833" s="2">
        <v>1.04</v>
      </c>
      <c r="H833" s="2">
        <v>1</v>
      </c>
      <c r="I833" s="2">
        <v>1</v>
      </c>
      <c r="J833" s="2">
        <v>1</v>
      </c>
      <c r="K833" t="e">
        <v>#N/A</v>
      </c>
      <c r="M833" s="21"/>
    </row>
    <row r="834" spans="1:13" x14ac:dyDescent="0.2">
      <c r="A834" t="s">
        <v>40</v>
      </c>
      <c r="B834" t="str">
        <f>VLOOKUP(A834,MasterTutor!A:E,4,FALSE)</f>
        <v>Advanced</v>
      </c>
      <c r="C834" t="str">
        <f>VLOOKUP(A834,MasterTutor!A:E,3,FALSE)</f>
        <v>Professional</v>
      </c>
      <c r="D834" t="str">
        <f>VLOOKUP(A834,MasterTutor!A:E,2,FALSE)</f>
        <v>Annelies de Groot</v>
      </c>
      <c r="E834" t="s">
        <v>363</v>
      </c>
      <c r="F834" s="2">
        <v>1.28</v>
      </c>
      <c r="G834" s="2">
        <v>1.3</v>
      </c>
      <c r="H834" s="2">
        <v>1</v>
      </c>
      <c r="I834" s="2">
        <v>1</v>
      </c>
      <c r="J834" s="2">
        <v>0.5</v>
      </c>
      <c r="K834">
        <v>12</v>
      </c>
      <c r="M834" s="21"/>
    </row>
    <row r="835" spans="1:13" x14ac:dyDescent="0.2">
      <c r="A835" t="s">
        <v>41</v>
      </c>
      <c r="B835" t="str">
        <f>VLOOKUP(A835,MasterTutor!A:E,4,FALSE)</f>
        <v>Premium</v>
      </c>
      <c r="C835" t="str">
        <f>VLOOKUP(A835,MasterTutor!A:E,3,FALSE)</f>
        <v>Professional</v>
      </c>
      <c r="D835" t="str">
        <f>VLOOKUP(A835,MasterTutor!A:E,2,FALSE)</f>
        <v>Jessica Milner</v>
      </c>
      <c r="E835" t="s">
        <v>363</v>
      </c>
      <c r="F835" s="2">
        <v>0.83</v>
      </c>
      <c r="G835" s="2">
        <v>0.98</v>
      </c>
      <c r="H835" s="2">
        <v>0.96550000000000002</v>
      </c>
      <c r="I835" s="2">
        <v>0.98150000000000004</v>
      </c>
      <c r="J835" s="2">
        <v>0.81799999999999995</v>
      </c>
      <c r="K835">
        <v>1</v>
      </c>
      <c r="L835" s="19">
        <v>1</v>
      </c>
      <c r="M835" s="21">
        <f>L835</f>
        <v>1</v>
      </c>
    </row>
    <row r="836" spans="1:13" x14ac:dyDescent="0.2">
      <c r="A836" t="s">
        <v>42</v>
      </c>
      <c r="B836" t="str">
        <f>VLOOKUP(A836,MasterTutor!A:E,4,FALSE)</f>
        <v>Premium</v>
      </c>
      <c r="C836" t="str">
        <f>VLOOKUP(A836,MasterTutor!A:E,3,FALSE)</f>
        <v>Adjunct</v>
      </c>
      <c r="D836" t="str">
        <f>VLOOKUP(A836,MasterTutor!A:E,2,FALSE)</f>
        <v>Ela Cross</v>
      </c>
      <c r="E836" t="s">
        <v>363</v>
      </c>
      <c r="F836" s="2">
        <v>0.36</v>
      </c>
      <c r="G836" s="2">
        <v>1</v>
      </c>
      <c r="H836" s="2">
        <v>1</v>
      </c>
      <c r="I836" s="2">
        <v>1</v>
      </c>
      <c r="J836" s="2">
        <v>1</v>
      </c>
      <c r="K836">
        <v>2</v>
      </c>
      <c r="M836" s="21"/>
    </row>
    <row r="837" spans="1:13" x14ac:dyDescent="0.2">
      <c r="A837" t="s">
        <v>43</v>
      </c>
      <c r="B837" t="e">
        <f>VLOOKUP(A837,MasterTutor!A:E,4,FALSE)</f>
        <v>#N/A</v>
      </c>
      <c r="C837" t="e">
        <f>VLOOKUP(A837,MasterTutor!A:E,3,FALSE)</f>
        <v>#N/A</v>
      </c>
      <c r="D837" t="e">
        <f>VLOOKUP(A837,MasterTutor!A:E,2,FALSE)</f>
        <v>#N/A</v>
      </c>
      <c r="E837" t="s">
        <v>363</v>
      </c>
      <c r="F837" s="2">
        <v>0.78</v>
      </c>
      <c r="G837" s="2">
        <v>1.03</v>
      </c>
      <c r="H837" s="2">
        <v>1</v>
      </c>
      <c r="I837" s="2">
        <v>0.98209999999999997</v>
      </c>
      <c r="J837" s="2">
        <v>0.55000000000000004</v>
      </c>
      <c r="K837">
        <v>1</v>
      </c>
      <c r="L837" s="19" t="s">
        <v>331</v>
      </c>
      <c r="M837" s="21">
        <v>0.5</v>
      </c>
    </row>
    <row r="838" spans="1:13" x14ac:dyDescent="0.2">
      <c r="A838" t="s">
        <v>44</v>
      </c>
      <c r="B838" t="e">
        <f>VLOOKUP(A838,MasterTutor!A:E,4,FALSE)</f>
        <v>#N/A</v>
      </c>
      <c r="C838" t="e">
        <f>VLOOKUP(A838,MasterTutor!A:E,3,FALSE)</f>
        <v>#N/A</v>
      </c>
      <c r="D838" t="e">
        <f>VLOOKUP(A838,MasterTutor!A:E,2,FALSE)</f>
        <v>#N/A</v>
      </c>
      <c r="E838" t="s">
        <v>363</v>
      </c>
      <c r="F838" s="2">
        <v>0.71</v>
      </c>
      <c r="G838" s="2">
        <v>1</v>
      </c>
      <c r="H838" s="2">
        <v>0.90629999999999999</v>
      </c>
      <c r="I838" s="2">
        <v>1</v>
      </c>
      <c r="J838" s="2">
        <v>0.4</v>
      </c>
      <c r="K838">
        <v>1</v>
      </c>
      <c r="L838" s="19">
        <v>1</v>
      </c>
      <c r="M838" s="21">
        <f>L838</f>
        <v>1</v>
      </c>
    </row>
    <row r="839" spans="1:13" x14ac:dyDescent="0.2">
      <c r="A839" t="s">
        <v>45</v>
      </c>
      <c r="B839" t="str">
        <f>VLOOKUP(A839,MasterTutor!A:E,4,FALSE)</f>
        <v>Distinguished</v>
      </c>
      <c r="C839" t="str">
        <f>VLOOKUP(A839,MasterTutor!A:E,3,FALSE)</f>
        <v>Adjunct</v>
      </c>
      <c r="D839" t="str">
        <f>VLOOKUP(A839,MasterTutor!A:E,2,FALSE)</f>
        <v>Kristin Haase-Alvey</v>
      </c>
      <c r="E839" t="s">
        <v>363</v>
      </c>
      <c r="F839" s="2">
        <v>1.1299999999999999</v>
      </c>
      <c r="G839" s="2">
        <v>1.1599999999999999</v>
      </c>
      <c r="H839" s="2">
        <v>0.94230000000000003</v>
      </c>
      <c r="I839" s="2">
        <v>0.9</v>
      </c>
      <c r="J839" s="2">
        <v>0.8</v>
      </c>
      <c r="K839">
        <v>5</v>
      </c>
      <c r="L839" s="19">
        <v>0</v>
      </c>
      <c r="M839" s="21">
        <f>L839</f>
        <v>0</v>
      </c>
    </row>
    <row r="840" spans="1:13" x14ac:dyDescent="0.2">
      <c r="A840" t="s">
        <v>46</v>
      </c>
      <c r="B840" t="str">
        <f>VLOOKUP(A840,MasterTutor!A:E,4,FALSE)</f>
        <v>Distinguished</v>
      </c>
      <c r="C840" t="str">
        <f>VLOOKUP(A840,MasterTutor!A:E,3,FALSE)</f>
        <v>Professional</v>
      </c>
      <c r="D840" t="str">
        <f>VLOOKUP(A840,MasterTutor!A:E,2,FALSE)</f>
        <v>Ian Plamondon</v>
      </c>
      <c r="E840" t="s">
        <v>363</v>
      </c>
      <c r="F840" s="2">
        <v>1.44</v>
      </c>
      <c r="G840" s="2">
        <v>1.24</v>
      </c>
      <c r="H840" s="2">
        <v>0.88480000000000003</v>
      </c>
      <c r="I840" s="2">
        <v>0.84730000000000005</v>
      </c>
      <c r="J840" s="2">
        <v>0.89300000000000002</v>
      </c>
      <c r="K840">
        <v>4</v>
      </c>
      <c r="L840" s="19">
        <v>0</v>
      </c>
      <c r="M840" s="21">
        <f>L840</f>
        <v>0</v>
      </c>
    </row>
    <row r="841" spans="1:13" x14ac:dyDescent="0.2">
      <c r="A841" t="s">
        <v>236</v>
      </c>
      <c r="B841" t="str">
        <f>VLOOKUP(A841,MasterTutor!A:E,4,FALSE)</f>
        <v>Advanced</v>
      </c>
      <c r="C841" t="str">
        <f>VLOOKUP(A841,MasterTutor!A:E,3,FALSE)</f>
        <v xml:space="preserve">Professional </v>
      </c>
      <c r="D841" t="str">
        <f>VLOOKUP(A841,MasterTutor!A:E,2,FALSE)</f>
        <v>Kristin Haase-Alvey</v>
      </c>
      <c r="E841" t="s">
        <v>363</v>
      </c>
      <c r="F841" s="2">
        <v>0.44</v>
      </c>
      <c r="G841" s="2">
        <v>1.25</v>
      </c>
      <c r="H841" s="2">
        <v>1</v>
      </c>
      <c r="I841" s="2">
        <v>0.8</v>
      </c>
      <c r="J841" s="2">
        <v>0.2</v>
      </c>
      <c r="K841" t="e">
        <v>#N/A</v>
      </c>
      <c r="L841" s="19">
        <v>1</v>
      </c>
      <c r="M841" s="21">
        <f>L841</f>
        <v>1</v>
      </c>
    </row>
    <row r="842" spans="1:13" x14ac:dyDescent="0.2">
      <c r="A842" t="s">
        <v>364</v>
      </c>
      <c r="B842" t="e">
        <f>VLOOKUP(A842,MasterTutor!A:E,4,FALSE)</f>
        <v>#N/A</v>
      </c>
      <c r="C842" t="e">
        <f>VLOOKUP(A842,MasterTutor!A:E,3,FALSE)</f>
        <v>#N/A</v>
      </c>
      <c r="D842" t="e">
        <f>VLOOKUP(A842,MasterTutor!A:E,2,FALSE)</f>
        <v>#N/A</v>
      </c>
      <c r="E842" t="s">
        <v>363</v>
      </c>
      <c r="F842" s="2">
        <v>0</v>
      </c>
      <c r="G842" s="2">
        <v>0.65</v>
      </c>
      <c r="H842" s="2">
        <v>0</v>
      </c>
      <c r="I842" s="2">
        <v>0</v>
      </c>
      <c r="J842" s="2">
        <v>1</v>
      </c>
      <c r="K842" t="e">
        <v>#N/A</v>
      </c>
    </row>
    <row r="843" spans="1:13" x14ac:dyDescent="0.2">
      <c r="A843" t="s">
        <v>47</v>
      </c>
      <c r="B843" t="e">
        <f>VLOOKUP(A843,MasterTutor!A:E,4,FALSE)</f>
        <v>#N/A</v>
      </c>
      <c r="C843" t="e">
        <f>VLOOKUP(A843,MasterTutor!A:E,3,FALSE)</f>
        <v>#N/A</v>
      </c>
      <c r="D843" t="e">
        <f>VLOOKUP(A843,MasterTutor!A:E,2,FALSE)</f>
        <v>#N/A</v>
      </c>
      <c r="E843" t="s">
        <v>363</v>
      </c>
      <c r="F843" s="2">
        <v>0.74</v>
      </c>
      <c r="G843" s="2">
        <v>1.02</v>
      </c>
      <c r="H843" s="2">
        <v>1</v>
      </c>
      <c r="I843" s="2">
        <v>1</v>
      </c>
      <c r="J843" s="2">
        <v>0.9</v>
      </c>
      <c r="K843">
        <v>1</v>
      </c>
      <c r="L843" s="19" t="s">
        <v>331</v>
      </c>
      <c r="M843" s="21">
        <v>0.5</v>
      </c>
    </row>
    <row r="844" spans="1:13" x14ac:dyDescent="0.2">
      <c r="A844" t="s">
        <v>48</v>
      </c>
      <c r="B844" t="str">
        <f>VLOOKUP(A844,MasterTutor!A:E,4,FALSE)</f>
        <v>Advanced</v>
      </c>
      <c r="C844" t="str">
        <f>VLOOKUP(A844,MasterTutor!A:E,3,FALSE)</f>
        <v>Professional</v>
      </c>
      <c r="D844" t="str">
        <f>VLOOKUP(A844,MasterTutor!A:E,2,FALSE)</f>
        <v>Annelies de Groot</v>
      </c>
      <c r="E844" t="s">
        <v>363</v>
      </c>
      <c r="F844" s="2">
        <v>0.95</v>
      </c>
      <c r="G844" s="2">
        <v>1.1299999999999999</v>
      </c>
      <c r="H844" s="2">
        <v>0.98270000000000002</v>
      </c>
      <c r="I844" s="2">
        <v>0.77139999999999997</v>
      </c>
      <c r="J844" s="2">
        <v>1</v>
      </c>
      <c r="K844">
        <v>3</v>
      </c>
      <c r="L844" s="19">
        <v>1</v>
      </c>
      <c r="M844" s="21">
        <f>L844</f>
        <v>1</v>
      </c>
    </row>
    <row r="845" spans="1:13" x14ac:dyDescent="0.2">
      <c r="A845" t="s">
        <v>49</v>
      </c>
      <c r="B845" t="str">
        <f>VLOOKUP(A845,MasterTutor!A:E,4,FALSE)</f>
        <v>Advanced</v>
      </c>
      <c r="C845" t="str">
        <f>VLOOKUP(A845,MasterTutor!A:E,3,FALSE)</f>
        <v>Professional</v>
      </c>
      <c r="D845" t="str">
        <f>VLOOKUP(A845,MasterTutor!A:E,2,FALSE)</f>
        <v>Ian Plamondon</v>
      </c>
      <c r="E845" t="s">
        <v>363</v>
      </c>
      <c r="F845" s="2">
        <v>0.93</v>
      </c>
      <c r="G845" s="2">
        <v>1.07</v>
      </c>
      <c r="H845" s="2">
        <v>0.85619999999999996</v>
      </c>
      <c r="I845" s="2">
        <v>0.90280000000000005</v>
      </c>
      <c r="J845" s="2">
        <v>0.52900000000000003</v>
      </c>
      <c r="K845">
        <v>1</v>
      </c>
      <c r="L845" s="19" t="s">
        <v>331</v>
      </c>
      <c r="M845" s="21">
        <v>0.5</v>
      </c>
    </row>
    <row r="846" spans="1:13" x14ac:dyDescent="0.2">
      <c r="A846" t="s">
        <v>50</v>
      </c>
      <c r="B846" t="str">
        <f>VLOOKUP(A846,MasterTutor!A:E,4,FALSE)</f>
        <v>Premium</v>
      </c>
      <c r="C846" t="str">
        <f>VLOOKUP(A846,MasterTutor!A:E,3,FALSE)</f>
        <v>Adjunct</v>
      </c>
      <c r="D846" t="str">
        <f>VLOOKUP(A846,MasterTutor!A:E,2,FALSE)</f>
        <v>Kristin Haase-Alvey</v>
      </c>
      <c r="E846" t="s">
        <v>363</v>
      </c>
      <c r="F846" s="2">
        <v>0.88</v>
      </c>
      <c r="G846" s="2">
        <v>1.08</v>
      </c>
      <c r="H846" s="2">
        <v>0.96879999999999999</v>
      </c>
      <c r="I846" s="2">
        <v>0.90910000000000002</v>
      </c>
      <c r="J846" s="2">
        <v>0.75</v>
      </c>
      <c r="K846">
        <v>3</v>
      </c>
    </row>
    <row r="847" spans="1:13" x14ac:dyDescent="0.2">
      <c r="A847" t="s">
        <v>51</v>
      </c>
      <c r="B847" t="str">
        <f>VLOOKUP(A847,MasterTutor!A:E,4,FALSE)</f>
        <v>Premium</v>
      </c>
      <c r="C847" t="str">
        <f>VLOOKUP(A847,MasterTutor!A:E,3,FALSE)</f>
        <v>Adjunct</v>
      </c>
      <c r="D847" t="str">
        <f>VLOOKUP(A847,MasterTutor!A:E,2,FALSE)</f>
        <v>Annelies de Groot</v>
      </c>
      <c r="E847" t="s">
        <v>363</v>
      </c>
      <c r="F847" s="2">
        <v>0.88</v>
      </c>
      <c r="G847" s="2">
        <v>1.08</v>
      </c>
      <c r="H847" s="2">
        <v>1</v>
      </c>
      <c r="I847" s="2">
        <v>0.92500000000000004</v>
      </c>
      <c r="J847" s="2">
        <v>1</v>
      </c>
      <c r="K847" t="e">
        <v>#N/A</v>
      </c>
      <c r="L847" s="19">
        <v>0</v>
      </c>
      <c r="M847" s="21">
        <f>L847</f>
        <v>0</v>
      </c>
    </row>
    <row r="848" spans="1:13" x14ac:dyDescent="0.2">
      <c r="A848" t="s">
        <v>52</v>
      </c>
      <c r="B848" t="str">
        <f>VLOOKUP(A848,MasterTutor!A:E,4,FALSE)</f>
        <v>Premium</v>
      </c>
      <c r="C848" t="str">
        <f>VLOOKUP(A848,MasterTutor!A:E,3,FALSE)</f>
        <v>Professional</v>
      </c>
      <c r="D848" t="str">
        <f>VLOOKUP(A848,MasterTutor!A:E,2,FALSE)</f>
        <v>Jessica Milner</v>
      </c>
      <c r="E848" t="s">
        <v>363</v>
      </c>
      <c r="F848" s="2">
        <v>1.21</v>
      </c>
      <c r="G848" s="2">
        <v>1.22</v>
      </c>
      <c r="H848" s="2">
        <v>1</v>
      </c>
      <c r="I848" s="2">
        <v>0.9506</v>
      </c>
      <c r="J848" s="2">
        <v>0.90900000000000003</v>
      </c>
      <c r="K848">
        <v>4</v>
      </c>
      <c r="L848" s="19">
        <v>1</v>
      </c>
      <c r="M848" s="21">
        <f>L848</f>
        <v>1</v>
      </c>
    </row>
    <row r="849" spans="1:13" x14ac:dyDescent="0.2">
      <c r="A849" t="s">
        <v>53</v>
      </c>
      <c r="B849" t="str">
        <f>VLOOKUP(A849,MasterTutor!A:E,4,FALSE)</f>
        <v>Advanced</v>
      </c>
      <c r="C849" t="str">
        <f>VLOOKUP(A849,MasterTutor!A:E,3,FALSE)</f>
        <v>Professional</v>
      </c>
      <c r="D849" t="str">
        <f>VLOOKUP(A849,MasterTutor!A:E,2,FALSE)</f>
        <v>Kristin Haase-Alvey</v>
      </c>
      <c r="E849" t="s">
        <v>363</v>
      </c>
      <c r="F849" s="2">
        <v>0.88</v>
      </c>
      <c r="G849" s="2">
        <v>1.04</v>
      </c>
      <c r="H849" s="2">
        <v>0.88570000000000004</v>
      </c>
      <c r="I849" s="2">
        <v>0.85940000000000005</v>
      </c>
      <c r="J849" s="2">
        <v>0.8</v>
      </c>
      <c r="K849">
        <v>5</v>
      </c>
    </row>
    <row r="850" spans="1:13" x14ac:dyDescent="0.2">
      <c r="A850" t="s">
        <v>54</v>
      </c>
      <c r="B850" t="str">
        <f>VLOOKUP(A850,MasterTutor!A:E,4,FALSE)</f>
        <v>Premium</v>
      </c>
      <c r="C850" t="str">
        <f>VLOOKUP(A850,MasterTutor!A:E,3,FALSE)</f>
        <v>Professional</v>
      </c>
      <c r="D850" t="str">
        <f>VLOOKUP(A850,MasterTutor!A:E,2,FALSE)</f>
        <v>Jessica Milner</v>
      </c>
      <c r="E850" t="s">
        <v>363</v>
      </c>
      <c r="F850" s="2">
        <v>0.71</v>
      </c>
      <c r="G850" s="2">
        <v>1.06</v>
      </c>
      <c r="H850" s="2">
        <v>1</v>
      </c>
      <c r="I850" s="2">
        <v>0.91069999999999995</v>
      </c>
      <c r="J850" s="2">
        <v>0.48</v>
      </c>
      <c r="K850">
        <v>4</v>
      </c>
      <c r="L850" s="19" t="s">
        <v>330</v>
      </c>
      <c r="M850" s="21">
        <v>0.67</v>
      </c>
    </row>
    <row r="851" spans="1:13" x14ac:dyDescent="0.2">
      <c r="A851" t="s">
        <v>55</v>
      </c>
      <c r="B851" t="str">
        <f>VLOOKUP(A851,MasterTutor!A:E,4,FALSE)</f>
        <v>Premium</v>
      </c>
      <c r="C851" t="str">
        <f>VLOOKUP(A851,MasterTutor!A:E,3,FALSE)</f>
        <v>Adjunct</v>
      </c>
      <c r="D851" t="str">
        <f>VLOOKUP(A851,MasterTutor!A:E,2,FALSE)</f>
        <v>Ela Cross</v>
      </c>
      <c r="E851" t="s">
        <v>363</v>
      </c>
      <c r="F851" s="2">
        <v>1.55</v>
      </c>
      <c r="G851" s="2">
        <v>1.53</v>
      </c>
      <c r="H851" s="2">
        <v>0.97219999999999995</v>
      </c>
      <c r="I851" s="2">
        <v>0.74470000000000003</v>
      </c>
      <c r="J851" s="2">
        <v>0.23100000000000001</v>
      </c>
      <c r="K851">
        <v>4</v>
      </c>
    </row>
    <row r="852" spans="1:13" x14ac:dyDescent="0.2">
      <c r="A852" t="s">
        <v>56</v>
      </c>
      <c r="B852" t="str">
        <f>VLOOKUP(A852,MasterTutor!A:E,4,FALSE)</f>
        <v>Advanced</v>
      </c>
      <c r="C852" t="str">
        <f>VLOOKUP(A852,MasterTutor!A:E,3,FALSE)</f>
        <v>Professional</v>
      </c>
      <c r="D852" t="str">
        <f>VLOOKUP(A852,MasterTutor!A:E,2,FALSE)</f>
        <v>Ela Cross</v>
      </c>
      <c r="E852" t="s">
        <v>363</v>
      </c>
      <c r="F852" s="2">
        <v>0.62</v>
      </c>
      <c r="G852" s="2">
        <v>0.72</v>
      </c>
      <c r="H852" s="2">
        <v>0.91520000000000001</v>
      </c>
      <c r="I852" s="2">
        <v>0.80769999999999997</v>
      </c>
      <c r="J852" s="2">
        <v>0.78300000000000003</v>
      </c>
      <c r="K852">
        <v>5</v>
      </c>
      <c r="L852" s="19">
        <v>1</v>
      </c>
      <c r="M852" s="21">
        <f>L852</f>
        <v>1</v>
      </c>
    </row>
    <row r="853" spans="1:13" x14ac:dyDescent="0.2">
      <c r="A853" t="s">
        <v>245</v>
      </c>
      <c r="B853" t="str">
        <f>VLOOKUP(A853,MasterTutor!A:E,4,FALSE)</f>
        <v>Advanced</v>
      </c>
      <c r="C853" t="str">
        <f>VLOOKUP(A853,MasterTutor!A:E,3,FALSE)</f>
        <v>Professional</v>
      </c>
      <c r="D853" t="str">
        <f>VLOOKUP(A853,MasterTutor!A:E,2,FALSE)</f>
        <v>Ela Cross</v>
      </c>
      <c r="E853" t="s">
        <v>363</v>
      </c>
      <c r="F853" s="2">
        <v>0.51</v>
      </c>
      <c r="G853" s="2">
        <v>1.1200000000000001</v>
      </c>
      <c r="H853" s="2">
        <v>0.96179999999999999</v>
      </c>
      <c r="I853" s="2">
        <v>0.77780000000000005</v>
      </c>
      <c r="J853" s="2">
        <v>0.64700000000000002</v>
      </c>
      <c r="K853">
        <v>2</v>
      </c>
      <c r="L853" s="19" t="s">
        <v>346</v>
      </c>
      <c r="M853" s="21">
        <v>0.78</v>
      </c>
    </row>
    <row r="854" spans="1:13" x14ac:dyDescent="0.2">
      <c r="A854" t="s">
        <v>57</v>
      </c>
      <c r="B854" t="str">
        <f>VLOOKUP(A854,MasterTutor!A:E,4,FALSE)</f>
        <v>Advanced</v>
      </c>
      <c r="C854" t="str">
        <f>VLOOKUP(A854,MasterTutor!A:E,3,FALSE)</f>
        <v>Professional</v>
      </c>
      <c r="D854" t="str">
        <f>VLOOKUP(A854,MasterTutor!A:E,2,FALSE)</f>
        <v>Ian Plamondon</v>
      </c>
      <c r="E854" t="s">
        <v>363</v>
      </c>
      <c r="F854" s="2">
        <v>1</v>
      </c>
      <c r="G854" s="2">
        <v>0.97</v>
      </c>
      <c r="H854" s="2">
        <v>1</v>
      </c>
      <c r="I854" s="2">
        <v>1</v>
      </c>
      <c r="J854" s="2">
        <v>0.85699999999999998</v>
      </c>
      <c r="K854">
        <v>8</v>
      </c>
      <c r="L854" s="19">
        <v>1</v>
      </c>
      <c r="M854" s="21">
        <f>L854</f>
        <v>1</v>
      </c>
    </row>
    <row r="855" spans="1:13" x14ac:dyDescent="0.2">
      <c r="A855" t="s">
        <v>249</v>
      </c>
      <c r="B855" t="str">
        <f>VLOOKUP(A855,MasterTutor!A:E,4,FALSE)</f>
        <v>Advanced</v>
      </c>
      <c r="C855" t="str">
        <f>VLOOKUP(A855,MasterTutor!A:E,3,FALSE)</f>
        <v>Adjunct</v>
      </c>
      <c r="D855" t="str">
        <f>VLOOKUP(A855,MasterTutor!A:E,2,FALSE)</f>
        <v>Annelies de Groot</v>
      </c>
      <c r="E855" t="s">
        <v>363</v>
      </c>
      <c r="F855" s="2">
        <v>0.18</v>
      </c>
      <c r="G855" s="2">
        <v>1.03</v>
      </c>
      <c r="H855" s="2">
        <v>1</v>
      </c>
      <c r="I855" s="2">
        <v>0.6</v>
      </c>
      <c r="J855" s="2">
        <v>0.66700000000000004</v>
      </c>
      <c r="K855" t="e">
        <v>#N/A</v>
      </c>
      <c r="L855" s="19">
        <v>0</v>
      </c>
      <c r="M855" s="21">
        <f>L855</f>
        <v>0</v>
      </c>
    </row>
    <row r="856" spans="1:13" x14ac:dyDescent="0.2">
      <c r="A856" t="s">
        <v>58</v>
      </c>
      <c r="B856" t="str">
        <f>VLOOKUP(A856,MasterTutor!A:E,4,FALSE)</f>
        <v>Premium</v>
      </c>
      <c r="C856" t="str">
        <f>VLOOKUP(A856,MasterTutor!A:E,3,FALSE)</f>
        <v>Professional</v>
      </c>
      <c r="D856" t="str">
        <f>VLOOKUP(A856,MasterTutor!A:E,2,FALSE)</f>
        <v>Jessica Milner</v>
      </c>
      <c r="E856" t="s">
        <v>363</v>
      </c>
      <c r="F856" s="2">
        <v>0.97</v>
      </c>
      <c r="G856" s="2">
        <v>1.21</v>
      </c>
      <c r="H856" s="2">
        <v>0.98450000000000004</v>
      </c>
      <c r="I856" s="2">
        <v>1</v>
      </c>
      <c r="J856" s="2">
        <v>0.86699999999999999</v>
      </c>
      <c r="K856">
        <v>1</v>
      </c>
      <c r="L856" s="19">
        <v>1</v>
      </c>
      <c r="M856" s="21">
        <f>L856</f>
        <v>1</v>
      </c>
    </row>
    <row r="857" spans="1:13" x14ac:dyDescent="0.2">
      <c r="A857" t="s">
        <v>59</v>
      </c>
      <c r="B857" t="str">
        <f>VLOOKUP(A857,MasterTutor!A:E,4,FALSE)</f>
        <v>Distinguished</v>
      </c>
      <c r="C857" t="str">
        <f>VLOOKUP(A857,MasterTutor!A:E,3,FALSE)</f>
        <v>Professional</v>
      </c>
      <c r="D857" t="str">
        <f>VLOOKUP(A857,MasterTutor!A:E,2,FALSE)</f>
        <v>Ela Cross</v>
      </c>
      <c r="E857" t="s">
        <v>363</v>
      </c>
      <c r="F857" s="2">
        <v>1.06</v>
      </c>
      <c r="G857" s="2">
        <v>1.03</v>
      </c>
      <c r="H857" s="2">
        <v>1</v>
      </c>
      <c r="I857" s="2">
        <v>0.95179999999999998</v>
      </c>
      <c r="J857" s="2">
        <v>0.75</v>
      </c>
      <c r="K857">
        <v>4</v>
      </c>
      <c r="L857" s="19">
        <v>1</v>
      </c>
      <c r="M857" s="21">
        <f>L857</f>
        <v>1</v>
      </c>
    </row>
    <row r="858" spans="1:13" x14ac:dyDescent="0.2">
      <c r="A858" t="s">
        <v>60</v>
      </c>
      <c r="B858" t="str">
        <f>VLOOKUP(A858,MasterTutor!A:E,4,FALSE)</f>
        <v>Advanced</v>
      </c>
      <c r="C858" t="str">
        <f>VLOOKUP(A858,MasterTutor!A:E,3,FALSE)</f>
        <v>Adjunct</v>
      </c>
      <c r="D858" t="str">
        <f>VLOOKUP(A858,MasterTutor!A:E,2,FALSE)</f>
        <v>Kristin Haase-Alvey</v>
      </c>
      <c r="E858" t="s">
        <v>363</v>
      </c>
      <c r="F858" s="2">
        <v>2.0499999999999998</v>
      </c>
      <c r="G858" s="2">
        <v>1.68</v>
      </c>
      <c r="H858" s="2">
        <v>0.95860000000000001</v>
      </c>
      <c r="I858" s="2">
        <v>0.74580000000000002</v>
      </c>
      <c r="J858" s="2">
        <v>0.5</v>
      </c>
      <c r="K858">
        <v>6</v>
      </c>
      <c r="L858" s="19" t="s">
        <v>330</v>
      </c>
      <c r="M858" s="21">
        <v>0.67</v>
      </c>
    </row>
    <row r="859" spans="1:13" x14ac:dyDescent="0.2">
      <c r="A859" t="s">
        <v>61</v>
      </c>
      <c r="B859" t="str">
        <f>VLOOKUP(A859,MasterTutor!A:E,4,FALSE)</f>
        <v>Advanced</v>
      </c>
      <c r="C859" t="str">
        <f>VLOOKUP(A859,MasterTutor!A:E,3,FALSE)</f>
        <v>Adjunct</v>
      </c>
      <c r="D859" t="str">
        <f>VLOOKUP(A859,MasterTutor!A:E,2,FALSE)</f>
        <v>Ela Cross</v>
      </c>
      <c r="E859" t="s">
        <v>363</v>
      </c>
      <c r="F859" s="2">
        <v>1.4</v>
      </c>
      <c r="G859" s="2">
        <v>1.48</v>
      </c>
      <c r="H859" s="2">
        <v>0.9708</v>
      </c>
      <c r="I859" s="2">
        <v>0.98040000000000005</v>
      </c>
      <c r="J859" s="2">
        <v>0.23100000000000001</v>
      </c>
      <c r="K859">
        <v>6</v>
      </c>
      <c r="L859" s="19">
        <v>0</v>
      </c>
      <c r="M859" s="21">
        <f>L859</f>
        <v>0</v>
      </c>
    </row>
    <row r="860" spans="1:13" x14ac:dyDescent="0.2">
      <c r="A860" t="s">
        <v>62</v>
      </c>
      <c r="B860" t="e">
        <f>VLOOKUP(A860,MasterTutor!A:E,4,FALSE)</f>
        <v>#N/A</v>
      </c>
      <c r="C860" t="e">
        <f>VLOOKUP(A860,MasterTutor!A:E,3,FALSE)</f>
        <v>#N/A</v>
      </c>
      <c r="D860" t="e">
        <f>VLOOKUP(A860,MasterTutor!A:E,2,FALSE)</f>
        <v>#N/A</v>
      </c>
      <c r="E860" t="s">
        <v>363</v>
      </c>
      <c r="F860" s="2">
        <v>1.27</v>
      </c>
      <c r="G860" s="2">
        <v>1.4</v>
      </c>
      <c r="H860" s="2">
        <v>0.95579999999999998</v>
      </c>
      <c r="I860" s="2">
        <v>0.97619999999999996</v>
      </c>
      <c r="J860" s="2">
        <v>0.6</v>
      </c>
      <c r="K860" t="e">
        <v>#N/A</v>
      </c>
    </row>
    <row r="861" spans="1:13" x14ac:dyDescent="0.2">
      <c r="A861" t="s">
        <v>63</v>
      </c>
      <c r="B861" t="str">
        <f>VLOOKUP(A861,MasterTutor!A:E,4,FALSE)</f>
        <v>Advanced</v>
      </c>
      <c r="C861" t="str">
        <f>VLOOKUP(A861,MasterTutor!A:E,3,FALSE)</f>
        <v>Adjunct</v>
      </c>
      <c r="D861" t="str">
        <f>VLOOKUP(A861,MasterTutor!A:E,2,FALSE)</f>
        <v>Kristin Haase-Alvey</v>
      </c>
      <c r="E861" t="s">
        <v>363</v>
      </c>
      <c r="F861" s="2">
        <v>0.79</v>
      </c>
      <c r="G861" s="2">
        <v>1.1599999999999999</v>
      </c>
      <c r="H861" s="2">
        <v>0.96760000000000002</v>
      </c>
      <c r="I861" s="2">
        <v>0.70830000000000004</v>
      </c>
      <c r="J861" s="2">
        <v>0.625</v>
      </c>
      <c r="K861">
        <v>5</v>
      </c>
    </row>
    <row r="862" spans="1:13" x14ac:dyDescent="0.2">
      <c r="A862" t="s">
        <v>64</v>
      </c>
      <c r="B862" t="str">
        <f>VLOOKUP(A862,MasterTutor!A:E,4,FALSE)</f>
        <v>Distinguished</v>
      </c>
      <c r="C862" t="str">
        <f>VLOOKUP(A862,MasterTutor!A:E,3,FALSE)</f>
        <v>Professional</v>
      </c>
      <c r="D862" t="str">
        <f>VLOOKUP(A862,MasterTutor!A:E,2,FALSE)</f>
        <v>Ian Plamondon</v>
      </c>
      <c r="E862" t="s">
        <v>363</v>
      </c>
      <c r="F862" s="2">
        <v>0.83</v>
      </c>
      <c r="G862" s="2">
        <v>1.23</v>
      </c>
      <c r="H862" s="2">
        <v>0.87929999999999997</v>
      </c>
      <c r="I862" s="2">
        <v>1</v>
      </c>
      <c r="J862" s="2">
        <v>0.96599999999999997</v>
      </c>
      <c r="K862">
        <v>1</v>
      </c>
      <c r="L862" s="19">
        <v>1</v>
      </c>
      <c r="M862" s="21">
        <f>L862</f>
        <v>1</v>
      </c>
    </row>
    <row r="863" spans="1:13" x14ac:dyDescent="0.2">
      <c r="A863" t="s">
        <v>65</v>
      </c>
      <c r="B863" t="str">
        <f>VLOOKUP(A863,MasterTutor!A:E,4,FALSE)</f>
        <v>Premium</v>
      </c>
      <c r="C863" t="str">
        <f>VLOOKUP(A863,MasterTutor!A:E,3,FALSE)</f>
        <v>Professional</v>
      </c>
      <c r="D863" t="str">
        <f>VLOOKUP(A863,MasterTutor!A:E,2,FALSE)</f>
        <v>Ian Plamondon</v>
      </c>
      <c r="E863" t="s">
        <v>363</v>
      </c>
      <c r="F863" s="2">
        <v>0.78</v>
      </c>
      <c r="G863" s="2">
        <v>0.85</v>
      </c>
      <c r="H863" s="2">
        <v>1</v>
      </c>
      <c r="I863" s="2">
        <v>0.84750000000000003</v>
      </c>
      <c r="J863" s="2">
        <v>0.84599999999999997</v>
      </c>
      <c r="K863">
        <v>2</v>
      </c>
      <c r="L863" s="19">
        <v>1</v>
      </c>
      <c r="M863" s="21">
        <f>L863</f>
        <v>1</v>
      </c>
    </row>
    <row r="864" spans="1:13" x14ac:dyDescent="0.2">
      <c r="A864" t="s">
        <v>254</v>
      </c>
      <c r="B864" t="str">
        <f>VLOOKUP(A864,MasterTutor!A:E,4,FALSE)</f>
        <v>Advanced</v>
      </c>
      <c r="C864" t="str">
        <f>VLOOKUP(A864,MasterTutor!A:E,3,FALSE)</f>
        <v>Professional</v>
      </c>
      <c r="D864" t="str">
        <f>VLOOKUP(A864,MasterTutor!A:E,2,FALSE)</f>
        <v>Annelies de Groot</v>
      </c>
      <c r="E864" t="s">
        <v>363</v>
      </c>
      <c r="F864" s="2">
        <v>0.65</v>
      </c>
      <c r="G864" s="2">
        <v>1.17</v>
      </c>
      <c r="H864" s="2">
        <v>0.84840000000000004</v>
      </c>
      <c r="I864" s="2">
        <v>0.92</v>
      </c>
      <c r="J864" s="2">
        <v>0.83299999999999996</v>
      </c>
      <c r="K864">
        <v>2</v>
      </c>
      <c r="L864" s="19" t="s">
        <v>336</v>
      </c>
      <c r="M864" s="21">
        <v>0.6</v>
      </c>
    </row>
    <row r="865" spans="1:13" x14ac:dyDescent="0.2">
      <c r="A865" t="s">
        <v>67</v>
      </c>
      <c r="B865" t="str">
        <f>VLOOKUP(A865,MasterTutor!A:E,4,FALSE)</f>
        <v>Distinguished</v>
      </c>
      <c r="C865" t="str">
        <f>VLOOKUP(A865,MasterTutor!A:E,3,FALSE)</f>
        <v>Professional</v>
      </c>
      <c r="D865" t="str">
        <f>VLOOKUP(A865,MasterTutor!A:E,2,FALSE)</f>
        <v>Ian Plamondon</v>
      </c>
      <c r="E865" t="s">
        <v>363</v>
      </c>
      <c r="F865" s="2">
        <v>0.9</v>
      </c>
      <c r="G865" s="2">
        <v>1.24</v>
      </c>
      <c r="H865" s="2">
        <v>1</v>
      </c>
      <c r="I865" s="2">
        <v>1</v>
      </c>
      <c r="J865" s="2">
        <v>0.72199999999999998</v>
      </c>
      <c r="K865">
        <v>1</v>
      </c>
      <c r="L865" s="19" t="s">
        <v>330</v>
      </c>
      <c r="M865" s="21">
        <v>0.67</v>
      </c>
    </row>
    <row r="866" spans="1:13" x14ac:dyDescent="0.2">
      <c r="A866" t="s">
        <v>68</v>
      </c>
      <c r="B866" t="str">
        <f>VLOOKUP(A866,MasterTutor!A:E,4,FALSE)</f>
        <v>Advanced</v>
      </c>
      <c r="C866" t="str">
        <f>VLOOKUP(A866,MasterTutor!A:E,3,FALSE)</f>
        <v>Professional</v>
      </c>
      <c r="D866" t="str">
        <f>VLOOKUP(A866,MasterTutor!A:E,2,FALSE)</f>
        <v>Ian Plamondon</v>
      </c>
      <c r="E866" t="s">
        <v>363</v>
      </c>
      <c r="F866" s="2">
        <v>0.77</v>
      </c>
      <c r="G866" s="2">
        <v>1.02</v>
      </c>
      <c r="H866" s="2">
        <v>0.90059999999999996</v>
      </c>
      <c r="I866" s="2">
        <v>0.97060000000000002</v>
      </c>
      <c r="J866" s="2">
        <v>0.91700000000000004</v>
      </c>
      <c r="K866">
        <v>12</v>
      </c>
      <c r="L866" s="19">
        <v>0</v>
      </c>
      <c r="M866" s="21">
        <f>L866</f>
        <v>0</v>
      </c>
    </row>
    <row r="867" spans="1:13" x14ac:dyDescent="0.2">
      <c r="A867" t="s">
        <v>69</v>
      </c>
      <c r="B867" t="str">
        <f>VLOOKUP(A867,MasterTutor!A:E,4,FALSE)</f>
        <v>Advanced</v>
      </c>
      <c r="C867" t="str">
        <f>VLOOKUP(A867,MasterTutor!A:E,3,FALSE)</f>
        <v>Adjunct</v>
      </c>
      <c r="D867" t="str">
        <f>VLOOKUP(A867,MasterTutor!A:E,2,FALSE)</f>
        <v>Ela Cross</v>
      </c>
      <c r="E867" t="s">
        <v>363</v>
      </c>
      <c r="F867" s="2">
        <v>0.94</v>
      </c>
      <c r="G867" s="2">
        <v>1.1100000000000001</v>
      </c>
      <c r="H867" s="2">
        <v>1</v>
      </c>
      <c r="I867" s="2">
        <v>0.94289999999999996</v>
      </c>
      <c r="J867" s="2">
        <v>1</v>
      </c>
      <c r="K867">
        <v>2</v>
      </c>
    </row>
    <row r="868" spans="1:13" x14ac:dyDescent="0.2">
      <c r="A868" t="s">
        <v>70</v>
      </c>
      <c r="B868" t="str">
        <f>VLOOKUP(A868,MasterTutor!A:E,4,FALSE)</f>
        <v>Distinguished</v>
      </c>
      <c r="C868" t="str">
        <f>VLOOKUP(A868,MasterTutor!A:E,3,FALSE)</f>
        <v>Professional</v>
      </c>
      <c r="D868" t="str">
        <f>VLOOKUP(A868,MasterTutor!A:E,2,FALSE)</f>
        <v>Ela Cross</v>
      </c>
      <c r="E868" t="s">
        <v>363</v>
      </c>
      <c r="F868" s="2">
        <v>1.38</v>
      </c>
      <c r="G868" s="2">
        <v>1.42</v>
      </c>
      <c r="H868" s="2">
        <v>0.97</v>
      </c>
      <c r="I868" s="2">
        <v>0.93269999999999997</v>
      </c>
      <c r="J868" s="2">
        <v>0.65400000000000003</v>
      </c>
      <c r="K868">
        <v>12</v>
      </c>
    </row>
    <row r="869" spans="1:13" x14ac:dyDescent="0.2">
      <c r="A869" t="s">
        <v>71</v>
      </c>
      <c r="B869" t="str">
        <f>VLOOKUP(A869,MasterTutor!A:E,4,FALSE)</f>
        <v>Premium</v>
      </c>
      <c r="C869" t="str">
        <f>VLOOKUP(A869,MasterTutor!A:E,3,FALSE)</f>
        <v>Professional</v>
      </c>
      <c r="D869" t="str">
        <f>VLOOKUP(A869,MasterTutor!A:E,2,FALSE)</f>
        <v>Ian Plamondon</v>
      </c>
      <c r="E869" t="s">
        <v>363</v>
      </c>
      <c r="F869" s="2">
        <v>1.2</v>
      </c>
      <c r="G869" s="2">
        <v>1.35</v>
      </c>
      <c r="H869" s="2">
        <v>0.97019999999999995</v>
      </c>
      <c r="I869" s="2">
        <v>0.98909999999999998</v>
      </c>
      <c r="J869" s="2">
        <v>0.95799999999999996</v>
      </c>
      <c r="K869">
        <v>6</v>
      </c>
      <c r="L869" s="19" t="s">
        <v>337</v>
      </c>
      <c r="M869" s="21">
        <f>1/3</f>
        <v>0.33333333333333331</v>
      </c>
    </row>
    <row r="870" spans="1:13" x14ac:dyDescent="0.2">
      <c r="A870" t="s">
        <v>258</v>
      </c>
      <c r="B870" t="str">
        <f>VLOOKUP(A870,MasterTutor!A:E,4,FALSE)</f>
        <v>Advanced</v>
      </c>
      <c r="C870" t="str">
        <f>VLOOKUP(A870,MasterTutor!A:E,3,FALSE)</f>
        <v>Adjunct</v>
      </c>
      <c r="D870" t="str">
        <f>VLOOKUP(A870,MasterTutor!A:E,2,FALSE)</f>
        <v>Kristin Haase-Alvey</v>
      </c>
      <c r="E870" t="s">
        <v>363</v>
      </c>
      <c r="F870" s="2">
        <v>0.9</v>
      </c>
      <c r="G870" s="2">
        <v>1.44</v>
      </c>
      <c r="H870" s="2">
        <v>0.97919999999999996</v>
      </c>
      <c r="I870" s="2">
        <v>1</v>
      </c>
      <c r="J870" s="2">
        <v>0.57099999999999995</v>
      </c>
      <c r="K870">
        <v>1</v>
      </c>
    </row>
    <row r="871" spans="1:13" x14ac:dyDescent="0.2">
      <c r="A871" t="s">
        <v>72</v>
      </c>
      <c r="B871" t="str">
        <f>VLOOKUP(A871,MasterTutor!A:E,4,FALSE)</f>
        <v>Premium</v>
      </c>
      <c r="C871" t="str">
        <f>VLOOKUP(A871,MasterTutor!A:E,3,FALSE)</f>
        <v>Adjunct</v>
      </c>
      <c r="D871" t="str">
        <f>VLOOKUP(A871,MasterTutor!A:E,2,FALSE)</f>
        <v>Annelies de Groot</v>
      </c>
      <c r="E871" t="s">
        <v>363</v>
      </c>
      <c r="F871" s="2">
        <v>1.56</v>
      </c>
      <c r="G871" s="2">
        <v>1.27</v>
      </c>
      <c r="H871" s="2">
        <v>1</v>
      </c>
      <c r="I871" s="2">
        <v>0.98080000000000001</v>
      </c>
      <c r="J871" s="2">
        <v>1</v>
      </c>
      <c r="K871">
        <v>3</v>
      </c>
      <c r="L871" s="19">
        <v>1</v>
      </c>
      <c r="M871" s="21">
        <f>L871</f>
        <v>1</v>
      </c>
    </row>
    <row r="872" spans="1:13" x14ac:dyDescent="0.2">
      <c r="A872" t="s">
        <v>73</v>
      </c>
      <c r="B872" t="str">
        <f>VLOOKUP(A872,MasterTutor!A:E,4,FALSE)</f>
        <v>Advanced</v>
      </c>
      <c r="C872" t="str">
        <f>VLOOKUP(A872,MasterTutor!A:E,3,FALSE)</f>
        <v>Adjunct</v>
      </c>
      <c r="D872" t="str">
        <f>VLOOKUP(A872,MasterTutor!A:E,2,FALSE)</f>
        <v>Geoff St. Marie</v>
      </c>
      <c r="E872" t="s">
        <v>363</v>
      </c>
      <c r="F872" s="2">
        <v>0.99</v>
      </c>
      <c r="G872" s="2">
        <v>1.1599999999999999</v>
      </c>
      <c r="H872" s="2">
        <v>1</v>
      </c>
      <c r="I872" s="2">
        <v>0.94740000000000002</v>
      </c>
      <c r="J872" s="2">
        <v>0.9</v>
      </c>
      <c r="K872">
        <v>4</v>
      </c>
      <c r="L872" s="19">
        <v>1</v>
      </c>
      <c r="M872" s="21">
        <f>L872</f>
        <v>1</v>
      </c>
    </row>
    <row r="873" spans="1:13" x14ac:dyDescent="0.2">
      <c r="A873" t="s">
        <v>263</v>
      </c>
      <c r="B873" t="str">
        <f>VLOOKUP(A873,MasterTutor!A:E,4,FALSE)</f>
        <v>Advanced</v>
      </c>
      <c r="C873" t="str">
        <f>VLOOKUP(A873,MasterTutor!A:E,3,FALSE)</f>
        <v>Professional</v>
      </c>
      <c r="D873" t="str">
        <f>VLOOKUP(A873,MasterTutor!A:E,2,FALSE)</f>
        <v>Annelies de Groot</v>
      </c>
      <c r="E873" t="s">
        <v>363</v>
      </c>
      <c r="F873" s="2">
        <v>0.28000000000000003</v>
      </c>
      <c r="G873" s="2">
        <v>0.66</v>
      </c>
      <c r="H873" s="2">
        <v>0.97619999999999996</v>
      </c>
      <c r="I873" s="2">
        <v>1</v>
      </c>
      <c r="J873" s="2">
        <v>0.8</v>
      </c>
      <c r="K873" t="e">
        <v>#N/A</v>
      </c>
      <c r="L873" s="19" t="s">
        <v>330</v>
      </c>
      <c r="M873" s="21">
        <v>0.67</v>
      </c>
    </row>
    <row r="874" spans="1:13" x14ac:dyDescent="0.2">
      <c r="A874" t="s">
        <v>74</v>
      </c>
      <c r="B874" t="str">
        <f>VLOOKUP(A874,MasterTutor!A:E,4,FALSE)</f>
        <v>Distinguished</v>
      </c>
      <c r="C874" t="str">
        <f>VLOOKUP(A874,MasterTutor!A:E,3,FALSE)</f>
        <v>Adjunct</v>
      </c>
      <c r="D874" t="str">
        <f>VLOOKUP(A874,MasterTutor!A:E,2,FALSE)</f>
        <v>Ela Cross</v>
      </c>
      <c r="E874" t="s">
        <v>363</v>
      </c>
      <c r="F874" s="2">
        <v>0.96</v>
      </c>
      <c r="G874" s="2">
        <v>1.1200000000000001</v>
      </c>
      <c r="H874" s="2">
        <v>1</v>
      </c>
      <c r="I874" s="2">
        <v>0.78569999999999995</v>
      </c>
      <c r="J874" s="2">
        <v>0.4</v>
      </c>
      <c r="K874">
        <v>4</v>
      </c>
      <c r="L874" s="19">
        <v>1</v>
      </c>
      <c r="M874" s="21">
        <f>L874</f>
        <v>1</v>
      </c>
    </row>
    <row r="875" spans="1:13" x14ac:dyDescent="0.2">
      <c r="A875" t="s">
        <v>365</v>
      </c>
      <c r="B875" t="e">
        <f>VLOOKUP(A875,MasterTutor!A:E,4,FALSE)</f>
        <v>#N/A</v>
      </c>
      <c r="C875" t="e">
        <f>VLOOKUP(A875,MasterTutor!A:E,3,FALSE)</f>
        <v>#N/A</v>
      </c>
      <c r="D875" t="e">
        <f>VLOOKUP(A875,MasterTutor!A:E,2,FALSE)</f>
        <v>#N/A</v>
      </c>
      <c r="E875" t="s">
        <v>363</v>
      </c>
      <c r="F875" s="2">
        <v>0.04</v>
      </c>
      <c r="G875" s="2">
        <v>0.61</v>
      </c>
      <c r="H875" s="2">
        <v>1</v>
      </c>
      <c r="I875" s="2">
        <v>1</v>
      </c>
      <c r="J875" s="2">
        <v>1</v>
      </c>
      <c r="K875" t="e">
        <v>#N/A</v>
      </c>
      <c r="L875" s="19">
        <v>1</v>
      </c>
      <c r="M875" s="21">
        <f>L875</f>
        <v>1</v>
      </c>
    </row>
    <row r="876" spans="1:13" x14ac:dyDescent="0.2">
      <c r="A876" t="s">
        <v>75</v>
      </c>
      <c r="B876" t="str">
        <f>VLOOKUP(A876,MasterTutor!A:E,4,FALSE)</f>
        <v>Advanced</v>
      </c>
      <c r="C876" t="str">
        <f>VLOOKUP(A876,MasterTutor!A:E,3,FALSE)</f>
        <v>Professional</v>
      </c>
      <c r="D876" t="str">
        <f>VLOOKUP(A876,MasterTutor!A:E,2,FALSE)</f>
        <v>Geoff St. Marie</v>
      </c>
      <c r="E876" t="s">
        <v>363</v>
      </c>
      <c r="F876" s="2">
        <v>1</v>
      </c>
      <c r="G876" s="2">
        <v>1.1200000000000001</v>
      </c>
      <c r="H876" s="2">
        <v>0.96819999999999995</v>
      </c>
      <c r="I876" s="2">
        <v>0.98529999999999995</v>
      </c>
      <c r="J876" s="2">
        <v>0.73299999999999998</v>
      </c>
      <c r="K876">
        <v>4</v>
      </c>
      <c r="L876" s="19" t="s">
        <v>330</v>
      </c>
      <c r="M876" s="21">
        <v>0.67</v>
      </c>
    </row>
    <row r="877" spans="1:13" x14ac:dyDescent="0.2">
      <c r="A877" t="s">
        <v>265</v>
      </c>
      <c r="B877" t="str">
        <f>VLOOKUP(A877,MasterTutor!A:E,4,FALSE)</f>
        <v>Advanced</v>
      </c>
      <c r="C877" t="str">
        <f>VLOOKUP(A877,MasterTutor!A:E,3,FALSE)</f>
        <v>Adjunct</v>
      </c>
      <c r="D877" t="str">
        <f>VLOOKUP(A877,MasterTutor!A:E,2,FALSE)</f>
        <v>Kristin Haase-Alvey</v>
      </c>
      <c r="E877" t="s">
        <v>363</v>
      </c>
      <c r="F877" s="2">
        <v>0.38</v>
      </c>
      <c r="G877" s="2">
        <v>1.1299999999999999</v>
      </c>
      <c r="H877" s="2">
        <v>1</v>
      </c>
      <c r="I877" s="2">
        <v>1</v>
      </c>
      <c r="J877" s="2">
        <v>1</v>
      </c>
      <c r="K877">
        <v>1</v>
      </c>
      <c r="L877" s="19">
        <v>1</v>
      </c>
      <c r="M877" s="21">
        <f>L877</f>
        <v>1</v>
      </c>
    </row>
    <row r="878" spans="1:13" x14ac:dyDescent="0.2">
      <c r="A878" t="s">
        <v>76</v>
      </c>
      <c r="B878" t="e">
        <f>VLOOKUP(A878,MasterTutor!A:E,4,FALSE)</f>
        <v>#N/A</v>
      </c>
      <c r="C878" t="e">
        <f>VLOOKUP(A878,MasterTutor!A:E,3,FALSE)</f>
        <v>#N/A</v>
      </c>
      <c r="D878" t="e">
        <f>VLOOKUP(A878,MasterTutor!A:E,2,FALSE)</f>
        <v>#N/A</v>
      </c>
      <c r="E878" t="s">
        <v>363</v>
      </c>
      <c r="F878" s="2">
        <v>0.94</v>
      </c>
      <c r="G878" s="2">
        <v>1.19</v>
      </c>
      <c r="H878" s="2">
        <v>1</v>
      </c>
      <c r="I878" s="2">
        <v>0.96879999999999999</v>
      </c>
      <c r="J878" s="2">
        <v>0.75</v>
      </c>
      <c r="K878">
        <v>1</v>
      </c>
      <c r="L878" s="19" t="s">
        <v>330</v>
      </c>
      <c r="M878" s="21">
        <v>0.67</v>
      </c>
    </row>
    <row r="879" spans="1:13" x14ac:dyDescent="0.2">
      <c r="A879" t="s">
        <v>77</v>
      </c>
      <c r="B879" t="str">
        <f>VLOOKUP(A879,MasterTutor!A:E,4,FALSE)</f>
        <v>Distinguished</v>
      </c>
      <c r="C879" t="str">
        <f>VLOOKUP(A879,MasterTutor!A:E,3,FALSE)</f>
        <v>Professional</v>
      </c>
      <c r="D879" t="str">
        <f>VLOOKUP(A879,MasterTutor!A:E,2,FALSE)</f>
        <v>Ian Plamondon</v>
      </c>
      <c r="E879" t="s">
        <v>363</v>
      </c>
      <c r="F879" s="2">
        <v>0.85</v>
      </c>
      <c r="G879" s="2">
        <v>0.96</v>
      </c>
      <c r="H879" s="2">
        <v>0.99070000000000003</v>
      </c>
      <c r="I879" s="2">
        <v>0.96830000000000005</v>
      </c>
      <c r="J879" s="2">
        <v>0.69199999999999995</v>
      </c>
      <c r="K879">
        <v>1</v>
      </c>
      <c r="L879" s="19">
        <v>1</v>
      </c>
      <c r="M879" s="21">
        <f>L879</f>
        <v>1</v>
      </c>
    </row>
    <row r="880" spans="1:13" x14ac:dyDescent="0.2">
      <c r="A880" t="s">
        <v>78</v>
      </c>
      <c r="B880" t="str">
        <f>VLOOKUP(A880,MasterTutor!A:E,4,FALSE)</f>
        <v>Distinguished</v>
      </c>
      <c r="C880" t="str">
        <f>VLOOKUP(A880,MasterTutor!A:E,3,FALSE)</f>
        <v>Adjunct</v>
      </c>
      <c r="D880" t="str">
        <f>VLOOKUP(A880,MasterTutor!A:E,2,FALSE)</f>
        <v>Geoff St. Marie</v>
      </c>
      <c r="E880" t="s">
        <v>363</v>
      </c>
      <c r="F880" s="2">
        <v>0.63</v>
      </c>
      <c r="G880" s="2">
        <v>0.96</v>
      </c>
      <c r="H880" s="2">
        <v>1</v>
      </c>
      <c r="I880" s="2">
        <v>1</v>
      </c>
      <c r="J880" s="2">
        <v>1</v>
      </c>
      <c r="K880" t="e">
        <v>#N/A</v>
      </c>
      <c r="L880" s="19" t="s">
        <v>331</v>
      </c>
      <c r="M880" s="21">
        <v>0.5</v>
      </c>
    </row>
    <row r="881" spans="1:13" x14ac:dyDescent="0.2">
      <c r="A881" t="s">
        <v>79</v>
      </c>
      <c r="B881" t="str">
        <f>VLOOKUP(A881,MasterTutor!A:E,4,FALSE)</f>
        <v>Premium</v>
      </c>
      <c r="C881" t="str">
        <f>VLOOKUP(A881,MasterTutor!A:E,3,FALSE)</f>
        <v>Professional</v>
      </c>
      <c r="D881" t="str">
        <f>VLOOKUP(A881,MasterTutor!A:E,2,FALSE)</f>
        <v>Ian Plamondon</v>
      </c>
      <c r="E881" t="s">
        <v>363</v>
      </c>
      <c r="F881" s="2">
        <v>0.92</v>
      </c>
      <c r="G881" s="2">
        <v>1.1599999999999999</v>
      </c>
      <c r="H881" s="2">
        <v>0.99070000000000003</v>
      </c>
      <c r="I881" s="2">
        <v>0.96</v>
      </c>
      <c r="J881" s="2">
        <v>0.89500000000000002</v>
      </c>
      <c r="K881">
        <v>8</v>
      </c>
    </row>
    <row r="882" spans="1:13" x14ac:dyDescent="0.2">
      <c r="A882" t="s">
        <v>80</v>
      </c>
      <c r="B882" t="e">
        <f>VLOOKUP(A882,MasterTutor!A:E,4,FALSE)</f>
        <v>#N/A</v>
      </c>
      <c r="C882" t="e">
        <f>VLOOKUP(A882,MasterTutor!A:E,3,FALSE)</f>
        <v>#N/A</v>
      </c>
      <c r="D882" t="e">
        <f>VLOOKUP(A882,MasterTutor!A:E,2,FALSE)</f>
        <v>#N/A</v>
      </c>
      <c r="E882" t="s">
        <v>363</v>
      </c>
      <c r="F882" s="2">
        <v>0.71</v>
      </c>
      <c r="G882" s="2">
        <v>0.94</v>
      </c>
      <c r="H882" s="2">
        <v>0.99219999999999997</v>
      </c>
      <c r="I882" s="2">
        <v>0.92589999999999995</v>
      </c>
      <c r="J882" s="2">
        <v>0.375</v>
      </c>
      <c r="K882" t="e">
        <v>#N/A</v>
      </c>
      <c r="L882" s="19">
        <v>1</v>
      </c>
      <c r="M882" s="21">
        <f>L882</f>
        <v>1</v>
      </c>
    </row>
    <row r="883" spans="1:13" x14ac:dyDescent="0.2">
      <c r="A883" t="s">
        <v>81</v>
      </c>
      <c r="B883" t="str">
        <f>VLOOKUP(A883,MasterTutor!A:E,4,FALSE)</f>
        <v>Distinguished</v>
      </c>
      <c r="C883" t="str">
        <f>VLOOKUP(A883,MasterTutor!A:E,3,FALSE)</f>
        <v>Professional</v>
      </c>
      <c r="D883" t="str">
        <f>VLOOKUP(A883,MasterTutor!A:E,2,FALSE)</f>
        <v>Ian Plamondon</v>
      </c>
      <c r="E883" t="s">
        <v>363</v>
      </c>
      <c r="F883" s="2">
        <v>0.73</v>
      </c>
      <c r="G883" s="2">
        <v>1.04</v>
      </c>
      <c r="H883" s="2">
        <v>0.9667</v>
      </c>
      <c r="I883" s="2">
        <v>0.81130000000000002</v>
      </c>
      <c r="J883" s="2">
        <v>0.63600000000000001</v>
      </c>
      <c r="K883" t="e">
        <v>#N/A</v>
      </c>
      <c r="L883" s="19" t="s">
        <v>330</v>
      </c>
      <c r="M883" s="21">
        <v>0.67</v>
      </c>
    </row>
    <row r="884" spans="1:13" x14ac:dyDescent="0.2">
      <c r="A884" t="s">
        <v>268</v>
      </c>
      <c r="B884" t="str">
        <f>VLOOKUP(A884,MasterTutor!A:E,4,FALSE)</f>
        <v>Advanced</v>
      </c>
      <c r="C884" t="str">
        <f>VLOOKUP(A884,MasterTutor!A:E,3,FALSE)</f>
        <v xml:space="preserve">Adjunct </v>
      </c>
      <c r="D884" t="str">
        <f>VLOOKUP(A884,MasterTutor!A:E,2,FALSE)</f>
        <v>Kristin Haase-Alvey</v>
      </c>
      <c r="E884" t="s">
        <v>363</v>
      </c>
      <c r="F884" s="2">
        <v>0.7</v>
      </c>
      <c r="G884" s="2">
        <v>0.9</v>
      </c>
      <c r="H884" s="2">
        <v>0.99070000000000003</v>
      </c>
      <c r="I884" s="2">
        <v>0.93330000000000002</v>
      </c>
      <c r="J884" s="2">
        <v>0.6</v>
      </c>
      <c r="K884">
        <v>5</v>
      </c>
      <c r="L884" s="19" t="s">
        <v>360</v>
      </c>
      <c r="M884" s="21">
        <v>0.4</v>
      </c>
    </row>
    <row r="885" spans="1:13" x14ac:dyDescent="0.2">
      <c r="A885" t="s">
        <v>353</v>
      </c>
      <c r="B885" t="e">
        <f>VLOOKUP(A885,MasterTutor!A:E,4,FALSE)</f>
        <v>#N/A</v>
      </c>
      <c r="C885" t="e">
        <f>VLOOKUP(A885,MasterTutor!A:E,3,FALSE)</f>
        <v>#N/A</v>
      </c>
      <c r="D885" t="e">
        <f>VLOOKUP(A885,MasterTutor!A:E,2,FALSE)</f>
        <v>#N/A</v>
      </c>
      <c r="E885" t="s">
        <v>363</v>
      </c>
      <c r="F885" s="2">
        <v>0.96</v>
      </c>
      <c r="G885" s="2">
        <v>1.05</v>
      </c>
      <c r="H885" s="2">
        <v>0.9335</v>
      </c>
      <c r="I885" s="2">
        <v>0.95879999999999999</v>
      </c>
      <c r="J885" s="2">
        <v>0.38700000000000001</v>
      </c>
      <c r="K885">
        <v>8</v>
      </c>
    </row>
    <row r="886" spans="1:13" x14ac:dyDescent="0.2">
      <c r="A886" t="s">
        <v>82</v>
      </c>
      <c r="B886" t="str">
        <f>VLOOKUP(A886,MasterTutor!A:E,4,FALSE)</f>
        <v>Premium</v>
      </c>
      <c r="C886" t="str">
        <f>VLOOKUP(A886,MasterTutor!A:E,3,FALSE)</f>
        <v>Adjunct</v>
      </c>
      <c r="D886" t="str">
        <f>VLOOKUP(A886,MasterTutor!A:E,2,FALSE)</f>
        <v>Jessica Milner</v>
      </c>
      <c r="E886" t="s">
        <v>363</v>
      </c>
      <c r="F886" s="2">
        <v>0.54</v>
      </c>
      <c r="G886" s="2">
        <v>1.04</v>
      </c>
      <c r="H886" s="2">
        <v>1</v>
      </c>
      <c r="I886" s="2">
        <v>1</v>
      </c>
      <c r="J886" s="2">
        <v>0.85699999999999998</v>
      </c>
      <c r="K886">
        <v>2</v>
      </c>
    </row>
    <row r="887" spans="1:13" x14ac:dyDescent="0.2">
      <c r="A887" t="s">
        <v>83</v>
      </c>
      <c r="B887" t="str">
        <f>VLOOKUP(A887,MasterTutor!A:E,4,FALSE)</f>
        <v>Premium</v>
      </c>
      <c r="C887" t="str">
        <f>VLOOKUP(A887,MasterTutor!A:E,3,FALSE)</f>
        <v>Professional</v>
      </c>
      <c r="D887" t="str">
        <f>VLOOKUP(A887,MasterTutor!A:E,2,FALSE)</f>
        <v>Jessica Milner</v>
      </c>
      <c r="E887" t="s">
        <v>363</v>
      </c>
      <c r="F887" s="2">
        <v>1.1599999999999999</v>
      </c>
      <c r="G887" s="2">
        <v>1.67</v>
      </c>
      <c r="H887" s="2">
        <v>0.98960000000000004</v>
      </c>
      <c r="I887" s="2">
        <v>0.89739999999999998</v>
      </c>
      <c r="J887" s="2">
        <v>0.75</v>
      </c>
      <c r="K887">
        <v>2</v>
      </c>
    </row>
    <row r="888" spans="1:13" x14ac:dyDescent="0.2">
      <c r="A888" t="s">
        <v>84</v>
      </c>
      <c r="B888" t="str">
        <f>VLOOKUP(A888,MasterTutor!A:E,4,FALSE)</f>
        <v>Advanced</v>
      </c>
      <c r="C888" t="str">
        <f>VLOOKUP(A888,MasterTutor!A:E,3,FALSE)</f>
        <v>Professional</v>
      </c>
      <c r="D888" t="str">
        <f>VLOOKUP(A888,MasterTutor!A:E,2,FALSE)</f>
        <v>Kristin Haase-Alvey</v>
      </c>
      <c r="E888" t="s">
        <v>363</v>
      </c>
      <c r="F888" s="2">
        <v>0.98</v>
      </c>
      <c r="G888" s="2">
        <v>1</v>
      </c>
      <c r="H888" s="2">
        <v>0.98909999999999998</v>
      </c>
      <c r="I888" s="2">
        <v>0.96389999999999998</v>
      </c>
      <c r="J888" s="2">
        <v>0.85699999999999998</v>
      </c>
      <c r="K888">
        <v>7</v>
      </c>
      <c r="L888" s="19" t="s">
        <v>331</v>
      </c>
      <c r="M888" s="21">
        <v>0.5</v>
      </c>
    </row>
    <row r="889" spans="1:13" x14ac:dyDescent="0.2">
      <c r="A889" t="s">
        <v>85</v>
      </c>
      <c r="B889" t="str">
        <f>VLOOKUP(A889,MasterTutor!A:E,4,FALSE)</f>
        <v>Premium</v>
      </c>
      <c r="C889" t="str">
        <f>VLOOKUP(A889,MasterTutor!A:E,3,FALSE)</f>
        <v>Professional</v>
      </c>
      <c r="D889" t="str">
        <f>VLOOKUP(A889,MasterTutor!A:E,2,FALSE)</f>
        <v>Ian Plamondon</v>
      </c>
      <c r="E889" t="s">
        <v>363</v>
      </c>
      <c r="F889" s="2">
        <v>1.19</v>
      </c>
      <c r="G889" s="2">
        <v>1.58</v>
      </c>
      <c r="H889" s="2">
        <v>1</v>
      </c>
      <c r="I889" s="2">
        <v>0.95789999999999997</v>
      </c>
      <c r="J889" s="2">
        <v>0.96</v>
      </c>
      <c r="K889">
        <v>6</v>
      </c>
      <c r="L889" s="19" t="s">
        <v>338</v>
      </c>
      <c r="M889" s="21">
        <v>0.8</v>
      </c>
    </row>
    <row r="890" spans="1:13" x14ac:dyDescent="0.2">
      <c r="A890" t="s">
        <v>86</v>
      </c>
      <c r="B890" t="e">
        <f>VLOOKUP(A890,MasterTutor!A:E,4,FALSE)</f>
        <v>#N/A</v>
      </c>
      <c r="C890" t="e">
        <f>VLOOKUP(A890,MasterTutor!A:E,3,FALSE)</f>
        <v>#N/A</v>
      </c>
      <c r="D890" t="e">
        <f>VLOOKUP(A890,MasterTutor!A:E,2,FALSE)</f>
        <v>#N/A</v>
      </c>
      <c r="E890" t="s">
        <v>363</v>
      </c>
      <c r="F890" s="2">
        <v>1.07</v>
      </c>
      <c r="G890" s="2">
        <v>1.07</v>
      </c>
      <c r="H890" s="2">
        <v>0.84940000000000004</v>
      </c>
      <c r="I890" s="2">
        <v>1</v>
      </c>
      <c r="J890" s="2">
        <v>0.88900000000000001</v>
      </c>
      <c r="K890">
        <v>1</v>
      </c>
    </row>
    <row r="891" spans="1:13" x14ac:dyDescent="0.2">
      <c r="A891" t="s">
        <v>87</v>
      </c>
      <c r="B891" t="str">
        <f>VLOOKUP(A891,MasterTutor!A:E,4,FALSE)</f>
        <v>Advanced</v>
      </c>
      <c r="C891" t="str">
        <f>VLOOKUP(A891,MasterTutor!A:E,3,FALSE)</f>
        <v>Adjunct</v>
      </c>
      <c r="D891" t="str">
        <f>VLOOKUP(A891,MasterTutor!A:E,2,FALSE)</f>
        <v>Ela Cross</v>
      </c>
      <c r="E891" t="s">
        <v>363</v>
      </c>
      <c r="F891" s="2">
        <v>0.92</v>
      </c>
      <c r="G891" s="2">
        <v>0.88</v>
      </c>
      <c r="H891" s="2">
        <v>0.97899999999999998</v>
      </c>
      <c r="I891" s="2">
        <v>0.97099999999999997</v>
      </c>
      <c r="J891" s="2">
        <v>0.89500000000000002</v>
      </c>
      <c r="K891">
        <v>5</v>
      </c>
      <c r="L891" s="19">
        <v>1</v>
      </c>
      <c r="M891" s="21">
        <f>L891</f>
        <v>1</v>
      </c>
    </row>
    <row r="892" spans="1:13" x14ac:dyDescent="0.2">
      <c r="A892" t="s">
        <v>88</v>
      </c>
      <c r="B892" t="str">
        <f>VLOOKUP(A892,MasterTutor!A:E,4,FALSE)</f>
        <v>Distinguished</v>
      </c>
      <c r="C892" t="str">
        <f>VLOOKUP(A892,MasterTutor!A:E,3,FALSE)</f>
        <v>Professional</v>
      </c>
      <c r="D892" t="str">
        <f>VLOOKUP(A892,MasterTutor!A:E,2,FALSE)</f>
        <v>Ian Plamondon</v>
      </c>
      <c r="E892" t="s">
        <v>363</v>
      </c>
      <c r="F892" s="2">
        <v>1.48</v>
      </c>
      <c r="G892" s="2">
        <v>1.46</v>
      </c>
      <c r="H892" s="2">
        <v>0.99050000000000005</v>
      </c>
      <c r="I892" s="2">
        <v>0.99209999999999998</v>
      </c>
      <c r="J892" s="2">
        <v>0.89700000000000002</v>
      </c>
      <c r="K892">
        <v>8</v>
      </c>
      <c r="L892" s="19" t="s">
        <v>330</v>
      </c>
      <c r="M892" s="21">
        <v>0.67</v>
      </c>
    </row>
    <row r="893" spans="1:13" x14ac:dyDescent="0.2">
      <c r="A893" t="s">
        <v>272</v>
      </c>
      <c r="B893" t="str">
        <f>VLOOKUP(A893,MasterTutor!A:E,4,FALSE)</f>
        <v>Advanced</v>
      </c>
      <c r="C893" t="str">
        <f>VLOOKUP(A893,MasterTutor!A:E,3,FALSE)</f>
        <v xml:space="preserve">Professional </v>
      </c>
      <c r="D893" t="str">
        <f>VLOOKUP(A893,MasterTutor!A:E,2,FALSE)</f>
        <v>Ian Plamondon</v>
      </c>
      <c r="E893" t="s">
        <v>363</v>
      </c>
      <c r="F893" s="2">
        <v>0.72</v>
      </c>
      <c r="G893" s="2">
        <v>0.92</v>
      </c>
      <c r="H893" s="2">
        <v>0.94869999999999999</v>
      </c>
      <c r="I893" s="2">
        <v>0.65849999999999997</v>
      </c>
      <c r="J893" s="2">
        <v>0.27300000000000002</v>
      </c>
      <c r="K893">
        <v>3</v>
      </c>
      <c r="L893" s="19" t="s">
        <v>331</v>
      </c>
      <c r="M893" s="21">
        <v>0.5</v>
      </c>
    </row>
    <row r="894" spans="1:13" x14ac:dyDescent="0.2">
      <c r="A894" t="s">
        <v>89</v>
      </c>
      <c r="B894" t="e">
        <f>VLOOKUP(A894,MasterTutor!A:E,4,FALSE)</f>
        <v>#N/A</v>
      </c>
      <c r="C894" t="e">
        <f>VLOOKUP(A894,MasterTutor!A:E,3,FALSE)</f>
        <v>#N/A</v>
      </c>
      <c r="D894" t="e">
        <f>VLOOKUP(A894,MasterTutor!A:E,2,FALSE)</f>
        <v>#N/A</v>
      </c>
      <c r="E894" t="s">
        <v>363</v>
      </c>
      <c r="F894" s="2">
        <v>0.47</v>
      </c>
      <c r="G894" s="2">
        <v>0.52</v>
      </c>
      <c r="H894" s="2">
        <v>1</v>
      </c>
      <c r="I894" s="2">
        <v>0.77780000000000005</v>
      </c>
      <c r="J894" s="2">
        <v>0.625</v>
      </c>
      <c r="K894" t="e">
        <v>#N/A</v>
      </c>
    </row>
    <row r="895" spans="1:13" x14ac:dyDescent="0.2">
      <c r="A895" t="s">
        <v>90</v>
      </c>
      <c r="B895" t="str">
        <f>VLOOKUP(A895,MasterTutor!A:E,4,FALSE)</f>
        <v>Advanced</v>
      </c>
      <c r="C895" t="str">
        <f>VLOOKUP(A895,MasterTutor!A:E,3,FALSE)</f>
        <v>Adjunct</v>
      </c>
      <c r="D895" t="str">
        <f>VLOOKUP(A895,MasterTutor!A:E,2,FALSE)</f>
        <v>Ela Cross</v>
      </c>
      <c r="E895" t="s">
        <v>363</v>
      </c>
      <c r="F895" s="2">
        <v>1.1000000000000001</v>
      </c>
      <c r="G895" s="2">
        <v>1.38</v>
      </c>
      <c r="H895" s="2">
        <v>0.91969999999999996</v>
      </c>
      <c r="I895" s="2">
        <v>1</v>
      </c>
      <c r="J895" s="2">
        <v>0.46700000000000003</v>
      </c>
      <c r="K895">
        <v>3</v>
      </c>
      <c r="L895" s="19">
        <v>1</v>
      </c>
      <c r="M895" s="21">
        <f>L895</f>
        <v>1</v>
      </c>
    </row>
    <row r="896" spans="1:13" x14ac:dyDescent="0.2">
      <c r="A896" t="s">
        <v>92</v>
      </c>
      <c r="B896" t="str">
        <f>VLOOKUP(A896,MasterTutor!A:E,4,FALSE)</f>
        <v>Premium</v>
      </c>
      <c r="C896" t="str">
        <f>VLOOKUP(A896,MasterTutor!A:E,3,FALSE)</f>
        <v>Professional</v>
      </c>
      <c r="D896" t="str">
        <f>VLOOKUP(A896,MasterTutor!A:E,2,FALSE)</f>
        <v>Ian Plamondon</v>
      </c>
      <c r="E896" t="s">
        <v>363</v>
      </c>
      <c r="F896" s="2">
        <v>0.48</v>
      </c>
      <c r="G896" s="2">
        <v>0.7</v>
      </c>
      <c r="H896" s="2">
        <v>1</v>
      </c>
      <c r="I896" s="2">
        <v>0.97060000000000002</v>
      </c>
      <c r="J896" s="2">
        <v>0.69199999999999995</v>
      </c>
      <c r="K896">
        <v>1</v>
      </c>
      <c r="L896" s="19">
        <v>0</v>
      </c>
      <c r="M896" s="21">
        <f>L896</f>
        <v>0</v>
      </c>
    </row>
    <row r="897" spans="1:13" x14ac:dyDescent="0.2">
      <c r="A897" t="s">
        <v>93</v>
      </c>
      <c r="B897" t="str">
        <f>VLOOKUP(A897,MasterTutor!A:E,4,FALSE)</f>
        <v>Advanced</v>
      </c>
      <c r="C897" t="str">
        <f>VLOOKUP(A897,MasterTutor!A:E,3,FALSE)</f>
        <v>Professional</v>
      </c>
      <c r="D897" t="str">
        <f>VLOOKUP(A897,MasterTutor!A:E,2,FALSE)</f>
        <v>Ian Plamondon</v>
      </c>
      <c r="E897" t="s">
        <v>363</v>
      </c>
      <c r="F897" s="2">
        <v>1.06</v>
      </c>
      <c r="G897" s="2">
        <v>1.0900000000000001</v>
      </c>
      <c r="H897" s="2">
        <v>1</v>
      </c>
      <c r="I897" s="2">
        <v>0.88180000000000003</v>
      </c>
      <c r="J897" s="2">
        <v>0.78600000000000003</v>
      </c>
      <c r="K897">
        <v>9</v>
      </c>
      <c r="L897" s="19">
        <v>1</v>
      </c>
      <c r="M897" s="21">
        <f>L897</f>
        <v>1</v>
      </c>
    </row>
    <row r="898" spans="1:13" x14ac:dyDescent="0.2">
      <c r="A898" t="s">
        <v>94</v>
      </c>
      <c r="B898" t="str">
        <f>VLOOKUP(A898,MasterTutor!A:E,4,FALSE)</f>
        <v>Premium</v>
      </c>
      <c r="C898" t="str">
        <f>VLOOKUP(A898,MasterTutor!A:E,3,FALSE)</f>
        <v>Professional</v>
      </c>
      <c r="D898" t="str">
        <f>VLOOKUP(A898,MasterTutor!A:E,2,FALSE)</f>
        <v>Jessica Milner</v>
      </c>
      <c r="E898" t="s">
        <v>363</v>
      </c>
      <c r="F898" s="2">
        <v>1.1200000000000001</v>
      </c>
      <c r="G898" s="2">
        <v>1.1299999999999999</v>
      </c>
      <c r="H898" s="2">
        <v>0.96279999999999999</v>
      </c>
      <c r="I898" s="2">
        <v>0.93899999999999995</v>
      </c>
      <c r="J898" s="2">
        <v>0.23499999999999999</v>
      </c>
      <c r="K898">
        <v>5</v>
      </c>
      <c r="L898" s="19">
        <v>1</v>
      </c>
      <c r="M898" s="21">
        <f>L898</f>
        <v>1</v>
      </c>
    </row>
    <row r="899" spans="1:13" x14ac:dyDescent="0.2">
      <c r="A899" t="s">
        <v>95</v>
      </c>
      <c r="B899" t="str">
        <f>VLOOKUP(A899,MasterTutor!A:E,4,FALSE)</f>
        <v>Advanced</v>
      </c>
      <c r="C899" t="str">
        <f>VLOOKUP(A899,MasterTutor!A:E,3,FALSE)</f>
        <v>Professional</v>
      </c>
      <c r="D899" t="str">
        <f>VLOOKUP(A899,MasterTutor!A:E,2,FALSE)</f>
        <v>Kristin Haase-Alvey</v>
      </c>
      <c r="E899" t="s">
        <v>363</v>
      </c>
      <c r="F899" s="2">
        <v>0.82</v>
      </c>
      <c r="G899" s="2">
        <v>0.76</v>
      </c>
      <c r="H899" s="2">
        <v>0.90749999999999997</v>
      </c>
      <c r="I899" s="2">
        <v>0.84930000000000005</v>
      </c>
      <c r="J899" s="2">
        <v>0.47099999999999997</v>
      </c>
      <c r="K899">
        <v>7</v>
      </c>
    </row>
    <row r="900" spans="1:13" x14ac:dyDescent="0.2">
      <c r="A900" t="s">
        <v>96</v>
      </c>
      <c r="B900" t="str">
        <f>VLOOKUP(A900,MasterTutor!A:E,4,FALSE)</f>
        <v>Distinguished</v>
      </c>
      <c r="C900" t="str">
        <f>VLOOKUP(A900,MasterTutor!A:E,3,FALSE)</f>
        <v>Adjunct</v>
      </c>
      <c r="D900" t="str">
        <f>VLOOKUP(A900,MasterTutor!A:E,2,FALSE)</f>
        <v>Kristin Haase-Alvey</v>
      </c>
      <c r="E900" t="s">
        <v>363</v>
      </c>
      <c r="F900" s="2">
        <v>0.75</v>
      </c>
      <c r="G900" s="2">
        <v>1.0900000000000001</v>
      </c>
      <c r="H900" s="2">
        <v>1</v>
      </c>
      <c r="I900" s="2">
        <v>1</v>
      </c>
      <c r="J900" s="2">
        <v>0.93799999999999994</v>
      </c>
      <c r="K900">
        <v>4</v>
      </c>
    </row>
    <row r="901" spans="1:13" x14ac:dyDescent="0.2">
      <c r="A901" t="s">
        <v>97</v>
      </c>
      <c r="B901" t="str">
        <f>VLOOKUP(A901,MasterTutor!A:E,4,FALSE)</f>
        <v>Advanced</v>
      </c>
      <c r="C901" t="str">
        <f>VLOOKUP(A901,MasterTutor!A:E,3,FALSE)</f>
        <v>Professional</v>
      </c>
      <c r="D901" t="str">
        <f>VLOOKUP(A901,MasterTutor!A:E,2,FALSE)</f>
        <v>Kristin Haase-Alvey</v>
      </c>
      <c r="E901" t="s">
        <v>363</v>
      </c>
      <c r="F901" s="2">
        <v>0.8</v>
      </c>
      <c r="G901" s="2">
        <v>1.03</v>
      </c>
      <c r="H901" s="2">
        <v>1</v>
      </c>
      <c r="I901" s="2">
        <v>0.96970000000000001</v>
      </c>
      <c r="J901" s="2">
        <v>0.72199999999999998</v>
      </c>
      <c r="K901">
        <v>4</v>
      </c>
      <c r="L901" s="19">
        <v>1</v>
      </c>
      <c r="M901" s="21">
        <f>L901</f>
        <v>1</v>
      </c>
    </row>
    <row r="902" spans="1:13" x14ac:dyDescent="0.2">
      <c r="A902" t="s">
        <v>98</v>
      </c>
      <c r="B902" t="str">
        <f>VLOOKUP(A902,MasterTutor!A:E,4,FALSE)</f>
        <v>Premium</v>
      </c>
      <c r="C902" t="str">
        <f>VLOOKUP(A902,MasterTutor!A:E,3,FALSE)</f>
        <v>Adjunct</v>
      </c>
      <c r="D902" t="str">
        <f>VLOOKUP(A902,MasterTutor!A:E,2,FALSE)</f>
        <v>Ela Cross</v>
      </c>
      <c r="E902" t="s">
        <v>363</v>
      </c>
      <c r="F902" s="2">
        <v>0.78</v>
      </c>
      <c r="G902" s="2">
        <v>1.18</v>
      </c>
      <c r="H902" s="2">
        <v>1</v>
      </c>
      <c r="I902" s="2">
        <v>1</v>
      </c>
      <c r="J902" s="2">
        <v>0.88900000000000001</v>
      </c>
      <c r="K902" t="e">
        <v>#N/A</v>
      </c>
      <c r="L902" s="19">
        <v>1</v>
      </c>
      <c r="M902" s="21">
        <f>L902</f>
        <v>1</v>
      </c>
    </row>
    <row r="903" spans="1:13" x14ac:dyDescent="0.2">
      <c r="A903" t="s">
        <v>99</v>
      </c>
      <c r="B903" t="e">
        <f>VLOOKUP(A903,MasterTutor!A:E,4,FALSE)</f>
        <v>#N/A</v>
      </c>
      <c r="C903" t="e">
        <f>VLOOKUP(A903,MasterTutor!A:E,3,FALSE)</f>
        <v>#N/A</v>
      </c>
      <c r="D903" t="e">
        <f>VLOOKUP(A903,MasterTutor!A:E,2,FALSE)</f>
        <v>#N/A</v>
      </c>
      <c r="E903" t="s">
        <v>363</v>
      </c>
      <c r="F903" s="2">
        <v>0.13</v>
      </c>
      <c r="G903" s="2">
        <v>1.04</v>
      </c>
      <c r="H903" s="2">
        <v>0.97219999999999995</v>
      </c>
      <c r="I903" s="2">
        <v>0.625</v>
      </c>
      <c r="J903" s="2">
        <v>1</v>
      </c>
      <c r="K903">
        <v>3</v>
      </c>
    </row>
    <row r="904" spans="1:13" x14ac:dyDescent="0.2">
      <c r="A904" t="s">
        <v>100</v>
      </c>
      <c r="B904" t="str">
        <f>VLOOKUP(A904,MasterTutor!A:E,4,FALSE)</f>
        <v>Premium</v>
      </c>
      <c r="C904" t="str">
        <f>VLOOKUP(A904,MasterTutor!A:E,3,FALSE)</f>
        <v>Adjunct</v>
      </c>
      <c r="D904" t="str">
        <f>VLOOKUP(A904,MasterTutor!A:E,2,FALSE)</f>
        <v>Annelies de Groot</v>
      </c>
      <c r="E904" t="s">
        <v>363</v>
      </c>
      <c r="F904" s="2">
        <v>1.4</v>
      </c>
      <c r="G904" s="2">
        <v>1.3</v>
      </c>
      <c r="H904" s="2">
        <v>0.98609999999999998</v>
      </c>
      <c r="I904" s="2">
        <v>0.97440000000000004</v>
      </c>
      <c r="J904" s="2">
        <v>0.9</v>
      </c>
      <c r="K904">
        <v>3</v>
      </c>
    </row>
    <row r="905" spans="1:13" x14ac:dyDescent="0.2">
      <c r="A905" t="s">
        <v>101</v>
      </c>
      <c r="B905" t="str">
        <f>VLOOKUP(A905,MasterTutor!A:E,4,FALSE)</f>
        <v>Advanced</v>
      </c>
      <c r="C905" t="str">
        <f>VLOOKUP(A905,MasterTutor!A:E,3,FALSE)</f>
        <v>Professional</v>
      </c>
      <c r="D905" t="str">
        <f>VLOOKUP(A905,MasterTutor!A:E,2,FALSE)</f>
        <v>Kristin Haase-Alvey</v>
      </c>
      <c r="E905" t="s">
        <v>363</v>
      </c>
      <c r="F905" s="2">
        <v>0.86</v>
      </c>
      <c r="G905" s="2">
        <v>1.03</v>
      </c>
      <c r="H905" s="2">
        <v>0.97060000000000002</v>
      </c>
      <c r="I905" s="2">
        <v>1</v>
      </c>
      <c r="J905" s="2">
        <v>0.72699999999999998</v>
      </c>
      <c r="K905">
        <v>7</v>
      </c>
      <c r="L905" s="19" t="s">
        <v>337</v>
      </c>
      <c r="M905" s="21">
        <f>1/3</f>
        <v>0.33333333333333331</v>
      </c>
    </row>
    <row r="906" spans="1:13" x14ac:dyDescent="0.2">
      <c r="A906" t="s">
        <v>102</v>
      </c>
      <c r="B906" t="e">
        <f>VLOOKUP(A906,MasterTutor!A:E,4,FALSE)</f>
        <v>#N/A</v>
      </c>
      <c r="C906" t="e">
        <f>VLOOKUP(A906,MasterTutor!A:E,3,FALSE)</f>
        <v>#N/A</v>
      </c>
      <c r="D906" t="e">
        <f>VLOOKUP(A906,MasterTutor!A:E,2,FALSE)</f>
        <v>#N/A</v>
      </c>
      <c r="E906" t="s">
        <v>363</v>
      </c>
      <c r="F906" s="2">
        <v>1.02</v>
      </c>
      <c r="G906" s="2">
        <v>1.05</v>
      </c>
      <c r="H906" s="2">
        <v>0.93720000000000003</v>
      </c>
      <c r="I906" s="2">
        <v>0.78790000000000004</v>
      </c>
      <c r="J906" s="2">
        <v>0.75</v>
      </c>
      <c r="K906">
        <v>1</v>
      </c>
      <c r="L906" s="19" t="s">
        <v>330</v>
      </c>
      <c r="M906" s="21">
        <v>0.67</v>
      </c>
    </row>
    <row r="907" spans="1:13" x14ac:dyDescent="0.2">
      <c r="A907" t="s">
        <v>103</v>
      </c>
      <c r="B907" t="str">
        <f>VLOOKUP(A907,MasterTutor!A:E,4,FALSE)</f>
        <v>Distinguished</v>
      </c>
      <c r="C907" t="str">
        <f>VLOOKUP(A907,MasterTutor!A:E,3,FALSE)</f>
        <v>Adjunct</v>
      </c>
      <c r="D907" t="str">
        <f>VLOOKUP(A907,MasterTutor!A:E,2,FALSE)</f>
        <v>Kristin Haase-Alvey</v>
      </c>
      <c r="E907" t="s">
        <v>363</v>
      </c>
      <c r="F907" s="2">
        <v>0.88</v>
      </c>
      <c r="G907" s="2">
        <v>1.1399999999999999</v>
      </c>
      <c r="H907" s="2">
        <v>1</v>
      </c>
      <c r="I907" s="2">
        <v>1</v>
      </c>
      <c r="J907" s="2">
        <v>0.25</v>
      </c>
      <c r="K907">
        <v>5</v>
      </c>
    </row>
    <row r="908" spans="1:13" x14ac:dyDescent="0.2">
      <c r="A908" t="s">
        <v>104</v>
      </c>
      <c r="B908" t="e">
        <f>VLOOKUP(A908,MasterTutor!A:E,4,FALSE)</f>
        <v>#N/A</v>
      </c>
      <c r="C908" t="e">
        <f>VLOOKUP(A908,MasterTutor!A:E,3,FALSE)</f>
        <v>#N/A</v>
      </c>
      <c r="D908" t="e">
        <f>VLOOKUP(A908,MasterTutor!A:E,2,FALSE)</f>
        <v>#N/A</v>
      </c>
      <c r="E908" t="s">
        <v>363</v>
      </c>
      <c r="F908" s="2">
        <v>0.91</v>
      </c>
      <c r="G908" s="2">
        <v>1.2</v>
      </c>
      <c r="H908" s="2">
        <v>0.94969999999999999</v>
      </c>
      <c r="I908" s="2">
        <v>0.96970000000000001</v>
      </c>
      <c r="J908" s="2">
        <v>0.35699999999999998</v>
      </c>
      <c r="K908">
        <v>3</v>
      </c>
      <c r="L908" s="19" t="s">
        <v>330</v>
      </c>
      <c r="M908" s="21">
        <v>0.67</v>
      </c>
    </row>
    <row r="909" spans="1:13" x14ac:dyDescent="0.2">
      <c r="A909" t="s">
        <v>105</v>
      </c>
      <c r="B909" t="str">
        <f>VLOOKUP(A909,MasterTutor!A:E,4,FALSE)</f>
        <v>Advanced</v>
      </c>
      <c r="C909" t="str">
        <f>VLOOKUP(A909,MasterTutor!A:E,3,FALSE)</f>
        <v>Adjunct</v>
      </c>
      <c r="D909" t="str">
        <f>VLOOKUP(A909,MasterTutor!A:E,2,FALSE)</f>
        <v>Annelies de Groot</v>
      </c>
      <c r="E909" t="s">
        <v>363</v>
      </c>
      <c r="F909" s="2">
        <v>0.6</v>
      </c>
      <c r="G909" s="2">
        <v>1.06</v>
      </c>
      <c r="H909" s="2">
        <v>0.94169999999999998</v>
      </c>
      <c r="I909" s="2">
        <v>1</v>
      </c>
      <c r="J909" s="2">
        <v>0.33300000000000002</v>
      </c>
      <c r="K909">
        <v>2</v>
      </c>
      <c r="L909" s="19">
        <v>0</v>
      </c>
      <c r="M909" s="21">
        <f>L909</f>
        <v>0</v>
      </c>
    </row>
    <row r="910" spans="1:13" x14ac:dyDescent="0.2">
      <c r="A910" t="s">
        <v>276</v>
      </c>
      <c r="B910" t="str">
        <f>VLOOKUP(A910,MasterTutor!A:E,4,FALSE)</f>
        <v>Advanced</v>
      </c>
      <c r="C910" t="str">
        <f>VLOOKUP(A910,MasterTutor!A:E,3,FALSE)</f>
        <v xml:space="preserve">Professional </v>
      </c>
      <c r="D910" t="str">
        <f>VLOOKUP(A910,MasterTutor!A:E,2,FALSE)</f>
        <v>Ian Plamondon</v>
      </c>
      <c r="E910" t="s">
        <v>363</v>
      </c>
      <c r="F910" s="2">
        <v>0.05</v>
      </c>
      <c r="G910" s="2">
        <v>0.59</v>
      </c>
      <c r="H910" s="2">
        <v>1</v>
      </c>
      <c r="I910" s="2">
        <v>0.33329999999999999</v>
      </c>
      <c r="J910" s="2">
        <v>0.83299999999999996</v>
      </c>
      <c r="K910" t="e">
        <v>#N/A</v>
      </c>
      <c r="L910" s="19">
        <v>0</v>
      </c>
      <c r="M910" s="21">
        <f>L910</f>
        <v>0</v>
      </c>
    </row>
    <row r="911" spans="1:13" x14ac:dyDescent="0.2">
      <c r="A911" t="s">
        <v>106</v>
      </c>
      <c r="B911" t="e">
        <f>VLOOKUP(A911,MasterTutor!A:E,4,FALSE)</f>
        <v>#N/A</v>
      </c>
      <c r="C911" t="e">
        <f>VLOOKUP(A911,MasterTutor!A:E,3,FALSE)</f>
        <v>#N/A</v>
      </c>
      <c r="D911" t="e">
        <f>VLOOKUP(A911,MasterTutor!A:E,2,FALSE)</f>
        <v>#N/A</v>
      </c>
      <c r="E911" t="s">
        <v>363</v>
      </c>
      <c r="F911" s="2">
        <v>0.36</v>
      </c>
      <c r="G911" s="2">
        <v>0.75</v>
      </c>
      <c r="H911" s="2">
        <v>1</v>
      </c>
      <c r="I911" s="2">
        <v>1</v>
      </c>
      <c r="J911" s="2">
        <v>0</v>
      </c>
      <c r="K911">
        <v>2</v>
      </c>
    </row>
    <row r="912" spans="1:13" x14ac:dyDescent="0.2">
      <c r="A912" t="s">
        <v>107</v>
      </c>
      <c r="B912" t="str">
        <f>VLOOKUP(A912,MasterTutor!A:E,4,FALSE)</f>
        <v>Distinguished</v>
      </c>
      <c r="C912" t="str">
        <f>VLOOKUP(A912,MasterTutor!A:E,3,FALSE)</f>
        <v>Professional</v>
      </c>
      <c r="D912" t="str">
        <f>VLOOKUP(A912,MasterTutor!A:E,2,FALSE)</f>
        <v>Ian Plamondon</v>
      </c>
      <c r="E912" t="s">
        <v>363</v>
      </c>
      <c r="F912" s="2">
        <v>0.98</v>
      </c>
      <c r="G912" s="2">
        <v>1.32</v>
      </c>
      <c r="H912" s="2">
        <v>1</v>
      </c>
      <c r="I912" s="2">
        <v>0.91669999999999996</v>
      </c>
      <c r="J912" s="2">
        <v>0.7</v>
      </c>
      <c r="K912">
        <v>5</v>
      </c>
    </row>
    <row r="913" spans="1:13" x14ac:dyDescent="0.2">
      <c r="A913" t="s">
        <v>108</v>
      </c>
      <c r="B913" t="str">
        <f>VLOOKUP(A913,MasterTutor!A:E,4,FALSE)</f>
        <v>Advanced</v>
      </c>
      <c r="C913" t="str">
        <f>VLOOKUP(A913,MasterTutor!A:E,3,FALSE)</f>
        <v>Professional</v>
      </c>
      <c r="D913" t="str">
        <f>VLOOKUP(A913,MasterTutor!A:E,2,FALSE)</f>
        <v>Geoff St. Marie</v>
      </c>
      <c r="E913" t="s">
        <v>363</v>
      </c>
      <c r="F913" s="2">
        <v>1</v>
      </c>
      <c r="G913" s="2">
        <v>1.25</v>
      </c>
      <c r="H913" s="2">
        <v>0.9919</v>
      </c>
      <c r="I913" s="2">
        <v>0.98699999999999999</v>
      </c>
      <c r="J913" s="2">
        <v>0.74099999999999999</v>
      </c>
      <c r="K913">
        <v>3</v>
      </c>
      <c r="L913" s="19" t="s">
        <v>329</v>
      </c>
      <c r="M913" s="21">
        <v>0.75</v>
      </c>
    </row>
    <row r="914" spans="1:13" x14ac:dyDescent="0.2">
      <c r="A914" t="s">
        <v>110</v>
      </c>
      <c r="B914" t="e">
        <f>VLOOKUP(A914,MasterTutor!A:E,4,FALSE)</f>
        <v>#N/A</v>
      </c>
      <c r="C914" t="e">
        <f>VLOOKUP(A914,MasterTutor!A:E,3,FALSE)</f>
        <v>#N/A</v>
      </c>
      <c r="D914" t="e">
        <f>VLOOKUP(A914,MasterTutor!A:E,2,FALSE)</f>
        <v>#N/A</v>
      </c>
      <c r="E914" t="s">
        <v>363</v>
      </c>
      <c r="F914" s="2">
        <v>0.99</v>
      </c>
      <c r="G914" s="2">
        <v>1.21</v>
      </c>
      <c r="H914" s="2">
        <v>1</v>
      </c>
      <c r="I914" s="2">
        <v>0.98570000000000002</v>
      </c>
      <c r="J914" s="2">
        <v>0.77300000000000002</v>
      </c>
      <c r="K914">
        <v>1</v>
      </c>
      <c r="L914" s="19">
        <v>1</v>
      </c>
      <c r="M914" s="21">
        <f>L914</f>
        <v>1</v>
      </c>
    </row>
    <row r="915" spans="1:13" x14ac:dyDescent="0.2">
      <c r="A915" t="s">
        <v>111</v>
      </c>
      <c r="B915" t="str">
        <f>VLOOKUP(A915,MasterTutor!A:E,4,FALSE)</f>
        <v>Premium</v>
      </c>
      <c r="C915" t="str">
        <f>VLOOKUP(A915,MasterTutor!A:E,3,FALSE)</f>
        <v>Adjunct</v>
      </c>
      <c r="D915" t="str">
        <f>VLOOKUP(A915,MasterTutor!A:E,2,FALSE)</f>
        <v>Kristin Haase-Alvey</v>
      </c>
      <c r="E915" t="s">
        <v>363</v>
      </c>
      <c r="F915" s="2">
        <v>1.18</v>
      </c>
      <c r="G915" s="2">
        <v>1.37</v>
      </c>
      <c r="H915" s="2">
        <v>1</v>
      </c>
      <c r="I915" s="2">
        <v>1</v>
      </c>
      <c r="J915" s="2">
        <v>1</v>
      </c>
      <c r="K915">
        <v>2</v>
      </c>
      <c r="L915" s="19">
        <v>1</v>
      </c>
      <c r="M915" s="21">
        <f>L915</f>
        <v>1</v>
      </c>
    </row>
    <row r="916" spans="1:13" x14ac:dyDescent="0.2">
      <c r="A916" t="s">
        <v>281</v>
      </c>
      <c r="B916" t="str">
        <f>VLOOKUP(A916,MasterTutor!A:E,4,FALSE)</f>
        <v>Advanced</v>
      </c>
      <c r="C916" t="str">
        <f>VLOOKUP(A916,MasterTutor!A:E,3,FALSE)</f>
        <v>Professional</v>
      </c>
      <c r="D916" t="str">
        <f>VLOOKUP(A916,MasterTutor!A:E,2,FALSE)</f>
        <v>Annelies de Groot</v>
      </c>
      <c r="E916" t="s">
        <v>363</v>
      </c>
      <c r="F916" s="2">
        <v>0.8</v>
      </c>
      <c r="G916" s="2">
        <v>0.93</v>
      </c>
      <c r="H916" s="2">
        <v>0.99109999999999998</v>
      </c>
      <c r="I916" s="2">
        <v>0.98480000000000001</v>
      </c>
      <c r="J916" s="2">
        <v>0.58799999999999997</v>
      </c>
      <c r="K916">
        <v>4</v>
      </c>
      <c r="L916" s="19">
        <v>0</v>
      </c>
      <c r="M916" s="21">
        <f>L916</f>
        <v>0</v>
      </c>
    </row>
    <row r="917" spans="1:13" x14ac:dyDescent="0.2">
      <c r="A917" t="s">
        <v>112</v>
      </c>
      <c r="B917" t="e">
        <f>VLOOKUP(A917,MasterTutor!A:E,4,FALSE)</f>
        <v>#N/A</v>
      </c>
      <c r="C917" t="e">
        <f>VLOOKUP(A917,MasterTutor!A:E,3,FALSE)</f>
        <v>#N/A</v>
      </c>
      <c r="D917" t="e">
        <f>VLOOKUP(A917,MasterTutor!A:E,2,FALSE)</f>
        <v>#N/A</v>
      </c>
      <c r="E917" t="s">
        <v>363</v>
      </c>
      <c r="F917" s="2">
        <v>0.42</v>
      </c>
      <c r="G917" s="2">
        <v>1.02</v>
      </c>
      <c r="H917" s="2">
        <v>1</v>
      </c>
      <c r="I917" s="2">
        <v>0.81820000000000004</v>
      </c>
      <c r="J917" s="2">
        <v>0.6</v>
      </c>
      <c r="K917" t="e">
        <v>#N/A</v>
      </c>
    </row>
    <row r="918" spans="1:13" x14ac:dyDescent="0.2">
      <c r="A918" t="s">
        <v>113</v>
      </c>
      <c r="B918" t="e">
        <f>VLOOKUP(A918,MasterTutor!A:E,4,FALSE)</f>
        <v>#N/A</v>
      </c>
      <c r="C918" t="e">
        <f>VLOOKUP(A918,MasterTutor!A:E,3,FALSE)</f>
        <v>#N/A</v>
      </c>
      <c r="D918" t="e">
        <f>VLOOKUP(A918,MasterTutor!A:E,2,FALSE)</f>
        <v>#N/A</v>
      </c>
      <c r="E918" t="s">
        <v>363</v>
      </c>
      <c r="F918" s="2">
        <v>0.96</v>
      </c>
      <c r="G918" s="2">
        <v>0.94</v>
      </c>
      <c r="H918" s="2">
        <v>1</v>
      </c>
      <c r="I918" s="2">
        <v>0.83809999999999996</v>
      </c>
      <c r="J918" s="2">
        <v>0.72</v>
      </c>
      <c r="K918">
        <v>9</v>
      </c>
      <c r="L918" s="19" t="s">
        <v>330</v>
      </c>
      <c r="M918" s="21">
        <v>0.67</v>
      </c>
    </row>
    <row r="919" spans="1:13" x14ac:dyDescent="0.2">
      <c r="A919" t="s">
        <v>115</v>
      </c>
      <c r="B919" t="str">
        <f>VLOOKUP(A919,MasterTutor!A:E,4,FALSE)</f>
        <v>Advanced</v>
      </c>
      <c r="C919" t="str">
        <f>VLOOKUP(A919,MasterTutor!A:E,3,FALSE)</f>
        <v>Adjunct</v>
      </c>
      <c r="D919" t="str">
        <f>VLOOKUP(A919,MasterTutor!A:E,2,FALSE)</f>
        <v>Kristin Haase-Alvey</v>
      </c>
      <c r="E919" t="s">
        <v>363</v>
      </c>
      <c r="F919" s="2">
        <v>1.76</v>
      </c>
      <c r="G919" s="2">
        <v>2.21</v>
      </c>
      <c r="H919" s="2">
        <v>1</v>
      </c>
      <c r="I919" s="2">
        <v>1</v>
      </c>
      <c r="J919" s="2">
        <v>0.85699999999999998</v>
      </c>
      <c r="K919">
        <v>3</v>
      </c>
    </row>
    <row r="920" spans="1:13" x14ac:dyDescent="0.2">
      <c r="A920" t="s">
        <v>116</v>
      </c>
      <c r="B920" t="str">
        <f>VLOOKUP(A920,MasterTutor!A:E,4,FALSE)</f>
        <v>Premium</v>
      </c>
      <c r="C920" t="str">
        <f>VLOOKUP(A920,MasterTutor!A:E,3,FALSE)</f>
        <v>Professional</v>
      </c>
      <c r="D920" t="str">
        <f>VLOOKUP(A920,MasterTutor!A:E,2,FALSE)</f>
        <v>Jessica Milner</v>
      </c>
      <c r="E920" t="s">
        <v>363</v>
      </c>
      <c r="F920" s="2">
        <v>1.01</v>
      </c>
      <c r="G920" s="2">
        <v>1.1000000000000001</v>
      </c>
      <c r="H920" s="2">
        <v>1</v>
      </c>
      <c r="I920" s="2">
        <v>1</v>
      </c>
      <c r="J920" s="2">
        <v>0.84199999999999997</v>
      </c>
      <c r="K920">
        <v>1</v>
      </c>
      <c r="L920" s="19">
        <v>0</v>
      </c>
      <c r="M920" s="21">
        <f>L920</f>
        <v>0</v>
      </c>
    </row>
    <row r="921" spans="1:13" x14ac:dyDescent="0.2">
      <c r="A921" t="s">
        <v>117</v>
      </c>
      <c r="B921" t="str">
        <f>VLOOKUP(A921,MasterTutor!A:E,4,FALSE)</f>
        <v>Advanced</v>
      </c>
      <c r="C921" t="str">
        <f>VLOOKUP(A921,MasterTutor!A:E,3,FALSE)</f>
        <v>Professional</v>
      </c>
      <c r="D921" t="str">
        <f>VLOOKUP(A921,MasterTutor!A:E,2,FALSE)</f>
        <v>Kristin Haase-Alvey</v>
      </c>
      <c r="E921" t="s">
        <v>363</v>
      </c>
      <c r="F921" s="2">
        <v>1.18</v>
      </c>
      <c r="G921" s="2">
        <v>1.19</v>
      </c>
      <c r="H921" s="2">
        <v>1</v>
      </c>
      <c r="I921" s="2">
        <v>1</v>
      </c>
      <c r="J921" s="2">
        <v>0.66700000000000004</v>
      </c>
      <c r="K921">
        <v>6</v>
      </c>
      <c r="L921" s="19">
        <v>0</v>
      </c>
      <c r="M921" s="21">
        <f>L921</f>
        <v>0</v>
      </c>
    </row>
    <row r="922" spans="1:13" x14ac:dyDescent="0.2">
      <c r="A922" t="s">
        <v>118</v>
      </c>
      <c r="B922" t="e">
        <f>VLOOKUP(A922,MasterTutor!A:E,4,FALSE)</f>
        <v>#N/A</v>
      </c>
      <c r="C922" t="e">
        <f>VLOOKUP(A922,MasterTutor!A:E,3,FALSE)</f>
        <v>#N/A</v>
      </c>
      <c r="D922" t="e">
        <f>VLOOKUP(A922,MasterTutor!A:E,2,FALSE)</f>
        <v>#N/A</v>
      </c>
      <c r="E922" t="s">
        <v>363</v>
      </c>
      <c r="F922" s="2">
        <v>1.1100000000000001</v>
      </c>
      <c r="G922" s="2">
        <v>1.77</v>
      </c>
      <c r="H922" s="2">
        <v>0.9778</v>
      </c>
      <c r="I922" s="2">
        <v>1</v>
      </c>
      <c r="J922" s="2">
        <v>0.87</v>
      </c>
      <c r="K922">
        <v>3</v>
      </c>
      <c r="L922" s="19">
        <v>1</v>
      </c>
      <c r="M922" s="21">
        <f>L922</f>
        <v>1</v>
      </c>
    </row>
    <row r="923" spans="1:13" x14ac:dyDescent="0.2">
      <c r="A923" t="s">
        <v>119</v>
      </c>
      <c r="B923" t="str">
        <f>VLOOKUP(A923,MasterTutor!A:E,4,FALSE)</f>
        <v>Distinguished</v>
      </c>
      <c r="C923" t="str">
        <f>VLOOKUP(A923,MasterTutor!A:E,3,FALSE)</f>
        <v>Professional</v>
      </c>
      <c r="D923" t="str">
        <f>VLOOKUP(A923,MasterTutor!A:E,2,FALSE)</f>
        <v>Kristin Haase-Alvey</v>
      </c>
      <c r="E923" t="s">
        <v>363</v>
      </c>
      <c r="F923" s="2">
        <v>1.03</v>
      </c>
      <c r="G923" s="2">
        <v>0.96</v>
      </c>
      <c r="H923" s="2">
        <v>1</v>
      </c>
      <c r="I923" s="2">
        <v>0.97829999999999995</v>
      </c>
      <c r="J923" s="2">
        <v>0.59099999999999997</v>
      </c>
      <c r="K923">
        <v>8</v>
      </c>
      <c r="L923" s="19" t="s">
        <v>337</v>
      </c>
      <c r="M923" s="21">
        <f>1/3</f>
        <v>0.33333333333333331</v>
      </c>
    </row>
    <row r="924" spans="1:13" x14ac:dyDescent="0.2">
      <c r="A924" t="s">
        <v>120</v>
      </c>
      <c r="B924" t="str">
        <f>VLOOKUP(A924,MasterTutor!A:E,4,FALSE)</f>
        <v>Premium</v>
      </c>
      <c r="C924" t="str">
        <f>VLOOKUP(A924,MasterTutor!A:E,3,FALSE)</f>
        <v>Professional</v>
      </c>
      <c r="D924" t="str">
        <f>VLOOKUP(A924,MasterTutor!A:E,2,FALSE)</f>
        <v>Jessica Milner</v>
      </c>
      <c r="E924" t="s">
        <v>363</v>
      </c>
      <c r="F924" s="2">
        <v>0.64</v>
      </c>
      <c r="G924" s="2">
        <v>1.1200000000000001</v>
      </c>
      <c r="H924" s="2">
        <v>1</v>
      </c>
      <c r="I924" s="2">
        <v>0.90159999999999996</v>
      </c>
      <c r="J924" s="2">
        <v>0.47799999999999998</v>
      </c>
      <c r="K924">
        <v>4</v>
      </c>
    </row>
    <row r="925" spans="1:13" x14ac:dyDescent="0.2">
      <c r="A925" t="s">
        <v>121</v>
      </c>
      <c r="B925" t="str">
        <f>VLOOKUP(A925,MasterTutor!A:E,4,FALSE)</f>
        <v>Advanced</v>
      </c>
      <c r="C925" t="str">
        <f>VLOOKUP(A925,MasterTutor!A:E,3,FALSE)</f>
        <v>Adjunct</v>
      </c>
      <c r="D925" t="str">
        <f>VLOOKUP(A925,MasterTutor!A:E,2,FALSE)</f>
        <v>Annelies de Groot</v>
      </c>
      <c r="E925" t="s">
        <v>363</v>
      </c>
      <c r="F925" s="2">
        <v>1.1299999999999999</v>
      </c>
      <c r="G925" s="2">
        <v>1.19</v>
      </c>
      <c r="H925" s="2">
        <v>1</v>
      </c>
      <c r="I925" s="2">
        <v>1</v>
      </c>
      <c r="J925" s="2">
        <v>0.44400000000000001</v>
      </c>
      <c r="K925">
        <v>5</v>
      </c>
      <c r="L925" s="19">
        <v>1</v>
      </c>
      <c r="M925" s="21">
        <f>L925</f>
        <v>1</v>
      </c>
    </row>
    <row r="926" spans="1:13" x14ac:dyDescent="0.2">
      <c r="A926" t="s">
        <v>123</v>
      </c>
      <c r="B926" t="str">
        <f>VLOOKUP(A926,MasterTutor!A:E,4,FALSE)</f>
        <v>Premium</v>
      </c>
      <c r="C926" t="str">
        <f>VLOOKUP(A926,MasterTutor!A:E,3,FALSE)</f>
        <v xml:space="preserve">Professional </v>
      </c>
      <c r="D926" t="str">
        <f>VLOOKUP(A926,MasterTutor!A:E,2,FALSE)</f>
        <v>Ela Cross</v>
      </c>
      <c r="E926" t="s">
        <v>363</v>
      </c>
      <c r="F926" s="2">
        <v>1.57</v>
      </c>
      <c r="G926" s="2">
        <v>1.71</v>
      </c>
      <c r="H926" s="2">
        <v>0.96879999999999999</v>
      </c>
      <c r="I926" s="2">
        <v>1</v>
      </c>
      <c r="J926" s="2">
        <v>0.66700000000000004</v>
      </c>
      <c r="K926">
        <v>1</v>
      </c>
      <c r="L926" s="19">
        <v>0</v>
      </c>
      <c r="M926" s="21">
        <f>L926</f>
        <v>0</v>
      </c>
    </row>
    <row r="927" spans="1:13" x14ac:dyDescent="0.2">
      <c r="A927" t="s">
        <v>124</v>
      </c>
      <c r="B927" t="e">
        <f>VLOOKUP(A927,MasterTutor!A:E,4,FALSE)</f>
        <v>#N/A</v>
      </c>
      <c r="C927" t="e">
        <f>VLOOKUP(A927,MasterTutor!A:E,3,FALSE)</f>
        <v>#N/A</v>
      </c>
      <c r="D927" t="e">
        <f>VLOOKUP(A927,MasterTutor!A:E,2,FALSE)</f>
        <v>#N/A</v>
      </c>
      <c r="E927" t="s">
        <v>363</v>
      </c>
      <c r="F927" s="2">
        <v>0.26</v>
      </c>
      <c r="G927" s="2">
        <v>0.34</v>
      </c>
      <c r="H927" s="2">
        <v>1</v>
      </c>
      <c r="I927" s="2">
        <v>1</v>
      </c>
      <c r="J927" s="2">
        <v>0.75</v>
      </c>
      <c r="K927" t="e">
        <v>#N/A</v>
      </c>
    </row>
    <row r="928" spans="1:13" x14ac:dyDescent="0.2">
      <c r="A928" t="s">
        <v>125</v>
      </c>
      <c r="B928" t="str">
        <f>VLOOKUP(A928,MasterTutor!A:E,4,FALSE)</f>
        <v>Advanced</v>
      </c>
      <c r="C928" t="str">
        <f>VLOOKUP(A928,MasterTutor!A:E,3,FALSE)</f>
        <v>Professional</v>
      </c>
      <c r="D928" t="str">
        <f>VLOOKUP(A928,MasterTutor!A:E,2,FALSE)</f>
        <v>Kristin Haase-Alvey</v>
      </c>
      <c r="E928" t="s">
        <v>363</v>
      </c>
      <c r="F928" s="2">
        <v>0.89</v>
      </c>
      <c r="G928" s="2">
        <v>1.04</v>
      </c>
      <c r="H928" s="2">
        <v>0.90859999999999996</v>
      </c>
      <c r="I928" s="2">
        <v>0.98629999999999995</v>
      </c>
      <c r="J928" s="2">
        <v>0.90900000000000003</v>
      </c>
      <c r="K928">
        <v>10</v>
      </c>
      <c r="L928" s="19" t="s">
        <v>329</v>
      </c>
      <c r="M928" s="21">
        <v>0.75</v>
      </c>
    </row>
    <row r="929" spans="1:13" x14ac:dyDescent="0.2">
      <c r="A929" t="s">
        <v>126</v>
      </c>
      <c r="B929" t="str">
        <f>VLOOKUP(A929,MasterTutor!A:E,4,FALSE)</f>
        <v>Distinguished</v>
      </c>
      <c r="C929" t="str">
        <f>VLOOKUP(A929,MasterTutor!A:E,3,FALSE)</f>
        <v>Professional</v>
      </c>
      <c r="D929" t="str">
        <f>VLOOKUP(A929,MasterTutor!A:E,2,FALSE)</f>
        <v>Ian Plamondon</v>
      </c>
      <c r="E929" t="s">
        <v>363</v>
      </c>
      <c r="F929" s="2">
        <v>0.67</v>
      </c>
      <c r="G929" s="2">
        <v>1</v>
      </c>
      <c r="H929" s="2">
        <v>0.98960000000000004</v>
      </c>
      <c r="I929" s="2">
        <v>0.76790000000000003</v>
      </c>
      <c r="J929" s="2">
        <v>0.71399999999999997</v>
      </c>
      <c r="K929">
        <v>4</v>
      </c>
    </row>
    <row r="930" spans="1:13" x14ac:dyDescent="0.2">
      <c r="A930" t="s">
        <v>127</v>
      </c>
      <c r="B930" t="str">
        <f>VLOOKUP(A930,MasterTutor!A:E,4,FALSE)</f>
        <v>Premium</v>
      </c>
      <c r="C930" t="str">
        <f>VLOOKUP(A930,MasterTutor!A:E,3,FALSE)</f>
        <v>Professional</v>
      </c>
      <c r="D930" t="str">
        <f>VLOOKUP(A930,MasterTutor!A:E,2,FALSE)</f>
        <v>Jessica Milner</v>
      </c>
      <c r="E930" t="s">
        <v>363</v>
      </c>
      <c r="F930" s="2">
        <v>0.99</v>
      </c>
      <c r="G930" s="2">
        <v>1.08</v>
      </c>
      <c r="H930" s="2">
        <v>0.98280000000000001</v>
      </c>
      <c r="I930" s="2">
        <v>1</v>
      </c>
      <c r="J930" s="2">
        <v>0.93300000000000005</v>
      </c>
      <c r="K930">
        <v>6</v>
      </c>
      <c r="L930" s="19">
        <v>1</v>
      </c>
      <c r="M930" s="21">
        <f>L930</f>
        <v>1</v>
      </c>
    </row>
    <row r="931" spans="1:13" x14ac:dyDescent="0.2">
      <c r="A931" t="s">
        <v>128</v>
      </c>
      <c r="B931" t="str">
        <f>VLOOKUP(A931,MasterTutor!A:E,4,FALSE)</f>
        <v>Distinguished</v>
      </c>
      <c r="C931" t="str">
        <f>VLOOKUP(A931,MasterTutor!A:E,3,FALSE)</f>
        <v>Professional</v>
      </c>
      <c r="D931" t="str">
        <f>VLOOKUP(A931,MasterTutor!A:E,2,FALSE)</f>
        <v>Ian Plamondon</v>
      </c>
      <c r="E931" t="s">
        <v>363</v>
      </c>
      <c r="F931" s="2">
        <v>1.07</v>
      </c>
      <c r="G931" s="2">
        <v>1.61</v>
      </c>
      <c r="H931" s="2">
        <v>0.91800000000000004</v>
      </c>
      <c r="I931" s="2">
        <v>1</v>
      </c>
      <c r="J931" s="2">
        <v>0.8</v>
      </c>
      <c r="K931">
        <v>4</v>
      </c>
      <c r="L931" s="19" t="s">
        <v>337</v>
      </c>
      <c r="M931" s="21">
        <f>1/3</f>
        <v>0.33333333333333331</v>
      </c>
    </row>
    <row r="932" spans="1:13" x14ac:dyDescent="0.2">
      <c r="A932" t="s">
        <v>129</v>
      </c>
      <c r="B932" t="str">
        <f>VLOOKUP(A932,MasterTutor!A:E,4,FALSE)</f>
        <v>Premium</v>
      </c>
      <c r="C932" t="str">
        <f>VLOOKUP(A932,MasterTutor!A:E,3,FALSE)</f>
        <v>Adjunct</v>
      </c>
      <c r="D932" t="str">
        <f>VLOOKUP(A932,MasterTutor!A:E,2,FALSE)</f>
        <v>Annelies de Groot</v>
      </c>
      <c r="E932" t="s">
        <v>363</v>
      </c>
      <c r="F932" s="2">
        <v>1.57</v>
      </c>
      <c r="G932" s="2">
        <v>1.49</v>
      </c>
      <c r="H932" s="2">
        <v>1</v>
      </c>
      <c r="I932" s="2">
        <v>0.85289999999999999</v>
      </c>
      <c r="J932" s="2">
        <v>0.91700000000000004</v>
      </c>
      <c r="K932">
        <v>7</v>
      </c>
      <c r="L932" s="19">
        <v>0</v>
      </c>
      <c r="M932" s="21">
        <f>L932</f>
        <v>0</v>
      </c>
    </row>
    <row r="933" spans="1:13" x14ac:dyDescent="0.2">
      <c r="A933" t="s">
        <v>130</v>
      </c>
      <c r="B933" t="str">
        <f>VLOOKUP(A933,MasterTutor!A:E,4,FALSE)</f>
        <v>Premium</v>
      </c>
      <c r="C933" t="str">
        <f>VLOOKUP(A933,MasterTutor!A:E,3,FALSE)</f>
        <v>Adjunct</v>
      </c>
      <c r="D933" t="str">
        <f>VLOOKUP(A933,MasterTutor!A:E,2,FALSE)</f>
        <v>Ela Cross</v>
      </c>
      <c r="E933" t="s">
        <v>363</v>
      </c>
      <c r="F933" s="2">
        <v>0.68</v>
      </c>
      <c r="G933" s="2">
        <v>1.35</v>
      </c>
      <c r="H933" s="2">
        <v>0.87309999999999999</v>
      </c>
      <c r="I933" s="2">
        <v>0.97870000000000001</v>
      </c>
      <c r="J933" s="2">
        <v>0.6</v>
      </c>
      <c r="K933" t="e">
        <v>#N/A</v>
      </c>
      <c r="L933" s="19">
        <v>0</v>
      </c>
      <c r="M933" s="21">
        <f>L933</f>
        <v>0</v>
      </c>
    </row>
    <row r="934" spans="1:13" x14ac:dyDescent="0.2">
      <c r="A934" t="s">
        <v>131</v>
      </c>
      <c r="B934" t="str">
        <f>VLOOKUP(A934,MasterTutor!A:E,4,FALSE)</f>
        <v>Advanced</v>
      </c>
      <c r="C934" t="str">
        <f>VLOOKUP(A934,MasterTutor!A:E,3,FALSE)</f>
        <v>Professional</v>
      </c>
      <c r="D934" t="str">
        <f>VLOOKUP(A934,MasterTutor!A:E,2,FALSE)</f>
        <v>Ian Plamondon</v>
      </c>
      <c r="E934" t="s">
        <v>363</v>
      </c>
      <c r="F934" s="2">
        <v>0.85</v>
      </c>
      <c r="G934" s="2">
        <v>1.2</v>
      </c>
      <c r="H934" s="2">
        <v>1</v>
      </c>
      <c r="I934" s="2">
        <v>0.98680000000000001</v>
      </c>
      <c r="J934" s="2">
        <v>0.59099999999999997</v>
      </c>
      <c r="K934">
        <v>1</v>
      </c>
      <c r="L934" s="19">
        <v>1</v>
      </c>
      <c r="M934" s="21">
        <f>L934</f>
        <v>1</v>
      </c>
    </row>
    <row r="935" spans="1:13" x14ac:dyDescent="0.2">
      <c r="A935" t="s">
        <v>132</v>
      </c>
      <c r="B935" t="str">
        <f>VLOOKUP(A935,MasterTutor!A:E,4,FALSE)</f>
        <v>Distinguished</v>
      </c>
      <c r="C935" t="str">
        <f>VLOOKUP(A935,MasterTutor!A:E,3,FALSE)</f>
        <v>Professional</v>
      </c>
      <c r="D935" t="str">
        <f>VLOOKUP(A935,MasterTutor!A:E,2,FALSE)</f>
        <v>Kristin Haase-Alvey</v>
      </c>
      <c r="E935" t="s">
        <v>363</v>
      </c>
      <c r="F935" s="2">
        <v>1.1200000000000001</v>
      </c>
      <c r="G935" s="2">
        <v>1.01</v>
      </c>
      <c r="H935" s="2">
        <v>0.9919</v>
      </c>
      <c r="I935" s="2">
        <v>0.93069999999999997</v>
      </c>
      <c r="J935" s="2">
        <v>0.9</v>
      </c>
      <c r="K935">
        <v>5</v>
      </c>
      <c r="L935" s="19">
        <v>1</v>
      </c>
      <c r="M935" s="21">
        <f>L935</f>
        <v>1</v>
      </c>
    </row>
    <row r="936" spans="1:13" x14ac:dyDescent="0.2">
      <c r="A936" t="s">
        <v>133</v>
      </c>
      <c r="B936" t="e">
        <f>VLOOKUP(A936,MasterTutor!A:E,4,FALSE)</f>
        <v>#N/A</v>
      </c>
      <c r="C936" t="e">
        <f>VLOOKUP(A936,MasterTutor!A:E,3,FALSE)</f>
        <v>#N/A</v>
      </c>
      <c r="D936" t="e">
        <f>VLOOKUP(A936,MasterTutor!A:E,2,FALSE)</f>
        <v>#N/A</v>
      </c>
      <c r="E936" t="s">
        <v>363</v>
      </c>
      <c r="F936" s="2">
        <v>1.07</v>
      </c>
      <c r="G936" s="2">
        <v>1.1100000000000001</v>
      </c>
      <c r="H936" s="2">
        <v>0.69440000000000002</v>
      </c>
      <c r="I936" s="2">
        <v>0.66669999999999996</v>
      </c>
      <c r="J936" s="2">
        <v>0.33300000000000002</v>
      </c>
      <c r="K936" t="e">
        <v>#N/A</v>
      </c>
      <c r="L936" s="19">
        <v>1</v>
      </c>
      <c r="M936" s="21">
        <f>L936</f>
        <v>1</v>
      </c>
    </row>
    <row r="937" spans="1:13" x14ac:dyDescent="0.2">
      <c r="A937" t="s">
        <v>134</v>
      </c>
      <c r="B937" t="str">
        <f>VLOOKUP(A937,MasterTutor!A:E,4,FALSE)</f>
        <v>Distinguished</v>
      </c>
      <c r="C937" t="str">
        <f>VLOOKUP(A937,MasterTutor!A:E,3,FALSE)</f>
        <v>Professional</v>
      </c>
      <c r="D937" t="str">
        <f>VLOOKUP(A937,MasterTutor!A:E,2,FALSE)</f>
        <v>Annelies de Groot</v>
      </c>
      <c r="E937" t="s">
        <v>363</v>
      </c>
      <c r="F937" s="2">
        <v>0.8</v>
      </c>
      <c r="G937" s="2">
        <v>0.96</v>
      </c>
      <c r="H937" s="2">
        <v>0.98109999999999997</v>
      </c>
      <c r="I937" s="2">
        <v>0.98650000000000004</v>
      </c>
      <c r="J937" s="2">
        <v>0.57899999999999996</v>
      </c>
      <c r="K937">
        <v>9</v>
      </c>
      <c r="L937" s="19" t="s">
        <v>331</v>
      </c>
      <c r="M937" s="21">
        <v>0.5</v>
      </c>
    </row>
    <row r="938" spans="1:13" x14ac:dyDescent="0.2">
      <c r="A938" t="s">
        <v>366</v>
      </c>
      <c r="B938" t="e">
        <f>VLOOKUP(A938,MasterTutor!A:E,4,FALSE)</f>
        <v>#N/A</v>
      </c>
      <c r="C938" t="e">
        <f>VLOOKUP(A938,MasterTutor!A:E,3,FALSE)</f>
        <v>#N/A</v>
      </c>
      <c r="D938" t="e">
        <f>VLOOKUP(A938,MasterTutor!A:E,2,FALSE)</f>
        <v>#N/A</v>
      </c>
      <c r="E938" t="s">
        <v>363</v>
      </c>
      <c r="F938" s="2">
        <v>0.03</v>
      </c>
      <c r="G938" s="2">
        <v>0.8</v>
      </c>
      <c r="H938" s="2">
        <v>1</v>
      </c>
      <c r="I938" s="2">
        <v>0.5</v>
      </c>
      <c r="J938" s="2">
        <v>0.5</v>
      </c>
      <c r="K938" t="e">
        <v>#N/A</v>
      </c>
      <c r="L938" s="19">
        <v>0</v>
      </c>
      <c r="M938" s="21">
        <f>L938</f>
        <v>0</v>
      </c>
    </row>
    <row r="939" spans="1:13" x14ac:dyDescent="0.2">
      <c r="A939" t="s">
        <v>135</v>
      </c>
      <c r="B939" t="str">
        <f>VLOOKUP(A939,MasterTutor!A:E,4,FALSE)</f>
        <v>Distinguished</v>
      </c>
      <c r="C939" t="str">
        <f>VLOOKUP(A939,MasterTutor!A:E,3,FALSE)</f>
        <v>Adjunct</v>
      </c>
      <c r="D939" t="str">
        <f>VLOOKUP(A939,MasterTutor!A:E,2,FALSE)</f>
        <v>Annelies de Groot</v>
      </c>
      <c r="E939" t="s">
        <v>363</v>
      </c>
      <c r="F939" s="2">
        <v>0.94</v>
      </c>
      <c r="G939" s="2">
        <v>1.47</v>
      </c>
      <c r="H939" s="2">
        <v>1</v>
      </c>
      <c r="I939" s="2">
        <v>0.83330000000000004</v>
      </c>
      <c r="J939" s="2">
        <v>0.16700000000000001</v>
      </c>
      <c r="K939">
        <v>1</v>
      </c>
    </row>
    <row r="940" spans="1:13" x14ac:dyDescent="0.2">
      <c r="A940" t="s">
        <v>136</v>
      </c>
      <c r="B940" t="e">
        <f>VLOOKUP(A940,MasterTutor!A:E,4,FALSE)</f>
        <v>#N/A</v>
      </c>
      <c r="C940" t="e">
        <f>VLOOKUP(A940,MasterTutor!A:E,3,FALSE)</f>
        <v>#N/A</v>
      </c>
      <c r="D940" t="e">
        <f>VLOOKUP(A940,MasterTutor!A:E,2,FALSE)</f>
        <v>#N/A</v>
      </c>
      <c r="E940" t="s">
        <v>363</v>
      </c>
      <c r="F940" s="2">
        <v>0.97</v>
      </c>
      <c r="G940" s="2">
        <v>1.44</v>
      </c>
      <c r="H940" s="2">
        <v>0.92759999999999998</v>
      </c>
      <c r="I940" s="2">
        <v>0.85370000000000001</v>
      </c>
      <c r="J940" s="2">
        <v>0.81799999999999995</v>
      </c>
      <c r="K940">
        <v>8</v>
      </c>
    </row>
    <row r="941" spans="1:13" x14ac:dyDescent="0.2">
      <c r="A941" t="s">
        <v>294</v>
      </c>
      <c r="B941" t="str">
        <f>VLOOKUP(A941,MasterTutor!A:E,4,FALSE)</f>
        <v>Advanced</v>
      </c>
      <c r="C941" t="str">
        <f>VLOOKUP(A941,MasterTutor!A:E,3,FALSE)</f>
        <v>Adjunct</v>
      </c>
      <c r="D941" t="str">
        <f>VLOOKUP(A941,MasterTutor!A:E,2,FALSE)</f>
        <v>Kristin Haase-Alvey</v>
      </c>
      <c r="E941" t="s">
        <v>363</v>
      </c>
      <c r="F941" s="2">
        <v>0.81</v>
      </c>
      <c r="G941" s="2">
        <v>1.02</v>
      </c>
      <c r="H941" s="2">
        <v>0.97330000000000005</v>
      </c>
      <c r="I941" s="2">
        <v>1</v>
      </c>
      <c r="J941" s="2">
        <v>0.64300000000000002</v>
      </c>
      <c r="K941">
        <v>2</v>
      </c>
      <c r="L941" s="19">
        <v>0</v>
      </c>
      <c r="M941" s="21">
        <f>L941</f>
        <v>0</v>
      </c>
    </row>
    <row r="942" spans="1:13" x14ac:dyDescent="0.2">
      <c r="A942" t="s">
        <v>137</v>
      </c>
      <c r="B942" t="str">
        <f>VLOOKUP(A942,MasterTutor!A:E,4,FALSE)</f>
        <v>Premium</v>
      </c>
      <c r="C942" t="str">
        <f>VLOOKUP(A942,MasterTutor!A:E,3,FALSE)</f>
        <v>Professional</v>
      </c>
      <c r="D942" t="str">
        <f>VLOOKUP(A942,MasterTutor!A:E,2,FALSE)</f>
        <v>Jessica Milner</v>
      </c>
      <c r="E942" t="s">
        <v>363</v>
      </c>
      <c r="F942" s="2">
        <v>1.07</v>
      </c>
      <c r="G942" s="2">
        <v>1.18</v>
      </c>
      <c r="H942" s="2">
        <v>1</v>
      </c>
      <c r="I942" s="2">
        <v>0.93179999999999996</v>
      </c>
      <c r="J942" s="2">
        <v>0.63200000000000001</v>
      </c>
      <c r="K942" t="e">
        <v>#N/A</v>
      </c>
      <c r="L942" s="19">
        <v>0</v>
      </c>
      <c r="M942" s="21">
        <f>L942</f>
        <v>0</v>
      </c>
    </row>
    <row r="943" spans="1:13" x14ac:dyDescent="0.2">
      <c r="A943" t="s">
        <v>138</v>
      </c>
      <c r="B943" t="str">
        <f>VLOOKUP(A943,MasterTutor!A:E,4,FALSE)</f>
        <v>Advanced</v>
      </c>
      <c r="C943" t="str">
        <f>VLOOKUP(A943,MasterTutor!A:E,3,FALSE)</f>
        <v>Professional</v>
      </c>
      <c r="D943" t="str">
        <f>VLOOKUP(A943,MasterTutor!A:E,2,FALSE)</f>
        <v>Ela Cross</v>
      </c>
      <c r="E943" t="s">
        <v>363</v>
      </c>
      <c r="F943" s="2">
        <v>0.98</v>
      </c>
      <c r="G943" s="2">
        <v>1.04</v>
      </c>
      <c r="H943" s="2">
        <v>0.98860000000000003</v>
      </c>
      <c r="I943" s="2">
        <v>0.90480000000000005</v>
      </c>
      <c r="J943" s="2">
        <v>0.85699999999999998</v>
      </c>
      <c r="K943">
        <v>13</v>
      </c>
      <c r="L943" s="19">
        <v>1</v>
      </c>
      <c r="M943" s="21">
        <f>L943</f>
        <v>1</v>
      </c>
    </row>
    <row r="944" spans="1:13" x14ac:dyDescent="0.2">
      <c r="A944" t="s">
        <v>139</v>
      </c>
      <c r="B944" t="str">
        <f>VLOOKUP(A944,MasterTutor!A:E,4,FALSE)</f>
        <v>Distinguished</v>
      </c>
      <c r="C944" t="str">
        <f>VLOOKUP(A944,MasterTutor!A:E,3,FALSE)</f>
        <v>Professional</v>
      </c>
      <c r="D944" t="str">
        <f>VLOOKUP(A944,MasterTutor!A:E,2,FALSE)</f>
        <v>Ian Plamondon</v>
      </c>
      <c r="E944" t="s">
        <v>363</v>
      </c>
      <c r="F944" s="2">
        <v>0.78</v>
      </c>
      <c r="G944" s="2">
        <v>1.01</v>
      </c>
      <c r="H944" s="2">
        <v>1</v>
      </c>
      <c r="I944" s="2">
        <v>1</v>
      </c>
      <c r="J944" s="2">
        <v>0.77800000000000002</v>
      </c>
      <c r="K944">
        <v>5</v>
      </c>
      <c r="L944" s="19">
        <v>1</v>
      </c>
      <c r="M944" s="21">
        <f>L944</f>
        <v>1</v>
      </c>
    </row>
    <row r="945" spans="1:13" x14ac:dyDescent="0.2">
      <c r="A945" t="s">
        <v>140</v>
      </c>
      <c r="B945" t="str">
        <f>VLOOKUP(A945,MasterTutor!A:E,4,FALSE)</f>
        <v>Advanced</v>
      </c>
      <c r="C945" t="str">
        <f>VLOOKUP(A945,MasterTutor!A:E,3,FALSE)</f>
        <v>Adjunct</v>
      </c>
      <c r="D945" t="str">
        <f>VLOOKUP(A945,MasterTutor!A:E,2,FALSE)</f>
        <v>Annelies de Groot</v>
      </c>
      <c r="E945" t="s">
        <v>363</v>
      </c>
      <c r="F945" s="2">
        <v>0.89</v>
      </c>
      <c r="G945" s="2">
        <v>0.99</v>
      </c>
      <c r="H945" s="2">
        <v>0.97499999999999998</v>
      </c>
      <c r="I945" s="2">
        <v>0.8679</v>
      </c>
      <c r="J945" s="2">
        <v>0.64300000000000002</v>
      </c>
      <c r="K945">
        <v>5</v>
      </c>
    </row>
    <row r="946" spans="1:13" x14ac:dyDescent="0.2">
      <c r="A946" t="s">
        <v>141</v>
      </c>
      <c r="B946" t="str">
        <f>VLOOKUP(A946,MasterTutor!A:E,4,FALSE)</f>
        <v>Distinguished</v>
      </c>
      <c r="C946" t="str">
        <f>VLOOKUP(A946,MasterTutor!A:E,3,FALSE)</f>
        <v>Adjunct</v>
      </c>
      <c r="D946" t="str">
        <f>VLOOKUP(A946,MasterTutor!A:E,2,FALSE)</f>
        <v>Annelies de Groot</v>
      </c>
      <c r="E946" t="s">
        <v>363</v>
      </c>
      <c r="F946" s="2">
        <v>1.33</v>
      </c>
      <c r="G946" s="2">
        <v>1.31</v>
      </c>
      <c r="H946" s="2">
        <v>0.88629999999999998</v>
      </c>
      <c r="I946" s="2">
        <v>1</v>
      </c>
      <c r="J946" s="2">
        <v>0.5</v>
      </c>
      <c r="K946">
        <v>4</v>
      </c>
    </row>
    <row r="947" spans="1:13" x14ac:dyDescent="0.2">
      <c r="A947" t="s">
        <v>142</v>
      </c>
      <c r="B947" t="str">
        <f>VLOOKUP(A947,MasterTutor!A:E,4,FALSE)</f>
        <v>Advanced</v>
      </c>
      <c r="C947" t="str">
        <f>VLOOKUP(A947,MasterTutor!A:E,3,FALSE)</f>
        <v>Professional</v>
      </c>
      <c r="D947" t="str">
        <f>VLOOKUP(A947,MasterTutor!A:E,2,FALSE)</f>
        <v>Ian Plamondon</v>
      </c>
      <c r="E947" t="s">
        <v>363</v>
      </c>
      <c r="F947" s="2">
        <v>0.94</v>
      </c>
      <c r="G947" s="2">
        <v>1.1399999999999999</v>
      </c>
      <c r="H947" s="2">
        <v>0.9859</v>
      </c>
      <c r="I947" s="2">
        <v>0.95650000000000002</v>
      </c>
      <c r="J947" s="2">
        <v>0.4</v>
      </c>
      <c r="K947">
        <v>10</v>
      </c>
      <c r="L947" s="19" t="s">
        <v>357</v>
      </c>
      <c r="M947" s="21">
        <v>0.17</v>
      </c>
    </row>
    <row r="948" spans="1:13" x14ac:dyDescent="0.2">
      <c r="A948" t="s">
        <v>143</v>
      </c>
      <c r="B948" t="str">
        <f>VLOOKUP(A948,MasterTutor!A:E,4,FALSE)</f>
        <v>Distinguished</v>
      </c>
      <c r="C948" t="str">
        <f>VLOOKUP(A948,MasterTutor!A:E,3,FALSE)</f>
        <v>Adjunct</v>
      </c>
      <c r="D948" t="str">
        <f>VLOOKUP(A948,MasterTutor!A:E,2,FALSE)</f>
        <v>Annelies de Groot</v>
      </c>
      <c r="E948" t="s">
        <v>363</v>
      </c>
      <c r="F948" s="2">
        <v>0.97</v>
      </c>
      <c r="G948" s="2">
        <v>1.34</v>
      </c>
      <c r="H948" s="2">
        <v>0.96430000000000005</v>
      </c>
      <c r="I948" s="2">
        <v>0.88460000000000005</v>
      </c>
      <c r="J948" s="2">
        <v>0.66700000000000004</v>
      </c>
      <c r="K948" t="e">
        <v>#N/A</v>
      </c>
      <c r="L948" s="19">
        <v>1</v>
      </c>
      <c r="M948" s="21">
        <f>L948</f>
        <v>1</v>
      </c>
    </row>
    <row r="949" spans="1:13" x14ac:dyDescent="0.2">
      <c r="A949" t="s">
        <v>144</v>
      </c>
      <c r="B949" t="str">
        <f>VLOOKUP(A949,MasterTutor!A:E,4,FALSE)</f>
        <v>Distinguished</v>
      </c>
      <c r="C949" t="str">
        <f>VLOOKUP(A949,MasterTutor!A:E,3,FALSE)</f>
        <v>Professional</v>
      </c>
      <c r="D949" t="str">
        <f>VLOOKUP(A949,MasterTutor!A:E,2,FALSE)</f>
        <v>Annelies de Groot</v>
      </c>
      <c r="E949" t="s">
        <v>363</v>
      </c>
      <c r="F949" s="2">
        <v>1.03</v>
      </c>
      <c r="G949" s="2">
        <v>1</v>
      </c>
      <c r="H949" s="2">
        <v>0.99360000000000004</v>
      </c>
      <c r="I949" s="2">
        <v>0.96970000000000001</v>
      </c>
      <c r="J949" s="2">
        <v>0.77300000000000002</v>
      </c>
      <c r="K949">
        <v>7</v>
      </c>
      <c r="L949" s="19">
        <v>1</v>
      </c>
      <c r="M949" s="21">
        <f>L949</f>
        <v>1</v>
      </c>
    </row>
    <row r="950" spans="1:13" x14ac:dyDescent="0.2">
      <c r="A950" t="s">
        <v>145</v>
      </c>
      <c r="B950" t="str">
        <f>VLOOKUP(A950,MasterTutor!A:E,4,FALSE)</f>
        <v>Premium</v>
      </c>
      <c r="C950" t="str">
        <f>VLOOKUP(A950,MasterTutor!A:E,3,FALSE)</f>
        <v>Professional</v>
      </c>
      <c r="D950" t="str">
        <f>VLOOKUP(A950,MasterTutor!A:E,2,FALSE)</f>
        <v>Jessica Milner</v>
      </c>
      <c r="E950" t="s">
        <v>363</v>
      </c>
      <c r="F950" s="2">
        <v>1.02</v>
      </c>
      <c r="G950" s="2">
        <v>0.98</v>
      </c>
      <c r="H950" s="2">
        <v>1</v>
      </c>
      <c r="I950" s="2">
        <v>1</v>
      </c>
      <c r="J950" s="2">
        <v>1</v>
      </c>
      <c r="K950">
        <v>6</v>
      </c>
      <c r="L950" s="19">
        <v>1</v>
      </c>
      <c r="M950" s="21">
        <f>L950</f>
        <v>1</v>
      </c>
    </row>
    <row r="951" spans="1:13" x14ac:dyDescent="0.2">
      <c r="A951" t="s">
        <v>146</v>
      </c>
      <c r="B951" t="str">
        <f>VLOOKUP(A951,MasterTutor!A:E,4,FALSE)</f>
        <v>Distinguished</v>
      </c>
      <c r="C951" t="str">
        <f>VLOOKUP(A951,MasterTutor!A:E,3,FALSE)</f>
        <v>Adjunct</v>
      </c>
      <c r="D951" t="str">
        <f>VLOOKUP(A951,MasterTutor!A:E,2,FALSE)</f>
        <v>Ian Plamondon</v>
      </c>
      <c r="E951" t="s">
        <v>363</v>
      </c>
      <c r="F951" s="2">
        <v>0.7</v>
      </c>
      <c r="G951" s="2">
        <v>0.95</v>
      </c>
      <c r="H951" s="2">
        <v>1</v>
      </c>
      <c r="I951" s="2">
        <v>0.95</v>
      </c>
      <c r="J951" s="2">
        <v>0.88</v>
      </c>
      <c r="K951">
        <v>1</v>
      </c>
      <c r="L951" s="19">
        <v>0</v>
      </c>
      <c r="M951" s="21">
        <f>L951</f>
        <v>0</v>
      </c>
    </row>
    <row r="952" spans="1:13" x14ac:dyDescent="0.2">
      <c r="A952" t="s">
        <v>147</v>
      </c>
      <c r="B952" t="str">
        <f>VLOOKUP(A952,MasterTutor!A:E,4,FALSE)</f>
        <v>Premium</v>
      </c>
      <c r="C952" t="str">
        <f>VLOOKUP(A952,MasterTutor!A:E,3,FALSE)</f>
        <v>Adjunct</v>
      </c>
      <c r="D952" t="str">
        <f>VLOOKUP(A952,MasterTutor!A:E,2,FALSE)</f>
        <v>Ela Cross</v>
      </c>
      <c r="E952" t="s">
        <v>363</v>
      </c>
      <c r="F952" s="2">
        <v>0.9</v>
      </c>
      <c r="G952" s="2">
        <v>1.18</v>
      </c>
      <c r="H952" s="2">
        <v>0.98080000000000001</v>
      </c>
      <c r="I952" s="2">
        <v>1</v>
      </c>
      <c r="J952" s="2">
        <v>0.875</v>
      </c>
      <c r="K952" t="e">
        <v>#N/A</v>
      </c>
      <c r="L952" s="19">
        <v>0</v>
      </c>
      <c r="M952" s="21">
        <f>L952</f>
        <v>0</v>
      </c>
    </row>
    <row r="953" spans="1:13" x14ac:dyDescent="0.2">
      <c r="A953" t="s">
        <v>148</v>
      </c>
      <c r="B953" t="str">
        <f>VLOOKUP(A953,MasterTutor!A:E,4,FALSE)</f>
        <v>Advanced</v>
      </c>
      <c r="C953" t="str">
        <f>VLOOKUP(A953,MasterTutor!A:E,3,FALSE)</f>
        <v>Adjunct</v>
      </c>
      <c r="D953" t="str">
        <f>VLOOKUP(A953,MasterTutor!A:E,2,FALSE)</f>
        <v>Ela Cross</v>
      </c>
      <c r="E953" t="s">
        <v>363</v>
      </c>
      <c r="F953" s="2">
        <v>1.03</v>
      </c>
      <c r="G953" s="2">
        <v>1.07</v>
      </c>
      <c r="H953" s="2">
        <v>0.9778</v>
      </c>
      <c r="I953" s="2">
        <v>1</v>
      </c>
      <c r="J953" s="2">
        <v>0.91700000000000004</v>
      </c>
      <c r="K953">
        <v>4</v>
      </c>
    </row>
    <row r="954" spans="1:13" x14ac:dyDescent="0.2">
      <c r="A954" t="s">
        <v>149</v>
      </c>
      <c r="B954" t="str">
        <f>VLOOKUP(A954,MasterTutor!A:E,4,FALSE)</f>
        <v>Distinguished</v>
      </c>
      <c r="C954" t="str">
        <f>VLOOKUP(A954,MasterTutor!A:E,3,FALSE)</f>
        <v>Professional</v>
      </c>
      <c r="D954" t="str">
        <f>VLOOKUP(A954,MasterTutor!A:E,2,FALSE)</f>
        <v>Ian Plamondon</v>
      </c>
      <c r="E954" t="s">
        <v>363</v>
      </c>
      <c r="F954" s="2">
        <v>1.08</v>
      </c>
      <c r="G954" s="2">
        <v>1.47</v>
      </c>
      <c r="H954" s="2">
        <v>0.90200000000000002</v>
      </c>
      <c r="I954" s="2">
        <v>0.70730000000000004</v>
      </c>
      <c r="J954" s="2">
        <v>0.84599999999999997</v>
      </c>
      <c r="K954">
        <v>2</v>
      </c>
      <c r="L954" s="19" t="s">
        <v>330</v>
      </c>
      <c r="M954" s="21">
        <v>0.67</v>
      </c>
    </row>
    <row r="955" spans="1:13" x14ac:dyDescent="0.2">
      <c r="A955" t="s">
        <v>361</v>
      </c>
      <c r="B955" t="e">
        <f>VLOOKUP(A955,MasterTutor!A:E,4,FALSE)</f>
        <v>#N/A</v>
      </c>
      <c r="C955" t="e">
        <f>VLOOKUP(A955,MasterTutor!A:E,3,FALSE)</f>
        <v>#N/A</v>
      </c>
      <c r="D955" t="e">
        <f>VLOOKUP(A955,MasterTutor!A:E,2,FALSE)</f>
        <v>#N/A</v>
      </c>
      <c r="E955" t="s">
        <v>363</v>
      </c>
      <c r="F955" s="2">
        <v>0.33</v>
      </c>
      <c r="G955" s="2">
        <v>0.64</v>
      </c>
      <c r="H955" s="2">
        <v>1</v>
      </c>
      <c r="I955" s="2">
        <v>0.95240000000000002</v>
      </c>
      <c r="J955" s="2">
        <v>0.55600000000000005</v>
      </c>
      <c r="K955">
        <v>2</v>
      </c>
      <c r="L955" s="19">
        <v>1</v>
      </c>
      <c r="M955" s="21">
        <f>L955</f>
        <v>1</v>
      </c>
    </row>
    <row r="956" spans="1:13" x14ac:dyDescent="0.2">
      <c r="A956" t="s">
        <v>150</v>
      </c>
      <c r="B956" t="str">
        <f>VLOOKUP(A956,MasterTutor!A:E,4,FALSE)</f>
        <v>Advanced</v>
      </c>
      <c r="C956" t="str">
        <f>VLOOKUP(A956,MasterTutor!A:E,3,FALSE)</f>
        <v>Adjunct</v>
      </c>
      <c r="D956" t="str">
        <f>VLOOKUP(A956,MasterTutor!A:E,2,FALSE)</f>
        <v>Ela Cross</v>
      </c>
      <c r="E956" t="s">
        <v>363</v>
      </c>
      <c r="F956" s="2">
        <v>0.86</v>
      </c>
      <c r="G956" s="2">
        <v>0.92</v>
      </c>
      <c r="H956" s="2">
        <v>0.97729999999999995</v>
      </c>
      <c r="I956" s="2">
        <v>0.875</v>
      </c>
      <c r="J956" s="2">
        <v>0.88900000000000001</v>
      </c>
      <c r="K956">
        <v>1</v>
      </c>
    </row>
    <row r="957" spans="1:13" x14ac:dyDescent="0.2">
      <c r="A957" t="s">
        <v>151</v>
      </c>
      <c r="B957" t="e">
        <f>VLOOKUP(A957,MasterTutor!A:E,4,FALSE)</f>
        <v>#N/A</v>
      </c>
      <c r="C957" t="e">
        <f>VLOOKUP(A957,MasterTutor!A:E,3,FALSE)</f>
        <v>#N/A</v>
      </c>
      <c r="D957" t="e">
        <f>VLOOKUP(A957,MasterTutor!A:E,2,FALSE)</f>
        <v>#N/A</v>
      </c>
      <c r="E957" t="s">
        <v>363</v>
      </c>
      <c r="F957" s="2">
        <v>1.3</v>
      </c>
      <c r="G957" s="2">
        <v>1.32</v>
      </c>
      <c r="H957" s="2">
        <v>1</v>
      </c>
      <c r="I957" s="2">
        <v>0.94740000000000002</v>
      </c>
      <c r="J957" s="2">
        <v>1</v>
      </c>
      <c r="K957">
        <v>5</v>
      </c>
    </row>
    <row r="958" spans="1:13" x14ac:dyDescent="0.2">
      <c r="A958" t="s">
        <v>297</v>
      </c>
      <c r="B958" t="e">
        <f>VLOOKUP(A958,MasterTutor!A:E,4,FALSE)</f>
        <v>#N/A</v>
      </c>
      <c r="C958" t="e">
        <f>VLOOKUP(A958,MasterTutor!A:E,3,FALSE)</f>
        <v>#N/A</v>
      </c>
      <c r="D958" t="e">
        <f>VLOOKUP(A958,MasterTutor!A:E,2,FALSE)</f>
        <v>#N/A</v>
      </c>
      <c r="E958" t="s">
        <v>363</v>
      </c>
      <c r="F958" s="2">
        <v>0.56000000000000005</v>
      </c>
      <c r="G958" s="2">
        <v>1.02</v>
      </c>
      <c r="H958" s="2">
        <v>0.82699999999999996</v>
      </c>
      <c r="I958" s="2">
        <v>0.8286</v>
      </c>
      <c r="J958" s="2">
        <v>0.66700000000000004</v>
      </c>
      <c r="K958" t="e">
        <v>#N/A</v>
      </c>
      <c r="L958" s="19" t="s">
        <v>367</v>
      </c>
      <c r="M958" s="21">
        <v>0.13</v>
      </c>
    </row>
    <row r="959" spans="1:13" x14ac:dyDescent="0.2">
      <c r="A959" t="s">
        <v>152</v>
      </c>
      <c r="B959" t="str">
        <f>VLOOKUP(A959,MasterTutor!A:E,4,FALSE)</f>
        <v>Premium</v>
      </c>
      <c r="C959" t="str">
        <f>VLOOKUP(A959,MasterTutor!A:E,3,FALSE)</f>
        <v>Professional</v>
      </c>
      <c r="D959" t="str">
        <f>VLOOKUP(A959,MasterTutor!A:E,2,FALSE)</f>
        <v>Ian Plamondon</v>
      </c>
      <c r="E959" t="s">
        <v>363</v>
      </c>
      <c r="F959" s="2">
        <v>1.24</v>
      </c>
      <c r="G959" s="2">
        <v>1.49</v>
      </c>
      <c r="H959" s="2">
        <v>0.97850000000000004</v>
      </c>
      <c r="I959" s="2">
        <v>0.98850000000000005</v>
      </c>
      <c r="J959" s="2">
        <v>0.51900000000000002</v>
      </c>
      <c r="K959">
        <v>1</v>
      </c>
      <c r="L959" s="19" t="s">
        <v>331</v>
      </c>
      <c r="M959" s="21">
        <v>0.5</v>
      </c>
    </row>
    <row r="960" spans="1:13" x14ac:dyDescent="0.2">
      <c r="A960" t="s">
        <v>153</v>
      </c>
      <c r="B960" t="str">
        <f>VLOOKUP(A960,MasterTutor!A:E,4,FALSE)</f>
        <v>Distinguished</v>
      </c>
      <c r="C960" t="str">
        <f>VLOOKUP(A960,MasterTutor!A:E,3,FALSE)</f>
        <v>Professional</v>
      </c>
      <c r="D960" t="str">
        <f>VLOOKUP(A960,MasterTutor!A:E,2,FALSE)</f>
        <v>Ian Plamondon</v>
      </c>
      <c r="E960" t="s">
        <v>363</v>
      </c>
      <c r="F960" s="2">
        <v>0.96</v>
      </c>
      <c r="G960" s="2">
        <v>1.17</v>
      </c>
      <c r="H960" s="2">
        <v>0.99070000000000003</v>
      </c>
      <c r="I960" s="2">
        <v>0.99039999999999995</v>
      </c>
      <c r="J960" s="2">
        <v>0.6</v>
      </c>
      <c r="K960">
        <v>11</v>
      </c>
      <c r="L960" s="19">
        <v>0</v>
      </c>
      <c r="M960" s="21">
        <f>L960</f>
        <v>0</v>
      </c>
    </row>
    <row r="961" spans="1:13" x14ac:dyDescent="0.2">
      <c r="A961" t="s">
        <v>155</v>
      </c>
      <c r="B961" t="str">
        <f>VLOOKUP(A961,MasterTutor!A:E,4,FALSE)</f>
        <v>Distinguished</v>
      </c>
      <c r="C961" t="str">
        <f>VLOOKUP(A961,MasterTutor!A:E,3,FALSE)</f>
        <v>Professional</v>
      </c>
      <c r="D961" t="str">
        <f>VLOOKUP(A961,MasterTutor!A:E,2,FALSE)</f>
        <v>Kristin Haase-Alvey</v>
      </c>
      <c r="E961" t="s">
        <v>363</v>
      </c>
      <c r="F961" s="2">
        <v>1.05</v>
      </c>
      <c r="G961" s="2">
        <v>1.1299999999999999</v>
      </c>
      <c r="H961" s="2">
        <v>1</v>
      </c>
      <c r="I961" s="2">
        <v>0.97619999999999996</v>
      </c>
      <c r="J961" s="2">
        <v>0.84</v>
      </c>
      <c r="K961">
        <v>5</v>
      </c>
      <c r="L961" s="19">
        <v>1</v>
      </c>
      <c r="M961" s="21">
        <f>L961</f>
        <v>1</v>
      </c>
    </row>
    <row r="962" spans="1:13" x14ac:dyDescent="0.2">
      <c r="A962" t="s">
        <v>301</v>
      </c>
      <c r="B962" t="str">
        <f>VLOOKUP(A962,MasterTutor!A:E,4,FALSE)</f>
        <v>Advanced</v>
      </c>
      <c r="C962" t="str">
        <f>VLOOKUP(A962,MasterTutor!A:E,3,FALSE)</f>
        <v>Professional</v>
      </c>
      <c r="D962" t="str">
        <f>VLOOKUP(A962,MasterTutor!A:E,2,FALSE)</f>
        <v>Kristin Haase-Alvey</v>
      </c>
      <c r="E962" t="s">
        <v>363</v>
      </c>
      <c r="F962" s="2">
        <v>0.93</v>
      </c>
      <c r="G962" s="2">
        <v>1.1599999999999999</v>
      </c>
      <c r="H962" s="2">
        <v>0.98960000000000004</v>
      </c>
      <c r="I962" s="2">
        <v>0.98629999999999995</v>
      </c>
      <c r="J962" s="2">
        <v>0.65200000000000002</v>
      </c>
      <c r="K962">
        <v>4</v>
      </c>
      <c r="L962" s="19" t="s">
        <v>335</v>
      </c>
      <c r="M962" s="21">
        <v>0.25</v>
      </c>
    </row>
    <row r="963" spans="1:13" x14ac:dyDescent="0.2">
      <c r="A963" t="s">
        <v>302</v>
      </c>
      <c r="B963" t="str">
        <f>VLOOKUP(A963,MasterTutor!A:E,4,FALSE)</f>
        <v>Advanced</v>
      </c>
      <c r="C963" t="str">
        <f>VLOOKUP(A963,MasterTutor!A:E,3,FALSE)</f>
        <v>Professional</v>
      </c>
      <c r="D963" t="str">
        <f>VLOOKUP(A963,MasterTutor!A:E,2,FALSE)</f>
        <v>Ela Cross</v>
      </c>
      <c r="E963" t="s">
        <v>363</v>
      </c>
      <c r="F963" s="2">
        <v>0.01</v>
      </c>
      <c r="G963" s="2">
        <v>0.48</v>
      </c>
      <c r="H963" s="2">
        <v>1</v>
      </c>
      <c r="I963" s="2">
        <v>1</v>
      </c>
      <c r="J963" s="2">
        <v>1</v>
      </c>
      <c r="K963" t="e">
        <v>#N/A</v>
      </c>
    </row>
    <row r="964" spans="1:13" x14ac:dyDescent="0.2">
      <c r="A964" t="s">
        <v>156</v>
      </c>
      <c r="B964" t="e">
        <f>VLOOKUP(A964,MasterTutor!A:E,4,FALSE)</f>
        <v>#N/A</v>
      </c>
      <c r="C964" t="e">
        <f>VLOOKUP(A964,MasterTutor!A:E,3,FALSE)</f>
        <v>#N/A</v>
      </c>
      <c r="D964" t="e">
        <f>VLOOKUP(A964,MasterTutor!A:E,2,FALSE)</f>
        <v>#N/A</v>
      </c>
      <c r="E964" t="s">
        <v>363</v>
      </c>
      <c r="F964" s="2">
        <v>1.5</v>
      </c>
      <c r="G964" s="2">
        <v>1.55</v>
      </c>
      <c r="H964" s="2">
        <v>0.97499999999999998</v>
      </c>
      <c r="I964" s="2">
        <v>0.97670000000000001</v>
      </c>
      <c r="J964" s="2">
        <v>1</v>
      </c>
      <c r="K964">
        <v>3</v>
      </c>
      <c r="L964" s="19">
        <v>0</v>
      </c>
      <c r="M964" s="21">
        <f>L964</f>
        <v>0</v>
      </c>
    </row>
    <row r="965" spans="1:13" x14ac:dyDescent="0.2">
      <c r="A965" t="s">
        <v>157</v>
      </c>
      <c r="B965" t="str">
        <f>VLOOKUP(A965,MasterTutor!A:E,4,FALSE)</f>
        <v>Advanced</v>
      </c>
      <c r="C965" t="str">
        <f>VLOOKUP(A965,MasterTutor!A:E,3,FALSE)</f>
        <v>Adjunct</v>
      </c>
      <c r="D965" t="str">
        <f>VLOOKUP(A965,MasterTutor!A:E,2,FALSE)</f>
        <v>Kristin Haase-Alvey</v>
      </c>
      <c r="E965" t="s">
        <v>363</v>
      </c>
      <c r="F965" s="2">
        <v>1.22</v>
      </c>
      <c r="G965" s="2">
        <v>1.23</v>
      </c>
      <c r="H965" s="2">
        <v>0.95720000000000005</v>
      </c>
      <c r="I965" s="2">
        <v>0.95079999999999998</v>
      </c>
      <c r="J965" s="2">
        <v>0.81299999999999994</v>
      </c>
      <c r="K965">
        <v>6</v>
      </c>
      <c r="L965" s="19">
        <v>0</v>
      </c>
      <c r="M965" s="21">
        <f>L965</f>
        <v>0</v>
      </c>
    </row>
    <row r="966" spans="1:13" x14ac:dyDescent="0.2">
      <c r="A966" t="s">
        <v>158</v>
      </c>
      <c r="B966" t="str">
        <f>VLOOKUP(A966,MasterTutor!A:E,4,FALSE)</f>
        <v>Advanced</v>
      </c>
      <c r="C966" t="str">
        <f>VLOOKUP(A966,MasterTutor!A:E,3,FALSE)</f>
        <v>Adjunct</v>
      </c>
      <c r="D966" t="str">
        <f>VLOOKUP(A966,MasterTutor!A:E,2,FALSE)</f>
        <v>Annelies de Groot</v>
      </c>
      <c r="E966" t="s">
        <v>363</v>
      </c>
      <c r="F966" s="2">
        <v>0.77</v>
      </c>
      <c r="G966" s="2">
        <v>0.81</v>
      </c>
      <c r="H966" s="2">
        <v>0.95</v>
      </c>
      <c r="I966" s="2">
        <v>0.69569999999999999</v>
      </c>
      <c r="J966" s="2">
        <v>0.83299999999999996</v>
      </c>
      <c r="K966">
        <v>1</v>
      </c>
    </row>
    <row r="967" spans="1:13" x14ac:dyDescent="0.2">
      <c r="A967" t="s">
        <v>160</v>
      </c>
      <c r="B967" t="str">
        <f>VLOOKUP(A967,MasterTutor!A:E,4,FALSE)</f>
        <v>Distinguished</v>
      </c>
      <c r="C967" t="str">
        <f>VLOOKUP(A967,MasterTutor!A:E,3,FALSE)</f>
        <v>Adjunct</v>
      </c>
      <c r="D967" t="str">
        <f>VLOOKUP(A967,MasterTutor!A:E,2,FALSE)</f>
        <v>Ela Cross</v>
      </c>
      <c r="E967" t="s">
        <v>363</v>
      </c>
      <c r="F967" s="2">
        <v>0.81</v>
      </c>
      <c r="G967" s="2">
        <v>1.1299999999999999</v>
      </c>
      <c r="H967" s="2">
        <v>0.95040000000000002</v>
      </c>
      <c r="I967" s="2">
        <v>0.54549999999999998</v>
      </c>
      <c r="J967" s="2">
        <v>0.5</v>
      </c>
      <c r="K967">
        <v>1</v>
      </c>
    </row>
    <row r="968" spans="1:13" x14ac:dyDescent="0.2">
      <c r="A968" t="s">
        <v>161</v>
      </c>
      <c r="B968" t="str">
        <f>VLOOKUP(A968,MasterTutor!A:E,4,FALSE)</f>
        <v>Distinguished</v>
      </c>
      <c r="C968" t="str">
        <f>VLOOKUP(A968,MasterTutor!A:E,3,FALSE)</f>
        <v>Professional</v>
      </c>
      <c r="D968" t="str">
        <f>VLOOKUP(A968,MasterTutor!A:E,2,FALSE)</f>
        <v>Ian Plamondon</v>
      </c>
      <c r="E968" t="s">
        <v>363</v>
      </c>
      <c r="F968" s="2">
        <v>0.99</v>
      </c>
      <c r="G968" s="2">
        <v>1.38</v>
      </c>
      <c r="H968" s="2">
        <v>1</v>
      </c>
      <c r="I968" s="2">
        <v>0.97370000000000001</v>
      </c>
      <c r="J968" s="2">
        <v>0.75</v>
      </c>
      <c r="K968">
        <v>1</v>
      </c>
      <c r="L968" s="19">
        <v>1</v>
      </c>
      <c r="M968" s="21">
        <f>L968</f>
        <v>1</v>
      </c>
    </row>
    <row r="969" spans="1:13" x14ac:dyDescent="0.2">
      <c r="A969" t="s">
        <v>162</v>
      </c>
      <c r="B969" t="e">
        <f>VLOOKUP(A969,MasterTutor!A:E,4,FALSE)</f>
        <v>#N/A</v>
      </c>
      <c r="C969" t="e">
        <f>VLOOKUP(A969,MasterTutor!A:E,3,FALSE)</f>
        <v>#N/A</v>
      </c>
      <c r="D969" t="e">
        <f>VLOOKUP(A969,MasterTutor!A:E,2,FALSE)</f>
        <v>#N/A</v>
      </c>
      <c r="E969" t="s">
        <v>363</v>
      </c>
      <c r="F969" s="2">
        <v>0.9</v>
      </c>
      <c r="G969" s="2">
        <v>1.02</v>
      </c>
      <c r="H969" s="2">
        <v>0.86150000000000004</v>
      </c>
      <c r="I969" s="2">
        <v>0.44440000000000002</v>
      </c>
      <c r="J969" s="2">
        <v>0.44400000000000001</v>
      </c>
      <c r="K969">
        <v>7</v>
      </c>
      <c r="L969" s="19">
        <v>1</v>
      </c>
      <c r="M969" s="21">
        <f>L969</f>
        <v>1</v>
      </c>
    </row>
    <row r="970" spans="1:13" x14ac:dyDescent="0.2">
      <c r="A970" t="s">
        <v>163</v>
      </c>
      <c r="B970" t="str">
        <f>VLOOKUP(A970,MasterTutor!A:E,4,FALSE)</f>
        <v>Premium</v>
      </c>
      <c r="C970" t="str">
        <f>VLOOKUP(A970,MasterTutor!A:E,3,FALSE)</f>
        <v>Professional</v>
      </c>
      <c r="D970" t="str">
        <f>VLOOKUP(A970,MasterTutor!A:E,2,FALSE)</f>
        <v>Jessica Milner</v>
      </c>
      <c r="E970" t="s">
        <v>363</v>
      </c>
      <c r="F970" s="2">
        <v>0.88</v>
      </c>
      <c r="G970" s="2">
        <v>1.37</v>
      </c>
      <c r="H970" s="2">
        <v>0.66669999999999996</v>
      </c>
      <c r="I970" s="2">
        <v>0.62119999999999997</v>
      </c>
      <c r="J970" s="2">
        <v>0.45900000000000002</v>
      </c>
      <c r="K970">
        <v>1</v>
      </c>
      <c r="L970" s="19">
        <v>0</v>
      </c>
      <c r="M970" s="21">
        <f>L970</f>
        <v>0</v>
      </c>
    </row>
    <row r="971" spans="1:13" x14ac:dyDescent="0.2">
      <c r="A971" t="s">
        <v>164</v>
      </c>
      <c r="B971" t="str">
        <f>VLOOKUP(A971,MasterTutor!A:E,4,FALSE)</f>
        <v>Advanced</v>
      </c>
      <c r="C971" t="str">
        <f>VLOOKUP(A971,MasterTutor!A:E,3,FALSE)</f>
        <v>Professional</v>
      </c>
      <c r="D971" t="str">
        <f>VLOOKUP(A971,MasterTutor!A:E,2,FALSE)</f>
        <v>Annelies de Groot</v>
      </c>
      <c r="E971" t="s">
        <v>363</v>
      </c>
      <c r="F971" s="2">
        <v>1.05</v>
      </c>
      <c r="G971" s="2">
        <v>1.02</v>
      </c>
      <c r="H971" s="2">
        <v>0.90769999999999995</v>
      </c>
      <c r="I971" s="2">
        <v>0.75360000000000005</v>
      </c>
      <c r="J971" s="2">
        <v>0.61099999999999999</v>
      </c>
      <c r="K971">
        <v>4</v>
      </c>
      <c r="L971" s="19" t="s">
        <v>357</v>
      </c>
      <c r="M971" s="21">
        <v>0.17</v>
      </c>
    </row>
    <row r="972" spans="1:13" x14ac:dyDescent="0.2">
      <c r="A972" t="s">
        <v>165</v>
      </c>
      <c r="B972" t="str">
        <f>VLOOKUP(A972,MasterTutor!A:E,4,FALSE)</f>
        <v>Advanced</v>
      </c>
      <c r="C972" t="str">
        <f>VLOOKUP(A972,MasterTutor!A:E,3,FALSE)</f>
        <v>Adjunct</v>
      </c>
      <c r="D972" t="str">
        <f>VLOOKUP(A972,MasterTutor!A:E,2,FALSE)</f>
        <v>Ela Cross</v>
      </c>
      <c r="E972" t="s">
        <v>363</v>
      </c>
      <c r="F972" s="2">
        <v>0.96</v>
      </c>
      <c r="G972" s="2">
        <v>0.95</v>
      </c>
      <c r="H972" s="2">
        <v>0.99309999999999998</v>
      </c>
      <c r="I972" s="2">
        <v>0.91300000000000003</v>
      </c>
      <c r="J972" s="2">
        <v>0.81</v>
      </c>
      <c r="K972">
        <v>13</v>
      </c>
      <c r="L972" s="19">
        <v>0</v>
      </c>
      <c r="M972" s="21">
        <f>L972</f>
        <v>0</v>
      </c>
    </row>
    <row r="973" spans="1:13" x14ac:dyDescent="0.2">
      <c r="A973" t="s">
        <v>166</v>
      </c>
      <c r="B973" t="str">
        <f>VLOOKUP(A973,MasterTutor!A:E,4,FALSE)</f>
        <v>Distinguished</v>
      </c>
      <c r="C973" t="str">
        <f>VLOOKUP(A973,MasterTutor!A:E,3,FALSE)</f>
        <v>Adjunct</v>
      </c>
      <c r="D973" t="str">
        <f>VLOOKUP(A973,MasterTutor!A:E,2,FALSE)</f>
        <v>Annelies de Groot</v>
      </c>
      <c r="E973" t="s">
        <v>363</v>
      </c>
      <c r="F973" s="2">
        <v>1.65</v>
      </c>
      <c r="G973" s="2">
        <v>1.44</v>
      </c>
      <c r="H973" s="2">
        <v>0.98860000000000003</v>
      </c>
      <c r="I973" s="2">
        <v>0.9667</v>
      </c>
      <c r="J973" s="2">
        <v>0.66700000000000004</v>
      </c>
      <c r="K973">
        <v>6</v>
      </c>
      <c r="L973" s="19">
        <v>1</v>
      </c>
      <c r="M973" s="21">
        <f>L973</f>
        <v>1</v>
      </c>
    </row>
    <row r="974" spans="1:13" x14ac:dyDescent="0.2">
      <c r="A974" t="s">
        <v>167</v>
      </c>
      <c r="B974" t="str">
        <f>VLOOKUP(A974,MasterTutor!A:E,4,FALSE)</f>
        <v>Advanced</v>
      </c>
      <c r="C974" t="str">
        <f>VLOOKUP(A974,MasterTutor!A:E,3,FALSE)</f>
        <v>Adjunct</v>
      </c>
      <c r="D974" t="str">
        <f>VLOOKUP(A974,MasterTutor!A:E,2,FALSE)</f>
        <v>Ela Cross</v>
      </c>
      <c r="E974" t="s">
        <v>363</v>
      </c>
      <c r="F974" s="2">
        <v>0.75</v>
      </c>
      <c r="G974" s="2">
        <v>0.93</v>
      </c>
      <c r="H974" s="2">
        <v>0.92959999999999998</v>
      </c>
      <c r="I974" s="2">
        <v>0.95450000000000002</v>
      </c>
      <c r="J974" s="2">
        <v>0.78600000000000003</v>
      </c>
      <c r="K974" t="e">
        <v>#N/A</v>
      </c>
      <c r="L974" s="19">
        <v>0</v>
      </c>
      <c r="M974" s="21">
        <f>L974</f>
        <v>0</v>
      </c>
    </row>
    <row r="975" spans="1:13" x14ac:dyDescent="0.2">
      <c r="A975" t="s">
        <v>168</v>
      </c>
      <c r="B975" t="str">
        <f>VLOOKUP(A975,MasterTutor!A:E,4,FALSE)</f>
        <v>Advanced</v>
      </c>
      <c r="C975" t="str">
        <f>VLOOKUP(A975,MasterTutor!A:E,3,FALSE)</f>
        <v>Adjunct</v>
      </c>
      <c r="D975" t="str">
        <f>VLOOKUP(A975,MasterTutor!A:E,2,FALSE)</f>
        <v>Kristin Haase-Alvey</v>
      </c>
      <c r="E975" t="s">
        <v>363</v>
      </c>
      <c r="F975" s="2">
        <v>0.76</v>
      </c>
      <c r="G975" s="2">
        <v>0.83</v>
      </c>
      <c r="H975" s="2">
        <v>1</v>
      </c>
      <c r="I975" s="2">
        <v>1</v>
      </c>
      <c r="J975" s="2">
        <v>0.6</v>
      </c>
      <c r="K975">
        <v>5</v>
      </c>
      <c r="L975" s="19">
        <v>1</v>
      </c>
      <c r="M975" s="21">
        <f>L975</f>
        <v>1</v>
      </c>
    </row>
    <row r="976" spans="1:13" x14ac:dyDescent="0.2">
      <c r="A976" t="s">
        <v>169</v>
      </c>
      <c r="B976" t="e">
        <f>VLOOKUP(A976,MasterTutor!A:E,4,FALSE)</f>
        <v>#N/A</v>
      </c>
      <c r="C976" t="e">
        <f>VLOOKUP(A976,MasterTutor!A:E,3,FALSE)</f>
        <v>#N/A</v>
      </c>
      <c r="D976" t="e">
        <f>VLOOKUP(A976,MasterTutor!A:E,2,FALSE)</f>
        <v>#N/A</v>
      </c>
      <c r="E976" t="s">
        <v>363</v>
      </c>
      <c r="F976" s="2">
        <v>0.92</v>
      </c>
      <c r="G976" s="2">
        <v>1.04</v>
      </c>
      <c r="H976" s="2">
        <v>1</v>
      </c>
      <c r="I976" s="2">
        <v>0.83330000000000004</v>
      </c>
      <c r="J976" s="2">
        <v>1</v>
      </c>
      <c r="K976">
        <v>3</v>
      </c>
      <c r="L976" s="19" t="s">
        <v>331</v>
      </c>
      <c r="M976" s="21">
        <v>0.5</v>
      </c>
    </row>
    <row r="977" spans="1:13" x14ac:dyDescent="0.2">
      <c r="A977" t="s">
        <v>170</v>
      </c>
      <c r="B977" t="str">
        <f>VLOOKUP(A977,MasterTutor!A:E,4,FALSE)</f>
        <v>Advanced</v>
      </c>
      <c r="C977" t="str">
        <f>VLOOKUP(A977,MasterTutor!A:E,3,FALSE)</f>
        <v>Professional</v>
      </c>
      <c r="D977" t="str">
        <f>VLOOKUP(A977,MasterTutor!A:E,2,FALSE)</f>
        <v>Ela Cross</v>
      </c>
      <c r="E977" t="s">
        <v>363</v>
      </c>
      <c r="F977" s="2">
        <v>0.96</v>
      </c>
      <c r="G977" s="2">
        <v>1.19</v>
      </c>
      <c r="H977" s="2">
        <v>0.91830000000000001</v>
      </c>
      <c r="I977" s="2">
        <v>0.88</v>
      </c>
      <c r="J977" s="2">
        <v>1</v>
      </c>
      <c r="K977">
        <v>4</v>
      </c>
      <c r="L977" s="19" t="s">
        <v>335</v>
      </c>
      <c r="M977" s="21">
        <v>0.25</v>
      </c>
    </row>
    <row r="978" spans="1:13" x14ac:dyDescent="0.2">
      <c r="A978" t="s">
        <v>305</v>
      </c>
      <c r="B978" t="str">
        <f>VLOOKUP(A978,MasterTutor!A:E,4,FALSE)</f>
        <v>Advanced</v>
      </c>
      <c r="C978" t="str">
        <f>VLOOKUP(A978,MasterTutor!A:E,3,FALSE)</f>
        <v>Professional</v>
      </c>
      <c r="D978" t="str">
        <f>VLOOKUP(A978,MasterTutor!A:E,2,FALSE)</f>
        <v>Ian Plamondon</v>
      </c>
      <c r="E978" t="s">
        <v>363</v>
      </c>
      <c r="F978" s="2">
        <v>0.64</v>
      </c>
      <c r="G978" s="2">
        <v>1.03</v>
      </c>
      <c r="H978" s="2">
        <v>1</v>
      </c>
      <c r="I978" s="2">
        <v>0.91839999999999999</v>
      </c>
      <c r="J978" s="2">
        <v>0.69199999999999995</v>
      </c>
      <c r="K978" t="e">
        <v>#N/A</v>
      </c>
      <c r="L978" s="19" t="s">
        <v>345</v>
      </c>
      <c r="M978" s="21">
        <v>0.2</v>
      </c>
    </row>
    <row r="979" spans="1:13" x14ac:dyDescent="0.2">
      <c r="A979" t="s">
        <v>171</v>
      </c>
      <c r="B979" t="str">
        <f>VLOOKUP(A979,MasterTutor!A:E,4,FALSE)</f>
        <v>Advanced</v>
      </c>
      <c r="C979" t="str">
        <f>VLOOKUP(A979,MasterTutor!A:E,3,FALSE)</f>
        <v>Adjunct</v>
      </c>
      <c r="D979" t="str">
        <f>VLOOKUP(A979,MasterTutor!A:E,2,FALSE)</f>
        <v>Annelies de Groot</v>
      </c>
      <c r="E979" t="s">
        <v>363</v>
      </c>
      <c r="F979" s="2">
        <v>0.51</v>
      </c>
      <c r="G979" s="2">
        <v>1.07</v>
      </c>
      <c r="H979" s="2">
        <v>0.97499999999999998</v>
      </c>
      <c r="I979" s="2">
        <v>1</v>
      </c>
      <c r="J979" s="2">
        <v>0.6</v>
      </c>
      <c r="K979" t="e">
        <v>#N/A</v>
      </c>
    </row>
    <row r="980" spans="1:13" x14ac:dyDescent="0.2">
      <c r="A980" t="s">
        <v>172</v>
      </c>
      <c r="B980" t="e">
        <f>VLOOKUP(A980,MasterTutor!A:E,4,FALSE)</f>
        <v>#N/A</v>
      </c>
      <c r="C980" t="e">
        <f>VLOOKUP(A980,MasterTutor!A:E,3,FALSE)</f>
        <v>#N/A</v>
      </c>
      <c r="D980" t="e">
        <f>VLOOKUP(A980,MasterTutor!A:E,2,FALSE)</f>
        <v>#N/A</v>
      </c>
      <c r="E980" t="s">
        <v>363</v>
      </c>
      <c r="F980" s="2">
        <v>0.45</v>
      </c>
      <c r="G980" s="2">
        <v>1.01</v>
      </c>
      <c r="H980" s="2">
        <v>1</v>
      </c>
      <c r="I980" s="2">
        <v>1</v>
      </c>
      <c r="J980" s="2">
        <v>1</v>
      </c>
      <c r="K980">
        <v>3</v>
      </c>
    </row>
    <row r="981" spans="1:13" x14ac:dyDescent="0.2">
      <c r="A981" t="s">
        <v>174</v>
      </c>
      <c r="B981" t="e">
        <f>VLOOKUP(A981,MasterTutor!A:E,4,FALSE)</f>
        <v>#N/A</v>
      </c>
      <c r="C981" t="e">
        <f>VLOOKUP(A981,MasterTutor!A:E,3,FALSE)</f>
        <v>#N/A</v>
      </c>
      <c r="D981" t="e">
        <f>VLOOKUP(A981,MasterTutor!A:E,2,FALSE)</f>
        <v>#N/A</v>
      </c>
      <c r="E981" t="s">
        <v>363</v>
      </c>
      <c r="F981" s="2">
        <v>0.8</v>
      </c>
      <c r="G981" s="2">
        <v>0.88</v>
      </c>
      <c r="H981" s="2">
        <v>0.97150000000000003</v>
      </c>
      <c r="I981" s="2">
        <v>0.75319999999999998</v>
      </c>
      <c r="J981" s="2">
        <v>0.80800000000000005</v>
      </c>
      <c r="K981">
        <v>9</v>
      </c>
      <c r="L981" s="19">
        <v>1</v>
      </c>
      <c r="M981" s="21">
        <f>L981</f>
        <v>1</v>
      </c>
    </row>
    <row r="982" spans="1:13" x14ac:dyDescent="0.2">
      <c r="A982" t="s">
        <v>175</v>
      </c>
      <c r="B982" t="str">
        <f>VLOOKUP(A982,MasterTutor!A:E,4,FALSE)</f>
        <v>Distinguished</v>
      </c>
      <c r="C982" t="str">
        <f>VLOOKUP(A982,MasterTutor!A:E,3,FALSE)</f>
        <v>Adjunct</v>
      </c>
      <c r="D982" t="str">
        <f>VLOOKUP(A982,MasterTutor!A:E,2,FALSE)</f>
        <v>Annelies de Groot</v>
      </c>
      <c r="E982" t="s">
        <v>363</v>
      </c>
      <c r="F982" s="2">
        <v>0.99</v>
      </c>
      <c r="G982" s="2">
        <v>1.1100000000000001</v>
      </c>
      <c r="H982" s="2">
        <v>0.90100000000000002</v>
      </c>
      <c r="I982" s="2">
        <v>1</v>
      </c>
      <c r="J982" s="2">
        <v>0.83299999999999996</v>
      </c>
      <c r="K982">
        <v>2</v>
      </c>
      <c r="L982" s="19">
        <v>1</v>
      </c>
      <c r="M982" s="21">
        <f>L982</f>
        <v>1</v>
      </c>
    </row>
    <row r="983" spans="1:13" x14ac:dyDescent="0.2">
      <c r="A983" t="s">
        <v>176</v>
      </c>
      <c r="B983" t="str">
        <f>VLOOKUP(A983,MasterTutor!A:E,4,FALSE)</f>
        <v>Premium</v>
      </c>
      <c r="C983" t="str">
        <f>VLOOKUP(A983,MasterTutor!A:E,3,FALSE)</f>
        <v>Professional</v>
      </c>
      <c r="D983" t="str">
        <f>VLOOKUP(A983,MasterTutor!A:E,2,FALSE)</f>
        <v>Ian Plamondon</v>
      </c>
      <c r="E983" t="s">
        <v>363</v>
      </c>
      <c r="F983" s="2">
        <v>0.95</v>
      </c>
      <c r="G983" s="2">
        <v>1.35</v>
      </c>
      <c r="H983" s="2">
        <v>1</v>
      </c>
      <c r="I983" s="2">
        <v>1</v>
      </c>
      <c r="J983" s="2">
        <v>0.65</v>
      </c>
      <c r="K983">
        <v>3</v>
      </c>
      <c r="L983" s="19" t="s">
        <v>330</v>
      </c>
      <c r="M983" s="21">
        <v>0.67</v>
      </c>
    </row>
    <row r="984" spans="1:13" x14ac:dyDescent="0.2">
      <c r="A984" t="s">
        <v>362</v>
      </c>
      <c r="B984" t="e">
        <f>VLOOKUP(A984,MasterTutor!A:E,4,FALSE)</f>
        <v>#N/A</v>
      </c>
      <c r="C984" t="e">
        <f>VLOOKUP(A984,MasterTutor!A:E,3,FALSE)</f>
        <v>#N/A</v>
      </c>
      <c r="D984" t="e">
        <f>VLOOKUP(A984,MasterTutor!A:E,2,FALSE)</f>
        <v>#N/A</v>
      </c>
      <c r="E984" t="s">
        <v>363</v>
      </c>
      <c r="F984" s="2">
        <v>0.63</v>
      </c>
      <c r="G984" s="2">
        <v>0.92</v>
      </c>
      <c r="H984" s="2">
        <v>1</v>
      </c>
      <c r="I984" s="2">
        <v>0.82689999999999997</v>
      </c>
      <c r="J984" s="2">
        <v>0.70599999999999996</v>
      </c>
      <c r="K984">
        <v>3</v>
      </c>
      <c r="L984" s="19">
        <v>0</v>
      </c>
      <c r="M984" s="21">
        <f>L984</f>
        <v>0</v>
      </c>
    </row>
    <row r="985" spans="1:13" x14ac:dyDescent="0.2">
      <c r="A985" t="s">
        <v>177</v>
      </c>
      <c r="B985" t="e">
        <f>VLOOKUP(A985,MasterTutor!A:E,4,FALSE)</f>
        <v>#N/A</v>
      </c>
      <c r="C985" t="e">
        <f>VLOOKUP(A985,MasterTutor!A:E,3,FALSE)</f>
        <v>#N/A</v>
      </c>
      <c r="D985" t="e">
        <f>VLOOKUP(A985,MasterTutor!A:E,2,FALSE)</f>
        <v>#N/A</v>
      </c>
      <c r="E985" t="s">
        <v>363</v>
      </c>
      <c r="F985" s="2">
        <v>0.91</v>
      </c>
      <c r="G985" s="2">
        <v>1.06</v>
      </c>
      <c r="H985" s="2">
        <v>0.81389999999999996</v>
      </c>
      <c r="I985" s="2">
        <v>1</v>
      </c>
      <c r="J985" s="2">
        <v>0.4</v>
      </c>
      <c r="K985">
        <v>2</v>
      </c>
    </row>
    <row r="986" spans="1:13" x14ac:dyDescent="0.2">
      <c r="A986" t="s">
        <v>178</v>
      </c>
      <c r="B986" t="e">
        <f>VLOOKUP(A986,MasterTutor!A:E,4,FALSE)</f>
        <v>#N/A</v>
      </c>
      <c r="C986" t="e">
        <f>VLOOKUP(A986,MasterTutor!A:E,3,FALSE)</f>
        <v>#N/A</v>
      </c>
      <c r="D986" t="e">
        <f>VLOOKUP(A986,MasterTutor!A:E,2,FALSE)</f>
        <v>#N/A</v>
      </c>
      <c r="E986" t="s">
        <v>363</v>
      </c>
      <c r="F986" s="2">
        <v>0.91</v>
      </c>
      <c r="G986" s="2">
        <v>0.89</v>
      </c>
      <c r="H986" s="2">
        <v>1</v>
      </c>
      <c r="I986" s="2">
        <v>0.9355</v>
      </c>
      <c r="J986" s="2">
        <v>0.8</v>
      </c>
      <c r="K986">
        <v>5</v>
      </c>
    </row>
    <row r="987" spans="1:13" x14ac:dyDescent="0.2">
      <c r="A987" t="s">
        <v>314</v>
      </c>
      <c r="B987" t="str">
        <f>VLOOKUP(A987,MasterTutor!A:E,4,FALSE)</f>
        <v>Advanced</v>
      </c>
      <c r="C987" t="str">
        <f>VLOOKUP(A987,MasterTutor!A:E,3,FALSE)</f>
        <v>Professional</v>
      </c>
      <c r="D987" t="str">
        <f>VLOOKUP(A987,MasterTutor!A:E,2,FALSE)</f>
        <v>Ian Plamondon</v>
      </c>
      <c r="E987" t="s">
        <v>363</v>
      </c>
      <c r="F987" s="2">
        <v>0.69</v>
      </c>
      <c r="G987" s="2">
        <v>0.93</v>
      </c>
      <c r="H987" s="2">
        <v>1</v>
      </c>
      <c r="I987" s="2">
        <v>0.97829999999999995</v>
      </c>
      <c r="J987" s="2">
        <v>0.71399999999999997</v>
      </c>
      <c r="K987">
        <v>3</v>
      </c>
      <c r="L987" s="19" t="s">
        <v>335</v>
      </c>
      <c r="M987" s="21">
        <v>0.25</v>
      </c>
    </row>
    <row r="988" spans="1:13" x14ac:dyDescent="0.2">
      <c r="A988" t="s">
        <v>179</v>
      </c>
      <c r="B988" t="str">
        <f>VLOOKUP(A988,MasterTutor!A:E,4,FALSE)</f>
        <v>Advanced</v>
      </c>
      <c r="C988" t="str">
        <f>VLOOKUP(A988,MasterTutor!A:E,3,FALSE)</f>
        <v>Adjunct</v>
      </c>
      <c r="D988" t="str">
        <f>VLOOKUP(A988,MasterTutor!A:E,2,FALSE)</f>
        <v>Ela Cross</v>
      </c>
      <c r="E988" t="s">
        <v>363</v>
      </c>
      <c r="F988" s="2">
        <v>0.89</v>
      </c>
      <c r="G988" s="2">
        <v>1.25</v>
      </c>
      <c r="H988" s="2">
        <v>0.97499999999999998</v>
      </c>
      <c r="I988" s="2">
        <v>1</v>
      </c>
      <c r="J988" s="2">
        <v>1</v>
      </c>
      <c r="K988">
        <v>4</v>
      </c>
    </row>
    <row r="989" spans="1:13" x14ac:dyDescent="0.2">
      <c r="A989" t="s">
        <v>180</v>
      </c>
      <c r="B989" t="str">
        <f>VLOOKUP(A989,MasterTutor!A:E,4,FALSE)</f>
        <v>Premium</v>
      </c>
      <c r="C989" t="str">
        <f>VLOOKUP(A989,MasterTutor!A:E,3,FALSE)</f>
        <v>Adjunct</v>
      </c>
      <c r="D989" t="str">
        <f>VLOOKUP(A989,MasterTutor!A:E,2,FALSE)</f>
        <v>Geoff St. Marie</v>
      </c>
      <c r="E989" t="s">
        <v>363</v>
      </c>
      <c r="F989" s="2">
        <v>0.99</v>
      </c>
      <c r="G989" s="2">
        <v>1.39</v>
      </c>
      <c r="H989" s="2">
        <v>1</v>
      </c>
      <c r="I989" s="2">
        <v>1</v>
      </c>
      <c r="J989" s="2">
        <v>0.77800000000000002</v>
      </c>
      <c r="K989">
        <v>1</v>
      </c>
      <c r="L989" s="19">
        <v>0</v>
      </c>
      <c r="M989" s="21">
        <f>L989</f>
        <v>0</v>
      </c>
    </row>
    <row r="990" spans="1:13" x14ac:dyDescent="0.2">
      <c r="A990" t="s">
        <v>181</v>
      </c>
      <c r="B990" t="str">
        <f>VLOOKUP(A990,MasterTutor!A:E,4,FALSE)</f>
        <v>Advanced</v>
      </c>
      <c r="C990" t="str">
        <f>VLOOKUP(A990,MasterTutor!A:E,3,FALSE)</f>
        <v>Professional</v>
      </c>
      <c r="D990" t="str">
        <f>VLOOKUP(A990,MasterTutor!A:E,2,FALSE)</f>
        <v>Ela Cross</v>
      </c>
      <c r="E990" t="s">
        <v>363</v>
      </c>
      <c r="F990" s="2">
        <v>1.1000000000000001</v>
      </c>
      <c r="G990" s="2">
        <v>1.21</v>
      </c>
      <c r="H990" s="2">
        <v>0.99139999999999995</v>
      </c>
      <c r="I990" s="2">
        <v>0.95120000000000005</v>
      </c>
      <c r="J990" s="2">
        <v>0.78900000000000003</v>
      </c>
      <c r="K990" t="e">
        <v>#N/A</v>
      </c>
      <c r="L990" s="19" t="s">
        <v>343</v>
      </c>
      <c r="M990" s="21">
        <v>0.89</v>
      </c>
    </row>
    <row r="991" spans="1:13" x14ac:dyDescent="0.2">
      <c r="A991" t="s">
        <v>182</v>
      </c>
      <c r="B991" t="str">
        <f>VLOOKUP(A991,MasterTutor!A:E,4,FALSE)</f>
        <v>Premium</v>
      </c>
      <c r="C991" t="str">
        <f>VLOOKUP(A991,MasterTutor!A:E,3,FALSE)</f>
        <v>Professional</v>
      </c>
      <c r="D991" t="str">
        <f>VLOOKUP(A991,MasterTutor!A:E,2,FALSE)</f>
        <v>Annelies de Groot</v>
      </c>
      <c r="E991" t="s">
        <v>363</v>
      </c>
      <c r="F991" s="2">
        <v>1.06</v>
      </c>
      <c r="G991" s="2">
        <v>1.1599999999999999</v>
      </c>
      <c r="H991" s="2">
        <v>1</v>
      </c>
      <c r="I991" s="2">
        <v>0.90380000000000005</v>
      </c>
      <c r="J991" s="2">
        <v>0.66700000000000004</v>
      </c>
      <c r="K991">
        <v>9</v>
      </c>
    </row>
    <row r="992" spans="1:13" x14ac:dyDescent="0.2">
      <c r="A992" t="s">
        <v>315</v>
      </c>
      <c r="B992" t="str">
        <f>VLOOKUP(A992,MasterTutor!A:E,4,FALSE)</f>
        <v>Advanced</v>
      </c>
      <c r="C992" t="str">
        <f>VLOOKUP(A992,MasterTutor!A:E,3,FALSE)</f>
        <v>Professional</v>
      </c>
      <c r="D992" t="str">
        <f>VLOOKUP(A992,MasterTutor!A:E,2,FALSE)</f>
        <v>Ela Cross</v>
      </c>
      <c r="E992" t="s">
        <v>363</v>
      </c>
      <c r="F992" s="2">
        <v>0.8</v>
      </c>
      <c r="G992" s="2">
        <v>1.1299999999999999</v>
      </c>
      <c r="H992" s="2">
        <v>0.91520000000000001</v>
      </c>
      <c r="I992" s="2">
        <v>1</v>
      </c>
      <c r="J992" s="2">
        <v>0.73699999999999999</v>
      </c>
      <c r="K992">
        <v>1</v>
      </c>
      <c r="L992" s="19">
        <v>1</v>
      </c>
      <c r="M992" s="21">
        <f>L992</f>
        <v>1</v>
      </c>
    </row>
    <row r="993" spans="1:13" x14ac:dyDescent="0.2">
      <c r="A993" t="s">
        <v>183</v>
      </c>
      <c r="B993" t="str">
        <f>VLOOKUP(A993,MasterTutor!A:E,4,FALSE)</f>
        <v>Advanced</v>
      </c>
      <c r="C993" t="str">
        <f>VLOOKUP(A993,MasterTutor!A:E,3,FALSE)</f>
        <v>Adjunct</v>
      </c>
      <c r="D993" t="str">
        <f>VLOOKUP(A993,MasterTutor!A:E,2,FALSE)</f>
        <v>Annelies de Groot</v>
      </c>
      <c r="E993" t="s">
        <v>363</v>
      </c>
      <c r="F993" s="2">
        <v>1.28</v>
      </c>
      <c r="G993" s="2">
        <v>1.49</v>
      </c>
      <c r="H993" s="2">
        <v>0.96740000000000004</v>
      </c>
      <c r="I993" s="2">
        <v>1</v>
      </c>
      <c r="J993" s="2">
        <v>1</v>
      </c>
      <c r="K993">
        <v>4</v>
      </c>
      <c r="L993" s="19">
        <v>0</v>
      </c>
      <c r="M993" s="21">
        <f>L993</f>
        <v>0</v>
      </c>
    </row>
    <row r="994" spans="1:13" x14ac:dyDescent="0.2">
      <c r="A994" t="s">
        <v>184</v>
      </c>
      <c r="B994" t="str">
        <f>VLOOKUP(A994,MasterTutor!A:E,4,FALSE)</f>
        <v>Advanced</v>
      </c>
      <c r="C994" t="str">
        <f>VLOOKUP(A994,MasterTutor!A:E,3,FALSE)</f>
        <v>Adjunct</v>
      </c>
      <c r="D994" t="str">
        <f>VLOOKUP(A994,MasterTutor!A:E,2,FALSE)</f>
        <v>Kristin Haase-Alvey</v>
      </c>
      <c r="E994" t="s">
        <v>363</v>
      </c>
      <c r="F994" s="2">
        <v>0.85</v>
      </c>
      <c r="G994" s="2">
        <v>0.98</v>
      </c>
      <c r="H994" s="2">
        <v>0.95989999999999998</v>
      </c>
      <c r="I994" s="2">
        <v>0.90910000000000002</v>
      </c>
      <c r="J994" s="2">
        <v>0.85699999999999998</v>
      </c>
      <c r="K994">
        <v>3</v>
      </c>
      <c r="L994" s="19">
        <v>1</v>
      </c>
      <c r="M994" s="21">
        <f>L994</f>
        <v>1</v>
      </c>
    </row>
    <row r="995" spans="1:13" x14ac:dyDescent="0.2">
      <c r="A995" t="s">
        <v>185</v>
      </c>
      <c r="B995" t="str">
        <f>VLOOKUP(A995,MasterTutor!A:E,4,FALSE)</f>
        <v>Distinguished</v>
      </c>
      <c r="C995" t="str">
        <f>VLOOKUP(A995,MasterTutor!A:E,3,FALSE)</f>
        <v>Professional</v>
      </c>
      <c r="D995" t="str">
        <f>VLOOKUP(A995,MasterTutor!A:E,2,FALSE)</f>
        <v>Ian Plamondon</v>
      </c>
      <c r="E995" t="s">
        <v>363</v>
      </c>
      <c r="F995" s="2">
        <v>0.68</v>
      </c>
      <c r="G995" s="2">
        <v>1</v>
      </c>
      <c r="H995" s="2">
        <v>1</v>
      </c>
      <c r="I995" s="2">
        <v>0.97919999999999996</v>
      </c>
      <c r="J995" s="2">
        <v>0.68799999999999994</v>
      </c>
      <c r="K995">
        <v>4</v>
      </c>
      <c r="L995" s="19">
        <v>0</v>
      </c>
      <c r="M995" s="21">
        <f>L995</f>
        <v>0</v>
      </c>
    </row>
    <row r="996" spans="1:13" x14ac:dyDescent="0.2">
      <c r="A996" t="s">
        <v>186</v>
      </c>
      <c r="B996" t="str">
        <f>VLOOKUP(A996,MasterTutor!A:E,4,FALSE)</f>
        <v>Premium</v>
      </c>
      <c r="C996" t="str">
        <f>VLOOKUP(A996,MasterTutor!A:E,3,FALSE)</f>
        <v>Adjunct</v>
      </c>
      <c r="D996" t="str">
        <f>VLOOKUP(A996,MasterTutor!A:E,2,FALSE)</f>
        <v>Ela Cross</v>
      </c>
      <c r="E996" t="s">
        <v>363</v>
      </c>
      <c r="F996" s="2">
        <v>1.31</v>
      </c>
      <c r="G996" s="2">
        <v>1.52</v>
      </c>
      <c r="H996" s="2">
        <v>1</v>
      </c>
      <c r="I996" s="2">
        <v>0.95120000000000005</v>
      </c>
      <c r="J996" s="2">
        <v>0.5</v>
      </c>
      <c r="K996">
        <v>2</v>
      </c>
    </row>
    <row r="997" spans="1:13" x14ac:dyDescent="0.2">
      <c r="A997" t="s">
        <v>316</v>
      </c>
      <c r="B997" t="str">
        <f>VLOOKUP(A997,MasterTutor!A:E,4,FALSE)</f>
        <v>Advanced</v>
      </c>
      <c r="C997" t="str">
        <f>VLOOKUP(A997,MasterTutor!A:E,3,FALSE)</f>
        <v>Professional</v>
      </c>
      <c r="D997" t="str">
        <f>VLOOKUP(A997,MasterTutor!A:E,2,FALSE)</f>
        <v>Annelies de Groot</v>
      </c>
      <c r="E997" t="s">
        <v>363</v>
      </c>
      <c r="F997" s="2">
        <v>0.05</v>
      </c>
      <c r="G997" s="2">
        <v>0.52</v>
      </c>
      <c r="H997" s="2">
        <v>1</v>
      </c>
      <c r="I997" s="2">
        <v>1</v>
      </c>
      <c r="J997" s="2">
        <v>1</v>
      </c>
      <c r="K997" t="e">
        <v>#N/A</v>
      </c>
      <c r="L997" s="19">
        <v>1</v>
      </c>
      <c r="M997" s="21">
        <f>L997</f>
        <v>1</v>
      </c>
    </row>
    <row r="998" spans="1:13" x14ac:dyDescent="0.2">
      <c r="A998" t="s">
        <v>187</v>
      </c>
      <c r="B998" t="str">
        <f>VLOOKUP(A998,MasterTutor!A:E,4,FALSE)</f>
        <v>Distinguished</v>
      </c>
      <c r="C998" t="str">
        <f>VLOOKUP(A998,MasterTutor!A:E,3,FALSE)</f>
        <v>Adjunct</v>
      </c>
      <c r="D998" t="str">
        <f>VLOOKUP(A998,MasterTutor!A:E,2,FALSE)</f>
        <v>Ela Cross</v>
      </c>
      <c r="E998" t="s">
        <v>363</v>
      </c>
      <c r="F998" s="2">
        <v>1.1499999999999999</v>
      </c>
      <c r="G998" s="2">
        <v>1.54</v>
      </c>
      <c r="H998" s="2">
        <v>0.91739999999999999</v>
      </c>
      <c r="I998" s="2">
        <v>0.79410000000000003</v>
      </c>
      <c r="J998" s="2">
        <v>0.33300000000000002</v>
      </c>
      <c r="K998" t="e">
        <v>#N/A</v>
      </c>
      <c r="L998" s="19">
        <v>1</v>
      </c>
      <c r="M998" s="21">
        <f>L998</f>
        <v>1</v>
      </c>
    </row>
    <row r="999" spans="1:13" x14ac:dyDescent="0.2">
      <c r="A999" t="s">
        <v>188</v>
      </c>
      <c r="B999" t="str">
        <f>VLOOKUP(A999,MasterTutor!A:E,4,FALSE)</f>
        <v>Premium</v>
      </c>
      <c r="C999" t="str">
        <f>VLOOKUP(A999,MasterTutor!A:E,3,FALSE)</f>
        <v>Professional</v>
      </c>
      <c r="D999" t="str">
        <f>VLOOKUP(A999,MasterTutor!A:E,2,FALSE)</f>
        <v>Ian Plamondon</v>
      </c>
      <c r="E999" t="s">
        <v>363</v>
      </c>
      <c r="F999" s="2">
        <v>0.83</v>
      </c>
      <c r="G999" s="2">
        <v>1.0900000000000001</v>
      </c>
      <c r="H999" s="2">
        <v>0.98860000000000003</v>
      </c>
      <c r="I999" s="2">
        <v>0.97009999999999996</v>
      </c>
      <c r="J999" s="2">
        <v>0.7</v>
      </c>
      <c r="K999">
        <v>4</v>
      </c>
      <c r="L999" s="19">
        <v>0</v>
      </c>
      <c r="M999" s="21">
        <f>L999</f>
        <v>0</v>
      </c>
    </row>
    <row r="1000" spans="1:13" x14ac:dyDescent="0.2">
      <c r="A1000" t="s">
        <v>189</v>
      </c>
      <c r="B1000" t="str">
        <f>VLOOKUP(A1000,MasterTutor!A:E,4,FALSE)</f>
        <v>Advanced</v>
      </c>
      <c r="C1000" t="str">
        <f>VLOOKUP(A1000,MasterTutor!A:E,3,FALSE)</f>
        <v>Adjunct</v>
      </c>
      <c r="D1000" t="str">
        <f>VLOOKUP(A1000,MasterTutor!A:E,2,FALSE)</f>
        <v>Annelies de Groot</v>
      </c>
      <c r="E1000" t="s">
        <v>363</v>
      </c>
      <c r="F1000" s="2">
        <v>1.39</v>
      </c>
      <c r="G1000" s="2">
        <v>1.46</v>
      </c>
      <c r="H1000" s="2">
        <v>0.93659999999999999</v>
      </c>
      <c r="I1000" s="2">
        <v>0.98250000000000004</v>
      </c>
      <c r="J1000" s="2">
        <v>0.66700000000000004</v>
      </c>
      <c r="K1000">
        <v>2</v>
      </c>
    </row>
    <row r="1001" spans="1:13" x14ac:dyDescent="0.2">
      <c r="A1001" t="s">
        <v>191</v>
      </c>
      <c r="B1001" t="e">
        <f>VLOOKUP(A1001,MasterTutor!A:E,4,FALSE)</f>
        <v>#N/A</v>
      </c>
      <c r="C1001" t="e">
        <f>VLOOKUP(A1001,MasterTutor!A:E,3,FALSE)</f>
        <v>#N/A</v>
      </c>
      <c r="D1001" t="e">
        <f>VLOOKUP(A1001,MasterTutor!A:E,2,FALSE)</f>
        <v>#N/A</v>
      </c>
      <c r="E1001" t="s">
        <v>363</v>
      </c>
      <c r="F1001" s="2">
        <v>1.01</v>
      </c>
      <c r="G1001" s="2">
        <v>1.05</v>
      </c>
      <c r="H1001" s="2">
        <v>1</v>
      </c>
      <c r="I1001" s="2">
        <v>0.93899999999999995</v>
      </c>
      <c r="J1001" s="2">
        <v>0.88</v>
      </c>
      <c r="K1001">
        <v>9</v>
      </c>
      <c r="L1001" s="19">
        <v>1</v>
      </c>
      <c r="M1001" s="21">
        <f>L1001</f>
        <v>1</v>
      </c>
    </row>
    <row r="1002" spans="1:13" x14ac:dyDescent="0.2">
      <c r="A1002" t="s">
        <v>318</v>
      </c>
      <c r="B1002" t="str">
        <f>VLOOKUP(A1002,MasterTutor!A:E,4,FALSE)</f>
        <v>Advanced</v>
      </c>
      <c r="C1002" t="str">
        <f>VLOOKUP(A1002,MasterTutor!A:E,3,FALSE)</f>
        <v>Adjunct</v>
      </c>
      <c r="D1002" t="str">
        <f>VLOOKUP(A1002,MasterTutor!A:E,2,FALSE)</f>
        <v>Ela Cross</v>
      </c>
      <c r="E1002" t="s">
        <v>363</v>
      </c>
      <c r="F1002" s="2">
        <v>0.35</v>
      </c>
      <c r="G1002" s="2">
        <v>1.04</v>
      </c>
      <c r="H1002" s="2">
        <v>1</v>
      </c>
      <c r="I1002" s="2">
        <v>0.9</v>
      </c>
      <c r="J1002" s="2">
        <v>0.75</v>
      </c>
      <c r="K1002" t="e">
        <v>#N/A</v>
      </c>
    </row>
    <row r="1003" spans="1:13" x14ac:dyDescent="0.2">
      <c r="A1003" t="s">
        <v>192</v>
      </c>
      <c r="B1003" t="str">
        <f>VLOOKUP(A1003,MasterTutor!A:E,4,FALSE)</f>
        <v>Advanced</v>
      </c>
      <c r="C1003" t="str">
        <f>VLOOKUP(A1003,MasterTutor!A:E,3,FALSE)</f>
        <v>Adjunct</v>
      </c>
      <c r="D1003" t="str">
        <f>VLOOKUP(A1003,MasterTutor!A:E,2,FALSE)</f>
        <v>Ela Cross</v>
      </c>
      <c r="E1003" t="s">
        <v>363</v>
      </c>
      <c r="F1003" s="2">
        <v>1.95</v>
      </c>
      <c r="G1003" s="2">
        <v>1.77</v>
      </c>
      <c r="H1003" s="2">
        <v>1</v>
      </c>
      <c r="I1003" s="2">
        <v>0.94640000000000002</v>
      </c>
      <c r="J1003" s="2">
        <v>0.90900000000000003</v>
      </c>
      <c r="K1003">
        <v>4</v>
      </c>
      <c r="L1003" s="19" t="s">
        <v>331</v>
      </c>
      <c r="M1003" s="21">
        <v>0.5</v>
      </c>
    </row>
    <row r="1004" spans="1:13" x14ac:dyDescent="0.2">
      <c r="A1004" t="s">
        <v>193</v>
      </c>
      <c r="B1004" t="str">
        <f>VLOOKUP(A1004,MasterTutor!A:E,4,FALSE)</f>
        <v>Advanced</v>
      </c>
      <c r="C1004" t="str">
        <f>VLOOKUP(A1004,MasterTutor!A:E,3,FALSE)</f>
        <v>Professional</v>
      </c>
      <c r="D1004" t="str">
        <f>VLOOKUP(A1004,MasterTutor!A:E,2,FALSE)</f>
        <v>Annelies de Groot</v>
      </c>
      <c r="E1004" t="s">
        <v>363</v>
      </c>
      <c r="F1004" s="2">
        <v>0.88</v>
      </c>
      <c r="G1004" s="2">
        <v>0.96</v>
      </c>
      <c r="H1004" s="2">
        <v>1</v>
      </c>
      <c r="I1004" s="2">
        <v>0.95589999999999997</v>
      </c>
      <c r="J1004" s="2">
        <v>0.90900000000000003</v>
      </c>
      <c r="K1004">
        <v>3</v>
      </c>
      <c r="L1004" s="19">
        <v>1</v>
      </c>
      <c r="M1004" s="21">
        <f>L1004</f>
        <v>1</v>
      </c>
    </row>
    <row r="1005" spans="1:13" x14ac:dyDescent="0.2">
      <c r="A1005" t="s">
        <v>194</v>
      </c>
      <c r="B1005" t="e">
        <f>VLOOKUP(A1005,MasterTutor!A:E,4,FALSE)</f>
        <v>#N/A</v>
      </c>
      <c r="C1005" t="e">
        <f>VLOOKUP(A1005,MasterTutor!A:E,3,FALSE)</f>
        <v>#N/A</v>
      </c>
      <c r="D1005" t="e">
        <f>VLOOKUP(A1005,MasterTutor!A:E,2,FALSE)</f>
        <v>#N/A</v>
      </c>
      <c r="E1005" t="s">
        <v>363</v>
      </c>
      <c r="F1005" s="2">
        <v>0.84</v>
      </c>
      <c r="G1005" s="2">
        <v>1.1399999999999999</v>
      </c>
      <c r="H1005" s="2">
        <v>0.92800000000000005</v>
      </c>
      <c r="I1005" s="2">
        <v>0.88570000000000004</v>
      </c>
      <c r="J1005" s="2">
        <v>0.75</v>
      </c>
      <c r="K1005">
        <v>3</v>
      </c>
    </row>
    <row r="1006" spans="1:13" x14ac:dyDescent="0.2">
      <c r="A1006" t="s">
        <v>195</v>
      </c>
      <c r="B1006" t="e">
        <f>VLOOKUP(A1006,MasterTutor!A:E,4,FALSE)</f>
        <v>#N/A</v>
      </c>
      <c r="C1006" t="e">
        <f>VLOOKUP(A1006,MasterTutor!A:E,3,FALSE)</f>
        <v>#N/A</v>
      </c>
      <c r="D1006" t="e">
        <f>VLOOKUP(A1006,MasterTutor!A:E,2,FALSE)</f>
        <v>#N/A</v>
      </c>
      <c r="E1006" t="s">
        <v>363</v>
      </c>
      <c r="F1006" s="2">
        <v>0.97</v>
      </c>
      <c r="G1006" s="2">
        <v>1.2</v>
      </c>
      <c r="H1006" s="2">
        <v>0.85629999999999995</v>
      </c>
      <c r="I1006" s="2">
        <v>1</v>
      </c>
      <c r="J1006" s="2">
        <v>0.5</v>
      </c>
      <c r="K1006">
        <v>1</v>
      </c>
      <c r="L1006" s="19" t="s">
        <v>347</v>
      </c>
      <c r="M1006" s="21">
        <v>0.56999999999999995</v>
      </c>
    </row>
    <row r="1007" spans="1:13" x14ac:dyDescent="0.2">
      <c r="A1007" t="s">
        <v>196</v>
      </c>
      <c r="B1007" t="str">
        <f>VLOOKUP(A1007,MasterTutor!A:E,4,FALSE)</f>
        <v>Advanced</v>
      </c>
      <c r="C1007" t="str">
        <f>VLOOKUP(A1007,MasterTutor!A:E,3,FALSE)</f>
        <v>Adjunct</v>
      </c>
      <c r="D1007" t="str">
        <f>VLOOKUP(A1007,MasterTutor!A:E,2,FALSE)</f>
        <v>Kristin Haase-Alvey</v>
      </c>
      <c r="E1007" t="s">
        <v>363</v>
      </c>
      <c r="F1007" s="2">
        <v>0.85</v>
      </c>
      <c r="G1007" s="2">
        <v>1.02</v>
      </c>
      <c r="H1007" s="2">
        <v>0.96430000000000005</v>
      </c>
      <c r="I1007" s="2">
        <v>0.92310000000000003</v>
      </c>
      <c r="J1007" s="2">
        <v>0.14299999999999999</v>
      </c>
      <c r="K1007">
        <v>1</v>
      </c>
    </row>
    <row r="1008" spans="1:13" x14ac:dyDescent="0.2">
      <c r="A1008" t="s">
        <v>197</v>
      </c>
      <c r="B1008" t="str">
        <f>VLOOKUP(A1008,MasterTutor!A:E,4,FALSE)</f>
        <v>Premium</v>
      </c>
      <c r="C1008" t="str">
        <f>VLOOKUP(A1008,MasterTutor!A:E,3,FALSE)</f>
        <v>Professional</v>
      </c>
      <c r="D1008" t="str">
        <f>VLOOKUP(A1008,MasterTutor!A:E,2,FALSE)</f>
        <v>Jessica Milner</v>
      </c>
      <c r="E1008" t="s">
        <v>363</v>
      </c>
      <c r="F1008" s="2">
        <v>0.95</v>
      </c>
      <c r="G1008" s="2">
        <v>1.5</v>
      </c>
      <c r="H1008" s="2">
        <v>1</v>
      </c>
      <c r="I1008" s="2">
        <v>0.91180000000000005</v>
      </c>
      <c r="J1008" s="2">
        <v>0.78600000000000003</v>
      </c>
      <c r="K1008">
        <v>3</v>
      </c>
      <c r="L1008" s="19">
        <v>1</v>
      </c>
      <c r="M1008" s="21">
        <f>L1008</f>
        <v>1</v>
      </c>
    </row>
    <row r="1009" spans="1:13" x14ac:dyDescent="0.2">
      <c r="A1009" t="s">
        <v>319</v>
      </c>
      <c r="B1009" t="str">
        <f>VLOOKUP(A1009,MasterTutor!A:E,4,FALSE)</f>
        <v>Advanced</v>
      </c>
      <c r="C1009" t="str">
        <f>VLOOKUP(A1009,MasterTutor!A:E,3,FALSE)</f>
        <v>Adjunct</v>
      </c>
      <c r="D1009" t="str">
        <f>VLOOKUP(A1009,MasterTutor!A:E,2,FALSE)</f>
        <v>Ela Cross</v>
      </c>
      <c r="E1009" t="s">
        <v>363</v>
      </c>
      <c r="F1009" s="2">
        <v>0.61</v>
      </c>
      <c r="G1009" s="2">
        <v>1.02</v>
      </c>
      <c r="H1009" s="2">
        <v>1</v>
      </c>
      <c r="I1009" s="2">
        <v>0.9143</v>
      </c>
      <c r="J1009" s="2">
        <v>0.33300000000000002</v>
      </c>
      <c r="K1009">
        <v>1</v>
      </c>
      <c r="L1009" s="19" t="s">
        <v>337</v>
      </c>
      <c r="M1009" s="21">
        <f>1/3</f>
        <v>0.33333333333333331</v>
      </c>
    </row>
    <row r="1010" spans="1:13" x14ac:dyDescent="0.2">
      <c r="A1010" t="s">
        <v>198</v>
      </c>
      <c r="B1010" t="str">
        <f>VLOOKUP(A1010,MasterTutor!A:E,4,FALSE)</f>
        <v>Distinguished</v>
      </c>
      <c r="C1010" t="str">
        <f>VLOOKUP(A1010,MasterTutor!A:E,3,FALSE)</f>
        <v>Adjunct</v>
      </c>
      <c r="D1010" t="str">
        <f>VLOOKUP(A1010,MasterTutor!A:E,2,FALSE)</f>
        <v>Ian Plamondon</v>
      </c>
      <c r="E1010" t="s">
        <v>363</v>
      </c>
      <c r="F1010" s="2">
        <v>1.1399999999999999</v>
      </c>
      <c r="G1010" s="2">
        <v>1.38</v>
      </c>
      <c r="H1010" s="2">
        <v>1</v>
      </c>
      <c r="I1010" s="2">
        <v>0.7429</v>
      </c>
      <c r="J1010" s="2">
        <v>0.875</v>
      </c>
      <c r="K1010">
        <v>2</v>
      </c>
      <c r="L1010" s="19">
        <v>1</v>
      </c>
      <c r="M1010" s="21">
        <f>L1010</f>
        <v>1</v>
      </c>
    </row>
    <row r="1011" spans="1:13" x14ac:dyDescent="0.2">
      <c r="A1011" t="s">
        <v>199</v>
      </c>
      <c r="B1011" t="e">
        <f>VLOOKUP(A1011,MasterTutor!A:E,4,FALSE)</f>
        <v>#N/A</v>
      </c>
      <c r="C1011" t="e">
        <f>VLOOKUP(A1011,MasterTutor!A:E,3,FALSE)</f>
        <v>#N/A</v>
      </c>
      <c r="D1011" t="e">
        <f>VLOOKUP(A1011,MasterTutor!A:E,2,FALSE)</f>
        <v>#N/A</v>
      </c>
      <c r="E1011" t="s">
        <v>363</v>
      </c>
      <c r="F1011" s="2">
        <v>0.66</v>
      </c>
      <c r="G1011" s="2">
        <v>1.04</v>
      </c>
      <c r="H1011" s="2">
        <v>1</v>
      </c>
      <c r="I1011" s="2">
        <v>0.94920000000000004</v>
      </c>
      <c r="J1011" s="2">
        <v>0.33300000000000002</v>
      </c>
      <c r="K1011">
        <v>3</v>
      </c>
    </row>
    <row r="1012" spans="1:13" x14ac:dyDescent="0.2">
      <c r="A1012" t="s">
        <v>200</v>
      </c>
      <c r="B1012" t="e">
        <f>VLOOKUP(A1012,MasterTutor!A:E,4,FALSE)</f>
        <v>#N/A</v>
      </c>
      <c r="C1012" t="e">
        <f>VLOOKUP(A1012,MasterTutor!A:E,3,FALSE)</f>
        <v>#N/A</v>
      </c>
      <c r="D1012" t="e">
        <f>VLOOKUP(A1012,MasterTutor!A:E,2,FALSE)</f>
        <v>#N/A</v>
      </c>
      <c r="E1012" t="s">
        <v>363</v>
      </c>
      <c r="F1012" s="2">
        <v>0.91</v>
      </c>
      <c r="G1012" s="2">
        <v>1.01</v>
      </c>
      <c r="H1012" s="2">
        <v>0.90880000000000005</v>
      </c>
      <c r="I1012" s="2">
        <v>0.96250000000000002</v>
      </c>
      <c r="J1012" s="2">
        <v>1</v>
      </c>
      <c r="K1012">
        <v>7</v>
      </c>
      <c r="L1012" s="19">
        <v>0</v>
      </c>
      <c r="M1012" s="21">
        <f>L1012</f>
        <v>0</v>
      </c>
    </row>
    <row r="1013" spans="1:13" x14ac:dyDescent="0.2">
      <c r="A1013" t="s">
        <v>201</v>
      </c>
      <c r="B1013" t="str">
        <f>VLOOKUP(A1013,MasterTutor!A:E,4,FALSE)</f>
        <v>Distinguished</v>
      </c>
      <c r="C1013" t="str">
        <f>VLOOKUP(A1013,MasterTutor!A:E,3,FALSE)</f>
        <v>Professional</v>
      </c>
      <c r="D1013" t="str">
        <f>VLOOKUP(A1013,MasterTutor!A:E,2,FALSE)</f>
        <v>Ian Plamondon</v>
      </c>
      <c r="E1013" t="s">
        <v>363</v>
      </c>
      <c r="F1013" s="2">
        <v>0.95</v>
      </c>
      <c r="G1013" s="2">
        <v>0.87</v>
      </c>
      <c r="H1013" s="2">
        <v>1</v>
      </c>
      <c r="I1013" s="2">
        <v>0.8831</v>
      </c>
      <c r="J1013" s="2">
        <v>0.35699999999999998</v>
      </c>
      <c r="K1013">
        <v>3</v>
      </c>
      <c r="L1013" s="19" t="s">
        <v>331</v>
      </c>
      <c r="M1013" s="21">
        <v>0.5</v>
      </c>
    </row>
    <row r="1014" spans="1:13" x14ac:dyDescent="0.2">
      <c r="A1014" t="s">
        <v>202</v>
      </c>
      <c r="B1014" t="str">
        <f>VLOOKUP(A1014,MasterTutor!A:E,4,FALSE)</f>
        <v>Advanced</v>
      </c>
      <c r="C1014" t="str">
        <f>VLOOKUP(A1014,MasterTutor!A:E,3,FALSE)</f>
        <v>Professional</v>
      </c>
      <c r="D1014" t="str">
        <f>VLOOKUP(A1014,MasterTutor!A:E,2,FALSE)</f>
        <v>Annelies de Groot</v>
      </c>
      <c r="E1014" t="s">
        <v>363</v>
      </c>
      <c r="F1014" s="2">
        <v>1.01</v>
      </c>
      <c r="G1014" s="2">
        <v>1.28</v>
      </c>
      <c r="H1014" s="2">
        <v>0.90920000000000001</v>
      </c>
      <c r="I1014" s="2">
        <v>0.98329999999999995</v>
      </c>
      <c r="J1014" s="2">
        <v>0.9</v>
      </c>
      <c r="K1014">
        <v>6</v>
      </c>
      <c r="L1014" s="19">
        <v>0</v>
      </c>
      <c r="M1014" s="21">
        <f>L1014</f>
        <v>0</v>
      </c>
    </row>
    <row r="1015" spans="1:13" x14ac:dyDescent="0.2">
      <c r="A1015" t="s">
        <v>203</v>
      </c>
      <c r="B1015" t="str">
        <f>VLOOKUP(A1015,MasterTutor!A:E,4,FALSE)</f>
        <v>Premium</v>
      </c>
      <c r="C1015" t="str">
        <f>VLOOKUP(A1015,MasterTutor!A:E,3,FALSE)</f>
        <v>Professional</v>
      </c>
      <c r="D1015" t="str">
        <f>VLOOKUP(A1015,MasterTutor!A:E,2,FALSE)</f>
        <v>Ian Plamondon</v>
      </c>
      <c r="E1015" t="s">
        <v>363</v>
      </c>
      <c r="F1015" s="2">
        <v>1.1399999999999999</v>
      </c>
      <c r="G1015" s="2">
        <v>1.1599999999999999</v>
      </c>
      <c r="H1015" s="2">
        <v>0.98570000000000002</v>
      </c>
      <c r="I1015" s="2">
        <v>1</v>
      </c>
      <c r="J1015" s="2">
        <v>0.77800000000000002</v>
      </c>
      <c r="K1015">
        <v>3</v>
      </c>
      <c r="L1015" s="19">
        <v>0</v>
      </c>
      <c r="M1015" s="21">
        <f>L1015</f>
        <v>0</v>
      </c>
    </row>
    <row r="1016" spans="1:13" x14ac:dyDescent="0.2">
      <c r="A1016" t="s">
        <v>204</v>
      </c>
      <c r="B1016" t="str">
        <f>VLOOKUP(A1016,MasterTutor!A:E,4,FALSE)</f>
        <v>Advanced</v>
      </c>
      <c r="C1016" t="str">
        <f>VLOOKUP(A1016,MasterTutor!A:E,3,FALSE)</f>
        <v>Professional</v>
      </c>
      <c r="D1016" t="str">
        <f>VLOOKUP(A1016,MasterTutor!A:E,2,FALSE)</f>
        <v>Ela Cross</v>
      </c>
      <c r="E1016" t="s">
        <v>363</v>
      </c>
      <c r="F1016" s="2">
        <v>0.54</v>
      </c>
      <c r="G1016" s="2">
        <v>0.89</v>
      </c>
      <c r="H1016" s="2">
        <v>0.95830000000000004</v>
      </c>
      <c r="I1016" s="2">
        <v>0.95650000000000002</v>
      </c>
      <c r="J1016" s="2">
        <v>0.214</v>
      </c>
      <c r="K1016">
        <v>8</v>
      </c>
    </row>
    <row r="1017" spans="1:13" x14ac:dyDescent="0.2">
      <c r="A1017" t="s">
        <v>205</v>
      </c>
      <c r="B1017" t="e">
        <f>VLOOKUP(A1017,MasterTutor!A:E,4,FALSE)</f>
        <v>#N/A</v>
      </c>
      <c r="C1017" t="e">
        <f>VLOOKUP(A1017,MasterTutor!A:E,3,FALSE)</f>
        <v>#N/A</v>
      </c>
      <c r="D1017" t="e">
        <f>VLOOKUP(A1017,MasterTutor!A:E,2,FALSE)</f>
        <v>#N/A</v>
      </c>
      <c r="E1017" t="s">
        <v>363</v>
      </c>
      <c r="F1017" s="2">
        <v>0.78</v>
      </c>
      <c r="G1017" s="2">
        <v>0.95</v>
      </c>
      <c r="H1017" s="2">
        <v>0.96430000000000005</v>
      </c>
      <c r="I1017" s="2">
        <v>0.66669999999999996</v>
      </c>
      <c r="J1017" s="2">
        <v>0.111</v>
      </c>
      <c r="K1017">
        <v>2</v>
      </c>
    </row>
    <row r="1018" spans="1:13" x14ac:dyDescent="0.2">
      <c r="A1018" t="s">
        <v>206</v>
      </c>
      <c r="B1018" t="e">
        <f>VLOOKUP(A1018,MasterTutor!A:E,4,FALSE)</f>
        <v>#N/A</v>
      </c>
      <c r="C1018" t="e">
        <f>VLOOKUP(A1018,MasterTutor!A:E,3,FALSE)</f>
        <v>#N/A</v>
      </c>
      <c r="D1018" t="e">
        <f>VLOOKUP(A1018,MasterTutor!A:E,2,FALSE)</f>
        <v>#N/A</v>
      </c>
      <c r="E1018" t="s">
        <v>363</v>
      </c>
      <c r="F1018" s="2">
        <v>0.56999999999999995</v>
      </c>
      <c r="G1018" s="2">
        <v>0.78</v>
      </c>
      <c r="H1018" s="2">
        <v>1</v>
      </c>
      <c r="I1018" s="2">
        <v>1</v>
      </c>
      <c r="J1018" s="2">
        <v>0.55600000000000005</v>
      </c>
      <c r="K1018">
        <v>2</v>
      </c>
      <c r="L1018" s="19">
        <v>0</v>
      </c>
      <c r="M1018" s="21">
        <f>L1018</f>
        <v>0</v>
      </c>
    </row>
    <row r="1019" spans="1:13" x14ac:dyDescent="0.2">
      <c r="A1019" t="s">
        <v>207</v>
      </c>
      <c r="B1019" t="str">
        <f>VLOOKUP(A1019,MasterTutor!A:E,4,FALSE)</f>
        <v>Advanced</v>
      </c>
      <c r="C1019" t="str">
        <f>VLOOKUP(A1019,MasterTutor!A:E,3,FALSE)</f>
        <v>Adjunct</v>
      </c>
      <c r="D1019" t="str">
        <f>VLOOKUP(A1019,MasterTutor!A:E,2,FALSE)</f>
        <v>Ela Cross</v>
      </c>
      <c r="E1019" t="s">
        <v>363</v>
      </c>
      <c r="F1019" s="2">
        <v>1.1200000000000001</v>
      </c>
      <c r="G1019" s="2">
        <v>1.29</v>
      </c>
      <c r="H1019" s="2">
        <v>0.98299999999999998</v>
      </c>
      <c r="I1019" s="2">
        <v>0.86750000000000005</v>
      </c>
      <c r="J1019" s="2">
        <v>0.45</v>
      </c>
      <c r="K1019">
        <v>4</v>
      </c>
      <c r="L1019" s="19">
        <v>1</v>
      </c>
      <c r="M1019" s="21">
        <f>L1019</f>
        <v>1</v>
      </c>
    </row>
    <row r="1020" spans="1:13" x14ac:dyDescent="0.2">
      <c r="A1020" t="s">
        <v>325</v>
      </c>
      <c r="B1020" t="str">
        <f>VLOOKUP(A1020,MasterTutor!A:E,4,FALSE)</f>
        <v>Advanced</v>
      </c>
      <c r="C1020" t="str">
        <f>VLOOKUP(A1020,MasterTutor!A:E,3,FALSE)</f>
        <v>Professional</v>
      </c>
      <c r="D1020" t="str">
        <f>VLOOKUP(A1020,MasterTutor!A:E,2,FALSE)</f>
        <v>Ela Cross</v>
      </c>
      <c r="E1020" t="s">
        <v>363</v>
      </c>
      <c r="F1020" s="2">
        <v>0.16</v>
      </c>
      <c r="G1020" s="2">
        <v>0.68</v>
      </c>
      <c r="H1020" s="2">
        <v>1</v>
      </c>
      <c r="I1020" s="2">
        <v>0.6</v>
      </c>
      <c r="J1020" s="2">
        <v>0.8</v>
      </c>
      <c r="K1020" t="e">
        <v>#N/A</v>
      </c>
      <c r="L1020" s="19" t="s">
        <v>360</v>
      </c>
      <c r="M1020" s="21">
        <v>0.4</v>
      </c>
    </row>
    <row r="1021" spans="1:13" x14ac:dyDescent="0.2">
      <c r="A1021" t="s">
        <v>208</v>
      </c>
      <c r="B1021" t="str">
        <f>VLOOKUP(A1021,MasterTutor!A:E,4,FALSE)</f>
        <v>Distinguished</v>
      </c>
      <c r="C1021" t="str">
        <f>VLOOKUP(A1021,MasterTutor!A:E,3,FALSE)</f>
        <v>Adjunct</v>
      </c>
      <c r="D1021" t="str">
        <f>VLOOKUP(A1021,MasterTutor!A:E,2,FALSE)</f>
        <v>Annelies de Groot</v>
      </c>
      <c r="E1021" t="s">
        <v>363</v>
      </c>
      <c r="F1021" s="2">
        <v>1.19</v>
      </c>
      <c r="G1021" s="2">
        <v>1.35</v>
      </c>
      <c r="H1021" s="2">
        <v>1</v>
      </c>
      <c r="I1021" s="2">
        <v>0.91890000000000005</v>
      </c>
      <c r="J1021" s="2">
        <v>0.77800000000000002</v>
      </c>
      <c r="K1021">
        <v>2</v>
      </c>
    </row>
    <row r="1022" spans="1:13" x14ac:dyDescent="0.2">
      <c r="A1022" t="s">
        <v>209</v>
      </c>
      <c r="B1022" t="str">
        <f>VLOOKUP(A1022,MasterTutor!A:E,4,FALSE)</f>
        <v>Premium</v>
      </c>
      <c r="C1022" t="str">
        <f>VLOOKUP(A1022,MasterTutor!A:E,3,FALSE)</f>
        <v>Professional</v>
      </c>
      <c r="D1022" t="str">
        <f>VLOOKUP(A1022,MasterTutor!A:E,2,FALSE)</f>
        <v>Jessica Milner</v>
      </c>
      <c r="E1022" t="s">
        <v>363</v>
      </c>
      <c r="F1022" s="2">
        <v>1.1599999999999999</v>
      </c>
      <c r="G1022" s="2">
        <v>1.25</v>
      </c>
      <c r="H1022" s="2">
        <v>1</v>
      </c>
      <c r="I1022" s="2">
        <v>0.98939999999999995</v>
      </c>
      <c r="J1022" s="2">
        <v>0.78300000000000003</v>
      </c>
      <c r="K1022">
        <v>3</v>
      </c>
      <c r="L1022" s="19" t="s">
        <v>337</v>
      </c>
      <c r="M1022" s="21">
        <f>1/3</f>
        <v>0.33333333333333331</v>
      </c>
    </row>
    <row r="1023" spans="1:13" x14ac:dyDescent="0.2">
      <c r="A1023" t="s">
        <v>210</v>
      </c>
      <c r="B1023" t="str">
        <f>VLOOKUP(A1023,MasterTutor!A:E,4,FALSE)</f>
        <v>Advanced</v>
      </c>
      <c r="C1023" t="str">
        <f>VLOOKUP(A1023,MasterTutor!A:E,3,FALSE)</f>
        <v>Professional</v>
      </c>
      <c r="D1023" t="str">
        <f>VLOOKUP(A1023,MasterTutor!A:E,2,FALSE)</f>
        <v>Kristin Haase-Alvey</v>
      </c>
      <c r="E1023" t="s">
        <v>363</v>
      </c>
      <c r="F1023" s="2">
        <v>0.89</v>
      </c>
      <c r="G1023" s="2">
        <v>0.92</v>
      </c>
      <c r="H1023" s="2">
        <v>1</v>
      </c>
      <c r="I1023" s="2">
        <v>0.9</v>
      </c>
      <c r="J1023" s="2">
        <v>0.7</v>
      </c>
      <c r="K1023">
        <v>8</v>
      </c>
    </row>
    <row r="1024" spans="1:13" x14ac:dyDescent="0.2">
      <c r="A1024" t="s">
        <v>211</v>
      </c>
      <c r="B1024" t="str">
        <f>VLOOKUP(A1024,MasterTutor!A:E,4,FALSE)</f>
        <v>Advanced</v>
      </c>
      <c r="C1024" t="str">
        <f>VLOOKUP(A1024,MasterTutor!A:E,3,FALSE)</f>
        <v>Professional</v>
      </c>
      <c r="D1024" t="str">
        <f>VLOOKUP(A1024,MasterTutor!A:E,2,FALSE)</f>
        <v>Kristin Haase-Alvey</v>
      </c>
      <c r="E1024" t="s">
        <v>363</v>
      </c>
      <c r="F1024" s="2">
        <v>1.04</v>
      </c>
      <c r="G1024" s="2">
        <v>1.2</v>
      </c>
      <c r="H1024" s="2">
        <v>1</v>
      </c>
      <c r="I1024" s="2">
        <v>0.97499999999999998</v>
      </c>
      <c r="J1024" s="2">
        <v>0.95</v>
      </c>
      <c r="K1024">
        <v>8</v>
      </c>
      <c r="L1024" s="19">
        <v>1</v>
      </c>
      <c r="M1024" s="21">
        <f>L1024</f>
        <v>1</v>
      </c>
    </row>
    <row r="1025" spans="1:13" x14ac:dyDescent="0.2">
      <c r="A1025" t="s">
        <v>12</v>
      </c>
      <c r="B1025" t="str">
        <f>VLOOKUP(A1025,MasterTutor!A:E,4,FALSE)</f>
        <v>Advanced</v>
      </c>
      <c r="C1025" t="str">
        <f>VLOOKUP(A1025,MasterTutor!A:E,3,FALSE)</f>
        <v>Adjunct</v>
      </c>
      <c r="D1025" t="str">
        <f>VLOOKUP(A1025,MasterTutor!A:E,2,FALSE)</f>
        <v>Ian Plamondon</v>
      </c>
      <c r="E1025" t="s">
        <v>368</v>
      </c>
      <c r="F1025" s="2">
        <v>0.74</v>
      </c>
      <c r="G1025" s="2">
        <v>0.9</v>
      </c>
      <c r="H1025" s="2">
        <v>0.99</v>
      </c>
      <c r="I1025" s="2">
        <v>1</v>
      </c>
      <c r="J1025" s="2">
        <v>1</v>
      </c>
      <c r="K1025">
        <v>10</v>
      </c>
      <c r="L1025" s="19">
        <v>1</v>
      </c>
      <c r="M1025" s="21">
        <f>L1025</f>
        <v>1</v>
      </c>
    </row>
    <row r="1026" spans="1:13" x14ac:dyDescent="0.2">
      <c r="A1026" t="s">
        <v>15</v>
      </c>
      <c r="B1026" t="str">
        <f>VLOOKUP(A1026,MasterTutor!A:E,4,FALSE)</f>
        <v>Advanced</v>
      </c>
      <c r="C1026" t="str">
        <f>VLOOKUP(A1026,MasterTutor!A:E,3,FALSE)</f>
        <v>Professional</v>
      </c>
      <c r="D1026" t="str">
        <f>VLOOKUP(A1026,MasterTutor!A:E,2,FALSE)</f>
        <v>Ian Plamondon</v>
      </c>
      <c r="E1026" t="s">
        <v>368</v>
      </c>
      <c r="F1026" s="2">
        <v>0.75</v>
      </c>
      <c r="G1026" s="2">
        <v>1.01</v>
      </c>
      <c r="H1026" s="2">
        <v>1</v>
      </c>
      <c r="I1026" s="2">
        <v>1</v>
      </c>
      <c r="J1026" s="2">
        <v>0.9</v>
      </c>
      <c r="K1026">
        <v>2</v>
      </c>
      <c r="L1026" s="19" t="s">
        <v>331</v>
      </c>
      <c r="M1026" s="21">
        <v>0.5</v>
      </c>
    </row>
    <row r="1027" spans="1:13" x14ac:dyDescent="0.2">
      <c r="A1027" t="s">
        <v>16</v>
      </c>
      <c r="B1027" t="str">
        <f>VLOOKUP(A1027,MasterTutor!A:E,4,FALSE)</f>
        <v>Premium</v>
      </c>
      <c r="C1027" t="str">
        <f>VLOOKUP(A1027,MasterTutor!A:E,3,FALSE)</f>
        <v>Adjunct</v>
      </c>
      <c r="D1027" t="str">
        <f>VLOOKUP(A1027,MasterTutor!A:E,2,FALSE)</f>
        <v>Ela Cross</v>
      </c>
      <c r="E1027" t="s">
        <v>368</v>
      </c>
      <c r="F1027" s="2">
        <v>0.31</v>
      </c>
      <c r="G1027" s="2">
        <v>1</v>
      </c>
      <c r="H1027" s="2">
        <v>1</v>
      </c>
      <c r="I1027" s="2">
        <v>0.6</v>
      </c>
      <c r="J1027" s="2" t="e">
        <v>#N/A</v>
      </c>
      <c r="K1027">
        <v>1</v>
      </c>
      <c r="M1027" s="21"/>
    </row>
    <row r="1028" spans="1:13" x14ac:dyDescent="0.2">
      <c r="A1028" t="s">
        <v>17</v>
      </c>
      <c r="B1028" t="str">
        <f>VLOOKUP(A1028,MasterTutor!A:E,4,FALSE)</f>
        <v>Premium</v>
      </c>
      <c r="C1028" t="str">
        <f>VLOOKUP(A1028,MasterTutor!A:E,3,FALSE)</f>
        <v>Professional</v>
      </c>
      <c r="D1028" t="str">
        <f>VLOOKUP(A1028,MasterTutor!A:E,2,FALSE)</f>
        <v>Ian Plamondon</v>
      </c>
      <c r="E1028" t="s">
        <v>368</v>
      </c>
      <c r="F1028" s="2">
        <v>0.96</v>
      </c>
      <c r="G1028" s="2">
        <v>1.65</v>
      </c>
      <c r="H1028" s="2">
        <v>0.97</v>
      </c>
      <c r="I1028" s="2">
        <v>1</v>
      </c>
      <c r="J1028" s="2">
        <v>0.9</v>
      </c>
      <c r="K1028">
        <v>0</v>
      </c>
      <c r="L1028" s="19" t="s">
        <v>329</v>
      </c>
      <c r="M1028" s="21">
        <v>0.75</v>
      </c>
    </row>
    <row r="1029" spans="1:13" x14ac:dyDescent="0.2">
      <c r="A1029" t="s">
        <v>217</v>
      </c>
      <c r="B1029" t="str">
        <f>VLOOKUP(A1029,MasterTutor!A:E,4,FALSE)</f>
        <v>Advanced</v>
      </c>
      <c r="C1029" t="str">
        <f>VLOOKUP(A1029,MasterTutor!A:E,3,FALSE)</f>
        <v>Adjunct</v>
      </c>
      <c r="D1029" t="str">
        <f>VLOOKUP(A1029,MasterTutor!A:E,2,FALSE)</f>
        <v>Kristin Haase-Alvey</v>
      </c>
      <c r="E1029" t="s">
        <v>368</v>
      </c>
      <c r="F1029" s="2">
        <v>0.54</v>
      </c>
      <c r="G1029" s="2">
        <v>0.97</v>
      </c>
      <c r="H1029" s="2">
        <v>1</v>
      </c>
      <c r="I1029" s="2">
        <v>0.85</v>
      </c>
      <c r="J1029" s="2">
        <v>1</v>
      </c>
      <c r="K1029">
        <v>1</v>
      </c>
      <c r="M1029" s="21"/>
    </row>
    <row r="1030" spans="1:13" x14ac:dyDescent="0.2">
      <c r="A1030" t="s">
        <v>18</v>
      </c>
      <c r="B1030" t="str">
        <f>VLOOKUP(A1030,MasterTutor!A:E,4,FALSE)</f>
        <v>Distinguished</v>
      </c>
      <c r="C1030" t="str">
        <f>VLOOKUP(A1030,MasterTutor!A:E,3,FALSE)</f>
        <v>Professional</v>
      </c>
      <c r="D1030" t="str">
        <f>VLOOKUP(A1030,MasterTutor!A:E,2,FALSE)</f>
        <v>Ian Plamondon</v>
      </c>
      <c r="E1030" t="s">
        <v>368</v>
      </c>
      <c r="F1030" s="2">
        <v>0.73</v>
      </c>
      <c r="G1030" s="2">
        <v>0.93</v>
      </c>
      <c r="H1030" s="2">
        <v>1</v>
      </c>
      <c r="I1030" s="2">
        <v>0.87</v>
      </c>
      <c r="J1030" s="2">
        <v>0.8</v>
      </c>
      <c r="K1030" t="e">
        <v>#N/A</v>
      </c>
      <c r="L1030" s="19" t="s">
        <v>330</v>
      </c>
      <c r="M1030" s="21">
        <v>0.67</v>
      </c>
    </row>
    <row r="1031" spans="1:13" x14ac:dyDescent="0.2">
      <c r="A1031" t="s">
        <v>19</v>
      </c>
      <c r="B1031" t="str">
        <f>VLOOKUP(A1031,MasterTutor!A:E,4,FALSE)</f>
        <v>Premium</v>
      </c>
      <c r="C1031" t="str">
        <f>VLOOKUP(A1031,MasterTutor!A:E,3,FALSE)</f>
        <v>Adjunct</v>
      </c>
      <c r="D1031" t="str">
        <f>VLOOKUP(A1031,MasterTutor!A:E,2,FALSE)</f>
        <v>Geoff St. Marie</v>
      </c>
      <c r="E1031" t="s">
        <v>368</v>
      </c>
      <c r="F1031" s="2">
        <v>0.95</v>
      </c>
      <c r="G1031" s="2">
        <v>0.86</v>
      </c>
      <c r="H1031" s="2">
        <v>0.92</v>
      </c>
      <c r="I1031" s="2">
        <v>0.88</v>
      </c>
      <c r="J1031" s="2">
        <v>0.9</v>
      </c>
      <c r="K1031" t="e">
        <v>#N/A</v>
      </c>
      <c r="M1031" s="21"/>
    </row>
    <row r="1032" spans="1:13" x14ac:dyDescent="0.2">
      <c r="A1032" t="s">
        <v>20</v>
      </c>
      <c r="B1032" t="e">
        <f>VLOOKUP(A1032,MasterTutor!A:E,4,FALSE)</f>
        <v>#N/A</v>
      </c>
      <c r="C1032" t="e">
        <f>VLOOKUP(A1032,MasterTutor!A:E,3,FALSE)</f>
        <v>#N/A</v>
      </c>
      <c r="D1032" t="e">
        <f>VLOOKUP(A1032,MasterTutor!A:E,2,FALSE)</f>
        <v>#N/A</v>
      </c>
      <c r="E1032" t="s">
        <v>368</v>
      </c>
      <c r="F1032" s="2">
        <v>0.82</v>
      </c>
      <c r="G1032" s="2">
        <v>0.77</v>
      </c>
      <c r="H1032" s="2">
        <v>1</v>
      </c>
      <c r="I1032" s="2">
        <v>1</v>
      </c>
      <c r="J1032" s="2">
        <v>0.83</v>
      </c>
      <c r="K1032">
        <v>3</v>
      </c>
      <c r="M1032" s="21"/>
    </row>
    <row r="1033" spans="1:13" x14ac:dyDescent="0.2">
      <c r="A1033" t="s">
        <v>21</v>
      </c>
      <c r="B1033" t="str">
        <f>VLOOKUP(A1033,MasterTutor!A:E,4,FALSE)</f>
        <v>Distinguished</v>
      </c>
      <c r="C1033" t="str">
        <f>VLOOKUP(A1033,MasterTutor!A:E,3,FALSE)</f>
        <v>Adjunct</v>
      </c>
      <c r="D1033" t="str">
        <f>VLOOKUP(A1033,MasterTutor!A:E,2,FALSE)</f>
        <v>Kristin Haase-Alvey</v>
      </c>
      <c r="E1033" t="s">
        <v>368</v>
      </c>
      <c r="F1033" s="2">
        <v>0</v>
      </c>
      <c r="G1033" s="2">
        <v>0</v>
      </c>
      <c r="H1033" s="2">
        <v>0</v>
      </c>
      <c r="I1033" s="2">
        <v>0</v>
      </c>
      <c r="J1033" s="2" t="e">
        <v>#N/A</v>
      </c>
      <c r="K1033" t="e">
        <v>#N/A</v>
      </c>
      <c r="M1033" s="21"/>
    </row>
    <row r="1034" spans="1:13" x14ac:dyDescent="0.2">
      <c r="A1034" t="s">
        <v>22</v>
      </c>
      <c r="B1034" t="str">
        <f>VLOOKUP(A1034,MasterTutor!A:E,4,FALSE)</f>
        <v>Advanced</v>
      </c>
      <c r="C1034" t="str">
        <f>VLOOKUP(A1034,MasterTutor!A:E,3,FALSE)</f>
        <v>Professional</v>
      </c>
      <c r="D1034" t="str">
        <f>VLOOKUP(A1034,MasterTutor!A:E,2,FALSE)</f>
        <v>Annelies de Groot</v>
      </c>
      <c r="E1034" t="s">
        <v>368</v>
      </c>
      <c r="F1034" s="2">
        <v>0.7</v>
      </c>
      <c r="G1034" s="2">
        <v>1.07</v>
      </c>
      <c r="H1034" s="2">
        <v>0.67</v>
      </c>
      <c r="I1034" s="2">
        <v>0.93</v>
      </c>
      <c r="J1034" s="2">
        <v>1</v>
      </c>
      <c r="K1034">
        <v>1</v>
      </c>
      <c r="L1034" s="19">
        <v>1</v>
      </c>
      <c r="M1034" s="21">
        <f>L1034</f>
        <v>1</v>
      </c>
    </row>
    <row r="1035" spans="1:13" x14ac:dyDescent="0.2">
      <c r="A1035" t="s">
        <v>23</v>
      </c>
      <c r="B1035" t="str">
        <f>VLOOKUP(A1035,MasterTutor!A:E,4,FALSE)</f>
        <v>Premium</v>
      </c>
      <c r="C1035" t="str">
        <f>VLOOKUP(A1035,MasterTutor!A:E,3,FALSE)</f>
        <v>Professional</v>
      </c>
      <c r="D1035" t="str">
        <f>VLOOKUP(A1035,MasterTutor!A:E,2,FALSE)</f>
        <v>Jessica Milner</v>
      </c>
      <c r="E1035" t="s">
        <v>368</v>
      </c>
      <c r="F1035" s="2">
        <v>0.92</v>
      </c>
      <c r="G1035" s="2">
        <v>1.33</v>
      </c>
      <c r="H1035" s="2">
        <v>1</v>
      </c>
      <c r="I1035" s="2">
        <v>0.98</v>
      </c>
      <c r="J1035" s="2">
        <v>0.5</v>
      </c>
      <c r="K1035">
        <v>2</v>
      </c>
      <c r="L1035" s="19">
        <v>0</v>
      </c>
      <c r="M1035" s="21">
        <f>L1035</f>
        <v>0</v>
      </c>
    </row>
    <row r="1036" spans="1:13" x14ac:dyDescent="0.2">
      <c r="A1036" t="s">
        <v>24</v>
      </c>
      <c r="B1036" t="str">
        <f>VLOOKUP(A1036,MasterTutor!A:E,4,FALSE)</f>
        <v>Distinguished</v>
      </c>
      <c r="C1036" t="str">
        <f>VLOOKUP(A1036,MasterTutor!A:E,3,FALSE)</f>
        <v>Professional</v>
      </c>
      <c r="D1036" t="str">
        <f>VLOOKUP(A1036,MasterTutor!A:E,2,FALSE)</f>
        <v>Kristin Haase-Alvey</v>
      </c>
      <c r="E1036" t="s">
        <v>368</v>
      </c>
      <c r="F1036" s="2">
        <v>0.69</v>
      </c>
      <c r="G1036" s="2">
        <v>0.93</v>
      </c>
      <c r="H1036" s="2">
        <v>0.98</v>
      </c>
      <c r="I1036" s="2">
        <v>1</v>
      </c>
      <c r="J1036" s="2">
        <v>0.73</v>
      </c>
      <c r="K1036">
        <v>6</v>
      </c>
      <c r="L1036" s="19">
        <v>1</v>
      </c>
      <c r="M1036" s="21">
        <f>L1036</f>
        <v>1</v>
      </c>
    </row>
    <row r="1037" spans="1:13" x14ac:dyDescent="0.2">
      <c r="A1037" t="s">
        <v>26</v>
      </c>
      <c r="B1037" t="str">
        <f>VLOOKUP(A1037,MasterTutor!A:E,4,FALSE)</f>
        <v>Distinguished</v>
      </c>
      <c r="C1037" t="str">
        <f>VLOOKUP(A1037,MasterTutor!A:E,3,FALSE)</f>
        <v>Professional</v>
      </c>
      <c r="D1037" t="str">
        <f>VLOOKUP(A1037,MasterTutor!A:E,2,FALSE)</f>
        <v>Ian Plamondon</v>
      </c>
      <c r="E1037" t="s">
        <v>368</v>
      </c>
      <c r="F1037" s="2">
        <v>0.95</v>
      </c>
      <c r="G1037" s="2">
        <v>1.25</v>
      </c>
      <c r="H1037" s="2">
        <v>0.97</v>
      </c>
      <c r="I1037" s="2">
        <v>0.97</v>
      </c>
      <c r="J1037" s="2">
        <v>0.82</v>
      </c>
      <c r="K1037">
        <v>7</v>
      </c>
      <c r="L1037" s="19" t="s">
        <v>332</v>
      </c>
      <c r="M1037" s="21">
        <v>0.71</v>
      </c>
    </row>
    <row r="1038" spans="1:13" x14ac:dyDescent="0.2">
      <c r="A1038" t="s">
        <v>27</v>
      </c>
      <c r="B1038" t="str">
        <f>VLOOKUP(A1038,MasterTutor!A:E,4,FALSE)</f>
        <v>Premium</v>
      </c>
      <c r="C1038" t="str">
        <f>VLOOKUP(A1038,MasterTutor!A:E,3,FALSE)</f>
        <v>Professional</v>
      </c>
      <c r="D1038" t="str">
        <f>VLOOKUP(A1038,MasterTutor!A:E,2,FALSE)</f>
        <v>Jessica Milner</v>
      </c>
      <c r="E1038" t="s">
        <v>368</v>
      </c>
      <c r="F1038" s="2">
        <v>0.56999999999999995</v>
      </c>
      <c r="G1038" s="2">
        <v>0.9</v>
      </c>
      <c r="H1038" s="2">
        <v>0.95</v>
      </c>
      <c r="I1038" s="2">
        <v>0.92</v>
      </c>
      <c r="J1038" s="2">
        <v>0.71</v>
      </c>
      <c r="K1038" t="e">
        <v>#N/A</v>
      </c>
      <c r="L1038" s="19">
        <v>1</v>
      </c>
      <c r="M1038" s="21">
        <f>L1038</f>
        <v>1</v>
      </c>
    </row>
    <row r="1039" spans="1:13" x14ac:dyDescent="0.2">
      <c r="A1039" t="s">
        <v>28</v>
      </c>
      <c r="B1039" t="e">
        <f>VLOOKUP(A1039,MasterTutor!A:E,4,FALSE)</f>
        <v>#N/A</v>
      </c>
      <c r="C1039" t="e">
        <f>VLOOKUP(A1039,MasterTutor!A:E,3,FALSE)</f>
        <v>#N/A</v>
      </c>
      <c r="D1039" t="e">
        <f>VLOOKUP(A1039,MasterTutor!A:E,2,FALSE)</f>
        <v>#N/A</v>
      </c>
      <c r="E1039" t="s">
        <v>368</v>
      </c>
      <c r="F1039" s="2">
        <v>0.79</v>
      </c>
      <c r="G1039" s="2">
        <v>0.98</v>
      </c>
      <c r="H1039" s="2">
        <v>1</v>
      </c>
      <c r="I1039" s="2">
        <v>1</v>
      </c>
      <c r="J1039" s="2">
        <v>0.82</v>
      </c>
      <c r="K1039">
        <v>4</v>
      </c>
      <c r="L1039" s="19">
        <v>1</v>
      </c>
      <c r="M1039" s="21">
        <f>L1039</f>
        <v>1</v>
      </c>
    </row>
    <row r="1040" spans="1:13" x14ac:dyDescent="0.2">
      <c r="A1040" t="s">
        <v>29</v>
      </c>
      <c r="B1040" t="str">
        <f>VLOOKUP(A1040,MasterTutor!A:E,4,FALSE)</f>
        <v>Distinguished</v>
      </c>
      <c r="C1040" t="str">
        <f>VLOOKUP(A1040,MasterTutor!A:E,3,FALSE)</f>
        <v>Adjunct</v>
      </c>
      <c r="D1040" t="str">
        <f>VLOOKUP(A1040,MasterTutor!A:E,2,FALSE)</f>
        <v>Kristin Haase-Alvey</v>
      </c>
      <c r="E1040" t="s">
        <v>368</v>
      </c>
      <c r="F1040" s="2">
        <v>1</v>
      </c>
      <c r="G1040" s="2">
        <v>1.22</v>
      </c>
      <c r="H1040" s="2">
        <v>1</v>
      </c>
      <c r="I1040" s="2">
        <v>1</v>
      </c>
      <c r="J1040" s="2">
        <v>0.71</v>
      </c>
      <c r="K1040">
        <v>4</v>
      </c>
      <c r="L1040" s="19">
        <v>1</v>
      </c>
      <c r="M1040" s="21">
        <f>L1040</f>
        <v>1</v>
      </c>
    </row>
    <row r="1041" spans="1:13" x14ac:dyDescent="0.2">
      <c r="A1041" t="s">
        <v>30</v>
      </c>
      <c r="B1041" t="str">
        <f>VLOOKUP(A1041,MasterTutor!A:E,4,FALSE)</f>
        <v>Distinguished</v>
      </c>
      <c r="C1041" t="str">
        <f>VLOOKUP(A1041,MasterTutor!A:E,3,FALSE)</f>
        <v>Professional</v>
      </c>
      <c r="D1041" t="str">
        <f>VLOOKUP(A1041,MasterTutor!A:E,2,FALSE)</f>
        <v>Ian Plamondon</v>
      </c>
      <c r="E1041" t="s">
        <v>368</v>
      </c>
      <c r="F1041" s="2">
        <v>0.65</v>
      </c>
      <c r="G1041" s="2">
        <v>1.69</v>
      </c>
      <c r="H1041" s="2">
        <v>1</v>
      </c>
      <c r="I1041" s="2">
        <v>1</v>
      </c>
      <c r="J1041" s="2">
        <v>1</v>
      </c>
      <c r="K1041">
        <v>4</v>
      </c>
      <c r="L1041" s="19" t="s">
        <v>338</v>
      </c>
      <c r="M1041" s="21">
        <v>0.8</v>
      </c>
    </row>
    <row r="1042" spans="1:13" x14ac:dyDescent="0.2">
      <c r="A1042" t="s">
        <v>31</v>
      </c>
      <c r="B1042" t="str">
        <f>VLOOKUP(A1042,MasterTutor!A:E,4,FALSE)</f>
        <v>Premium</v>
      </c>
      <c r="C1042" t="str">
        <f>VLOOKUP(A1042,MasterTutor!A:E,3,FALSE)</f>
        <v>Adjunct</v>
      </c>
      <c r="D1042" t="str">
        <f>VLOOKUP(A1042,MasterTutor!A:E,2,FALSE)</f>
        <v>Kristin Haase-Alvey</v>
      </c>
      <c r="E1042" t="s">
        <v>368</v>
      </c>
      <c r="F1042" s="2">
        <v>0.25</v>
      </c>
      <c r="G1042" s="2">
        <v>0.6</v>
      </c>
      <c r="H1042" s="2">
        <v>1</v>
      </c>
      <c r="I1042" s="2">
        <v>1</v>
      </c>
      <c r="J1042" s="2">
        <v>0.56000000000000005</v>
      </c>
      <c r="K1042" t="e">
        <v>#N/A</v>
      </c>
      <c r="M1042" s="21"/>
    </row>
    <row r="1043" spans="1:13" x14ac:dyDescent="0.2">
      <c r="A1043" t="s">
        <v>32</v>
      </c>
      <c r="B1043" t="e">
        <f>VLOOKUP(A1043,MasterTutor!A:E,4,FALSE)</f>
        <v>#N/A</v>
      </c>
      <c r="C1043" t="e">
        <f>VLOOKUP(A1043,MasterTutor!A:E,3,FALSE)</f>
        <v>#N/A</v>
      </c>
      <c r="D1043" t="e">
        <f>VLOOKUP(A1043,MasterTutor!A:E,2,FALSE)</f>
        <v>#N/A</v>
      </c>
      <c r="E1043" t="s">
        <v>368</v>
      </c>
      <c r="F1043" s="2">
        <v>0.17</v>
      </c>
      <c r="G1043" s="2">
        <v>0.2</v>
      </c>
      <c r="H1043" s="2">
        <v>1</v>
      </c>
      <c r="I1043" s="2">
        <v>0.92</v>
      </c>
      <c r="J1043" s="2">
        <v>0.28999999999999998</v>
      </c>
      <c r="K1043">
        <v>3</v>
      </c>
      <c r="M1043" s="21"/>
    </row>
    <row r="1044" spans="1:13" x14ac:dyDescent="0.2">
      <c r="A1044" t="s">
        <v>33</v>
      </c>
      <c r="B1044" t="str">
        <f>VLOOKUP(A1044,MasterTutor!A:E,4,FALSE)</f>
        <v>Premium</v>
      </c>
      <c r="C1044" t="str">
        <f>VLOOKUP(A1044,MasterTutor!A:E,3,FALSE)</f>
        <v>Professional</v>
      </c>
      <c r="D1044" t="str">
        <f>VLOOKUP(A1044,MasterTutor!A:E,2,FALSE)</f>
        <v>Geoff St. Marie</v>
      </c>
      <c r="E1044" t="s">
        <v>368</v>
      </c>
      <c r="F1044" s="2">
        <v>1.41</v>
      </c>
      <c r="G1044" s="2">
        <v>1.52</v>
      </c>
      <c r="H1044" s="2">
        <v>0.9</v>
      </c>
      <c r="I1044" s="2">
        <v>0.89</v>
      </c>
      <c r="J1044" s="2">
        <v>0.93</v>
      </c>
      <c r="K1044">
        <v>2</v>
      </c>
      <c r="L1044" s="19">
        <v>0</v>
      </c>
      <c r="M1044" s="21">
        <f>L1044</f>
        <v>0</v>
      </c>
    </row>
    <row r="1045" spans="1:13" x14ac:dyDescent="0.2">
      <c r="A1045" t="s">
        <v>35</v>
      </c>
      <c r="B1045" t="str">
        <f>VLOOKUP(A1045,MasterTutor!A:E,4,FALSE)</f>
        <v>Advanced</v>
      </c>
      <c r="C1045" t="str">
        <f>VLOOKUP(A1045,MasterTutor!A:E,3,FALSE)</f>
        <v>Adjunct</v>
      </c>
      <c r="D1045" t="str">
        <f>VLOOKUP(A1045,MasterTutor!A:E,2,FALSE)</f>
        <v>Annelies de Groot</v>
      </c>
      <c r="E1045" t="s">
        <v>368</v>
      </c>
      <c r="F1045" s="2">
        <v>1.04</v>
      </c>
      <c r="G1045" s="2">
        <v>2.21</v>
      </c>
      <c r="H1045" s="2">
        <v>0.97</v>
      </c>
      <c r="I1045" s="2">
        <v>0.97</v>
      </c>
      <c r="J1045" s="2">
        <v>0.67</v>
      </c>
      <c r="K1045">
        <v>3</v>
      </c>
      <c r="M1045" s="21"/>
    </row>
    <row r="1046" spans="1:13" x14ac:dyDescent="0.2">
      <c r="A1046" t="s">
        <v>36</v>
      </c>
      <c r="B1046" t="str">
        <f>VLOOKUP(A1046,MasterTutor!A:E,4,FALSE)</f>
        <v>Premium</v>
      </c>
      <c r="C1046" t="str">
        <f>VLOOKUP(A1046,MasterTutor!A:E,3,FALSE)</f>
        <v>Professional</v>
      </c>
      <c r="D1046" t="str">
        <f>VLOOKUP(A1046,MasterTutor!A:E,2,FALSE)</f>
        <v>Jessica Milner</v>
      </c>
      <c r="E1046" t="s">
        <v>368</v>
      </c>
      <c r="F1046" s="2">
        <v>0.77</v>
      </c>
      <c r="G1046" s="2">
        <v>1.21</v>
      </c>
      <c r="H1046" s="2">
        <v>1</v>
      </c>
      <c r="I1046" s="2">
        <v>1</v>
      </c>
      <c r="J1046" s="2">
        <v>0.77</v>
      </c>
      <c r="K1046">
        <v>1</v>
      </c>
      <c r="L1046" s="19" t="s">
        <v>329</v>
      </c>
      <c r="M1046" s="21">
        <v>0.75</v>
      </c>
    </row>
    <row r="1047" spans="1:13" x14ac:dyDescent="0.2">
      <c r="A1047" t="s">
        <v>37</v>
      </c>
      <c r="B1047" t="e">
        <f>VLOOKUP(A1047,MasterTutor!A:E,4,FALSE)</f>
        <v>#N/A</v>
      </c>
      <c r="C1047" t="e">
        <f>VLOOKUP(A1047,MasterTutor!A:E,3,FALSE)</f>
        <v>#N/A</v>
      </c>
      <c r="D1047" t="e">
        <f>VLOOKUP(A1047,MasterTutor!A:E,2,FALSE)</f>
        <v>#N/A</v>
      </c>
      <c r="E1047" t="s">
        <v>368</v>
      </c>
      <c r="F1047" s="2">
        <v>0.6</v>
      </c>
      <c r="G1047" s="2">
        <v>0.64</v>
      </c>
      <c r="H1047" s="2">
        <v>0.86</v>
      </c>
      <c r="I1047" s="2">
        <v>0.63</v>
      </c>
      <c r="J1047" s="2">
        <v>1</v>
      </c>
      <c r="K1047">
        <v>1</v>
      </c>
      <c r="M1047" s="21"/>
    </row>
    <row r="1048" spans="1:13" x14ac:dyDescent="0.2">
      <c r="A1048" t="s">
        <v>38</v>
      </c>
      <c r="B1048" t="str">
        <f>VLOOKUP(A1048,MasterTutor!A:E,4,FALSE)</f>
        <v>Advanced</v>
      </c>
      <c r="C1048" t="str">
        <f>VLOOKUP(A1048,MasterTutor!A:E,3,FALSE)</f>
        <v>Adjunct</v>
      </c>
      <c r="D1048" t="str">
        <f>VLOOKUP(A1048,MasterTutor!A:E,2,FALSE)</f>
        <v>Annelies de Groot</v>
      </c>
      <c r="E1048" t="s">
        <v>368</v>
      </c>
      <c r="F1048" s="2">
        <v>0.94</v>
      </c>
      <c r="G1048" s="2">
        <v>1.24</v>
      </c>
      <c r="H1048" s="2">
        <v>1</v>
      </c>
      <c r="I1048" s="2">
        <v>1</v>
      </c>
      <c r="J1048" s="2">
        <v>0.92</v>
      </c>
      <c r="K1048">
        <v>8</v>
      </c>
      <c r="M1048" s="21"/>
    </row>
    <row r="1049" spans="1:13" x14ac:dyDescent="0.2">
      <c r="A1049" t="s">
        <v>39</v>
      </c>
      <c r="B1049" t="str">
        <f>VLOOKUP(A1049,MasterTutor!A:E,4,FALSE)</f>
        <v>Premium</v>
      </c>
      <c r="C1049" t="str">
        <f>VLOOKUP(A1049,MasterTutor!A:E,3,FALSE)</f>
        <v>Adjunct</v>
      </c>
      <c r="D1049" t="str">
        <f>VLOOKUP(A1049,MasterTutor!A:E,2,FALSE)</f>
        <v>Jessica Milner</v>
      </c>
      <c r="E1049" t="s">
        <v>368</v>
      </c>
      <c r="F1049" s="2">
        <v>0.53</v>
      </c>
      <c r="G1049" s="2">
        <v>1.19</v>
      </c>
      <c r="H1049" s="2">
        <v>1</v>
      </c>
      <c r="I1049" s="2">
        <v>1</v>
      </c>
      <c r="J1049" s="2">
        <v>1</v>
      </c>
      <c r="K1049">
        <v>2</v>
      </c>
      <c r="L1049" s="19">
        <v>1</v>
      </c>
      <c r="M1049" s="21">
        <f>L1049</f>
        <v>1</v>
      </c>
    </row>
    <row r="1050" spans="1:13" x14ac:dyDescent="0.2">
      <c r="A1050" t="s">
        <v>40</v>
      </c>
      <c r="B1050" t="str">
        <f>VLOOKUP(A1050,MasterTutor!A:E,4,FALSE)</f>
        <v>Advanced</v>
      </c>
      <c r="C1050" t="str">
        <f>VLOOKUP(A1050,MasterTutor!A:E,3,FALSE)</f>
        <v>Professional</v>
      </c>
      <c r="D1050" t="str">
        <f>VLOOKUP(A1050,MasterTutor!A:E,2,FALSE)</f>
        <v>Annelies de Groot</v>
      </c>
      <c r="E1050" t="s">
        <v>368</v>
      </c>
      <c r="F1050" s="2">
        <v>1.23</v>
      </c>
      <c r="G1050" s="2">
        <v>1.57</v>
      </c>
      <c r="H1050" s="2">
        <v>0.99</v>
      </c>
      <c r="I1050" s="2">
        <v>0.98</v>
      </c>
      <c r="J1050" s="2">
        <v>0.71</v>
      </c>
      <c r="K1050">
        <v>9</v>
      </c>
      <c r="L1050" s="19" t="s">
        <v>331</v>
      </c>
      <c r="M1050" s="21">
        <v>0.5</v>
      </c>
    </row>
    <row r="1051" spans="1:13" x14ac:dyDescent="0.2">
      <c r="A1051" t="s">
        <v>41</v>
      </c>
      <c r="B1051" t="str">
        <f>VLOOKUP(A1051,MasterTutor!A:E,4,FALSE)</f>
        <v>Premium</v>
      </c>
      <c r="C1051" t="str">
        <f>VLOOKUP(A1051,MasterTutor!A:E,3,FALSE)</f>
        <v>Professional</v>
      </c>
      <c r="D1051" t="str">
        <f>VLOOKUP(A1051,MasterTutor!A:E,2,FALSE)</f>
        <v>Jessica Milner</v>
      </c>
      <c r="E1051" t="s">
        <v>368</v>
      </c>
      <c r="F1051" s="2">
        <v>0.46</v>
      </c>
      <c r="G1051" s="2">
        <v>0.94</v>
      </c>
      <c r="H1051" s="2">
        <v>1</v>
      </c>
      <c r="I1051" s="2">
        <v>0.94</v>
      </c>
      <c r="J1051" s="2">
        <v>1</v>
      </c>
      <c r="K1051">
        <v>1</v>
      </c>
      <c r="L1051" s="19">
        <v>0</v>
      </c>
      <c r="M1051" s="21">
        <f>L1051</f>
        <v>0</v>
      </c>
    </row>
    <row r="1052" spans="1:13" x14ac:dyDescent="0.2">
      <c r="A1052" t="s">
        <v>42</v>
      </c>
      <c r="B1052" t="str">
        <f>VLOOKUP(A1052,MasterTutor!A:E,4,FALSE)</f>
        <v>Premium</v>
      </c>
      <c r="C1052" t="str">
        <f>VLOOKUP(A1052,MasterTutor!A:E,3,FALSE)</f>
        <v>Adjunct</v>
      </c>
      <c r="D1052" t="str">
        <f>VLOOKUP(A1052,MasterTutor!A:E,2,FALSE)</f>
        <v>Ela Cross</v>
      </c>
      <c r="E1052" t="s">
        <v>368</v>
      </c>
      <c r="F1052" s="2">
        <v>0.31</v>
      </c>
      <c r="G1052" s="2">
        <v>1.1499999999999999</v>
      </c>
      <c r="H1052" s="2">
        <v>1</v>
      </c>
      <c r="I1052" s="2">
        <v>1</v>
      </c>
      <c r="J1052" s="2">
        <v>0.67</v>
      </c>
      <c r="K1052">
        <v>0</v>
      </c>
      <c r="M1052" s="21"/>
    </row>
    <row r="1053" spans="1:13" x14ac:dyDescent="0.2">
      <c r="A1053" t="s">
        <v>43</v>
      </c>
      <c r="B1053" t="e">
        <f>VLOOKUP(A1053,MasterTutor!A:E,4,FALSE)</f>
        <v>#N/A</v>
      </c>
      <c r="C1053" t="e">
        <f>VLOOKUP(A1053,MasterTutor!A:E,3,FALSE)</f>
        <v>#N/A</v>
      </c>
      <c r="D1053" t="e">
        <f>VLOOKUP(A1053,MasterTutor!A:E,2,FALSE)</f>
        <v>#N/A</v>
      </c>
      <c r="E1053" t="s">
        <v>368</v>
      </c>
      <c r="F1053" s="2">
        <v>0.88</v>
      </c>
      <c r="G1053" s="2">
        <v>1.1299999999999999</v>
      </c>
      <c r="H1053" s="2">
        <v>1</v>
      </c>
      <c r="I1053" s="2">
        <v>0.96</v>
      </c>
      <c r="J1053" s="2">
        <v>0.88</v>
      </c>
      <c r="K1053">
        <v>5</v>
      </c>
      <c r="L1053" s="19" t="s">
        <v>344</v>
      </c>
      <c r="M1053" s="21">
        <v>0.83</v>
      </c>
    </row>
    <row r="1054" spans="1:13" x14ac:dyDescent="0.2">
      <c r="A1054" t="s">
        <v>44</v>
      </c>
      <c r="B1054" t="e">
        <f>VLOOKUP(A1054,MasterTutor!A:E,4,FALSE)</f>
        <v>#N/A</v>
      </c>
      <c r="C1054" t="e">
        <f>VLOOKUP(A1054,MasterTutor!A:E,3,FALSE)</f>
        <v>#N/A</v>
      </c>
      <c r="D1054" t="e">
        <f>VLOOKUP(A1054,MasterTutor!A:E,2,FALSE)</f>
        <v>#N/A</v>
      </c>
      <c r="E1054" t="s">
        <v>368</v>
      </c>
      <c r="F1054" s="2">
        <v>0.7</v>
      </c>
      <c r="G1054" s="2">
        <v>1.18</v>
      </c>
      <c r="H1054" s="2">
        <v>0.96</v>
      </c>
      <c r="I1054" s="2">
        <v>0.94</v>
      </c>
      <c r="J1054" s="2">
        <v>1</v>
      </c>
      <c r="K1054" t="e">
        <v>#N/A</v>
      </c>
      <c r="M1054" s="21"/>
    </row>
    <row r="1055" spans="1:13" x14ac:dyDescent="0.2">
      <c r="A1055" t="s">
        <v>45</v>
      </c>
      <c r="B1055" t="str">
        <f>VLOOKUP(A1055,MasterTutor!A:E,4,FALSE)</f>
        <v>Distinguished</v>
      </c>
      <c r="C1055" t="str">
        <f>VLOOKUP(A1055,MasterTutor!A:E,3,FALSE)</f>
        <v>Adjunct</v>
      </c>
      <c r="D1055" t="str">
        <f>VLOOKUP(A1055,MasterTutor!A:E,2,FALSE)</f>
        <v>Kristin Haase-Alvey</v>
      </c>
      <c r="E1055" t="s">
        <v>368</v>
      </c>
      <c r="F1055" s="2">
        <v>0.87</v>
      </c>
      <c r="G1055" s="2">
        <v>1.1200000000000001</v>
      </c>
      <c r="H1055" s="2">
        <v>1</v>
      </c>
      <c r="I1055" s="2">
        <v>1</v>
      </c>
      <c r="J1055" s="2">
        <v>0.5</v>
      </c>
      <c r="K1055">
        <v>4</v>
      </c>
    </row>
    <row r="1056" spans="1:13" x14ac:dyDescent="0.2">
      <c r="A1056" t="s">
        <v>46</v>
      </c>
      <c r="B1056" t="str">
        <f>VLOOKUP(A1056,MasterTutor!A:E,4,FALSE)</f>
        <v>Distinguished</v>
      </c>
      <c r="C1056" t="str">
        <f>VLOOKUP(A1056,MasterTutor!A:E,3,FALSE)</f>
        <v>Professional</v>
      </c>
      <c r="D1056" t="str">
        <f>VLOOKUP(A1056,MasterTutor!A:E,2,FALSE)</f>
        <v>Ian Plamondon</v>
      </c>
      <c r="E1056" t="s">
        <v>368</v>
      </c>
      <c r="F1056" s="2">
        <v>1.0900000000000001</v>
      </c>
      <c r="G1056" s="2">
        <v>1.31</v>
      </c>
      <c r="H1056" s="2">
        <v>0.92</v>
      </c>
      <c r="I1056" s="2">
        <v>0.98</v>
      </c>
      <c r="J1056" s="2">
        <v>0.83</v>
      </c>
      <c r="K1056">
        <v>6</v>
      </c>
      <c r="L1056" s="19">
        <v>0</v>
      </c>
      <c r="M1056" s="21">
        <f>L1056</f>
        <v>0</v>
      </c>
    </row>
    <row r="1057" spans="1:13" x14ac:dyDescent="0.2">
      <c r="A1057" t="s">
        <v>236</v>
      </c>
      <c r="B1057" t="str">
        <f>VLOOKUP(A1057,MasterTutor!A:E,4,FALSE)</f>
        <v>Advanced</v>
      </c>
      <c r="C1057" t="str">
        <f>VLOOKUP(A1057,MasterTutor!A:E,3,FALSE)</f>
        <v xml:space="preserve">Professional </v>
      </c>
      <c r="D1057" t="str">
        <f>VLOOKUP(A1057,MasterTutor!A:E,2,FALSE)</f>
        <v>Kristin Haase-Alvey</v>
      </c>
      <c r="E1057" t="s">
        <v>368</v>
      </c>
      <c r="F1057" s="2">
        <v>0.57999999999999996</v>
      </c>
      <c r="G1057" s="2">
        <v>1.1200000000000001</v>
      </c>
      <c r="H1057" s="2">
        <v>0.97</v>
      </c>
      <c r="I1057" s="2">
        <v>0.28999999999999998</v>
      </c>
      <c r="J1057" s="2">
        <v>1</v>
      </c>
      <c r="K1057" t="e">
        <v>#N/A</v>
      </c>
      <c r="L1057" s="19">
        <v>0</v>
      </c>
      <c r="M1057" s="21">
        <f>L1057</f>
        <v>0</v>
      </c>
    </row>
    <row r="1058" spans="1:13" x14ac:dyDescent="0.2">
      <c r="A1058" t="s">
        <v>47</v>
      </c>
      <c r="B1058" t="e">
        <f>VLOOKUP(A1058,MasterTutor!A:E,4,FALSE)</f>
        <v>#N/A</v>
      </c>
      <c r="C1058" t="e">
        <f>VLOOKUP(A1058,MasterTutor!A:E,3,FALSE)</f>
        <v>#N/A</v>
      </c>
      <c r="D1058" t="e">
        <f>VLOOKUP(A1058,MasterTutor!A:E,2,FALSE)</f>
        <v>#N/A</v>
      </c>
      <c r="E1058" t="s">
        <v>368</v>
      </c>
      <c r="F1058" s="2">
        <v>0.28999999999999998</v>
      </c>
      <c r="G1058" s="2">
        <v>0.97</v>
      </c>
      <c r="H1058" s="2">
        <v>1</v>
      </c>
      <c r="I1058" s="2">
        <v>1</v>
      </c>
      <c r="J1058" s="2">
        <v>0.67</v>
      </c>
      <c r="K1058" t="e">
        <v>#N/A</v>
      </c>
      <c r="L1058" s="19">
        <v>1</v>
      </c>
      <c r="M1058" s="21">
        <f>L1058</f>
        <v>1</v>
      </c>
    </row>
    <row r="1059" spans="1:13" x14ac:dyDescent="0.2">
      <c r="A1059" t="s">
        <v>238</v>
      </c>
      <c r="B1059" t="str">
        <f>VLOOKUP(A1059,MasterTutor!A:E,4,FALSE)</f>
        <v>Advanced</v>
      </c>
      <c r="C1059" t="str">
        <f>VLOOKUP(A1059,MasterTutor!A:E,3,FALSE)</f>
        <v>Professional</v>
      </c>
      <c r="D1059" t="str">
        <f>VLOOKUP(A1059,MasterTutor!A:E,2,FALSE)</f>
        <v>Ela Cross</v>
      </c>
      <c r="E1059" t="s">
        <v>368</v>
      </c>
      <c r="F1059" s="2">
        <v>0.26</v>
      </c>
      <c r="G1059" s="2">
        <v>0.95</v>
      </c>
      <c r="H1059" s="2">
        <v>1</v>
      </c>
      <c r="I1059" s="2">
        <v>1</v>
      </c>
      <c r="J1059" s="2">
        <v>0.86</v>
      </c>
      <c r="K1059" t="e">
        <v>#N/A</v>
      </c>
      <c r="L1059" s="19">
        <v>1</v>
      </c>
      <c r="M1059" s="21">
        <f>L1059</f>
        <v>1</v>
      </c>
    </row>
    <row r="1060" spans="1:13" x14ac:dyDescent="0.2">
      <c r="A1060" t="s">
        <v>48</v>
      </c>
      <c r="B1060" t="str">
        <f>VLOOKUP(A1060,MasterTutor!A:E,4,FALSE)</f>
        <v>Advanced</v>
      </c>
      <c r="C1060" t="str">
        <f>VLOOKUP(A1060,MasterTutor!A:E,3,FALSE)</f>
        <v>Professional</v>
      </c>
      <c r="D1060" t="str">
        <f>VLOOKUP(A1060,MasterTutor!A:E,2,FALSE)</f>
        <v>Annelies de Groot</v>
      </c>
      <c r="E1060" t="s">
        <v>368</v>
      </c>
      <c r="F1060" s="2">
        <v>0.77</v>
      </c>
      <c r="G1060" s="2">
        <v>1.1100000000000001</v>
      </c>
      <c r="H1060" s="2">
        <v>1</v>
      </c>
      <c r="I1060" s="2">
        <v>0.74</v>
      </c>
      <c r="J1060" s="2">
        <v>0.75</v>
      </c>
      <c r="K1060">
        <v>3</v>
      </c>
      <c r="L1060" s="19" t="s">
        <v>329</v>
      </c>
      <c r="M1060" s="21">
        <v>0.75</v>
      </c>
    </row>
    <row r="1061" spans="1:13" x14ac:dyDescent="0.2">
      <c r="A1061" t="s">
        <v>49</v>
      </c>
      <c r="B1061" t="str">
        <f>VLOOKUP(A1061,MasterTutor!A:E,4,FALSE)</f>
        <v>Advanced</v>
      </c>
      <c r="C1061" t="str">
        <f>VLOOKUP(A1061,MasterTutor!A:E,3,FALSE)</f>
        <v>Professional</v>
      </c>
      <c r="D1061" t="str">
        <f>VLOOKUP(A1061,MasterTutor!A:E,2,FALSE)</f>
        <v>Ian Plamondon</v>
      </c>
      <c r="E1061" t="s">
        <v>368</v>
      </c>
      <c r="F1061" s="2">
        <v>0.78</v>
      </c>
      <c r="G1061" s="2">
        <v>1</v>
      </c>
      <c r="H1061" s="2">
        <v>0.83</v>
      </c>
      <c r="I1061" s="2">
        <v>0.98</v>
      </c>
      <c r="J1061" s="2">
        <v>0.73</v>
      </c>
      <c r="K1061">
        <v>2</v>
      </c>
      <c r="L1061" s="19" t="s">
        <v>336</v>
      </c>
      <c r="M1061" s="21">
        <v>0.6</v>
      </c>
    </row>
    <row r="1062" spans="1:13" x14ac:dyDescent="0.2">
      <c r="A1062" t="s">
        <v>50</v>
      </c>
      <c r="B1062" t="str">
        <f>VLOOKUP(A1062,MasterTutor!A:E,4,FALSE)</f>
        <v>Premium</v>
      </c>
      <c r="C1062" t="str">
        <f>VLOOKUP(A1062,MasterTutor!A:E,3,FALSE)</f>
        <v>Adjunct</v>
      </c>
      <c r="D1062" t="str">
        <f>VLOOKUP(A1062,MasterTutor!A:E,2,FALSE)</f>
        <v>Kristin Haase-Alvey</v>
      </c>
      <c r="E1062" t="s">
        <v>368</v>
      </c>
      <c r="F1062" s="2">
        <v>0.42</v>
      </c>
      <c r="G1062" s="2">
        <v>1.04</v>
      </c>
      <c r="H1062" s="2">
        <v>1</v>
      </c>
      <c r="I1062" s="2">
        <v>1</v>
      </c>
      <c r="J1062" s="2">
        <v>1</v>
      </c>
      <c r="K1062" t="e">
        <v>#N/A</v>
      </c>
      <c r="L1062" s="19">
        <v>1</v>
      </c>
      <c r="M1062" s="21">
        <f>L1062</f>
        <v>1</v>
      </c>
    </row>
    <row r="1063" spans="1:13" x14ac:dyDescent="0.2">
      <c r="A1063" t="s">
        <v>51</v>
      </c>
      <c r="B1063" t="str">
        <f>VLOOKUP(A1063,MasterTutor!A:E,4,FALSE)</f>
        <v>Premium</v>
      </c>
      <c r="C1063" t="str">
        <f>VLOOKUP(A1063,MasterTutor!A:E,3,FALSE)</f>
        <v>Adjunct</v>
      </c>
      <c r="D1063" t="str">
        <f>VLOOKUP(A1063,MasterTutor!A:E,2,FALSE)</f>
        <v>Annelies de Groot</v>
      </c>
      <c r="E1063" t="s">
        <v>368</v>
      </c>
      <c r="F1063" s="2">
        <v>0.84</v>
      </c>
      <c r="G1063" s="2">
        <v>1.05</v>
      </c>
      <c r="H1063" s="2">
        <v>1</v>
      </c>
      <c r="I1063" s="2">
        <v>1</v>
      </c>
      <c r="J1063" s="2">
        <v>1</v>
      </c>
      <c r="K1063">
        <v>2</v>
      </c>
      <c r="L1063" s="19">
        <v>1</v>
      </c>
      <c r="M1063" s="21">
        <f>L1063</f>
        <v>1</v>
      </c>
    </row>
    <row r="1064" spans="1:13" x14ac:dyDescent="0.2">
      <c r="A1064" t="s">
        <v>52</v>
      </c>
      <c r="B1064" t="str">
        <f>VLOOKUP(A1064,MasterTutor!A:E,4,FALSE)</f>
        <v>Premium</v>
      </c>
      <c r="C1064" t="str">
        <f>VLOOKUP(A1064,MasterTutor!A:E,3,FALSE)</f>
        <v>Professional</v>
      </c>
      <c r="D1064" t="str">
        <f>VLOOKUP(A1064,MasterTutor!A:E,2,FALSE)</f>
        <v>Jessica Milner</v>
      </c>
      <c r="E1064" t="s">
        <v>368</v>
      </c>
      <c r="F1064" s="2">
        <v>1.1399999999999999</v>
      </c>
      <c r="G1064" s="2">
        <v>1.36</v>
      </c>
      <c r="H1064" s="2">
        <v>0.99</v>
      </c>
      <c r="I1064" s="2">
        <v>1</v>
      </c>
      <c r="J1064" s="2">
        <v>0.65</v>
      </c>
      <c r="K1064">
        <v>6</v>
      </c>
      <c r="L1064" s="19">
        <v>1</v>
      </c>
      <c r="M1064" s="21">
        <f>L1064</f>
        <v>1</v>
      </c>
    </row>
    <row r="1065" spans="1:13" x14ac:dyDescent="0.2">
      <c r="A1065" t="s">
        <v>53</v>
      </c>
      <c r="B1065" t="str">
        <f>VLOOKUP(A1065,MasterTutor!A:E,4,FALSE)</f>
        <v>Advanced</v>
      </c>
      <c r="C1065" t="str">
        <f>VLOOKUP(A1065,MasterTutor!A:E,3,FALSE)</f>
        <v>Professional</v>
      </c>
      <c r="D1065" t="str">
        <f>VLOOKUP(A1065,MasterTutor!A:E,2,FALSE)</f>
        <v>Kristin Haase-Alvey</v>
      </c>
      <c r="E1065" t="s">
        <v>368</v>
      </c>
      <c r="F1065" s="2">
        <v>0.4</v>
      </c>
      <c r="G1065" s="2">
        <v>0.63</v>
      </c>
      <c r="H1065" s="2">
        <v>0.92</v>
      </c>
      <c r="I1065" s="2">
        <v>0.88</v>
      </c>
      <c r="J1065" s="2">
        <v>0.67</v>
      </c>
      <c r="K1065">
        <v>2</v>
      </c>
    </row>
    <row r="1066" spans="1:13" x14ac:dyDescent="0.2">
      <c r="A1066" t="s">
        <v>54</v>
      </c>
      <c r="B1066" t="str">
        <f>VLOOKUP(A1066,MasterTutor!A:E,4,FALSE)</f>
        <v>Premium</v>
      </c>
      <c r="C1066" t="str">
        <f>VLOOKUP(A1066,MasterTutor!A:E,3,FALSE)</f>
        <v>Professional</v>
      </c>
      <c r="D1066" t="str">
        <f>VLOOKUP(A1066,MasterTutor!A:E,2,FALSE)</f>
        <v>Jessica Milner</v>
      </c>
      <c r="E1066" t="s">
        <v>368</v>
      </c>
      <c r="F1066" s="2">
        <v>0.82</v>
      </c>
      <c r="G1066" s="2">
        <v>1.1200000000000001</v>
      </c>
      <c r="H1066" s="2">
        <v>1</v>
      </c>
      <c r="I1066" s="2">
        <v>0.9</v>
      </c>
      <c r="J1066" s="2">
        <v>0.6</v>
      </c>
      <c r="K1066" t="e">
        <v>#N/A</v>
      </c>
      <c r="L1066" s="19">
        <v>1</v>
      </c>
      <c r="M1066" s="21">
        <f>L1066</f>
        <v>1</v>
      </c>
    </row>
    <row r="1067" spans="1:13" x14ac:dyDescent="0.2">
      <c r="A1067" t="s">
        <v>55</v>
      </c>
      <c r="B1067" t="str">
        <f>VLOOKUP(A1067,MasterTutor!A:E,4,FALSE)</f>
        <v>Premium</v>
      </c>
      <c r="C1067" t="str">
        <f>VLOOKUP(A1067,MasterTutor!A:E,3,FALSE)</f>
        <v>Adjunct</v>
      </c>
      <c r="D1067" t="str">
        <f>VLOOKUP(A1067,MasterTutor!A:E,2,FALSE)</f>
        <v>Ela Cross</v>
      </c>
      <c r="E1067" t="s">
        <v>368</v>
      </c>
      <c r="F1067" s="2">
        <v>1.1000000000000001</v>
      </c>
      <c r="G1067" s="2">
        <v>1.39</v>
      </c>
      <c r="H1067" s="2">
        <v>0.96</v>
      </c>
      <c r="I1067" s="2">
        <v>0.91</v>
      </c>
      <c r="J1067" s="2">
        <v>0.3</v>
      </c>
      <c r="K1067">
        <v>3</v>
      </c>
      <c r="L1067" s="19">
        <v>1</v>
      </c>
      <c r="M1067" s="21">
        <f>L1067</f>
        <v>1</v>
      </c>
    </row>
    <row r="1068" spans="1:13" x14ac:dyDescent="0.2">
      <c r="A1068" t="s">
        <v>56</v>
      </c>
      <c r="B1068" t="str">
        <f>VLOOKUP(A1068,MasterTutor!A:E,4,FALSE)</f>
        <v>Advanced</v>
      </c>
      <c r="C1068" t="str">
        <f>VLOOKUP(A1068,MasterTutor!A:E,3,FALSE)</f>
        <v>Professional</v>
      </c>
      <c r="D1068" t="str">
        <f>VLOOKUP(A1068,MasterTutor!A:E,2,FALSE)</f>
        <v>Ela Cross</v>
      </c>
      <c r="E1068" t="s">
        <v>368</v>
      </c>
      <c r="F1068" s="2">
        <v>0.78</v>
      </c>
      <c r="G1068" s="2">
        <v>1.06</v>
      </c>
      <c r="H1068" s="2">
        <v>0.95</v>
      </c>
      <c r="I1068" s="2">
        <v>1</v>
      </c>
      <c r="J1068" s="2">
        <v>1</v>
      </c>
      <c r="K1068">
        <v>2</v>
      </c>
      <c r="L1068" s="19">
        <v>1</v>
      </c>
      <c r="M1068" s="21">
        <f>L1068</f>
        <v>1</v>
      </c>
    </row>
    <row r="1069" spans="1:13" x14ac:dyDescent="0.2">
      <c r="A1069" t="s">
        <v>245</v>
      </c>
      <c r="B1069" t="str">
        <f>VLOOKUP(A1069,MasterTutor!A:E,4,FALSE)</f>
        <v>Advanced</v>
      </c>
      <c r="C1069" t="str">
        <f>VLOOKUP(A1069,MasterTutor!A:E,3,FALSE)</f>
        <v>Professional</v>
      </c>
      <c r="D1069" t="str">
        <f>VLOOKUP(A1069,MasterTutor!A:E,2,FALSE)</f>
        <v>Ela Cross</v>
      </c>
      <c r="E1069" t="s">
        <v>368</v>
      </c>
      <c r="F1069" s="2">
        <v>0.85</v>
      </c>
      <c r="G1069" s="2">
        <v>1.25</v>
      </c>
      <c r="H1069" s="2">
        <v>0.96</v>
      </c>
      <c r="I1069" s="2">
        <v>0.92</v>
      </c>
      <c r="J1069" s="2">
        <v>0.72</v>
      </c>
      <c r="K1069">
        <v>3</v>
      </c>
      <c r="L1069" s="19" t="s">
        <v>331</v>
      </c>
      <c r="M1069" s="21">
        <v>0.5</v>
      </c>
    </row>
    <row r="1070" spans="1:13" x14ac:dyDescent="0.2">
      <c r="A1070" t="s">
        <v>57</v>
      </c>
      <c r="B1070" t="str">
        <f>VLOOKUP(A1070,MasterTutor!A:E,4,FALSE)</f>
        <v>Advanced</v>
      </c>
      <c r="C1070" t="str">
        <f>VLOOKUP(A1070,MasterTutor!A:E,3,FALSE)</f>
        <v>Professional</v>
      </c>
      <c r="D1070" t="str">
        <f>VLOOKUP(A1070,MasterTutor!A:E,2,FALSE)</f>
        <v>Ian Plamondon</v>
      </c>
      <c r="E1070" t="s">
        <v>368</v>
      </c>
      <c r="F1070" s="2">
        <v>0.88</v>
      </c>
      <c r="G1070" s="2">
        <v>1.1100000000000001</v>
      </c>
      <c r="H1070" s="2">
        <v>0.99</v>
      </c>
      <c r="I1070" s="2">
        <v>0.97</v>
      </c>
      <c r="J1070" s="2">
        <v>0.81</v>
      </c>
      <c r="K1070">
        <v>12</v>
      </c>
      <c r="L1070" s="19">
        <v>1</v>
      </c>
      <c r="M1070" s="21">
        <f>L1070</f>
        <v>1</v>
      </c>
    </row>
    <row r="1071" spans="1:13" x14ac:dyDescent="0.2">
      <c r="A1071" t="s">
        <v>248</v>
      </c>
      <c r="B1071" t="e">
        <f>VLOOKUP(A1071,MasterTutor!A:E,4,FALSE)</f>
        <v>#N/A</v>
      </c>
      <c r="C1071" t="e">
        <f>VLOOKUP(A1071,MasterTutor!A:E,3,FALSE)</f>
        <v>#N/A</v>
      </c>
      <c r="D1071" t="e">
        <f>VLOOKUP(A1071,MasterTutor!A:E,2,FALSE)</f>
        <v>#N/A</v>
      </c>
      <c r="E1071" t="s">
        <v>368</v>
      </c>
      <c r="F1071" s="2">
        <v>0.16</v>
      </c>
      <c r="G1071" s="2">
        <v>0.87</v>
      </c>
      <c r="H1071" s="2">
        <v>1</v>
      </c>
      <c r="I1071" s="2">
        <v>1</v>
      </c>
      <c r="J1071" s="2">
        <v>0.92</v>
      </c>
      <c r="K1071" t="e">
        <v>#N/A</v>
      </c>
      <c r="L1071" s="19" t="s">
        <v>336</v>
      </c>
      <c r="M1071" s="21">
        <v>0.6</v>
      </c>
    </row>
    <row r="1072" spans="1:13" x14ac:dyDescent="0.2">
      <c r="A1072" t="s">
        <v>249</v>
      </c>
      <c r="B1072" t="str">
        <f>VLOOKUP(A1072,MasterTutor!A:E,4,FALSE)</f>
        <v>Advanced</v>
      </c>
      <c r="C1072" t="str">
        <f>VLOOKUP(A1072,MasterTutor!A:E,3,FALSE)</f>
        <v>Adjunct</v>
      </c>
      <c r="D1072" t="str">
        <f>VLOOKUP(A1072,MasterTutor!A:E,2,FALSE)</f>
        <v>Annelies de Groot</v>
      </c>
      <c r="E1072" t="s">
        <v>368</v>
      </c>
      <c r="F1072" s="2">
        <v>0.18</v>
      </c>
      <c r="G1072" s="2">
        <v>1</v>
      </c>
      <c r="H1072" s="2">
        <v>0.88</v>
      </c>
      <c r="I1072" s="2">
        <v>0.88</v>
      </c>
      <c r="J1072" s="2">
        <v>1</v>
      </c>
      <c r="K1072">
        <v>1</v>
      </c>
      <c r="L1072" s="19">
        <v>0</v>
      </c>
      <c r="M1072" s="21">
        <f>L1072</f>
        <v>0</v>
      </c>
    </row>
    <row r="1073" spans="1:13" x14ac:dyDescent="0.2">
      <c r="A1073" t="s">
        <v>58</v>
      </c>
      <c r="B1073" t="str">
        <f>VLOOKUP(A1073,MasterTutor!A:E,4,FALSE)</f>
        <v>Premium</v>
      </c>
      <c r="C1073" t="str">
        <f>VLOOKUP(A1073,MasterTutor!A:E,3,FALSE)</f>
        <v>Professional</v>
      </c>
      <c r="D1073" t="str">
        <f>VLOOKUP(A1073,MasterTutor!A:E,2,FALSE)</f>
        <v>Jessica Milner</v>
      </c>
      <c r="E1073" t="s">
        <v>368</v>
      </c>
      <c r="F1073" s="2">
        <v>0.66</v>
      </c>
      <c r="G1073" s="2">
        <v>1.03</v>
      </c>
      <c r="H1073" s="2">
        <v>0.92</v>
      </c>
      <c r="I1073" s="2">
        <v>0.98</v>
      </c>
      <c r="J1073" s="2">
        <v>0.82</v>
      </c>
      <c r="K1073">
        <v>8</v>
      </c>
      <c r="L1073" s="19">
        <v>1</v>
      </c>
      <c r="M1073" s="21">
        <f>L1073</f>
        <v>1</v>
      </c>
    </row>
    <row r="1074" spans="1:13" x14ac:dyDescent="0.2">
      <c r="A1074" t="s">
        <v>59</v>
      </c>
      <c r="B1074" t="str">
        <f>VLOOKUP(A1074,MasterTutor!A:E,4,FALSE)</f>
        <v>Distinguished</v>
      </c>
      <c r="C1074" t="str">
        <f>VLOOKUP(A1074,MasterTutor!A:E,3,FALSE)</f>
        <v>Professional</v>
      </c>
      <c r="D1074" t="str">
        <f>VLOOKUP(A1074,MasterTutor!A:E,2,FALSE)</f>
        <v>Ela Cross</v>
      </c>
      <c r="E1074" t="s">
        <v>368</v>
      </c>
      <c r="F1074" s="2">
        <v>0.69</v>
      </c>
      <c r="G1074" s="2">
        <v>1.01</v>
      </c>
      <c r="H1074" s="2">
        <v>1</v>
      </c>
      <c r="I1074" s="2">
        <v>0.98</v>
      </c>
      <c r="J1074" s="2">
        <v>0.8</v>
      </c>
      <c r="K1074">
        <v>3</v>
      </c>
      <c r="L1074" s="19">
        <v>1</v>
      </c>
      <c r="M1074" s="21">
        <f>L1074</f>
        <v>1</v>
      </c>
    </row>
    <row r="1075" spans="1:13" x14ac:dyDescent="0.2">
      <c r="A1075" t="s">
        <v>60</v>
      </c>
      <c r="B1075" t="str">
        <f>VLOOKUP(A1075,MasterTutor!A:E,4,FALSE)</f>
        <v>Advanced</v>
      </c>
      <c r="C1075" t="str">
        <f>VLOOKUP(A1075,MasterTutor!A:E,3,FALSE)</f>
        <v>Adjunct</v>
      </c>
      <c r="D1075" t="str">
        <f>VLOOKUP(A1075,MasterTutor!A:E,2,FALSE)</f>
        <v>Kristin Haase-Alvey</v>
      </c>
      <c r="E1075" t="s">
        <v>368</v>
      </c>
      <c r="F1075" s="2">
        <v>1.45</v>
      </c>
      <c r="G1075" s="2">
        <v>1.52</v>
      </c>
      <c r="H1075" s="2">
        <v>0.92</v>
      </c>
      <c r="I1075" s="2">
        <v>1</v>
      </c>
      <c r="J1075" s="2">
        <v>0.8</v>
      </c>
      <c r="K1075">
        <v>2</v>
      </c>
    </row>
    <row r="1076" spans="1:13" x14ac:dyDescent="0.2">
      <c r="A1076" t="s">
        <v>61</v>
      </c>
      <c r="B1076" t="str">
        <f>VLOOKUP(A1076,MasterTutor!A:E,4,FALSE)</f>
        <v>Advanced</v>
      </c>
      <c r="C1076" t="str">
        <f>VLOOKUP(A1076,MasterTutor!A:E,3,FALSE)</f>
        <v>Adjunct</v>
      </c>
      <c r="D1076" t="str">
        <f>VLOOKUP(A1076,MasterTutor!A:E,2,FALSE)</f>
        <v>Ela Cross</v>
      </c>
      <c r="E1076" t="s">
        <v>368</v>
      </c>
      <c r="F1076" s="2">
        <v>0.65</v>
      </c>
      <c r="G1076" s="2">
        <v>1.1599999999999999</v>
      </c>
      <c r="H1076" s="2">
        <v>0.98</v>
      </c>
      <c r="I1076" s="2">
        <v>0.41</v>
      </c>
      <c r="J1076" s="2">
        <v>0.33</v>
      </c>
      <c r="K1076" t="e">
        <v>#N/A</v>
      </c>
    </row>
    <row r="1077" spans="1:13" x14ac:dyDescent="0.2">
      <c r="A1077" t="s">
        <v>62</v>
      </c>
      <c r="B1077" t="e">
        <f>VLOOKUP(A1077,MasterTutor!A:E,4,FALSE)</f>
        <v>#N/A</v>
      </c>
      <c r="C1077" t="e">
        <f>VLOOKUP(A1077,MasterTutor!A:E,3,FALSE)</f>
        <v>#N/A</v>
      </c>
      <c r="D1077" t="e">
        <f>VLOOKUP(A1077,MasterTutor!A:E,2,FALSE)</f>
        <v>#N/A</v>
      </c>
      <c r="E1077" t="s">
        <v>368</v>
      </c>
      <c r="F1077" s="2">
        <v>1.1100000000000001</v>
      </c>
      <c r="G1077" s="2">
        <v>1.49</v>
      </c>
      <c r="H1077" s="2">
        <v>0.93</v>
      </c>
      <c r="I1077" s="2">
        <v>0.81</v>
      </c>
      <c r="J1077" s="2">
        <v>0.75</v>
      </c>
      <c r="K1077">
        <v>1</v>
      </c>
      <c r="L1077" s="19" t="s">
        <v>331</v>
      </c>
      <c r="M1077" s="21">
        <v>0.5</v>
      </c>
    </row>
    <row r="1078" spans="1:13" x14ac:dyDescent="0.2">
      <c r="A1078" t="s">
        <v>63</v>
      </c>
      <c r="B1078" t="str">
        <f>VLOOKUP(A1078,MasterTutor!A:E,4,FALSE)</f>
        <v>Advanced</v>
      </c>
      <c r="C1078" t="str">
        <f>VLOOKUP(A1078,MasterTutor!A:E,3,FALSE)</f>
        <v>Adjunct</v>
      </c>
      <c r="D1078" t="str">
        <f>VLOOKUP(A1078,MasterTutor!A:E,2,FALSE)</f>
        <v>Kristin Haase-Alvey</v>
      </c>
      <c r="E1078" t="s">
        <v>368</v>
      </c>
      <c r="F1078" s="2">
        <v>0.54</v>
      </c>
      <c r="G1078" s="2">
        <v>1.04</v>
      </c>
      <c r="H1078" s="2">
        <v>1</v>
      </c>
      <c r="I1078" s="2">
        <v>0.47</v>
      </c>
      <c r="J1078" s="2">
        <v>0.75</v>
      </c>
      <c r="K1078">
        <v>6</v>
      </c>
    </row>
    <row r="1079" spans="1:13" x14ac:dyDescent="0.2">
      <c r="A1079" t="s">
        <v>64</v>
      </c>
      <c r="B1079" t="str">
        <f>VLOOKUP(A1079,MasterTutor!A:E,4,FALSE)</f>
        <v>Distinguished</v>
      </c>
      <c r="C1079" t="str">
        <f>VLOOKUP(A1079,MasterTutor!A:E,3,FALSE)</f>
        <v>Professional</v>
      </c>
      <c r="D1079" t="str">
        <f>VLOOKUP(A1079,MasterTutor!A:E,2,FALSE)</f>
        <v>Ian Plamondon</v>
      </c>
      <c r="E1079" t="s">
        <v>368</v>
      </c>
      <c r="F1079" s="2">
        <v>0.76</v>
      </c>
      <c r="G1079" s="2">
        <v>1.19</v>
      </c>
      <c r="H1079" s="2">
        <v>0.94</v>
      </c>
      <c r="I1079" s="2">
        <v>1</v>
      </c>
      <c r="J1079" s="2">
        <v>1</v>
      </c>
      <c r="K1079">
        <v>7</v>
      </c>
      <c r="L1079" s="19">
        <v>1</v>
      </c>
      <c r="M1079" s="21">
        <f>L1079</f>
        <v>1</v>
      </c>
    </row>
    <row r="1080" spans="1:13" x14ac:dyDescent="0.2">
      <c r="A1080" t="s">
        <v>65</v>
      </c>
      <c r="B1080" t="str">
        <f>VLOOKUP(A1080,MasterTutor!A:E,4,FALSE)</f>
        <v>Premium</v>
      </c>
      <c r="C1080" t="str">
        <f>VLOOKUP(A1080,MasterTutor!A:E,3,FALSE)</f>
        <v>Professional</v>
      </c>
      <c r="D1080" t="str">
        <f>VLOOKUP(A1080,MasterTutor!A:E,2,FALSE)</f>
        <v>Ian Plamondon</v>
      </c>
      <c r="E1080" t="s">
        <v>368</v>
      </c>
      <c r="F1080" s="2">
        <v>0.73</v>
      </c>
      <c r="G1080" s="2">
        <v>1.21</v>
      </c>
      <c r="H1080" s="2">
        <v>1</v>
      </c>
      <c r="I1080" s="2">
        <v>0.93</v>
      </c>
      <c r="J1080" s="2">
        <v>0.44</v>
      </c>
      <c r="K1080">
        <v>3</v>
      </c>
      <c r="L1080" s="19">
        <v>1</v>
      </c>
      <c r="M1080" s="21">
        <f>L1080</f>
        <v>1</v>
      </c>
    </row>
    <row r="1081" spans="1:13" x14ac:dyDescent="0.2">
      <c r="A1081" t="s">
        <v>254</v>
      </c>
      <c r="B1081" t="str">
        <f>VLOOKUP(A1081,MasterTutor!A:E,4,FALSE)</f>
        <v>Advanced</v>
      </c>
      <c r="C1081" t="str">
        <f>VLOOKUP(A1081,MasterTutor!A:E,3,FALSE)</f>
        <v>Professional</v>
      </c>
      <c r="D1081" t="str">
        <f>VLOOKUP(A1081,MasterTutor!A:E,2,FALSE)</f>
        <v>Annelies de Groot</v>
      </c>
      <c r="E1081" t="s">
        <v>368</v>
      </c>
      <c r="F1081" s="2">
        <v>0.65</v>
      </c>
      <c r="G1081" s="2">
        <v>1.1499999999999999</v>
      </c>
      <c r="H1081" s="2">
        <v>0.9</v>
      </c>
      <c r="I1081" s="2">
        <v>0.9</v>
      </c>
      <c r="J1081" s="2">
        <v>0.91</v>
      </c>
      <c r="K1081">
        <v>1</v>
      </c>
      <c r="L1081" s="19">
        <v>0</v>
      </c>
      <c r="M1081" s="21">
        <f>L1081</f>
        <v>0</v>
      </c>
    </row>
    <row r="1082" spans="1:13" x14ac:dyDescent="0.2">
      <c r="A1082" t="s">
        <v>67</v>
      </c>
      <c r="B1082" t="str">
        <f>VLOOKUP(A1082,MasterTutor!A:E,4,FALSE)</f>
        <v>Distinguished</v>
      </c>
      <c r="C1082" t="str">
        <f>VLOOKUP(A1082,MasterTutor!A:E,3,FALSE)</f>
        <v>Professional</v>
      </c>
      <c r="D1082" t="str">
        <f>VLOOKUP(A1082,MasterTutor!A:E,2,FALSE)</f>
        <v>Ian Plamondon</v>
      </c>
      <c r="E1082" t="s">
        <v>368</v>
      </c>
      <c r="F1082" s="2">
        <v>0.72</v>
      </c>
      <c r="G1082" s="2">
        <v>1.22</v>
      </c>
      <c r="H1082" s="2">
        <v>1</v>
      </c>
      <c r="I1082" s="2">
        <v>1</v>
      </c>
      <c r="J1082" s="2">
        <v>1</v>
      </c>
      <c r="K1082">
        <v>5</v>
      </c>
    </row>
    <row r="1083" spans="1:13" x14ac:dyDescent="0.2">
      <c r="A1083" t="s">
        <v>68</v>
      </c>
      <c r="B1083" t="str">
        <f>VLOOKUP(A1083,MasterTutor!A:E,4,FALSE)</f>
        <v>Advanced</v>
      </c>
      <c r="C1083" t="str">
        <f>VLOOKUP(A1083,MasterTutor!A:E,3,FALSE)</f>
        <v>Professional</v>
      </c>
      <c r="D1083" t="str">
        <f>VLOOKUP(A1083,MasterTutor!A:E,2,FALSE)</f>
        <v>Ian Plamondon</v>
      </c>
      <c r="E1083" t="s">
        <v>368</v>
      </c>
      <c r="F1083" s="2">
        <v>0.42</v>
      </c>
      <c r="G1083" s="2">
        <v>0.63</v>
      </c>
      <c r="H1083" s="2">
        <v>0.92</v>
      </c>
      <c r="I1083" s="2">
        <v>0.53</v>
      </c>
      <c r="J1083" s="2">
        <v>0.9</v>
      </c>
      <c r="K1083">
        <v>4</v>
      </c>
    </row>
    <row r="1084" spans="1:13" x14ac:dyDescent="0.2">
      <c r="A1084" t="s">
        <v>69</v>
      </c>
      <c r="B1084" t="str">
        <f>VLOOKUP(A1084,MasterTutor!A:E,4,FALSE)</f>
        <v>Advanced</v>
      </c>
      <c r="C1084" t="str">
        <f>VLOOKUP(A1084,MasterTutor!A:E,3,FALSE)</f>
        <v>Adjunct</v>
      </c>
      <c r="D1084" t="str">
        <f>VLOOKUP(A1084,MasterTutor!A:E,2,FALSE)</f>
        <v>Ela Cross</v>
      </c>
      <c r="E1084" t="s">
        <v>368</v>
      </c>
      <c r="F1084" s="2">
        <v>0.86</v>
      </c>
      <c r="G1084" s="2">
        <v>0.99</v>
      </c>
      <c r="H1084" s="2">
        <v>1</v>
      </c>
      <c r="I1084" s="2">
        <v>0.9</v>
      </c>
      <c r="J1084" s="2">
        <v>1</v>
      </c>
      <c r="K1084">
        <v>4</v>
      </c>
      <c r="L1084" s="19">
        <v>1</v>
      </c>
      <c r="M1084" s="21">
        <f>L1084</f>
        <v>1</v>
      </c>
    </row>
    <row r="1085" spans="1:13" x14ac:dyDescent="0.2">
      <c r="A1085" t="s">
        <v>70</v>
      </c>
      <c r="B1085" t="str">
        <f>VLOOKUP(A1085,MasterTutor!A:E,4,FALSE)</f>
        <v>Distinguished</v>
      </c>
      <c r="C1085" t="str">
        <f>VLOOKUP(A1085,MasterTutor!A:E,3,FALSE)</f>
        <v>Professional</v>
      </c>
      <c r="D1085" t="str">
        <f>VLOOKUP(A1085,MasterTutor!A:E,2,FALSE)</f>
        <v>Ela Cross</v>
      </c>
      <c r="E1085" t="s">
        <v>368</v>
      </c>
      <c r="F1085" s="2">
        <v>1.1100000000000001</v>
      </c>
      <c r="G1085" s="2">
        <v>1.1100000000000001</v>
      </c>
      <c r="H1085" s="2">
        <v>0.97</v>
      </c>
      <c r="I1085" s="2">
        <v>0.96</v>
      </c>
      <c r="J1085" s="2">
        <v>1</v>
      </c>
      <c r="K1085">
        <v>8</v>
      </c>
      <c r="L1085" s="19" t="s">
        <v>337</v>
      </c>
      <c r="M1085" s="21">
        <f>1/3</f>
        <v>0.33333333333333331</v>
      </c>
    </row>
    <row r="1086" spans="1:13" x14ac:dyDescent="0.2">
      <c r="A1086" t="s">
        <v>71</v>
      </c>
      <c r="B1086" t="str">
        <f>VLOOKUP(A1086,MasterTutor!A:E,4,FALSE)</f>
        <v>Premium</v>
      </c>
      <c r="C1086" t="str">
        <f>VLOOKUP(A1086,MasterTutor!A:E,3,FALSE)</f>
        <v>Professional</v>
      </c>
      <c r="D1086" t="str">
        <f>VLOOKUP(A1086,MasterTutor!A:E,2,FALSE)</f>
        <v>Ian Plamondon</v>
      </c>
      <c r="E1086" t="s">
        <v>368</v>
      </c>
      <c r="F1086" s="2">
        <v>0.92</v>
      </c>
      <c r="G1086" s="2">
        <v>1.21</v>
      </c>
      <c r="H1086" s="2">
        <v>1</v>
      </c>
      <c r="I1086" s="2">
        <v>0.97</v>
      </c>
      <c r="J1086" s="2">
        <v>0.77</v>
      </c>
      <c r="K1086">
        <v>1</v>
      </c>
      <c r="L1086" s="19" t="s">
        <v>329</v>
      </c>
      <c r="M1086" s="21">
        <v>0.75</v>
      </c>
    </row>
    <row r="1087" spans="1:13" x14ac:dyDescent="0.2">
      <c r="A1087" t="s">
        <v>258</v>
      </c>
      <c r="B1087" t="str">
        <f>VLOOKUP(A1087,MasterTutor!A:E,4,FALSE)</f>
        <v>Advanced</v>
      </c>
      <c r="C1087" t="str">
        <f>VLOOKUP(A1087,MasterTutor!A:E,3,FALSE)</f>
        <v>Adjunct</v>
      </c>
      <c r="D1087" t="str">
        <f>VLOOKUP(A1087,MasterTutor!A:E,2,FALSE)</f>
        <v>Kristin Haase-Alvey</v>
      </c>
      <c r="E1087" t="s">
        <v>368</v>
      </c>
      <c r="F1087" s="2">
        <v>0.98</v>
      </c>
      <c r="G1087" s="2">
        <v>1.44</v>
      </c>
      <c r="H1087" s="2">
        <v>1</v>
      </c>
      <c r="I1087" s="2">
        <v>1</v>
      </c>
      <c r="J1087" s="2">
        <v>0.75</v>
      </c>
      <c r="K1087" t="e">
        <v>#N/A</v>
      </c>
      <c r="L1087" s="19">
        <v>1</v>
      </c>
      <c r="M1087" s="21">
        <f>L1087</f>
        <v>1</v>
      </c>
    </row>
    <row r="1088" spans="1:13" x14ac:dyDescent="0.2">
      <c r="A1088" t="s">
        <v>72</v>
      </c>
      <c r="B1088" t="str">
        <f>VLOOKUP(A1088,MasterTutor!A:E,4,FALSE)</f>
        <v>Premium</v>
      </c>
      <c r="C1088" t="str">
        <f>VLOOKUP(A1088,MasterTutor!A:E,3,FALSE)</f>
        <v>Adjunct</v>
      </c>
      <c r="D1088" t="str">
        <f>VLOOKUP(A1088,MasterTutor!A:E,2,FALSE)</f>
        <v>Annelies de Groot</v>
      </c>
      <c r="E1088" t="s">
        <v>368</v>
      </c>
      <c r="F1088" s="2">
        <v>1.05</v>
      </c>
      <c r="G1088" s="2">
        <v>0.86</v>
      </c>
      <c r="H1088" s="2">
        <v>1</v>
      </c>
      <c r="I1088" s="2">
        <v>0.86</v>
      </c>
      <c r="J1088" s="2">
        <v>0.94</v>
      </c>
      <c r="K1088">
        <v>2</v>
      </c>
      <c r="L1088" s="19">
        <v>1</v>
      </c>
      <c r="M1088" s="21">
        <f>L1088</f>
        <v>1</v>
      </c>
    </row>
    <row r="1089" spans="1:13" x14ac:dyDescent="0.2">
      <c r="A1089" t="s">
        <v>73</v>
      </c>
      <c r="B1089" t="str">
        <f>VLOOKUP(A1089,MasterTutor!A:E,4,FALSE)</f>
        <v>Advanced</v>
      </c>
      <c r="C1089" t="str">
        <f>VLOOKUP(A1089,MasterTutor!A:E,3,FALSE)</f>
        <v>Adjunct</v>
      </c>
      <c r="D1089" t="str">
        <f>VLOOKUP(A1089,MasterTutor!A:E,2,FALSE)</f>
        <v>Geoff St. Marie</v>
      </c>
      <c r="E1089" t="s">
        <v>368</v>
      </c>
      <c r="F1089" s="2">
        <v>0.98</v>
      </c>
      <c r="G1089" s="2">
        <v>1.1299999999999999</v>
      </c>
      <c r="H1089" s="2">
        <v>1</v>
      </c>
      <c r="I1089" s="2">
        <v>0.97</v>
      </c>
      <c r="J1089" s="2">
        <v>0.86</v>
      </c>
      <c r="K1089">
        <v>2</v>
      </c>
    </row>
    <row r="1090" spans="1:13" x14ac:dyDescent="0.2">
      <c r="A1090" t="s">
        <v>263</v>
      </c>
      <c r="B1090" t="str">
        <f>VLOOKUP(A1090,MasterTutor!A:E,4,FALSE)</f>
        <v>Advanced</v>
      </c>
      <c r="C1090" t="str">
        <f>VLOOKUP(A1090,MasterTutor!A:E,3,FALSE)</f>
        <v>Professional</v>
      </c>
      <c r="D1090" t="str">
        <f>VLOOKUP(A1090,MasterTutor!A:E,2,FALSE)</f>
        <v>Annelies de Groot</v>
      </c>
      <c r="E1090" t="s">
        <v>368</v>
      </c>
      <c r="F1090" s="2">
        <v>0.61</v>
      </c>
      <c r="G1090" s="2">
        <v>1.04</v>
      </c>
      <c r="H1090" s="2">
        <v>0.94</v>
      </c>
      <c r="I1090" s="2">
        <v>0.86</v>
      </c>
      <c r="J1090" s="2">
        <v>0.83</v>
      </c>
      <c r="K1090">
        <v>4</v>
      </c>
      <c r="L1090" s="19" t="s">
        <v>329</v>
      </c>
      <c r="M1090" s="21">
        <v>0.75</v>
      </c>
    </row>
    <row r="1091" spans="1:13" x14ac:dyDescent="0.2">
      <c r="A1091" t="s">
        <v>74</v>
      </c>
      <c r="B1091" t="str">
        <f>VLOOKUP(A1091,MasterTutor!A:E,4,FALSE)</f>
        <v>Distinguished</v>
      </c>
      <c r="C1091" t="str">
        <f>VLOOKUP(A1091,MasterTutor!A:E,3,FALSE)</f>
        <v>Adjunct</v>
      </c>
      <c r="D1091" t="str">
        <f>VLOOKUP(A1091,MasterTutor!A:E,2,FALSE)</f>
        <v>Ela Cross</v>
      </c>
      <c r="E1091" t="s">
        <v>368</v>
      </c>
      <c r="F1091" s="2">
        <v>0.75</v>
      </c>
      <c r="G1091" s="2">
        <v>1</v>
      </c>
      <c r="H1091" s="2">
        <v>1</v>
      </c>
      <c r="I1091" s="2">
        <v>0.81</v>
      </c>
      <c r="J1091" s="2">
        <v>0.5</v>
      </c>
      <c r="K1091">
        <v>1</v>
      </c>
    </row>
    <row r="1092" spans="1:13" x14ac:dyDescent="0.2">
      <c r="A1092" t="s">
        <v>365</v>
      </c>
      <c r="B1092" t="e">
        <f>VLOOKUP(A1092,MasterTutor!A:E,4,FALSE)</f>
        <v>#N/A</v>
      </c>
      <c r="C1092" t="e">
        <f>VLOOKUP(A1092,MasterTutor!A:E,3,FALSE)</f>
        <v>#N/A</v>
      </c>
      <c r="D1092" t="e">
        <f>VLOOKUP(A1092,MasterTutor!A:E,2,FALSE)</f>
        <v>#N/A</v>
      </c>
      <c r="E1092" t="s">
        <v>368</v>
      </c>
      <c r="F1092" s="2">
        <v>0.15</v>
      </c>
      <c r="G1092" s="2">
        <v>0.82</v>
      </c>
      <c r="H1092" s="2">
        <v>1</v>
      </c>
      <c r="I1092" s="2">
        <v>1</v>
      </c>
      <c r="J1092" s="2">
        <v>1</v>
      </c>
      <c r="K1092" t="e">
        <v>#N/A</v>
      </c>
      <c r="L1092" s="19">
        <v>1</v>
      </c>
      <c r="M1092" s="21">
        <f>L1092</f>
        <v>1</v>
      </c>
    </row>
    <row r="1093" spans="1:13" x14ac:dyDescent="0.2">
      <c r="A1093" t="s">
        <v>75</v>
      </c>
      <c r="B1093" t="str">
        <f>VLOOKUP(A1093,MasterTutor!A:E,4,FALSE)</f>
        <v>Advanced</v>
      </c>
      <c r="C1093" t="str">
        <f>VLOOKUP(A1093,MasterTutor!A:E,3,FALSE)</f>
        <v>Professional</v>
      </c>
      <c r="D1093" t="str">
        <f>VLOOKUP(A1093,MasterTutor!A:E,2,FALSE)</f>
        <v>Geoff St. Marie</v>
      </c>
      <c r="E1093" t="s">
        <v>368</v>
      </c>
      <c r="F1093" s="2">
        <v>0.66</v>
      </c>
      <c r="G1093" s="2">
        <v>1.29</v>
      </c>
      <c r="H1093" s="2">
        <v>0.97</v>
      </c>
      <c r="I1093" s="2">
        <v>0.84</v>
      </c>
      <c r="J1093" s="2">
        <v>1</v>
      </c>
      <c r="K1093">
        <v>1</v>
      </c>
      <c r="L1093" s="19" t="s">
        <v>331</v>
      </c>
      <c r="M1093" s="21">
        <v>0.5</v>
      </c>
    </row>
    <row r="1094" spans="1:13" x14ac:dyDescent="0.2">
      <c r="A1094" t="s">
        <v>265</v>
      </c>
      <c r="B1094" t="str">
        <f>VLOOKUP(A1094,MasterTutor!A:E,4,FALSE)</f>
        <v>Advanced</v>
      </c>
      <c r="C1094" t="str">
        <f>VLOOKUP(A1094,MasterTutor!A:E,3,FALSE)</f>
        <v>Adjunct</v>
      </c>
      <c r="D1094" t="str">
        <f>VLOOKUP(A1094,MasterTutor!A:E,2,FALSE)</f>
        <v>Kristin Haase-Alvey</v>
      </c>
      <c r="E1094" t="s">
        <v>368</v>
      </c>
      <c r="F1094" s="2">
        <v>0.47</v>
      </c>
      <c r="G1094" s="2">
        <v>1.23</v>
      </c>
      <c r="H1094" s="2">
        <v>1</v>
      </c>
      <c r="I1094" s="2">
        <v>0.94</v>
      </c>
      <c r="J1094" s="2">
        <v>0.8</v>
      </c>
      <c r="K1094" t="e">
        <v>#N/A</v>
      </c>
      <c r="L1094" s="19">
        <v>1</v>
      </c>
      <c r="M1094" s="21">
        <f>L1094</f>
        <v>1</v>
      </c>
    </row>
    <row r="1095" spans="1:13" x14ac:dyDescent="0.2">
      <c r="A1095" t="s">
        <v>76</v>
      </c>
      <c r="B1095" t="e">
        <f>VLOOKUP(A1095,MasterTutor!A:E,4,FALSE)</f>
        <v>#N/A</v>
      </c>
      <c r="C1095" t="e">
        <f>VLOOKUP(A1095,MasterTutor!A:E,3,FALSE)</f>
        <v>#N/A</v>
      </c>
      <c r="D1095" t="e">
        <f>VLOOKUP(A1095,MasterTutor!A:E,2,FALSE)</f>
        <v>#N/A</v>
      </c>
      <c r="E1095" t="s">
        <v>368</v>
      </c>
      <c r="F1095" s="2">
        <v>0.74</v>
      </c>
      <c r="G1095" s="2">
        <v>1.1499999999999999</v>
      </c>
      <c r="H1095" s="2">
        <v>1</v>
      </c>
      <c r="I1095" s="2">
        <v>0.85</v>
      </c>
      <c r="J1095" s="2">
        <v>0.5</v>
      </c>
      <c r="K1095">
        <v>0</v>
      </c>
    </row>
    <row r="1096" spans="1:13" x14ac:dyDescent="0.2">
      <c r="A1096" t="s">
        <v>77</v>
      </c>
      <c r="B1096" t="str">
        <f>VLOOKUP(A1096,MasterTutor!A:E,4,FALSE)</f>
        <v>Distinguished</v>
      </c>
      <c r="C1096" t="str">
        <f>VLOOKUP(A1096,MasterTutor!A:E,3,FALSE)</f>
        <v>Professional</v>
      </c>
      <c r="D1096" t="str">
        <f>VLOOKUP(A1096,MasterTutor!A:E,2,FALSE)</f>
        <v>Ian Plamondon</v>
      </c>
      <c r="E1096" t="s">
        <v>368</v>
      </c>
      <c r="F1096" s="2">
        <v>0.35</v>
      </c>
      <c r="G1096" s="2">
        <v>0.73</v>
      </c>
      <c r="H1096" s="2">
        <v>0.98</v>
      </c>
      <c r="I1096" s="2">
        <v>1</v>
      </c>
      <c r="J1096" s="2">
        <v>0.67</v>
      </c>
      <c r="K1096" t="e">
        <v>#N/A</v>
      </c>
      <c r="L1096" s="19">
        <v>1</v>
      </c>
      <c r="M1096" s="21">
        <f>L1096</f>
        <v>1</v>
      </c>
    </row>
    <row r="1097" spans="1:13" x14ac:dyDescent="0.2">
      <c r="A1097" t="s">
        <v>78</v>
      </c>
      <c r="B1097" t="str">
        <f>VLOOKUP(A1097,MasterTutor!A:E,4,FALSE)</f>
        <v>Distinguished</v>
      </c>
      <c r="C1097" t="str">
        <f>VLOOKUP(A1097,MasterTutor!A:E,3,FALSE)</f>
        <v>Adjunct</v>
      </c>
      <c r="D1097" t="str">
        <f>VLOOKUP(A1097,MasterTutor!A:E,2,FALSE)</f>
        <v>Geoff St. Marie</v>
      </c>
      <c r="E1097" t="s">
        <v>368</v>
      </c>
      <c r="F1097" s="2">
        <v>0.3</v>
      </c>
      <c r="G1097" s="2">
        <v>0.9</v>
      </c>
      <c r="H1097" s="2">
        <v>1</v>
      </c>
      <c r="I1097" s="2">
        <v>1</v>
      </c>
      <c r="J1097" s="2">
        <v>0.6</v>
      </c>
      <c r="K1097" t="e">
        <v>#N/A</v>
      </c>
    </row>
    <row r="1098" spans="1:13" x14ac:dyDescent="0.2">
      <c r="A1098" t="s">
        <v>79</v>
      </c>
      <c r="B1098" t="str">
        <f>VLOOKUP(A1098,MasterTutor!A:E,4,FALSE)</f>
        <v>Premium</v>
      </c>
      <c r="C1098" t="str">
        <f>VLOOKUP(A1098,MasterTutor!A:E,3,FALSE)</f>
        <v>Professional</v>
      </c>
      <c r="D1098" t="str">
        <f>VLOOKUP(A1098,MasterTutor!A:E,2,FALSE)</f>
        <v>Ian Plamondon</v>
      </c>
      <c r="E1098" t="s">
        <v>368</v>
      </c>
      <c r="F1098" s="2">
        <v>0.56000000000000005</v>
      </c>
      <c r="G1098" s="2">
        <v>0.95</v>
      </c>
      <c r="H1098" s="2">
        <v>0.99</v>
      </c>
      <c r="I1098" s="2">
        <v>0.93</v>
      </c>
      <c r="J1098" s="2">
        <v>0.78</v>
      </c>
      <c r="K1098" t="e">
        <v>#N/A</v>
      </c>
      <c r="L1098" s="19">
        <v>0</v>
      </c>
      <c r="M1098" s="21">
        <f>L1098</f>
        <v>0</v>
      </c>
    </row>
    <row r="1099" spans="1:13" x14ac:dyDescent="0.2">
      <c r="A1099" t="s">
        <v>80</v>
      </c>
      <c r="B1099" t="e">
        <f>VLOOKUP(A1099,MasterTutor!A:E,4,FALSE)</f>
        <v>#N/A</v>
      </c>
      <c r="C1099" t="e">
        <f>VLOOKUP(A1099,MasterTutor!A:E,3,FALSE)</f>
        <v>#N/A</v>
      </c>
      <c r="D1099" t="e">
        <f>VLOOKUP(A1099,MasterTutor!A:E,2,FALSE)</f>
        <v>#N/A</v>
      </c>
      <c r="E1099" t="s">
        <v>368</v>
      </c>
      <c r="F1099" s="2">
        <v>0.32</v>
      </c>
      <c r="G1099" s="2">
        <v>0.81</v>
      </c>
      <c r="H1099" s="2">
        <v>1</v>
      </c>
      <c r="I1099" s="2">
        <v>0.92</v>
      </c>
      <c r="J1099" s="2">
        <v>0.5</v>
      </c>
      <c r="K1099" t="e">
        <v>#N/A</v>
      </c>
      <c r="L1099" s="19" t="s">
        <v>331</v>
      </c>
      <c r="M1099" s="21">
        <v>0.5</v>
      </c>
    </row>
    <row r="1100" spans="1:13" x14ac:dyDescent="0.2">
      <c r="A1100" t="s">
        <v>81</v>
      </c>
      <c r="B1100" t="str">
        <f>VLOOKUP(A1100,MasterTutor!A:E,4,FALSE)</f>
        <v>Distinguished</v>
      </c>
      <c r="C1100" t="str">
        <f>VLOOKUP(A1100,MasterTutor!A:E,3,FALSE)</f>
        <v>Professional</v>
      </c>
      <c r="D1100" t="str">
        <f>VLOOKUP(A1100,MasterTutor!A:E,2,FALSE)</f>
        <v>Ian Plamondon</v>
      </c>
      <c r="E1100" t="s">
        <v>368</v>
      </c>
      <c r="F1100" s="2">
        <v>0.63</v>
      </c>
      <c r="G1100" s="2">
        <v>1.2</v>
      </c>
      <c r="H1100" s="2">
        <v>0.97</v>
      </c>
      <c r="I1100" s="2">
        <v>0.93</v>
      </c>
      <c r="J1100" s="2">
        <v>0.75</v>
      </c>
      <c r="K1100">
        <v>1</v>
      </c>
      <c r="L1100" s="19">
        <v>1</v>
      </c>
      <c r="M1100" s="21">
        <f>L1100</f>
        <v>1</v>
      </c>
    </row>
    <row r="1101" spans="1:13" x14ac:dyDescent="0.2">
      <c r="A1101" t="s">
        <v>268</v>
      </c>
      <c r="B1101" t="str">
        <f>VLOOKUP(A1101,MasterTutor!A:E,4,FALSE)</f>
        <v>Advanced</v>
      </c>
      <c r="C1101" t="str">
        <f>VLOOKUP(A1101,MasterTutor!A:E,3,FALSE)</f>
        <v xml:space="preserve">Adjunct </v>
      </c>
      <c r="D1101" t="str">
        <f>VLOOKUP(A1101,MasterTutor!A:E,2,FALSE)</f>
        <v>Kristin Haase-Alvey</v>
      </c>
      <c r="E1101" t="s">
        <v>368</v>
      </c>
      <c r="F1101" s="2">
        <v>0.69</v>
      </c>
      <c r="G1101" s="2">
        <v>1.07</v>
      </c>
      <c r="H1101" s="2">
        <v>1</v>
      </c>
      <c r="I1101" s="2">
        <v>0.69</v>
      </c>
      <c r="J1101" s="2">
        <v>0.95</v>
      </c>
      <c r="K1101">
        <v>16</v>
      </c>
      <c r="L1101" s="19" t="s">
        <v>355</v>
      </c>
      <c r="M1101" s="21">
        <v>0.14000000000000001</v>
      </c>
    </row>
    <row r="1102" spans="1:13" x14ac:dyDescent="0.2">
      <c r="A1102" t="s">
        <v>353</v>
      </c>
      <c r="B1102" t="e">
        <f>VLOOKUP(A1102,MasterTutor!A:E,4,FALSE)</f>
        <v>#N/A</v>
      </c>
      <c r="C1102" t="e">
        <f>VLOOKUP(A1102,MasterTutor!A:E,3,FALSE)</f>
        <v>#N/A</v>
      </c>
      <c r="D1102" t="e">
        <f>VLOOKUP(A1102,MasterTutor!A:E,2,FALSE)</f>
        <v>#N/A</v>
      </c>
      <c r="E1102" t="s">
        <v>368</v>
      </c>
      <c r="F1102" s="2">
        <v>0.76</v>
      </c>
      <c r="G1102" s="2">
        <v>0.85</v>
      </c>
      <c r="H1102" s="2">
        <v>1</v>
      </c>
      <c r="I1102" s="2">
        <v>0.94</v>
      </c>
      <c r="J1102" s="2">
        <v>0.67</v>
      </c>
      <c r="K1102">
        <v>10</v>
      </c>
    </row>
    <row r="1103" spans="1:13" x14ac:dyDescent="0.2">
      <c r="A1103" t="s">
        <v>270</v>
      </c>
      <c r="B1103" t="e">
        <f>VLOOKUP(A1103,MasterTutor!A:E,4,FALSE)</f>
        <v>#N/A</v>
      </c>
      <c r="C1103" t="e">
        <f>VLOOKUP(A1103,MasterTutor!A:E,3,FALSE)</f>
        <v>#N/A</v>
      </c>
      <c r="D1103" t="e">
        <f>VLOOKUP(A1103,MasterTutor!A:E,2,FALSE)</f>
        <v>#N/A</v>
      </c>
      <c r="E1103" t="s">
        <v>368</v>
      </c>
      <c r="F1103" s="2">
        <v>0.38</v>
      </c>
      <c r="G1103" s="2">
        <v>0.96</v>
      </c>
      <c r="H1103" s="2">
        <v>1</v>
      </c>
      <c r="I1103" s="2">
        <v>0.93</v>
      </c>
      <c r="J1103" s="2">
        <v>0.82</v>
      </c>
      <c r="K1103">
        <v>1</v>
      </c>
      <c r="L1103" s="19" t="s">
        <v>351</v>
      </c>
      <c r="M1103" s="21">
        <v>0.44</v>
      </c>
    </row>
    <row r="1104" spans="1:13" x14ac:dyDescent="0.2">
      <c r="A1104" t="s">
        <v>82</v>
      </c>
      <c r="B1104" t="str">
        <f>VLOOKUP(A1104,MasterTutor!A:E,4,FALSE)</f>
        <v>Premium</v>
      </c>
      <c r="C1104" t="str">
        <f>VLOOKUP(A1104,MasterTutor!A:E,3,FALSE)</f>
        <v>Adjunct</v>
      </c>
      <c r="D1104" t="str">
        <f>VLOOKUP(A1104,MasterTutor!A:E,2,FALSE)</f>
        <v>Jessica Milner</v>
      </c>
      <c r="E1104" t="s">
        <v>368</v>
      </c>
      <c r="F1104" s="2">
        <v>0.52</v>
      </c>
      <c r="G1104" s="2">
        <v>1.2</v>
      </c>
      <c r="H1104" s="2">
        <v>1</v>
      </c>
      <c r="I1104" s="2">
        <v>1</v>
      </c>
      <c r="J1104" s="2">
        <v>1</v>
      </c>
      <c r="K1104">
        <v>1</v>
      </c>
      <c r="L1104" s="19">
        <v>1</v>
      </c>
      <c r="M1104" s="21">
        <f>L1104</f>
        <v>1</v>
      </c>
    </row>
    <row r="1105" spans="1:13" x14ac:dyDescent="0.2">
      <c r="A1105" t="s">
        <v>83</v>
      </c>
      <c r="B1105" t="str">
        <f>VLOOKUP(A1105,MasterTutor!A:E,4,FALSE)</f>
        <v>Premium</v>
      </c>
      <c r="C1105" t="str">
        <f>VLOOKUP(A1105,MasterTutor!A:E,3,FALSE)</f>
        <v>Professional</v>
      </c>
      <c r="D1105" t="str">
        <f>VLOOKUP(A1105,MasterTutor!A:E,2,FALSE)</f>
        <v>Jessica Milner</v>
      </c>
      <c r="E1105" t="s">
        <v>368</v>
      </c>
      <c r="F1105" s="2">
        <v>0.77</v>
      </c>
      <c r="G1105" s="2">
        <v>1.5</v>
      </c>
      <c r="H1105" s="2">
        <v>0.95</v>
      </c>
      <c r="I1105" s="2">
        <v>1</v>
      </c>
      <c r="J1105" s="2">
        <v>0.6</v>
      </c>
      <c r="K1105" t="e">
        <v>#N/A</v>
      </c>
      <c r="L1105" s="19" t="s">
        <v>360</v>
      </c>
      <c r="M1105" s="21">
        <v>0.4</v>
      </c>
    </row>
    <row r="1106" spans="1:13" x14ac:dyDescent="0.2">
      <c r="A1106" t="s">
        <v>84</v>
      </c>
      <c r="B1106" t="str">
        <f>VLOOKUP(A1106,MasterTutor!A:E,4,FALSE)</f>
        <v>Advanced</v>
      </c>
      <c r="C1106" t="str">
        <f>VLOOKUP(A1106,MasterTutor!A:E,3,FALSE)</f>
        <v>Professional</v>
      </c>
      <c r="D1106" t="str">
        <f>VLOOKUP(A1106,MasterTutor!A:E,2,FALSE)</f>
        <v>Kristin Haase-Alvey</v>
      </c>
      <c r="E1106" t="s">
        <v>368</v>
      </c>
      <c r="F1106" s="2">
        <v>0.78</v>
      </c>
      <c r="G1106" s="2">
        <v>0.78</v>
      </c>
      <c r="H1106" s="2">
        <v>1</v>
      </c>
      <c r="I1106" s="2">
        <v>0.98</v>
      </c>
      <c r="J1106" s="2">
        <v>0.86</v>
      </c>
      <c r="K1106">
        <v>10</v>
      </c>
      <c r="L1106" s="19">
        <v>1</v>
      </c>
      <c r="M1106" s="21">
        <f>L1106</f>
        <v>1</v>
      </c>
    </row>
    <row r="1107" spans="1:13" x14ac:dyDescent="0.2">
      <c r="A1107" t="s">
        <v>85</v>
      </c>
      <c r="B1107" t="str">
        <f>VLOOKUP(A1107,MasterTutor!A:E,4,FALSE)</f>
        <v>Premium</v>
      </c>
      <c r="C1107" t="str">
        <f>VLOOKUP(A1107,MasterTutor!A:E,3,FALSE)</f>
        <v>Professional</v>
      </c>
      <c r="D1107" t="str">
        <f>VLOOKUP(A1107,MasterTutor!A:E,2,FALSE)</f>
        <v>Ian Plamondon</v>
      </c>
      <c r="E1107" t="s">
        <v>368</v>
      </c>
      <c r="F1107" s="2">
        <v>0.97</v>
      </c>
      <c r="G1107" s="2">
        <v>1.6</v>
      </c>
      <c r="H1107" s="2">
        <v>0.99</v>
      </c>
      <c r="I1107" s="2">
        <v>0.85</v>
      </c>
      <c r="J1107" s="2">
        <v>0.95</v>
      </c>
      <c r="K1107">
        <v>1</v>
      </c>
      <c r="L1107" s="19" t="s">
        <v>332</v>
      </c>
      <c r="M1107" s="21">
        <v>0.71</v>
      </c>
    </row>
    <row r="1108" spans="1:13" x14ac:dyDescent="0.2">
      <c r="A1108" t="s">
        <v>86</v>
      </c>
      <c r="B1108" t="e">
        <f>VLOOKUP(A1108,MasterTutor!A:E,4,FALSE)</f>
        <v>#N/A</v>
      </c>
      <c r="C1108" t="e">
        <f>VLOOKUP(A1108,MasterTutor!A:E,3,FALSE)</f>
        <v>#N/A</v>
      </c>
      <c r="D1108" t="e">
        <f>VLOOKUP(A1108,MasterTutor!A:E,2,FALSE)</f>
        <v>#N/A</v>
      </c>
      <c r="E1108" t="s">
        <v>368</v>
      </c>
      <c r="F1108" s="2">
        <v>0.76</v>
      </c>
      <c r="G1108" s="2">
        <v>0.96</v>
      </c>
      <c r="H1108" s="2">
        <v>0.85</v>
      </c>
      <c r="I1108" s="2">
        <v>1</v>
      </c>
      <c r="J1108" s="2">
        <v>0</v>
      </c>
      <c r="K1108" t="e">
        <v>#N/A</v>
      </c>
    </row>
    <row r="1109" spans="1:13" x14ac:dyDescent="0.2">
      <c r="A1109" t="s">
        <v>87</v>
      </c>
      <c r="B1109" t="str">
        <f>VLOOKUP(A1109,MasterTutor!A:E,4,FALSE)</f>
        <v>Advanced</v>
      </c>
      <c r="C1109" t="str">
        <f>VLOOKUP(A1109,MasterTutor!A:E,3,FALSE)</f>
        <v>Adjunct</v>
      </c>
      <c r="D1109" t="str">
        <f>VLOOKUP(A1109,MasterTutor!A:E,2,FALSE)</f>
        <v>Ela Cross</v>
      </c>
      <c r="E1109" t="s">
        <v>368</v>
      </c>
      <c r="F1109" s="2">
        <v>0.73</v>
      </c>
      <c r="G1109" s="2">
        <v>1.04</v>
      </c>
      <c r="H1109" s="2">
        <v>1</v>
      </c>
      <c r="I1109" s="2">
        <v>0.73</v>
      </c>
      <c r="J1109" s="2">
        <v>1</v>
      </c>
      <c r="K1109">
        <v>8</v>
      </c>
      <c r="L1109" s="19">
        <v>1</v>
      </c>
      <c r="M1109" s="21">
        <f>L1109</f>
        <v>1</v>
      </c>
    </row>
    <row r="1110" spans="1:13" x14ac:dyDescent="0.2">
      <c r="A1110" t="s">
        <v>88</v>
      </c>
      <c r="B1110" t="str">
        <f>VLOOKUP(A1110,MasterTutor!A:E,4,FALSE)</f>
        <v>Distinguished</v>
      </c>
      <c r="C1110" t="str">
        <f>VLOOKUP(A1110,MasterTutor!A:E,3,FALSE)</f>
        <v>Professional</v>
      </c>
      <c r="D1110" t="str">
        <f>VLOOKUP(A1110,MasterTutor!A:E,2,FALSE)</f>
        <v>Ian Plamondon</v>
      </c>
      <c r="E1110" t="s">
        <v>368</v>
      </c>
      <c r="F1110" s="2">
        <v>0.9</v>
      </c>
      <c r="G1110" s="2">
        <v>1.19</v>
      </c>
      <c r="H1110" s="2">
        <v>0.98</v>
      </c>
      <c r="I1110" s="2">
        <v>0.97</v>
      </c>
      <c r="J1110" s="2">
        <v>0.94</v>
      </c>
      <c r="K1110">
        <v>3</v>
      </c>
      <c r="L1110" s="19" t="s">
        <v>331</v>
      </c>
      <c r="M1110" s="21">
        <v>0.5</v>
      </c>
    </row>
    <row r="1111" spans="1:13" x14ac:dyDescent="0.2">
      <c r="A1111" t="s">
        <v>272</v>
      </c>
      <c r="B1111" t="str">
        <f>VLOOKUP(A1111,MasterTutor!A:E,4,FALSE)</f>
        <v>Advanced</v>
      </c>
      <c r="C1111" t="str">
        <f>VLOOKUP(A1111,MasterTutor!A:E,3,FALSE)</f>
        <v xml:space="preserve">Professional </v>
      </c>
      <c r="D1111" t="str">
        <f>VLOOKUP(A1111,MasterTutor!A:E,2,FALSE)</f>
        <v>Ian Plamondon</v>
      </c>
      <c r="E1111" t="s">
        <v>368</v>
      </c>
      <c r="F1111" s="2">
        <v>0.57999999999999996</v>
      </c>
      <c r="G1111" s="2">
        <v>1.08</v>
      </c>
      <c r="H1111" s="2">
        <v>0.89</v>
      </c>
      <c r="I1111" s="2">
        <v>0.97</v>
      </c>
      <c r="J1111" s="2">
        <v>1</v>
      </c>
      <c r="K1111">
        <v>2</v>
      </c>
    </row>
    <row r="1112" spans="1:13" x14ac:dyDescent="0.2">
      <c r="A1112" t="s">
        <v>89</v>
      </c>
      <c r="B1112" t="e">
        <f>VLOOKUP(A1112,MasterTutor!A:E,4,FALSE)</f>
        <v>#N/A</v>
      </c>
      <c r="C1112" t="e">
        <f>VLOOKUP(A1112,MasterTutor!A:E,3,FALSE)</f>
        <v>#N/A</v>
      </c>
      <c r="D1112" t="e">
        <f>VLOOKUP(A1112,MasterTutor!A:E,2,FALSE)</f>
        <v>#N/A</v>
      </c>
      <c r="E1112" t="s">
        <v>368</v>
      </c>
      <c r="F1112" s="2">
        <v>0.86</v>
      </c>
      <c r="G1112" s="2">
        <v>0.77</v>
      </c>
      <c r="H1112" s="2">
        <v>1</v>
      </c>
      <c r="I1112" s="2">
        <v>0.75</v>
      </c>
      <c r="J1112" s="2">
        <v>0.5</v>
      </c>
      <c r="K1112">
        <v>2</v>
      </c>
      <c r="L1112" s="19">
        <v>1</v>
      </c>
      <c r="M1112" s="21">
        <f>L1112</f>
        <v>1</v>
      </c>
    </row>
    <row r="1113" spans="1:13" x14ac:dyDescent="0.2">
      <c r="A1113" t="s">
        <v>90</v>
      </c>
      <c r="B1113" t="str">
        <f>VLOOKUP(A1113,MasterTutor!A:E,4,FALSE)</f>
        <v>Advanced</v>
      </c>
      <c r="C1113" t="str">
        <f>VLOOKUP(A1113,MasterTutor!A:E,3,FALSE)</f>
        <v>Adjunct</v>
      </c>
      <c r="D1113" t="str">
        <f>VLOOKUP(A1113,MasterTutor!A:E,2,FALSE)</f>
        <v>Ela Cross</v>
      </c>
      <c r="E1113" t="s">
        <v>368</v>
      </c>
      <c r="F1113" s="2">
        <v>1.02</v>
      </c>
      <c r="G1113" s="2">
        <v>1.38</v>
      </c>
      <c r="H1113" s="2">
        <v>0.98</v>
      </c>
      <c r="I1113" s="2">
        <v>1</v>
      </c>
      <c r="J1113" s="2">
        <v>0.85</v>
      </c>
      <c r="K1113">
        <v>10</v>
      </c>
      <c r="L1113" s="19">
        <v>0</v>
      </c>
      <c r="M1113" s="21">
        <f>L1113</f>
        <v>0</v>
      </c>
    </row>
    <row r="1114" spans="1:13" x14ac:dyDescent="0.2">
      <c r="A1114" t="s">
        <v>92</v>
      </c>
      <c r="B1114" t="str">
        <f>VLOOKUP(A1114,MasterTutor!A:E,4,FALSE)</f>
        <v>Premium</v>
      </c>
      <c r="C1114" t="str">
        <f>VLOOKUP(A1114,MasterTutor!A:E,3,FALSE)</f>
        <v>Professional</v>
      </c>
      <c r="D1114" t="str">
        <f>VLOOKUP(A1114,MasterTutor!A:E,2,FALSE)</f>
        <v>Ian Plamondon</v>
      </c>
      <c r="E1114" t="s">
        <v>368</v>
      </c>
      <c r="F1114" s="2">
        <v>0.54</v>
      </c>
      <c r="G1114" s="2">
        <v>1.1399999999999999</v>
      </c>
      <c r="H1114" s="2">
        <v>0.99</v>
      </c>
      <c r="I1114" s="2">
        <v>0.86</v>
      </c>
      <c r="J1114" s="2">
        <v>1</v>
      </c>
      <c r="K1114">
        <v>1</v>
      </c>
      <c r="L1114" s="19" t="s">
        <v>344</v>
      </c>
      <c r="M1114" s="21">
        <v>0.83</v>
      </c>
    </row>
    <row r="1115" spans="1:13" x14ac:dyDescent="0.2">
      <c r="A1115" t="s">
        <v>93</v>
      </c>
      <c r="B1115" t="str">
        <f>VLOOKUP(A1115,MasterTutor!A:E,4,FALSE)</f>
        <v>Advanced</v>
      </c>
      <c r="C1115" t="str">
        <f>VLOOKUP(A1115,MasterTutor!A:E,3,FALSE)</f>
        <v>Professional</v>
      </c>
      <c r="D1115" t="str">
        <f>VLOOKUP(A1115,MasterTutor!A:E,2,FALSE)</f>
        <v>Ian Plamondon</v>
      </c>
      <c r="E1115" t="s">
        <v>368</v>
      </c>
      <c r="F1115" s="2">
        <v>0.88</v>
      </c>
      <c r="G1115" s="2">
        <v>1.05</v>
      </c>
      <c r="H1115" s="2">
        <v>1</v>
      </c>
      <c r="I1115" s="2">
        <v>0.95</v>
      </c>
      <c r="J1115" s="2">
        <v>0.78</v>
      </c>
      <c r="K1115">
        <v>4</v>
      </c>
      <c r="L1115" s="19">
        <v>1</v>
      </c>
      <c r="M1115" s="21">
        <f>L1115</f>
        <v>1</v>
      </c>
    </row>
    <row r="1116" spans="1:13" x14ac:dyDescent="0.2">
      <c r="A1116" t="s">
        <v>94</v>
      </c>
      <c r="B1116" t="str">
        <f>VLOOKUP(A1116,MasterTutor!A:E,4,FALSE)</f>
        <v>Premium</v>
      </c>
      <c r="C1116" t="str">
        <f>VLOOKUP(A1116,MasterTutor!A:E,3,FALSE)</f>
        <v>Professional</v>
      </c>
      <c r="D1116" t="str">
        <f>VLOOKUP(A1116,MasterTutor!A:E,2,FALSE)</f>
        <v>Jessica Milner</v>
      </c>
      <c r="E1116" t="s">
        <v>368</v>
      </c>
      <c r="F1116" s="2">
        <v>0.7</v>
      </c>
      <c r="G1116" s="2">
        <v>0.97</v>
      </c>
      <c r="H1116" s="2">
        <v>0.99</v>
      </c>
      <c r="I1116" s="2">
        <v>0.92</v>
      </c>
      <c r="J1116" s="2">
        <v>0.75</v>
      </c>
      <c r="K1116">
        <v>2</v>
      </c>
      <c r="L1116" s="19" t="s">
        <v>344</v>
      </c>
      <c r="M1116" s="21">
        <v>0.83</v>
      </c>
    </row>
    <row r="1117" spans="1:13" x14ac:dyDescent="0.2">
      <c r="A1117" t="s">
        <v>95</v>
      </c>
      <c r="B1117" t="str">
        <f>VLOOKUP(A1117,MasterTutor!A:E,4,FALSE)</f>
        <v>Advanced</v>
      </c>
      <c r="C1117" t="str">
        <f>VLOOKUP(A1117,MasterTutor!A:E,3,FALSE)</f>
        <v>Professional</v>
      </c>
      <c r="D1117" t="str">
        <f>VLOOKUP(A1117,MasterTutor!A:E,2,FALSE)</f>
        <v>Kristin Haase-Alvey</v>
      </c>
      <c r="E1117" t="s">
        <v>368</v>
      </c>
      <c r="F1117" s="2">
        <v>0.6</v>
      </c>
      <c r="G1117" s="2">
        <v>0.94</v>
      </c>
      <c r="H1117" s="2">
        <v>0.88</v>
      </c>
      <c r="I1117" s="2">
        <v>0.97</v>
      </c>
      <c r="J1117" s="2">
        <v>0.33</v>
      </c>
      <c r="K1117">
        <v>5</v>
      </c>
      <c r="L1117" s="19">
        <v>0</v>
      </c>
      <c r="M1117" s="21">
        <f>L1117</f>
        <v>0</v>
      </c>
    </row>
    <row r="1118" spans="1:13" x14ac:dyDescent="0.2">
      <c r="A1118" t="s">
        <v>96</v>
      </c>
      <c r="B1118" t="str">
        <f>VLOOKUP(A1118,MasterTutor!A:E,4,FALSE)</f>
        <v>Distinguished</v>
      </c>
      <c r="C1118" t="str">
        <f>VLOOKUP(A1118,MasterTutor!A:E,3,FALSE)</f>
        <v>Adjunct</v>
      </c>
      <c r="D1118" t="str">
        <f>VLOOKUP(A1118,MasterTutor!A:E,2,FALSE)</f>
        <v>Kristin Haase-Alvey</v>
      </c>
      <c r="E1118" t="s">
        <v>368</v>
      </c>
      <c r="F1118" s="2">
        <v>0.49</v>
      </c>
      <c r="G1118" s="2">
        <v>0.96</v>
      </c>
      <c r="H1118" s="2">
        <v>1</v>
      </c>
      <c r="I1118" s="2">
        <v>1</v>
      </c>
      <c r="J1118" s="2">
        <v>0.89</v>
      </c>
      <c r="K1118">
        <v>4</v>
      </c>
      <c r="L1118" s="19">
        <v>1</v>
      </c>
      <c r="M1118" s="21">
        <f>L1118</f>
        <v>1</v>
      </c>
    </row>
    <row r="1119" spans="1:13" x14ac:dyDescent="0.2">
      <c r="A1119" t="s">
        <v>97</v>
      </c>
      <c r="B1119" t="str">
        <f>VLOOKUP(A1119,MasterTutor!A:E,4,FALSE)</f>
        <v>Advanced</v>
      </c>
      <c r="C1119" t="str">
        <f>VLOOKUP(A1119,MasterTutor!A:E,3,FALSE)</f>
        <v>Professional</v>
      </c>
      <c r="D1119" t="str">
        <f>VLOOKUP(A1119,MasterTutor!A:E,2,FALSE)</f>
        <v>Kristin Haase-Alvey</v>
      </c>
      <c r="E1119" t="s">
        <v>368</v>
      </c>
      <c r="F1119" s="2">
        <v>0.83</v>
      </c>
      <c r="G1119" s="2">
        <v>1.01</v>
      </c>
      <c r="H1119" s="2">
        <v>0.97</v>
      </c>
      <c r="I1119" s="2">
        <v>0.96</v>
      </c>
      <c r="J1119" s="2">
        <v>0.38</v>
      </c>
      <c r="K1119">
        <v>2</v>
      </c>
      <c r="L1119" s="19">
        <v>0</v>
      </c>
      <c r="M1119" s="21">
        <f>L1119</f>
        <v>0</v>
      </c>
    </row>
    <row r="1120" spans="1:13" x14ac:dyDescent="0.2">
      <c r="A1120" t="s">
        <v>98</v>
      </c>
      <c r="B1120" t="str">
        <f>VLOOKUP(A1120,MasterTutor!A:E,4,FALSE)</f>
        <v>Premium</v>
      </c>
      <c r="C1120" t="str">
        <f>VLOOKUP(A1120,MasterTutor!A:E,3,FALSE)</f>
        <v>Adjunct</v>
      </c>
      <c r="D1120" t="str">
        <f>VLOOKUP(A1120,MasterTutor!A:E,2,FALSE)</f>
        <v>Ela Cross</v>
      </c>
      <c r="E1120" t="s">
        <v>368</v>
      </c>
      <c r="F1120" s="2">
        <v>0.41</v>
      </c>
      <c r="G1120" s="2">
        <v>1.55</v>
      </c>
      <c r="H1120" s="2">
        <v>1</v>
      </c>
      <c r="I1120" s="2">
        <v>1</v>
      </c>
      <c r="J1120" s="2">
        <v>1</v>
      </c>
      <c r="K1120">
        <v>0</v>
      </c>
      <c r="L1120" s="19">
        <v>1</v>
      </c>
      <c r="M1120" s="21">
        <f>L1120</f>
        <v>1</v>
      </c>
    </row>
    <row r="1121" spans="1:13" x14ac:dyDescent="0.2">
      <c r="A1121" t="s">
        <v>99</v>
      </c>
      <c r="B1121" t="e">
        <f>VLOOKUP(A1121,MasterTutor!A:E,4,FALSE)</f>
        <v>#N/A</v>
      </c>
      <c r="C1121" t="e">
        <f>VLOOKUP(A1121,MasterTutor!A:E,3,FALSE)</f>
        <v>#N/A</v>
      </c>
      <c r="D1121" t="e">
        <f>VLOOKUP(A1121,MasterTutor!A:E,2,FALSE)</f>
        <v>#N/A</v>
      </c>
      <c r="E1121" t="s">
        <v>368</v>
      </c>
      <c r="F1121" s="2">
        <v>0.05</v>
      </c>
      <c r="G1121" s="2">
        <v>1.18</v>
      </c>
      <c r="H1121" s="2">
        <v>0.93</v>
      </c>
      <c r="I1121" s="2">
        <v>0.75</v>
      </c>
      <c r="J1121" s="2">
        <v>0</v>
      </c>
      <c r="K1121">
        <v>0</v>
      </c>
    </row>
    <row r="1122" spans="1:13" x14ac:dyDescent="0.2">
      <c r="A1122" t="s">
        <v>100</v>
      </c>
      <c r="B1122" t="str">
        <f>VLOOKUP(A1122,MasterTutor!A:E,4,FALSE)</f>
        <v>Premium</v>
      </c>
      <c r="C1122" t="str">
        <f>VLOOKUP(A1122,MasterTutor!A:E,3,FALSE)</f>
        <v>Adjunct</v>
      </c>
      <c r="D1122" t="str">
        <f>VLOOKUP(A1122,MasterTutor!A:E,2,FALSE)</f>
        <v>Annelies de Groot</v>
      </c>
      <c r="E1122" t="s">
        <v>368</v>
      </c>
      <c r="F1122" s="2">
        <v>0.96</v>
      </c>
      <c r="G1122" s="2">
        <v>1.35</v>
      </c>
      <c r="H1122" s="2">
        <v>0.98</v>
      </c>
      <c r="I1122" s="2">
        <v>1</v>
      </c>
      <c r="J1122" s="2">
        <v>0.71</v>
      </c>
      <c r="K1122">
        <v>1</v>
      </c>
      <c r="L1122" s="19">
        <v>1</v>
      </c>
      <c r="M1122" s="21">
        <f t="shared" ref="M1122:M1127" si="9">L1122</f>
        <v>1</v>
      </c>
    </row>
    <row r="1123" spans="1:13" x14ac:dyDescent="0.2">
      <c r="A1123" t="s">
        <v>101</v>
      </c>
      <c r="B1123" t="str">
        <f>VLOOKUP(A1123,MasterTutor!A:E,4,FALSE)</f>
        <v>Advanced</v>
      </c>
      <c r="C1123" t="str">
        <f>VLOOKUP(A1123,MasterTutor!A:E,3,FALSE)</f>
        <v>Professional</v>
      </c>
      <c r="D1123" t="str">
        <f>VLOOKUP(A1123,MasterTutor!A:E,2,FALSE)</f>
        <v>Kristin Haase-Alvey</v>
      </c>
      <c r="E1123" t="s">
        <v>368</v>
      </c>
      <c r="F1123" s="2">
        <v>0.66</v>
      </c>
      <c r="G1123" s="2">
        <v>0.98</v>
      </c>
      <c r="H1123" s="2">
        <v>1</v>
      </c>
      <c r="I1123" s="2">
        <v>1</v>
      </c>
      <c r="J1123" s="2">
        <v>0.67</v>
      </c>
      <c r="K1123">
        <v>6</v>
      </c>
      <c r="L1123" s="19">
        <v>1</v>
      </c>
      <c r="M1123" s="21">
        <f t="shared" si="9"/>
        <v>1</v>
      </c>
    </row>
    <row r="1124" spans="1:13" x14ac:dyDescent="0.2">
      <c r="A1124" t="s">
        <v>102</v>
      </c>
      <c r="B1124" t="e">
        <f>VLOOKUP(A1124,MasterTutor!A:E,4,FALSE)</f>
        <v>#N/A</v>
      </c>
      <c r="C1124" t="e">
        <f>VLOOKUP(A1124,MasterTutor!A:E,3,FALSE)</f>
        <v>#N/A</v>
      </c>
      <c r="D1124" t="e">
        <f>VLOOKUP(A1124,MasterTutor!A:E,2,FALSE)</f>
        <v>#N/A</v>
      </c>
      <c r="E1124" t="s">
        <v>368</v>
      </c>
      <c r="F1124" s="2">
        <v>0.97</v>
      </c>
      <c r="G1124" s="2">
        <v>1.32</v>
      </c>
      <c r="H1124" s="2">
        <v>0.89</v>
      </c>
      <c r="I1124" s="2">
        <v>0.6</v>
      </c>
      <c r="J1124" s="2">
        <v>0</v>
      </c>
      <c r="K1124">
        <v>2</v>
      </c>
      <c r="L1124" s="19">
        <v>0</v>
      </c>
      <c r="M1124" s="21">
        <f t="shared" si="9"/>
        <v>0</v>
      </c>
    </row>
    <row r="1125" spans="1:13" x14ac:dyDescent="0.2">
      <c r="A1125" t="s">
        <v>103</v>
      </c>
      <c r="B1125" t="str">
        <f>VLOOKUP(A1125,MasterTutor!A:E,4,FALSE)</f>
        <v>Distinguished</v>
      </c>
      <c r="C1125" t="str">
        <f>VLOOKUP(A1125,MasterTutor!A:E,3,FALSE)</f>
        <v>Adjunct</v>
      </c>
      <c r="D1125" t="str">
        <f>VLOOKUP(A1125,MasterTutor!A:E,2,FALSE)</f>
        <v>Kristin Haase-Alvey</v>
      </c>
      <c r="E1125" t="s">
        <v>368</v>
      </c>
      <c r="F1125" s="2">
        <v>0.63</v>
      </c>
      <c r="G1125" s="2">
        <v>1.1200000000000001</v>
      </c>
      <c r="H1125" s="2">
        <v>1</v>
      </c>
      <c r="I1125" s="2">
        <v>1</v>
      </c>
      <c r="J1125" s="2">
        <v>1</v>
      </c>
      <c r="K1125">
        <v>1</v>
      </c>
      <c r="L1125" s="19">
        <v>1</v>
      </c>
      <c r="M1125" s="21">
        <f t="shared" si="9"/>
        <v>1</v>
      </c>
    </row>
    <row r="1126" spans="1:13" x14ac:dyDescent="0.2">
      <c r="A1126" t="s">
        <v>104</v>
      </c>
      <c r="B1126" t="e">
        <f>VLOOKUP(A1126,MasterTutor!A:E,4,FALSE)</f>
        <v>#N/A</v>
      </c>
      <c r="C1126" t="e">
        <f>VLOOKUP(A1126,MasterTutor!A:E,3,FALSE)</f>
        <v>#N/A</v>
      </c>
      <c r="D1126" t="e">
        <f>VLOOKUP(A1126,MasterTutor!A:E,2,FALSE)</f>
        <v>#N/A</v>
      </c>
      <c r="E1126" t="s">
        <v>368</v>
      </c>
      <c r="F1126" s="2">
        <v>0.65</v>
      </c>
      <c r="G1126" s="2">
        <v>1.31</v>
      </c>
      <c r="H1126" s="2">
        <v>0.91</v>
      </c>
      <c r="I1126" s="2">
        <v>0.67</v>
      </c>
      <c r="J1126" s="2">
        <v>0.7</v>
      </c>
      <c r="K1126">
        <v>3</v>
      </c>
      <c r="L1126" s="19">
        <v>1</v>
      </c>
      <c r="M1126" s="21">
        <f t="shared" si="9"/>
        <v>1</v>
      </c>
    </row>
    <row r="1127" spans="1:13" x14ac:dyDescent="0.2">
      <c r="A1127" t="s">
        <v>105</v>
      </c>
      <c r="B1127" t="str">
        <f>VLOOKUP(A1127,MasterTutor!A:E,4,FALSE)</f>
        <v>Advanced</v>
      </c>
      <c r="C1127" t="str">
        <f>VLOOKUP(A1127,MasterTutor!A:E,3,FALSE)</f>
        <v>Adjunct</v>
      </c>
      <c r="D1127" t="str">
        <f>VLOOKUP(A1127,MasterTutor!A:E,2,FALSE)</f>
        <v>Annelies de Groot</v>
      </c>
      <c r="E1127" t="s">
        <v>368</v>
      </c>
      <c r="F1127" s="2">
        <v>0.51</v>
      </c>
      <c r="G1127" s="2">
        <v>1.1299999999999999</v>
      </c>
      <c r="H1127" s="2">
        <v>0.85</v>
      </c>
      <c r="I1127" s="2">
        <v>0.77</v>
      </c>
      <c r="J1127" s="2">
        <v>0.5</v>
      </c>
      <c r="K1127">
        <v>3</v>
      </c>
      <c r="L1127" s="19">
        <v>0</v>
      </c>
      <c r="M1127" s="21">
        <f t="shared" si="9"/>
        <v>0</v>
      </c>
    </row>
    <row r="1128" spans="1:13" x14ac:dyDescent="0.2">
      <c r="A1128" t="s">
        <v>276</v>
      </c>
      <c r="B1128" t="str">
        <f>VLOOKUP(A1128,MasterTutor!A:E,4,FALSE)</f>
        <v>Advanced</v>
      </c>
      <c r="C1128" t="str">
        <f>VLOOKUP(A1128,MasterTutor!A:E,3,FALSE)</f>
        <v xml:space="preserve">Professional </v>
      </c>
      <c r="D1128" t="str">
        <f>VLOOKUP(A1128,MasterTutor!A:E,2,FALSE)</f>
        <v>Ian Plamondon</v>
      </c>
      <c r="E1128" t="s">
        <v>368</v>
      </c>
      <c r="F1128" s="2">
        <v>0.42</v>
      </c>
      <c r="G1128" s="2">
        <v>1.19</v>
      </c>
      <c r="H1128" s="2">
        <v>1</v>
      </c>
      <c r="I1128" s="2">
        <v>0.75</v>
      </c>
      <c r="J1128" s="2">
        <v>0.88</v>
      </c>
      <c r="K1128">
        <v>1</v>
      </c>
      <c r="L1128" s="19" t="s">
        <v>336</v>
      </c>
      <c r="M1128" s="21">
        <v>0.6</v>
      </c>
    </row>
    <row r="1129" spans="1:13" x14ac:dyDescent="0.2">
      <c r="A1129" t="s">
        <v>107</v>
      </c>
      <c r="B1129" t="str">
        <f>VLOOKUP(A1129,MasterTutor!A:E,4,FALSE)</f>
        <v>Distinguished</v>
      </c>
      <c r="C1129" t="str">
        <f>VLOOKUP(A1129,MasterTutor!A:E,3,FALSE)</f>
        <v>Professional</v>
      </c>
      <c r="D1129" t="str">
        <f>VLOOKUP(A1129,MasterTutor!A:E,2,FALSE)</f>
        <v>Ian Plamondon</v>
      </c>
      <c r="E1129" t="s">
        <v>368</v>
      </c>
      <c r="F1129" s="2">
        <v>0.9</v>
      </c>
      <c r="G1129" s="2">
        <v>1.24</v>
      </c>
      <c r="H1129" s="2">
        <v>1</v>
      </c>
      <c r="I1129" s="2">
        <v>1</v>
      </c>
      <c r="J1129" s="2">
        <v>0.89</v>
      </c>
      <c r="K1129">
        <v>3</v>
      </c>
      <c r="L1129" s="19" t="s">
        <v>330</v>
      </c>
      <c r="M1129" s="21">
        <v>0.67</v>
      </c>
    </row>
    <row r="1130" spans="1:13" x14ac:dyDescent="0.2">
      <c r="A1130" t="s">
        <v>108</v>
      </c>
      <c r="B1130" t="str">
        <f>VLOOKUP(A1130,MasterTutor!A:E,4,FALSE)</f>
        <v>Advanced</v>
      </c>
      <c r="C1130" t="str">
        <f>VLOOKUP(A1130,MasterTutor!A:E,3,FALSE)</f>
        <v>Professional</v>
      </c>
      <c r="D1130" t="str">
        <f>VLOOKUP(A1130,MasterTutor!A:E,2,FALSE)</f>
        <v>Geoff St. Marie</v>
      </c>
      <c r="E1130" t="s">
        <v>368</v>
      </c>
      <c r="F1130" s="2">
        <v>1.0900000000000001</v>
      </c>
      <c r="G1130" s="2">
        <v>1.2</v>
      </c>
      <c r="H1130" s="2">
        <v>0.99</v>
      </c>
      <c r="I1130" s="2">
        <v>0.95</v>
      </c>
      <c r="J1130" s="2">
        <v>0.83</v>
      </c>
      <c r="K1130">
        <v>10</v>
      </c>
      <c r="L1130" s="19">
        <v>1</v>
      </c>
      <c r="M1130" s="21">
        <f>L1130</f>
        <v>1</v>
      </c>
    </row>
    <row r="1131" spans="1:13" x14ac:dyDescent="0.2">
      <c r="A1131" t="s">
        <v>110</v>
      </c>
      <c r="B1131" t="e">
        <f>VLOOKUP(A1131,MasterTutor!A:E,4,FALSE)</f>
        <v>#N/A</v>
      </c>
      <c r="C1131" t="e">
        <f>VLOOKUP(A1131,MasterTutor!A:E,3,FALSE)</f>
        <v>#N/A</v>
      </c>
      <c r="D1131" t="e">
        <f>VLOOKUP(A1131,MasterTutor!A:E,2,FALSE)</f>
        <v>#N/A</v>
      </c>
      <c r="E1131" t="s">
        <v>368</v>
      </c>
      <c r="F1131" s="2">
        <v>0.97</v>
      </c>
      <c r="G1131" s="2">
        <v>1.1599999999999999</v>
      </c>
      <c r="H1131" s="2">
        <v>1</v>
      </c>
      <c r="I1131" s="2">
        <v>0.69</v>
      </c>
      <c r="J1131" s="2">
        <v>0.75</v>
      </c>
      <c r="K1131">
        <v>5</v>
      </c>
      <c r="L1131" s="19">
        <v>1</v>
      </c>
      <c r="M1131" s="21">
        <f>L1131</f>
        <v>1</v>
      </c>
    </row>
    <row r="1132" spans="1:13" x14ac:dyDescent="0.2">
      <c r="A1132" t="s">
        <v>111</v>
      </c>
      <c r="B1132" t="str">
        <f>VLOOKUP(A1132,MasterTutor!A:E,4,FALSE)</f>
        <v>Premium</v>
      </c>
      <c r="C1132" t="str">
        <f>VLOOKUP(A1132,MasterTutor!A:E,3,FALSE)</f>
        <v>Adjunct</v>
      </c>
      <c r="D1132" t="str">
        <f>VLOOKUP(A1132,MasterTutor!A:E,2,FALSE)</f>
        <v>Kristin Haase-Alvey</v>
      </c>
      <c r="E1132" t="s">
        <v>368</v>
      </c>
      <c r="F1132" s="2">
        <v>1.02</v>
      </c>
      <c r="G1132" s="2">
        <v>1.29</v>
      </c>
      <c r="H1132" s="2">
        <v>0.98</v>
      </c>
      <c r="I1132" s="2">
        <v>0.96</v>
      </c>
      <c r="J1132" s="2">
        <v>1</v>
      </c>
      <c r="K1132" t="e">
        <v>#N/A</v>
      </c>
    </row>
    <row r="1133" spans="1:13" x14ac:dyDescent="0.2">
      <c r="A1133" t="s">
        <v>281</v>
      </c>
      <c r="B1133" t="str">
        <f>VLOOKUP(A1133,MasterTutor!A:E,4,FALSE)</f>
        <v>Advanced</v>
      </c>
      <c r="C1133" t="str">
        <f>VLOOKUP(A1133,MasterTutor!A:E,3,FALSE)</f>
        <v>Professional</v>
      </c>
      <c r="D1133" t="str">
        <f>VLOOKUP(A1133,MasterTutor!A:E,2,FALSE)</f>
        <v>Annelies de Groot</v>
      </c>
      <c r="E1133" t="s">
        <v>368</v>
      </c>
      <c r="F1133" s="2">
        <v>0.65</v>
      </c>
      <c r="G1133" s="2">
        <v>0.99</v>
      </c>
      <c r="H1133" s="2">
        <v>1</v>
      </c>
      <c r="I1133" s="2">
        <v>0.98</v>
      </c>
      <c r="J1133" s="2">
        <v>1</v>
      </c>
      <c r="K1133">
        <v>5</v>
      </c>
      <c r="L1133" s="19">
        <v>0</v>
      </c>
      <c r="M1133" s="21">
        <f>L1133</f>
        <v>0</v>
      </c>
    </row>
    <row r="1134" spans="1:13" x14ac:dyDescent="0.2">
      <c r="A1134" t="s">
        <v>113</v>
      </c>
      <c r="B1134" t="e">
        <f>VLOOKUP(A1134,MasterTutor!A:E,4,FALSE)</f>
        <v>#N/A</v>
      </c>
      <c r="C1134" t="e">
        <f>VLOOKUP(A1134,MasterTutor!A:E,3,FALSE)</f>
        <v>#N/A</v>
      </c>
      <c r="D1134" t="e">
        <f>VLOOKUP(A1134,MasterTutor!A:E,2,FALSE)</f>
        <v>#N/A</v>
      </c>
      <c r="E1134" t="s">
        <v>368</v>
      </c>
      <c r="F1134" s="2">
        <v>0.65</v>
      </c>
      <c r="G1134" s="2">
        <v>0.92</v>
      </c>
      <c r="H1134" s="2">
        <v>0.99</v>
      </c>
      <c r="I1134" s="2">
        <v>0.89</v>
      </c>
      <c r="J1134" s="2">
        <v>0.85</v>
      </c>
      <c r="K1134">
        <v>14</v>
      </c>
      <c r="L1134" s="19">
        <v>0</v>
      </c>
      <c r="M1134" s="21">
        <f>L1134</f>
        <v>0</v>
      </c>
    </row>
    <row r="1135" spans="1:13" x14ac:dyDescent="0.2">
      <c r="A1135" t="s">
        <v>115</v>
      </c>
      <c r="B1135" t="str">
        <f>VLOOKUP(A1135,MasterTutor!A:E,4,FALSE)</f>
        <v>Advanced</v>
      </c>
      <c r="C1135" t="str">
        <f>VLOOKUP(A1135,MasterTutor!A:E,3,FALSE)</f>
        <v>Adjunct</v>
      </c>
      <c r="D1135" t="str">
        <f>VLOOKUP(A1135,MasterTutor!A:E,2,FALSE)</f>
        <v>Kristin Haase-Alvey</v>
      </c>
      <c r="E1135" t="s">
        <v>368</v>
      </c>
      <c r="F1135" s="2">
        <v>1.72</v>
      </c>
      <c r="G1135" s="2">
        <v>2.04</v>
      </c>
      <c r="H1135" s="2">
        <v>1</v>
      </c>
      <c r="I1135" s="2">
        <v>0.95</v>
      </c>
      <c r="J1135" s="2">
        <v>0.86</v>
      </c>
      <c r="K1135">
        <v>3</v>
      </c>
      <c r="L1135" s="19">
        <v>1</v>
      </c>
      <c r="M1135" s="21">
        <f>L1135</f>
        <v>1</v>
      </c>
    </row>
    <row r="1136" spans="1:13" x14ac:dyDescent="0.2">
      <c r="A1136" t="s">
        <v>116</v>
      </c>
      <c r="B1136" t="str">
        <f>VLOOKUP(A1136,MasterTutor!A:E,4,FALSE)</f>
        <v>Premium</v>
      </c>
      <c r="C1136" t="str">
        <f>VLOOKUP(A1136,MasterTutor!A:E,3,FALSE)</f>
        <v>Professional</v>
      </c>
      <c r="D1136" t="str">
        <f>VLOOKUP(A1136,MasterTutor!A:E,2,FALSE)</f>
        <v>Jessica Milner</v>
      </c>
      <c r="E1136" t="s">
        <v>368</v>
      </c>
      <c r="F1136" s="2">
        <v>0.88</v>
      </c>
      <c r="G1136" s="2">
        <v>1.04</v>
      </c>
      <c r="H1136" s="2">
        <v>1</v>
      </c>
      <c r="I1136" s="2">
        <v>1</v>
      </c>
      <c r="J1136" s="2">
        <v>0.72</v>
      </c>
      <c r="K1136">
        <v>8</v>
      </c>
      <c r="L1136" s="19">
        <v>1</v>
      </c>
      <c r="M1136" s="21">
        <f>L1136</f>
        <v>1</v>
      </c>
    </row>
    <row r="1137" spans="1:13" x14ac:dyDescent="0.2">
      <c r="A1137" t="s">
        <v>117</v>
      </c>
      <c r="B1137" t="str">
        <f>VLOOKUP(A1137,MasterTutor!A:E,4,FALSE)</f>
        <v>Advanced</v>
      </c>
      <c r="C1137" t="str">
        <f>VLOOKUP(A1137,MasterTutor!A:E,3,FALSE)</f>
        <v>Professional</v>
      </c>
      <c r="D1137" t="str">
        <f>VLOOKUP(A1137,MasterTutor!A:E,2,FALSE)</f>
        <v>Kristin Haase-Alvey</v>
      </c>
      <c r="E1137" t="s">
        <v>368</v>
      </c>
      <c r="F1137" s="2">
        <v>0.76</v>
      </c>
      <c r="G1137" s="2">
        <v>0.77</v>
      </c>
      <c r="H1137" s="2">
        <v>1</v>
      </c>
      <c r="I1137" s="2">
        <v>1</v>
      </c>
      <c r="J1137" s="2">
        <v>0.67</v>
      </c>
      <c r="K1137">
        <v>5</v>
      </c>
      <c r="L1137" s="19">
        <v>0</v>
      </c>
      <c r="M1137" s="21">
        <f>L1137</f>
        <v>0</v>
      </c>
    </row>
    <row r="1138" spans="1:13" x14ac:dyDescent="0.2">
      <c r="A1138" t="s">
        <v>118</v>
      </c>
      <c r="B1138" t="e">
        <f>VLOOKUP(A1138,MasterTutor!A:E,4,FALSE)</f>
        <v>#N/A</v>
      </c>
      <c r="C1138" t="e">
        <f>VLOOKUP(A1138,MasterTutor!A:E,3,FALSE)</f>
        <v>#N/A</v>
      </c>
      <c r="D1138" t="e">
        <f>VLOOKUP(A1138,MasterTutor!A:E,2,FALSE)</f>
        <v>#N/A</v>
      </c>
      <c r="E1138" t="s">
        <v>368</v>
      </c>
      <c r="F1138" s="2">
        <v>1.2</v>
      </c>
      <c r="G1138" s="2">
        <v>1.74</v>
      </c>
      <c r="H1138" s="2">
        <v>0.99</v>
      </c>
      <c r="I1138" s="2">
        <v>0.96</v>
      </c>
      <c r="J1138" s="2">
        <v>0.53</v>
      </c>
      <c r="K1138">
        <v>3</v>
      </c>
      <c r="L1138" s="19" t="s">
        <v>350</v>
      </c>
      <c r="M1138" s="21">
        <v>0.28999999999999998</v>
      </c>
    </row>
    <row r="1139" spans="1:13" x14ac:dyDescent="0.2">
      <c r="A1139" t="s">
        <v>119</v>
      </c>
      <c r="B1139" t="str">
        <f>VLOOKUP(A1139,MasterTutor!A:E,4,FALSE)</f>
        <v>Distinguished</v>
      </c>
      <c r="C1139" t="str">
        <f>VLOOKUP(A1139,MasterTutor!A:E,3,FALSE)</f>
        <v>Professional</v>
      </c>
      <c r="D1139" t="str">
        <f>VLOOKUP(A1139,MasterTutor!A:E,2,FALSE)</f>
        <v>Kristin Haase-Alvey</v>
      </c>
      <c r="E1139" t="s">
        <v>368</v>
      </c>
      <c r="F1139" s="2">
        <v>0.7</v>
      </c>
      <c r="G1139" s="2">
        <v>0.93</v>
      </c>
      <c r="H1139" s="2">
        <v>1</v>
      </c>
      <c r="I1139" s="2">
        <v>0.93</v>
      </c>
      <c r="J1139" s="2">
        <v>0.94</v>
      </c>
      <c r="K1139">
        <v>6</v>
      </c>
      <c r="L1139" s="19">
        <v>1</v>
      </c>
      <c r="M1139" s="21">
        <f>L1139</f>
        <v>1</v>
      </c>
    </row>
    <row r="1140" spans="1:13" x14ac:dyDescent="0.2">
      <c r="A1140" t="s">
        <v>120</v>
      </c>
      <c r="B1140" t="str">
        <f>VLOOKUP(A1140,MasterTutor!A:E,4,FALSE)</f>
        <v>Premium</v>
      </c>
      <c r="C1140" t="str">
        <f>VLOOKUP(A1140,MasterTutor!A:E,3,FALSE)</f>
        <v>Professional</v>
      </c>
      <c r="D1140" t="str">
        <f>VLOOKUP(A1140,MasterTutor!A:E,2,FALSE)</f>
        <v>Jessica Milner</v>
      </c>
      <c r="E1140" t="s">
        <v>368</v>
      </c>
      <c r="F1140" s="2">
        <v>0.75</v>
      </c>
      <c r="G1140" s="2">
        <v>1.3</v>
      </c>
      <c r="H1140" s="2">
        <v>1</v>
      </c>
      <c r="I1140" s="2">
        <v>0.93</v>
      </c>
      <c r="J1140" s="2">
        <v>0.56999999999999995</v>
      </c>
      <c r="K1140">
        <v>2</v>
      </c>
      <c r="L1140" s="19">
        <v>0</v>
      </c>
      <c r="M1140" s="21">
        <f>L1140</f>
        <v>0</v>
      </c>
    </row>
    <row r="1141" spans="1:13" x14ac:dyDescent="0.2">
      <c r="A1141" t="s">
        <v>121</v>
      </c>
      <c r="B1141" t="str">
        <f>VLOOKUP(A1141,MasterTutor!A:E,4,FALSE)</f>
        <v>Advanced</v>
      </c>
      <c r="C1141" t="str">
        <f>VLOOKUP(A1141,MasterTutor!A:E,3,FALSE)</f>
        <v>Adjunct</v>
      </c>
      <c r="D1141" t="str">
        <f>VLOOKUP(A1141,MasterTutor!A:E,2,FALSE)</f>
        <v>Annelies de Groot</v>
      </c>
      <c r="E1141" t="s">
        <v>368</v>
      </c>
      <c r="F1141" s="2">
        <v>0.84</v>
      </c>
      <c r="G1141" s="2">
        <v>1.38</v>
      </c>
      <c r="H1141" s="2">
        <v>1</v>
      </c>
      <c r="I1141" s="2">
        <v>1</v>
      </c>
      <c r="J1141" s="2">
        <v>0.5</v>
      </c>
      <c r="K1141">
        <v>5</v>
      </c>
      <c r="L1141" s="19">
        <v>0</v>
      </c>
      <c r="M1141" s="21">
        <f>L1141</f>
        <v>0</v>
      </c>
    </row>
    <row r="1142" spans="1:13" x14ac:dyDescent="0.2">
      <c r="A1142" t="s">
        <v>123</v>
      </c>
      <c r="B1142" t="str">
        <f>VLOOKUP(A1142,MasterTutor!A:E,4,FALSE)</f>
        <v>Premium</v>
      </c>
      <c r="C1142" t="str">
        <f>VLOOKUP(A1142,MasterTutor!A:E,3,FALSE)</f>
        <v xml:space="preserve">Professional </v>
      </c>
      <c r="D1142" t="str">
        <f>VLOOKUP(A1142,MasterTutor!A:E,2,FALSE)</f>
        <v>Ela Cross</v>
      </c>
      <c r="E1142" t="s">
        <v>368</v>
      </c>
      <c r="F1142" s="2">
        <v>1.03</v>
      </c>
      <c r="G1142" s="2">
        <v>2.08</v>
      </c>
      <c r="H1142" s="2">
        <v>0.96</v>
      </c>
      <c r="I1142" s="2">
        <v>1</v>
      </c>
      <c r="J1142" s="2">
        <v>0.75</v>
      </c>
      <c r="K1142">
        <v>1</v>
      </c>
      <c r="L1142" s="19">
        <v>1</v>
      </c>
      <c r="M1142" s="21">
        <f>L1142</f>
        <v>1</v>
      </c>
    </row>
    <row r="1143" spans="1:13" x14ac:dyDescent="0.2">
      <c r="A1143" t="s">
        <v>124</v>
      </c>
      <c r="B1143" t="e">
        <f>VLOOKUP(A1143,MasterTutor!A:E,4,FALSE)</f>
        <v>#N/A</v>
      </c>
      <c r="C1143" t="e">
        <f>VLOOKUP(A1143,MasterTutor!A:E,3,FALSE)</f>
        <v>#N/A</v>
      </c>
      <c r="D1143" t="e">
        <f>VLOOKUP(A1143,MasterTutor!A:E,2,FALSE)</f>
        <v>#N/A</v>
      </c>
      <c r="E1143" t="s">
        <v>368</v>
      </c>
      <c r="F1143" s="2">
        <v>0.4</v>
      </c>
      <c r="G1143" s="2">
        <v>0.49</v>
      </c>
      <c r="H1143" s="2">
        <v>1</v>
      </c>
      <c r="I1143" s="2">
        <v>1</v>
      </c>
      <c r="J1143" s="2">
        <v>0.63</v>
      </c>
      <c r="K1143" t="e">
        <v>#N/A</v>
      </c>
      <c r="L1143" s="19">
        <v>1</v>
      </c>
      <c r="M1143" s="21">
        <f>L1143</f>
        <v>1</v>
      </c>
    </row>
    <row r="1144" spans="1:13" x14ac:dyDescent="0.2">
      <c r="A1144" t="s">
        <v>125</v>
      </c>
      <c r="B1144" t="str">
        <f>VLOOKUP(A1144,MasterTutor!A:E,4,FALSE)</f>
        <v>Advanced</v>
      </c>
      <c r="C1144" t="str">
        <f>VLOOKUP(A1144,MasterTutor!A:E,3,FALSE)</f>
        <v>Professional</v>
      </c>
      <c r="D1144" t="str">
        <f>VLOOKUP(A1144,MasterTutor!A:E,2,FALSE)</f>
        <v>Kristin Haase-Alvey</v>
      </c>
      <c r="E1144" t="s">
        <v>368</v>
      </c>
      <c r="F1144" s="2">
        <v>0.8</v>
      </c>
      <c r="G1144" s="2">
        <v>1</v>
      </c>
      <c r="H1144" s="2">
        <v>0.92</v>
      </c>
      <c r="I1144" s="2">
        <v>0.97</v>
      </c>
      <c r="J1144" s="2">
        <v>0.7</v>
      </c>
      <c r="K1144">
        <v>6</v>
      </c>
      <c r="L1144" s="19" t="s">
        <v>337</v>
      </c>
      <c r="M1144" s="21">
        <f>1/3</f>
        <v>0.33333333333333331</v>
      </c>
    </row>
    <row r="1145" spans="1:13" x14ac:dyDescent="0.2">
      <c r="A1145" t="s">
        <v>126</v>
      </c>
      <c r="B1145" t="str">
        <f>VLOOKUP(A1145,MasterTutor!A:E,4,FALSE)</f>
        <v>Distinguished</v>
      </c>
      <c r="C1145" t="str">
        <f>VLOOKUP(A1145,MasterTutor!A:E,3,FALSE)</f>
        <v>Professional</v>
      </c>
      <c r="D1145" t="str">
        <f>VLOOKUP(A1145,MasterTutor!A:E,2,FALSE)</f>
        <v>Ian Plamondon</v>
      </c>
      <c r="E1145" t="s">
        <v>368</v>
      </c>
      <c r="F1145" s="2">
        <v>0.45</v>
      </c>
      <c r="G1145" s="2">
        <v>1.1000000000000001</v>
      </c>
      <c r="H1145" s="2">
        <v>1</v>
      </c>
      <c r="I1145" s="2">
        <v>1</v>
      </c>
      <c r="J1145" s="2">
        <v>0.86</v>
      </c>
      <c r="K1145">
        <v>1</v>
      </c>
    </row>
    <row r="1146" spans="1:13" x14ac:dyDescent="0.2">
      <c r="A1146" t="s">
        <v>369</v>
      </c>
      <c r="B1146" t="e">
        <f>VLOOKUP(A1146,MasterTutor!A:E,4,FALSE)</f>
        <v>#N/A</v>
      </c>
      <c r="C1146" t="e">
        <f>VLOOKUP(A1146,MasterTutor!A:E,3,FALSE)</f>
        <v>#N/A</v>
      </c>
      <c r="D1146" t="e">
        <f>VLOOKUP(A1146,MasterTutor!A:E,2,FALSE)</f>
        <v>#N/A</v>
      </c>
      <c r="E1146" t="s">
        <v>368</v>
      </c>
      <c r="F1146" s="2">
        <v>0.37</v>
      </c>
      <c r="G1146" s="2">
        <v>0.87</v>
      </c>
      <c r="H1146" s="2">
        <v>1</v>
      </c>
      <c r="I1146" s="2">
        <v>0.88</v>
      </c>
      <c r="J1146" s="2">
        <v>0.89</v>
      </c>
      <c r="K1146">
        <v>2</v>
      </c>
      <c r="L1146" s="19">
        <v>0</v>
      </c>
      <c r="M1146" s="21">
        <f>L1146</f>
        <v>0</v>
      </c>
    </row>
    <row r="1147" spans="1:13" x14ac:dyDescent="0.2">
      <c r="A1147" t="s">
        <v>127</v>
      </c>
      <c r="B1147" t="str">
        <f>VLOOKUP(A1147,MasterTutor!A:E,4,FALSE)</f>
        <v>Premium</v>
      </c>
      <c r="C1147" t="str">
        <f>VLOOKUP(A1147,MasterTutor!A:E,3,FALSE)</f>
        <v>Professional</v>
      </c>
      <c r="D1147" t="str">
        <f>VLOOKUP(A1147,MasterTutor!A:E,2,FALSE)</f>
        <v>Jessica Milner</v>
      </c>
      <c r="E1147" t="s">
        <v>368</v>
      </c>
      <c r="F1147" s="2">
        <v>0.56000000000000005</v>
      </c>
      <c r="G1147" s="2">
        <v>1.08</v>
      </c>
      <c r="H1147" s="2">
        <v>0.91</v>
      </c>
      <c r="I1147" s="2">
        <v>0.97</v>
      </c>
      <c r="J1147" s="2">
        <v>0.73</v>
      </c>
      <c r="K1147">
        <v>3</v>
      </c>
      <c r="L1147" s="19" t="s">
        <v>329</v>
      </c>
      <c r="M1147" s="21">
        <v>0.75</v>
      </c>
    </row>
    <row r="1148" spans="1:13" x14ac:dyDescent="0.2">
      <c r="A1148" t="s">
        <v>128</v>
      </c>
      <c r="B1148" t="str">
        <f>VLOOKUP(A1148,MasterTutor!A:E,4,FALSE)</f>
        <v>Distinguished</v>
      </c>
      <c r="C1148" t="str">
        <f>VLOOKUP(A1148,MasterTutor!A:E,3,FALSE)</f>
        <v>Professional</v>
      </c>
      <c r="D1148" t="str">
        <f>VLOOKUP(A1148,MasterTutor!A:E,2,FALSE)</f>
        <v>Ian Plamondon</v>
      </c>
      <c r="E1148" t="s">
        <v>368</v>
      </c>
      <c r="F1148" s="2">
        <v>0.91</v>
      </c>
      <c r="G1148" s="2">
        <v>1.41</v>
      </c>
      <c r="H1148" s="2">
        <v>1</v>
      </c>
      <c r="I1148" s="2">
        <v>0.96</v>
      </c>
      <c r="J1148" s="2">
        <v>1</v>
      </c>
      <c r="K1148" t="e">
        <v>#N/A</v>
      </c>
      <c r="L1148" s="19">
        <v>1</v>
      </c>
      <c r="M1148" s="21">
        <f>L1148</f>
        <v>1</v>
      </c>
    </row>
    <row r="1149" spans="1:13" x14ac:dyDescent="0.2">
      <c r="A1149" t="s">
        <v>129</v>
      </c>
      <c r="B1149" t="str">
        <f>VLOOKUP(A1149,MasterTutor!A:E,4,FALSE)</f>
        <v>Premium</v>
      </c>
      <c r="C1149" t="str">
        <f>VLOOKUP(A1149,MasterTutor!A:E,3,FALSE)</f>
        <v>Adjunct</v>
      </c>
      <c r="D1149" t="str">
        <f>VLOOKUP(A1149,MasterTutor!A:E,2,FALSE)</f>
        <v>Annelies de Groot</v>
      </c>
      <c r="E1149" t="s">
        <v>368</v>
      </c>
      <c r="F1149" s="2">
        <v>1.1499999999999999</v>
      </c>
      <c r="G1149" s="2">
        <v>1.23</v>
      </c>
      <c r="H1149" s="2">
        <v>0.96</v>
      </c>
      <c r="I1149" s="2">
        <v>0.76</v>
      </c>
      <c r="J1149" s="2">
        <v>0.5</v>
      </c>
      <c r="K1149">
        <v>1</v>
      </c>
      <c r="L1149" s="19">
        <v>0</v>
      </c>
      <c r="M1149" s="21">
        <f>L1149</f>
        <v>0</v>
      </c>
    </row>
    <row r="1150" spans="1:13" x14ac:dyDescent="0.2">
      <c r="A1150" t="s">
        <v>130</v>
      </c>
      <c r="B1150" t="str">
        <f>VLOOKUP(A1150,MasterTutor!A:E,4,FALSE)</f>
        <v>Premium</v>
      </c>
      <c r="C1150" t="str">
        <f>VLOOKUP(A1150,MasterTutor!A:E,3,FALSE)</f>
        <v>Adjunct</v>
      </c>
      <c r="D1150" t="str">
        <f>VLOOKUP(A1150,MasterTutor!A:E,2,FALSE)</f>
        <v>Ela Cross</v>
      </c>
      <c r="E1150" t="s">
        <v>368</v>
      </c>
      <c r="F1150" s="2">
        <v>0.71</v>
      </c>
      <c r="G1150" s="2">
        <v>1.4</v>
      </c>
      <c r="H1150" s="2">
        <v>0.94</v>
      </c>
      <c r="I1150" s="2">
        <v>1</v>
      </c>
      <c r="J1150" s="2">
        <v>0.88</v>
      </c>
      <c r="K1150">
        <v>1</v>
      </c>
      <c r="L1150" s="19">
        <v>1</v>
      </c>
      <c r="M1150" s="21">
        <f>L1150</f>
        <v>1</v>
      </c>
    </row>
    <row r="1151" spans="1:13" x14ac:dyDescent="0.2">
      <c r="A1151" t="s">
        <v>131</v>
      </c>
      <c r="B1151" t="str">
        <f>VLOOKUP(A1151,MasterTutor!A:E,4,FALSE)</f>
        <v>Advanced</v>
      </c>
      <c r="C1151" t="str">
        <f>VLOOKUP(A1151,MasterTutor!A:E,3,FALSE)</f>
        <v>Professional</v>
      </c>
      <c r="D1151" t="str">
        <f>VLOOKUP(A1151,MasterTutor!A:E,2,FALSE)</f>
        <v>Ian Plamondon</v>
      </c>
      <c r="E1151" t="s">
        <v>368</v>
      </c>
      <c r="F1151" s="2">
        <v>0.82</v>
      </c>
      <c r="G1151" s="2">
        <v>1.18</v>
      </c>
      <c r="H1151" s="2">
        <v>1</v>
      </c>
      <c r="I1151" s="2">
        <v>0.98</v>
      </c>
      <c r="J1151" s="2">
        <v>0.5</v>
      </c>
      <c r="K1151">
        <v>3</v>
      </c>
      <c r="L1151" s="19">
        <v>1</v>
      </c>
      <c r="M1151" s="21">
        <f>L1151</f>
        <v>1</v>
      </c>
    </row>
    <row r="1152" spans="1:13" x14ac:dyDescent="0.2">
      <c r="A1152" t="s">
        <v>132</v>
      </c>
      <c r="B1152" t="str">
        <f>VLOOKUP(A1152,MasterTutor!A:E,4,FALSE)</f>
        <v>Distinguished</v>
      </c>
      <c r="C1152" t="str">
        <f>VLOOKUP(A1152,MasterTutor!A:E,3,FALSE)</f>
        <v>Professional</v>
      </c>
      <c r="D1152" t="str">
        <f>VLOOKUP(A1152,MasterTutor!A:E,2,FALSE)</f>
        <v>Kristin Haase-Alvey</v>
      </c>
      <c r="E1152" t="s">
        <v>368</v>
      </c>
      <c r="F1152" s="2">
        <v>0.92</v>
      </c>
      <c r="G1152" s="2">
        <v>1.37</v>
      </c>
      <c r="H1152" s="2">
        <v>1</v>
      </c>
      <c r="I1152" s="2">
        <v>0.89</v>
      </c>
      <c r="J1152" s="2">
        <v>1</v>
      </c>
      <c r="K1152">
        <v>4</v>
      </c>
      <c r="L1152" s="19" t="s">
        <v>343</v>
      </c>
      <c r="M1152" s="21">
        <v>0.89</v>
      </c>
    </row>
    <row r="1153" spans="1:13" x14ac:dyDescent="0.2">
      <c r="A1153" t="s">
        <v>133</v>
      </c>
      <c r="B1153" t="e">
        <f>VLOOKUP(A1153,MasterTutor!A:E,4,FALSE)</f>
        <v>#N/A</v>
      </c>
      <c r="C1153" t="e">
        <f>VLOOKUP(A1153,MasterTutor!A:E,3,FALSE)</f>
        <v>#N/A</v>
      </c>
      <c r="D1153" t="e">
        <f>VLOOKUP(A1153,MasterTutor!A:E,2,FALSE)</f>
        <v>#N/A</v>
      </c>
      <c r="E1153" t="s">
        <v>368</v>
      </c>
      <c r="F1153" s="2">
        <v>0.54</v>
      </c>
      <c r="G1153" s="2">
        <v>1.41</v>
      </c>
      <c r="H1153" s="2">
        <v>1</v>
      </c>
      <c r="I1153" s="2">
        <v>1</v>
      </c>
      <c r="J1153" s="2">
        <v>0.5</v>
      </c>
      <c r="K1153" t="e">
        <v>#N/A</v>
      </c>
    </row>
    <row r="1154" spans="1:13" x14ac:dyDescent="0.2">
      <c r="A1154" t="s">
        <v>134</v>
      </c>
      <c r="B1154" t="str">
        <f>VLOOKUP(A1154,MasterTutor!A:E,4,FALSE)</f>
        <v>Distinguished</v>
      </c>
      <c r="C1154" t="str">
        <f>VLOOKUP(A1154,MasterTutor!A:E,3,FALSE)</f>
        <v>Professional</v>
      </c>
      <c r="D1154" t="str">
        <f>VLOOKUP(A1154,MasterTutor!A:E,2,FALSE)</f>
        <v>Annelies de Groot</v>
      </c>
      <c r="E1154" t="s">
        <v>368</v>
      </c>
      <c r="F1154" s="2">
        <v>0.85</v>
      </c>
      <c r="G1154" s="2">
        <v>1.03</v>
      </c>
      <c r="H1154" s="2">
        <v>1</v>
      </c>
      <c r="I1154" s="2">
        <v>0.97</v>
      </c>
      <c r="J1154" s="2">
        <v>0.64</v>
      </c>
      <c r="K1154">
        <v>5</v>
      </c>
      <c r="L1154" s="19">
        <v>1</v>
      </c>
      <c r="M1154" s="21">
        <f>L1154</f>
        <v>1</v>
      </c>
    </row>
    <row r="1155" spans="1:13" x14ac:dyDescent="0.2">
      <c r="A1155" t="s">
        <v>366</v>
      </c>
      <c r="B1155" t="e">
        <f>VLOOKUP(A1155,MasterTutor!A:E,4,FALSE)</f>
        <v>#N/A</v>
      </c>
      <c r="C1155" t="e">
        <f>VLOOKUP(A1155,MasterTutor!A:E,3,FALSE)</f>
        <v>#N/A</v>
      </c>
      <c r="D1155" t="e">
        <f>VLOOKUP(A1155,MasterTutor!A:E,2,FALSE)</f>
        <v>#N/A</v>
      </c>
      <c r="E1155" t="s">
        <v>368</v>
      </c>
      <c r="F1155" s="2">
        <v>0.27</v>
      </c>
      <c r="G1155" s="2">
        <v>1.64</v>
      </c>
      <c r="H1155" s="2">
        <v>1</v>
      </c>
      <c r="I1155" s="2">
        <v>0.88</v>
      </c>
      <c r="J1155" s="2">
        <v>0.5</v>
      </c>
      <c r="K1155" t="e">
        <v>#N/A</v>
      </c>
    </row>
    <row r="1156" spans="1:13" x14ac:dyDescent="0.2">
      <c r="A1156" t="s">
        <v>135</v>
      </c>
      <c r="B1156" t="str">
        <f>VLOOKUP(A1156,MasterTutor!A:E,4,FALSE)</f>
        <v>Distinguished</v>
      </c>
      <c r="C1156" t="str">
        <f>VLOOKUP(A1156,MasterTutor!A:E,3,FALSE)</f>
        <v>Adjunct</v>
      </c>
      <c r="D1156" t="str">
        <f>VLOOKUP(A1156,MasterTutor!A:E,2,FALSE)</f>
        <v>Annelies de Groot</v>
      </c>
      <c r="E1156" t="s">
        <v>368</v>
      </c>
      <c r="F1156" s="2">
        <v>0.83</v>
      </c>
      <c r="G1156" s="2">
        <v>1.63</v>
      </c>
      <c r="H1156" s="2">
        <v>1</v>
      </c>
      <c r="I1156" s="2">
        <v>0.91</v>
      </c>
      <c r="J1156" s="2">
        <v>1</v>
      </c>
      <c r="K1156">
        <v>1</v>
      </c>
    </row>
    <row r="1157" spans="1:13" x14ac:dyDescent="0.2">
      <c r="A1157" t="s">
        <v>136</v>
      </c>
      <c r="B1157" t="e">
        <f>VLOOKUP(A1157,MasterTutor!A:E,4,FALSE)</f>
        <v>#N/A</v>
      </c>
      <c r="C1157" t="e">
        <f>VLOOKUP(A1157,MasterTutor!A:E,3,FALSE)</f>
        <v>#N/A</v>
      </c>
      <c r="D1157" t="e">
        <f>VLOOKUP(A1157,MasterTutor!A:E,2,FALSE)</f>
        <v>#N/A</v>
      </c>
      <c r="E1157" t="s">
        <v>368</v>
      </c>
      <c r="F1157" s="2">
        <v>0.8</v>
      </c>
      <c r="G1157" s="2">
        <v>1.43</v>
      </c>
      <c r="H1157" s="2">
        <v>0.96</v>
      </c>
      <c r="I1157" s="2">
        <v>0.94</v>
      </c>
      <c r="J1157" s="2">
        <v>1</v>
      </c>
      <c r="K1157">
        <v>5</v>
      </c>
    </row>
    <row r="1158" spans="1:13" x14ac:dyDescent="0.2">
      <c r="A1158" t="s">
        <v>294</v>
      </c>
      <c r="B1158" t="str">
        <f>VLOOKUP(A1158,MasterTutor!A:E,4,FALSE)</f>
        <v>Advanced</v>
      </c>
      <c r="C1158" t="str">
        <f>VLOOKUP(A1158,MasterTutor!A:E,3,FALSE)</f>
        <v>Adjunct</v>
      </c>
      <c r="D1158" t="str">
        <f>VLOOKUP(A1158,MasterTutor!A:E,2,FALSE)</f>
        <v>Kristin Haase-Alvey</v>
      </c>
      <c r="E1158" t="s">
        <v>368</v>
      </c>
      <c r="F1158" s="2">
        <v>0.8</v>
      </c>
      <c r="G1158" s="2">
        <v>1.0900000000000001</v>
      </c>
      <c r="H1158" s="2">
        <v>0.98</v>
      </c>
      <c r="I1158" s="2">
        <v>0.83</v>
      </c>
      <c r="J1158" s="2">
        <v>0.71</v>
      </c>
      <c r="K1158">
        <v>3</v>
      </c>
      <c r="L1158" s="19">
        <v>0</v>
      </c>
      <c r="M1158" s="21">
        <f>L1158</f>
        <v>0</v>
      </c>
    </row>
    <row r="1159" spans="1:13" x14ac:dyDescent="0.2">
      <c r="A1159" t="s">
        <v>137</v>
      </c>
      <c r="B1159" t="str">
        <f>VLOOKUP(A1159,MasterTutor!A:E,4,FALSE)</f>
        <v>Premium</v>
      </c>
      <c r="C1159" t="str">
        <f>VLOOKUP(A1159,MasterTutor!A:E,3,FALSE)</f>
        <v>Professional</v>
      </c>
      <c r="D1159" t="str">
        <f>VLOOKUP(A1159,MasterTutor!A:E,2,FALSE)</f>
        <v>Jessica Milner</v>
      </c>
      <c r="E1159" t="s">
        <v>368</v>
      </c>
      <c r="F1159" s="2">
        <v>0.61</v>
      </c>
      <c r="G1159" s="2">
        <v>1.03</v>
      </c>
      <c r="H1159" s="2">
        <v>0.99</v>
      </c>
      <c r="I1159" s="2">
        <v>0.93</v>
      </c>
      <c r="J1159" s="2">
        <v>0.67</v>
      </c>
      <c r="K1159" t="e">
        <v>#N/A</v>
      </c>
      <c r="L1159" s="19">
        <v>0</v>
      </c>
      <c r="M1159" s="21">
        <f>L1159</f>
        <v>0</v>
      </c>
    </row>
    <row r="1160" spans="1:13" x14ac:dyDescent="0.2">
      <c r="A1160" t="s">
        <v>138</v>
      </c>
      <c r="B1160" t="str">
        <f>VLOOKUP(A1160,MasterTutor!A:E,4,FALSE)</f>
        <v>Advanced</v>
      </c>
      <c r="C1160" t="str">
        <f>VLOOKUP(A1160,MasterTutor!A:E,3,FALSE)</f>
        <v>Professional</v>
      </c>
      <c r="D1160" t="str">
        <f>VLOOKUP(A1160,MasterTutor!A:E,2,FALSE)</f>
        <v>Ela Cross</v>
      </c>
      <c r="E1160" t="s">
        <v>368</v>
      </c>
      <c r="F1160" s="2">
        <v>0.88</v>
      </c>
      <c r="G1160" s="2">
        <v>1.1299999999999999</v>
      </c>
      <c r="H1160" s="2">
        <v>1</v>
      </c>
      <c r="I1160" s="2">
        <v>1</v>
      </c>
      <c r="J1160" s="2">
        <v>0.79</v>
      </c>
      <c r="K1160">
        <v>16</v>
      </c>
      <c r="L1160" s="19">
        <v>0</v>
      </c>
      <c r="M1160" s="21">
        <f>L1160</f>
        <v>0</v>
      </c>
    </row>
    <row r="1161" spans="1:13" x14ac:dyDescent="0.2">
      <c r="A1161" t="s">
        <v>139</v>
      </c>
      <c r="B1161" t="str">
        <f>VLOOKUP(A1161,MasterTutor!A:E,4,FALSE)</f>
        <v>Distinguished</v>
      </c>
      <c r="C1161" t="str">
        <f>VLOOKUP(A1161,MasterTutor!A:E,3,FALSE)</f>
        <v>Professional</v>
      </c>
      <c r="D1161" t="str">
        <f>VLOOKUP(A1161,MasterTutor!A:E,2,FALSE)</f>
        <v>Ian Plamondon</v>
      </c>
      <c r="E1161" t="s">
        <v>368</v>
      </c>
      <c r="F1161" s="2">
        <v>0.78</v>
      </c>
      <c r="G1161" s="2">
        <v>0.99</v>
      </c>
      <c r="H1161" s="2">
        <v>1</v>
      </c>
      <c r="I1161" s="2">
        <v>1</v>
      </c>
      <c r="J1161" s="2">
        <v>0.83</v>
      </c>
      <c r="K1161">
        <v>1</v>
      </c>
      <c r="L1161" s="19" t="s">
        <v>329</v>
      </c>
      <c r="M1161" s="21">
        <v>0.75</v>
      </c>
    </row>
    <row r="1162" spans="1:13" x14ac:dyDescent="0.2">
      <c r="A1162" t="s">
        <v>140</v>
      </c>
      <c r="B1162" t="str">
        <f>VLOOKUP(A1162,MasterTutor!A:E,4,FALSE)</f>
        <v>Advanced</v>
      </c>
      <c r="C1162" t="str">
        <f>VLOOKUP(A1162,MasterTutor!A:E,3,FALSE)</f>
        <v>Adjunct</v>
      </c>
      <c r="D1162" t="str">
        <f>VLOOKUP(A1162,MasterTutor!A:E,2,FALSE)</f>
        <v>Annelies de Groot</v>
      </c>
      <c r="E1162" t="s">
        <v>368</v>
      </c>
      <c r="F1162" s="2">
        <v>0.77</v>
      </c>
      <c r="G1162" s="2">
        <v>1.0900000000000001</v>
      </c>
      <c r="H1162" s="2">
        <v>1</v>
      </c>
      <c r="I1162" s="2">
        <v>0.83</v>
      </c>
      <c r="J1162" s="2">
        <v>0.67</v>
      </c>
      <c r="K1162">
        <v>4</v>
      </c>
    </row>
    <row r="1163" spans="1:13" x14ac:dyDescent="0.2">
      <c r="A1163" t="s">
        <v>141</v>
      </c>
      <c r="B1163" t="str">
        <f>VLOOKUP(A1163,MasterTutor!A:E,4,FALSE)</f>
        <v>Distinguished</v>
      </c>
      <c r="C1163" t="str">
        <f>VLOOKUP(A1163,MasterTutor!A:E,3,FALSE)</f>
        <v>Adjunct</v>
      </c>
      <c r="D1163" t="str">
        <f>VLOOKUP(A1163,MasterTutor!A:E,2,FALSE)</f>
        <v>Annelies de Groot</v>
      </c>
      <c r="E1163" t="s">
        <v>368</v>
      </c>
      <c r="F1163" s="2">
        <v>0.08</v>
      </c>
      <c r="G1163" s="2">
        <v>0.78</v>
      </c>
      <c r="H1163" s="2">
        <v>1</v>
      </c>
      <c r="I1163" s="2">
        <v>1</v>
      </c>
      <c r="J1163" s="2">
        <v>1</v>
      </c>
      <c r="K1163">
        <v>1</v>
      </c>
    </row>
    <row r="1164" spans="1:13" x14ac:dyDescent="0.2">
      <c r="A1164" t="s">
        <v>142</v>
      </c>
      <c r="B1164" t="str">
        <f>VLOOKUP(A1164,MasterTutor!A:E,4,FALSE)</f>
        <v>Advanced</v>
      </c>
      <c r="C1164" t="str">
        <f>VLOOKUP(A1164,MasterTutor!A:E,3,FALSE)</f>
        <v>Professional</v>
      </c>
      <c r="D1164" t="str">
        <f>VLOOKUP(A1164,MasterTutor!A:E,2,FALSE)</f>
        <v>Ian Plamondon</v>
      </c>
      <c r="E1164" t="s">
        <v>368</v>
      </c>
      <c r="F1164" s="2">
        <v>0.53</v>
      </c>
      <c r="G1164" s="2">
        <v>1.1599999999999999</v>
      </c>
      <c r="H1164" s="2">
        <v>0.97</v>
      </c>
      <c r="I1164" s="2">
        <v>1</v>
      </c>
      <c r="J1164" s="2">
        <v>0.64</v>
      </c>
      <c r="K1164">
        <v>3</v>
      </c>
      <c r="L1164" s="19" t="s">
        <v>330</v>
      </c>
      <c r="M1164" s="21">
        <v>0.67</v>
      </c>
    </row>
    <row r="1165" spans="1:13" x14ac:dyDescent="0.2">
      <c r="A1165" t="s">
        <v>370</v>
      </c>
      <c r="B1165" t="e">
        <f>VLOOKUP(A1165,MasterTutor!A:E,4,FALSE)</f>
        <v>#N/A</v>
      </c>
      <c r="C1165" t="e">
        <f>VLOOKUP(A1165,MasterTutor!A:E,3,FALSE)</f>
        <v>#N/A</v>
      </c>
      <c r="D1165" t="e">
        <f>VLOOKUP(A1165,MasterTutor!A:E,2,FALSE)</f>
        <v>#N/A</v>
      </c>
      <c r="E1165" t="s">
        <v>368</v>
      </c>
      <c r="F1165" s="2">
        <v>0.02</v>
      </c>
      <c r="G1165" s="2">
        <v>0.63</v>
      </c>
      <c r="H1165" s="2">
        <v>1</v>
      </c>
      <c r="I1165" s="2">
        <v>0.5</v>
      </c>
      <c r="J1165" s="2">
        <v>1</v>
      </c>
      <c r="K1165" t="e">
        <v>#N/A</v>
      </c>
      <c r="L1165" s="19">
        <v>0</v>
      </c>
      <c r="M1165" s="21">
        <f>L1165</f>
        <v>0</v>
      </c>
    </row>
    <row r="1166" spans="1:13" x14ac:dyDescent="0.2">
      <c r="A1166" t="s">
        <v>143</v>
      </c>
      <c r="B1166" t="str">
        <f>VLOOKUP(A1166,MasterTutor!A:E,4,FALSE)</f>
        <v>Distinguished</v>
      </c>
      <c r="C1166" t="str">
        <f>VLOOKUP(A1166,MasterTutor!A:E,3,FALSE)</f>
        <v>Adjunct</v>
      </c>
      <c r="D1166" t="str">
        <f>VLOOKUP(A1166,MasterTutor!A:E,2,FALSE)</f>
        <v>Annelies de Groot</v>
      </c>
      <c r="E1166" t="s">
        <v>368</v>
      </c>
      <c r="F1166" s="2">
        <v>0.5</v>
      </c>
      <c r="G1166" s="2">
        <v>1.47</v>
      </c>
      <c r="H1166" s="2">
        <v>1</v>
      </c>
      <c r="I1166" s="2">
        <v>1</v>
      </c>
      <c r="J1166" s="2">
        <v>0.67</v>
      </c>
      <c r="K1166">
        <v>4</v>
      </c>
    </row>
    <row r="1167" spans="1:13" x14ac:dyDescent="0.2">
      <c r="A1167" t="s">
        <v>144</v>
      </c>
      <c r="B1167" t="str">
        <f>VLOOKUP(A1167,MasterTutor!A:E,4,FALSE)</f>
        <v>Distinguished</v>
      </c>
      <c r="C1167" t="str">
        <f>VLOOKUP(A1167,MasterTutor!A:E,3,FALSE)</f>
        <v>Professional</v>
      </c>
      <c r="D1167" t="str">
        <f>VLOOKUP(A1167,MasterTutor!A:E,2,FALSE)</f>
        <v>Annelies de Groot</v>
      </c>
      <c r="E1167" t="s">
        <v>368</v>
      </c>
      <c r="F1167" s="2">
        <v>0.81</v>
      </c>
      <c r="G1167" s="2">
        <v>1.04</v>
      </c>
      <c r="H1167" s="2">
        <v>1</v>
      </c>
      <c r="I1167" s="2">
        <v>0.95</v>
      </c>
      <c r="J1167" s="2">
        <v>0.86</v>
      </c>
      <c r="K1167">
        <v>4</v>
      </c>
      <c r="L1167" s="19" t="s">
        <v>329</v>
      </c>
      <c r="M1167" s="21">
        <v>0.75</v>
      </c>
    </row>
    <row r="1168" spans="1:13" x14ac:dyDescent="0.2">
      <c r="A1168" t="s">
        <v>145</v>
      </c>
      <c r="B1168" t="str">
        <f>VLOOKUP(A1168,MasterTutor!A:E,4,FALSE)</f>
        <v>Premium</v>
      </c>
      <c r="C1168" t="str">
        <f>VLOOKUP(A1168,MasterTutor!A:E,3,FALSE)</f>
        <v>Professional</v>
      </c>
      <c r="D1168" t="str">
        <f>VLOOKUP(A1168,MasterTutor!A:E,2,FALSE)</f>
        <v>Jessica Milner</v>
      </c>
      <c r="E1168" t="s">
        <v>368</v>
      </c>
      <c r="F1168" s="2">
        <v>0.64</v>
      </c>
      <c r="G1168" s="2">
        <v>1.18</v>
      </c>
      <c r="H1168" s="2">
        <v>1</v>
      </c>
      <c r="I1168" s="2">
        <v>1</v>
      </c>
      <c r="J1168" s="2">
        <v>1</v>
      </c>
      <c r="K1168">
        <v>3</v>
      </c>
      <c r="L1168" s="19">
        <v>1</v>
      </c>
      <c r="M1168" s="21">
        <f>L1168</f>
        <v>1</v>
      </c>
    </row>
    <row r="1169" spans="1:13" x14ac:dyDescent="0.2">
      <c r="A1169" t="s">
        <v>146</v>
      </c>
      <c r="B1169" t="str">
        <f>VLOOKUP(A1169,MasterTutor!A:E,4,FALSE)</f>
        <v>Distinguished</v>
      </c>
      <c r="C1169" t="str">
        <f>VLOOKUP(A1169,MasterTutor!A:E,3,FALSE)</f>
        <v>Adjunct</v>
      </c>
      <c r="D1169" t="str">
        <f>VLOOKUP(A1169,MasterTutor!A:E,2,FALSE)</f>
        <v>Ian Plamondon</v>
      </c>
      <c r="E1169" t="s">
        <v>368</v>
      </c>
      <c r="F1169" s="2">
        <v>0.71</v>
      </c>
      <c r="G1169" s="2">
        <v>0.87</v>
      </c>
      <c r="H1169" s="2">
        <v>0.99</v>
      </c>
      <c r="I1169" s="2">
        <v>0.89</v>
      </c>
      <c r="J1169" s="2">
        <v>0.84</v>
      </c>
      <c r="K1169">
        <v>1</v>
      </c>
      <c r="L1169" s="19" t="s">
        <v>329</v>
      </c>
      <c r="M1169" s="21">
        <v>0.75</v>
      </c>
    </row>
    <row r="1170" spans="1:13" x14ac:dyDescent="0.2">
      <c r="A1170" t="s">
        <v>147</v>
      </c>
      <c r="B1170" t="str">
        <f>VLOOKUP(A1170,MasterTutor!A:E,4,FALSE)</f>
        <v>Premium</v>
      </c>
      <c r="C1170" t="str">
        <f>VLOOKUP(A1170,MasterTutor!A:E,3,FALSE)</f>
        <v>Adjunct</v>
      </c>
      <c r="D1170" t="str">
        <f>VLOOKUP(A1170,MasterTutor!A:E,2,FALSE)</f>
        <v>Ela Cross</v>
      </c>
      <c r="E1170" t="s">
        <v>368</v>
      </c>
      <c r="F1170" s="2">
        <v>0.46</v>
      </c>
      <c r="G1170" s="2">
        <v>1.0900000000000001</v>
      </c>
      <c r="H1170" s="2">
        <v>1</v>
      </c>
      <c r="I1170" s="2">
        <v>1</v>
      </c>
      <c r="J1170" s="2">
        <v>0.8</v>
      </c>
      <c r="K1170">
        <v>0</v>
      </c>
    </row>
    <row r="1171" spans="1:13" x14ac:dyDescent="0.2">
      <c r="A1171" t="s">
        <v>148</v>
      </c>
      <c r="B1171" t="str">
        <f>VLOOKUP(A1171,MasterTutor!A:E,4,FALSE)</f>
        <v>Advanced</v>
      </c>
      <c r="C1171" t="str">
        <f>VLOOKUP(A1171,MasterTutor!A:E,3,FALSE)</f>
        <v>Adjunct</v>
      </c>
      <c r="D1171" t="str">
        <f>VLOOKUP(A1171,MasterTutor!A:E,2,FALSE)</f>
        <v>Ela Cross</v>
      </c>
      <c r="E1171" t="s">
        <v>368</v>
      </c>
      <c r="F1171" s="2">
        <v>1.19</v>
      </c>
      <c r="G1171" s="2">
        <v>1.3</v>
      </c>
      <c r="H1171" s="2">
        <v>0.99</v>
      </c>
      <c r="I1171" s="2">
        <v>1</v>
      </c>
      <c r="J1171" s="2">
        <v>1</v>
      </c>
      <c r="K1171">
        <v>8</v>
      </c>
      <c r="L1171" s="19">
        <v>0</v>
      </c>
      <c r="M1171" s="21">
        <f>L1171</f>
        <v>0</v>
      </c>
    </row>
    <row r="1172" spans="1:13" x14ac:dyDescent="0.2">
      <c r="A1172" t="s">
        <v>149</v>
      </c>
      <c r="B1172" t="str">
        <f>VLOOKUP(A1172,MasterTutor!A:E,4,FALSE)</f>
        <v>Distinguished</v>
      </c>
      <c r="C1172" t="str">
        <f>VLOOKUP(A1172,MasterTutor!A:E,3,FALSE)</f>
        <v>Professional</v>
      </c>
      <c r="D1172" t="str">
        <f>VLOOKUP(A1172,MasterTutor!A:E,2,FALSE)</f>
        <v>Ian Plamondon</v>
      </c>
      <c r="E1172" t="s">
        <v>368</v>
      </c>
      <c r="F1172" s="2">
        <v>0.96</v>
      </c>
      <c r="G1172" s="2">
        <v>1.37</v>
      </c>
      <c r="H1172" s="2">
        <v>0.89</v>
      </c>
      <c r="I1172" s="2">
        <v>0.78</v>
      </c>
      <c r="J1172" s="2">
        <v>0.94</v>
      </c>
      <c r="K1172">
        <v>0</v>
      </c>
      <c r="L1172" s="19">
        <v>1</v>
      </c>
      <c r="M1172" s="21">
        <f>L1172</f>
        <v>1</v>
      </c>
    </row>
    <row r="1173" spans="1:13" x14ac:dyDescent="0.2">
      <c r="A1173" t="s">
        <v>361</v>
      </c>
      <c r="B1173" t="e">
        <f>VLOOKUP(A1173,MasterTutor!A:E,4,FALSE)</f>
        <v>#N/A</v>
      </c>
      <c r="C1173" t="e">
        <f>VLOOKUP(A1173,MasterTutor!A:E,3,FALSE)</f>
        <v>#N/A</v>
      </c>
      <c r="D1173" t="e">
        <f>VLOOKUP(A1173,MasterTutor!A:E,2,FALSE)</f>
        <v>#N/A</v>
      </c>
      <c r="E1173" t="s">
        <v>368</v>
      </c>
      <c r="F1173" s="2">
        <v>0.6</v>
      </c>
      <c r="G1173" s="2">
        <v>0.94</v>
      </c>
      <c r="H1173" s="2">
        <v>0.99</v>
      </c>
      <c r="I1173" s="2">
        <v>0.83</v>
      </c>
      <c r="J1173" s="2">
        <v>0.56000000000000005</v>
      </c>
      <c r="K1173">
        <v>1</v>
      </c>
      <c r="L1173" s="19" t="s">
        <v>371</v>
      </c>
      <c r="M1173" s="21">
        <v>0.38</v>
      </c>
    </row>
    <row r="1174" spans="1:13" x14ac:dyDescent="0.2">
      <c r="A1174" t="s">
        <v>150</v>
      </c>
      <c r="B1174" t="str">
        <f>VLOOKUP(A1174,MasterTutor!A:E,4,FALSE)</f>
        <v>Advanced</v>
      </c>
      <c r="C1174" t="str">
        <f>VLOOKUP(A1174,MasterTutor!A:E,3,FALSE)</f>
        <v>Adjunct</v>
      </c>
      <c r="D1174" t="str">
        <f>VLOOKUP(A1174,MasterTutor!A:E,2,FALSE)</f>
        <v>Ela Cross</v>
      </c>
      <c r="E1174" t="s">
        <v>368</v>
      </c>
      <c r="F1174" s="2">
        <v>0.59</v>
      </c>
      <c r="G1174" s="2">
        <v>0.73</v>
      </c>
      <c r="H1174" s="2">
        <v>0.93</v>
      </c>
      <c r="I1174" s="2">
        <v>0.84</v>
      </c>
      <c r="J1174" s="2">
        <v>1</v>
      </c>
      <c r="K1174">
        <v>1</v>
      </c>
    </row>
    <row r="1175" spans="1:13" x14ac:dyDescent="0.2">
      <c r="A1175" t="s">
        <v>151</v>
      </c>
      <c r="B1175" t="e">
        <f>VLOOKUP(A1175,MasterTutor!A:E,4,FALSE)</f>
        <v>#N/A</v>
      </c>
      <c r="C1175" t="e">
        <f>VLOOKUP(A1175,MasterTutor!A:E,3,FALSE)</f>
        <v>#N/A</v>
      </c>
      <c r="D1175" t="e">
        <f>VLOOKUP(A1175,MasterTutor!A:E,2,FALSE)</f>
        <v>#N/A</v>
      </c>
      <c r="E1175" t="s">
        <v>368</v>
      </c>
      <c r="F1175" s="2">
        <v>0.51</v>
      </c>
      <c r="G1175" s="2">
        <v>0.93</v>
      </c>
      <c r="H1175" s="2">
        <v>1</v>
      </c>
      <c r="I1175" s="2">
        <v>1</v>
      </c>
      <c r="J1175" s="2">
        <v>0.67</v>
      </c>
      <c r="K1175">
        <v>5</v>
      </c>
    </row>
    <row r="1176" spans="1:13" x14ac:dyDescent="0.2">
      <c r="A1176" t="s">
        <v>297</v>
      </c>
      <c r="B1176" t="e">
        <f>VLOOKUP(A1176,MasterTutor!A:E,4,FALSE)</f>
        <v>#N/A</v>
      </c>
      <c r="C1176" t="e">
        <f>VLOOKUP(A1176,MasterTutor!A:E,3,FALSE)</f>
        <v>#N/A</v>
      </c>
      <c r="D1176" t="e">
        <f>VLOOKUP(A1176,MasterTutor!A:E,2,FALSE)</f>
        <v>#N/A</v>
      </c>
      <c r="E1176" t="s">
        <v>368</v>
      </c>
      <c r="F1176" s="2">
        <v>0.65</v>
      </c>
      <c r="G1176" s="2">
        <v>1.1000000000000001</v>
      </c>
      <c r="H1176" s="2">
        <v>0.9</v>
      </c>
      <c r="I1176" s="2">
        <v>1</v>
      </c>
      <c r="J1176" s="2">
        <v>1</v>
      </c>
      <c r="K1176">
        <v>1</v>
      </c>
      <c r="L1176" s="19">
        <v>0</v>
      </c>
      <c r="M1176" s="21">
        <f>L1176</f>
        <v>0</v>
      </c>
    </row>
    <row r="1177" spans="1:13" x14ac:dyDescent="0.2">
      <c r="A1177" t="s">
        <v>152</v>
      </c>
      <c r="B1177" t="str">
        <f>VLOOKUP(A1177,MasterTutor!A:E,4,FALSE)</f>
        <v>Premium</v>
      </c>
      <c r="C1177" t="str">
        <f>VLOOKUP(A1177,MasterTutor!A:E,3,FALSE)</f>
        <v>Professional</v>
      </c>
      <c r="D1177" t="str">
        <f>VLOOKUP(A1177,MasterTutor!A:E,2,FALSE)</f>
        <v>Ian Plamondon</v>
      </c>
      <c r="E1177" t="s">
        <v>368</v>
      </c>
      <c r="F1177" s="2">
        <v>1.03</v>
      </c>
      <c r="G1177" s="2">
        <v>1.42</v>
      </c>
      <c r="H1177" s="2">
        <v>1</v>
      </c>
      <c r="I1177" s="2">
        <v>0.99</v>
      </c>
      <c r="J1177" s="2">
        <v>0.8</v>
      </c>
      <c r="K1177">
        <v>0</v>
      </c>
      <c r="L1177" s="19" t="s">
        <v>335</v>
      </c>
      <c r="M1177" s="21">
        <v>0.25</v>
      </c>
    </row>
    <row r="1178" spans="1:13" x14ac:dyDescent="0.2">
      <c r="A1178" t="s">
        <v>153</v>
      </c>
      <c r="B1178" t="str">
        <f>VLOOKUP(A1178,MasterTutor!A:E,4,FALSE)</f>
        <v>Distinguished</v>
      </c>
      <c r="C1178" t="str">
        <f>VLOOKUP(A1178,MasterTutor!A:E,3,FALSE)</f>
        <v>Professional</v>
      </c>
      <c r="D1178" t="str">
        <f>VLOOKUP(A1178,MasterTutor!A:E,2,FALSE)</f>
        <v>Ian Plamondon</v>
      </c>
      <c r="E1178" t="s">
        <v>368</v>
      </c>
      <c r="F1178" s="2">
        <v>0.74</v>
      </c>
      <c r="G1178" s="2">
        <v>1.1000000000000001</v>
      </c>
      <c r="H1178" s="2">
        <v>1</v>
      </c>
      <c r="I1178" s="2">
        <v>0.99</v>
      </c>
      <c r="J1178" s="2">
        <v>0.7</v>
      </c>
      <c r="K1178">
        <v>6</v>
      </c>
      <c r="L1178" s="19">
        <v>0</v>
      </c>
      <c r="M1178" s="21">
        <f>L1178</f>
        <v>0</v>
      </c>
    </row>
    <row r="1179" spans="1:13" x14ac:dyDescent="0.2">
      <c r="A1179" t="s">
        <v>299</v>
      </c>
      <c r="B1179" t="str">
        <f>VLOOKUP(A1179,MasterTutor!A:E,4,FALSE)</f>
        <v>Advanced</v>
      </c>
      <c r="C1179" t="str">
        <f>VLOOKUP(A1179,MasterTutor!A:E,3,FALSE)</f>
        <v>Professional</v>
      </c>
      <c r="D1179" t="str">
        <f>VLOOKUP(A1179,MasterTutor!A:E,2,FALSE)</f>
        <v>Ela Cross</v>
      </c>
      <c r="E1179" t="s">
        <v>368</v>
      </c>
      <c r="F1179" s="2">
        <v>0</v>
      </c>
      <c r="G1179" s="2">
        <v>0.17</v>
      </c>
      <c r="H1179" s="2">
        <v>0</v>
      </c>
      <c r="I1179" s="2">
        <v>0</v>
      </c>
      <c r="J1179" s="2" t="e">
        <v>#N/A</v>
      </c>
      <c r="K1179" t="e">
        <v>#N/A</v>
      </c>
    </row>
    <row r="1180" spans="1:13" x14ac:dyDescent="0.2">
      <c r="A1180" t="s">
        <v>155</v>
      </c>
      <c r="B1180" t="str">
        <f>VLOOKUP(A1180,MasterTutor!A:E,4,FALSE)</f>
        <v>Distinguished</v>
      </c>
      <c r="C1180" t="str">
        <f>VLOOKUP(A1180,MasterTutor!A:E,3,FALSE)</f>
        <v>Professional</v>
      </c>
      <c r="D1180" t="str">
        <f>VLOOKUP(A1180,MasterTutor!A:E,2,FALSE)</f>
        <v>Kristin Haase-Alvey</v>
      </c>
      <c r="E1180" t="s">
        <v>368</v>
      </c>
      <c r="F1180" s="2">
        <v>0.98</v>
      </c>
      <c r="G1180" s="2">
        <v>1.2</v>
      </c>
      <c r="H1180" s="2">
        <v>1</v>
      </c>
      <c r="I1180" s="2">
        <v>0.95</v>
      </c>
      <c r="J1180" s="2">
        <v>0.9</v>
      </c>
      <c r="K1180">
        <v>2</v>
      </c>
      <c r="L1180" s="19">
        <v>1</v>
      </c>
      <c r="M1180" s="21">
        <f>L1180</f>
        <v>1</v>
      </c>
    </row>
    <row r="1181" spans="1:13" x14ac:dyDescent="0.2">
      <c r="A1181" t="s">
        <v>301</v>
      </c>
      <c r="B1181" t="str">
        <f>VLOOKUP(A1181,MasterTutor!A:E,4,FALSE)</f>
        <v>Advanced</v>
      </c>
      <c r="C1181" t="str">
        <f>VLOOKUP(A1181,MasterTutor!A:E,3,FALSE)</f>
        <v>Professional</v>
      </c>
      <c r="D1181" t="str">
        <f>VLOOKUP(A1181,MasterTutor!A:E,2,FALSE)</f>
        <v>Kristin Haase-Alvey</v>
      </c>
      <c r="E1181" t="s">
        <v>368</v>
      </c>
      <c r="F1181" s="2">
        <v>0.9</v>
      </c>
      <c r="G1181" s="2">
        <v>1.33</v>
      </c>
      <c r="H1181" s="2">
        <v>1</v>
      </c>
      <c r="I1181" s="2">
        <v>0.97</v>
      </c>
      <c r="J1181" s="2">
        <v>0.77</v>
      </c>
      <c r="K1181">
        <v>5</v>
      </c>
      <c r="L1181" s="19" t="s">
        <v>345</v>
      </c>
      <c r="M1181" s="21">
        <v>0.2</v>
      </c>
    </row>
    <row r="1182" spans="1:13" x14ac:dyDescent="0.2">
      <c r="A1182" t="s">
        <v>302</v>
      </c>
      <c r="B1182" t="str">
        <f>VLOOKUP(A1182,MasterTutor!A:E,4,FALSE)</f>
        <v>Advanced</v>
      </c>
      <c r="C1182" t="str">
        <f>VLOOKUP(A1182,MasterTutor!A:E,3,FALSE)</f>
        <v>Professional</v>
      </c>
      <c r="D1182" t="str">
        <f>VLOOKUP(A1182,MasterTutor!A:E,2,FALSE)</f>
        <v>Ela Cross</v>
      </c>
      <c r="E1182" t="s">
        <v>368</v>
      </c>
      <c r="F1182" s="2">
        <v>1.02</v>
      </c>
      <c r="G1182" s="2">
        <v>1.25</v>
      </c>
      <c r="H1182" s="2">
        <v>1</v>
      </c>
      <c r="I1182" s="2">
        <v>0.93</v>
      </c>
      <c r="J1182" s="2">
        <v>0.75</v>
      </c>
      <c r="K1182">
        <v>3</v>
      </c>
      <c r="L1182" s="19" t="s">
        <v>350</v>
      </c>
      <c r="M1182" s="21">
        <v>0.28999999999999998</v>
      </c>
    </row>
    <row r="1183" spans="1:13" x14ac:dyDescent="0.2">
      <c r="A1183" t="s">
        <v>156</v>
      </c>
      <c r="B1183" t="e">
        <f>VLOOKUP(A1183,MasterTutor!A:E,4,FALSE)</f>
        <v>#N/A</v>
      </c>
      <c r="C1183" t="e">
        <f>VLOOKUP(A1183,MasterTutor!A:E,3,FALSE)</f>
        <v>#N/A</v>
      </c>
      <c r="D1183" t="e">
        <f>VLOOKUP(A1183,MasterTutor!A:E,2,FALSE)</f>
        <v>#N/A</v>
      </c>
      <c r="E1183" t="s">
        <v>368</v>
      </c>
      <c r="F1183" s="2">
        <v>1.06</v>
      </c>
      <c r="G1183" s="2">
        <v>1.1599999999999999</v>
      </c>
      <c r="H1183" s="2">
        <v>1</v>
      </c>
      <c r="I1183" s="2">
        <v>0.96</v>
      </c>
      <c r="J1183" s="2">
        <v>1</v>
      </c>
      <c r="K1183">
        <v>2</v>
      </c>
    </row>
    <row r="1184" spans="1:13" x14ac:dyDescent="0.2">
      <c r="A1184" t="s">
        <v>157</v>
      </c>
      <c r="B1184" t="str">
        <f>VLOOKUP(A1184,MasterTutor!A:E,4,FALSE)</f>
        <v>Advanced</v>
      </c>
      <c r="C1184" t="str">
        <f>VLOOKUP(A1184,MasterTutor!A:E,3,FALSE)</f>
        <v>Adjunct</v>
      </c>
      <c r="D1184" t="str">
        <f>VLOOKUP(A1184,MasterTutor!A:E,2,FALSE)</f>
        <v>Kristin Haase-Alvey</v>
      </c>
      <c r="E1184" t="s">
        <v>368</v>
      </c>
      <c r="F1184" s="2">
        <v>0.81</v>
      </c>
      <c r="G1184" s="2">
        <v>1.06</v>
      </c>
      <c r="H1184" s="2">
        <v>0.96</v>
      </c>
      <c r="I1184" s="2">
        <v>0.89</v>
      </c>
      <c r="J1184" s="2">
        <v>0.83</v>
      </c>
      <c r="K1184" t="e">
        <v>#N/A</v>
      </c>
    </row>
    <row r="1185" spans="1:13" x14ac:dyDescent="0.2">
      <c r="A1185" t="s">
        <v>158</v>
      </c>
      <c r="B1185" t="str">
        <f>VLOOKUP(A1185,MasterTutor!A:E,4,FALSE)</f>
        <v>Advanced</v>
      </c>
      <c r="C1185" t="str">
        <f>VLOOKUP(A1185,MasterTutor!A:E,3,FALSE)</f>
        <v>Adjunct</v>
      </c>
      <c r="D1185" t="str">
        <f>VLOOKUP(A1185,MasterTutor!A:E,2,FALSE)</f>
        <v>Annelies de Groot</v>
      </c>
      <c r="E1185" t="s">
        <v>368</v>
      </c>
      <c r="F1185" s="2">
        <v>0.41</v>
      </c>
      <c r="G1185" s="2">
        <v>1.03</v>
      </c>
      <c r="H1185" s="2">
        <v>1</v>
      </c>
      <c r="I1185" s="2">
        <v>0.89</v>
      </c>
      <c r="J1185" s="2">
        <v>0.75</v>
      </c>
      <c r="K1185">
        <v>1</v>
      </c>
      <c r="L1185" s="19" t="s">
        <v>337</v>
      </c>
      <c r="M1185" s="21">
        <f>1/3</f>
        <v>0.33333333333333331</v>
      </c>
    </row>
    <row r="1186" spans="1:13" x14ac:dyDescent="0.2">
      <c r="A1186" t="s">
        <v>160</v>
      </c>
      <c r="B1186" t="str">
        <f>VLOOKUP(A1186,MasterTutor!A:E,4,FALSE)</f>
        <v>Distinguished</v>
      </c>
      <c r="C1186" t="str">
        <f>VLOOKUP(A1186,MasterTutor!A:E,3,FALSE)</f>
        <v>Adjunct</v>
      </c>
      <c r="D1186" t="str">
        <f>VLOOKUP(A1186,MasterTutor!A:E,2,FALSE)</f>
        <v>Ela Cross</v>
      </c>
      <c r="E1186" t="s">
        <v>368</v>
      </c>
      <c r="F1186" s="2">
        <v>0.56000000000000005</v>
      </c>
      <c r="G1186" s="2">
        <v>1.22</v>
      </c>
      <c r="H1186" s="2">
        <v>0.95</v>
      </c>
      <c r="I1186" s="2">
        <v>0.96</v>
      </c>
      <c r="J1186" s="2">
        <v>1</v>
      </c>
      <c r="K1186">
        <v>3</v>
      </c>
      <c r="L1186" s="19">
        <v>1</v>
      </c>
      <c r="M1186" s="21">
        <f>L1186</f>
        <v>1</v>
      </c>
    </row>
    <row r="1187" spans="1:13" x14ac:dyDescent="0.2">
      <c r="A1187" t="s">
        <v>161</v>
      </c>
      <c r="B1187" t="str">
        <f>VLOOKUP(A1187,MasterTutor!A:E,4,FALSE)</f>
        <v>Distinguished</v>
      </c>
      <c r="C1187" t="str">
        <f>VLOOKUP(A1187,MasterTutor!A:E,3,FALSE)</f>
        <v>Professional</v>
      </c>
      <c r="D1187" t="str">
        <f>VLOOKUP(A1187,MasterTutor!A:E,2,FALSE)</f>
        <v>Ian Plamondon</v>
      </c>
      <c r="E1187" t="s">
        <v>368</v>
      </c>
      <c r="F1187" s="2">
        <v>0.79</v>
      </c>
      <c r="G1187" s="2">
        <v>1.3</v>
      </c>
      <c r="H1187" s="2">
        <v>0.98</v>
      </c>
      <c r="I1187" s="2">
        <v>0.95</v>
      </c>
      <c r="J1187" s="2">
        <v>1</v>
      </c>
      <c r="K1187" t="e">
        <v>#N/A</v>
      </c>
      <c r="L1187" s="19" t="s">
        <v>338</v>
      </c>
      <c r="M1187" s="21">
        <v>0.8</v>
      </c>
    </row>
    <row r="1188" spans="1:13" x14ac:dyDescent="0.2">
      <c r="A1188" t="s">
        <v>162</v>
      </c>
      <c r="B1188" t="e">
        <f>VLOOKUP(A1188,MasterTutor!A:E,4,FALSE)</f>
        <v>#N/A</v>
      </c>
      <c r="C1188" t="e">
        <f>VLOOKUP(A1188,MasterTutor!A:E,3,FALSE)</f>
        <v>#N/A</v>
      </c>
      <c r="D1188" t="e">
        <f>VLOOKUP(A1188,MasterTutor!A:E,2,FALSE)</f>
        <v>#N/A</v>
      </c>
      <c r="E1188" t="s">
        <v>368</v>
      </c>
      <c r="F1188" s="2">
        <v>0.74</v>
      </c>
      <c r="G1188" s="2">
        <v>1.01</v>
      </c>
      <c r="H1188" s="2">
        <v>0.97</v>
      </c>
      <c r="I1188" s="2">
        <v>0.96</v>
      </c>
      <c r="J1188" s="2">
        <v>0.2</v>
      </c>
      <c r="K1188">
        <v>3</v>
      </c>
    </row>
    <row r="1189" spans="1:13" x14ac:dyDescent="0.2">
      <c r="A1189" t="s">
        <v>163</v>
      </c>
      <c r="B1189" t="str">
        <f>VLOOKUP(A1189,MasterTutor!A:E,4,FALSE)</f>
        <v>Premium</v>
      </c>
      <c r="C1189" t="str">
        <f>VLOOKUP(A1189,MasterTutor!A:E,3,FALSE)</f>
        <v>Professional</v>
      </c>
      <c r="D1189" t="str">
        <f>VLOOKUP(A1189,MasterTutor!A:E,2,FALSE)</f>
        <v>Jessica Milner</v>
      </c>
      <c r="E1189" t="s">
        <v>368</v>
      </c>
      <c r="F1189" s="2">
        <v>1.19</v>
      </c>
      <c r="G1189" s="2">
        <v>1.1299999999999999</v>
      </c>
      <c r="H1189" s="2">
        <v>0.52</v>
      </c>
      <c r="I1189" s="2">
        <v>0.69</v>
      </c>
      <c r="J1189" s="2">
        <v>0.6</v>
      </c>
      <c r="K1189">
        <v>7</v>
      </c>
      <c r="L1189" s="19" t="s">
        <v>345</v>
      </c>
      <c r="M1189" s="21">
        <v>0.2</v>
      </c>
    </row>
    <row r="1190" spans="1:13" x14ac:dyDescent="0.2">
      <c r="A1190" t="s">
        <v>164</v>
      </c>
      <c r="B1190" t="str">
        <f>VLOOKUP(A1190,MasterTutor!A:E,4,FALSE)</f>
        <v>Advanced</v>
      </c>
      <c r="C1190" t="str">
        <f>VLOOKUP(A1190,MasterTutor!A:E,3,FALSE)</f>
        <v>Professional</v>
      </c>
      <c r="D1190" t="str">
        <f>VLOOKUP(A1190,MasterTutor!A:E,2,FALSE)</f>
        <v>Annelies de Groot</v>
      </c>
      <c r="E1190" t="s">
        <v>368</v>
      </c>
      <c r="F1190" s="2">
        <v>0.81</v>
      </c>
      <c r="G1190" s="2">
        <v>0.97</v>
      </c>
      <c r="H1190" s="2">
        <v>0.86</v>
      </c>
      <c r="I1190" s="2">
        <v>0.96</v>
      </c>
      <c r="J1190" s="2">
        <v>1</v>
      </c>
      <c r="K1190">
        <v>2</v>
      </c>
      <c r="L1190" s="19" t="s">
        <v>337</v>
      </c>
      <c r="M1190" s="21">
        <f>1/3</f>
        <v>0.33333333333333331</v>
      </c>
    </row>
    <row r="1191" spans="1:13" x14ac:dyDescent="0.2">
      <c r="A1191" t="s">
        <v>165</v>
      </c>
      <c r="B1191" t="str">
        <f>VLOOKUP(A1191,MasterTutor!A:E,4,FALSE)</f>
        <v>Advanced</v>
      </c>
      <c r="C1191" t="str">
        <f>VLOOKUP(A1191,MasterTutor!A:E,3,FALSE)</f>
        <v>Adjunct</v>
      </c>
      <c r="D1191" t="str">
        <f>VLOOKUP(A1191,MasterTutor!A:E,2,FALSE)</f>
        <v>Ela Cross</v>
      </c>
      <c r="E1191" t="s">
        <v>368</v>
      </c>
      <c r="F1191" s="2">
        <v>0.81</v>
      </c>
      <c r="G1191" s="2">
        <v>1.05</v>
      </c>
      <c r="H1191" s="2">
        <v>0.98</v>
      </c>
      <c r="I1191" s="2">
        <v>0.97</v>
      </c>
      <c r="J1191" s="2">
        <v>0.94</v>
      </c>
      <c r="K1191">
        <v>9</v>
      </c>
    </row>
    <row r="1192" spans="1:13" x14ac:dyDescent="0.2">
      <c r="A1192" t="s">
        <v>166</v>
      </c>
      <c r="B1192" t="str">
        <f>VLOOKUP(A1192,MasterTutor!A:E,4,FALSE)</f>
        <v>Distinguished</v>
      </c>
      <c r="C1192" t="str">
        <f>VLOOKUP(A1192,MasterTutor!A:E,3,FALSE)</f>
        <v>Adjunct</v>
      </c>
      <c r="D1192" t="str">
        <f>VLOOKUP(A1192,MasterTutor!A:E,2,FALSE)</f>
        <v>Annelies de Groot</v>
      </c>
      <c r="E1192" t="s">
        <v>368</v>
      </c>
      <c r="F1192" s="2">
        <v>1.54</v>
      </c>
      <c r="G1192" s="2">
        <v>1.58</v>
      </c>
      <c r="H1192" s="2">
        <v>0.99</v>
      </c>
      <c r="I1192" s="2">
        <v>0.72</v>
      </c>
      <c r="J1192" s="2">
        <v>0.64</v>
      </c>
      <c r="K1192">
        <v>6</v>
      </c>
    </row>
    <row r="1193" spans="1:13" x14ac:dyDescent="0.2">
      <c r="A1193" t="s">
        <v>167</v>
      </c>
      <c r="B1193" t="str">
        <f>VLOOKUP(A1193,MasterTutor!A:E,4,FALSE)</f>
        <v>Advanced</v>
      </c>
      <c r="C1193" t="str">
        <f>VLOOKUP(A1193,MasterTutor!A:E,3,FALSE)</f>
        <v>Adjunct</v>
      </c>
      <c r="D1193" t="str">
        <f>VLOOKUP(A1193,MasterTutor!A:E,2,FALSE)</f>
        <v>Ela Cross</v>
      </c>
      <c r="E1193" t="s">
        <v>368</v>
      </c>
      <c r="F1193" s="2">
        <v>0.67</v>
      </c>
      <c r="G1193" s="2">
        <v>1.05</v>
      </c>
      <c r="H1193" s="2">
        <v>0.97</v>
      </c>
      <c r="I1193" s="2">
        <v>0.92</v>
      </c>
      <c r="J1193" s="2">
        <v>1</v>
      </c>
      <c r="K1193" t="e">
        <v>#N/A</v>
      </c>
    </row>
    <row r="1194" spans="1:13" x14ac:dyDescent="0.2">
      <c r="A1194" t="s">
        <v>168</v>
      </c>
      <c r="B1194" t="str">
        <f>VLOOKUP(A1194,MasterTutor!A:E,4,FALSE)</f>
        <v>Advanced</v>
      </c>
      <c r="C1194" t="str">
        <f>VLOOKUP(A1194,MasterTutor!A:E,3,FALSE)</f>
        <v>Adjunct</v>
      </c>
      <c r="D1194" t="str">
        <f>VLOOKUP(A1194,MasterTutor!A:E,2,FALSE)</f>
        <v>Kristin Haase-Alvey</v>
      </c>
      <c r="E1194" t="s">
        <v>368</v>
      </c>
      <c r="F1194" s="2">
        <v>0.71</v>
      </c>
      <c r="G1194" s="2">
        <v>1</v>
      </c>
      <c r="H1194" s="2">
        <v>1</v>
      </c>
      <c r="I1194" s="2">
        <v>1</v>
      </c>
      <c r="J1194" s="2">
        <v>0.67</v>
      </c>
      <c r="K1194">
        <v>6</v>
      </c>
      <c r="L1194" s="19">
        <v>1</v>
      </c>
      <c r="M1194" s="21">
        <f>L1194</f>
        <v>1</v>
      </c>
    </row>
    <row r="1195" spans="1:13" x14ac:dyDescent="0.2">
      <c r="A1195" t="s">
        <v>304</v>
      </c>
      <c r="B1195" t="str">
        <f>VLOOKUP(A1195,MasterTutor!A:E,4,FALSE)</f>
        <v>Advanced</v>
      </c>
      <c r="C1195" t="str">
        <f>VLOOKUP(A1195,MasterTutor!A:E,3,FALSE)</f>
        <v>Professional</v>
      </c>
      <c r="D1195" t="str">
        <f>VLOOKUP(A1195,MasterTutor!A:E,2,FALSE)</f>
        <v>Kristin Haase-Alvey</v>
      </c>
      <c r="E1195" t="s">
        <v>368</v>
      </c>
      <c r="F1195" s="2">
        <v>0.04</v>
      </c>
      <c r="G1195" s="2">
        <v>1.21</v>
      </c>
      <c r="H1195" s="2">
        <v>1</v>
      </c>
      <c r="I1195" s="2">
        <v>0.75</v>
      </c>
      <c r="J1195" s="2">
        <v>1</v>
      </c>
      <c r="K1195" t="e">
        <v>#N/A</v>
      </c>
      <c r="L1195" s="19">
        <v>0</v>
      </c>
      <c r="M1195" s="21">
        <f>L1195</f>
        <v>0</v>
      </c>
    </row>
    <row r="1196" spans="1:13" x14ac:dyDescent="0.2">
      <c r="A1196" t="s">
        <v>169</v>
      </c>
      <c r="B1196" t="e">
        <f>VLOOKUP(A1196,MasterTutor!A:E,4,FALSE)</f>
        <v>#N/A</v>
      </c>
      <c r="C1196" t="e">
        <f>VLOOKUP(A1196,MasterTutor!A:E,3,FALSE)</f>
        <v>#N/A</v>
      </c>
      <c r="D1196" t="e">
        <f>VLOOKUP(A1196,MasterTutor!A:E,2,FALSE)</f>
        <v>#N/A</v>
      </c>
      <c r="E1196" t="s">
        <v>368</v>
      </c>
      <c r="F1196" s="2">
        <v>0.4</v>
      </c>
      <c r="G1196" s="2">
        <v>1.1100000000000001</v>
      </c>
      <c r="H1196" s="2">
        <v>0.98</v>
      </c>
      <c r="I1196" s="2">
        <v>0.86</v>
      </c>
      <c r="J1196" s="2">
        <v>1</v>
      </c>
      <c r="K1196" t="e">
        <v>#N/A</v>
      </c>
      <c r="L1196" s="19" t="s">
        <v>331</v>
      </c>
      <c r="M1196" s="21">
        <v>0.5</v>
      </c>
    </row>
    <row r="1197" spans="1:13" x14ac:dyDescent="0.2">
      <c r="A1197" t="s">
        <v>170</v>
      </c>
      <c r="B1197" t="str">
        <f>VLOOKUP(A1197,MasterTutor!A:E,4,FALSE)</f>
        <v>Advanced</v>
      </c>
      <c r="C1197" t="str">
        <f>VLOOKUP(A1197,MasterTutor!A:E,3,FALSE)</f>
        <v>Professional</v>
      </c>
      <c r="D1197" t="str">
        <f>VLOOKUP(A1197,MasterTutor!A:E,2,FALSE)</f>
        <v>Ela Cross</v>
      </c>
      <c r="E1197" t="s">
        <v>368</v>
      </c>
      <c r="F1197" s="2">
        <v>0.8</v>
      </c>
      <c r="G1197" s="2">
        <v>1.1000000000000001</v>
      </c>
      <c r="H1197" s="2">
        <v>0.96</v>
      </c>
      <c r="I1197" s="2">
        <v>0.98</v>
      </c>
      <c r="J1197" s="2">
        <v>0.36</v>
      </c>
      <c r="K1197">
        <v>7</v>
      </c>
      <c r="L1197" s="19" t="s">
        <v>344</v>
      </c>
      <c r="M1197" s="21">
        <v>0.83</v>
      </c>
    </row>
    <row r="1198" spans="1:13" x14ac:dyDescent="0.2">
      <c r="A1198" t="s">
        <v>305</v>
      </c>
      <c r="B1198" t="str">
        <f>VLOOKUP(A1198,MasterTutor!A:E,4,FALSE)</f>
        <v>Advanced</v>
      </c>
      <c r="C1198" t="str">
        <f>VLOOKUP(A1198,MasterTutor!A:E,3,FALSE)</f>
        <v>Professional</v>
      </c>
      <c r="D1198" t="str">
        <f>VLOOKUP(A1198,MasterTutor!A:E,2,FALSE)</f>
        <v>Ian Plamondon</v>
      </c>
      <c r="E1198" t="s">
        <v>368</v>
      </c>
      <c r="F1198" s="2">
        <v>0.46</v>
      </c>
      <c r="G1198" s="2">
        <v>1.04</v>
      </c>
      <c r="H1198" s="2">
        <v>0.99</v>
      </c>
      <c r="I1198" s="2">
        <v>1</v>
      </c>
      <c r="J1198" s="2">
        <v>0.67</v>
      </c>
      <c r="K1198" t="e">
        <v>#N/A</v>
      </c>
      <c r="L1198" s="19">
        <v>0</v>
      </c>
      <c r="M1198" s="21">
        <f>L1198</f>
        <v>0</v>
      </c>
    </row>
    <row r="1199" spans="1:13" x14ac:dyDescent="0.2">
      <c r="A1199" t="s">
        <v>171</v>
      </c>
      <c r="B1199" t="str">
        <f>VLOOKUP(A1199,MasterTutor!A:E,4,FALSE)</f>
        <v>Advanced</v>
      </c>
      <c r="C1199" t="str">
        <f>VLOOKUP(A1199,MasterTutor!A:E,3,FALSE)</f>
        <v>Adjunct</v>
      </c>
      <c r="D1199" t="str">
        <f>VLOOKUP(A1199,MasterTutor!A:E,2,FALSE)</f>
        <v>Annelies de Groot</v>
      </c>
      <c r="E1199" t="s">
        <v>368</v>
      </c>
      <c r="F1199" s="2">
        <v>0.28000000000000003</v>
      </c>
      <c r="G1199" s="2">
        <v>1.1299999999999999</v>
      </c>
      <c r="H1199" s="2">
        <v>1</v>
      </c>
      <c r="I1199" s="2">
        <v>1</v>
      </c>
      <c r="J1199" s="2">
        <v>0.67</v>
      </c>
      <c r="K1199">
        <v>1</v>
      </c>
      <c r="L1199" s="19">
        <v>0</v>
      </c>
      <c r="M1199" s="21">
        <f>L1199</f>
        <v>0</v>
      </c>
    </row>
    <row r="1200" spans="1:13" x14ac:dyDescent="0.2">
      <c r="A1200" t="s">
        <v>308</v>
      </c>
      <c r="B1200" t="str">
        <f>VLOOKUP(A1200,MasterTutor!A:E,4,FALSE)</f>
        <v>Advanced</v>
      </c>
      <c r="C1200" t="str">
        <f>VLOOKUP(A1200,MasterTutor!A:E,3,FALSE)</f>
        <v>Professional</v>
      </c>
      <c r="D1200" t="str">
        <f>VLOOKUP(A1200,MasterTutor!A:E,2,FALSE)</f>
        <v>Annelies de Groot</v>
      </c>
      <c r="E1200" t="s">
        <v>368</v>
      </c>
      <c r="F1200" s="2">
        <v>7.0000000000000007E-2</v>
      </c>
      <c r="G1200" s="2">
        <v>1</v>
      </c>
      <c r="H1200" s="2">
        <v>1</v>
      </c>
      <c r="I1200" s="2">
        <v>1</v>
      </c>
      <c r="J1200" s="2">
        <v>0.8</v>
      </c>
      <c r="K1200" t="e">
        <v>#N/A</v>
      </c>
    </row>
    <row r="1201" spans="1:13" x14ac:dyDescent="0.2">
      <c r="A1201" t="s">
        <v>172</v>
      </c>
      <c r="B1201" t="e">
        <f>VLOOKUP(A1201,MasterTutor!A:E,4,FALSE)</f>
        <v>#N/A</v>
      </c>
      <c r="C1201" t="e">
        <f>VLOOKUP(A1201,MasterTutor!A:E,3,FALSE)</f>
        <v>#N/A</v>
      </c>
      <c r="D1201" t="e">
        <f>VLOOKUP(A1201,MasterTutor!A:E,2,FALSE)</f>
        <v>#N/A</v>
      </c>
      <c r="E1201" t="s">
        <v>368</v>
      </c>
      <c r="F1201" s="2">
        <v>0.84</v>
      </c>
      <c r="G1201" s="2">
        <v>1.41</v>
      </c>
      <c r="H1201" s="2">
        <v>0.98</v>
      </c>
      <c r="I1201" s="2">
        <v>0.78</v>
      </c>
      <c r="J1201" s="2">
        <v>0.22</v>
      </c>
      <c r="K1201">
        <v>9</v>
      </c>
      <c r="L1201" s="19">
        <v>0</v>
      </c>
      <c r="M1201" s="21">
        <f>L1201</f>
        <v>0</v>
      </c>
    </row>
    <row r="1202" spans="1:13" x14ac:dyDescent="0.2">
      <c r="A1202" t="s">
        <v>174</v>
      </c>
      <c r="B1202" t="e">
        <f>VLOOKUP(A1202,MasterTutor!A:E,4,FALSE)</f>
        <v>#N/A</v>
      </c>
      <c r="C1202" t="e">
        <f>VLOOKUP(A1202,MasterTutor!A:E,3,FALSE)</f>
        <v>#N/A</v>
      </c>
      <c r="D1202" t="e">
        <f>VLOOKUP(A1202,MasterTutor!A:E,2,FALSE)</f>
        <v>#N/A</v>
      </c>
      <c r="E1202" t="s">
        <v>368</v>
      </c>
      <c r="F1202" s="2">
        <v>1.1100000000000001</v>
      </c>
      <c r="G1202" s="2">
        <v>1.24</v>
      </c>
      <c r="H1202" s="2">
        <v>0.99</v>
      </c>
      <c r="I1202" s="2">
        <v>0.75</v>
      </c>
      <c r="J1202" s="2">
        <v>0.69</v>
      </c>
      <c r="K1202">
        <v>7</v>
      </c>
      <c r="L1202" s="19">
        <v>1</v>
      </c>
      <c r="M1202" s="21">
        <f>L1202</f>
        <v>1</v>
      </c>
    </row>
    <row r="1203" spans="1:13" x14ac:dyDescent="0.2">
      <c r="A1203" t="s">
        <v>175</v>
      </c>
      <c r="B1203" t="str">
        <f>VLOOKUP(A1203,MasterTutor!A:E,4,FALSE)</f>
        <v>Distinguished</v>
      </c>
      <c r="C1203" t="str">
        <f>VLOOKUP(A1203,MasterTutor!A:E,3,FALSE)</f>
        <v>Adjunct</v>
      </c>
      <c r="D1203" t="str">
        <f>VLOOKUP(A1203,MasterTutor!A:E,2,FALSE)</f>
        <v>Annelies de Groot</v>
      </c>
      <c r="E1203" t="s">
        <v>368</v>
      </c>
      <c r="F1203" s="2">
        <v>0.72</v>
      </c>
      <c r="G1203" s="2">
        <v>1.1599999999999999</v>
      </c>
      <c r="H1203" s="2">
        <v>0.92</v>
      </c>
      <c r="I1203" s="2">
        <v>0.69</v>
      </c>
      <c r="J1203" s="2">
        <v>0.4</v>
      </c>
      <c r="K1203" t="e">
        <v>#N/A</v>
      </c>
      <c r="L1203" s="19">
        <v>1</v>
      </c>
      <c r="M1203" s="21">
        <f>L1203</f>
        <v>1</v>
      </c>
    </row>
    <row r="1204" spans="1:13" x14ac:dyDescent="0.2">
      <c r="A1204" t="s">
        <v>176</v>
      </c>
      <c r="B1204" t="str">
        <f>VLOOKUP(A1204,MasterTutor!A:E,4,FALSE)</f>
        <v>Premium</v>
      </c>
      <c r="C1204" t="str">
        <f>VLOOKUP(A1204,MasterTutor!A:E,3,FALSE)</f>
        <v>Professional</v>
      </c>
      <c r="D1204" t="str">
        <f>VLOOKUP(A1204,MasterTutor!A:E,2,FALSE)</f>
        <v>Ian Plamondon</v>
      </c>
      <c r="E1204" t="s">
        <v>368</v>
      </c>
      <c r="F1204" s="2">
        <v>0.91</v>
      </c>
      <c r="G1204" s="2">
        <v>1.43</v>
      </c>
      <c r="H1204" s="2">
        <v>1</v>
      </c>
      <c r="I1204" s="2">
        <v>0.98</v>
      </c>
      <c r="J1204" s="2">
        <v>0.91</v>
      </c>
      <c r="K1204">
        <v>2</v>
      </c>
      <c r="L1204" s="19" t="s">
        <v>331</v>
      </c>
      <c r="M1204" s="21">
        <v>0.5</v>
      </c>
    </row>
    <row r="1205" spans="1:13" x14ac:dyDescent="0.2">
      <c r="A1205" t="s">
        <v>362</v>
      </c>
      <c r="B1205" t="e">
        <f>VLOOKUP(A1205,MasterTutor!A:E,4,FALSE)</f>
        <v>#N/A</v>
      </c>
      <c r="C1205" t="e">
        <f>VLOOKUP(A1205,MasterTutor!A:E,3,FALSE)</f>
        <v>#N/A</v>
      </c>
      <c r="D1205" t="e">
        <f>VLOOKUP(A1205,MasterTutor!A:E,2,FALSE)</f>
        <v>#N/A</v>
      </c>
      <c r="E1205" t="s">
        <v>368</v>
      </c>
      <c r="F1205" s="2">
        <v>0.75</v>
      </c>
      <c r="G1205" s="2">
        <v>1.02</v>
      </c>
      <c r="H1205" s="2">
        <v>0.98</v>
      </c>
      <c r="I1205" s="2">
        <v>0.86</v>
      </c>
      <c r="J1205" s="2">
        <v>0.83</v>
      </c>
      <c r="K1205">
        <v>3</v>
      </c>
      <c r="L1205" s="19">
        <v>0</v>
      </c>
      <c r="M1205" s="21">
        <f>L1205</f>
        <v>0</v>
      </c>
    </row>
    <row r="1206" spans="1:13" x14ac:dyDescent="0.2">
      <c r="A1206" t="s">
        <v>177</v>
      </c>
      <c r="B1206" t="e">
        <f>VLOOKUP(A1206,MasterTutor!A:E,4,FALSE)</f>
        <v>#N/A</v>
      </c>
      <c r="C1206" t="e">
        <f>VLOOKUP(A1206,MasterTutor!A:E,3,FALSE)</f>
        <v>#N/A</v>
      </c>
      <c r="D1206" t="e">
        <f>VLOOKUP(A1206,MasterTutor!A:E,2,FALSE)</f>
        <v>#N/A</v>
      </c>
      <c r="E1206" t="s">
        <v>368</v>
      </c>
      <c r="F1206" s="2">
        <v>0.73</v>
      </c>
      <c r="G1206" s="2">
        <v>1.1200000000000001</v>
      </c>
      <c r="H1206" s="2">
        <v>0.91</v>
      </c>
      <c r="I1206" s="2">
        <v>0.98</v>
      </c>
      <c r="J1206" s="2">
        <v>0.64</v>
      </c>
      <c r="K1206">
        <v>3</v>
      </c>
    </row>
    <row r="1207" spans="1:13" x14ac:dyDescent="0.2">
      <c r="A1207" t="s">
        <v>178</v>
      </c>
      <c r="B1207" t="e">
        <f>VLOOKUP(A1207,MasterTutor!A:E,4,FALSE)</f>
        <v>#N/A</v>
      </c>
      <c r="C1207" t="e">
        <f>VLOOKUP(A1207,MasterTutor!A:E,3,FALSE)</f>
        <v>#N/A</v>
      </c>
      <c r="D1207" t="e">
        <f>VLOOKUP(A1207,MasterTutor!A:E,2,FALSE)</f>
        <v>#N/A</v>
      </c>
      <c r="E1207" t="s">
        <v>368</v>
      </c>
      <c r="F1207" s="2">
        <v>0.44</v>
      </c>
      <c r="G1207" s="2">
        <v>0.8</v>
      </c>
      <c r="H1207" s="2">
        <v>1</v>
      </c>
      <c r="I1207" s="2">
        <v>0.87</v>
      </c>
      <c r="J1207" s="2">
        <v>1</v>
      </c>
      <c r="K1207">
        <v>1</v>
      </c>
      <c r="L1207" s="19">
        <v>0</v>
      </c>
      <c r="M1207" s="21">
        <f>L1207</f>
        <v>0</v>
      </c>
    </row>
    <row r="1208" spans="1:13" x14ac:dyDescent="0.2">
      <c r="A1208" t="s">
        <v>314</v>
      </c>
      <c r="B1208" t="str">
        <f>VLOOKUP(A1208,MasterTutor!A:E,4,FALSE)</f>
        <v>Advanced</v>
      </c>
      <c r="C1208" t="str">
        <f>VLOOKUP(A1208,MasterTutor!A:E,3,FALSE)</f>
        <v>Professional</v>
      </c>
      <c r="D1208" t="str">
        <f>VLOOKUP(A1208,MasterTutor!A:E,2,FALSE)</f>
        <v>Ian Plamondon</v>
      </c>
      <c r="E1208" t="s">
        <v>368</v>
      </c>
      <c r="F1208" s="2">
        <v>0.73</v>
      </c>
      <c r="G1208" s="2">
        <v>0.93</v>
      </c>
      <c r="H1208" s="2">
        <v>1</v>
      </c>
      <c r="I1208" s="2">
        <v>1</v>
      </c>
      <c r="J1208" s="2">
        <v>0.55000000000000004</v>
      </c>
      <c r="K1208">
        <v>2</v>
      </c>
      <c r="L1208" s="19" t="s">
        <v>330</v>
      </c>
      <c r="M1208" s="21">
        <v>0.67</v>
      </c>
    </row>
    <row r="1209" spans="1:13" x14ac:dyDescent="0.2">
      <c r="A1209" t="s">
        <v>179</v>
      </c>
      <c r="B1209" t="str">
        <f>VLOOKUP(A1209,MasterTutor!A:E,4,FALSE)</f>
        <v>Advanced</v>
      </c>
      <c r="C1209" t="str">
        <f>VLOOKUP(A1209,MasterTutor!A:E,3,FALSE)</f>
        <v>Adjunct</v>
      </c>
      <c r="D1209" t="str">
        <f>VLOOKUP(A1209,MasterTutor!A:E,2,FALSE)</f>
        <v>Ela Cross</v>
      </c>
      <c r="E1209" t="s">
        <v>368</v>
      </c>
      <c r="F1209" s="2">
        <v>0.64</v>
      </c>
      <c r="G1209" s="2">
        <v>1.02</v>
      </c>
      <c r="H1209" s="2">
        <v>1</v>
      </c>
      <c r="I1209" s="2">
        <v>1</v>
      </c>
      <c r="J1209" s="2">
        <v>1</v>
      </c>
      <c r="K1209">
        <v>4</v>
      </c>
    </row>
    <row r="1210" spans="1:13" x14ac:dyDescent="0.2">
      <c r="A1210" t="s">
        <v>180</v>
      </c>
      <c r="B1210" t="str">
        <f>VLOOKUP(A1210,MasterTutor!A:E,4,FALSE)</f>
        <v>Premium</v>
      </c>
      <c r="C1210" t="str">
        <f>VLOOKUP(A1210,MasterTutor!A:E,3,FALSE)</f>
        <v>Adjunct</v>
      </c>
      <c r="D1210" t="str">
        <f>VLOOKUP(A1210,MasterTutor!A:E,2,FALSE)</f>
        <v>Geoff St. Marie</v>
      </c>
      <c r="E1210" t="s">
        <v>368</v>
      </c>
      <c r="F1210" s="2">
        <v>0.76</v>
      </c>
      <c r="G1210" s="2">
        <v>1.29</v>
      </c>
      <c r="H1210" s="2">
        <v>1</v>
      </c>
      <c r="I1210" s="2">
        <v>0.91</v>
      </c>
      <c r="J1210" s="2">
        <v>0.75</v>
      </c>
      <c r="K1210" t="e">
        <v>#N/A</v>
      </c>
      <c r="L1210" s="19">
        <v>0</v>
      </c>
      <c r="M1210" s="21">
        <f>L1210</f>
        <v>0</v>
      </c>
    </row>
    <row r="1211" spans="1:13" x14ac:dyDescent="0.2">
      <c r="A1211" t="s">
        <v>181</v>
      </c>
      <c r="B1211" t="str">
        <f>VLOOKUP(A1211,MasterTutor!A:E,4,FALSE)</f>
        <v>Advanced</v>
      </c>
      <c r="C1211" t="str">
        <f>VLOOKUP(A1211,MasterTutor!A:E,3,FALSE)</f>
        <v>Professional</v>
      </c>
      <c r="D1211" t="str">
        <f>VLOOKUP(A1211,MasterTutor!A:E,2,FALSE)</f>
        <v>Ela Cross</v>
      </c>
      <c r="E1211" t="s">
        <v>368</v>
      </c>
      <c r="F1211" s="2">
        <v>0.88</v>
      </c>
      <c r="G1211" s="2">
        <v>1.08</v>
      </c>
      <c r="H1211" s="2">
        <v>0.96</v>
      </c>
      <c r="I1211" s="2">
        <v>0.96</v>
      </c>
      <c r="J1211" s="2">
        <v>0.82</v>
      </c>
      <c r="K1211">
        <v>4</v>
      </c>
      <c r="L1211" s="19">
        <v>1</v>
      </c>
      <c r="M1211" s="21">
        <f>L1211</f>
        <v>1</v>
      </c>
    </row>
    <row r="1212" spans="1:13" x14ac:dyDescent="0.2">
      <c r="A1212" t="s">
        <v>182</v>
      </c>
      <c r="B1212" t="str">
        <f>VLOOKUP(A1212,MasterTutor!A:E,4,FALSE)</f>
        <v>Premium</v>
      </c>
      <c r="C1212" t="str">
        <f>VLOOKUP(A1212,MasterTutor!A:E,3,FALSE)</f>
        <v>Professional</v>
      </c>
      <c r="D1212" t="str">
        <f>VLOOKUP(A1212,MasterTutor!A:E,2,FALSE)</f>
        <v>Annelies de Groot</v>
      </c>
      <c r="E1212" t="s">
        <v>368</v>
      </c>
      <c r="F1212" s="2">
        <v>0.98</v>
      </c>
      <c r="G1212" s="2">
        <v>1.06</v>
      </c>
      <c r="H1212" s="2">
        <v>1</v>
      </c>
      <c r="I1212" s="2">
        <v>1</v>
      </c>
      <c r="J1212" s="2">
        <v>0.96</v>
      </c>
      <c r="K1212">
        <v>3</v>
      </c>
      <c r="L1212" s="19" t="s">
        <v>329</v>
      </c>
      <c r="M1212" s="21">
        <v>0.75</v>
      </c>
    </row>
    <row r="1213" spans="1:13" x14ac:dyDescent="0.2">
      <c r="A1213" t="s">
        <v>315</v>
      </c>
      <c r="B1213" t="str">
        <f>VLOOKUP(A1213,MasterTutor!A:E,4,FALSE)</f>
        <v>Advanced</v>
      </c>
      <c r="C1213" t="str">
        <f>VLOOKUP(A1213,MasterTutor!A:E,3,FALSE)</f>
        <v>Professional</v>
      </c>
      <c r="D1213" t="str">
        <f>VLOOKUP(A1213,MasterTutor!A:E,2,FALSE)</f>
        <v>Ela Cross</v>
      </c>
      <c r="E1213" t="s">
        <v>368</v>
      </c>
      <c r="F1213" s="2">
        <v>0.9</v>
      </c>
      <c r="G1213" s="2">
        <v>1.1499999999999999</v>
      </c>
      <c r="H1213" s="2">
        <v>0.97</v>
      </c>
      <c r="I1213" s="2">
        <v>0.98</v>
      </c>
      <c r="J1213" s="2">
        <v>0.82</v>
      </c>
      <c r="K1213">
        <v>4</v>
      </c>
      <c r="L1213" s="19" t="s">
        <v>332</v>
      </c>
      <c r="M1213" s="21">
        <v>0.71</v>
      </c>
    </row>
    <row r="1214" spans="1:13" x14ac:dyDescent="0.2">
      <c r="A1214" t="s">
        <v>183</v>
      </c>
      <c r="B1214" t="str">
        <f>VLOOKUP(A1214,MasterTutor!A:E,4,FALSE)</f>
        <v>Advanced</v>
      </c>
      <c r="C1214" t="str">
        <f>VLOOKUP(A1214,MasterTutor!A:E,3,FALSE)</f>
        <v>Adjunct</v>
      </c>
      <c r="D1214" t="str">
        <f>VLOOKUP(A1214,MasterTutor!A:E,2,FALSE)</f>
        <v>Annelies de Groot</v>
      </c>
      <c r="E1214" t="s">
        <v>368</v>
      </c>
      <c r="F1214" s="2">
        <v>1.02</v>
      </c>
      <c r="G1214" s="2">
        <v>1.36</v>
      </c>
      <c r="H1214" s="2">
        <v>1</v>
      </c>
      <c r="I1214" s="2">
        <v>1</v>
      </c>
      <c r="J1214" s="2">
        <v>1</v>
      </c>
      <c r="K1214">
        <v>9</v>
      </c>
      <c r="L1214" s="19">
        <v>0</v>
      </c>
      <c r="M1214" s="21">
        <f>L1214</f>
        <v>0</v>
      </c>
    </row>
    <row r="1215" spans="1:13" x14ac:dyDescent="0.2">
      <c r="A1215" t="s">
        <v>184</v>
      </c>
      <c r="B1215" t="str">
        <f>VLOOKUP(A1215,MasterTutor!A:E,4,FALSE)</f>
        <v>Advanced</v>
      </c>
      <c r="C1215" t="str">
        <f>VLOOKUP(A1215,MasterTutor!A:E,3,FALSE)</f>
        <v>Adjunct</v>
      </c>
      <c r="D1215" t="str">
        <f>VLOOKUP(A1215,MasterTutor!A:E,2,FALSE)</f>
        <v>Kristin Haase-Alvey</v>
      </c>
      <c r="E1215" t="s">
        <v>368</v>
      </c>
      <c r="F1215" s="2">
        <v>0.3</v>
      </c>
      <c r="G1215" s="2">
        <v>0.95</v>
      </c>
      <c r="H1215" s="2">
        <v>0.85</v>
      </c>
      <c r="I1215" s="2">
        <v>0.67</v>
      </c>
      <c r="J1215" s="2">
        <v>1</v>
      </c>
      <c r="K1215">
        <v>4</v>
      </c>
    </row>
    <row r="1216" spans="1:13" x14ac:dyDescent="0.2">
      <c r="A1216" t="s">
        <v>185</v>
      </c>
      <c r="B1216" t="str">
        <f>VLOOKUP(A1216,MasterTutor!A:E,4,FALSE)</f>
        <v>Distinguished</v>
      </c>
      <c r="C1216" t="str">
        <f>VLOOKUP(A1216,MasterTutor!A:E,3,FALSE)</f>
        <v>Professional</v>
      </c>
      <c r="D1216" t="str">
        <f>VLOOKUP(A1216,MasterTutor!A:E,2,FALSE)</f>
        <v>Ian Plamondon</v>
      </c>
      <c r="E1216" t="s">
        <v>368</v>
      </c>
      <c r="F1216" s="2">
        <v>0.61</v>
      </c>
      <c r="G1216" s="2">
        <v>0.98</v>
      </c>
      <c r="H1216" s="2">
        <v>0.93</v>
      </c>
      <c r="I1216" s="2">
        <v>0.91</v>
      </c>
      <c r="J1216" s="2">
        <v>0.7</v>
      </c>
      <c r="K1216">
        <v>3</v>
      </c>
      <c r="L1216" s="19">
        <v>0</v>
      </c>
      <c r="M1216" s="21">
        <f>L1216</f>
        <v>0</v>
      </c>
    </row>
    <row r="1217" spans="1:13" x14ac:dyDescent="0.2">
      <c r="A1217" t="s">
        <v>186</v>
      </c>
      <c r="B1217" t="str">
        <f>VLOOKUP(A1217,MasterTutor!A:E,4,FALSE)</f>
        <v>Premium</v>
      </c>
      <c r="C1217" t="str">
        <f>VLOOKUP(A1217,MasterTutor!A:E,3,FALSE)</f>
        <v>Adjunct</v>
      </c>
      <c r="D1217" t="str">
        <f>VLOOKUP(A1217,MasterTutor!A:E,2,FALSE)</f>
        <v>Ela Cross</v>
      </c>
      <c r="E1217" t="s">
        <v>368</v>
      </c>
      <c r="F1217" s="2">
        <v>1.05</v>
      </c>
      <c r="G1217" s="2">
        <v>1.53</v>
      </c>
      <c r="H1217" s="2">
        <v>1</v>
      </c>
      <c r="I1217" s="2">
        <v>0.94</v>
      </c>
      <c r="J1217" s="2">
        <v>1</v>
      </c>
      <c r="K1217">
        <v>2</v>
      </c>
      <c r="L1217" s="19">
        <v>1</v>
      </c>
      <c r="M1217" s="21">
        <f>L1217</f>
        <v>1</v>
      </c>
    </row>
    <row r="1218" spans="1:13" x14ac:dyDescent="0.2">
      <c r="A1218" t="s">
        <v>316</v>
      </c>
      <c r="B1218" t="str">
        <f>VLOOKUP(A1218,MasterTutor!A:E,4,FALSE)</f>
        <v>Advanced</v>
      </c>
      <c r="C1218" t="str">
        <f>VLOOKUP(A1218,MasterTutor!A:E,3,FALSE)</f>
        <v>Professional</v>
      </c>
      <c r="D1218" t="str">
        <f>VLOOKUP(A1218,MasterTutor!A:E,2,FALSE)</f>
        <v>Annelies de Groot</v>
      </c>
      <c r="E1218" t="s">
        <v>368</v>
      </c>
      <c r="F1218" s="2">
        <v>0.57999999999999996</v>
      </c>
      <c r="G1218" s="2">
        <v>1.1299999999999999</v>
      </c>
      <c r="H1218" s="2">
        <v>1</v>
      </c>
      <c r="I1218" s="2">
        <v>0.91</v>
      </c>
      <c r="J1218" s="2">
        <v>0.75</v>
      </c>
      <c r="K1218" t="e">
        <v>#N/A</v>
      </c>
      <c r="L1218" s="19" t="s">
        <v>338</v>
      </c>
      <c r="M1218" s="21">
        <v>0.8</v>
      </c>
    </row>
    <row r="1219" spans="1:13" x14ac:dyDescent="0.2">
      <c r="A1219" t="s">
        <v>187</v>
      </c>
      <c r="B1219" t="str">
        <f>VLOOKUP(A1219,MasterTutor!A:E,4,FALSE)</f>
        <v>Distinguished</v>
      </c>
      <c r="C1219" t="str">
        <f>VLOOKUP(A1219,MasterTutor!A:E,3,FALSE)</f>
        <v>Adjunct</v>
      </c>
      <c r="D1219" t="str">
        <f>VLOOKUP(A1219,MasterTutor!A:E,2,FALSE)</f>
        <v>Ela Cross</v>
      </c>
      <c r="E1219" t="s">
        <v>368</v>
      </c>
      <c r="F1219" s="2">
        <v>1.02</v>
      </c>
      <c r="G1219" s="2">
        <v>1.49</v>
      </c>
      <c r="H1219" s="2">
        <v>0.98</v>
      </c>
      <c r="I1219" s="2">
        <v>0.74</v>
      </c>
      <c r="J1219" s="2">
        <v>1</v>
      </c>
      <c r="K1219" t="e">
        <v>#N/A</v>
      </c>
      <c r="L1219" s="19">
        <v>1</v>
      </c>
      <c r="M1219" s="21">
        <f>L1219</f>
        <v>1</v>
      </c>
    </row>
    <row r="1220" spans="1:13" x14ac:dyDescent="0.2">
      <c r="A1220" t="s">
        <v>188</v>
      </c>
      <c r="B1220" t="str">
        <f>VLOOKUP(A1220,MasterTutor!A:E,4,FALSE)</f>
        <v>Premium</v>
      </c>
      <c r="C1220" t="str">
        <f>VLOOKUP(A1220,MasterTutor!A:E,3,FALSE)</f>
        <v>Professional</v>
      </c>
      <c r="D1220" t="str">
        <f>VLOOKUP(A1220,MasterTutor!A:E,2,FALSE)</f>
        <v>Ian Plamondon</v>
      </c>
      <c r="E1220" t="s">
        <v>368</v>
      </c>
      <c r="F1220" s="2">
        <v>0.66</v>
      </c>
      <c r="G1220" s="2">
        <v>1.19</v>
      </c>
      <c r="H1220" s="2">
        <v>1</v>
      </c>
      <c r="I1220" s="2">
        <v>0.92</v>
      </c>
      <c r="J1220" s="2">
        <v>1</v>
      </c>
      <c r="K1220">
        <v>4</v>
      </c>
      <c r="L1220" s="19">
        <v>0</v>
      </c>
      <c r="M1220" s="21">
        <f>L1220</f>
        <v>0</v>
      </c>
    </row>
    <row r="1221" spans="1:13" x14ac:dyDescent="0.2">
      <c r="A1221" t="s">
        <v>189</v>
      </c>
      <c r="B1221" t="str">
        <f>VLOOKUP(A1221,MasterTutor!A:E,4,FALSE)</f>
        <v>Advanced</v>
      </c>
      <c r="C1221" t="str">
        <f>VLOOKUP(A1221,MasterTutor!A:E,3,FALSE)</f>
        <v>Adjunct</v>
      </c>
      <c r="D1221" t="str">
        <f>VLOOKUP(A1221,MasterTutor!A:E,2,FALSE)</f>
        <v>Annelies de Groot</v>
      </c>
      <c r="E1221" t="s">
        <v>368</v>
      </c>
      <c r="F1221" s="2">
        <v>0.9</v>
      </c>
      <c r="G1221" s="2">
        <v>1.27</v>
      </c>
      <c r="H1221" s="2">
        <v>0.98</v>
      </c>
      <c r="I1221" s="2">
        <v>0.74</v>
      </c>
      <c r="J1221" s="2">
        <v>0.67</v>
      </c>
      <c r="K1221">
        <v>7</v>
      </c>
    </row>
    <row r="1222" spans="1:13" x14ac:dyDescent="0.2">
      <c r="A1222" t="s">
        <v>191</v>
      </c>
      <c r="B1222" t="e">
        <f>VLOOKUP(A1222,MasterTutor!A:E,4,FALSE)</f>
        <v>#N/A</v>
      </c>
      <c r="C1222" t="e">
        <f>VLOOKUP(A1222,MasterTutor!A:E,3,FALSE)</f>
        <v>#N/A</v>
      </c>
      <c r="D1222" t="e">
        <f>VLOOKUP(A1222,MasterTutor!A:E,2,FALSE)</f>
        <v>#N/A</v>
      </c>
      <c r="E1222" t="s">
        <v>368</v>
      </c>
      <c r="F1222" s="2">
        <v>0.96</v>
      </c>
      <c r="G1222" s="2">
        <v>1.0900000000000001</v>
      </c>
      <c r="H1222" s="2">
        <v>1</v>
      </c>
      <c r="I1222" s="2">
        <v>0.97</v>
      </c>
      <c r="J1222" s="2">
        <v>0.85</v>
      </c>
      <c r="K1222">
        <v>4</v>
      </c>
      <c r="L1222" s="19" t="s">
        <v>338</v>
      </c>
      <c r="M1222" s="21">
        <v>0.8</v>
      </c>
    </row>
    <row r="1223" spans="1:13" x14ac:dyDescent="0.2">
      <c r="A1223" t="s">
        <v>318</v>
      </c>
      <c r="B1223" t="str">
        <f>VLOOKUP(A1223,MasterTutor!A:E,4,FALSE)</f>
        <v>Advanced</v>
      </c>
      <c r="C1223" t="str">
        <f>VLOOKUP(A1223,MasterTutor!A:E,3,FALSE)</f>
        <v>Adjunct</v>
      </c>
      <c r="D1223" t="str">
        <f>VLOOKUP(A1223,MasterTutor!A:E,2,FALSE)</f>
        <v>Ela Cross</v>
      </c>
      <c r="E1223" t="s">
        <v>368</v>
      </c>
      <c r="F1223" s="2">
        <v>0.43</v>
      </c>
      <c r="G1223" s="2">
        <v>1.25</v>
      </c>
      <c r="H1223" s="2">
        <v>1</v>
      </c>
      <c r="I1223" s="2">
        <v>0.73</v>
      </c>
      <c r="J1223" s="2">
        <v>1</v>
      </c>
      <c r="K1223" t="e">
        <v>#N/A</v>
      </c>
    </row>
    <row r="1224" spans="1:13" x14ac:dyDescent="0.2">
      <c r="A1224" t="s">
        <v>192</v>
      </c>
      <c r="B1224" t="str">
        <f>VLOOKUP(A1224,MasterTutor!A:E,4,FALSE)</f>
        <v>Advanced</v>
      </c>
      <c r="C1224" t="str">
        <f>VLOOKUP(A1224,MasterTutor!A:E,3,FALSE)</f>
        <v>Adjunct</v>
      </c>
      <c r="D1224" t="str">
        <f>VLOOKUP(A1224,MasterTutor!A:E,2,FALSE)</f>
        <v>Ela Cross</v>
      </c>
      <c r="E1224" t="s">
        <v>368</v>
      </c>
      <c r="F1224" s="2">
        <v>1.02</v>
      </c>
      <c r="G1224" s="2">
        <v>1.1399999999999999</v>
      </c>
      <c r="H1224" s="2">
        <v>0.97</v>
      </c>
      <c r="I1224" s="2">
        <v>0.97</v>
      </c>
      <c r="J1224" s="2">
        <v>1</v>
      </c>
      <c r="K1224">
        <v>1</v>
      </c>
      <c r="L1224" s="19">
        <v>0</v>
      </c>
      <c r="M1224" s="21">
        <f>L1224</f>
        <v>0</v>
      </c>
    </row>
    <row r="1225" spans="1:13" x14ac:dyDescent="0.2">
      <c r="A1225" t="s">
        <v>193</v>
      </c>
      <c r="B1225" t="str">
        <f>VLOOKUP(A1225,MasterTutor!A:E,4,FALSE)</f>
        <v>Advanced</v>
      </c>
      <c r="C1225" t="str">
        <f>VLOOKUP(A1225,MasterTutor!A:E,3,FALSE)</f>
        <v>Professional</v>
      </c>
      <c r="D1225" t="str">
        <f>VLOOKUP(A1225,MasterTutor!A:E,2,FALSE)</f>
        <v>Annelies de Groot</v>
      </c>
      <c r="E1225" t="s">
        <v>368</v>
      </c>
      <c r="F1225" s="2">
        <v>0.99</v>
      </c>
      <c r="G1225" s="2">
        <v>1.1499999999999999</v>
      </c>
      <c r="H1225" s="2">
        <v>1</v>
      </c>
      <c r="I1225" s="2">
        <v>0.98</v>
      </c>
      <c r="J1225" s="2">
        <v>0.86</v>
      </c>
      <c r="K1225">
        <v>5</v>
      </c>
      <c r="L1225" s="19">
        <v>1</v>
      </c>
      <c r="M1225" s="21">
        <f>L1225</f>
        <v>1</v>
      </c>
    </row>
    <row r="1226" spans="1:13" x14ac:dyDescent="0.2">
      <c r="A1226" t="s">
        <v>194</v>
      </c>
      <c r="B1226" t="e">
        <f>VLOOKUP(A1226,MasterTutor!A:E,4,FALSE)</f>
        <v>#N/A</v>
      </c>
      <c r="C1226" t="e">
        <f>VLOOKUP(A1226,MasterTutor!A:E,3,FALSE)</f>
        <v>#N/A</v>
      </c>
      <c r="D1226" t="e">
        <f>VLOOKUP(A1226,MasterTutor!A:E,2,FALSE)</f>
        <v>#N/A</v>
      </c>
      <c r="E1226" t="s">
        <v>368</v>
      </c>
      <c r="F1226" s="2">
        <v>0.75</v>
      </c>
      <c r="G1226" s="2">
        <v>1.0900000000000001</v>
      </c>
      <c r="H1226" s="2">
        <v>0.98</v>
      </c>
      <c r="I1226" s="2">
        <v>0.81</v>
      </c>
      <c r="J1226" s="2">
        <v>0.83</v>
      </c>
      <c r="K1226">
        <v>3</v>
      </c>
    </row>
    <row r="1227" spans="1:13" x14ac:dyDescent="0.2">
      <c r="A1227" t="s">
        <v>195</v>
      </c>
      <c r="B1227" t="e">
        <f>VLOOKUP(A1227,MasterTutor!A:E,4,FALSE)</f>
        <v>#N/A</v>
      </c>
      <c r="C1227" t="e">
        <f>VLOOKUP(A1227,MasterTutor!A:E,3,FALSE)</f>
        <v>#N/A</v>
      </c>
      <c r="D1227" t="e">
        <f>VLOOKUP(A1227,MasterTutor!A:E,2,FALSE)</f>
        <v>#N/A</v>
      </c>
      <c r="E1227" t="s">
        <v>368</v>
      </c>
      <c r="F1227" s="2">
        <v>0.79</v>
      </c>
      <c r="G1227" s="2">
        <v>1.35</v>
      </c>
      <c r="H1227" s="2">
        <v>0.96</v>
      </c>
      <c r="I1227" s="2">
        <v>0.89</v>
      </c>
      <c r="J1227" s="2">
        <v>1</v>
      </c>
      <c r="K1227">
        <v>1</v>
      </c>
    </row>
    <row r="1228" spans="1:13" x14ac:dyDescent="0.2">
      <c r="A1228" t="s">
        <v>196</v>
      </c>
      <c r="B1228" t="str">
        <f>VLOOKUP(A1228,MasterTutor!A:E,4,FALSE)</f>
        <v>Advanced</v>
      </c>
      <c r="C1228" t="str">
        <f>VLOOKUP(A1228,MasterTutor!A:E,3,FALSE)</f>
        <v>Adjunct</v>
      </c>
      <c r="D1228" t="str">
        <f>VLOOKUP(A1228,MasterTutor!A:E,2,FALSE)</f>
        <v>Kristin Haase-Alvey</v>
      </c>
      <c r="E1228" t="s">
        <v>368</v>
      </c>
      <c r="F1228" s="2">
        <v>0.35</v>
      </c>
      <c r="G1228" s="2">
        <v>0.82</v>
      </c>
      <c r="H1228" s="2">
        <v>0.97</v>
      </c>
      <c r="I1228" s="2">
        <v>0.54</v>
      </c>
      <c r="J1228" s="2">
        <v>0.75</v>
      </c>
      <c r="K1228">
        <v>5</v>
      </c>
      <c r="L1228" s="19">
        <v>1</v>
      </c>
      <c r="M1228" s="21">
        <f>L1228</f>
        <v>1</v>
      </c>
    </row>
    <row r="1229" spans="1:13" x14ac:dyDescent="0.2">
      <c r="A1229" t="s">
        <v>197</v>
      </c>
      <c r="B1229" t="str">
        <f>VLOOKUP(A1229,MasterTutor!A:E,4,FALSE)</f>
        <v>Premium</v>
      </c>
      <c r="C1229" t="str">
        <f>VLOOKUP(A1229,MasterTutor!A:E,3,FALSE)</f>
        <v>Professional</v>
      </c>
      <c r="D1229" t="str">
        <f>VLOOKUP(A1229,MasterTutor!A:E,2,FALSE)</f>
        <v>Jessica Milner</v>
      </c>
      <c r="E1229" t="s">
        <v>368</v>
      </c>
      <c r="F1229" s="2">
        <v>0.61</v>
      </c>
      <c r="G1229" s="2">
        <v>1.5</v>
      </c>
      <c r="H1229" s="2">
        <v>1</v>
      </c>
      <c r="I1229" s="2">
        <v>1</v>
      </c>
      <c r="J1229" s="2">
        <v>0.86</v>
      </c>
      <c r="K1229">
        <v>4</v>
      </c>
      <c r="L1229" s="19">
        <v>1</v>
      </c>
      <c r="M1229" s="21">
        <f>L1229</f>
        <v>1</v>
      </c>
    </row>
    <row r="1230" spans="1:13" x14ac:dyDescent="0.2">
      <c r="A1230" t="s">
        <v>319</v>
      </c>
      <c r="B1230" t="str">
        <f>VLOOKUP(A1230,MasterTutor!A:E,4,FALSE)</f>
        <v>Advanced</v>
      </c>
      <c r="C1230" t="str">
        <f>VLOOKUP(A1230,MasterTutor!A:E,3,FALSE)</f>
        <v>Adjunct</v>
      </c>
      <c r="D1230" t="str">
        <f>VLOOKUP(A1230,MasterTutor!A:E,2,FALSE)</f>
        <v>Ela Cross</v>
      </c>
      <c r="E1230" t="s">
        <v>368</v>
      </c>
      <c r="F1230" s="2">
        <v>0.48</v>
      </c>
      <c r="G1230" s="2">
        <v>0.97</v>
      </c>
      <c r="H1230" s="2">
        <v>0.88</v>
      </c>
      <c r="I1230" s="2">
        <v>0.89</v>
      </c>
      <c r="J1230" s="2">
        <v>0.5</v>
      </c>
      <c r="K1230">
        <v>3</v>
      </c>
      <c r="L1230" s="19" t="s">
        <v>331</v>
      </c>
      <c r="M1230" s="21">
        <v>0.5</v>
      </c>
    </row>
    <row r="1231" spans="1:13" x14ac:dyDescent="0.2">
      <c r="A1231" t="s">
        <v>198</v>
      </c>
      <c r="B1231" t="str">
        <f>VLOOKUP(A1231,MasterTutor!A:E,4,FALSE)</f>
        <v>Distinguished</v>
      </c>
      <c r="C1231" t="str">
        <f>VLOOKUP(A1231,MasterTutor!A:E,3,FALSE)</f>
        <v>Adjunct</v>
      </c>
      <c r="D1231" t="str">
        <f>VLOOKUP(A1231,MasterTutor!A:E,2,FALSE)</f>
        <v>Ian Plamondon</v>
      </c>
      <c r="E1231" t="s">
        <v>368</v>
      </c>
      <c r="F1231" s="2">
        <v>0.69</v>
      </c>
      <c r="G1231" s="2">
        <v>1.43</v>
      </c>
      <c r="H1231" s="2">
        <v>1</v>
      </c>
      <c r="I1231" s="2">
        <v>0.85</v>
      </c>
      <c r="J1231" s="2">
        <v>1</v>
      </c>
      <c r="K1231" t="e">
        <v>#N/A</v>
      </c>
      <c r="L1231" s="19">
        <v>1</v>
      </c>
      <c r="M1231" s="21">
        <f>L1231</f>
        <v>1</v>
      </c>
    </row>
    <row r="1232" spans="1:13" x14ac:dyDescent="0.2">
      <c r="A1232" t="s">
        <v>200</v>
      </c>
      <c r="B1232" t="e">
        <f>VLOOKUP(A1232,MasterTutor!A:E,4,FALSE)</f>
        <v>#N/A</v>
      </c>
      <c r="C1232" t="e">
        <f>VLOOKUP(A1232,MasterTutor!A:E,3,FALSE)</f>
        <v>#N/A</v>
      </c>
      <c r="D1232" t="e">
        <f>VLOOKUP(A1232,MasterTutor!A:E,2,FALSE)</f>
        <v>#N/A</v>
      </c>
      <c r="E1232" t="s">
        <v>368</v>
      </c>
      <c r="F1232" s="2">
        <v>0.57999999999999996</v>
      </c>
      <c r="G1232" s="2">
        <v>0.55000000000000004</v>
      </c>
      <c r="H1232" s="2">
        <v>0.96</v>
      </c>
      <c r="I1232" s="2">
        <v>1</v>
      </c>
      <c r="J1232" s="2" t="e">
        <v>#N/A</v>
      </c>
      <c r="K1232">
        <v>1</v>
      </c>
    </row>
    <row r="1233" spans="1:13" x14ac:dyDescent="0.2">
      <c r="A1233" t="s">
        <v>201</v>
      </c>
      <c r="B1233" t="str">
        <f>VLOOKUP(A1233,MasterTutor!A:E,4,FALSE)</f>
        <v>Distinguished</v>
      </c>
      <c r="C1233" t="str">
        <f>VLOOKUP(A1233,MasterTutor!A:E,3,FALSE)</f>
        <v>Professional</v>
      </c>
      <c r="D1233" t="str">
        <f>VLOOKUP(A1233,MasterTutor!A:E,2,FALSE)</f>
        <v>Ian Plamondon</v>
      </c>
      <c r="E1233" t="s">
        <v>368</v>
      </c>
      <c r="F1233" s="2">
        <v>0.63</v>
      </c>
      <c r="G1233" s="2">
        <v>1.05</v>
      </c>
      <c r="H1233" s="2">
        <v>1</v>
      </c>
      <c r="I1233" s="2">
        <v>1</v>
      </c>
      <c r="J1233" s="2">
        <v>0.67</v>
      </c>
      <c r="K1233">
        <v>3</v>
      </c>
    </row>
    <row r="1234" spans="1:13" x14ac:dyDescent="0.2">
      <c r="A1234" t="s">
        <v>320</v>
      </c>
      <c r="B1234" t="str">
        <f>VLOOKUP(A1234,MasterTutor!A:E,4,FALSE)</f>
        <v>Advanced</v>
      </c>
      <c r="C1234" t="str">
        <f>VLOOKUP(A1234,MasterTutor!A:E,3,FALSE)</f>
        <v>Professional</v>
      </c>
      <c r="D1234" t="str">
        <f>VLOOKUP(A1234,MasterTutor!A:E,2,FALSE)</f>
        <v>Kristin Haase-Alvey</v>
      </c>
      <c r="E1234" t="s">
        <v>368</v>
      </c>
      <c r="F1234" s="2">
        <v>0</v>
      </c>
      <c r="G1234" s="2">
        <v>0.34</v>
      </c>
      <c r="H1234" s="2">
        <v>0</v>
      </c>
      <c r="I1234" s="2">
        <v>0</v>
      </c>
      <c r="J1234" s="2">
        <v>1</v>
      </c>
      <c r="K1234" t="e">
        <v>#N/A</v>
      </c>
    </row>
    <row r="1235" spans="1:13" x14ac:dyDescent="0.2">
      <c r="A1235" t="s">
        <v>202</v>
      </c>
      <c r="B1235" t="str">
        <f>VLOOKUP(A1235,MasterTutor!A:E,4,FALSE)</f>
        <v>Advanced</v>
      </c>
      <c r="C1235" t="str">
        <f>VLOOKUP(A1235,MasterTutor!A:E,3,FALSE)</f>
        <v>Professional</v>
      </c>
      <c r="D1235" t="str">
        <f>VLOOKUP(A1235,MasterTutor!A:E,2,FALSE)</f>
        <v>Annelies de Groot</v>
      </c>
      <c r="E1235" t="s">
        <v>368</v>
      </c>
      <c r="F1235" s="2">
        <v>1.07</v>
      </c>
      <c r="G1235" s="2">
        <v>1.29</v>
      </c>
      <c r="H1235" s="2">
        <v>0.94</v>
      </c>
      <c r="I1235" s="2">
        <v>0.74</v>
      </c>
      <c r="J1235" s="2">
        <v>0.82</v>
      </c>
      <c r="K1235">
        <v>2</v>
      </c>
      <c r="L1235" s="19">
        <v>1</v>
      </c>
      <c r="M1235" s="21">
        <f>L1235</f>
        <v>1</v>
      </c>
    </row>
    <row r="1236" spans="1:13" x14ac:dyDescent="0.2">
      <c r="A1236" t="s">
        <v>203</v>
      </c>
      <c r="B1236" t="str">
        <f>VLOOKUP(A1236,MasterTutor!A:E,4,FALSE)</f>
        <v>Premium</v>
      </c>
      <c r="C1236" t="str">
        <f>VLOOKUP(A1236,MasterTutor!A:E,3,FALSE)</f>
        <v>Professional</v>
      </c>
      <c r="D1236" t="str">
        <f>VLOOKUP(A1236,MasterTutor!A:E,2,FALSE)</f>
        <v>Ian Plamondon</v>
      </c>
      <c r="E1236" t="s">
        <v>368</v>
      </c>
      <c r="F1236" s="2">
        <v>0.67</v>
      </c>
      <c r="G1236" s="2">
        <v>0.98</v>
      </c>
      <c r="H1236" s="2">
        <v>1</v>
      </c>
      <c r="I1236" s="2">
        <v>0.98</v>
      </c>
      <c r="J1236" s="2">
        <v>0.89</v>
      </c>
      <c r="K1236">
        <v>2</v>
      </c>
      <c r="L1236" s="19">
        <v>1</v>
      </c>
      <c r="M1236" s="21">
        <f>L1236</f>
        <v>1</v>
      </c>
    </row>
    <row r="1237" spans="1:13" x14ac:dyDescent="0.2">
      <c r="A1237" t="s">
        <v>204</v>
      </c>
      <c r="B1237" t="str">
        <f>VLOOKUP(A1237,MasterTutor!A:E,4,FALSE)</f>
        <v>Advanced</v>
      </c>
      <c r="C1237" t="str">
        <f>VLOOKUP(A1237,MasterTutor!A:E,3,FALSE)</f>
        <v>Professional</v>
      </c>
      <c r="D1237" t="str">
        <f>VLOOKUP(A1237,MasterTutor!A:E,2,FALSE)</f>
        <v>Ela Cross</v>
      </c>
      <c r="E1237" t="s">
        <v>368</v>
      </c>
      <c r="F1237" s="2">
        <v>1.08</v>
      </c>
      <c r="G1237" s="2">
        <v>1.61</v>
      </c>
      <c r="H1237" s="2">
        <v>0.99</v>
      </c>
      <c r="I1237" s="2">
        <v>0.64</v>
      </c>
      <c r="J1237" s="2">
        <v>0.42</v>
      </c>
      <c r="K1237">
        <v>1</v>
      </c>
      <c r="L1237" s="19">
        <v>0</v>
      </c>
      <c r="M1237" s="21">
        <f>L1237</f>
        <v>0</v>
      </c>
    </row>
    <row r="1238" spans="1:13" x14ac:dyDescent="0.2">
      <c r="A1238" t="s">
        <v>206</v>
      </c>
      <c r="B1238" t="e">
        <f>VLOOKUP(A1238,MasterTutor!A:E,4,FALSE)</f>
        <v>#N/A</v>
      </c>
      <c r="C1238" t="e">
        <f>VLOOKUP(A1238,MasterTutor!A:E,3,FALSE)</f>
        <v>#N/A</v>
      </c>
      <c r="D1238" t="e">
        <f>VLOOKUP(A1238,MasterTutor!A:E,2,FALSE)</f>
        <v>#N/A</v>
      </c>
      <c r="E1238" t="s">
        <v>368</v>
      </c>
      <c r="F1238" s="2">
        <v>0.5</v>
      </c>
      <c r="G1238" s="2">
        <v>0.88</v>
      </c>
      <c r="H1238" s="2">
        <v>1</v>
      </c>
      <c r="I1238" s="2">
        <v>0.96</v>
      </c>
      <c r="J1238" s="2">
        <v>0.86</v>
      </c>
      <c r="K1238">
        <v>2</v>
      </c>
      <c r="L1238" s="19">
        <v>0</v>
      </c>
      <c r="M1238" s="21">
        <f>L1238</f>
        <v>0</v>
      </c>
    </row>
    <row r="1239" spans="1:13" x14ac:dyDescent="0.2">
      <c r="A1239" t="s">
        <v>207</v>
      </c>
      <c r="B1239" t="str">
        <f>VLOOKUP(A1239,MasterTutor!A:E,4,FALSE)</f>
        <v>Advanced</v>
      </c>
      <c r="C1239" t="str">
        <f>VLOOKUP(A1239,MasterTutor!A:E,3,FALSE)</f>
        <v>Adjunct</v>
      </c>
      <c r="D1239" t="str">
        <f>VLOOKUP(A1239,MasterTutor!A:E,2,FALSE)</f>
        <v>Ela Cross</v>
      </c>
      <c r="E1239" t="s">
        <v>368</v>
      </c>
      <c r="F1239" s="2">
        <v>0.85</v>
      </c>
      <c r="G1239" s="2">
        <v>1.1499999999999999</v>
      </c>
      <c r="H1239" s="2">
        <v>0.98</v>
      </c>
      <c r="I1239" s="2">
        <v>0.88</v>
      </c>
      <c r="J1239" s="2">
        <v>0.72</v>
      </c>
      <c r="K1239">
        <v>3</v>
      </c>
      <c r="L1239" s="19">
        <v>1</v>
      </c>
      <c r="M1239" s="21">
        <f>L1239</f>
        <v>1</v>
      </c>
    </row>
    <row r="1240" spans="1:13" x14ac:dyDescent="0.2">
      <c r="A1240" t="s">
        <v>325</v>
      </c>
      <c r="B1240" t="str">
        <f>VLOOKUP(A1240,MasterTutor!A:E,4,FALSE)</f>
        <v>Advanced</v>
      </c>
      <c r="C1240" t="str">
        <f>VLOOKUP(A1240,MasterTutor!A:E,3,FALSE)</f>
        <v>Professional</v>
      </c>
      <c r="D1240" t="str">
        <f>VLOOKUP(A1240,MasterTutor!A:E,2,FALSE)</f>
        <v>Ela Cross</v>
      </c>
      <c r="E1240" t="s">
        <v>368</v>
      </c>
      <c r="F1240" s="2">
        <v>0.63</v>
      </c>
      <c r="G1240" s="2">
        <v>0.97</v>
      </c>
      <c r="H1240" s="2">
        <v>0.99</v>
      </c>
      <c r="I1240" s="2">
        <v>0.74</v>
      </c>
      <c r="J1240" s="2">
        <v>0.86</v>
      </c>
      <c r="K1240">
        <v>2</v>
      </c>
      <c r="L1240" s="19" t="s">
        <v>350</v>
      </c>
      <c r="M1240" s="21">
        <v>0.28999999999999998</v>
      </c>
    </row>
    <row r="1241" spans="1:13" x14ac:dyDescent="0.2">
      <c r="A1241" t="s">
        <v>208</v>
      </c>
      <c r="B1241" t="str">
        <f>VLOOKUP(A1241,MasterTutor!A:E,4,FALSE)</f>
        <v>Distinguished</v>
      </c>
      <c r="C1241" t="str">
        <f>VLOOKUP(A1241,MasterTutor!A:E,3,FALSE)</f>
        <v>Adjunct</v>
      </c>
      <c r="D1241" t="str">
        <f>VLOOKUP(A1241,MasterTutor!A:E,2,FALSE)</f>
        <v>Annelies de Groot</v>
      </c>
      <c r="E1241" t="s">
        <v>368</v>
      </c>
      <c r="F1241" s="2">
        <v>0.7</v>
      </c>
      <c r="G1241" s="2">
        <v>1.17</v>
      </c>
      <c r="H1241" s="2">
        <v>0.98</v>
      </c>
      <c r="I1241" s="2">
        <v>0.74</v>
      </c>
      <c r="J1241" s="2">
        <v>1</v>
      </c>
      <c r="K1241">
        <v>2</v>
      </c>
    </row>
    <row r="1242" spans="1:13" x14ac:dyDescent="0.2">
      <c r="A1242" t="s">
        <v>209</v>
      </c>
      <c r="B1242" t="str">
        <f>VLOOKUP(A1242,MasterTutor!A:E,4,FALSE)</f>
        <v>Premium</v>
      </c>
      <c r="C1242" t="str">
        <f>VLOOKUP(A1242,MasterTutor!A:E,3,FALSE)</f>
        <v>Professional</v>
      </c>
      <c r="D1242" t="str">
        <f>VLOOKUP(A1242,MasterTutor!A:E,2,FALSE)</f>
        <v>Jessica Milner</v>
      </c>
      <c r="E1242" t="s">
        <v>368</v>
      </c>
      <c r="F1242" s="2">
        <v>0.94</v>
      </c>
      <c r="G1242" s="2">
        <v>1.08</v>
      </c>
      <c r="H1242" s="2">
        <v>0.99</v>
      </c>
      <c r="I1242" s="2">
        <v>0.99</v>
      </c>
      <c r="J1242" s="2">
        <v>0.93</v>
      </c>
      <c r="K1242">
        <v>4</v>
      </c>
      <c r="L1242" s="19" t="s">
        <v>347</v>
      </c>
      <c r="M1242" s="21">
        <v>0.56999999999999995</v>
      </c>
    </row>
    <row r="1243" spans="1:13" x14ac:dyDescent="0.2">
      <c r="A1243" t="s">
        <v>210</v>
      </c>
      <c r="B1243" t="str">
        <f>VLOOKUP(A1243,MasterTutor!A:E,4,FALSE)</f>
        <v>Advanced</v>
      </c>
      <c r="C1243" t="str">
        <f>VLOOKUP(A1243,MasterTutor!A:E,3,FALSE)</f>
        <v>Professional</v>
      </c>
      <c r="D1243" t="str">
        <f>VLOOKUP(A1243,MasterTutor!A:E,2,FALSE)</f>
        <v>Kristin Haase-Alvey</v>
      </c>
      <c r="E1243" t="s">
        <v>368</v>
      </c>
      <c r="F1243" s="2">
        <v>0.79</v>
      </c>
      <c r="G1243" s="2">
        <v>1.04</v>
      </c>
      <c r="H1243" s="2">
        <v>0.97</v>
      </c>
      <c r="I1243" s="2">
        <v>0.85</v>
      </c>
      <c r="J1243" s="2">
        <v>0.56999999999999995</v>
      </c>
      <c r="K1243">
        <v>6</v>
      </c>
      <c r="L1243" s="19">
        <v>0</v>
      </c>
      <c r="M1243" s="21">
        <f>L1243</f>
        <v>0</v>
      </c>
    </row>
    <row r="1244" spans="1:13" x14ac:dyDescent="0.2">
      <c r="A1244" t="s">
        <v>211</v>
      </c>
      <c r="B1244" t="str">
        <f>VLOOKUP(A1244,MasterTutor!A:E,4,FALSE)</f>
        <v>Advanced</v>
      </c>
      <c r="C1244" t="str">
        <f>VLOOKUP(A1244,MasterTutor!A:E,3,FALSE)</f>
        <v>Professional</v>
      </c>
      <c r="D1244" t="str">
        <f>VLOOKUP(A1244,MasterTutor!A:E,2,FALSE)</f>
        <v>Kristin Haase-Alvey</v>
      </c>
      <c r="E1244" t="s">
        <v>368</v>
      </c>
      <c r="F1244" s="2">
        <v>0.99</v>
      </c>
      <c r="G1244" s="2">
        <v>1.19</v>
      </c>
      <c r="H1244" s="2">
        <v>1</v>
      </c>
      <c r="I1244" s="2">
        <v>0.98</v>
      </c>
      <c r="J1244" s="2">
        <v>0.81</v>
      </c>
      <c r="K1244">
        <v>4</v>
      </c>
      <c r="L1244" s="19">
        <v>1</v>
      </c>
      <c r="M1244" s="21">
        <f>L1244</f>
        <v>1</v>
      </c>
    </row>
    <row r="1245" spans="1:13" x14ac:dyDescent="0.2">
      <c r="A1245" t="s">
        <v>12</v>
      </c>
      <c r="B1245" t="str">
        <f>VLOOKUP(A1245,MasterTutor!A:E,4,FALSE)</f>
        <v>Advanced</v>
      </c>
      <c r="C1245" t="str">
        <f>VLOOKUP(A1245,MasterTutor!A:E,3,FALSE)</f>
        <v>Adjunct</v>
      </c>
      <c r="D1245" t="str">
        <f>VLOOKUP(A1245,MasterTutor!A:E,2,FALSE)</f>
        <v>Ian Plamondon</v>
      </c>
      <c r="E1245" t="s">
        <v>372</v>
      </c>
      <c r="F1245" s="2">
        <v>0.5</v>
      </c>
      <c r="G1245" s="2">
        <v>0.81</v>
      </c>
      <c r="H1245" s="2">
        <v>1</v>
      </c>
      <c r="I1245" s="2">
        <v>0.93</v>
      </c>
      <c r="J1245" s="2">
        <v>0.7</v>
      </c>
      <c r="K1245">
        <v>2</v>
      </c>
      <c r="L1245" s="19" t="s">
        <v>330</v>
      </c>
      <c r="M1245" s="21">
        <v>0.67</v>
      </c>
    </row>
    <row r="1246" spans="1:13" x14ac:dyDescent="0.2">
      <c r="A1246" t="s">
        <v>15</v>
      </c>
      <c r="B1246" t="str">
        <f>VLOOKUP(A1246,MasterTutor!A:E,4,FALSE)</f>
        <v>Advanced</v>
      </c>
      <c r="C1246" t="str">
        <f>VLOOKUP(A1246,MasterTutor!A:E,3,FALSE)</f>
        <v>Professional</v>
      </c>
      <c r="D1246" t="str">
        <f>VLOOKUP(A1246,MasterTutor!A:E,2,FALSE)</f>
        <v>Ian Plamondon</v>
      </c>
      <c r="E1246" t="s">
        <v>372</v>
      </c>
      <c r="F1246" s="2">
        <v>0.62</v>
      </c>
      <c r="G1246" s="2">
        <v>0.92</v>
      </c>
      <c r="H1246" s="2">
        <v>1</v>
      </c>
      <c r="I1246" s="2">
        <v>0.77</v>
      </c>
      <c r="J1246" s="2">
        <v>0.64</v>
      </c>
      <c r="K1246">
        <v>2</v>
      </c>
      <c r="L1246" s="19">
        <v>0</v>
      </c>
      <c r="M1246" s="21">
        <f>L1246</f>
        <v>0</v>
      </c>
    </row>
    <row r="1247" spans="1:13" x14ac:dyDescent="0.2">
      <c r="A1247" t="s">
        <v>16</v>
      </c>
      <c r="B1247" t="str">
        <f>VLOOKUP(A1247,MasterTutor!A:E,4,FALSE)</f>
        <v>Premium</v>
      </c>
      <c r="C1247" t="str">
        <f>VLOOKUP(A1247,MasterTutor!A:E,3,FALSE)</f>
        <v>Adjunct</v>
      </c>
      <c r="D1247" t="str">
        <f>VLOOKUP(A1247,MasterTutor!A:E,2,FALSE)</f>
        <v>Ela Cross</v>
      </c>
      <c r="E1247" t="s">
        <v>372</v>
      </c>
      <c r="F1247" s="2">
        <v>0</v>
      </c>
      <c r="G1247" s="2">
        <v>0.79</v>
      </c>
      <c r="H1247" s="2">
        <v>0</v>
      </c>
      <c r="I1247" s="2">
        <v>0</v>
      </c>
      <c r="J1247" s="2">
        <v>0</v>
      </c>
      <c r="K1247" t="e">
        <v>#N/A</v>
      </c>
      <c r="M1247" s="21"/>
    </row>
    <row r="1248" spans="1:13" x14ac:dyDescent="0.2">
      <c r="A1248" t="s">
        <v>17</v>
      </c>
      <c r="B1248" t="str">
        <f>VLOOKUP(A1248,MasterTutor!A:E,4,FALSE)</f>
        <v>Premium</v>
      </c>
      <c r="C1248" t="str">
        <f>VLOOKUP(A1248,MasterTutor!A:E,3,FALSE)</f>
        <v>Professional</v>
      </c>
      <c r="D1248" t="str">
        <f>VLOOKUP(A1248,MasterTutor!A:E,2,FALSE)</f>
        <v>Ian Plamondon</v>
      </c>
      <c r="E1248" t="s">
        <v>372</v>
      </c>
      <c r="F1248" s="2">
        <v>0.52</v>
      </c>
      <c r="G1248" s="2">
        <v>1.83</v>
      </c>
      <c r="H1248" s="2">
        <v>0.99</v>
      </c>
      <c r="I1248" s="2">
        <v>1</v>
      </c>
      <c r="J1248" s="2">
        <v>0.77</v>
      </c>
      <c r="K1248">
        <v>2</v>
      </c>
      <c r="L1248" s="19">
        <v>1</v>
      </c>
      <c r="M1248" s="21">
        <f>L1248</f>
        <v>1</v>
      </c>
    </row>
    <row r="1249" spans="1:13" x14ac:dyDescent="0.2">
      <c r="A1249" t="s">
        <v>217</v>
      </c>
      <c r="B1249" t="str">
        <f>VLOOKUP(A1249,MasterTutor!A:E,4,FALSE)</f>
        <v>Advanced</v>
      </c>
      <c r="C1249" t="str">
        <f>VLOOKUP(A1249,MasterTutor!A:E,3,FALSE)</f>
        <v>Adjunct</v>
      </c>
      <c r="D1249" t="str">
        <f>VLOOKUP(A1249,MasterTutor!A:E,2,FALSE)</f>
        <v>Kristin Haase-Alvey</v>
      </c>
      <c r="E1249" t="s">
        <v>372</v>
      </c>
      <c r="F1249" s="2">
        <v>0.02</v>
      </c>
      <c r="G1249" s="2">
        <v>0.63</v>
      </c>
      <c r="H1249" s="2">
        <v>1</v>
      </c>
      <c r="I1249" s="2">
        <v>1</v>
      </c>
      <c r="J1249" s="2">
        <v>1</v>
      </c>
      <c r="K1249" t="e">
        <v>#N/A</v>
      </c>
      <c r="M1249" s="21"/>
    </row>
    <row r="1250" spans="1:13" x14ac:dyDescent="0.2">
      <c r="A1250" t="s">
        <v>18</v>
      </c>
      <c r="B1250" t="str">
        <f>VLOOKUP(A1250,MasterTutor!A:E,4,FALSE)</f>
        <v>Distinguished</v>
      </c>
      <c r="C1250" t="str">
        <f>VLOOKUP(A1250,MasterTutor!A:E,3,FALSE)</f>
        <v>Professional</v>
      </c>
      <c r="D1250" t="str">
        <f>VLOOKUP(A1250,MasterTutor!A:E,2,FALSE)</f>
        <v>Ian Plamondon</v>
      </c>
      <c r="E1250" t="s">
        <v>372</v>
      </c>
      <c r="F1250" s="2">
        <v>0.47</v>
      </c>
      <c r="G1250" s="2">
        <v>0.93</v>
      </c>
      <c r="H1250" s="2">
        <v>1</v>
      </c>
      <c r="I1250" s="2">
        <v>0.81</v>
      </c>
      <c r="J1250" s="2">
        <v>0.5</v>
      </c>
      <c r="K1250">
        <v>2</v>
      </c>
      <c r="L1250" s="19">
        <v>1</v>
      </c>
      <c r="M1250" s="21">
        <f>L1250</f>
        <v>1</v>
      </c>
    </row>
    <row r="1251" spans="1:13" x14ac:dyDescent="0.2">
      <c r="A1251" t="s">
        <v>19</v>
      </c>
      <c r="B1251" t="str">
        <f>VLOOKUP(A1251,MasterTutor!A:E,4,FALSE)</f>
        <v>Premium</v>
      </c>
      <c r="C1251" t="str">
        <f>VLOOKUP(A1251,MasterTutor!A:E,3,FALSE)</f>
        <v>Adjunct</v>
      </c>
      <c r="D1251" t="str">
        <f>VLOOKUP(A1251,MasterTutor!A:E,2,FALSE)</f>
        <v>Geoff St. Marie</v>
      </c>
      <c r="E1251" t="s">
        <v>372</v>
      </c>
      <c r="F1251" s="2">
        <v>1.1499999999999999</v>
      </c>
      <c r="G1251" s="2">
        <v>0.99</v>
      </c>
      <c r="H1251" s="2">
        <v>0.9</v>
      </c>
      <c r="I1251" s="2">
        <v>0.93</v>
      </c>
      <c r="J1251" s="2">
        <v>0.82</v>
      </c>
      <c r="K1251">
        <v>1</v>
      </c>
      <c r="L1251" s="19">
        <v>1</v>
      </c>
      <c r="M1251" s="21">
        <f>L1251</f>
        <v>1</v>
      </c>
    </row>
    <row r="1252" spans="1:13" x14ac:dyDescent="0.2">
      <c r="A1252" t="s">
        <v>20</v>
      </c>
      <c r="B1252" t="e">
        <f>VLOOKUP(A1252,MasterTutor!A:E,4,FALSE)</f>
        <v>#N/A</v>
      </c>
      <c r="C1252" t="e">
        <f>VLOOKUP(A1252,MasterTutor!A:E,3,FALSE)</f>
        <v>#N/A</v>
      </c>
      <c r="D1252" t="e">
        <f>VLOOKUP(A1252,MasterTutor!A:E,2,FALSE)</f>
        <v>#N/A</v>
      </c>
      <c r="E1252" t="s">
        <v>372</v>
      </c>
      <c r="F1252" s="2">
        <v>0.66</v>
      </c>
      <c r="G1252" s="2">
        <v>0.94</v>
      </c>
      <c r="H1252" s="2">
        <v>1</v>
      </c>
      <c r="I1252" s="2">
        <v>0.96</v>
      </c>
      <c r="J1252" s="2">
        <v>0.85</v>
      </c>
      <c r="K1252">
        <v>1</v>
      </c>
      <c r="L1252" s="19">
        <v>1</v>
      </c>
      <c r="M1252" s="21">
        <f>L1252</f>
        <v>1</v>
      </c>
    </row>
    <row r="1253" spans="1:13" x14ac:dyDescent="0.2">
      <c r="A1253" t="s">
        <v>21</v>
      </c>
      <c r="B1253" t="str">
        <f>VLOOKUP(A1253,MasterTutor!A:E,4,FALSE)</f>
        <v>Distinguished</v>
      </c>
      <c r="C1253" t="str">
        <f>VLOOKUP(A1253,MasterTutor!A:E,3,FALSE)</f>
        <v>Adjunct</v>
      </c>
      <c r="D1253" t="str">
        <f>VLOOKUP(A1253,MasterTutor!A:E,2,FALSE)</f>
        <v>Kristin Haase-Alvey</v>
      </c>
      <c r="E1253" t="s">
        <v>372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t="e">
        <v>#N/A</v>
      </c>
      <c r="M1253" s="21"/>
    </row>
    <row r="1254" spans="1:13" x14ac:dyDescent="0.2">
      <c r="A1254" t="s">
        <v>22</v>
      </c>
      <c r="B1254" t="str">
        <f>VLOOKUP(A1254,MasterTutor!A:E,4,FALSE)</f>
        <v>Advanced</v>
      </c>
      <c r="C1254" t="str">
        <f>VLOOKUP(A1254,MasterTutor!A:E,3,FALSE)</f>
        <v>Professional</v>
      </c>
      <c r="D1254" t="str">
        <f>VLOOKUP(A1254,MasterTutor!A:E,2,FALSE)</f>
        <v>Annelies de Groot</v>
      </c>
      <c r="E1254" t="s">
        <v>372</v>
      </c>
      <c r="F1254" s="2">
        <v>0.64</v>
      </c>
      <c r="G1254" s="2">
        <v>1.1100000000000001</v>
      </c>
      <c r="H1254" s="2">
        <v>0.5</v>
      </c>
      <c r="I1254" s="2">
        <v>0.88</v>
      </c>
      <c r="J1254" s="2">
        <v>0.95</v>
      </c>
      <c r="K1254">
        <v>1</v>
      </c>
      <c r="L1254" s="19">
        <v>1</v>
      </c>
      <c r="M1254" s="21">
        <f>L1254</f>
        <v>1</v>
      </c>
    </row>
    <row r="1255" spans="1:13" x14ac:dyDescent="0.2">
      <c r="A1255" t="s">
        <v>23</v>
      </c>
      <c r="B1255" t="str">
        <f>VLOOKUP(A1255,MasterTutor!A:E,4,FALSE)</f>
        <v>Premium</v>
      </c>
      <c r="C1255" t="str">
        <f>VLOOKUP(A1255,MasterTutor!A:E,3,FALSE)</f>
        <v>Professional</v>
      </c>
      <c r="D1255" t="str">
        <f>VLOOKUP(A1255,MasterTutor!A:E,2,FALSE)</f>
        <v>Jessica Milner</v>
      </c>
      <c r="E1255" t="s">
        <v>372</v>
      </c>
      <c r="F1255" s="2">
        <v>0.56000000000000005</v>
      </c>
      <c r="G1255" s="2">
        <v>1.4</v>
      </c>
      <c r="H1255" s="2">
        <v>1</v>
      </c>
      <c r="I1255" s="2">
        <v>0.92</v>
      </c>
      <c r="J1255" s="2">
        <v>0.43</v>
      </c>
      <c r="K1255">
        <v>2</v>
      </c>
      <c r="L1255" s="19">
        <v>0</v>
      </c>
      <c r="M1255" s="21">
        <f>L1255</f>
        <v>0</v>
      </c>
    </row>
    <row r="1256" spans="1:13" x14ac:dyDescent="0.2">
      <c r="A1256" t="s">
        <v>24</v>
      </c>
      <c r="B1256" t="str">
        <f>VLOOKUP(A1256,MasterTutor!A:E,4,FALSE)</f>
        <v>Distinguished</v>
      </c>
      <c r="C1256" t="str">
        <f>VLOOKUP(A1256,MasterTutor!A:E,3,FALSE)</f>
        <v>Professional</v>
      </c>
      <c r="D1256" t="str">
        <f>VLOOKUP(A1256,MasterTutor!A:E,2,FALSE)</f>
        <v>Kristin Haase-Alvey</v>
      </c>
      <c r="E1256" t="s">
        <v>372</v>
      </c>
      <c r="F1256" s="2">
        <v>0.74</v>
      </c>
      <c r="G1256" s="2">
        <v>1.03</v>
      </c>
      <c r="H1256" s="2">
        <v>0.96</v>
      </c>
      <c r="I1256" s="2">
        <v>0.98</v>
      </c>
      <c r="J1256" s="2">
        <v>0.83</v>
      </c>
      <c r="K1256">
        <v>7</v>
      </c>
      <c r="L1256" s="19">
        <v>1</v>
      </c>
      <c r="M1256" s="21">
        <f>L1256</f>
        <v>1</v>
      </c>
    </row>
    <row r="1257" spans="1:13" x14ac:dyDescent="0.2">
      <c r="A1257" t="s">
        <v>26</v>
      </c>
      <c r="B1257" t="str">
        <f>VLOOKUP(A1257,MasterTutor!A:E,4,FALSE)</f>
        <v>Distinguished</v>
      </c>
      <c r="C1257" t="str">
        <f>VLOOKUP(A1257,MasterTutor!A:E,3,FALSE)</f>
        <v>Professional</v>
      </c>
      <c r="D1257" t="str">
        <f>VLOOKUP(A1257,MasterTutor!A:E,2,FALSE)</f>
        <v>Ian Plamondon</v>
      </c>
      <c r="E1257" t="s">
        <v>372</v>
      </c>
      <c r="F1257" s="2">
        <v>0.7</v>
      </c>
      <c r="G1257" s="2">
        <v>1.38</v>
      </c>
      <c r="H1257" s="2">
        <v>1</v>
      </c>
      <c r="I1257" s="2">
        <v>1</v>
      </c>
      <c r="J1257" s="2">
        <v>0.5</v>
      </c>
      <c r="K1257" t="e">
        <v>#N/A</v>
      </c>
      <c r="L1257" s="19">
        <v>1</v>
      </c>
      <c r="M1257" s="21">
        <f>L1257</f>
        <v>1</v>
      </c>
    </row>
    <row r="1258" spans="1:13" x14ac:dyDescent="0.2">
      <c r="A1258" t="s">
        <v>27</v>
      </c>
      <c r="B1258" t="str">
        <f>VLOOKUP(A1258,MasterTutor!A:E,4,FALSE)</f>
        <v>Premium</v>
      </c>
      <c r="C1258" t="str">
        <f>VLOOKUP(A1258,MasterTutor!A:E,3,FALSE)</f>
        <v>Professional</v>
      </c>
      <c r="D1258" t="str">
        <f>VLOOKUP(A1258,MasterTutor!A:E,2,FALSE)</f>
        <v>Jessica Milner</v>
      </c>
      <c r="E1258" t="s">
        <v>372</v>
      </c>
      <c r="F1258" s="2">
        <v>0.26</v>
      </c>
      <c r="G1258" s="2">
        <v>0.85</v>
      </c>
      <c r="H1258" s="2">
        <v>0.95</v>
      </c>
      <c r="I1258" s="2">
        <v>0.94</v>
      </c>
      <c r="J1258" s="2">
        <v>0.67</v>
      </c>
      <c r="K1258">
        <v>2</v>
      </c>
      <c r="L1258" s="19" t="s">
        <v>331</v>
      </c>
      <c r="M1258" s="21">
        <v>0.5</v>
      </c>
    </row>
    <row r="1259" spans="1:13" x14ac:dyDescent="0.2">
      <c r="A1259" t="s">
        <v>28</v>
      </c>
      <c r="B1259" t="e">
        <f>VLOOKUP(A1259,MasterTutor!A:E,4,FALSE)</f>
        <v>#N/A</v>
      </c>
      <c r="C1259" t="e">
        <f>VLOOKUP(A1259,MasterTutor!A:E,3,FALSE)</f>
        <v>#N/A</v>
      </c>
      <c r="D1259" t="e">
        <f>VLOOKUP(A1259,MasterTutor!A:E,2,FALSE)</f>
        <v>#N/A</v>
      </c>
      <c r="E1259" t="s">
        <v>372</v>
      </c>
      <c r="F1259" s="2">
        <v>0.62</v>
      </c>
      <c r="G1259" s="2">
        <v>1.04</v>
      </c>
      <c r="H1259" s="2">
        <v>1</v>
      </c>
      <c r="I1259" s="2">
        <v>1</v>
      </c>
      <c r="J1259" s="2">
        <v>0.77</v>
      </c>
      <c r="K1259">
        <v>2</v>
      </c>
      <c r="L1259" s="19" t="s">
        <v>334</v>
      </c>
      <c r="M1259" s="21">
        <v>0.86</v>
      </c>
    </row>
    <row r="1260" spans="1:13" x14ac:dyDescent="0.2">
      <c r="A1260" t="s">
        <v>29</v>
      </c>
      <c r="B1260" t="str">
        <f>VLOOKUP(A1260,MasterTutor!A:E,4,FALSE)</f>
        <v>Distinguished</v>
      </c>
      <c r="C1260" t="str">
        <f>VLOOKUP(A1260,MasterTutor!A:E,3,FALSE)</f>
        <v>Adjunct</v>
      </c>
      <c r="D1260" t="str">
        <f>VLOOKUP(A1260,MasterTutor!A:E,2,FALSE)</f>
        <v>Kristin Haase-Alvey</v>
      </c>
      <c r="E1260" t="s">
        <v>372</v>
      </c>
      <c r="F1260" s="2">
        <v>0.26</v>
      </c>
      <c r="G1260" s="2">
        <v>0.98</v>
      </c>
      <c r="H1260" s="2">
        <v>1</v>
      </c>
      <c r="I1260" s="2">
        <v>1</v>
      </c>
      <c r="J1260" s="2">
        <v>0.89</v>
      </c>
      <c r="K1260" t="e">
        <v>#N/A</v>
      </c>
      <c r="L1260" s="19">
        <v>1</v>
      </c>
      <c r="M1260" s="21">
        <f>L1260</f>
        <v>1</v>
      </c>
    </row>
    <row r="1261" spans="1:13" x14ac:dyDescent="0.2">
      <c r="A1261" t="s">
        <v>30</v>
      </c>
      <c r="B1261" t="str">
        <f>VLOOKUP(A1261,MasterTutor!A:E,4,FALSE)</f>
        <v>Distinguished</v>
      </c>
      <c r="C1261" t="str">
        <f>VLOOKUP(A1261,MasterTutor!A:E,3,FALSE)</f>
        <v>Professional</v>
      </c>
      <c r="D1261" t="str">
        <f>VLOOKUP(A1261,MasterTutor!A:E,2,FALSE)</f>
        <v>Ian Plamondon</v>
      </c>
      <c r="E1261" t="s">
        <v>372</v>
      </c>
      <c r="F1261" s="2">
        <v>0.59</v>
      </c>
      <c r="G1261" s="2">
        <v>1.68</v>
      </c>
      <c r="H1261" s="2">
        <v>0.99</v>
      </c>
      <c r="I1261" s="2">
        <v>1</v>
      </c>
      <c r="J1261" s="2">
        <v>0.81</v>
      </c>
      <c r="K1261">
        <v>2</v>
      </c>
      <c r="L1261" s="19">
        <v>1</v>
      </c>
      <c r="M1261" s="21">
        <f>L1261</f>
        <v>1</v>
      </c>
    </row>
    <row r="1262" spans="1:13" x14ac:dyDescent="0.2">
      <c r="A1262" t="s">
        <v>31</v>
      </c>
      <c r="B1262" t="str">
        <f>VLOOKUP(A1262,MasterTutor!A:E,4,FALSE)</f>
        <v>Premium</v>
      </c>
      <c r="C1262" t="str">
        <f>VLOOKUP(A1262,MasterTutor!A:E,3,FALSE)</f>
        <v>Adjunct</v>
      </c>
      <c r="D1262" t="str">
        <f>VLOOKUP(A1262,MasterTutor!A:E,2,FALSE)</f>
        <v>Kristin Haase-Alvey</v>
      </c>
      <c r="E1262" t="s">
        <v>372</v>
      </c>
      <c r="F1262" s="2">
        <v>0.23</v>
      </c>
      <c r="G1262" s="2">
        <v>0.99</v>
      </c>
      <c r="H1262" s="2">
        <v>1</v>
      </c>
      <c r="I1262" s="2">
        <v>1</v>
      </c>
      <c r="J1262" s="2">
        <v>0.8</v>
      </c>
      <c r="K1262" t="e">
        <v>#N/A</v>
      </c>
      <c r="M1262" s="21"/>
    </row>
    <row r="1263" spans="1:13" x14ac:dyDescent="0.2">
      <c r="A1263" t="s">
        <v>32</v>
      </c>
      <c r="B1263" t="e">
        <f>VLOOKUP(A1263,MasterTutor!A:E,4,FALSE)</f>
        <v>#N/A</v>
      </c>
      <c r="C1263" t="e">
        <f>VLOOKUP(A1263,MasterTutor!A:E,3,FALSE)</f>
        <v>#N/A</v>
      </c>
      <c r="D1263" t="e">
        <f>VLOOKUP(A1263,MasterTutor!A:E,2,FALSE)</f>
        <v>#N/A</v>
      </c>
      <c r="E1263" t="s">
        <v>372</v>
      </c>
      <c r="F1263" s="2">
        <v>0.45</v>
      </c>
      <c r="G1263" s="2">
        <v>0.92</v>
      </c>
      <c r="H1263" s="2">
        <v>1</v>
      </c>
      <c r="I1263" s="2">
        <v>0.78</v>
      </c>
      <c r="J1263" s="2">
        <v>0.38</v>
      </c>
      <c r="K1263">
        <v>6</v>
      </c>
      <c r="L1263" s="19">
        <v>0</v>
      </c>
      <c r="M1263" s="21">
        <f>L1263</f>
        <v>0</v>
      </c>
    </row>
    <row r="1264" spans="1:13" x14ac:dyDescent="0.2">
      <c r="A1264" t="s">
        <v>33</v>
      </c>
      <c r="B1264" t="str">
        <f>VLOOKUP(A1264,MasterTutor!A:E,4,FALSE)</f>
        <v>Premium</v>
      </c>
      <c r="C1264" t="str">
        <f>VLOOKUP(A1264,MasterTutor!A:E,3,FALSE)</f>
        <v>Professional</v>
      </c>
      <c r="D1264" t="str">
        <f>VLOOKUP(A1264,MasterTutor!A:E,2,FALSE)</f>
        <v>Geoff St. Marie</v>
      </c>
      <c r="E1264" t="s">
        <v>372</v>
      </c>
      <c r="F1264" s="2">
        <v>1.27</v>
      </c>
      <c r="G1264" s="2">
        <v>1.41</v>
      </c>
      <c r="H1264" s="2">
        <v>0.94</v>
      </c>
      <c r="I1264" s="2">
        <v>0.97</v>
      </c>
      <c r="J1264" s="2">
        <v>0.88</v>
      </c>
      <c r="K1264">
        <v>4</v>
      </c>
      <c r="L1264" s="19">
        <v>0</v>
      </c>
      <c r="M1264" s="21">
        <f>L1264</f>
        <v>0</v>
      </c>
    </row>
    <row r="1265" spans="1:13" x14ac:dyDescent="0.2">
      <c r="A1265" t="s">
        <v>35</v>
      </c>
      <c r="B1265" t="str">
        <f>VLOOKUP(A1265,MasterTutor!A:E,4,FALSE)</f>
        <v>Advanced</v>
      </c>
      <c r="C1265" t="str">
        <f>VLOOKUP(A1265,MasterTutor!A:E,3,FALSE)</f>
        <v>Adjunct</v>
      </c>
      <c r="D1265" t="str">
        <f>VLOOKUP(A1265,MasterTutor!A:E,2,FALSE)</f>
        <v>Annelies de Groot</v>
      </c>
      <c r="E1265" t="s">
        <v>372</v>
      </c>
      <c r="F1265" s="2">
        <v>0.59</v>
      </c>
      <c r="G1265" s="2">
        <v>1.74</v>
      </c>
      <c r="H1265" s="2">
        <v>0.97</v>
      </c>
      <c r="I1265" s="2">
        <v>1</v>
      </c>
      <c r="J1265" s="2">
        <v>1</v>
      </c>
      <c r="K1265">
        <v>2</v>
      </c>
      <c r="M1265" s="21"/>
    </row>
    <row r="1266" spans="1:13" x14ac:dyDescent="0.2">
      <c r="A1266" t="s">
        <v>36</v>
      </c>
      <c r="B1266" t="str">
        <f>VLOOKUP(A1266,MasterTutor!A:E,4,FALSE)</f>
        <v>Premium</v>
      </c>
      <c r="C1266" t="str">
        <f>VLOOKUP(A1266,MasterTutor!A:E,3,FALSE)</f>
        <v>Professional</v>
      </c>
      <c r="D1266" t="str">
        <f>VLOOKUP(A1266,MasterTutor!A:E,2,FALSE)</f>
        <v>Jessica Milner</v>
      </c>
      <c r="E1266" t="s">
        <v>372</v>
      </c>
      <c r="F1266" s="2">
        <v>0.62</v>
      </c>
      <c r="G1266" s="2">
        <v>1.1499999999999999</v>
      </c>
      <c r="H1266" s="2">
        <v>1</v>
      </c>
      <c r="I1266" s="2">
        <v>1</v>
      </c>
      <c r="J1266" s="2">
        <v>0.77</v>
      </c>
      <c r="K1266">
        <v>2</v>
      </c>
      <c r="L1266" s="19">
        <v>1</v>
      </c>
      <c r="M1266" s="21">
        <f>L1266</f>
        <v>1</v>
      </c>
    </row>
    <row r="1267" spans="1:13" x14ac:dyDescent="0.2">
      <c r="A1267" t="s">
        <v>37</v>
      </c>
      <c r="B1267" t="e">
        <f>VLOOKUP(A1267,MasterTutor!A:E,4,FALSE)</f>
        <v>#N/A</v>
      </c>
      <c r="C1267" t="e">
        <f>VLOOKUP(A1267,MasterTutor!A:E,3,FALSE)</f>
        <v>#N/A</v>
      </c>
      <c r="D1267" t="e">
        <f>VLOOKUP(A1267,MasterTutor!A:E,2,FALSE)</f>
        <v>#N/A</v>
      </c>
      <c r="E1267" t="s">
        <v>372</v>
      </c>
      <c r="F1267" s="2">
        <v>0.59</v>
      </c>
      <c r="G1267" s="2">
        <v>1</v>
      </c>
      <c r="H1267" s="2">
        <v>0.94</v>
      </c>
      <c r="I1267" s="2">
        <v>1</v>
      </c>
      <c r="J1267" s="2">
        <v>0</v>
      </c>
      <c r="K1267">
        <v>2</v>
      </c>
      <c r="M1267" s="21"/>
    </row>
    <row r="1268" spans="1:13" x14ac:dyDescent="0.2">
      <c r="A1268" t="s">
        <v>38</v>
      </c>
      <c r="B1268" t="str">
        <f>VLOOKUP(A1268,MasterTutor!A:E,4,FALSE)</f>
        <v>Advanced</v>
      </c>
      <c r="C1268" t="str">
        <f>VLOOKUP(A1268,MasterTutor!A:E,3,FALSE)</f>
        <v>Adjunct</v>
      </c>
      <c r="D1268" t="str">
        <f>VLOOKUP(A1268,MasterTutor!A:E,2,FALSE)</f>
        <v>Annelies de Groot</v>
      </c>
      <c r="E1268" t="s">
        <v>372</v>
      </c>
      <c r="F1268" s="2">
        <v>0.83</v>
      </c>
      <c r="G1268" s="2">
        <v>1.21</v>
      </c>
      <c r="H1268" s="2">
        <v>1</v>
      </c>
      <c r="I1268" s="2">
        <v>1</v>
      </c>
      <c r="J1268" s="2">
        <v>0.92</v>
      </c>
      <c r="K1268">
        <v>3</v>
      </c>
      <c r="L1268" s="19">
        <v>1</v>
      </c>
      <c r="M1268" s="21">
        <f>L1268</f>
        <v>1</v>
      </c>
    </row>
    <row r="1269" spans="1:13" x14ac:dyDescent="0.2">
      <c r="A1269" t="s">
        <v>39</v>
      </c>
      <c r="B1269" t="str">
        <f>VLOOKUP(A1269,MasterTutor!A:E,4,FALSE)</f>
        <v>Premium</v>
      </c>
      <c r="C1269" t="str">
        <f>VLOOKUP(A1269,MasterTutor!A:E,3,FALSE)</f>
        <v>Adjunct</v>
      </c>
      <c r="D1269" t="str">
        <f>VLOOKUP(A1269,MasterTutor!A:E,2,FALSE)</f>
        <v>Jessica Milner</v>
      </c>
      <c r="E1269" t="s">
        <v>372</v>
      </c>
      <c r="F1269" s="2">
        <v>0.7</v>
      </c>
      <c r="G1269" s="2">
        <v>1.21</v>
      </c>
      <c r="H1269" s="2">
        <v>1</v>
      </c>
      <c r="I1269" s="2">
        <v>1</v>
      </c>
      <c r="J1269" s="2">
        <v>0.75</v>
      </c>
      <c r="K1269">
        <v>2</v>
      </c>
      <c r="L1269" s="19">
        <v>1</v>
      </c>
      <c r="M1269" s="21">
        <f>L1269</f>
        <v>1</v>
      </c>
    </row>
    <row r="1270" spans="1:13" x14ac:dyDescent="0.2">
      <c r="A1270" t="s">
        <v>40</v>
      </c>
      <c r="B1270" t="str">
        <f>VLOOKUP(A1270,MasterTutor!A:E,4,FALSE)</f>
        <v>Advanced</v>
      </c>
      <c r="C1270" t="str">
        <f>VLOOKUP(A1270,MasterTutor!A:E,3,FALSE)</f>
        <v>Professional</v>
      </c>
      <c r="D1270" t="str">
        <f>VLOOKUP(A1270,MasterTutor!A:E,2,FALSE)</f>
        <v>Annelies de Groot</v>
      </c>
      <c r="E1270" t="s">
        <v>372</v>
      </c>
      <c r="F1270" s="2">
        <v>1.26</v>
      </c>
      <c r="G1270" s="2">
        <v>1.51</v>
      </c>
      <c r="H1270" s="2">
        <v>1</v>
      </c>
      <c r="I1270" s="2">
        <v>0.99</v>
      </c>
      <c r="J1270" s="2">
        <v>0.57999999999999996</v>
      </c>
      <c r="K1270">
        <v>12</v>
      </c>
      <c r="L1270" s="19" t="s">
        <v>336</v>
      </c>
      <c r="M1270" s="21">
        <v>0.6</v>
      </c>
    </row>
    <row r="1271" spans="1:13" x14ac:dyDescent="0.2">
      <c r="A1271" t="s">
        <v>41</v>
      </c>
      <c r="B1271" t="str">
        <f>VLOOKUP(A1271,MasterTutor!A:E,4,FALSE)</f>
        <v>Premium</v>
      </c>
      <c r="C1271" t="str">
        <f>VLOOKUP(A1271,MasterTutor!A:E,3,FALSE)</f>
        <v>Professional</v>
      </c>
      <c r="D1271" t="str">
        <f>VLOOKUP(A1271,MasterTutor!A:E,2,FALSE)</f>
        <v>Jessica Milner</v>
      </c>
      <c r="E1271" t="s">
        <v>372</v>
      </c>
      <c r="F1271" s="2">
        <v>0.39</v>
      </c>
      <c r="G1271" s="2">
        <v>0.95</v>
      </c>
      <c r="H1271" s="2">
        <v>1</v>
      </c>
      <c r="I1271" s="2">
        <v>1</v>
      </c>
      <c r="J1271" s="2">
        <v>0.7</v>
      </c>
      <c r="K1271">
        <v>2</v>
      </c>
      <c r="L1271" s="19" t="s">
        <v>354</v>
      </c>
      <c r="M1271" s="21">
        <v>0.43</v>
      </c>
    </row>
    <row r="1272" spans="1:13" x14ac:dyDescent="0.2">
      <c r="A1272" t="s">
        <v>42</v>
      </c>
      <c r="B1272" t="str">
        <f>VLOOKUP(A1272,MasterTutor!A:E,4,FALSE)</f>
        <v>Premium</v>
      </c>
      <c r="C1272" t="str">
        <f>VLOOKUP(A1272,MasterTutor!A:E,3,FALSE)</f>
        <v>Adjunct</v>
      </c>
      <c r="D1272" t="str">
        <f>VLOOKUP(A1272,MasterTutor!A:E,2,FALSE)</f>
        <v>Ela Cross</v>
      </c>
      <c r="E1272" t="s">
        <v>372</v>
      </c>
      <c r="F1272" s="2">
        <v>0.37</v>
      </c>
      <c r="G1272" s="2">
        <v>0.98</v>
      </c>
      <c r="H1272" s="2">
        <v>1</v>
      </c>
      <c r="I1272" s="2">
        <v>1</v>
      </c>
      <c r="J1272" s="2">
        <v>0</v>
      </c>
      <c r="K1272" t="e">
        <v>#N/A</v>
      </c>
      <c r="L1272" s="19">
        <v>1</v>
      </c>
      <c r="M1272" s="21">
        <f>L1272</f>
        <v>1</v>
      </c>
    </row>
    <row r="1273" spans="1:13" x14ac:dyDescent="0.2">
      <c r="A1273" t="s">
        <v>43</v>
      </c>
      <c r="B1273" t="e">
        <f>VLOOKUP(A1273,MasterTutor!A:E,4,FALSE)</f>
        <v>#N/A</v>
      </c>
      <c r="C1273" t="e">
        <f>VLOOKUP(A1273,MasterTutor!A:E,3,FALSE)</f>
        <v>#N/A</v>
      </c>
      <c r="D1273" t="e">
        <f>VLOOKUP(A1273,MasterTutor!A:E,2,FALSE)</f>
        <v>#N/A</v>
      </c>
      <c r="E1273" t="s">
        <v>372</v>
      </c>
      <c r="F1273" s="2">
        <v>0.6</v>
      </c>
      <c r="G1273" s="2">
        <v>1</v>
      </c>
      <c r="H1273" s="2">
        <v>0.99</v>
      </c>
      <c r="I1273" s="2">
        <v>0.94</v>
      </c>
      <c r="J1273" s="2">
        <v>0.44</v>
      </c>
      <c r="K1273">
        <v>1</v>
      </c>
      <c r="L1273" s="19" t="s">
        <v>330</v>
      </c>
      <c r="M1273" s="21">
        <v>0.67</v>
      </c>
    </row>
    <row r="1274" spans="1:13" x14ac:dyDescent="0.2">
      <c r="A1274" t="s">
        <v>45</v>
      </c>
      <c r="B1274" t="str">
        <f>VLOOKUP(A1274,MasterTutor!A:E,4,FALSE)</f>
        <v>Distinguished</v>
      </c>
      <c r="C1274" t="str">
        <f>VLOOKUP(A1274,MasterTutor!A:E,3,FALSE)</f>
        <v>Adjunct</v>
      </c>
      <c r="D1274" t="str">
        <f>VLOOKUP(A1274,MasterTutor!A:E,2,FALSE)</f>
        <v>Kristin Haase-Alvey</v>
      </c>
      <c r="E1274" t="s">
        <v>372</v>
      </c>
      <c r="F1274" s="2">
        <v>0.56999999999999995</v>
      </c>
      <c r="G1274" s="2">
        <v>1.1000000000000001</v>
      </c>
      <c r="H1274" s="2">
        <v>1</v>
      </c>
      <c r="I1274" s="2">
        <v>0.95</v>
      </c>
      <c r="J1274" s="2">
        <v>0.6</v>
      </c>
      <c r="K1274">
        <v>3</v>
      </c>
    </row>
    <row r="1275" spans="1:13" x14ac:dyDescent="0.2">
      <c r="A1275" t="s">
        <v>46</v>
      </c>
      <c r="B1275" t="str">
        <f>VLOOKUP(A1275,MasterTutor!A:E,4,FALSE)</f>
        <v>Distinguished</v>
      </c>
      <c r="C1275" t="str">
        <f>VLOOKUP(A1275,MasterTutor!A:E,3,FALSE)</f>
        <v>Professional</v>
      </c>
      <c r="D1275" t="str">
        <f>VLOOKUP(A1275,MasterTutor!A:E,2,FALSE)</f>
        <v>Ian Plamondon</v>
      </c>
      <c r="E1275" t="s">
        <v>372</v>
      </c>
      <c r="F1275" s="2">
        <v>1</v>
      </c>
      <c r="G1275" s="2">
        <v>1.7</v>
      </c>
      <c r="H1275" s="2">
        <v>0.98</v>
      </c>
      <c r="I1275" s="2">
        <v>0.99</v>
      </c>
      <c r="J1275" s="2">
        <v>0.88</v>
      </c>
      <c r="K1275">
        <v>3</v>
      </c>
      <c r="L1275" s="19" t="s">
        <v>351</v>
      </c>
      <c r="M1275" s="21">
        <v>0.44</v>
      </c>
    </row>
    <row r="1276" spans="1:13" x14ac:dyDescent="0.2">
      <c r="A1276" t="s">
        <v>236</v>
      </c>
      <c r="B1276" t="str">
        <f>VLOOKUP(A1276,MasterTutor!A:E,4,FALSE)</f>
        <v>Advanced</v>
      </c>
      <c r="C1276" t="str">
        <f>VLOOKUP(A1276,MasterTutor!A:E,3,FALSE)</f>
        <v xml:space="preserve">Professional </v>
      </c>
      <c r="D1276" t="str">
        <f>VLOOKUP(A1276,MasterTutor!A:E,2,FALSE)</f>
        <v>Kristin Haase-Alvey</v>
      </c>
      <c r="E1276" t="s">
        <v>372</v>
      </c>
      <c r="F1276" s="2">
        <v>0.16</v>
      </c>
      <c r="G1276" s="2">
        <v>1.1399999999999999</v>
      </c>
      <c r="H1276" s="2">
        <v>1</v>
      </c>
      <c r="I1276" s="2">
        <v>0.83</v>
      </c>
      <c r="J1276" s="2">
        <v>0.67</v>
      </c>
      <c r="K1276" t="e">
        <v>#N/A</v>
      </c>
      <c r="L1276" s="19">
        <v>1</v>
      </c>
      <c r="M1276" s="21">
        <f>L1276</f>
        <v>1</v>
      </c>
    </row>
    <row r="1277" spans="1:13" x14ac:dyDescent="0.2">
      <c r="A1277" t="s">
        <v>47</v>
      </c>
      <c r="B1277" t="e">
        <f>VLOOKUP(A1277,MasterTutor!A:E,4,FALSE)</f>
        <v>#N/A</v>
      </c>
      <c r="C1277" t="e">
        <f>VLOOKUP(A1277,MasterTutor!A:E,3,FALSE)</f>
        <v>#N/A</v>
      </c>
      <c r="D1277" t="e">
        <f>VLOOKUP(A1277,MasterTutor!A:E,2,FALSE)</f>
        <v>#N/A</v>
      </c>
      <c r="E1277" t="s">
        <v>372</v>
      </c>
      <c r="F1277" s="2">
        <v>0.2</v>
      </c>
      <c r="G1277" s="2">
        <v>1.03</v>
      </c>
      <c r="H1277" s="2">
        <v>1</v>
      </c>
      <c r="I1277" s="2">
        <v>1</v>
      </c>
      <c r="J1277" s="2">
        <v>0.33</v>
      </c>
      <c r="K1277" t="e">
        <v>#N/A</v>
      </c>
      <c r="L1277" s="19" t="s">
        <v>331</v>
      </c>
      <c r="M1277" s="21">
        <v>0.5</v>
      </c>
    </row>
    <row r="1278" spans="1:13" x14ac:dyDescent="0.2">
      <c r="A1278" t="s">
        <v>238</v>
      </c>
      <c r="B1278" t="str">
        <f>VLOOKUP(A1278,MasterTutor!A:E,4,FALSE)</f>
        <v>Advanced</v>
      </c>
      <c r="C1278" t="str">
        <f>VLOOKUP(A1278,MasterTutor!A:E,3,FALSE)</f>
        <v>Professional</v>
      </c>
      <c r="D1278" t="str">
        <f>VLOOKUP(A1278,MasterTutor!A:E,2,FALSE)</f>
        <v>Ela Cross</v>
      </c>
      <c r="E1278" t="s">
        <v>372</v>
      </c>
      <c r="F1278" s="2">
        <v>0.6</v>
      </c>
      <c r="G1278" s="2">
        <v>1.07</v>
      </c>
      <c r="H1278" s="2">
        <v>0.94</v>
      </c>
      <c r="I1278" s="2">
        <v>0.98</v>
      </c>
      <c r="J1278" s="2">
        <v>0.88</v>
      </c>
      <c r="K1278">
        <v>1</v>
      </c>
      <c r="L1278" s="19">
        <v>1</v>
      </c>
      <c r="M1278" s="21">
        <f>L1278</f>
        <v>1</v>
      </c>
    </row>
    <row r="1279" spans="1:13" x14ac:dyDescent="0.2">
      <c r="A1279" t="s">
        <v>48</v>
      </c>
      <c r="B1279" t="str">
        <f>VLOOKUP(A1279,MasterTutor!A:E,4,FALSE)</f>
        <v>Advanced</v>
      </c>
      <c r="C1279" t="str">
        <f>VLOOKUP(A1279,MasterTutor!A:E,3,FALSE)</f>
        <v>Professional</v>
      </c>
      <c r="D1279" t="str">
        <f>VLOOKUP(A1279,MasterTutor!A:E,2,FALSE)</f>
        <v>Annelies de Groot</v>
      </c>
      <c r="E1279" t="s">
        <v>372</v>
      </c>
      <c r="F1279" s="2">
        <v>0.56999999999999995</v>
      </c>
      <c r="G1279" s="2">
        <v>1.01</v>
      </c>
      <c r="H1279" s="2">
        <v>1</v>
      </c>
      <c r="I1279" s="2">
        <v>1</v>
      </c>
      <c r="J1279" s="2">
        <v>0.39</v>
      </c>
      <c r="K1279">
        <v>4</v>
      </c>
      <c r="L1279" s="19" t="s">
        <v>330</v>
      </c>
      <c r="M1279" s="21">
        <v>0.67</v>
      </c>
    </row>
    <row r="1280" spans="1:13" x14ac:dyDescent="0.2">
      <c r="A1280" t="s">
        <v>49</v>
      </c>
      <c r="B1280" t="str">
        <f>VLOOKUP(A1280,MasterTutor!A:E,4,FALSE)</f>
        <v>Advanced</v>
      </c>
      <c r="C1280" t="str">
        <f>VLOOKUP(A1280,MasterTutor!A:E,3,FALSE)</f>
        <v>Professional</v>
      </c>
      <c r="D1280" t="str">
        <f>VLOOKUP(A1280,MasterTutor!A:E,2,FALSE)</f>
        <v>Ian Plamondon</v>
      </c>
      <c r="E1280" t="s">
        <v>372</v>
      </c>
      <c r="F1280" s="2">
        <v>0.72</v>
      </c>
      <c r="G1280" s="2">
        <v>1.03</v>
      </c>
      <c r="H1280" s="2">
        <v>0.96</v>
      </c>
      <c r="I1280" s="2">
        <v>0.98</v>
      </c>
      <c r="J1280" s="2">
        <v>0.53</v>
      </c>
      <c r="K1280">
        <v>3</v>
      </c>
      <c r="L1280" s="19" t="s">
        <v>347</v>
      </c>
      <c r="M1280" s="21">
        <v>0.56999999999999995</v>
      </c>
    </row>
    <row r="1281" spans="1:13" x14ac:dyDescent="0.2">
      <c r="A1281" t="s">
        <v>50</v>
      </c>
      <c r="B1281" t="str">
        <f>VLOOKUP(A1281,MasterTutor!A:E,4,FALSE)</f>
        <v>Premium</v>
      </c>
      <c r="C1281" t="str">
        <f>VLOOKUP(A1281,MasterTutor!A:E,3,FALSE)</f>
        <v>Adjunct</v>
      </c>
      <c r="D1281" t="str">
        <f>VLOOKUP(A1281,MasterTutor!A:E,2,FALSE)</f>
        <v>Kristin Haase-Alvey</v>
      </c>
      <c r="E1281" t="s">
        <v>372</v>
      </c>
      <c r="F1281" s="2">
        <v>0.35</v>
      </c>
      <c r="G1281" s="2">
        <v>1.2</v>
      </c>
      <c r="H1281" s="2">
        <v>1</v>
      </c>
      <c r="I1281" s="2">
        <v>1</v>
      </c>
      <c r="J1281" s="2">
        <v>1</v>
      </c>
      <c r="K1281">
        <v>1</v>
      </c>
      <c r="L1281" s="19">
        <v>0</v>
      </c>
      <c r="M1281" s="21">
        <f>L1281</f>
        <v>0</v>
      </c>
    </row>
    <row r="1282" spans="1:13" x14ac:dyDescent="0.2">
      <c r="A1282" t="s">
        <v>51</v>
      </c>
      <c r="B1282" t="str">
        <f>VLOOKUP(A1282,MasterTutor!A:E,4,FALSE)</f>
        <v>Premium</v>
      </c>
      <c r="C1282" t="str">
        <f>VLOOKUP(A1282,MasterTutor!A:E,3,FALSE)</f>
        <v>Adjunct</v>
      </c>
      <c r="D1282" t="str">
        <f>VLOOKUP(A1282,MasterTutor!A:E,2,FALSE)</f>
        <v>Annelies de Groot</v>
      </c>
      <c r="E1282" t="s">
        <v>372</v>
      </c>
      <c r="F1282" s="2">
        <v>0.84</v>
      </c>
      <c r="G1282" s="2">
        <v>1.1499999999999999</v>
      </c>
      <c r="H1282" s="2">
        <v>1</v>
      </c>
      <c r="I1282" s="2">
        <v>1</v>
      </c>
      <c r="J1282" s="2">
        <v>1</v>
      </c>
      <c r="K1282">
        <v>2</v>
      </c>
      <c r="L1282" s="19" t="s">
        <v>331</v>
      </c>
      <c r="M1282" s="21">
        <v>0.5</v>
      </c>
    </row>
    <row r="1283" spans="1:13" x14ac:dyDescent="0.2">
      <c r="A1283" t="s">
        <v>52</v>
      </c>
      <c r="B1283" t="str">
        <f>VLOOKUP(A1283,MasterTutor!A:E,4,FALSE)</f>
        <v>Premium</v>
      </c>
      <c r="C1283" t="str">
        <f>VLOOKUP(A1283,MasterTutor!A:E,3,FALSE)</f>
        <v>Professional</v>
      </c>
      <c r="D1283" t="str">
        <f>VLOOKUP(A1283,MasterTutor!A:E,2,FALSE)</f>
        <v>Jessica Milner</v>
      </c>
      <c r="E1283" t="s">
        <v>372</v>
      </c>
      <c r="F1283" s="2">
        <v>1.1000000000000001</v>
      </c>
      <c r="G1283" s="2">
        <v>1.23</v>
      </c>
      <c r="H1283" s="2">
        <v>1</v>
      </c>
      <c r="I1283" s="2">
        <v>1</v>
      </c>
      <c r="J1283" s="2">
        <v>0.56999999999999995</v>
      </c>
      <c r="K1283">
        <v>4</v>
      </c>
      <c r="L1283" s="19">
        <v>1</v>
      </c>
      <c r="M1283" s="21">
        <f>L1283</f>
        <v>1</v>
      </c>
    </row>
    <row r="1284" spans="1:13" x14ac:dyDescent="0.2">
      <c r="A1284" t="s">
        <v>53</v>
      </c>
      <c r="B1284" t="str">
        <f>VLOOKUP(A1284,MasterTutor!A:E,4,FALSE)</f>
        <v>Advanced</v>
      </c>
      <c r="C1284" t="str">
        <f>VLOOKUP(A1284,MasterTutor!A:E,3,FALSE)</f>
        <v>Professional</v>
      </c>
      <c r="D1284" t="str">
        <f>VLOOKUP(A1284,MasterTutor!A:E,2,FALSE)</f>
        <v>Kristin Haase-Alvey</v>
      </c>
      <c r="E1284" t="s">
        <v>372</v>
      </c>
      <c r="F1284" s="2">
        <v>0.36</v>
      </c>
      <c r="G1284" s="2">
        <v>1.04</v>
      </c>
      <c r="H1284" s="2">
        <v>0.93</v>
      </c>
      <c r="I1284" s="2">
        <v>1</v>
      </c>
      <c r="J1284" s="2">
        <v>0.75</v>
      </c>
      <c r="K1284">
        <v>1</v>
      </c>
      <c r="L1284" s="19">
        <v>1</v>
      </c>
      <c r="M1284" s="21">
        <f>L1284</f>
        <v>1</v>
      </c>
    </row>
    <row r="1285" spans="1:13" x14ac:dyDescent="0.2">
      <c r="A1285" t="s">
        <v>54</v>
      </c>
      <c r="B1285" t="str">
        <f>VLOOKUP(A1285,MasterTutor!A:E,4,FALSE)</f>
        <v>Premium</v>
      </c>
      <c r="C1285" t="str">
        <f>VLOOKUP(A1285,MasterTutor!A:E,3,FALSE)</f>
        <v>Professional</v>
      </c>
      <c r="D1285" t="str">
        <f>VLOOKUP(A1285,MasterTutor!A:E,2,FALSE)</f>
        <v>Jessica Milner</v>
      </c>
      <c r="E1285" t="s">
        <v>372</v>
      </c>
      <c r="F1285" s="2">
        <v>0.56000000000000005</v>
      </c>
      <c r="G1285" s="2">
        <v>0.93</v>
      </c>
      <c r="H1285" s="2">
        <v>1</v>
      </c>
      <c r="I1285" s="2">
        <v>0.95</v>
      </c>
      <c r="J1285" s="2">
        <v>0.25</v>
      </c>
      <c r="K1285" t="e">
        <v>#N/A</v>
      </c>
      <c r="L1285" s="19">
        <v>1</v>
      </c>
      <c r="M1285" s="21">
        <f>L1285</f>
        <v>1</v>
      </c>
    </row>
    <row r="1286" spans="1:13" x14ac:dyDescent="0.2">
      <c r="A1286" t="s">
        <v>55</v>
      </c>
      <c r="B1286" t="str">
        <f>VLOOKUP(A1286,MasterTutor!A:E,4,FALSE)</f>
        <v>Premium</v>
      </c>
      <c r="C1286" t="str">
        <f>VLOOKUP(A1286,MasterTutor!A:E,3,FALSE)</f>
        <v>Adjunct</v>
      </c>
      <c r="D1286" t="str">
        <f>VLOOKUP(A1286,MasterTutor!A:E,2,FALSE)</f>
        <v>Ela Cross</v>
      </c>
      <c r="E1286" t="s">
        <v>372</v>
      </c>
      <c r="F1286" s="2">
        <v>0.71</v>
      </c>
      <c r="G1286" s="2">
        <v>1.36</v>
      </c>
      <c r="H1286" s="2">
        <v>1</v>
      </c>
      <c r="I1286" s="2">
        <v>1</v>
      </c>
      <c r="J1286" s="2">
        <v>0.71</v>
      </c>
      <c r="K1286" t="e">
        <v>#N/A</v>
      </c>
      <c r="L1286" s="19">
        <v>1</v>
      </c>
      <c r="M1286" s="21">
        <f>L1286</f>
        <v>1</v>
      </c>
    </row>
    <row r="1287" spans="1:13" x14ac:dyDescent="0.2">
      <c r="A1287" t="s">
        <v>56</v>
      </c>
      <c r="B1287" t="str">
        <f>VLOOKUP(A1287,MasterTutor!A:E,4,FALSE)</f>
        <v>Advanced</v>
      </c>
      <c r="C1287" t="str">
        <f>VLOOKUP(A1287,MasterTutor!A:E,3,FALSE)</f>
        <v>Professional</v>
      </c>
      <c r="D1287" t="str">
        <f>VLOOKUP(A1287,MasterTutor!A:E,2,FALSE)</f>
        <v>Ela Cross</v>
      </c>
      <c r="E1287" t="s">
        <v>372</v>
      </c>
      <c r="F1287" s="2">
        <v>0.41</v>
      </c>
      <c r="G1287" s="2">
        <v>1.02</v>
      </c>
      <c r="H1287" s="2">
        <v>0.82</v>
      </c>
      <c r="I1287" s="2">
        <v>0.75</v>
      </c>
      <c r="J1287" s="2">
        <v>0.95</v>
      </c>
      <c r="K1287">
        <v>4</v>
      </c>
      <c r="L1287" s="19" t="s">
        <v>331</v>
      </c>
      <c r="M1287" s="21">
        <v>0.5</v>
      </c>
    </row>
    <row r="1288" spans="1:13" x14ac:dyDescent="0.2">
      <c r="A1288" t="s">
        <v>245</v>
      </c>
      <c r="B1288" t="str">
        <f>VLOOKUP(A1288,MasterTutor!A:E,4,FALSE)</f>
        <v>Advanced</v>
      </c>
      <c r="C1288" t="str">
        <f>VLOOKUP(A1288,MasterTutor!A:E,3,FALSE)</f>
        <v>Professional</v>
      </c>
      <c r="D1288" t="str">
        <f>VLOOKUP(A1288,MasterTutor!A:E,2,FALSE)</f>
        <v>Ela Cross</v>
      </c>
      <c r="E1288" t="s">
        <v>372</v>
      </c>
      <c r="F1288" s="2">
        <v>0.98</v>
      </c>
      <c r="G1288" s="2">
        <v>1.21</v>
      </c>
      <c r="H1288" s="2">
        <v>0.9</v>
      </c>
      <c r="I1288" s="2">
        <v>1</v>
      </c>
      <c r="J1288" s="2">
        <v>0.67</v>
      </c>
      <c r="K1288">
        <v>7</v>
      </c>
      <c r="L1288" s="19" t="s">
        <v>337</v>
      </c>
      <c r="M1288" s="21">
        <f>1/3</f>
        <v>0.33333333333333331</v>
      </c>
    </row>
    <row r="1289" spans="1:13" x14ac:dyDescent="0.2">
      <c r="A1289" t="s">
        <v>57</v>
      </c>
      <c r="B1289" t="str">
        <f>VLOOKUP(A1289,MasterTutor!A:E,4,FALSE)</f>
        <v>Advanced</v>
      </c>
      <c r="C1289" t="str">
        <f>VLOOKUP(A1289,MasterTutor!A:E,3,FALSE)</f>
        <v>Professional</v>
      </c>
      <c r="D1289" t="str">
        <f>VLOOKUP(A1289,MasterTutor!A:E,2,FALSE)</f>
        <v>Ian Plamondon</v>
      </c>
      <c r="E1289" t="s">
        <v>372</v>
      </c>
      <c r="F1289" s="2">
        <v>0.99</v>
      </c>
      <c r="G1289" s="2">
        <v>1.08</v>
      </c>
      <c r="H1289" s="2">
        <v>0.99</v>
      </c>
      <c r="I1289" s="2">
        <v>0.97</v>
      </c>
      <c r="J1289" s="2">
        <v>0.59</v>
      </c>
      <c r="K1289">
        <v>6</v>
      </c>
      <c r="L1289" s="19" t="s">
        <v>346</v>
      </c>
      <c r="M1289" s="21">
        <v>0.78</v>
      </c>
    </row>
    <row r="1290" spans="1:13" x14ac:dyDescent="0.2">
      <c r="A1290" t="s">
        <v>248</v>
      </c>
      <c r="B1290" t="e">
        <f>VLOOKUP(A1290,MasterTutor!A:E,4,FALSE)</f>
        <v>#N/A</v>
      </c>
      <c r="C1290" t="e">
        <f>VLOOKUP(A1290,MasterTutor!A:E,3,FALSE)</f>
        <v>#N/A</v>
      </c>
      <c r="D1290" t="e">
        <f>VLOOKUP(A1290,MasterTutor!A:E,2,FALSE)</f>
        <v>#N/A</v>
      </c>
      <c r="E1290" t="s">
        <v>372</v>
      </c>
      <c r="F1290" s="2">
        <v>0.67</v>
      </c>
      <c r="G1290" s="2">
        <v>1.01</v>
      </c>
      <c r="H1290" s="2">
        <v>1</v>
      </c>
      <c r="I1290" s="2">
        <v>0.87</v>
      </c>
      <c r="J1290" s="2">
        <v>0.72</v>
      </c>
      <c r="K1290">
        <v>1</v>
      </c>
      <c r="L1290" s="19" t="s">
        <v>332</v>
      </c>
      <c r="M1290" s="21">
        <v>0.71</v>
      </c>
    </row>
    <row r="1291" spans="1:13" x14ac:dyDescent="0.2">
      <c r="A1291" t="s">
        <v>249</v>
      </c>
      <c r="B1291" t="str">
        <f>VLOOKUP(A1291,MasterTutor!A:E,4,FALSE)</f>
        <v>Advanced</v>
      </c>
      <c r="C1291" t="str">
        <f>VLOOKUP(A1291,MasterTutor!A:E,3,FALSE)</f>
        <v>Adjunct</v>
      </c>
      <c r="D1291" t="str">
        <f>VLOOKUP(A1291,MasterTutor!A:E,2,FALSE)</f>
        <v>Annelies de Groot</v>
      </c>
      <c r="E1291" t="s">
        <v>372</v>
      </c>
      <c r="F1291" s="2">
        <v>0.18</v>
      </c>
      <c r="G1291" s="2">
        <v>1.01</v>
      </c>
      <c r="H1291" s="2">
        <v>1</v>
      </c>
      <c r="I1291" s="2">
        <v>0.56999999999999995</v>
      </c>
      <c r="J1291" s="2">
        <v>0.9</v>
      </c>
      <c r="K1291">
        <v>1</v>
      </c>
      <c r="L1291" s="19">
        <v>1</v>
      </c>
      <c r="M1291" s="21">
        <f>L1291</f>
        <v>1</v>
      </c>
    </row>
    <row r="1292" spans="1:13" x14ac:dyDescent="0.2">
      <c r="A1292" t="s">
        <v>58</v>
      </c>
      <c r="B1292" t="str">
        <f>VLOOKUP(A1292,MasterTutor!A:E,4,FALSE)</f>
        <v>Premium</v>
      </c>
      <c r="C1292" t="str">
        <f>VLOOKUP(A1292,MasterTutor!A:E,3,FALSE)</f>
        <v>Professional</v>
      </c>
      <c r="D1292" t="str">
        <f>VLOOKUP(A1292,MasterTutor!A:E,2,FALSE)</f>
        <v>Jessica Milner</v>
      </c>
      <c r="E1292" t="s">
        <v>372</v>
      </c>
      <c r="F1292" s="2">
        <v>0.7</v>
      </c>
      <c r="G1292" s="2">
        <v>1.3</v>
      </c>
      <c r="H1292" s="2">
        <v>0.99</v>
      </c>
      <c r="I1292" s="2">
        <v>1</v>
      </c>
      <c r="J1292" s="2">
        <v>0.62</v>
      </c>
      <c r="K1292">
        <v>4</v>
      </c>
      <c r="L1292" s="19">
        <v>1</v>
      </c>
      <c r="M1292" s="21">
        <f>L1292</f>
        <v>1</v>
      </c>
    </row>
    <row r="1293" spans="1:13" x14ac:dyDescent="0.2">
      <c r="A1293" t="s">
        <v>59</v>
      </c>
      <c r="B1293" t="str">
        <f>VLOOKUP(A1293,MasterTutor!A:E,4,FALSE)</f>
        <v>Distinguished</v>
      </c>
      <c r="C1293" t="str">
        <f>VLOOKUP(A1293,MasterTutor!A:E,3,FALSE)</f>
        <v>Professional</v>
      </c>
      <c r="D1293" t="str">
        <f>VLOOKUP(A1293,MasterTutor!A:E,2,FALSE)</f>
        <v>Ela Cross</v>
      </c>
      <c r="E1293" t="s">
        <v>372</v>
      </c>
      <c r="F1293" s="2">
        <v>0.48</v>
      </c>
      <c r="G1293" s="2">
        <v>1.03</v>
      </c>
      <c r="H1293" s="2">
        <v>1</v>
      </c>
      <c r="I1293" s="2">
        <v>1</v>
      </c>
      <c r="J1293" s="2">
        <v>0.33</v>
      </c>
      <c r="K1293">
        <v>1</v>
      </c>
      <c r="L1293" s="19">
        <v>1</v>
      </c>
      <c r="M1293" s="21">
        <f>L1293</f>
        <v>1</v>
      </c>
    </row>
    <row r="1294" spans="1:13" x14ac:dyDescent="0.2">
      <c r="A1294" t="s">
        <v>60</v>
      </c>
      <c r="B1294" t="str">
        <f>VLOOKUP(A1294,MasterTutor!A:E,4,FALSE)</f>
        <v>Advanced</v>
      </c>
      <c r="C1294" t="str">
        <f>VLOOKUP(A1294,MasterTutor!A:E,3,FALSE)</f>
        <v>Adjunct</v>
      </c>
      <c r="D1294" t="str">
        <f>VLOOKUP(A1294,MasterTutor!A:E,2,FALSE)</f>
        <v>Kristin Haase-Alvey</v>
      </c>
      <c r="E1294" t="s">
        <v>372</v>
      </c>
      <c r="F1294" s="2">
        <v>0.41</v>
      </c>
      <c r="G1294" s="2">
        <v>1.02</v>
      </c>
      <c r="H1294" s="2">
        <v>1</v>
      </c>
      <c r="I1294" s="2">
        <v>0.92</v>
      </c>
      <c r="J1294" s="2">
        <v>0.67</v>
      </c>
      <c r="K1294">
        <v>2</v>
      </c>
      <c r="L1294" s="19">
        <v>1</v>
      </c>
      <c r="M1294" s="21">
        <f>L1294</f>
        <v>1</v>
      </c>
    </row>
    <row r="1295" spans="1:13" x14ac:dyDescent="0.2">
      <c r="A1295" t="s">
        <v>61</v>
      </c>
      <c r="B1295" t="str">
        <f>VLOOKUP(A1295,MasterTutor!A:E,4,FALSE)</f>
        <v>Advanced</v>
      </c>
      <c r="C1295" t="str">
        <f>VLOOKUP(A1295,MasterTutor!A:E,3,FALSE)</f>
        <v>Adjunct</v>
      </c>
      <c r="D1295" t="str">
        <f>VLOOKUP(A1295,MasterTutor!A:E,2,FALSE)</f>
        <v>Ela Cross</v>
      </c>
      <c r="E1295" t="s">
        <v>372</v>
      </c>
      <c r="F1295" s="2">
        <v>0.43</v>
      </c>
      <c r="G1295" s="2">
        <v>1.49</v>
      </c>
      <c r="H1295" s="2">
        <v>0.96</v>
      </c>
      <c r="I1295" s="2">
        <v>0.94</v>
      </c>
      <c r="J1295" s="2">
        <v>0.25</v>
      </c>
      <c r="K1295">
        <v>1</v>
      </c>
    </row>
    <row r="1296" spans="1:13" x14ac:dyDescent="0.2">
      <c r="A1296" t="s">
        <v>62</v>
      </c>
      <c r="B1296" t="e">
        <f>VLOOKUP(A1296,MasterTutor!A:E,4,FALSE)</f>
        <v>#N/A</v>
      </c>
      <c r="C1296" t="e">
        <f>VLOOKUP(A1296,MasterTutor!A:E,3,FALSE)</f>
        <v>#N/A</v>
      </c>
      <c r="D1296" t="e">
        <f>VLOOKUP(A1296,MasterTutor!A:E,2,FALSE)</f>
        <v>#N/A</v>
      </c>
      <c r="E1296" t="s">
        <v>372</v>
      </c>
      <c r="F1296" s="2">
        <v>0.53</v>
      </c>
      <c r="G1296" s="2">
        <v>2.0499999999999998</v>
      </c>
      <c r="H1296" s="2">
        <v>1</v>
      </c>
      <c r="I1296" s="2">
        <v>0.82</v>
      </c>
      <c r="J1296" s="2">
        <v>0.75</v>
      </c>
      <c r="K1296">
        <v>2</v>
      </c>
      <c r="L1296" s="19" t="s">
        <v>331</v>
      </c>
      <c r="M1296" s="21">
        <v>0.5</v>
      </c>
    </row>
    <row r="1297" spans="1:13" x14ac:dyDescent="0.2">
      <c r="A1297" t="s">
        <v>63</v>
      </c>
      <c r="B1297" t="str">
        <f>VLOOKUP(A1297,MasterTutor!A:E,4,FALSE)</f>
        <v>Advanced</v>
      </c>
      <c r="C1297" t="str">
        <f>VLOOKUP(A1297,MasterTutor!A:E,3,FALSE)</f>
        <v>Adjunct</v>
      </c>
      <c r="D1297" t="str">
        <f>VLOOKUP(A1297,MasterTutor!A:E,2,FALSE)</f>
        <v>Kristin Haase-Alvey</v>
      </c>
      <c r="E1297" t="s">
        <v>372</v>
      </c>
      <c r="F1297" s="2">
        <v>0.56000000000000005</v>
      </c>
      <c r="G1297" s="2">
        <v>1.22</v>
      </c>
      <c r="H1297" s="2">
        <v>0.96</v>
      </c>
      <c r="I1297" s="2">
        <v>0.92</v>
      </c>
      <c r="J1297" s="2">
        <v>0.78</v>
      </c>
      <c r="K1297" t="e">
        <v>#N/A</v>
      </c>
      <c r="L1297" s="19">
        <v>0</v>
      </c>
      <c r="M1297" s="21">
        <f>L1297</f>
        <v>0</v>
      </c>
    </row>
    <row r="1298" spans="1:13" x14ac:dyDescent="0.2">
      <c r="A1298" t="s">
        <v>64</v>
      </c>
      <c r="B1298" t="str">
        <f>VLOOKUP(A1298,MasterTutor!A:E,4,FALSE)</f>
        <v>Distinguished</v>
      </c>
      <c r="C1298" t="str">
        <f>VLOOKUP(A1298,MasterTutor!A:E,3,FALSE)</f>
        <v>Professional</v>
      </c>
      <c r="D1298" t="str">
        <f>VLOOKUP(A1298,MasterTutor!A:E,2,FALSE)</f>
        <v>Ian Plamondon</v>
      </c>
      <c r="E1298" t="s">
        <v>372</v>
      </c>
      <c r="F1298" s="2">
        <v>0.81</v>
      </c>
      <c r="G1298" s="2">
        <v>1.2</v>
      </c>
      <c r="H1298" s="2">
        <v>0.97</v>
      </c>
      <c r="I1298" s="2">
        <v>1</v>
      </c>
      <c r="J1298" s="2">
        <v>1</v>
      </c>
      <c r="K1298">
        <v>3</v>
      </c>
      <c r="L1298" s="19">
        <v>1</v>
      </c>
      <c r="M1298" s="21">
        <f>L1298</f>
        <v>1</v>
      </c>
    </row>
    <row r="1299" spans="1:13" x14ac:dyDescent="0.2">
      <c r="A1299" t="s">
        <v>65</v>
      </c>
      <c r="B1299" t="str">
        <f>VLOOKUP(A1299,MasterTutor!A:E,4,FALSE)</f>
        <v>Premium</v>
      </c>
      <c r="C1299" t="str">
        <f>VLOOKUP(A1299,MasterTutor!A:E,3,FALSE)</f>
        <v>Professional</v>
      </c>
      <c r="D1299" t="str">
        <f>VLOOKUP(A1299,MasterTutor!A:E,2,FALSE)</f>
        <v>Ian Plamondon</v>
      </c>
      <c r="E1299" t="s">
        <v>372</v>
      </c>
      <c r="F1299" s="2">
        <v>0.51</v>
      </c>
      <c r="G1299" s="2">
        <v>1.1000000000000001</v>
      </c>
      <c r="H1299" s="2">
        <v>1</v>
      </c>
      <c r="I1299" s="2">
        <v>0.97</v>
      </c>
      <c r="J1299" s="2">
        <v>1</v>
      </c>
      <c r="K1299">
        <v>5</v>
      </c>
    </row>
    <row r="1300" spans="1:13" x14ac:dyDescent="0.2">
      <c r="A1300" t="s">
        <v>254</v>
      </c>
      <c r="B1300" t="str">
        <f>VLOOKUP(A1300,MasterTutor!A:E,4,FALSE)</f>
        <v>Advanced</v>
      </c>
      <c r="C1300" t="str">
        <f>VLOOKUP(A1300,MasterTutor!A:E,3,FALSE)</f>
        <v>Professional</v>
      </c>
      <c r="D1300" t="str">
        <f>VLOOKUP(A1300,MasterTutor!A:E,2,FALSE)</f>
        <v>Annelies de Groot</v>
      </c>
      <c r="E1300" t="s">
        <v>372</v>
      </c>
      <c r="F1300" s="2">
        <v>0.6</v>
      </c>
      <c r="G1300" s="2">
        <v>1.1499999999999999</v>
      </c>
      <c r="H1300" s="2">
        <v>0.88</v>
      </c>
      <c r="I1300" s="2">
        <v>0.72</v>
      </c>
      <c r="J1300" s="2">
        <v>0.62</v>
      </c>
      <c r="K1300">
        <v>2</v>
      </c>
      <c r="L1300" s="19">
        <v>0</v>
      </c>
      <c r="M1300" s="21">
        <f>L1300</f>
        <v>0</v>
      </c>
    </row>
    <row r="1301" spans="1:13" x14ac:dyDescent="0.2">
      <c r="A1301" t="s">
        <v>67</v>
      </c>
      <c r="B1301" t="str">
        <f>VLOOKUP(A1301,MasterTutor!A:E,4,FALSE)</f>
        <v>Distinguished</v>
      </c>
      <c r="C1301" t="str">
        <f>VLOOKUP(A1301,MasterTutor!A:E,3,FALSE)</f>
        <v>Professional</v>
      </c>
      <c r="D1301" t="str">
        <f>VLOOKUP(A1301,MasterTutor!A:E,2,FALSE)</f>
        <v>Ian Plamondon</v>
      </c>
      <c r="E1301" t="s">
        <v>372</v>
      </c>
      <c r="F1301" s="2">
        <v>0.18</v>
      </c>
      <c r="G1301" s="2">
        <v>0.56999999999999995</v>
      </c>
      <c r="H1301" s="2">
        <v>1</v>
      </c>
      <c r="I1301" s="2">
        <v>1</v>
      </c>
      <c r="J1301" s="2">
        <v>0.87</v>
      </c>
      <c r="K1301">
        <v>1</v>
      </c>
      <c r="L1301" s="19">
        <v>0</v>
      </c>
      <c r="M1301" s="21">
        <f>L1301</f>
        <v>0</v>
      </c>
    </row>
    <row r="1302" spans="1:13" x14ac:dyDescent="0.2">
      <c r="A1302" t="s">
        <v>68</v>
      </c>
      <c r="B1302" t="str">
        <f>VLOOKUP(A1302,MasterTutor!A:E,4,FALSE)</f>
        <v>Advanced</v>
      </c>
      <c r="C1302" t="str">
        <f>VLOOKUP(A1302,MasterTutor!A:E,3,FALSE)</f>
        <v>Professional</v>
      </c>
      <c r="D1302" t="str">
        <f>VLOOKUP(A1302,MasterTutor!A:E,2,FALSE)</f>
        <v>Ian Plamondon</v>
      </c>
      <c r="E1302" t="s">
        <v>372</v>
      </c>
      <c r="F1302" s="2">
        <v>0.51</v>
      </c>
      <c r="G1302" s="2">
        <v>0.96</v>
      </c>
      <c r="H1302" s="2">
        <v>0.69</v>
      </c>
      <c r="I1302" s="2">
        <v>0.18</v>
      </c>
      <c r="J1302" s="2">
        <v>0.57999999999999996</v>
      </c>
      <c r="K1302">
        <v>8</v>
      </c>
      <c r="L1302" s="19" t="s">
        <v>355</v>
      </c>
      <c r="M1302" s="21">
        <v>0.14000000000000001</v>
      </c>
    </row>
    <row r="1303" spans="1:13" x14ac:dyDescent="0.2">
      <c r="A1303" t="s">
        <v>69</v>
      </c>
      <c r="B1303" t="str">
        <f>VLOOKUP(A1303,MasterTutor!A:E,4,FALSE)</f>
        <v>Advanced</v>
      </c>
      <c r="C1303" t="str">
        <f>VLOOKUP(A1303,MasterTutor!A:E,3,FALSE)</f>
        <v>Adjunct</v>
      </c>
      <c r="D1303" t="str">
        <f>VLOOKUP(A1303,MasterTutor!A:E,2,FALSE)</f>
        <v>Ela Cross</v>
      </c>
      <c r="E1303" t="s">
        <v>372</v>
      </c>
      <c r="F1303" s="2">
        <v>0.68</v>
      </c>
      <c r="G1303" s="2">
        <v>1.03</v>
      </c>
      <c r="H1303" s="2">
        <v>1</v>
      </c>
      <c r="I1303" s="2">
        <v>1</v>
      </c>
      <c r="J1303" s="2">
        <v>0.78</v>
      </c>
      <c r="K1303">
        <v>4</v>
      </c>
      <c r="L1303" s="19">
        <v>0</v>
      </c>
      <c r="M1303" s="21">
        <f>L1303</f>
        <v>0</v>
      </c>
    </row>
    <row r="1304" spans="1:13" x14ac:dyDescent="0.2">
      <c r="A1304" t="s">
        <v>70</v>
      </c>
      <c r="B1304" t="str">
        <f>VLOOKUP(A1304,MasterTutor!A:E,4,FALSE)</f>
        <v>Distinguished</v>
      </c>
      <c r="C1304" t="str">
        <f>VLOOKUP(A1304,MasterTutor!A:E,3,FALSE)</f>
        <v>Professional</v>
      </c>
      <c r="D1304" t="str">
        <f>VLOOKUP(A1304,MasterTutor!A:E,2,FALSE)</f>
        <v>Ela Cross</v>
      </c>
      <c r="E1304" t="s">
        <v>372</v>
      </c>
      <c r="F1304" s="2">
        <v>0.45</v>
      </c>
      <c r="G1304" s="2">
        <v>0.68</v>
      </c>
      <c r="H1304" s="2">
        <v>0.98</v>
      </c>
      <c r="I1304" s="2">
        <v>0.97</v>
      </c>
      <c r="J1304" s="2">
        <v>0.78</v>
      </c>
      <c r="K1304">
        <v>6</v>
      </c>
      <c r="L1304" s="19">
        <v>1</v>
      </c>
      <c r="M1304" s="21">
        <f>L1304</f>
        <v>1</v>
      </c>
    </row>
    <row r="1305" spans="1:13" x14ac:dyDescent="0.2">
      <c r="A1305" t="s">
        <v>71</v>
      </c>
      <c r="B1305" t="str">
        <f>VLOOKUP(A1305,MasterTutor!A:E,4,FALSE)</f>
        <v>Premium</v>
      </c>
      <c r="C1305" t="str">
        <f>VLOOKUP(A1305,MasterTutor!A:E,3,FALSE)</f>
        <v>Professional</v>
      </c>
      <c r="D1305" t="str">
        <f>VLOOKUP(A1305,MasterTutor!A:E,2,FALSE)</f>
        <v>Ian Plamondon</v>
      </c>
      <c r="E1305" t="s">
        <v>372</v>
      </c>
      <c r="F1305" s="2">
        <v>0.74</v>
      </c>
      <c r="G1305" s="2">
        <v>1.0900000000000001</v>
      </c>
      <c r="H1305" s="2">
        <v>0.98</v>
      </c>
      <c r="I1305" s="2">
        <v>0.93</v>
      </c>
      <c r="J1305" s="2">
        <v>1</v>
      </c>
      <c r="K1305">
        <v>2</v>
      </c>
      <c r="L1305" s="19" t="s">
        <v>334</v>
      </c>
      <c r="M1305" s="21">
        <v>0.86</v>
      </c>
    </row>
    <row r="1306" spans="1:13" x14ac:dyDescent="0.2">
      <c r="A1306" t="s">
        <v>258</v>
      </c>
      <c r="B1306" t="str">
        <f>VLOOKUP(A1306,MasterTutor!A:E,4,FALSE)</f>
        <v>Advanced</v>
      </c>
      <c r="C1306" t="str">
        <f>VLOOKUP(A1306,MasterTutor!A:E,3,FALSE)</f>
        <v>Adjunct</v>
      </c>
      <c r="D1306" t="str">
        <f>VLOOKUP(A1306,MasterTutor!A:E,2,FALSE)</f>
        <v>Kristin Haase-Alvey</v>
      </c>
      <c r="E1306" t="s">
        <v>372</v>
      </c>
      <c r="F1306" s="2">
        <v>0.46</v>
      </c>
      <c r="G1306" s="2">
        <v>1.54</v>
      </c>
      <c r="H1306" s="2">
        <v>1</v>
      </c>
      <c r="I1306" s="2">
        <v>0.86</v>
      </c>
      <c r="J1306" s="2">
        <v>0.56999999999999995</v>
      </c>
      <c r="K1306" t="e">
        <v>#N/A</v>
      </c>
      <c r="L1306" s="19">
        <v>1</v>
      </c>
      <c r="M1306" s="21">
        <f>L1306</f>
        <v>1</v>
      </c>
    </row>
    <row r="1307" spans="1:13" x14ac:dyDescent="0.2">
      <c r="A1307" t="s">
        <v>72</v>
      </c>
      <c r="B1307" t="str">
        <f>VLOOKUP(A1307,MasterTutor!A:E,4,FALSE)</f>
        <v>Premium</v>
      </c>
      <c r="C1307" t="str">
        <f>VLOOKUP(A1307,MasterTutor!A:E,3,FALSE)</f>
        <v>Adjunct</v>
      </c>
      <c r="D1307" t="str">
        <f>VLOOKUP(A1307,MasterTutor!A:E,2,FALSE)</f>
        <v>Annelies de Groot</v>
      </c>
      <c r="E1307" t="s">
        <v>372</v>
      </c>
      <c r="F1307" s="2">
        <v>1.24</v>
      </c>
      <c r="G1307" s="2">
        <v>1.1399999999999999</v>
      </c>
      <c r="H1307" s="2">
        <v>0.98</v>
      </c>
      <c r="I1307" s="2">
        <v>1</v>
      </c>
      <c r="J1307" s="2">
        <v>1</v>
      </c>
      <c r="K1307">
        <v>2</v>
      </c>
      <c r="L1307" s="19" t="s">
        <v>338</v>
      </c>
      <c r="M1307" s="21">
        <v>0.8</v>
      </c>
    </row>
    <row r="1308" spans="1:13" x14ac:dyDescent="0.2">
      <c r="A1308" t="s">
        <v>73</v>
      </c>
      <c r="B1308" t="str">
        <f>VLOOKUP(A1308,MasterTutor!A:E,4,FALSE)</f>
        <v>Advanced</v>
      </c>
      <c r="C1308" t="str">
        <f>VLOOKUP(A1308,MasterTutor!A:E,3,FALSE)</f>
        <v>Adjunct</v>
      </c>
      <c r="D1308" t="str">
        <f>VLOOKUP(A1308,MasterTutor!A:E,2,FALSE)</f>
        <v>Geoff St. Marie</v>
      </c>
      <c r="E1308" t="s">
        <v>372</v>
      </c>
      <c r="F1308" s="2">
        <v>0.75</v>
      </c>
      <c r="G1308" s="2">
        <v>1.08</v>
      </c>
      <c r="H1308" s="2">
        <v>1</v>
      </c>
      <c r="I1308" s="2">
        <v>0.93</v>
      </c>
      <c r="J1308" s="2">
        <v>0.8</v>
      </c>
      <c r="K1308">
        <v>5</v>
      </c>
      <c r="L1308" s="19">
        <v>1</v>
      </c>
      <c r="M1308" s="21">
        <f>L1308</f>
        <v>1</v>
      </c>
    </row>
    <row r="1309" spans="1:13" x14ac:dyDescent="0.2">
      <c r="A1309" t="s">
        <v>263</v>
      </c>
      <c r="B1309" t="str">
        <f>VLOOKUP(A1309,MasterTutor!A:E,4,FALSE)</f>
        <v>Advanced</v>
      </c>
      <c r="C1309" t="str">
        <f>VLOOKUP(A1309,MasterTutor!A:E,3,FALSE)</f>
        <v>Professional</v>
      </c>
      <c r="D1309" t="str">
        <f>VLOOKUP(A1309,MasterTutor!A:E,2,FALSE)</f>
        <v>Annelies de Groot</v>
      </c>
      <c r="E1309" t="s">
        <v>372</v>
      </c>
      <c r="F1309" s="2">
        <v>0.8</v>
      </c>
      <c r="G1309" s="2">
        <v>1.03</v>
      </c>
      <c r="H1309" s="2">
        <v>0.96</v>
      </c>
      <c r="I1309" s="2">
        <v>1</v>
      </c>
      <c r="J1309" s="2">
        <v>0.67</v>
      </c>
      <c r="K1309">
        <v>6</v>
      </c>
      <c r="L1309" s="19" t="s">
        <v>330</v>
      </c>
      <c r="M1309" s="21">
        <v>0.67</v>
      </c>
    </row>
    <row r="1310" spans="1:13" x14ac:dyDescent="0.2">
      <c r="A1310" t="s">
        <v>74</v>
      </c>
      <c r="B1310" t="str">
        <f>VLOOKUP(A1310,MasterTutor!A:E,4,FALSE)</f>
        <v>Distinguished</v>
      </c>
      <c r="C1310" t="str">
        <f>VLOOKUP(A1310,MasterTutor!A:E,3,FALSE)</f>
        <v>Adjunct</v>
      </c>
      <c r="D1310" t="str">
        <f>VLOOKUP(A1310,MasterTutor!A:E,2,FALSE)</f>
        <v>Ela Cross</v>
      </c>
      <c r="E1310" t="s">
        <v>372</v>
      </c>
      <c r="F1310" s="2">
        <v>0.38</v>
      </c>
      <c r="G1310" s="2">
        <v>1.1000000000000001</v>
      </c>
      <c r="H1310" s="2">
        <v>1</v>
      </c>
      <c r="I1310" s="2">
        <v>0.89</v>
      </c>
      <c r="J1310" s="2">
        <v>0.5</v>
      </c>
      <c r="K1310">
        <v>3</v>
      </c>
    </row>
    <row r="1311" spans="1:13" x14ac:dyDescent="0.2">
      <c r="A1311" t="s">
        <v>365</v>
      </c>
      <c r="B1311" t="e">
        <f>VLOOKUP(A1311,MasterTutor!A:E,4,FALSE)</f>
        <v>#N/A</v>
      </c>
      <c r="C1311" t="e">
        <f>VLOOKUP(A1311,MasterTutor!A:E,3,FALSE)</f>
        <v>#N/A</v>
      </c>
      <c r="D1311" t="e">
        <f>VLOOKUP(A1311,MasterTutor!A:E,2,FALSE)</f>
        <v>#N/A</v>
      </c>
      <c r="E1311" t="s">
        <v>372</v>
      </c>
      <c r="F1311" s="2">
        <v>0.19</v>
      </c>
      <c r="G1311" s="2">
        <v>0.95</v>
      </c>
      <c r="H1311" s="2">
        <v>1</v>
      </c>
      <c r="I1311" s="2">
        <v>0.86</v>
      </c>
      <c r="J1311" s="2">
        <v>1</v>
      </c>
      <c r="K1311" t="e">
        <v>#N/A</v>
      </c>
    </row>
    <row r="1312" spans="1:13" x14ac:dyDescent="0.2">
      <c r="A1312" t="s">
        <v>75</v>
      </c>
      <c r="B1312" t="str">
        <f>VLOOKUP(A1312,MasterTutor!A:E,4,FALSE)</f>
        <v>Advanced</v>
      </c>
      <c r="C1312" t="str">
        <f>VLOOKUP(A1312,MasterTutor!A:E,3,FALSE)</f>
        <v>Professional</v>
      </c>
      <c r="D1312" t="str">
        <f>VLOOKUP(A1312,MasterTutor!A:E,2,FALSE)</f>
        <v>Geoff St. Marie</v>
      </c>
      <c r="E1312" t="s">
        <v>372</v>
      </c>
      <c r="F1312" s="2">
        <v>0.38</v>
      </c>
      <c r="G1312" s="2">
        <v>1.71</v>
      </c>
      <c r="H1312" s="2">
        <v>1</v>
      </c>
      <c r="I1312" s="2">
        <v>0.88</v>
      </c>
      <c r="J1312" s="2">
        <v>0.75</v>
      </c>
      <c r="K1312">
        <v>4</v>
      </c>
      <c r="L1312" s="19" t="s">
        <v>360</v>
      </c>
      <c r="M1312" s="21">
        <v>0.4</v>
      </c>
    </row>
    <row r="1313" spans="1:13" x14ac:dyDescent="0.2">
      <c r="A1313" t="s">
        <v>265</v>
      </c>
      <c r="B1313" t="str">
        <f>VLOOKUP(A1313,MasterTutor!A:E,4,FALSE)</f>
        <v>Advanced</v>
      </c>
      <c r="C1313" t="str">
        <f>VLOOKUP(A1313,MasterTutor!A:E,3,FALSE)</f>
        <v>Adjunct</v>
      </c>
      <c r="D1313" t="str">
        <f>VLOOKUP(A1313,MasterTutor!A:E,2,FALSE)</f>
        <v>Kristin Haase-Alvey</v>
      </c>
      <c r="E1313" t="s">
        <v>372</v>
      </c>
      <c r="F1313" s="2">
        <v>0.46</v>
      </c>
      <c r="G1313" s="2">
        <v>1.1599999999999999</v>
      </c>
      <c r="H1313" s="2">
        <v>1</v>
      </c>
      <c r="I1313" s="2">
        <v>0.81</v>
      </c>
      <c r="J1313" s="2">
        <v>1</v>
      </c>
      <c r="K1313">
        <v>1</v>
      </c>
      <c r="L1313" s="19">
        <v>1</v>
      </c>
      <c r="M1313" s="21">
        <f>L1313</f>
        <v>1</v>
      </c>
    </row>
    <row r="1314" spans="1:13" x14ac:dyDescent="0.2">
      <c r="A1314" t="s">
        <v>76</v>
      </c>
      <c r="B1314" t="e">
        <f>VLOOKUP(A1314,MasterTutor!A:E,4,FALSE)</f>
        <v>#N/A</v>
      </c>
      <c r="C1314" t="e">
        <f>VLOOKUP(A1314,MasterTutor!A:E,3,FALSE)</f>
        <v>#N/A</v>
      </c>
      <c r="D1314" t="e">
        <f>VLOOKUP(A1314,MasterTutor!A:E,2,FALSE)</f>
        <v>#N/A</v>
      </c>
      <c r="E1314" t="s">
        <v>372</v>
      </c>
      <c r="F1314" s="2">
        <v>0.21</v>
      </c>
      <c r="G1314" s="2">
        <v>1.05</v>
      </c>
      <c r="H1314" s="2">
        <v>1</v>
      </c>
      <c r="I1314" s="2">
        <v>0.7</v>
      </c>
      <c r="J1314" s="2">
        <v>0.17</v>
      </c>
      <c r="K1314" t="e">
        <v>#N/A</v>
      </c>
    </row>
    <row r="1315" spans="1:13" x14ac:dyDescent="0.2">
      <c r="A1315" t="s">
        <v>77</v>
      </c>
      <c r="B1315" t="str">
        <f>VLOOKUP(A1315,MasterTutor!A:E,4,FALSE)</f>
        <v>Distinguished</v>
      </c>
      <c r="C1315" t="str">
        <f>VLOOKUP(A1315,MasterTutor!A:E,3,FALSE)</f>
        <v>Professional</v>
      </c>
      <c r="D1315" t="str">
        <f>VLOOKUP(A1315,MasterTutor!A:E,2,FALSE)</f>
        <v>Ian Plamondon</v>
      </c>
      <c r="E1315" t="s">
        <v>372</v>
      </c>
      <c r="F1315" s="2">
        <v>0.35</v>
      </c>
      <c r="G1315" s="2">
        <v>0.91</v>
      </c>
      <c r="H1315" s="2">
        <v>0.94</v>
      </c>
      <c r="I1315" s="2">
        <v>1</v>
      </c>
      <c r="J1315" s="2">
        <v>0.5</v>
      </c>
      <c r="K1315">
        <v>0</v>
      </c>
      <c r="L1315" s="19">
        <v>0</v>
      </c>
      <c r="M1315" s="21">
        <f>L1315</f>
        <v>0</v>
      </c>
    </row>
    <row r="1316" spans="1:13" x14ac:dyDescent="0.2">
      <c r="A1316" t="s">
        <v>78</v>
      </c>
      <c r="B1316" t="str">
        <f>VLOOKUP(A1316,MasterTutor!A:E,4,FALSE)</f>
        <v>Distinguished</v>
      </c>
      <c r="C1316" t="str">
        <f>VLOOKUP(A1316,MasterTutor!A:E,3,FALSE)</f>
        <v>Adjunct</v>
      </c>
      <c r="D1316" t="str">
        <f>VLOOKUP(A1316,MasterTutor!A:E,2,FALSE)</f>
        <v>Geoff St. Marie</v>
      </c>
      <c r="E1316" t="s">
        <v>372</v>
      </c>
      <c r="F1316" s="2">
        <v>0.23</v>
      </c>
      <c r="G1316" s="2">
        <v>1.0900000000000001</v>
      </c>
      <c r="H1316" s="2">
        <v>1</v>
      </c>
      <c r="I1316" s="2">
        <v>1</v>
      </c>
      <c r="J1316" s="2">
        <v>0.6</v>
      </c>
      <c r="K1316" t="e">
        <v>#N/A</v>
      </c>
    </row>
    <row r="1317" spans="1:13" x14ac:dyDescent="0.2">
      <c r="A1317" t="s">
        <v>79</v>
      </c>
      <c r="B1317" t="str">
        <f>VLOOKUP(A1317,MasterTutor!A:E,4,FALSE)</f>
        <v>Premium</v>
      </c>
      <c r="C1317" t="str">
        <f>VLOOKUP(A1317,MasterTutor!A:E,3,FALSE)</f>
        <v>Professional</v>
      </c>
      <c r="D1317" t="str">
        <f>VLOOKUP(A1317,MasterTutor!A:E,2,FALSE)</f>
        <v>Ian Plamondon</v>
      </c>
      <c r="E1317" t="s">
        <v>372</v>
      </c>
      <c r="F1317" s="2">
        <v>0.41</v>
      </c>
      <c r="G1317" s="2">
        <v>1.1499999999999999</v>
      </c>
      <c r="H1317" s="2">
        <v>0.98</v>
      </c>
      <c r="I1317" s="2">
        <v>0.89</v>
      </c>
      <c r="J1317" s="2">
        <v>0.8</v>
      </c>
      <c r="K1317">
        <v>1</v>
      </c>
      <c r="L1317" s="19">
        <v>0</v>
      </c>
      <c r="M1317" s="21">
        <f>L1317</f>
        <v>0</v>
      </c>
    </row>
    <row r="1318" spans="1:13" x14ac:dyDescent="0.2">
      <c r="A1318" t="s">
        <v>81</v>
      </c>
      <c r="B1318" t="str">
        <f>VLOOKUP(A1318,MasterTutor!A:E,4,FALSE)</f>
        <v>Distinguished</v>
      </c>
      <c r="C1318" t="str">
        <f>VLOOKUP(A1318,MasterTutor!A:E,3,FALSE)</f>
        <v>Professional</v>
      </c>
      <c r="D1318" t="str">
        <f>VLOOKUP(A1318,MasterTutor!A:E,2,FALSE)</f>
        <v>Ian Plamondon</v>
      </c>
      <c r="E1318" t="s">
        <v>372</v>
      </c>
      <c r="F1318" s="2">
        <v>0.44</v>
      </c>
      <c r="G1318" s="2">
        <v>1.31</v>
      </c>
      <c r="H1318" s="2">
        <v>1</v>
      </c>
      <c r="I1318" s="2">
        <v>1</v>
      </c>
      <c r="J1318" s="2">
        <v>0.22</v>
      </c>
      <c r="K1318">
        <v>1</v>
      </c>
      <c r="L1318" s="19">
        <v>1</v>
      </c>
      <c r="M1318" s="21">
        <f>L1318</f>
        <v>1</v>
      </c>
    </row>
    <row r="1319" spans="1:13" x14ac:dyDescent="0.2">
      <c r="A1319" t="s">
        <v>268</v>
      </c>
      <c r="B1319" t="str">
        <f>VLOOKUP(A1319,MasterTutor!A:E,4,FALSE)</f>
        <v>Advanced</v>
      </c>
      <c r="C1319" t="str">
        <f>VLOOKUP(A1319,MasterTutor!A:E,3,FALSE)</f>
        <v xml:space="preserve">Adjunct </v>
      </c>
      <c r="D1319" t="str">
        <f>VLOOKUP(A1319,MasterTutor!A:E,2,FALSE)</f>
        <v>Kristin Haase-Alvey</v>
      </c>
      <c r="E1319" t="s">
        <v>372</v>
      </c>
      <c r="F1319" s="2">
        <v>0.66</v>
      </c>
      <c r="G1319" s="2">
        <v>0.96</v>
      </c>
      <c r="H1319" s="2">
        <v>0.99</v>
      </c>
      <c r="I1319" s="2">
        <v>1</v>
      </c>
      <c r="J1319" s="2">
        <v>0.77</v>
      </c>
      <c r="K1319">
        <v>6</v>
      </c>
      <c r="L1319" s="19" t="s">
        <v>336</v>
      </c>
      <c r="M1319" s="21">
        <v>0.6</v>
      </c>
    </row>
    <row r="1320" spans="1:13" x14ac:dyDescent="0.2">
      <c r="A1320" t="s">
        <v>353</v>
      </c>
      <c r="B1320" t="e">
        <f>VLOOKUP(A1320,MasterTutor!A:E,4,FALSE)</f>
        <v>#N/A</v>
      </c>
      <c r="C1320" t="e">
        <f>VLOOKUP(A1320,MasterTutor!A:E,3,FALSE)</f>
        <v>#N/A</v>
      </c>
      <c r="D1320" t="e">
        <f>VLOOKUP(A1320,MasterTutor!A:E,2,FALSE)</f>
        <v>#N/A</v>
      </c>
      <c r="E1320" t="s">
        <v>372</v>
      </c>
      <c r="F1320" s="2">
        <v>0.55000000000000004</v>
      </c>
      <c r="G1320" s="2">
        <v>0.74</v>
      </c>
      <c r="H1320" s="2">
        <v>1</v>
      </c>
      <c r="I1320" s="2">
        <v>0.93</v>
      </c>
      <c r="J1320" s="2">
        <v>0.55000000000000004</v>
      </c>
      <c r="K1320">
        <v>8</v>
      </c>
      <c r="L1320" s="19" t="s">
        <v>344</v>
      </c>
      <c r="M1320" s="21">
        <v>0.83</v>
      </c>
    </row>
    <row r="1321" spans="1:13" x14ac:dyDescent="0.2">
      <c r="A1321" t="s">
        <v>270</v>
      </c>
      <c r="B1321" t="e">
        <f>VLOOKUP(A1321,MasterTutor!A:E,4,FALSE)</f>
        <v>#N/A</v>
      </c>
      <c r="C1321" t="e">
        <f>VLOOKUP(A1321,MasterTutor!A:E,3,FALSE)</f>
        <v>#N/A</v>
      </c>
      <c r="D1321" t="e">
        <f>VLOOKUP(A1321,MasterTutor!A:E,2,FALSE)</f>
        <v>#N/A</v>
      </c>
      <c r="E1321" t="s">
        <v>372</v>
      </c>
      <c r="F1321" s="2">
        <v>0.49</v>
      </c>
      <c r="G1321" s="2">
        <v>1.1200000000000001</v>
      </c>
      <c r="H1321" s="2">
        <v>0.86</v>
      </c>
      <c r="I1321" s="2">
        <v>0.78</v>
      </c>
      <c r="J1321" s="2">
        <v>0.68</v>
      </c>
      <c r="K1321">
        <v>1</v>
      </c>
      <c r="L1321" s="19" t="s">
        <v>330</v>
      </c>
      <c r="M1321" s="21">
        <v>0.67</v>
      </c>
    </row>
    <row r="1322" spans="1:13" x14ac:dyDescent="0.2">
      <c r="A1322" t="s">
        <v>82</v>
      </c>
      <c r="B1322" t="str">
        <f>VLOOKUP(A1322,MasterTutor!A:E,4,FALSE)</f>
        <v>Premium</v>
      </c>
      <c r="C1322" t="str">
        <f>VLOOKUP(A1322,MasterTutor!A:E,3,FALSE)</f>
        <v>Adjunct</v>
      </c>
      <c r="D1322" t="str">
        <f>VLOOKUP(A1322,MasterTutor!A:E,2,FALSE)</f>
        <v>Jessica Milner</v>
      </c>
      <c r="E1322" t="s">
        <v>372</v>
      </c>
      <c r="F1322" s="2">
        <v>0.44</v>
      </c>
      <c r="G1322" s="2">
        <v>0.92</v>
      </c>
      <c r="H1322" s="2">
        <v>1</v>
      </c>
      <c r="I1322" s="2">
        <v>0.97</v>
      </c>
      <c r="J1322" s="2">
        <v>1</v>
      </c>
      <c r="K1322">
        <v>3</v>
      </c>
      <c r="L1322" s="19">
        <v>1</v>
      </c>
      <c r="M1322" s="21">
        <f>L1322</f>
        <v>1</v>
      </c>
    </row>
    <row r="1323" spans="1:13" x14ac:dyDescent="0.2">
      <c r="A1323" t="s">
        <v>83</v>
      </c>
      <c r="B1323" t="str">
        <f>VLOOKUP(A1323,MasterTutor!A:E,4,FALSE)</f>
        <v>Premium</v>
      </c>
      <c r="C1323" t="str">
        <f>VLOOKUP(A1323,MasterTutor!A:E,3,FALSE)</f>
        <v>Professional</v>
      </c>
      <c r="D1323" t="str">
        <f>VLOOKUP(A1323,MasterTutor!A:E,2,FALSE)</f>
        <v>Jessica Milner</v>
      </c>
      <c r="E1323" t="s">
        <v>372</v>
      </c>
      <c r="F1323" s="2">
        <v>0.56999999999999995</v>
      </c>
      <c r="G1323" s="2">
        <v>1.53</v>
      </c>
      <c r="H1323" s="2">
        <v>1</v>
      </c>
      <c r="I1323" s="2">
        <v>0.98</v>
      </c>
      <c r="J1323" s="2">
        <v>0.95</v>
      </c>
      <c r="K1323">
        <v>1</v>
      </c>
      <c r="L1323" s="19" t="s">
        <v>331</v>
      </c>
      <c r="M1323" s="21">
        <v>0.5</v>
      </c>
    </row>
    <row r="1324" spans="1:13" x14ac:dyDescent="0.2">
      <c r="A1324" t="s">
        <v>84</v>
      </c>
      <c r="B1324" t="str">
        <f>VLOOKUP(A1324,MasterTutor!A:E,4,FALSE)</f>
        <v>Advanced</v>
      </c>
      <c r="C1324" t="str">
        <f>VLOOKUP(A1324,MasterTutor!A:E,3,FALSE)</f>
        <v>Professional</v>
      </c>
      <c r="D1324" t="str">
        <f>VLOOKUP(A1324,MasterTutor!A:E,2,FALSE)</f>
        <v>Kristin Haase-Alvey</v>
      </c>
      <c r="E1324" t="s">
        <v>372</v>
      </c>
      <c r="F1324" s="2">
        <v>0.41</v>
      </c>
      <c r="G1324" s="2">
        <v>0.7</v>
      </c>
      <c r="H1324" s="2">
        <v>1</v>
      </c>
      <c r="I1324" s="2">
        <v>0.96</v>
      </c>
      <c r="J1324" s="2">
        <v>0.56000000000000005</v>
      </c>
      <c r="K1324">
        <v>3</v>
      </c>
      <c r="L1324" s="19" t="s">
        <v>335</v>
      </c>
      <c r="M1324" s="21">
        <v>0.25</v>
      </c>
    </row>
    <row r="1325" spans="1:13" x14ac:dyDescent="0.2">
      <c r="A1325" t="s">
        <v>85</v>
      </c>
      <c r="B1325" t="str">
        <f>VLOOKUP(A1325,MasterTutor!A:E,4,FALSE)</f>
        <v>Premium</v>
      </c>
      <c r="C1325" t="str">
        <f>VLOOKUP(A1325,MasterTutor!A:E,3,FALSE)</f>
        <v>Professional</v>
      </c>
      <c r="D1325" t="str">
        <f>VLOOKUP(A1325,MasterTutor!A:E,2,FALSE)</f>
        <v>Ian Plamondon</v>
      </c>
      <c r="E1325" t="s">
        <v>372</v>
      </c>
      <c r="F1325" s="2">
        <v>0.86</v>
      </c>
      <c r="G1325" s="2">
        <v>1.74</v>
      </c>
      <c r="H1325" s="2">
        <v>1</v>
      </c>
      <c r="I1325" s="2">
        <v>0.96</v>
      </c>
      <c r="J1325" s="2">
        <v>0.85</v>
      </c>
      <c r="K1325">
        <v>5</v>
      </c>
      <c r="L1325" s="19">
        <v>1</v>
      </c>
      <c r="M1325" s="21">
        <f>L1325</f>
        <v>1</v>
      </c>
    </row>
    <row r="1326" spans="1:13" x14ac:dyDescent="0.2">
      <c r="A1326" t="s">
        <v>86</v>
      </c>
      <c r="B1326" t="e">
        <f>VLOOKUP(A1326,MasterTutor!A:E,4,FALSE)</f>
        <v>#N/A</v>
      </c>
      <c r="C1326" t="e">
        <f>VLOOKUP(A1326,MasterTutor!A:E,3,FALSE)</f>
        <v>#N/A</v>
      </c>
      <c r="D1326" t="e">
        <f>VLOOKUP(A1326,MasterTutor!A:E,2,FALSE)</f>
        <v>#N/A</v>
      </c>
      <c r="E1326" t="s">
        <v>372</v>
      </c>
      <c r="F1326" s="2">
        <v>0.19</v>
      </c>
      <c r="G1326" s="2">
        <v>1.0900000000000001</v>
      </c>
      <c r="H1326" s="2">
        <v>0.83</v>
      </c>
      <c r="I1326" s="2">
        <v>0</v>
      </c>
      <c r="J1326" s="2">
        <v>0</v>
      </c>
      <c r="K1326" t="e">
        <v>#N/A</v>
      </c>
    </row>
    <row r="1327" spans="1:13" x14ac:dyDescent="0.2">
      <c r="A1327" t="s">
        <v>87</v>
      </c>
      <c r="B1327" t="str">
        <f>VLOOKUP(A1327,MasterTutor!A:E,4,FALSE)</f>
        <v>Advanced</v>
      </c>
      <c r="C1327" t="str">
        <f>VLOOKUP(A1327,MasterTutor!A:E,3,FALSE)</f>
        <v>Adjunct</v>
      </c>
      <c r="D1327" t="str">
        <f>VLOOKUP(A1327,MasterTutor!A:E,2,FALSE)</f>
        <v>Ela Cross</v>
      </c>
      <c r="E1327" t="s">
        <v>372</v>
      </c>
      <c r="F1327" s="2">
        <v>0.59</v>
      </c>
      <c r="G1327" s="2">
        <v>1.02</v>
      </c>
      <c r="H1327" s="2">
        <v>1</v>
      </c>
      <c r="I1327" s="2">
        <v>1</v>
      </c>
      <c r="J1327" s="2">
        <v>0.88</v>
      </c>
      <c r="K1327">
        <v>8</v>
      </c>
      <c r="L1327" s="19" t="s">
        <v>336</v>
      </c>
      <c r="M1327" s="21">
        <v>0.6</v>
      </c>
    </row>
    <row r="1328" spans="1:13" x14ac:dyDescent="0.2">
      <c r="A1328" t="s">
        <v>88</v>
      </c>
      <c r="B1328" t="str">
        <f>VLOOKUP(A1328,MasterTutor!A:E,4,FALSE)</f>
        <v>Distinguished</v>
      </c>
      <c r="C1328" t="str">
        <f>VLOOKUP(A1328,MasterTutor!A:E,3,FALSE)</f>
        <v>Professional</v>
      </c>
      <c r="D1328" t="str">
        <f>VLOOKUP(A1328,MasterTutor!A:E,2,FALSE)</f>
        <v>Ian Plamondon</v>
      </c>
      <c r="E1328" t="s">
        <v>372</v>
      </c>
      <c r="F1328" s="2">
        <v>0.53</v>
      </c>
      <c r="G1328" s="2">
        <v>1.08</v>
      </c>
      <c r="H1328" s="2">
        <v>1</v>
      </c>
      <c r="I1328" s="2">
        <v>1</v>
      </c>
      <c r="J1328" s="2">
        <v>0.75</v>
      </c>
      <c r="K1328">
        <v>5</v>
      </c>
      <c r="L1328" s="19" t="s">
        <v>329</v>
      </c>
      <c r="M1328" s="21">
        <v>0.75</v>
      </c>
    </row>
    <row r="1329" spans="1:13" x14ac:dyDescent="0.2">
      <c r="A1329" t="s">
        <v>272</v>
      </c>
      <c r="B1329" t="str">
        <f>VLOOKUP(A1329,MasterTutor!A:E,4,FALSE)</f>
        <v>Advanced</v>
      </c>
      <c r="C1329" t="str">
        <f>VLOOKUP(A1329,MasterTutor!A:E,3,FALSE)</f>
        <v xml:space="preserve">Professional </v>
      </c>
      <c r="D1329" t="str">
        <f>VLOOKUP(A1329,MasterTutor!A:E,2,FALSE)</f>
        <v>Ian Plamondon</v>
      </c>
      <c r="E1329" t="s">
        <v>372</v>
      </c>
      <c r="F1329" s="2">
        <v>0.1</v>
      </c>
      <c r="G1329" s="2">
        <v>1.04</v>
      </c>
      <c r="H1329" s="2">
        <v>1</v>
      </c>
      <c r="I1329" s="2">
        <v>0.43</v>
      </c>
      <c r="J1329" s="2">
        <v>0.8</v>
      </c>
      <c r="K1329">
        <v>1</v>
      </c>
      <c r="L1329" s="19">
        <v>1</v>
      </c>
      <c r="M1329" s="21">
        <f>L1329</f>
        <v>1</v>
      </c>
    </row>
    <row r="1330" spans="1:13" x14ac:dyDescent="0.2">
      <c r="A1330" t="s">
        <v>89</v>
      </c>
      <c r="B1330" t="e">
        <f>VLOOKUP(A1330,MasterTutor!A:E,4,FALSE)</f>
        <v>#N/A</v>
      </c>
      <c r="C1330" t="e">
        <f>VLOOKUP(A1330,MasterTutor!A:E,3,FALSE)</f>
        <v>#N/A</v>
      </c>
      <c r="D1330" t="e">
        <f>VLOOKUP(A1330,MasterTutor!A:E,2,FALSE)</f>
        <v>#N/A</v>
      </c>
      <c r="E1330" t="s">
        <v>372</v>
      </c>
      <c r="F1330" s="2">
        <v>0.41</v>
      </c>
      <c r="G1330" s="2">
        <v>0.38</v>
      </c>
      <c r="H1330" s="2">
        <v>1</v>
      </c>
      <c r="I1330" s="2">
        <v>0.78</v>
      </c>
      <c r="J1330" s="2">
        <v>0.56999999999999995</v>
      </c>
      <c r="K1330">
        <v>4</v>
      </c>
      <c r="L1330" s="19">
        <v>0</v>
      </c>
      <c r="M1330" s="21">
        <f>L1330</f>
        <v>0</v>
      </c>
    </row>
    <row r="1331" spans="1:13" x14ac:dyDescent="0.2">
      <c r="A1331" t="s">
        <v>90</v>
      </c>
      <c r="B1331" t="str">
        <f>VLOOKUP(A1331,MasterTutor!A:E,4,FALSE)</f>
        <v>Advanced</v>
      </c>
      <c r="C1331" t="str">
        <f>VLOOKUP(A1331,MasterTutor!A:E,3,FALSE)</f>
        <v>Adjunct</v>
      </c>
      <c r="D1331" t="str">
        <f>VLOOKUP(A1331,MasterTutor!A:E,2,FALSE)</f>
        <v>Ela Cross</v>
      </c>
      <c r="E1331" t="s">
        <v>372</v>
      </c>
      <c r="F1331" s="2">
        <v>0.75</v>
      </c>
      <c r="G1331" s="2">
        <v>0.94</v>
      </c>
      <c r="H1331" s="2">
        <v>1</v>
      </c>
      <c r="I1331" s="2">
        <v>0.96</v>
      </c>
      <c r="J1331" s="2">
        <v>0.62</v>
      </c>
      <c r="K1331">
        <v>5</v>
      </c>
      <c r="L1331" s="19" t="s">
        <v>331</v>
      </c>
      <c r="M1331" s="21">
        <v>0.5</v>
      </c>
    </row>
    <row r="1332" spans="1:13" x14ac:dyDescent="0.2">
      <c r="A1332" t="s">
        <v>92</v>
      </c>
      <c r="B1332" t="str">
        <f>VLOOKUP(A1332,MasterTutor!A:E,4,FALSE)</f>
        <v>Premium</v>
      </c>
      <c r="C1332" t="str">
        <f>VLOOKUP(A1332,MasterTutor!A:E,3,FALSE)</f>
        <v>Professional</v>
      </c>
      <c r="D1332" t="str">
        <f>VLOOKUP(A1332,MasterTutor!A:E,2,FALSE)</f>
        <v>Ian Plamondon</v>
      </c>
      <c r="E1332" t="s">
        <v>372</v>
      </c>
      <c r="F1332" s="2">
        <v>0.65</v>
      </c>
      <c r="G1332" s="2">
        <v>1.19</v>
      </c>
      <c r="H1332" s="2">
        <v>1</v>
      </c>
      <c r="I1332" s="2">
        <v>0.98</v>
      </c>
      <c r="J1332" s="2">
        <v>0.94</v>
      </c>
      <c r="K1332" t="e">
        <v>#N/A</v>
      </c>
      <c r="L1332" s="19">
        <v>1</v>
      </c>
      <c r="M1332" s="21">
        <f>L1332</f>
        <v>1</v>
      </c>
    </row>
    <row r="1333" spans="1:13" x14ac:dyDescent="0.2">
      <c r="A1333" t="s">
        <v>93</v>
      </c>
      <c r="B1333" t="str">
        <f>VLOOKUP(A1333,MasterTutor!A:E,4,FALSE)</f>
        <v>Advanced</v>
      </c>
      <c r="C1333" t="str">
        <f>VLOOKUP(A1333,MasterTutor!A:E,3,FALSE)</f>
        <v>Professional</v>
      </c>
      <c r="D1333" t="str">
        <f>VLOOKUP(A1333,MasterTutor!A:E,2,FALSE)</f>
        <v>Ian Plamondon</v>
      </c>
      <c r="E1333" t="s">
        <v>372</v>
      </c>
      <c r="F1333" s="2">
        <v>0.66</v>
      </c>
      <c r="G1333" s="2">
        <v>0.97</v>
      </c>
      <c r="H1333" s="2">
        <v>1</v>
      </c>
      <c r="I1333" s="2">
        <v>0.93</v>
      </c>
      <c r="J1333" s="2">
        <v>0.79</v>
      </c>
      <c r="K1333">
        <v>8</v>
      </c>
      <c r="L1333" s="19" t="s">
        <v>329</v>
      </c>
      <c r="M1333" s="21">
        <v>0.75</v>
      </c>
    </row>
    <row r="1334" spans="1:13" x14ac:dyDescent="0.2">
      <c r="A1334" t="s">
        <v>94</v>
      </c>
      <c r="B1334" t="str">
        <f>VLOOKUP(A1334,MasterTutor!A:E,4,FALSE)</f>
        <v>Premium</v>
      </c>
      <c r="C1334" t="str">
        <f>VLOOKUP(A1334,MasterTutor!A:E,3,FALSE)</f>
        <v>Professional</v>
      </c>
      <c r="D1334" t="str">
        <f>VLOOKUP(A1334,MasterTutor!A:E,2,FALSE)</f>
        <v>Jessica Milner</v>
      </c>
      <c r="E1334" t="s">
        <v>372</v>
      </c>
      <c r="F1334" s="2">
        <v>0.78</v>
      </c>
      <c r="G1334" s="2">
        <v>1.07</v>
      </c>
      <c r="H1334" s="2">
        <v>1</v>
      </c>
      <c r="I1334" s="2">
        <v>0.98</v>
      </c>
      <c r="J1334" s="2">
        <v>0.67</v>
      </c>
      <c r="K1334">
        <v>2</v>
      </c>
      <c r="L1334" s="19">
        <v>1</v>
      </c>
      <c r="M1334" s="21">
        <f>L1334</f>
        <v>1</v>
      </c>
    </row>
    <row r="1335" spans="1:13" x14ac:dyDescent="0.2">
      <c r="A1335" t="s">
        <v>95</v>
      </c>
      <c r="B1335" t="str">
        <f>VLOOKUP(A1335,MasterTutor!A:E,4,FALSE)</f>
        <v>Advanced</v>
      </c>
      <c r="C1335" t="str">
        <f>VLOOKUP(A1335,MasterTutor!A:E,3,FALSE)</f>
        <v>Professional</v>
      </c>
      <c r="D1335" t="str">
        <f>VLOOKUP(A1335,MasterTutor!A:E,2,FALSE)</f>
        <v>Kristin Haase-Alvey</v>
      </c>
      <c r="E1335" t="s">
        <v>372</v>
      </c>
      <c r="F1335" s="2">
        <v>0.14000000000000001</v>
      </c>
      <c r="G1335" s="2">
        <v>0.47</v>
      </c>
      <c r="H1335" s="2">
        <v>0.95</v>
      </c>
      <c r="I1335" s="2">
        <v>0.83</v>
      </c>
      <c r="J1335" s="2">
        <v>0.57999999999999996</v>
      </c>
      <c r="K1335">
        <v>2</v>
      </c>
      <c r="L1335" s="19">
        <v>1</v>
      </c>
      <c r="M1335" s="21">
        <f>L1335</f>
        <v>1</v>
      </c>
    </row>
    <row r="1336" spans="1:13" x14ac:dyDescent="0.2">
      <c r="A1336" t="s">
        <v>96</v>
      </c>
      <c r="B1336" t="str">
        <f>VLOOKUP(A1336,MasterTutor!A:E,4,FALSE)</f>
        <v>Distinguished</v>
      </c>
      <c r="C1336" t="str">
        <f>VLOOKUP(A1336,MasterTutor!A:E,3,FALSE)</f>
        <v>Adjunct</v>
      </c>
      <c r="D1336" t="str">
        <f>VLOOKUP(A1336,MasterTutor!A:E,2,FALSE)</f>
        <v>Kristin Haase-Alvey</v>
      </c>
      <c r="E1336" t="s">
        <v>372</v>
      </c>
      <c r="F1336" s="2">
        <v>0.33</v>
      </c>
      <c r="G1336" s="2">
        <v>1.05</v>
      </c>
      <c r="H1336" s="2">
        <v>1</v>
      </c>
      <c r="I1336" s="2">
        <v>1</v>
      </c>
      <c r="J1336" s="2">
        <v>0.91</v>
      </c>
      <c r="K1336">
        <v>4</v>
      </c>
    </row>
    <row r="1337" spans="1:13" x14ac:dyDescent="0.2">
      <c r="A1337" t="s">
        <v>97</v>
      </c>
      <c r="B1337" t="str">
        <f>VLOOKUP(A1337,MasterTutor!A:E,4,FALSE)</f>
        <v>Advanced</v>
      </c>
      <c r="C1337" t="str">
        <f>VLOOKUP(A1337,MasterTutor!A:E,3,FALSE)</f>
        <v>Professional</v>
      </c>
      <c r="D1337" t="str">
        <f>VLOOKUP(A1337,MasterTutor!A:E,2,FALSE)</f>
        <v>Kristin Haase-Alvey</v>
      </c>
      <c r="E1337" t="s">
        <v>372</v>
      </c>
      <c r="F1337" s="2">
        <v>0.63</v>
      </c>
      <c r="G1337" s="2">
        <v>1.08</v>
      </c>
      <c r="H1337" s="2">
        <v>1</v>
      </c>
      <c r="I1337" s="2">
        <v>0.91</v>
      </c>
      <c r="J1337" s="2">
        <v>0.82</v>
      </c>
      <c r="K1337">
        <v>2</v>
      </c>
    </row>
    <row r="1338" spans="1:13" x14ac:dyDescent="0.2">
      <c r="A1338" t="s">
        <v>98</v>
      </c>
      <c r="B1338" t="str">
        <f>VLOOKUP(A1338,MasterTutor!A:E,4,FALSE)</f>
        <v>Premium</v>
      </c>
      <c r="C1338" t="str">
        <f>VLOOKUP(A1338,MasterTutor!A:E,3,FALSE)</f>
        <v>Adjunct</v>
      </c>
      <c r="D1338" t="str">
        <f>VLOOKUP(A1338,MasterTutor!A:E,2,FALSE)</f>
        <v>Ela Cross</v>
      </c>
      <c r="E1338" t="s">
        <v>372</v>
      </c>
      <c r="F1338" s="2">
        <v>1.23</v>
      </c>
      <c r="G1338" s="2">
        <v>1.94</v>
      </c>
      <c r="H1338" s="2">
        <v>1</v>
      </c>
      <c r="I1338" s="2">
        <v>1</v>
      </c>
      <c r="J1338" s="2">
        <v>0.8</v>
      </c>
      <c r="K1338" t="e">
        <v>#N/A</v>
      </c>
      <c r="L1338" s="19" t="s">
        <v>338</v>
      </c>
      <c r="M1338" s="21">
        <v>0.8</v>
      </c>
    </row>
    <row r="1339" spans="1:13" x14ac:dyDescent="0.2">
      <c r="A1339" t="s">
        <v>100</v>
      </c>
      <c r="B1339" t="str">
        <f>VLOOKUP(A1339,MasterTutor!A:E,4,FALSE)</f>
        <v>Premium</v>
      </c>
      <c r="C1339" t="str">
        <f>VLOOKUP(A1339,MasterTutor!A:E,3,FALSE)</f>
        <v>Adjunct</v>
      </c>
      <c r="D1339" t="str">
        <f>VLOOKUP(A1339,MasterTutor!A:E,2,FALSE)</f>
        <v>Annelies de Groot</v>
      </c>
      <c r="E1339" t="s">
        <v>372</v>
      </c>
      <c r="F1339" s="2">
        <v>0.91</v>
      </c>
      <c r="G1339" s="2">
        <v>1.48</v>
      </c>
      <c r="H1339" s="2">
        <v>0.98</v>
      </c>
      <c r="I1339" s="2">
        <v>1</v>
      </c>
      <c r="J1339" s="2">
        <v>0.9</v>
      </c>
      <c r="K1339">
        <v>1</v>
      </c>
      <c r="L1339" s="19" t="s">
        <v>331</v>
      </c>
      <c r="M1339" s="21">
        <v>0.5</v>
      </c>
    </row>
    <row r="1340" spans="1:13" x14ac:dyDescent="0.2">
      <c r="A1340" t="s">
        <v>101</v>
      </c>
      <c r="B1340" t="str">
        <f>VLOOKUP(A1340,MasterTutor!A:E,4,FALSE)</f>
        <v>Advanced</v>
      </c>
      <c r="C1340" t="str">
        <f>VLOOKUP(A1340,MasterTutor!A:E,3,FALSE)</f>
        <v>Professional</v>
      </c>
      <c r="D1340" t="str">
        <f>VLOOKUP(A1340,MasterTutor!A:E,2,FALSE)</f>
        <v>Kristin Haase-Alvey</v>
      </c>
      <c r="E1340" t="s">
        <v>372</v>
      </c>
      <c r="F1340" s="2">
        <v>0.38</v>
      </c>
      <c r="G1340" s="2">
        <v>1.04</v>
      </c>
      <c r="H1340" s="2">
        <v>1</v>
      </c>
      <c r="I1340" s="2">
        <v>0.91</v>
      </c>
      <c r="J1340" s="2">
        <v>1</v>
      </c>
      <c r="K1340" t="e">
        <v>#N/A</v>
      </c>
      <c r="L1340" s="19">
        <v>0</v>
      </c>
      <c r="M1340" s="21">
        <f>L1340</f>
        <v>0</v>
      </c>
    </row>
    <row r="1341" spans="1:13" x14ac:dyDescent="0.2">
      <c r="A1341" t="s">
        <v>103</v>
      </c>
      <c r="B1341" t="str">
        <f>VLOOKUP(A1341,MasterTutor!A:E,4,FALSE)</f>
        <v>Distinguished</v>
      </c>
      <c r="C1341" t="str">
        <f>VLOOKUP(A1341,MasterTutor!A:E,3,FALSE)</f>
        <v>Adjunct</v>
      </c>
      <c r="D1341" t="str">
        <f>VLOOKUP(A1341,MasterTutor!A:E,2,FALSE)</f>
        <v>Kristin Haase-Alvey</v>
      </c>
      <c r="E1341" t="s">
        <v>372</v>
      </c>
      <c r="F1341" s="2">
        <v>0.34</v>
      </c>
      <c r="G1341" s="2">
        <v>1.06</v>
      </c>
      <c r="H1341" s="2">
        <v>0.96</v>
      </c>
      <c r="I1341" s="2">
        <v>1</v>
      </c>
      <c r="J1341" s="2">
        <v>0.64</v>
      </c>
      <c r="K1341">
        <v>1</v>
      </c>
      <c r="L1341" s="19">
        <v>1</v>
      </c>
      <c r="M1341" s="21">
        <f>L1341</f>
        <v>1</v>
      </c>
    </row>
    <row r="1342" spans="1:13" x14ac:dyDescent="0.2">
      <c r="A1342" t="s">
        <v>104</v>
      </c>
      <c r="B1342" t="e">
        <f>VLOOKUP(A1342,MasterTutor!A:E,4,FALSE)</f>
        <v>#N/A</v>
      </c>
      <c r="C1342" t="e">
        <f>VLOOKUP(A1342,MasterTutor!A:E,3,FALSE)</f>
        <v>#N/A</v>
      </c>
      <c r="D1342" t="e">
        <f>VLOOKUP(A1342,MasterTutor!A:E,2,FALSE)</f>
        <v>#N/A</v>
      </c>
      <c r="E1342" t="s">
        <v>372</v>
      </c>
      <c r="F1342" s="2">
        <v>0.38</v>
      </c>
      <c r="G1342" s="2">
        <v>0.9</v>
      </c>
      <c r="H1342" s="2">
        <v>0.97</v>
      </c>
      <c r="I1342" s="2">
        <v>1</v>
      </c>
      <c r="J1342" s="2">
        <v>0.83</v>
      </c>
      <c r="K1342" t="e">
        <v>#N/A</v>
      </c>
      <c r="L1342" s="19">
        <v>1</v>
      </c>
      <c r="M1342" s="21">
        <f>L1342</f>
        <v>1</v>
      </c>
    </row>
    <row r="1343" spans="1:13" x14ac:dyDescent="0.2">
      <c r="A1343" t="s">
        <v>105</v>
      </c>
      <c r="B1343" t="str">
        <f>VLOOKUP(A1343,MasterTutor!A:E,4,FALSE)</f>
        <v>Advanced</v>
      </c>
      <c r="C1343" t="str">
        <f>VLOOKUP(A1343,MasterTutor!A:E,3,FALSE)</f>
        <v>Adjunct</v>
      </c>
      <c r="D1343" t="str">
        <f>VLOOKUP(A1343,MasterTutor!A:E,2,FALSE)</f>
        <v>Annelies de Groot</v>
      </c>
      <c r="E1343" t="s">
        <v>372</v>
      </c>
      <c r="F1343" s="2">
        <v>0.43</v>
      </c>
      <c r="G1343" s="2">
        <v>1.04</v>
      </c>
      <c r="H1343" s="2">
        <v>0.84</v>
      </c>
      <c r="I1343" s="2">
        <v>1</v>
      </c>
      <c r="J1343" s="2">
        <v>0.4</v>
      </c>
      <c r="K1343">
        <v>3</v>
      </c>
    </row>
    <row r="1344" spans="1:13" x14ac:dyDescent="0.2">
      <c r="A1344" t="s">
        <v>276</v>
      </c>
      <c r="B1344" t="str">
        <f>VLOOKUP(A1344,MasterTutor!A:E,4,FALSE)</f>
        <v>Advanced</v>
      </c>
      <c r="C1344" t="str">
        <f>VLOOKUP(A1344,MasterTutor!A:E,3,FALSE)</f>
        <v xml:space="preserve">Professional </v>
      </c>
      <c r="D1344" t="str">
        <f>VLOOKUP(A1344,MasterTutor!A:E,2,FALSE)</f>
        <v>Ian Plamondon</v>
      </c>
      <c r="E1344" t="s">
        <v>372</v>
      </c>
      <c r="F1344" s="2">
        <v>0.45</v>
      </c>
      <c r="G1344" s="2">
        <v>1.08</v>
      </c>
      <c r="H1344" s="2">
        <v>1</v>
      </c>
      <c r="I1344" s="2">
        <v>1</v>
      </c>
      <c r="J1344" s="2">
        <v>0.71</v>
      </c>
      <c r="K1344">
        <v>2</v>
      </c>
      <c r="L1344" s="19" t="s">
        <v>335</v>
      </c>
      <c r="M1344" s="21">
        <v>0.25</v>
      </c>
    </row>
    <row r="1345" spans="1:13" x14ac:dyDescent="0.2">
      <c r="A1345" t="s">
        <v>107</v>
      </c>
      <c r="B1345" t="str">
        <f>VLOOKUP(A1345,MasterTutor!A:E,4,FALSE)</f>
        <v>Distinguished</v>
      </c>
      <c r="C1345" t="str">
        <f>VLOOKUP(A1345,MasterTutor!A:E,3,FALSE)</f>
        <v>Professional</v>
      </c>
      <c r="D1345" t="str">
        <f>VLOOKUP(A1345,MasterTutor!A:E,2,FALSE)</f>
        <v>Ian Plamondon</v>
      </c>
      <c r="E1345" t="s">
        <v>372</v>
      </c>
      <c r="F1345" s="2">
        <v>0.47</v>
      </c>
      <c r="G1345" s="2">
        <v>1.1100000000000001</v>
      </c>
      <c r="H1345" s="2">
        <v>1</v>
      </c>
      <c r="I1345" s="2">
        <v>1</v>
      </c>
      <c r="J1345" s="2">
        <v>0.92</v>
      </c>
      <c r="K1345" t="e">
        <v>#N/A</v>
      </c>
      <c r="L1345" s="19">
        <v>1</v>
      </c>
      <c r="M1345" s="21">
        <f>L1345</f>
        <v>1</v>
      </c>
    </row>
    <row r="1346" spans="1:13" x14ac:dyDescent="0.2">
      <c r="A1346" t="s">
        <v>108</v>
      </c>
      <c r="B1346" t="str">
        <f>VLOOKUP(A1346,MasterTutor!A:E,4,FALSE)</f>
        <v>Advanced</v>
      </c>
      <c r="C1346" t="str">
        <f>VLOOKUP(A1346,MasterTutor!A:E,3,FALSE)</f>
        <v>Professional</v>
      </c>
      <c r="D1346" t="str">
        <f>VLOOKUP(A1346,MasterTutor!A:E,2,FALSE)</f>
        <v>Geoff St. Marie</v>
      </c>
      <c r="E1346" t="s">
        <v>372</v>
      </c>
      <c r="F1346" s="2">
        <v>0.92</v>
      </c>
      <c r="G1346" s="2">
        <v>0.97</v>
      </c>
      <c r="H1346" s="2">
        <v>0.97</v>
      </c>
      <c r="I1346" s="2">
        <v>1</v>
      </c>
      <c r="J1346" s="2">
        <v>0.47</v>
      </c>
      <c r="K1346">
        <v>2</v>
      </c>
      <c r="L1346" s="19">
        <v>1</v>
      </c>
      <c r="M1346" s="21">
        <f>L1346</f>
        <v>1</v>
      </c>
    </row>
    <row r="1347" spans="1:13" x14ac:dyDescent="0.2">
      <c r="A1347" t="s">
        <v>111</v>
      </c>
      <c r="B1347" t="str">
        <f>VLOOKUP(A1347,MasterTutor!A:E,4,FALSE)</f>
        <v>Premium</v>
      </c>
      <c r="C1347" t="str">
        <f>VLOOKUP(A1347,MasterTutor!A:E,3,FALSE)</f>
        <v>Adjunct</v>
      </c>
      <c r="D1347" t="str">
        <f>VLOOKUP(A1347,MasterTutor!A:E,2,FALSE)</f>
        <v>Kristin Haase-Alvey</v>
      </c>
      <c r="E1347" t="s">
        <v>372</v>
      </c>
      <c r="F1347" s="2">
        <v>0.18</v>
      </c>
      <c r="G1347" s="2">
        <v>0.69</v>
      </c>
      <c r="H1347" s="2">
        <v>1</v>
      </c>
      <c r="I1347" s="2">
        <v>1</v>
      </c>
      <c r="J1347" s="2">
        <v>1</v>
      </c>
      <c r="K1347" t="e">
        <v>#N/A</v>
      </c>
    </row>
    <row r="1348" spans="1:13" x14ac:dyDescent="0.2">
      <c r="A1348" t="s">
        <v>281</v>
      </c>
      <c r="B1348" t="str">
        <f>VLOOKUP(A1348,MasterTutor!A:E,4,FALSE)</f>
        <v>Advanced</v>
      </c>
      <c r="C1348" t="str">
        <f>VLOOKUP(A1348,MasterTutor!A:E,3,FALSE)</f>
        <v>Professional</v>
      </c>
      <c r="D1348" t="str">
        <f>VLOOKUP(A1348,MasterTutor!A:E,2,FALSE)</f>
        <v>Annelies de Groot</v>
      </c>
      <c r="E1348" t="s">
        <v>372</v>
      </c>
      <c r="F1348" s="2">
        <v>0.4</v>
      </c>
      <c r="G1348" s="2">
        <v>1.05</v>
      </c>
      <c r="H1348" s="2">
        <v>1</v>
      </c>
      <c r="I1348" s="2">
        <v>0.97</v>
      </c>
      <c r="J1348" s="2">
        <v>0.78</v>
      </c>
      <c r="K1348">
        <v>7</v>
      </c>
      <c r="L1348" s="19" t="s">
        <v>330</v>
      </c>
      <c r="M1348" s="21">
        <v>0.67</v>
      </c>
    </row>
    <row r="1349" spans="1:13" x14ac:dyDescent="0.2">
      <c r="A1349" t="s">
        <v>113</v>
      </c>
      <c r="B1349" t="e">
        <f>VLOOKUP(A1349,MasterTutor!A:E,4,FALSE)</f>
        <v>#N/A</v>
      </c>
      <c r="C1349" t="e">
        <f>VLOOKUP(A1349,MasterTutor!A:E,3,FALSE)</f>
        <v>#N/A</v>
      </c>
      <c r="D1349" t="e">
        <f>VLOOKUP(A1349,MasterTutor!A:E,2,FALSE)</f>
        <v>#N/A</v>
      </c>
      <c r="E1349" t="s">
        <v>372</v>
      </c>
      <c r="F1349" s="2">
        <v>0.92</v>
      </c>
      <c r="G1349" s="2">
        <v>0.99</v>
      </c>
      <c r="H1349" s="2">
        <v>0.99</v>
      </c>
      <c r="I1349" s="2">
        <v>0.66</v>
      </c>
      <c r="J1349" s="2">
        <v>0.5</v>
      </c>
      <c r="K1349">
        <v>10</v>
      </c>
      <c r="L1349" s="19">
        <v>0</v>
      </c>
      <c r="M1349" s="21">
        <f>L1349</f>
        <v>0</v>
      </c>
    </row>
    <row r="1350" spans="1:13" x14ac:dyDescent="0.2">
      <c r="A1350" t="s">
        <v>115</v>
      </c>
      <c r="B1350" t="str">
        <f>VLOOKUP(A1350,MasterTutor!A:E,4,FALSE)</f>
        <v>Advanced</v>
      </c>
      <c r="C1350" t="str">
        <f>VLOOKUP(A1350,MasterTutor!A:E,3,FALSE)</f>
        <v>Adjunct</v>
      </c>
      <c r="D1350" t="str">
        <f>VLOOKUP(A1350,MasterTutor!A:E,2,FALSE)</f>
        <v>Kristin Haase-Alvey</v>
      </c>
      <c r="E1350" t="s">
        <v>372</v>
      </c>
      <c r="F1350" s="2">
        <v>0.75</v>
      </c>
      <c r="G1350" s="2">
        <v>1.77</v>
      </c>
      <c r="H1350" s="2">
        <v>1</v>
      </c>
      <c r="I1350" s="2">
        <v>0.93</v>
      </c>
      <c r="J1350" s="2">
        <v>1</v>
      </c>
      <c r="K1350" t="e">
        <v>#N/A</v>
      </c>
      <c r="L1350" s="19">
        <v>0</v>
      </c>
      <c r="M1350" s="21">
        <f>L1350</f>
        <v>0</v>
      </c>
    </row>
    <row r="1351" spans="1:13" x14ac:dyDescent="0.2">
      <c r="A1351" t="s">
        <v>116</v>
      </c>
      <c r="B1351" t="str">
        <f>VLOOKUP(A1351,MasterTutor!A:E,4,FALSE)</f>
        <v>Premium</v>
      </c>
      <c r="C1351" t="str">
        <f>VLOOKUP(A1351,MasterTutor!A:E,3,FALSE)</f>
        <v>Professional</v>
      </c>
      <c r="D1351" t="str">
        <f>VLOOKUP(A1351,MasterTutor!A:E,2,FALSE)</f>
        <v>Jessica Milner</v>
      </c>
      <c r="E1351" t="s">
        <v>372</v>
      </c>
      <c r="F1351" s="2">
        <v>0.36</v>
      </c>
      <c r="G1351" s="2">
        <v>0.74</v>
      </c>
      <c r="H1351" s="2">
        <v>1</v>
      </c>
      <c r="I1351" s="2">
        <v>1</v>
      </c>
      <c r="J1351" s="2">
        <v>0.77</v>
      </c>
      <c r="K1351">
        <v>5</v>
      </c>
    </row>
    <row r="1352" spans="1:13" x14ac:dyDescent="0.2">
      <c r="A1352" t="s">
        <v>117</v>
      </c>
      <c r="B1352" t="str">
        <f>VLOOKUP(A1352,MasterTutor!A:E,4,FALSE)</f>
        <v>Advanced</v>
      </c>
      <c r="C1352" t="str">
        <f>VLOOKUP(A1352,MasterTutor!A:E,3,FALSE)</f>
        <v>Professional</v>
      </c>
      <c r="D1352" t="str">
        <f>VLOOKUP(A1352,MasterTutor!A:E,2,FALSE)</f>
        <v>Kristin Haase-Alvey</v>
      </c>
      <c r="E1352" t="s">
        <v>372</v>
      </c>
      <c r="F1352" s="2">
        <v>0.53</v>
      </c>
      <c r="G1352" s="2">
        <v>0.62</v>
      </c>
      <c r="H1352" s="2">
        <v>0.99</v>
      </c>
      <c r="I1352" s="2">
        <v>1</v>
      </c>
      <c r="J1352" s="2">
        <v>0.73</v>
      </c>
      <c r="K1352">
        <v>2</v>
      </c>
      <c r="L1352" s="19" t="s">
        <v>337</v>
      </c>
      <c r="M1352" s="21">
        <f>1/3</f>
        <v>0.33333333333333331</v>
      </c>
    </row>
    <row r="1353" spans="1:13" x14ac:dyDescent="0.2">
      <c r="A1353" t="s">
        <v>118</v>
      </c>
      <c r="B1353" t="e">
        <f>VLOOKUP(A1353,MasterTutor!A:E,4,FALSE)</f>
        <v>#N/A</v>
      </c>
      <c r="C1353" t="e">
        <f>VLOOKUP(A1353,MasterTutor!A:E,3,FALSE)</f>
        <v>#N/A</v>
      </c>
      <c r="D1353" t="e">
        <f>VLOOKUP(A1353,MasterTutor!A:E,2,FALSE)</f>
        <v>#N/A</v>
      </c>
      <c r="E1353" t="s">
        <v>372</v>
      </c>
      <c r="F1353" s="2">
        <v>0.91</v>
      </c>
      <c r="G1353" s="2">
        <v>1.93</v>
      </c>
      <c r="H1353" s="2">
        <v>0.99</v>
      </c>
      <c r="I1353" s="2">
        <v>0.98</v>
      </c>
      <c r="J1353" s="2">
        <v>0.56000000000000005</v>
      </c>
      <c r="K1353">
        <v>2</v>
      </c>
      <c r="L1353" s="19" t="s">
        <v>337</v>
      </c>
      <c r="M1353" s="21">
        <f>1/3</f>
        <v>0.33333333333333331</v>
      </c>
    </row>
    <row r="1354" spans="1:13" x14ac:dyDescent="0.2">
      <c r="A1354" t="s">
        <v>119</v>
      </c>
      <c r="B1354" t="str">
        <f>VLOOKUP(A1354,MasterTutor!A:E,4,FALSE)</f>
        <v>Distinguished</v>
      </c>
      <c r="C1354" t="str">
        <f>VLOOKUP(A1354,MasterTutor!A:E,3,FALSE)</f>
        <v>Professional</v>
      </c>
      <c r="D1354" t="str">
        <f>VLOOKUP(A1354,MasterTutor!A:E,2,FALSE)</f>
        <v>Kristin Haase-Alvey</v>
      </c>
      <c r="E1354" t="s">
        <v>372</v>
      </c>
      <c r="F1354" s="2">
        <v>0.48</v>
      </c>
      <c r="G1354" s="2">
        <v>0.75</v>
      </c>
      <c r="H1354" s="2">
        <v>1</v>
      </c>
      <c r="I1354" s="2">
        <v>0.95</v>
      </c>
      <c r="J1354" s="2">
        <v>1</v>
      </c>
      <c r="K1354">
        <v>8</v>
      </c>
      <c r="L1354" s="19">
        <v>1</v>
      </c>
      <c r="M1354" s="21">
        <f>L1354</f>
        <v>1</v>
      </c>
    </row>
    <row r="1355" spans="1:13" x14ac:dyDescent="0.2">
      <c r="A1355" t="s">
        <v>120</v>
      </c>
      <c r="B1355" t="str">
        <f>VLOOKUP(A1355,MasterTutor!A:E,4,FALSE)</f>
        <v>Premium</v>
      </c>
      <c r="C1355" t="str">
        <f>VLOOKUP(A1355,MasterTutor!A:E,3,FALSE)</f>
        <v>Professional</v>
      </c>
      <c r="D1355" t="str">
        <f>VLOOKUP(A1355,MasterTutor!A:E,2,FALSE)</f>
        <v>Jessica Milner</v>
      </c>
      <c r="E1355" t="s">
        <v>372</v>
      </c>
      <c r="F1355" s="2">
        <v>0.71</v>
      </c>
      <c r="G1355" s="2">
        <v>1.43</v>
      </c>
      <c r="H1355" s="2">
        <v>1</v>
      </c>
      <c r="I1355" s="2">
        <v>0.92</v>
      </c>
      <c r="J1355" s="2">
        <v>0.42</v>
      </c>
      <c r="K1355">
        <v>1</v>
      </c>
      <c r="L1355" s="19" t="s">
        <v>367</v>
      </c>
      <c r="M1355" s="21">
        <v>0.13</v>
      </c>
    </row>
    <row r="1356" spans="1:13" x14ac:dyDescent="0.2">
      <c r="A1356" t="s">
        <v>121</v>
      </c>
      <c r="B1356" t="str">
        <f>VLOOKUP(A1356,MasterTutor!A:E,4,FALSE)</f>
        <v>Advanced</v>
      </c>
      <c r="C1356" t="str">
        <f>VLOOKUP(A1356,MasterTutor!A:E,3,FALSE)</f>
        <v>Adjunct</v>
      </c>
      <c r="D1356" t="str">
        <f>VLOOKUP(A1356,MasterTutor!A:E,2,FALSE)</f>
        <v>Annelies de Groot</v>
      </c>
      <c r="E1356" t="s">
        <v>372</v>
      </c>
      <c r="F1356" s="2">
        <v>0.27</v>
      </c>
      <c r="G1356" s="2">
        <v>1.0900000000000001</v>
      </c>
      <c r="H1356" s="2">
        <v>1</v>
      </c>
      <c r="I1356" s="2">
        <v>1</v>
      </c>
      <c r="J1356" s="2">
        <v>0.67</v>
      </c>
      <c r="K1356">
        <v>3</v>
      </c>
      <c r="L1356" s="19">
        <v>1</v>
      </c>
      <c r="M1356" s="21">
        <f>L1356</f>
        <v>1</v>
      </c>
    </row>
    <row r="1357" spans="1:13" x14ac:dyDescent="0.2">
      <c r="A1357" t="s">
        <v>123</v>
      </c>
      <c r="B1357" t="str">
        <f>VLOOKUP(A1357,MasterTutor!A:E,4,FALSE)</f>
        <v>Premium</v>
      </c>
      <c r="C1357" t="str">
        <f>VLOOKUP(A1357,MasterTutor!A:E,3,FALSE)</f>
        <v xml:space="preserve">Professional </v>
      </c>
      <c r="D1357" t="str">
        <f>VLOOKUP(A1357,MasterTutor!A:E,2,FALSE)</f>
        <v>Ela Cross</v>
      </c>
      <c r="E1357" t="s">
        <v>372</v>
      </c>
      <c r="F1357" s="2">
        <v>0.61</v>
      </c>
      <c r="G1357" s="2">
        <v>1.24</v>
      </c>
      <c r="H1357" s="2">
        <v>1</v>
      </c>
      <c r="I1357" s="2">
        <v>1</v>
      </c>
      <c r="J1357" s="2">
        <v>0.59</v>
      </c>
      <c r="K1357">
        <v>2</v>
      </c>
      <c r="L1357" s="19">
        <v>1</v>
      </c>
      <c r="M1357" s="21">
        <f>L1357</f>
        <v>1</v>
      </c>
    </row>
    <row r="1358" spans="1:13" x14ac:dyDescent="0.2">
      <c r="A1358" t="s">
        <v>125</v>
      </c>
      <c r="B1358" t="str">
        <f>VLOOKUP(A1358,MasterTutor!A:E,4,FALSE)</f>
        <v>Advanced</v>
      </c>
      <c r="C1358" t="str">
        <f>VLOOKUP(A1358,MasterTutor!A:E,3,FALSE)</f>
        <v>Professional</v>
      </c>
      <c r="D1358" t="str">
        <f>VLOOKUP(A1358,MasterTutor!A:E,2,FALSE)</f>
        <v>Kristin Haase-Alvey</v>
      </c>
      <c r="E1358" t="s">
        <v>372</v>
      </c>
      <c r="F1358" s="2">
        <v>0.66</v>
      </c>
      <c r="G1358" s="2">
        <v>0.75</v>
      </c>
      <c r="H1358" s="2">
        <v>0.92</v>
      </c>
      <c r="I1358" s="2">
        <v>0.94</v>
      </c>
      <c r="J1358" s="2">
        <v>0.67</v>
      </c>
      <c r="K1358">
        <v>13</v>
      </c>
      <c r="L1358" s="19" t="s">
        <v>331</v>
      </c>
      <c r="M1358" s="21">
        <v>0.5</v>
      </c>
    </row>
    <row r="1359" spans="1:13" x14ac:dyDescent="0.2">
      <c r="A1359" t="s">
        <v>126</v>
      </c>
      <c r="B1359" t="str">
        <f>VLOOKUP(A1359,MasterTutor!A:E,4,FALSE)</f>
        <v>Distinguished</v>
      </c>
      <c r="C1359" t="str">
        <f>VLOOKUP(A1359,MasterTutor!A:E,3,FALSE)</f>
        <v>Professional</v>
      </c>
      <c r="D1359" t="str">
        <f>VLOOKUP(A1359,MasterTutor!A:E,2,FALSE)</f>
        <v>Ian Plamondon</v>
      </c>
      <c r="E1359" t="s">
        <v>372</v>
      </c>
      <c r="F1359" s="2">
        <v>0.33</v>
      </c>
      <c r="G1359" s="2">
        <v>0.99</v>
      </c>
      <c r="H1359" s="2">
        <v>1</v>
      </c>
      <c r="I1359" s="2">
        <v>1</v>
      </c>
      <c r="J1359" s="2">
        <v>1</v>
      </c>
      <c r="K1359">
        <v>1</v>
      </c>
    </row>
    <row r="1360" spans="1:13" x14ac:dyDescent="0.2">
      <c r="A1360" t="s">
        <v>369</v>
      </c>
      <c r="B1360" t="e">
        <f>VLOOKUP(A1360,MasterTutor!A:E,4,FALSE)</f>
        <v>#N/A</v>
      </c>
      <c r="C1360" t="e">
        <f>VLOOKUP(A1360,MasterTutor!A:E,3,FALSE)</f>
        <v>#N/A</v>
      </c>
      <c r="D1360" t="e">
        <f>VLOOKUP(A1360,MasterTutor!A:E,2,FALSE)</f>
        <v>#N/A</v>
      </c>
      <c r="E1360" t="s">
        <v>372</v>
      </c>
      <c r="F1360" s="2">
        <v>0.8</v>
      </c>
      <c r="G1360" s="2">
        <v>1.05</v>
      </c>
      <c r="H1360" s="2">
        <v>0.95</v>
      </c>
      <c r="I1360" s="2">
        <v>0.79</v>
      </c>
      <c r="J1360" s="2">
        <v>0.56000000000000005</v>
      </c>
      <c r="K1360">
        <v>5</v>
      </c>
      <c r="L1360" s="19">
        <v>0</v>
      </c>
      <c r="M1360" s="21">
        <f>L1360</f>
        <v>0</v>
      </c>
    </row>
    <row r="1361" spans="1:13" x14ac:dyDescent="0.2">
      <c r="A1361" t="s">
        <v>127</v>
      </c>
      <c r="B1361" t="str">
        <f>VLOOKUP(A1361,MasterTutor!A:E,4,FALSE)</f>
        <v>Premium</v>
      </c>
      <c r="C1361" t="str">
        <f>VLOOKUP(A1361,MasterTutor!A:E,3,FALSE)</f>
        <v>Professional</v>
      </c>
      <c r="D1361" t="str">
        <f>VLOOKUP(A1361,MasterTutor!A:E,2,FALSE)</f>
        <v>Jessica Milner</v>
      </c>
      <c r="E1361" t="s">
        <v>372</v>
      </c>
      <c r="F1361" s="2">
        <v>0.44</v>
      </c>
      <c r="G1361" s="2">
        <v>0.97</v>
      </c>
      <c r="H1361" s="2">
        <v>0.95</v>
      </c>
      <c r="I1361" s="2">
        <v>0.97</v>
      </c>
      <c r="J1361" s="2">
        <v>0.8</v>
      </c>
      <c r="K1361">
        <v>1</v>
      </c>
      <c r="L1361" s="19">
        <v>1</v>
      </c>
      <c r="M1361" s="21">
        <f>L1361</f>
        <v>1</v>
      </c>
    </row>
    <row r="1362" spans="1:13" x14ac:dyDescent="0.2">
      <c r="A1362" t="s">
        <v>128</v>
      </c>
      <c r="B1362" t="str">
        <f>VLOOKUP(A1362,MasterTutor!A:E,4,FALSE)</f>
        <v>Distinguished</v>
      </c>
      <c r="C1362" t="str">
        <f>VLOOKUP(A1362,MasterTutor!A:E,3,FALSE)</f>
        <v>Professional</v>
      </c>
      <c r="D1362" t="str">
        <f>VLOOKUP(A1362,MasterTutor!A:E,2,FALSE)</f>
        <v>Ian Plamondon</v>
      </c>
      <c r="E1362" t="s">
        <v>372</v>
      </c>
      <c r="F1362" s="2">
        <v>0.4</v>
      </c>
      <c r="G1362" s="2">
        <v>1.34</v>
      </c>
      <c r="H1362" s="2">
        <v>1</v>
      </c>
      <c r="I1362" s="2">
        <v>1</v>
      </c>
      <c r="J1362" s="2">
        <v>1</v>
      </c>
      <c r="K1362">
        <v>1</v>
      </c>
      <c r="L1362" s="19">
        <v>1</v>
      </c>
      <c r="M1362" s="21">
        <f>L1362</f>
        <v>1</v>
      </c>
    </row>
    <row r="1363" spans="1:13" x14ac:dyDescent="0.2">
      <c r="A1363" t="s">
        <v>129</v>
      </c>
      <c r="B1363" t="str">
        <f>VLOOKUP(A1363,MasterTutor!A:E,4,FALSE)</f>
        <v>Premium</v>
      </c>
      <c r="C1363" t="str">
        <f>VLOOKUP(A1363,MasterTutor!A:E,3,FALSE)</f>
        <v>Adjunct</v>
      </c>
      <c r="D1363" t="str">
        <f>VLOOKUP(A1363,MasterTutor!A:E,2,FALSE)</f>
        <v>Annelies de Groot</v>
      </c>
      <c r="E1363" t="s">
        <v>372</v>
      </c>
      <c r="F1363" s="2">
        <v>1.1100000000000001</v>
      </c>
      <c r="G1363" s="2">
        <v>1.47</v>
      </c>
      <c r="H1363" s="2">
        <v>1</v>
      </c>
      <c r="I1363" s="2">
        <v>1</v>
      </c>
      <c r="J1363" s="2">
        <v>0.86</v>
      </c>
      <c r="K1363">
        <v>2</v>
      </c>
      <c r="L1363" s="19">
        <v>0</v>
      </c>
      <c r="M1363" s="21">
        <f>L1363</f>
        <v>0</v>
      </c>
    </row>
    <row r="1364" spans="1:13" x14ac:dyDescent="0.2">
      <c r="A1364" t="s">
        <v>130</v>
      </c>
      <c r="B1364" t="str">
        <f>VLOOKUP(A1364,MasterTutor!A:E,4,FALSE)</f>
        <v>Premium</v>
      </c>
      <c r="C1364" t="str">
        <f>VLOOKUP(A1364,MasterTutor!A:E,3,FALSE)</f>
        <v>Adjunct</v>
      </c>
      <c r="D1364" t="str">
        <f>VLOOKUP(A1364,MasterTutor!A:E,2,FALSE)</f>
        <v>Ela Cross</v>
      </c>
      <c r="E1364" t="s">
        <v>372</v>
      </c>
      <c r="F1364" s="2">
        <v>0.59</v>
      </c>
      <c r="G1364" s="2">
        <v>1.28</v>
      </c>
      <c r="H1364" s="2">
        <v>0.98</v>
      </c>
      <c r="I1364" s="2">
        <v>1</v>
      </c>
      <c r="J1364" s="2">
        <v>1</v>
      </c>
      <c r="K1364">
        <v>3</v>
      </c>
    </row>
    <row r="1365" spans="1:13" x14ac:dyDescent="0.2">
      <c r="A1365" t="s">
        <v>131</v>
      </c>
      <c r="B1365" t="str">
        <f>VLOOKUP(A1365,MasterTutor!A:E,4,FALSE)</f>
        <v>Advanced</v>
      </c>
      <c r="C1365" t="str">
        <f>VLOOKUP(A1365,MasterTutor!A:E,3,FALSE)</f>
        <v>Professional</v>
      </c>
      <c r="D1365" t="str">
        <f>VLOOKUP(A1365,MasterTutor!A:E,2,FALSE)</f>
        <v>Ian Plamondon</v>
      </c>
      <c r="E1365" t="s">
        <v>372</v>
      </c>
      <c r="F1365" s="2">
        <v>0.44</v>
      </c>
      <c r="G1365" s="2">
        <v>1</v>
      </c>
      <c r="H1365" s="2">
        <v>1</v>
      </c>
      <c r="I1365" s="2">
        <v>1</v>
      </c>
      <c r="J1365" s="2">
        <v>0.78</v>
      </c>
      <c r="K1365">
        <v>5</v>
      </c>
      <c r="L1365" s="19">
        <v>1</v>
      </c>
      <c r="M1365" s="21">
        <f>L1365</f>
        <v>1</v>
      </c>
    </row>
    <row r="1366" spans="1:13" x14ac:dyDescent="0.2">
      <c r="A1366" t="s">
        <v>132</v>
      </c>
      <c r="B1366" t="str">
        <f>VLOOKUP(A1366,MasterTutor!A:E,4,FALSE)</f>
        <v>Distinguished</v>
      </c>
      <c r="C1366" t="str">
        <f>VLOOKUP(A1366,MasterTutor!A:E,3,FALSE)</f>
        <v>Professional</v>
      </c>
      <c r="D1366" t="str">
        <f>VLOOKUP(A1366,MasterTutor!A:E,2,FALSE)</f>
        <v>Kristin Haase-Alvey</v>
      </c>
      <c r="E1366" t="s">
        <v>372</v>
      </c>
      <c r="F1366" s="2">
        <v>0.4</v>
      </c>
      <c r="G1366" s="2">
        <v>0.81</v>
      </c>
      <c r="H1366" s="2">
        <v>1</v>
      </c>
      <c r="I1366" s="2">
        <v>0.85</v>
      </c>
      <c r="J1366" s="2">
        <v>0.88</v>
      </c>
      <c r="K1366" t="e">
        <v>#N/A</v>
      </c>
      <c r="L1366" s="19">
        <v>1</v>
      </c>
      <c r="M1366" s="21">
        <f>L1366</f>
        <v>1</v>
      </c>
    </row>
    <row r="1367" spans="1:13" x14ac:dyDescent="0.2">
      <c r="A1367" t="s">
        <v>133</v>
      </c>
      <c r="B1367" t="e">
        <f>VLOOKUP(A1367,MasterTutor!A:E,4,FALSE)</f>
        <v>#N/A</v>
      </c>
      <c r="C1367" t="e">
        <f>VLOOKUP(A1367,MasterTutor!A:E,3,FALSE)</f>
        <v>#N/A</v>
      </c>
      <c r="D1367" t="e">
        <f>VLOOKUP(A1367,MasterTutor!A:E,2,FALSE)</f>
        <v>#N/A</v>
      </c>
      <c r="E1367" t="s">
        <v>372</v>
      </c>
      <c r="F1367" s="2">
        <v>0.25</v>
      </c>
      <c r="G1367" s="2">
        <v>1.38</v>
      </c>
      <c r="H1367" s="2">
        <v>1</v>
      </c>
      <c r="I1367" s="2">
        <v>0.6</v>
      </c>
      <c r="J1367" s="2">
        <v>0.67</v>
      </c>
      <c r="K1367" t="e">
        <v>#N/A</v>
      </c>
      <c r="L1367" s="19">
        <v>1</v>
      </c>
      <c r="M1367" s="21">
        <f>L1367</f>
        <v>1</v>
      </c>
    </row>
    <row r="1368" spans="1:13" x14ac:dyDescent="0.2">
      <c r="A1368" t="s">
        <v>134</v>
      </c>
      <c r="B1368" t="str">
        <f>VLOOKUP(A1368,MasterTutor!A:E,4,FALSE)</f>
        <v>Distinguished</v>
      </c>
      <c r="C1368" t="str">
        <f>VLOOKUP(A1368,MasterTutor!A:E,3,FALSE)</f>
        <v>Professional</v>
      </c>
      <c r="D1368" t="str">
        <f>VLOOKUP(A1368,MasterTutor!A:E,2,FALSE)</f>
        <v>Annelies de Groot</v>
      </c>
      <c r="E1368" t="s">
        <v>372</v>
      </c>
      <c r="F1368" s="2">
        <v>0.5</v>
      </c>
      <c r="G1368" s="2">
        <v>1</v>
      </c>
      <c r="H1368" s="2">
        <v>1</v>
      </c>
      <c r="I1368" s="2">
        <v>1</v>
      </c>
      <c r="J1368" s="2">
        <v>0.67</v>
      </c>
      <c r="K1368">
        <v>1</v>
      </c>
      <c r="L1368" s="19" t="s">
        <v>334</v>
      </c>
      <c r="M1368" s="21">
        <v>0.86</v>
      </c>
    </row>
    <row r="1369" spans="1:13" x14ac:dyDescent="0.2">
      <c r="A1369" t="s">
        <v>366</v>
      </c>
      <c r="B1369" t="e">
        <f>VLOOKUP(A1369,MasterTutor!A:E,4,FALSE)</f>
        <v>#N/A</v>
      </c>
      <c r="C1369" t="e">
        <f>VLOOKUP(A1369,MasterTutor!A:E,3,FALSE)</f>
        <v>#N/A</v>
      </c>
      <c r="D1369" t="e">
        <f>VLOOKUP(A1369,MasterTutor!A:E,2,FALSE)</f>
        <v>#N/A</v>
      </c>
      <c r="E1369" t="s">
        <v>372</v>
      </c>
      <c r="F1369" s="2">
        <v>0.28999999999999998</v>
      </c>
      <c r="G1369" s="2">
        <v>1.1599999999999999</v>
      </c>
      <c r="H1369" s="2">
        <v>1</v>
      </c>
      <c r="I1369" s="2">
        <v>0.73</v>
      </c>
      <c r="J1369" s="2">
        <v>0.25</v>
      </c>
      <c r="K1369" t="e">
        <v>#N/A</v>
      </c>
    </row>
    <row r="1370" spans="1:13" x14ac:dyDescent="0.2">
      <c r="A1370" t="s">
        <v>135</v>
      </c>
      <c r="B1370" t="str">
        <f>VLOOKUP(A1370,MasterTutor!A:E,4,FALSE)</f>
        <v>Distinguished</v>
      </c>
      <c r="C1370" t="str">
        <f>VLOOKUP(A1370,MasterTutor!A:E,3,FALSE)</f>
        <v>Adjunct</v>
      </c>
      <c r="D1370" t="str">
        <f>VLOOKUP(A1370,MasterTutor!A:E,2,FALSE)</f>
        <v>Annelies de Groot</v>
      </c>
      <c r="E1370" t="s">
        <v>372</v>
      </c>
      <c r="F1370" s="2">
        <v>0.56000000000000005</v>
      </c>
      <c r="G1370" s="2">
        <v>1.44</v>
      </c>
      <c r="H1370" s="2">
        <v>1</v>
      </c>
      <c r="I1370" s="2">
        <v>1</v>
      </c>
      <c r="J1370" s="2">
        <v>0.92</v>
      </c>
      <c r="K1370" t="e">
        <v>#N/A</v>
      </c>
      <c r="L1370" s="19">
        <v>0</v>
      </c>
      <c r="M1370" s="21">
        <f t="shared" ref="M1370:M1375" si="10">L1370</f>
        <v>0</v>
      </c>
    </row>
    <row r="1371" spans="1:13" x14ac:dyDescent="0.2">
      <c r="A1371" t="s">
        <v>136</v>
      </c>
      <c r="B1371" t="e">
        <f>VLOOKUP(A1371,MasterTutor!A:E,4,FALSE)</f>
        <v>#N/A</v>
      </c>
      <c r="C1371" t="e">
        <f>VLOOKUP(A1371,MasterTutor!A:E,3,FALSE)</f>
        <v>#N/A</v>
      </c>
      <c r="D1371" t="e">
        <f>VLOOKUP(A1371,MasterTutor!A:E,2,FALSE)</f>
        <v>#N/A</v>
      </c>
      <c r="E1371" t="s">
        <v>372</v>
      </c>
      <c r="F1371" s="2">
        <v>0.69</v>
      </c>
      <c r="G1371" s="2">
        <v>1.37</v>
      </c>
      <c r="H1371" s="2">
        <v>1</v>
      </c>
      <c r="I1371" s="2">
        <v>0.83</v>
      </c>
      <c r="J1371" s="2">
        <v>0.67</v>
      </c>
      <c r="K1371">
        <v>2</v>
      </c>
      <c r="L1371" s="19">
        <v>0</v>
      </c>
      <c r="M1371" s="21">
        <f t="shared" si="10"/>
        <v>0</v>
      </c>
    </row>
    <row r="1372" spans="1:13" x14ac:dyDescent="0.2">
      <c r="A1372" t="s">
        <v>294</v>
      </c>
      <c r="B1372" t="str">
        <f>VLOOKUP(A1372,MasterTutor!A:E,4,FALSE)</f>
        <v>Advanced</v>
      </c>
      <c r="C1372" t="str">
        <f>VLOOKUP(A1372,MasterTutor!A:E,3,FALSE)</f>
        <v>Adjunct</v>
      </c>
      <c r="D1372" t="str">
        <f>VLOOKUP(A1372,MasterTutor!A:E,2,FALSE)</f>
        <v>Kristin Haase-Alvey</v>
      </c>
      <c r="E1372" t="s">
        <v>372</v>
      </c>
      <c r="F1372" s="2">
        <v>0.63</v>
      </c>
      <c r="G1372" s="2">
        <v>1.07</v>
      </c>
      <c r="H1372" s="2">
        <v>0.99</v>
      </c>
      <c r="I1372" s="2">
        <v>1</v>
      </c>
      <c r="J1372" s="2">
        <v>0.9</v>
      </c>
      <c r="K1372">
        <v>2</v>
      </c>
      <c r="L1372" s="19">
        <v>0</v>
      </c>
      <c r="M1372" s="21">
        <f t="shared" si="10"/>
        <v>0</v>
      </c>
    </row>
    <row r="1373" spans="1:13" x14ac:dyDescent="0.2">
      <c r="A1373" t="s">
        <v>137</v>
      </c>
      <c r="B1373" t="str">
        <f>VLOOKUP(A1373,MasterTutor!A:E,4,FALSE)</f>
        <v>Premium</v>
      </c>
      <c r="C1373" t="str">
        <f>VLOOKUP(A1373,MasterTutor!A:E,3,FALSE)</f>
        <v>Professional</v>
      </c>
      <c r="D1373" t="str">
        <f>VLOOKUP(A1373,MasterTutor!A:E,2,FALSE)</f>
        <v>Jessica Milner</v>
      </c>
      <c r="E1373" t="s">
        <v>372</v>
      </c>
      <c r="F1373" s="2">
        <v>0.28999999999999998</v>
      </c>
      <c r="G1373" s="2">
        <v>0.7</v>
      </c>
      <c r="H1373" s="2">
        <v>1</v>
      </c>
      <c r="I1373" s="2">
        <v>0.95</v>
      </c>
      <c r="J1373" s="2">
        <v>0.5</v>
      </c>
      <c r="K1373">
        <v>4</v>
      </c>
      <c r="L1373" s="19">
        <v>0</v>
      </c>
      <c r="M1373" s="21">
        <f t="shared" si="10"/>
        <v>0</v>
      </c>
    </row>
    <row r="1374" spans="1:13" x14ac:dyDescent="0.2">
      <c r="A1374" t="s">
        <v>138</v>
      </c>
      <c r="B1374" t="str">
        <f>VLOOKUP(A1374,MasterTutor!A:E,4,FALSE)</f>
        <v>Advanced</v>
      </c>
      <c r="C1374" t="str">
        <f>VLOOKUP(A1374,MasterTutor!A:E,3,FALSE)</f>
        <v>Professional</v>
      </c>
      <c r="D1374" t="str">
        <f>VLOOKUP(A1374,MasterTutor!A:E,2,FALSE)</f>
        <v>Ela Cross</v>
      </c>
      <c r="E1374" t="s">
        <v>372</v>
      </c>
      <c r="F1374" s="2">
        <v>0.74</v>
      </c>
      <c r="G1374" s="2">
        <v>0.81</v>
      </c>
      <c r="H1374" s="2">
        <v>0.99</v>
      </c>
      <c r="I1374" s="2">
        <v>1</v>
      </c>
      <c r="J1374" s="2">
        <v>0.84</v>
      </c>
      <c r="K1374">
        <v>9</v>
      </c>
      <c r="L1374" s="19">
        <v>1</v>
      </c>
      <c r="M1374" s="21">
        <f t="shared" si="10"/>
        <v>1</v>
      </c>
    </row>
    <row r="1375" spans="1:13" x14ac:dyDescent="0.2">
      <c r="A1375" t="s">
        <v>139</v>
      </c>
      <c r="B1375" t="str">
        <f>VLOOKUP(A1375,MasterTutor!A:E,4,FALSE)</f>
        <v>Distinguished</v>
      </c>
      <c r="C1375" t="str">
        <f>VLOOKUP(A1375,MasterTutor!A:E,3,FALSE)</f>
        <v>Professional</v>
      </c>
      <c r="D1375" t="str">
        <f>VLOOKUP(A1375,MasterTutor!A:E,2,FALSE)</f>
        <v>Ian Plamondon</v>
      </c>
      <c r="E1375" t="s">
        <v>372</v>
      </c>
      <c r="F1375" s="2">
        <v>0.65</v>
      </c>
      <c r="G1375" s="2">
        <v>1</v>
      </c>
      <c r="H1375" s="2">
        <v>1</v>
      </c>
      <c r="I1375" s="2">
        <v>1</v>
      </c>
      <c r="J1375" s="2">
        <v>0.65</v>
      </c>
      <c r="K1375">
        <v>1</v>
      </c>
      <c r="L1375" s="19">
        <v>1</v>
      </c>
      <c r="M1375" s="21">
        <f t="shared" si="10"/>
        <v>1</v>
      </c>
    </row>
    <row r="1376" spans="1:13" x14ac:dyDescent="0.2">
      <c r="A1376" t="s">
        <v>140</v>
      </c>
      <c r="B1376" t="str">
        <f>VLOOKUP(A1376,MasterTutor!A:E,4,FALSE)</f>
        <v>Advanced</v>
      </c>
      <c r="C1376" t="str">
        <f>VLOOKUP(A1376,MasterTutor!A:E,3,FALSE)</f>
        <v>Adjunct</v>
      </c>
      <c r="D1376" t="str">
        <f>VLOOKUP(A1376,MasterTutor!A:E,2,FALSE)</f>
        <v>Annelies de Groot</v>
      </c>
      <c r="E1376" t="s">
        <v>372</v>
      </c>
      <c r="F1376" s="2">
        <v>0.52</v>
      </c>
      <c r="G1376" s="2">
        <v>1.04</v>
      </c>
      <c r="H1376" s="2">
        <v>1</v>
      </c>
      <c r="I1376" s="2">
        <v>0.96</v>
      </c>
      <c r="J1376" s="2">
        <v>0.46</v>
      </c>
      <c r="K1376">
        <v>2</v>
      </c>
      <c r="L1376" s="19" t="s">
        <v>360</v>
      </c>
      <c r="M1376" s="21">
        <v>0.4</v>
      </c>
    </row>
    <row r="1377" spans="1:13" x14ac:dyDescent="0.2">
      <c r="A1377" t="s">
        <v>141</v>
      </c>
      <c r="B1377" t="str">
        <f>VLOOKUP(A1377,MasterTutor!A:E,4,FALSE)</f>
        <v>Distinguished</v>
      </c>
      <c r="C1377" t="str">
        <f>VLOOKUP(A1377,MasterTutor!A:E,3,FALSE)</f>
        <v>Adjunct</v>
      </c>
      <c r="D1377" t="str">
        <f>VLOOKUP(A1377,MasterTutor!A:E,2,FALSE)</f>
        <v>Annelies de Groot</v>
      </c>
      <c r="E1377" t="s">
        <v>372</v>
      </c>
      <c r="F1377" s="2">
        <v>0.17</v>
      </c>
      <c r="G1377" s="2">
        <v>0.56999999999999995</v>
      </c>
      <c r="H1377" s="2">
        <v>1</v>
      </c>
      <c r="I1377" s="2">
        <v>1</v>
      </c>
      <c r="J1377" s="2">
        <v>0.5</v>
      </c>
      <c r="K1377">
        <v>2</v>
      </c>
    </row>
    <row r="1378" spans="1:13" x14ac:dyDescent="0.2">
      <c r="A1378" t="s">
        <v>142</v>
      </c>
      <c r="B1378" t="str">
        <f>VLOOKUP(A1378,MasterTutor!A:E,4,FALSE)</f>
        <v>Advanced</v>
      </c>
      <c r="C1378" t="str">
        <f>VLOOKUP(A1378,MasterTutor!A:E,3,FALSE)</f>
        <v>Professional</v>
      </c>
      <c r="D1378" t="str">
        <f>VLOOKUP(A1378,MasterTutor!A:E,2,FALSE)</f>
        <v>Ian Plamondon</v>
      </c>
      <c r="E1378" t="s">
        <v>372</v>
      </c>
      <c r="F1378" s="2">
        <v>0.55000000000000004</v>
      </c>
      <c r="G1378" s="2">
        <v>1.07</v>
      </c>
      <c r="H1378" s="2">
        <v>0.97</v>
      </c>
      <c r="I1378" s="2">
        <v>0.79</v>
      </c>
      <c r="J1378" s="2">
        <v>0.68</v>
      </c>
      <c r="K1378">
        <v>2</v>
      </c>
      <c r="L1378" s="19">
        <v>1</v>
      </c>
      <c r="M1378" s="21">
        <f>L1378</f>
        <v>1</v>
      </c>
    </row>
    <row r="1379" spans="1:13" x14ac:dyDescent="0.2">
      <c r="A1379" t="s">
        <v>370</v>
      </c>
      <c r="B1379" t="e">
        <f>VLOOKUP(A1379,MasterTutor!A:E,4,FALSE)</f>
        <v>#N/A</v>
      </c>
      <c r="C1379" t="e">
        <f>VLOOKUP(A1379,MasterTutor!A:E,3,FALSE)</f>
        <v>#N/A</v>
      </c>
      <c r="D1379" t="e">
        <f>VLOOKUP(A1379,MasterTutor!A:E,2,FALSE)</f>
        <v>#N/A</v>
      </c>
      <c r="E1379" t="s">
        <v>372</v>
      </c>
      <c r="F1379" s="2">
        <v>0.35</v>
      </c>
      <c r="G1379" s="2">
        <v>0.72</v>
      </c>
      <c r="H1379" s="2">
        <v>1</v>
      </c>
      <c r="I1379" s="2">
        <v>0.25</v>
      </c>
      <c r="J1379" s="2">
        <v>0.75</v>
      </c>
      <c r="K1379">
        <v>1</v>
      </c>
      <c r="L1379" s="19">
        <v>0</v>
      </c>
      <c r="M1379" s="21">
        <f>L1379</f>
        <v>0</v>
      </c>
    </row>
    <row r="1380" spans="1:13" x14ac:dyDescent="0.2">
      <c r="A1380" t="s">
        <v>143</v>
      </c>
      <c r="B1380" t="str">
        <f>VLOOKUP(A1380,MasterTutor!A:E,4,FALSE)</f>
        <v>Distinguished</v>
      </c>
      <c r="C1380" t="str">
        <f>VLOOKUP(A1380,MasterTutor!A:E,3,FALSE)</f>
        <v>Adjunct</v>
      </c>
      <c r="D1380" t="str">
        <f>VLOOKUP(A1380,MasterTutor!A:E,2,FALSE)</f>
        <v>Annelies de Groot</v>
      </c>
      <c r="E1380" t="s">
        <v>372</v>
      </c>
      <c r="F1380" s="2">
        <v>0.23</v>
      </c>
      <c r="G1380" s="2">
        <v>1.47</v>
      </c>
      <c r="H1380" s="2">
        <v>1</v>
      </c>
      <c r="I1380" s="2">
        <v>1</v>
      </c>
      <c r="J1380" s="2">
        <v>0.6</v>
      </c>
      <c r="K1380">
        <v>1</v>
      </c>
    </row>
    <row r="1381" spans="1:13" x14ac:dyDescent="0.2">
      <c r="A1381" t="s">
        <v>144</v>
      </c>
      <c r="B1381" t="str">
        <f>VLOOKUP(A1381,MasterTutor!A:E,4,FALSE)</f>
        <v>Distinguished</v>
      </c>
      <c r="C1381" t="str">
        <f>VLOOKUP(A1381,MasterTutor!A:E,3,FALSE)</f>
        <v>Professional</v>
      </c>
      <c r="D1381" t="str">
        <f>VLOOKUP(A1381,MasterTutor!A:E,2,FALSE)</f>
        <v>Annelies de Groot</v>
      </c>
      <c r="E1381" t="s">
        <v>372</v>
      </c>
      <c r="F1381" s="2">
        <v>0.32</v>
      </c>
      <c r="G1381" s="2">
        <v>0.84</v>
      </c>
      <c r="H1381" s="2">
        <v>1</v>
      </c>
      <c r="I1381" s="2">
        <v>0.69</v>
      </c>
      <c r="J1381" s="2">
        <v>0.64</v>
      </c>
      <c r="K1381">
        <v>4</v>
      </c>
      <c r="L1381" s="19">
        <v>1</v>
      </c>
      <c r="M1381" s="21">
        <f>L1381</f>
        <v>1</v>
      </c>
    </row>
    <row r="1382" spans="1:13" x14ac:dyDescent="0.2">
      <c r="A1382" t="s">
        <v>145</v>
      </c>
      <c r="B1382" t="str">
        <f>VLOOKUP(A1382,MasterTutor!A:E,4,FALSE)</f>
        <v>Premium</v>
      </c>
      <c r="C1382" t="str">
        <f>VLOOKUP(A1382,MasterTutor!A:E,3,FALSE)</f>
        <v>Professional</v>
      </c>
      <c r="D1382" t="str">
        <f>VLOOKUP(A1382,MasterTutor!A:E,2,FALSE)</f>
        <v>Jessica Milner</v>
      </c>
      <c r="E1382" t="s">
        <v>372</v>
      </c>
      <c r="F1382" s="2">
        <v>0.45</v>
      </c>
      <c r="G1382" s="2">
        <v>0.98</v>
      </c>
      <c r="H1382" s="2">
        <v>1</v>
      </c>
      <c r="I1382" s="2">
        <v>0.96</v>
      </c>
      <c r="J1382" s="2">
        <v>0.92</v>
      </c>
      <c r="K1382">
        <v>2</v>
      </c>
      <c r="L1382" s="19">
        <v>1</v>
      </c>
      <c r="M1382" s="21">
        <f>L1382</f>
        <v>1</v>
      </c>
    </row>
    <row r="1383" spans="1:13" x14ac:dyDescent="0.2">
      <c r="A1383" t="s">
        <v>146</v>
      </c>
      <c r="B1383" t="str">
        <f>VLOOKUP(A1383,MasterTutor!A:E,4,FALSE)</f>
        <v>Distinguished</v>
      </c>
      <c r="C1383" t="str">
        <f>VLOOKUP(A1383,MasterTutor!A:E,3,FALSE)</f>
        <v>Adjunct</v>
      </c>
      <c r="D1383" t="str">
        <f>VLOOKUP(A1383,MasterTutor!A:E,2,FALSE)</f>
        <v>Ian Plamondon</v>
      </c>
      <c r="E1383" t="s">
        <v>372</v>
      </c>
      <c r="F1383" s="2">
        <v>0.33</v>
      </c>
      <c r="G1383" s="2">
        <v>0.5</v>
      </c>
      <c r="H1383" s="2">
        <v>1</v>
      </c>
      <c r="I1383" s="2">
        <v>0.89</v>
      </c>
      <c r="J1383" s="2">
        <v>0.79</v>
      </c>
      <c r="K1383">
        <v>5</v>
      </c>
      <c r="L1383" s="19">
        <v>1</v>
      </c>
      <c r="M1383" s="21">
        <f>L1383</f>
        <v>1</v>
      </c>
    </row>
    <row r="1384" spans="1:13" x14ac:dyDescent="0.2">
      <c r="A1384" t="s">
        <v>147</v>
      </c>
      <c r="B1384" t="str">
        <f>VLOOKUP(A1384,MasterTutor!A:E,4,FALSE)</f>
        <v>Premium</v>
      </c>
      <c r="C1384" t="str">
        <f>VLOOKUP(A1384,MasterTutor!A:E,3,FALSE)</f>
        <v>Adjunct</v>
      </c>
      <c r="D1384" t="str">
        <f>VLOOKUP(A1384,MasterTutor!A:E,2,FALSE)</f>
        <v>Ela Cross</v>
      </c>
      <c r="E1384" t="s">
        <v>372</v>
      </c>
      <c r="F1384" s="2">
        <v>0.28999999999999998</v>
      </c>
      <c r="G1384" s="2">
        <v>1.1599999999999999</v>
      </c>
      <c r="H1384" s="2">
        <v>1</v>
      </c>
      <c r="I1384" s="2">
        <v>1</v>
      </c>
      <c r="J1384" s="2">
        <v>0.83</v>
      </c>
      <c r="K1384">
        <v>2</v>
      </c>
      <c r="L1384" s="19">
        <v>0</v>
      </c>
      <c r="M1384" s="21">
        <f>L1384</f>
        <v>0</v>
      </c>
    </row>
    <row r="1385" spans="1:13" x14ac:dyDescent="0.2">
      <c r="A1385" t="s">
        <v>148</v>
      </c>
      <c r="B1385" t="str">
        <f>VLOOKUP(A1385,MasterTutor!A:E,4,FALSE)</f>
        <v>Advanced</v>
      </c>
      <c r="C1385" t="str">
        <f>VLOOKUP(A1385,MasterTutor!A:E,3,FALSE)</f>
        <v>Adjunct</v>
      </c>
      <c r="D1385" t="str">
        <f>VLOOKUP(A1385,MasterTutor!A:E,2,FALSE)</f>
        <v>Ela Cross</v>
      </c>
      <c r="E1385" t="s">
        <v>372</v>
      </c>
      <c r="F1385" s="2">
        <v>0.89</v>
      </c>
      <c r="G1385" s="2">
        <v>0.96</v>
      </c>
      <c r="H1385" s="2">
        <v>0.99</v>
      </c>
      <c r="I1385" s="2">
        <v>1</v>
      </c>
      <c r="J1385" s="2">
        <v>0.77</v>
      </c>
      <c r="K1385">
        <v>6</v>
      </c>
      <c r="L1385" s="19">
        <v>0</v>
      </c>
      <c r="M1385" s="21">
        <f>L1385</f>
        <v>0</v>
      </c>
    </row>
    <row r="1386" spans="1:13" x14ac:dyDescent="0.2">
      <c r="A1386" t="s">
        <v>149</v>
      </c>
      <c r="B1386" t="str">
        <f>VLOOKUP(A1386,MasterTutor!A:E,4,FALSE)</f>
        <v>Distinguished</v>
      </c>
      <c r="C1386" t="str">
        <f>VLOOKUP(A1386,MasterTutor!A:E,3,FALSE)</f>
        <v>Professional</v>
      </c>
      <c r="D1386" t="str">
        <f>VLOOKUP(A1386,MasterTutor!A:E,2,FALSE)</f>
        <v>Ian Plamondon</v>
      </c>
      <c r="E1386" t="s">
        <v>372</v>
      </c>
      <c r="F1386" s="2">
        <v>0.8</v>
      </c>
      <c r="G1386" s="2">
        <v>1.37</v>
      </c>
      <c r="H1386" s="2">
        <v>0.93</v>
      </c>
      <c r="I1386" s="2">
        <v>0.87</v>
      </c>
      <c r="J1386" s="2">
        <v>0.68</v>
      </c>
      <c r="K1386">
        <v>1</v>
      </c>
      <c r="L1386" s="19" t="s">
        <v>347</v>
      </c>
      <c r="M1386" s="21">
        <v>0.56999999999999995</v>
      </c>
    </row>
    <row r="1387" spans="1:13" x14ac:dyDescent="0.2">
      <c r="A1387" t="s">
        <v>361</v>
      </c>
      <c r="B1387" t="e">
        <f>VLOOKUP(A1387,MasterTutor!A:E,4,FALSE)</f>
        <v>#N/A</v>
      </c>
      <c r="C1387" t="e">
        <f>VLOOKUP(A1387,MasterTutor!A:E,3,FALSE)</f>
        <v>#N/A</v>
      </c>
      <c r="D1387" t="e">
        <f>VLOOKUP(A1387,MasterTutor!A:E,2,FALSE)</f>
        <v>#N/A</v>
      </c>
      <c r="E1387" t="s">
        <v>372</v>
      </c>
      <c r="F1387" s="2">
        <v>0.38</v>
      </c>
      <c r="G1387" s="2">
        <v>1.03</v>
      </c>
      <c r="H1387" s="2">
        <v>0.98</v>
      </c>
      <c r="I1387" s="2">
        <v>0.94</v>
      </c>
      <c r="J1387" s="2">
        <v>0.8</v>
      </c>
      <c r="K1387">
        <v>1</v>
      </c>
      <c r="L1387" s="19">
        <v>0</v>
      </c>
      <c r="M1387" s="21">
        <f>L1387</f>
        <v>0</v>
      </c>
    </row>
    <row r="1388" spans="1:13" x14ac:dyDescent="0.2">
      <c r="A1388" t="s">
        <v>150</v>
      </c>
      <c r="B1388" t="str">
        <f>VLOOKUP(A1388,MasterTutor!A:E,4,FALSE)</f>
        <v>Advanced</v>
      </c>
      <c r="C1388" t="str">
        <f>VLOOKUP(A1388,MasterTutor!A:E,3,FALSE)</f>
        <v>Adjunct</v>
      </c>
      <c r="D1388" t="str">
        <f>VLOOKUP(A1388,MasterTutor!A:E,2,FALSE)</f>
        <v>Ela Cross</v>
      </c>
      <c r="E1388" t="s">
        <v>372</v>
      </c>
      <c r="F1388" s="2">
        <v>0.28000000000000003</v>
      </c>
      <c r="G1388" s="2">
        <v>0.28999999999999998</v>
      </c>
      <c r="H1388" s="2">
        <v>0.88</v>
      </c>
      <c r="I1388" s="2">
        <v>0.83</v>
      </c>
      <c r="J1388" s="2">
        <v>1</v>
      </c>
      <c r="K1388">
        <v>4</v>
      </c>
    </row>
    <row r="1389" spans="1:13" x14ac:dyDescent="0.2">
      <c r="A1389" t="s">
        <v>151</v>
      </c>
      <c r="B1389" t="e">
        <f>VLOOKUP(A1389,MasterTutor!A:E,4,FALSE)</f>
        <v>#N/A</v>
      </c>
      <c r="C1389" t="e">
        <f>VLOOKUP(A1389,MasterTutor!A:E,3,FALSE)</f>
        <v>#N/A</v>
      </c>
      <c r="D1389" t="e">
        <f>VLOOKUP(A1389,MasterTutor!A:E,2,FALSE)</f>
        <v>#N/A</v>
      </c>
      <c r="E1389" t="s">
        <v>372</v>
      </c>
      <c r="F1389" s="2">
        <v>0.51</v>
      </c>
      <c r="G1389" s="2">
        <v>1.34</v>
      </c>
      <c r="H1389" s="2">
        <v>0.97</v>
      </c>
      <c r="I1389" s="2">
        <v>0.6</v>
      </c>
      <c r="J1389" s="2">
        <v>0.86</v>
      </c>
      <c r="K1389">
        <v>3</v>
      </c>
    </row>
    <row r="1390" spans="1:13" x14ac:dyDescent="0.2">
      <c r="A1390" t="s">
        <v>297</v>
      </c>
      <c r="B1390" t="e">
        <f>VLOOKUP(A1390,MasterTutor!A:E,4,FALSE)</f>
        <v>#N/A</v>
      </c>
      <c r="C1390" t="e">
        <f>VLOOKUP(A1390,MasterTutor!A:E,3,FALSE)</f>
        <v>#N/A</v>
      </c>
      <c r="D1390" t="e">
        <f>VLOOKUP(A1390,MasterTutor!A:E,2,FALSE)</f>
        <v>#N/A</v>
      </c>
      <c r="E1390" t="s">
        <v>372</v>
      </c>
      <c r="F1390" s="2">
        <v>0.28000000000000003</v>
      </c>
      <c r="G1390" s="2">
        <v>1.1200000000000001</v>
      </c>
      <c r="H1390" s="2">
        <v>1</v>
      </c>
      <c r="I1390" s="2">
        <v>0.59</v>
      </c>
      <c r="J1390" s="2">
        <v>0.67</v>
      </c>
      <c r="K1390">
        <v>3</v>
      </c>
      <c r="L1390" s="19">
        <v>0</v>
      </c>
      <c r="M1390" s="21">
        <f>L1390</f>
        <v>0</v>
      </c>
    </row>
    <row r="1391" spans="1:13" x14ac:dyDescent="0.2">
      <c r="A1391" t="s">
        <v>152</v>
      </c>
      <c r="B1391" t="str">
        <f>VLOOKUP(A1391,MasterTutor!A:E,4,FALSE)</f>
        <v>Premium</v>
      </c>
      <c r="C1391" t="str">
        <f>VLOOKUP(A1391,MasterTutor!A:E,3,FALSE)</f>
        <v>Professional</v>
      </c>
      <c r="D1391" t="str">
        <f>VLOOKUP(A1391,MasterTutor!A:E,2,FALSE)</f>
        <v>Ian Plamondon</v>
      </c>
      <c r="E1391" t="s">
        <v>372</v>
      </c>
      <c r="F1391" s="2">
        <v>0.87</v>
      </c>
      <c r="G1391" s="2">
        <v>1.35</v>
      </c>
      <c r="H1391" s="2">
        <v>0.99</v>
      </c>
      <c r="I1391" s="2">
        <v>0.79</v>
      </c>
      <c r="J1391" s="2">
        <v>0.5</v>
      </c>
      <c r="K1391">
        <v>3</v>
      </c>
      <c r="L1391" s="19" t="s">
        <v>330</v>
      </c>
      <c r="M1391" s="21">
        <v>0.67</v>
      </c>
    </row>
    <row r="1392" spans="1:13" x14ac:dyDescent="0.2">
      <c r="A1392" t="s">
        <v>153</v>
      </c>
      <c r="B1392" t="str">
        <f>VLOOKUP(A1392,MasterTutor!A:E,4,FALSE)</f>
        <v>Distinguished</v>
      </c>
      <c r="C1392" t="str">
        <f>VLOOKUP(A1392,MasterTutor!A:E,3,FALSE)</f>
        <v>Professional</v>
      </c>
      <c r="D1392" t="str">
        <f>VLOOKUP(A1392,MasterTutor!A:E,2,FALSE)</f>
        <v>Ian Plamondon</v>
      </c>
      <c r="E1392" t="s">
        <v>372</v>
      </c>
      <c r="F1392" s="2">
        <v>0.68</v>
      </c>
      <c r="G1392" s="2">
        <v>1.1599999999999999</v>
      </c>
      <c r="H1392" s="2">
        <v>0.99</v>
      </c>
      <c r="I1392" s="2">
        <v>0.96</v>
      </c>
      <c r="J1392" s="2">
        <v>0.9</v>
      </c>
      <c r="K1392">
        <v>4</v>
      </c>
      <c r="L1392" s="19">
        <v>0</v>
      </c>
      <c r="M1392" s="21">
        <f>L1392</f>
        <v>0</v>
      </c>
    </row>
    <row r="1393" spans="1:13" x14ac:dyDescent="0.2">
      <c r="A1393" t="s">
        <v>299</v>
      </c>
      <c r="B1393" t="str">
        <f>VLOOKUP(A1393,MasterTutor!A:E,4,FALSE)</f>
        <v>Advanced</v>
      </c>
      <c r="C1393" t="str">
        <f>VLOOKUP(A1393,MasterTutor!A:E,3,FALSE)</f>
        <v>Professional</v>
      </c>
      <c r="D1393" t="str">
        <f>VLOOKUP(A1393,MasterTutor!A:E,2,FALSE)</f>
        <v>Ela Cross</v>
      </c>
      <c r="E1393" t="s">
        <v>372</v>
      </c>
      <c r="F1393" s="2">
        <v>0.17</v>
      </c>
      <c r="G1393" s="2">
        <v>0.93</v>
      </c>
      <c r="H1393" s="2">
        <v>1</v>
      </c>
      <c r="I1393" s="2">
        <v>1</v>
      </c>
      <c r="J1393" s="2">
        <v>1</v>
      </c>
      <c r="K1393" t="e">
        <v>#N/A</v>
      </c>
      <c r="L1393" s="19" t="s">
        <v>329</v>
      </c>
      <c r="M1393" s="21">
        <v>0.75</v>
      </c>
    </row>
    <row r="1394" spans="1:13" x14ac:dyDescent="0.2">
      <c r="A1394" t="s">
        <v>155</v>
      </c>
      <c r="B1394" t="str">
        <f>VLOOKUP(A1394,MasterTutor!A:E,4,FALSE)</f>
        <v>Distinguished</v>
      </c>
      <c r="C1394" t="str">
        <f>VLOOKUP(A1394,MasterTutor!A:E,3,FALSE)</f>
        <v>Professional</v>
      </c>
      <c r="D1394" t="str">
        <f>VLOOKUP(A1394,MasterTutor!A:E,2,FALSE)</f>
        <v>Kristin Haase-Alvey</v>
      </c>
      <c r="E1394" t="s">
        <v>372</v>
      </c>
      <c r="F1394" s="2">
        <v>0.7</v>
      </c>
      <c r="G1394" s="2">
        <v>1.03</v>
      </c>
      <c r="H1394" s="2">
        <v>0.98</v>
      </c>
      <c r="I1394" s="2">
        <v>0.77</v>
      </c>
      <c r="J1394" s="2">
        <v>0.67</v>
      </c>
      <c r="K1394" t="e">
        <v>#N/A</v>
      </c>
      <c r="L1394" s="19" t="s">
        <v>329</v>
      </c>
      <c r="M1394" s="21">
        <v>0.75</v>
      </c>
    </row>
    <row r="1395" spans="1:13" x14ac:dyDescent="0.2">
      <c r="A1395" t="s">
        <v>301</v>
      </c>
      <c r="B1395" t="str">
        <f>VLOOKUP(A1395,MasterTutor!A:E,4,FALSE)</f>
        <v>Advanced</v>
      </c>
      <c r="C1395" t="str">
        <f>VLOOKUP(A1395,MasterTutor!A:E,3,FALSE)</f>
        <v>Professional</v>
      </c>
      <c r="D1395" t="str">
        <f>VLOOKUP(A1395,MasterTutor!A:E,2,FALSE)</f>
        <v>Kristin Haase-Alvey</v>
      </c>
      <c r="E1395" t="s">
        <v>372</v>
      </c>
      <c r="F1395" s="2">
        <v>0.92</v>
      </c>
      <c r="G1395" s="2">
        <v>1.51</v>
      </c>
      <c r="H1395" s="2">
        <v>0.99</v>
      </c>
      <c r="I1395" s="2">
        <v>0.94</v>
      </c>
      <c r="J1395" s="2">
        <v>0.84</v>
      </c>
      <c r="K1395">
        <v>2</v>
      </c>
      <c r="L1395" s="19" t="s">
        <v>354</v>
      </c>
      <c r="M1395" s="21">
        <v>0.43</v>
      </c>
    </row>
    <row r="1396" spans="1:13" x14ac:dyDescent="0.2">
      <c r="A1396" t="s">
        <v>302</v>
      </c>
      <c r="B1396" t="str">
        <f>VLOOKUP(A1396,MasterTutor!A:E,4,FALSE)</f>
        <v>Advanced</v>
      </c>
      <c r="C1396" t="str">
        <f>VLOOKUP(A1396,MasterTutor!A:E,3,FALSE)</f>
        <v>Professional</v>
      </c>
      <c r="D1396" t="str">
        <f>VLOOKUP(A1396,MasterTutor!A:E,2,FALSE)</f>
        <v>Ela Cross</v>
      </c>
      <c r="E1396" t="s">
        <v>372</v>
      </c>
      <c r="F1396" s="2">
        <v>1.07</v>
      </c>
      <c r="G1396" s="2">
        <v>1.25</v>
      </c>
      <c r="H1396" s="2">
        <v>0.98</v>
      </c>
      <c r="I1396" s="2">
        <v>0.99</v>
      </c>
      <c r="J1396" s="2">
        <v>0.43</v>
      </c>
      <c r="K1396">
        <v>8</v>
      </c>
      <c r="L1396" s="19">
        <v>0</v>
      </c>
      <c r="M1396" s="21">
        <f>L1396</f>
        <v>0</v>
      </c>
    </row>
    <row r="1397" spans="1:13" x14ac:dyDescent="0.2">
      <c r="A1397" t="s">
        <v>156</v>
      </c>
      <c r="B1397" t="e">
        <f>VLOOKUP(A1397,MasterTutor!A:E,4,FALSE)</f>
        <v>#N/A</v>
      </c>
      <c r="C1397" t="e">
        <f>VLOOKUP(A1397,MasterTutor!A:E,3,FALSE)</f>
        <v>#N/A</v>
      </c>
      <c r="D1397" t="e">
        <f>VLOOKUP(A1397,MasterTutor!A:E,2,FALSE)</f>
        <v>#N/A</v>
      </c>
      <c r="E1397" t="s">
        <v>372</v>
      </c>
      <c r="F1397" s="2">
        <v>0.47</v>
      </c>
      <c r="G1397" s="2">
        <v>1.04</v>
      </c>
      <c r="H1397" s="2">
        <v>1</v>
      </c>
      <c r="I1397" s="2">
        <v>0.87</v>
      </c>
      <c r="J1397" s="2">
        <v>0.88</v>
      </c>
      <c r="K1397">
        <v>5</v>
      </c>
      <c r="L1397" s="19" t="s">
        <v>331</v>
      </c>
      <c r="M1397" s="21">
        <v>0.5</v>
      </c>
    </row>
    <row r="1398" spans="1:13" x14ac:dyDescent="0.2">
      <c r="A1398" t="s">
        <v>157</v>
      </c>
      <c r="B1398" t="str">
        <f>VLOOKUP(A1398,MasterTutor!A:E,4,FALSE)</f>
        <v>Advanced</v>
      </c>
      <c r="C1398" t="str">
        <f>VLOOKUP(A1398,MasterTutor!A:E,3,FALSE)</f>
        <v>Adjunct</v>
      </c>
      <c r="D1398" t="str">
        <f>VLOOKUP(A1398,MasterTutor!A:E,2,FALSE)</f>
        <v>Kristin Haase-Alvey</v>
      </c>
      <c r="E1398" t="s">
        <v>372</v>
      </c>
      <c r="F1398" s="2">
        <v>0.49</v>
      </c>
      <c r="G1398" s="2">
        <v>1.22</v>
      </c>
      <c r="H1398" s="2">
        <v>0.94</v>
      </c>
      <c r="I1398" s="2">
        <v>0.53</v>
      </c>
      <c r="J1398" s="2">
        <v>0.56999999999999995</v>
      </c>
      <c r="K1398">
        <v>1</v>
      </c>
      <c r="L1398" s="19" t="s">
        <v>344</v>
      </c>
      <c r="M1398" s="21">
        <v>0.83</v>
      </c>
    </row>
    <row r="1399" spans="1:13" x14ac:dyDescent="0.2">
      <c r="A1399" t="s">
        <v>158</v>
      </c>
      <c r="B1399" t="str">
        <f>VLOOKUP(A1399,MasterTutor!A:E,4,FALSE)</f>
        <v>Advanced</v>
      </c>
      <c r="C1399" t="str">
        <f>VLOOKUP(A1399,MasterTutor!A:E,3,FALSE)</f>
        <v>Adjunct</v>
      </c>
      <c r="D1399" t="str">
        <f>VLOOKUP(A1399,MasterTutor!A:E,2,FALSE)</f>
        <v>Annelies de Groot</v>
      </c>
      <c r="E1399" t="s">
        <v>372</v>
      </c>
      <c r="F1399" s="2">
        <v>0.31</v>
      </c>
      <c r="G1399" s="2">
        <v>1.0900000000000001</v>
      </c>
      <c r="H1399" s="2">
        <v>0.95</v>
      </c>
      <c r="I1399" s="2">
        <v>1</v>
      </c>
      <c r="J1399" s="2">
        <v>0.56000000000000005</v>
      </c>
      <c r="K1399">
        <v>1</v>
      </c>
    </row>
    <row r="1400" spans="1:13" x14ac:dyDescent="0.2">
      <c r="A1400" t="s">
        <v>160</v>
      </c>
      <c r="B1400" t="str">
        <f>VLOOKUP(A1400,MasterTutor!A:E,4,FALSE)</f>
        <v>Distinguished</v>
      </c>
      <c r="C1400" t="str">
        <f>VLOOKUP(A1400,MasterTutor!A:E,3,FALSE)</f>
        <v>Adjunct</v>
      </c>
      <c r="D1400" t="str">
        <f>VLOOKUP(A1400,MasterTutor!A:E,2,FALSE)</f>
        <v>Ela Cross</v>
      </c>
      <c r="E1400" t="s">
        <v>372</v>
      </c>
      <c r="F1400" s="2">
        <v>0.25</v>
      </c>
      <c r="G1400" s="2">
        <v>1.27</v>
      </c>
      <c r="H1400" s="2">
        <v>1</v>
      </c>
      <c r="I1400" s="2">
        <v>0.81</v>
      </c>
      <c r="J1400" s="2">
        <v>0.83</v>
      </c>
      <c r="K1400" t="e">
        <v>#N/A</v>
      </c>
    </row>
    <row r="1401" spans="1:13" x14ac:dyDescent="0.2">
      <c r="A1401" t="s">
        <v>161</v>
      </c>
      <c r="B1401" t="str">
        <f>VLOOKUP(A1401,MasterTutor!A:E,4,FALSE)</f>
        <v>Distinguished</v>
      </c>
      <c r="C1401" t="str">
        <f>VLOOKUP(A1401,MasterTutor!A:E,3,FALSE)</f>
        <v>Professional</v>
      </c>
      <c r="D1401" t="str">
        <f>VLOOKUP(A1401,MasterTutor!A:E,2,FALSE)</f>
        <v>Ian Plamondon</v>
      </c>
      <c r="E1401" t="s">
        <v>372</v>
      </c>
      <c r="F1401" s="2">
        <v>0.39</v>
      </c>
      <c r="G1401" s="2">
        <v>1.0900000000000001</v>
      </c>
      <c r="H1401" s="2">
        <v>0.99</v>
      </c>
      <c r="I1401" s="2">
        <v>0.87</v>
      </c>
      <c r="J1401" s="2">
        <v>0.81</v>
      </c>
      <c r="K1401">
        <v>2</v>
      </c>
      <c r="L1401" s="19">
        <v>1</v>
      </c>
      <c r="M1401" s="21">
        <f>L1401</f>
        <v>1</v>
      </c>
    </row>
    <row r="1402" spans="1:13" x14ac:dyDescent="0.2">
      <c r="A1402" t="s">
        <v>162</v>
      </c>
      <c r="B1402" t="e">
        <f>VLOOKUP(A1402,MasterTutor!A:E,4,FALSE)</f>
        <v>#N/A</v>
      </c>
      <c r="C1402" t="e">
        <f>VLOOKUP(A1402,MasterTutor!A:E,3,FALSE)</f>
        <v>#N/A</v>
      </c>
      <c r="D1402" t="e">
        <f>VLOOKUP(A1402,MasterTutor!A:E,2,FALSE)</f>
        <v>#N/A</v>
      </c>
      <c r="E1402" t="s">
        <v>372</v>
      </c>
      <c r="F1402" s="2">
        <v>0.22</v>
      </c>
      <c r="G1402" s="2">
        <v>1.1100000000000001</v>
      </c>
      <c r="H1402" s="2">
        <v>1</v>
      </c>
      <c r="I1402" s="2">
        <v>0.75</v>
      </c>
      <c r="J1402" s="2">
        <v>0.67</v>
      </c>
      <c r="K1402">
        <v>1</v>
      </c>
    </row>
    <row r="1403" spans="1:13" x14ac:dyDescent="0.2">
      <c r="A1403" t="s">
        <v>163</v>
      </c>
      <c r="B1403" t="str">
        <f>VLOOKUP(A1403,MasterTutor!A:E,4,FALSE)</f>
        <v>Premium</v>
      </c>
      <c r="C1403" t="str">
        <f>VLOOKUP(A1403,MasterTutor!A:E,3,FALSE)</f>
        <v>Professional</v>
      </c>
      <c r="D1403" t="str">
        <f>VLOOKUP(A1403,MasterTutor!A:E,2,FALSE)</f>
        <v>Jessica Milner</v>
      </c>
      <c r="E1403" t="s">
        <v>372</v>
      </c>
      <c r="F1403" s="2">
        <v>0.94</v>
      </c>
      <c r="G1403" s="2">
        <v>1.1399999999999999</v>
      </c>
      <c r="H1403" s="2">
        <v>0.44</v>
      </c>
      <c r="I1403" s="2">
        <v>0.82</v>
      </c>
      <c r="J1403" s="2">
        <v>0.36</v>
      </c>
      <c r="K1403">
        <v>5</v>
      </c>
      <c r="L1403" s="19">
        <v>0</v>
      </c>
      <c r="M1403" s="21">
        <f>L1403</f>
        <v>0</v>
      </c>
    </row>
    <row r="1404" spans="1:13" x14ac:dyDescent="0.2">
      <c r="A1404" t="s">
        <v>164</v>
      </c>
      <c r="B1404" t="str">
        <f>VLOOKUP(A1404,MasterTutor!A:E,4,FALSE)</f>
        <v>Advanced</v>
      </c>
      <c r="C1404" t="str">
        <f>VLOOKUP(A1404,MasterTutor!A:E,3,FALSE)</f>
        <v>Professional</v>
      </c>
      <c r="D1404" t="str">
        <f>VLOOKUP(A1404,MasterTutor!A:E,2,FALSE)</f>
        <v>Annelies de Groot</v>
      </c>
      <c r="E1404" t="s">
        <v>372</v>
      </c>
      <c r="F1404" s="2">
        <v>0.8</v>
      </c>
      <c r="G1404" s="2">
        <v>1.04</v>
      </c>
      <c r="H1404" s="2">
        <v>0.97</v>
      </c>
      <c r="I1404" s="2">
        <v>0.94</v>
      </c>
      <c r="J1404" s="2">
        <v>0.62</v>
      </c>
      <c r="K1404">
        <v>1</v>
      </c>
      <c r="L1404" s="19" t="s">
        <v>347</v>
      </c>
      <c r="M1404" s="21">
        <v>0.56999999999999995</v>
      </c>
    </row>
    <row r="1405" spans="1:13" x14ac:dyDescent="0.2">
      <c r="A1405" t="s">
        <v>165</v>
      </c>
      <c r="B1405" t="str">
        <f>VLOOKUP(A1405,MasterTutor!A:E,4,FALSE)</f>
        <v>Advanced</v>
      </c>
      <c r="C1405" t="str">
        <f>VLOOKUP(A1405,MasterTutor!A:E,3,FALSE)</f>
        <v>Adjunct</v>
      </c>
      <c r="D1405" t="str">
        <f>VLOOKUP(A1405,MasterTutor!A:E,2,FALSE)</f>
        <v>Ela Cross</v>
      </c>
      <c r="E1405" t="s">
        <v>372</v>
      </c>
      <c r="F1405" s="2">
        <v>0.53</v>
      </c>
      <c r="G1405" s="2">
        <v>0.73</v>
      </c>
      <c r="H1405" s="2">
        <v>1</v>
      </c>
      <c r="I1405" s="2">
        <v>0.97</v>
      </c>
      <c r="J1405" s="2">
        <v>0.79</v>
      </c>
      <c r="K1405">
        <v>6</v>
      </c>
    </row>
    <row r="1406" spans="1:13" x14ac:dyDescent="0.2">
      <c r="A1406" t="s">
        <v>166</v>
      </c>
      <c r="B1406" t="str">
        <f>VLOOKUP(A1406,MasterTutor!A:E,4,FALSE)</f>
        <v>Distinguished</v>
      </c>
      <c r="C1406" t="str">
        <f>VLOOKUP(A1406,MasterTutor!A:E,3,FALSE)</f>
        <v>Adjunct</v>
      </c>
      <c r="D1406" t="str">
        <f>VLOOKUP(A1406,MasterTutor!A:E,2,FALSE)</f>
        <v>Annelies de Groot</v>
      </c>
      <c r="E1406" t="s">
        <v>372</v>
      </c>
      <c r="F1406" s="2">
        <v>0.73</v>
      </c>
      <c r="G1406" s="2">
        <v>1.65</v>
      </c>
      <c r="H1406" s="2">
        <v>0.98</v>
      </c>
      <c r="I1406" s="2">
        <v>0.96</v>
      </c>
      <c r="J1406" s="2">
        <v>0.67</v>
      </c>
      <c r="K1406">
        <v>2</v>
      </c>
    </row>
    <row r="1407" spans="1:13" x14ac:dyDescent="0.2">
      <c r="A1407" t="s">
        <v>167</v>
      </c>
      <c r="B1407" t="str">
        <f>VLOOKUP(A1407,MasterTutor!A:E,4,FALSE)</f>
        <v>Advanced</v>
      </c>
      <c r="C1407" t="str">
        <f>VLOOKUP(A1407,MasterTutor!A:E,3,FALSE)</f>
        <v>Adjunct</v>
      </c>
      <c r="D1407" t="str">
        <f>VLOOKUP(A1407,MasterTutor!A:E,2,FALSE)</f>
        <v>Ela Cross</v>
      </c>
      <c r="E1407" t="s">
        <v>372</v>
      </c>
      <c r="F1407" s="2">
        <v>0.19</v>
      </c>
      <c r="G1407" s="2">
        <v>0.77</v>
      </c>
      <c r="H1407" s="2">
        <v>0.92</v>
      </c>
      <c r="I1407" s="2">
        <v>0.22</v>
      </c>
      <c r="J1407" s="2">
        <v>0</v>
      </c>
      <c r="K1407" t="e">
        <v>#N/A</v>
      </c>
    </row>
    <row r="1408" spans="1:13" x14ac:dyDescent="0.2">
      <c r="A1408" t="s">
        <v>168</v>
      </c>
      <c r="B1408" t="str">
        <f>VLOOKUP(A1408,MasterTutor!A:E,4,FALSE)</f>
        <v>Advanced</v>
      </c>
      <c r="C1408" t="str">
        <f>VLOOKUP(A1408,MasterTutor!A:E,3,FALSE)</f>
        <v>Adjunct</v>
      </c>
      <c r="D1408" t="str">
        <f>VLOOKUP(A1408,MasterTutor!A:E,2,FALSE)</f>
        <v>Kristin Haase-Alvey</v>
      </c>
      <c r="E1408" t="s">
        <v>372</v>
      </c>
      <c r="F1408" s="2">
        <v>0.43</v>
      </c>
      <c r="G1408" s="2">
        <v>1.02</v>
      </c>
      <c r="H1408" s="2">
        <v>1</v>
      </c>
      <c r="I1408" s="2">
        <v>1</v>
      </c>
      <c r="J1408" s="2">
        <v>0.78</v>
      </c>
      <c r="K1408">
        <v>5</v>
      </c>
      <c r="L1408" s="19">
        <v>1</v>
      </c>
      <c r="M1408" s="21">
        <f>L1408</f>
        <v>1</v>
      </c>
    </row>
    <row r="1409" spans="1:13" x14ac:dyDescent="0.2">
      <c r="A1409" t="s">
        <v>304</v>
      </c>
      <c r="B1409" t="str">
        <f>VLOOKUP(A1409,MasterTutor!A:E,4,FALSE)</f>
        <v>Advanced</v>
      </c>
      <c r="C1409" t="str">
        <f>VLOOKUP(A1409,MasterTutor!A:E,3,FALSE)</f>
        <v>Professional</v>
      </c>
      <c r="D1409" t="str">
        <f>VLOOKUP(A1409,MasterTutor!A:E,2,FALSE)</f>
        <v>Kristin Haase-Alvey</v>
      </c>
      <c r="E1409" t="s">
        <v>372</v>
      </c>
      <c r="F1409" s="2">
        <v>0.51</v>
      </c>
      <c r="G1409" s="2">
        <v>1.2</v>
      </c>
      <c r="H1409" s="2">
        <v>0.95</v>
      </c>
      <c r="I1409" s="2">
        <v>1</v>
      </c>
      <c r="J1409" s="2">
        <v>0.56999999999999995</v>
      </c>
      <c r="K1409">
        <v>2</v>
      </c>
      <c r="L1409" s="19" t="s">
        <v>343</v>
      </c>
      <c r="M1409" s="21">
        <v>0.89</v>
      </c>
    </row>
    <row r="1410" spans="1:13" x14ac:dyDescent="0.2">
      <c r="A1410" t="s">
        <v>169</v>
      </c>
      <c r="B1410" t="e">
        <f>VLOOKUP(A1410,MasterTutor!A:E,4,FALSE)</f>
        <v>#N/A</v>
      </c>
      <c r="C1410" t="e">
        <f>VLOOKUP(A1410,MasterTutor!A:E,3,FALSE)</f>
        <v>#N/A</v>
      </c>
      <c r="D1410" t="e">
        <f>VLOOKUP(A1410,MasterTutor!A:E,2,FALSE)</f>
        <v>#N/A</v>
      </c>
      <c r="E1410" t="s">
        <v>372</v>
      </c>
      <c r="F1410" s="2">
        <v>0.24</v>
      </c>
      <c r="G1410" s="2">
        <v>1.05</v>
      </c>
      <c r="H1410" s="2">
        <v>1</v>
      </c>
      <c r="I1410" s="2">
        <v>1</v>
      </c>
      <c r="J1410" s="2">
        <v>1</v>
      </c>
      <c r="K1410">
        <v>1</v>
      </c>
      <c r="L1410" s="19">
        <v>1</v>
      </c>
      <c r="M1410" s="21">
        <f>L1410</f>
        <v>1</v>
      </c>
    </row>
    <row r="1411" spans="1:13" x14ac:dyDescent="0.2">
      <c r="A1411" t="s">
        <v>170</v>
      </c>
      <c r="B1411" t="str">
        <f>VLOOKUP(A1411,MasterTutor!A:E,4,FALSE)</f>
        <v>Advanced</v>
      </c>
      <c r="C1411" t="str">
        <f>VLOOKUP(A1411,MasterTutor!A:E,3,FALSE)</f>
        <v>Professional</v>
      </c>
      <c r="D1411" t="str">
        <f>VLOOKUP(A1411,MasterTutor!A:E,2,FALSE)</f>
        <v>Ela Cross</v>
      </c>
      <c r="E1411" t="s">
        <v>372</v>
      </c>
      <c r="F1411" s="2">
        <v>0.73</v>
      </c>
      <c r="G1411" s="2">
        <v>1.1499999999999999</v>
      </c>
      <c r="H1411" s="2">
        <v>0.91</v>
      </c>
      <c r="I1411" s="2">
        <v>1</v>
      </c>
      <c r="J1411" s="2">
        <v>0.77</v>
      </c>
      <c r="K1411">
        <v>10</v>
      </c>
      <c r="L1411" s="19" t="s">
        <v>330</v>
      </c>
      <c r="M1411" s="21">
        <v>0.67</v>
      </c>
    </row>
    <row r="1412" spans="1:13" x14ac:dyDescent="0.2">
      <c r="A1412" t="s">
        <v>305</v>
      </c>
      <c r="B1412" t="str">
        <f>VLOOKUP(A1412,MasterTutor!A:E,4,FALSE)</f>
        <v>Advanced</v>
      </c>
      <c r="C1412" t="str">
        <f>VLOOKUP(A1412,MasterTutor!A:E,3,FALSE)</f>
        <v>Professional</v>
      </c>
      <c r="D1412" t="str">
        <f>VLOOKUP(A1412,MasterTutor!A:E,2,FALSE)</f>
        <v>Ian Plamondon</v>
      </c>
      <c r="E1412" t="s">
        <v>372</v>
      </c>
      <c r="F1412" s="2">
        <v>0.31</v>
      </c>
      <c r="G1412" s="2">
        <v>1.1100000000000001</v>
      </c>
      <c r="H1412" s="2">
        <v>1</v>
      </c>
      <c r="I1412" s="2">
        <v>0.96</v>
      </c>
      <c r="J1412" s="2">
        <v>0.3</v>
      </c>
      <c r="K1412">
        <v>2</v>
      </c>
      <c r="L1412" s="19">
        <v>0</v>
      </c>
      <c r="M1412" s="21">
        <f>L1412</f>
        <v>0</v>
      </c>
    </row>
    <row r="1413" spans="1:13" x14ac:dyDescent="0.2">
      <c r="A1413" t="s">
        <v>171</v>
      </c>
      <c r="B1413" t="str">
        <f>VLOOKUP(A1413,MasterTutor!A:E,4,FALSE)</f>
        <v>Advanced</v>
      </c>
      <c r="C1413" t="str">
        <f>VLOOKUP(A1413,MasterTutor!A:E,3,FALSE)</f>
        <v>Adjunct</v>
      </c>
      <c r="D1413" t="str">
        <f>VLOOKUP(A1413,MasterTutor!A:E,2,FALSE)</f>
        <v>Annelies de Groot</v>
      </c>
      <c r="E1413" t="s">
        <v>372</v>
      </c>
      <c r="F1413" s="2">
        <v>0.17</v>
      </c>
      <c r="G1413" s="2">
        <v>1.17</v>
      </c>
      <c r="H1413" s="2">
        <v>1</v>
      </c>
      <c r="I1413" s="2">
        <v>1</v>
      </c>
      <c r="J1413" s="2">
        <v>1</v>
      </c>
      <c r="K1413" t="e">
        <v>#N/A</v>
      </c>
      <c r="L1413" s="19">
        <v>0</v>
      </c>
      <c r="M1413" s="21">
        <f>L1413</f>
        <v>0</v>
      </c>
    </row>
    <row r="1414" spans="1:13" x14ac:dyDescent="0.2">
      <c r="A1414" t="s">
        <v>308</v>
      </c>
      <c r="B1414" t="str">
        <f>VLOOKUP(A1414,MasterTutor!A:E,4,FALSE)</f>
        <v>Advanced</v>
      </c>
      <c r="C1414" t="str">
        <f>VLOOKUP(A1414,MasterTutor!A:E,3,FALSE)</f>
        <v>Professional</v>
      </c>
      <c r="D1414" t="str">
        <f>VLOOKUP(A1414,MasterTutor!A:E,2,FALSE)</f>
        <v>Annelies de Groot</v>
      </c>
      <c r="E1414" t="s">
        <v>372</v>
      </c>
      <c r="F1414" s="2">
        <v>0.23</v>
      </c>
      <c r="G1414" s="2">
        <v>1.01</v>
      </c>
      <c r="H1414" s="2">
        <v>0.98</v>
      </c>
      <c r="I1414" s="2">
        <v>1</v>
      </c>
      <c r="J1414" s="2">
        <v>1</v>
      </c>
      <c r="K1414" t="e">
        <v>#N/A</v>
      </c>
      <c r="L1414" s="19" t="s">
        <v>334</v>
      </c>
      <c r="M1414" s="21">
        <v>0.86</v>
      </c>
    </row>
    <row r="1415" spans="1:13" x14ac:dyDescent="0.2">
      <c r="A1415" t="s">
        <v>310</v>
      </c>
      <c r="B1415" t="str">
        <f>VLOOKUP(A1415,MasterTutor!A:E,4,FALSE)</f>
        <v>Advanced</v>
      </c>
      <c r="C1415" t="str">
        <f>VLOOKUP(A1415,MasterTutor!A:E,3,FALSE)</f>
        <v>Professional</v>
      </c>
      <c r="D1415" t="str">
        <f>VLOOKUP(A1415,MasterTutor!A:E,2,FALSE)</f>
        <v>Ela Cross</v>
      </c>
      <c r="E1415" t="s">
        <v>372</v>
      </c>
      <c r="F1415" s="2">
        <v>0.2</v>
      </c>
      <c r="G1415" s="2">
        <v>1.02</v>
      </c>
      <c r="H1415" s="2">
        <v>0.92</v>
      </c>
      <c r="I1415" s="2">
        <v>0.71</v>
      </c>
      <c r="J1415" s="2">
        <v>0.91</v>
      </c>
      <c r="K1415" t="e">
        <v>#N/A</v>
      </c>
      <c r="L1415" s="19" t="s">
        <v>338</v>
      </c>
      <c r="M1415" s="21">
        <v>0.8</v>
      </c>
    </row>
    <row r="1416" spans="1:13" x14ac:dyDescent="0.2">
      <c r="A1416" t="s">
        <v>172</v>
      </c>
      <c r="B1416" t="e">
        <f>VLOOKUP(A1416,MasterTutor!A:E,4,FALSE)</f>
        <v>#N/A</v>
      </c>
      <c r="C1416" t="e">
        <f>VLOOKUP(A1416,MasterTutor!A:E,3,FALSE)</f>
        <v>#N/A</v>
      </c>
      <c r="D1416" t="e">
        <f>VLOOKUP(A1416,MasterTutor!A:E,2,FALSE)</f>
        <v>#N/A</v>
      </c>
      <c r="E1416" t="s">
        <v>372</v>
      </c>
      <c r="F1416" s="2">
        <v>0.65</v>
      </c>
      <c r="G1416" s="2">
        <v>1.69</v>
      </c>
      <c r="H1416" s="2">
        <v>1</v>
      </c>
      <c r="I1416" s="2">
        <v>1</v>
      </c>
      <c r="J1416" s="2">
        <v>0.92</v>
      </c>
      <c r="K1416">
        <v>3</v>
      </c>
      <c r="L1416" s="19">
        <v>1</v>
      </c>
      <c r="M1416" s="21">
        <f>L1416</f>
        <v>1</v>
      </c>
    </row>
    <row r="1417" spans="1:13" x14ac:dyDescent="0.2">
      <c r="A1417" t="s">
        <v>175</v>
      </c>
      <c r="B1417" t="str">
        <f>VLOOKUP(A1417,MasterTutor!A:E,4,FALSE)</f>
        <v>Distinguished</v>
      </c>
      <c r="C1417" t="str">
        <f>VLOOKUP(A1417,MasterTutor!A:E,3,FALSE)</f>
        <v>Adjunct</v>
      </c>
      <c r="D1417" t="str">
        <f>VLOOKUP(A1417,MasterTutor!A:E,2,FALSE)</f>
        <v>Annelies de Groot</v>
      </c>
      <c r="E1417" t="s">
        <v>372</v>
      </c>
      <c r="F1417" s="2">
        <v>0.44</v>
      </c>
      <c r="G1417" s="2">
        <v>1.07</v>
      </c>
      <c r="H1417" s="2">
        <v>1</v>
      </c>
      <c r="I1417" s="2">
        <v>0.73</v>
      </c>
      <c r="J1417" s="2">
        <v>0.75</v>
      </c>
      <c r="K1417" t="e">
        <v>#N/A</v>
      </c>
      <c r="L1417" s="19" t="s">
        <v>331</v>
      </c>
      <c r="M1417" s="21">
        <v>0.5</v>
      </c>
    </row>
    <row r="1418" spans="1:13" x14ac:dyDescent="0.2">
      <c r="A1418" t="s">
        <v>176</v>
      </c>
      <c r="B1418" t="str">
        <f>VLOOKUP(A1418,MasterTutor!A:E,4,FALSE)</f>
        <v>Premium</v>
      </c>
      <c r="C1418" t="str">
        <f>VLOOKUP(A1418,MasterTutor!A:E,3,FALSE)</f>
        <v>Professional</v>
      </c>
      <c r="D1418" t="str">
        <f>VLOOKUP(A1418,MasterTutor!A:E,2,FALSE)</f>
        <v>Ian Plamondon</v>
      </c>
      <c r="E1418" t="s">
        <v>372</v>
      </c>
      <c r="F1418" s="2">
        <v>0.69</v>
      </c>
      <c r="G1418" s="2">
        <v>1.19</v>
      </c>
      <c r="H1418" s="2">
        <v>0.99</v>
      </c>
      <c r="I1418" s="2">
        <v>0.75</v>
      </c>
      <c r="J1418" s="2">
        <v>0.59</v>
      </c>
      <c r="K1418">
        <v>1</v>
      </c>
      <c r="L1418" s="19">
        <v>1</v>
      </c>
      <c r="M1418" s="21">
        <f>L1418</f>
        <v>1</v>
      </c>
    </row>
    <row r="1419" spans="1:13" x14ac:dyDescent="0.2">
      <c r="A1419" t="s">
        <v>362</v>
      </c>
      <c r="B1419" t="e">
        <f>VLOOKUP(A1419,MasterTutor!A:E,4,FALSE)</f>
        <v>#N/A</v>
      </c>
      <c r="C1419" t="e">
        <f>VLOOKUP(A1419,MasterTutor!A:E,3,FALSE)</f>
        <v>#N/A</v>
      </c>
      <c r="D1419" t="e">
        <f>VLOOKUP(A1419,MasterTutor!A:E,2,FALSE)</f>
        <v>#N/A</v>
      </c>
      <c r="E1419" t="s">
        <v>372</v>
      </c>
      <c r="F1419" s="2">
        <v>0.69</v>
      </c>
      <c r="G1419" s="2">
        <v>1.05</v>
      </c>
      <c r="H1419" s="2">
        <v>1</v>
      </c>
      <c r="I1419" s="2">
        <v>0.91</v>
      </c>
      <c r="J1419" s="2">
        <v>0.56000000000000005</v>
      </c>
      <c r="K1419">
        <v>4</v>
      </c>
      <c r="L1419" s="19">
        <v>0</v>
      </c>
      <c r="M1419" s="21">
        <f>L1419</f>
        <v>0</v>
      </c>
    </row>
    <row r="1420" spans="1:13" x14ac:dyDescent="0.2">
      <c r="A1420" t="s">
        <v>177</v>
      </c>
      <c r="B1420" t="e">
        <f>VLOOKUP(A1420,MasterTutor!A:E,4,FALSE)</f>
        <v>#N/A</v>
      </c>
      <c r="C1420" t="e">
        <f>VLOOKUP(A1420,MasterTutor!A:E,3,FALSE)</f>
        <v>#N/A</v>
      </c>
      <c r="D1420" t="e">
        <f>VLOOKUP(A1420,MasterTutor!A:E,2,FALSE)</f>
        <v>#N/A</v>
      </c>
      <c r="E1420" t="s">
        <v>372</v>
      </c>
      <c r="F1420" s="2">
        <v>0.49</v>
      </c>
      <c r="G1420" s="2">
        <v>0.99</v>
      </c>
      <c r="H1420" s="2">
        <v>1</v>
      </c>
      <c r="I1420" s="2">
        <v>0.88</v>
      </c>
      <c r="J1420" s="2">
        <v>0.4</v>
      </c>
      <c r="K1420">
        <v>6</v>
      </c>
      <c r="L1420" s="19">
        <v>1</v>
      </c>
      <c r="M1420" s="21">
        <f>L1420</f>
        <v>1</v>
      </c>
    </row>
    <row r="1421" spans="1:13" x14ac:dyDescent="0.2">
      <c r="A1421" t="s">
        <v>178</v>
      </c>
      <c r="B1421" t="e">
        <f>VLOOKUP(A1421,MasterTutor!A:E,4,FALSE)</f>
        <v>#N/A</v>
      </c>
      <c r="C1421" t="e">
        <f>VLOOKUP(A1421,MasterTutor!A:E,3,FALSE)</f>
        <v>#N/A</v>
      </c>
      <c r="D1421" t="e">
        <f>VLOOKUP(A1421,MasterTutor!A:E,2,FALSE)</f>
        <v>#N/A</v>
      </c>
      <c r="E1421" t="s">
        <v>372</v>
      </c>
      <c r="F1421" s="2">
        <v>0.27</v>
      </c>
      <c r="G1421" s="2">
        <v>0.82</v>
      </c>
      <c r="H1421" s="2">
        <v>1</v>
      </c>
      <c r="I1421" s="2">
        <v>0.25</v>
      </c>
      <c r="J1421" s="2">
        <v>1</v>
      </c>
      <c r="K1421" t="e">
        <v>#N/A</v>
      </c>
    </row>
    <row r="1422" spans="1:13" x14ac:dyDescent="0.2">
      <c r="A1422" t="s">
        <v>314</v>
      </c>
      <c r="B1422" t="str">
        <f>VLOOKUP(A1422,MasterTutor!A:E,4,FALSE)</f>
        <v>Advanced</v>
      </c>
      <c r="C1422" t="str">
        <f>VLOOKUP(A1422,MasterTutor!A:E,3,FALSE)</f>
        <v>Professional</v>
      </c>
      <c r="D1422" t="str">
        <f>VLOOKUP(A1422,MasterTutor!A:E,2,FALSE)</f>
        <v>Ian Plamondon</v>
      </c>
      <c r="E1422" t="s">
        <v>372</v>
      </c>
      <c r="F1422" s="2">
        <v>0.65</v>
      </c>
      <c r="G1422" s="2">
        <v>1.01</v>
      </c>
      <c r="H1422" s="2">
        <v>0.99</v>
      </c>
      <c r="I1422" s="2">
        <v>1</v>
      </c>
      <c r="J1422" s="2">
        <v>0.59</v>
      </c>
      <c r="K1422">
        <v>2</v>
      </c>
      <c r="L1422" s="19">
        <v>1</v>
      </c>
      <c r="M1422" s="21">
        <f>L1422</f>
        <v>1</v>
      </c>
    </row>
    <row r="1423" spans="1:13" x14ac:dyDescent="0.2">
      <c r="A1423" t="s">
        <v>179</v>
      </c>
      <c r="B1423" t="str">
        <f>VLOOKUP(A1423,MasterTutor!A:E,4,FALSE)</f>
        <v>Advanced</v>
      </c>
      <c r="C1423" t="str">
        <f>VLOOKUP(A1423,MasterTutor!A:E,3,FALSE)</f>
        <v>Adjunct</v>
      </c>
      <c r="D1423" t="str">
        <f>VLOOKUP(A1423,MasterTutor!A:E,2,FALSE)</f>
        <v>Ela Cross</v>
      </c>
      <c r="E1423" t="s">
        <v>372</v>
      </c>
      <c r="F1423" s="2">
        <v>0.08</v>
      </c>
      <c r="G1423" s="2">
        <v>0.97</v>
      </c>
      <c r="H1423" s="2">
        <v>1</v>
      </c>
      <c r="I1423" s="2">
        <v>1</v>
      </c>
      <c r="J1423" s="2">
        <v>1</v>
      </c>
      <c r="K1423">
        <v>1</v>
      </c>
    </row>
    <row r="1424" spans="1:13" x14ac:dyDescent="0.2">
      <c r="A1424" t="s">
        <v>180</v>
      </c>
      <c r="B1424" t="str">
        <f>VLOOKUP(A1424,MasterTutor!A:E,4,FALSE)</f>
        <v>Premium</v>
      </c>
      <c r="C1424" t="str">
        <f>VLOOKUP(A1424,MasterTutor!A:E,3,FALSE)</f>
        <v>Adjunct</v>
      </c>
      <c r="D1424" t="str">
        <f>VLOOKUP(A1424,MasterTutor!A:E,2,FALSE)</f>
        <v>Geoff St. Marie</v>
      </c>
      <c r="E1424" t="s">
        <v>372</v>
      </c>
      <c r="F1424" s="2">
        <v>0.46</v>
      </c>
      <c r="G1424" s="2">
        <v>1.3</v>
      </c>
      <c r="H1424" s="2">
        <v>1</v>
      </c>
      <c r="I1424" s="2">
        <v>1</v>
      </c>
      <c r="J1424" s="2">
        <v>0.67</v>
      </c>
      <c r="K1424" t="e">
        <v>#N/A</v>
      </c>
    </row>
    <row r="1425" spans="1:13" x14ac:dyDescent="0.2">
      <c r="A1425" t="s">
        <v>181</v>
      </c>
      <c r="B1425" t="str">
        <f>VLOOKUP(A1425,MasterTutor!A:E,4,FALSE)</f>
        <v>Advanced</v>
      </c>
      <c r="C1425" t="str">
        <f>VLOOKUP(A1425,MasterTutor!A:E,3,FALSE)</f>
        <v>Professional</v>
      </c>
      <c r="D1425" t="str">
        <f>VLOOKUP(A1425,MasterTutor!A:E,2,FALSE)</f>
        <v>Ela Cross</v>
      </c>
      <c r="E1425" t="s">
        <v>372</v>
      </c>
      <c r="F1425" s="2">
        <v>0.65</v>
      </c>
      <c r="G1425" s="2">
        <v>0.96</v>
      </c>
      <c r="H1425" s="2">
        <v>0.96</v>
      </c>
      <c r="I1425" s="2">
        <v>0.96</v>
      </c>
      <c r="J1425" s="2">
        <v>1</v>
      </c>
      <c r="K1425">
        <v>4</v>
      </c>
      <c r="L1425" s="19" t="s">
        <v>331</v>
      </c>
      <c r="M1425" s="21">
        <v>0.5</v>
      </c>
    </row>
    <row r="1426" spans="1:13" x14ac:dyDescent="0.2">
      <c r="A1426" t="s">
        <v>182</v>
      </c>
      <c r="B1426" t="str">
        <f>VLOOKUP(A1426,MasterTutor!A:E,4,FALSE)</f>
        <v>Premium</v>
      </c>
      <c r="C1426" t="str">
        <f>VLOOKUP(A1426,MasterTutor!A:E,3,FALSE)</f>
        <v>Professional</v>
      </c>
      <c r="D1426" t="str">
        <f>VLOOKUP(A1426,MasterTutor!A:E,2,FALSE)</f>
        <v>Annelies de Groot</v>
      </c>
      <c r="E1426" t="s">
        <v>372</v>
      </c>
      <c r="F1426" s="2">
        <v>1.1000000000000001</v>
      </c>
      <c r="G1426" s="2">
        <v>1.28</v>
      </c>
      <c r="H1426" s="2">
        <v>0.99</v>
      </c>
      <c r="I1426" s="2">
        <v>0.98</v>
      </c>
      <c r="J1426" s="2">
        <v>0.74</v>
      </c>
      <c r="K1426">
        <v>2</v>
      </c>
      <c r="L1426" s="19" t="s">
        <v>331</v>
      </c>
      <c r="M1426" s="21">
        <v>0.5</v>
      </c>
    </row>
    <row r="1427" spans="1:13" x14ac:dyDescent="0.2">
      <c r="A1427" t="s">
        <v>315</v>
      </c>
      <c r="B1427" t="str">
        <f>VLOOKUP(A1427,MasterTutor!A:E,4,FALSE)</f>
        <v>Advanced</v>
      </c>
      <c r="C1427" t="str">
        <f>VLOOKUP(A1427,MasterTutor!A:E,3,FALSE)</f>
        <v>Professional</v>
      </c>
      <c r="D1427" t="str">
        <f>VLOOKUP(A1427,MasterTutor!A:E,2,FALSE)</f>
        <v>Ela Cross</v>
      </c>
      <c r="E1427" t="s">
        <v>372</v>
      </c>
      <c r="F1427" s="2">
        <v>0.59</v>
      </c>
      <c r="G1427" s="2">
        <v>1.06</v>
      </c>
      <c r="H1427" s="2">
        <v>1</v>
      </c>
      <c r="I1427" s="2">
        <v>0.76</v>
      </c>
      <c r="J1427" s="2">
        <v>0.52</v>
      </c>
      <c r="K1427">
        <v>1</v>
      </c>
      <c r="L1427" s="19">
        <v>0</v>
      </c>
      <c r="M1427" s="21">
        <f>L1427</f>
        <v>0</v>
      </c>
    </row>
    <row r="1428" spans="1:13" x14ac:dyDescent="0.2">
      <c r="A1428" t="s">
        <v>183</v>
      </c>
      <c r="B1428" t="str">
        <f>VLOOKUP(A1428,MasterTutor!A:E,4,FALSE)</f>
        <v>Advanced</v>
      </c>
      <c r="C1428" t="str">
        <f>VLOOKUP(A1428,MasterTutor!A:E,3,FALSE)</f>
        <v>Adjunct</v>
      </c>
      <c r="D1428" t="str">
        <f>VLOOKUP(A1428,MasterTutor!A:E,2,FALSE)</f>
        <v>Annelies de Groot</v>
      </c>
      <c r="E1428" t="s">
        <v>372</v>
      </c>
      <c r="F1428" s="2">
        <v>1.08</v>
      </c>
      <c r="G1428" s="2">
        <v>1.4</v>
      </c>
      <c r="H1428" s="2">
        <v>0.97</v>
      </c>
      <c r="I1428" s="2">
        <v>1</v>
      </c>
      <c r="J1428" s="2">
        <v>1</v>
      </c>
      <c r="K1428">
        <v>5</v>
      </c>
      <c r="L1428" s="19">
        <v>1</v>
      </c>
      <c r="M1428" s="21">
        <f>L1428</f>
        <v>1</v>
      </c>
    </row>
    <row r="1429" spans="1:13" x14ac:dyDescent="0.2">
      <c r="A1429" t="s">
        <v>184</v>
      </c>
      <c r="B1429" t="str">
        <f>VLOOKUP(A1429,MasterTutor!A:E,4,FALSE)</f>
        <v>Advanced</v>
      </c>
      <c r="C1429" t="str">
        <f>VLOOKUP(A1429,MasterTutor!A:E,3,FALSE)</f>
        <v>Adjunct</v>
      </c>
      <c r="D1429" t="str">
        <f>VLOOKUP(A1429,MasterTutor!A:E,2,FALSE)</f>
        <v>Kristin Haase-Alvey</v>
      </c>
      <c r="E1429" t="s">
        <v>372</v>
      </c>
      <c r="F1429" s="2">
        <v>0.31</v>
      </c>
      <c r="G1429" s="2">
        <v>1.04</v>
      </c>
      <c r="H1429" s="2">
        <v>0.95</v>
      </c>
      <c r="I1429" s="2">
        <v>0.69</v>
      </c>
      <c r="J1429" s="2">
        <v>1</v>
      </c>
      <c r="K1429">
        <v>3</v>
      </c>
    </row>
    <row r="1430" spans="1:13" x14ac:dyDescent="0.2">
      <c r="A1430" t="s">
        <v>185</v>
      </c>
      <c r="B1430" t="str">
        <f>VLOOKUP(A1430,MasterTutor!A:E,4,FALSE)</f>
        <v>Distinguished</v>
      </c>
      <c r="C1430" t="str">
        <f>VLOOKUP(A1430,MasterTutor!A:E,3,FALSE)</f>
        <v>Professional</v>
      </c>
      <c r="D1430" t="str">
        <f>VLOOKUP(A1430,MasterTutor!A:E,2,FALSE)</f>
        <v>Ian Plamondon</v>
      </c>
      <c r="E1430" t="s">
        <v>372</v>
      </c>
      <c r="F1430" s="2">
        <v>0.53</v>
      </c>
      <c r="G1430" s="2">
        <v>1</v>
      </c>
      <c r="H1430" s="2">
        <v>0.91</v>
      </c>
      <c r="I1430" s="2">
        <v>0.97</v>
      </c>
      <c r="J1430" s="2">
        <v>0.56999999999999995</v>
      </c>
      <c r="K1430">
        <v>3</v>
      </c>
      <c r="L1430" s="19">
        <v>0</v>
      </c>
      <c r="M1430" s="21">
        <f>L1430</f>
        <v>0</v>
      </c>
    </row>
    <row r="1431" spans="1:13" x14ac:dyDescent="0.2">
      <c r="A1431" t="s">
        <v>186</v>
      </c>
      <c r="B1431" t="str">
        <f>VLOOKUP(A1431,MasterTutor!A:E,4,FALSE)</f>
        <v>Premium</v>
      </c>
      <c r="C1431" t="str">
        <f>VLOOKUP(A1431,MasterTutor!A:E,3,FALSE)</f>
        <v>Adjunct</v>
      </c>
      <c r="D1431" t="str">
        <f>VLOOKUP(A1431,MasterTutor!A:E,2,FALSE)</f>
        <v>Ela Cross</v>
      </c>
      <c r="E1431" t="s">
        <v>372</v>
      </c>
      <c r="F1431" s="2">
        <v>0.54</v>
      </c>
      <c r="G1431" s="2">
        <v>1.49</v>
      </c>
      <c r="H1431" s="2">
        <v>1</v>
      </c>
      <c r="I1431" s="2">
        <v>0.96</v>
      </c>
      <c r="J1431" s="2">
        <v>0.92</v>
      </c>
      <c r="K1431">
        <v>2</v>
      </c>
      <c r="L1431" s="19">
        <v>1</v>
      </c>
      <c r="M1431" s="21">
        <f>L1431</f>
        <v>1</v>
      </c>
    </row>
    <row r="1432" spans="1:13" x14ac:dyDescent="0.2">
      <c r="A1432" t="s">
        <v>316</v>
      </c>
      <c r="B1432" t="str">
        <f>VLOOKUP(A1432,MasterTutor!A:E,4,FALSE)</f>
        <v>Advanced</v>
      </c>
      <c r="C1432" t="str">
        <f>VLOOKUP(A1432,MasterTutor!A:E,3,FALSE)</f>
        <v>Professional</v>
      </c>
      <c r="D1432" t="str">
        <f>VLOOKUP(A1432,MasterTutor!A:E,2,FALSE)</f>
        <v>Annelies de Groot</v>
      </c>
      <c r="E1432" t="s">
        <v>372</v>
      </c>
      <c r="F1432" s="2">
        <v>0.49</v>
      </c>
      <c r="G1432" s="2">
        <v>1.07</v>
      </c>
      <c r="H1432" s="2">
        <v>1</v>
      </c>
      <c r="I1432" s="2">
        <v>1</v>
      </c>
      <c r="J1432" s="2">
        <v>0.46</v>
      </c>
      <c r="K1432">
        <v>1</v>
      </c>
      <c r="L1432" s="19" t="s">
        <v>331</v>
      </c>
      <c r="M1432" s="21">
        <v>0.5</v>
      </c>
    </row>
    <row r="1433" spans="1:13" x14ac:dyDescent="0.2">
      <c r="A1433" t="s">
        <v>187</v>
      </c>
      <c r="B1433" t="str">
        <f>VLOOKUP(A1433,MasterTutor!A:E,4,FALSE)</f>
        <v>Distinguished</v>
      </c>
      <c r="C1433" t="str">
        <f>VLOOKUP(A1433,MasterTutor!A:E,3,FALSE)</f>
        <v>Adjunct</v>
      </c>
      <c r="D1433" t="str">
        <f>VLOOKUP(A1433,MasterTutor!A:E,2,FALSE)</f>
        <v>Ela Cross</v>
      </c>
      <c r="E1433" t="s">
        <v>372</v>
      </c>
      <c r="F1433" s="2">
        <v>0.51</v>
      </c>
      <c r="G1433" s="2">
        <v>1.35</v>
      </c>
      <c r="H1433" s="2">
        <v>0.97</v>
      </c>
      <c r="I1433" s="2">
        <v>1</v>
      </c>
      <c r="J1433" s="2">
        <v>0.5</v>
      </c>
      <c r="K1433" t="e">
        <v>#N/A</v>
      </c>
      <c r="L1433" s="19">
        <v>1</v>
      </c>
      <c r="M1433" s="21">
        <f>L1433</f>
        <v>1</v>
      </c>
    </row>
    <row r="1434" spans="1:13" x14ac:dyDescent="0.2">
      <c r="A1434" t="s">
        <v>188</v>
      </c>
      <c r="B1434" t="str">
        <f>VLOOKUP(A1434,MasterTutor!A:E,4,FALSE)</f>
        <v>Premium</v>
      </c>
      <c r="C1434" t="str">
        <f>VLOOKUP(A1434,MasterTutor!A:E,3,FALSE)</f>
        <v>Professional</v>
      </c>
      <c r="D1434" t="str">
        <f>VLOOKUP(A1434,MasterTutor!A:E,2,FALSE)</f>
        <v>Ian Plamondon</v>
      </c>
      <c r="E1434" t="s">
        <v>372</v>
      </c>
      <c r="F1434" s="2">
        <v>0.45</v>
      </c>
      <c r="G1434" s="2">
        <v>0.86</v>
      </c>
      <c r="H1434" s="2">
        <v>0.98</v>
      </c>
      <c r="I1434" s="2">
        <v>0.72</v>
      </c>
      <c r="J1434" s="2">
        <v>0.64</v>
      </c>
      <c r="K1434">
        <v>1</v>
      </c>
      <c r="L1434" s="19">
        <v>0</v>
      </c>
      <c r="M1434" s="21">
        <f>L1434</f>
        <v>0</v>
      </c>
    </row>
    <row r="1435" spans="1:13" x14ac:dyDescent="0.2">
      <c r="A1435" t="s">
        <v>189</v>
      </c>
      <c r="B1435" t="str">
        <f>VLOOKUP(A1435,MasterTutor!A:E,4,FALSE)</f>
        <v>Advanced</v>
      </c>
      <c r="C1435" t="str">
        <f>VLOOKUP(A1435,MasterTutor!A:E,3,FALSE)</f>
        <v>Adjunct</v>
      </c>
      <c r="D1435" t="str">
        <f>VLOOKUP(A1435,MasterTutor!A:E,2,FALSE)</f>
        <v>Annelies de Groot</v>
      </c>
      <c r="E1435" t="s">
        <v>372</v>
      </c>
      <c r="F1435" s="2">
        <v>0.6</v>
      </c>
      <c r="G1435" s="2">
        <v>0.94</v>
      </c>
      <c r="H1435" s="2">
        <v>0.92</v>
      </c>
      <c r="I1435" s="2">
        <v>1</v>
      </c>
      <c r="J1435" s="2">
        <v>0.33</v>
      </c>
      <c r="K1435">
        <v>8</v>
      </c>
    </row>
    <row r="1436" spans="1:13" x14ac:dyDescent="0.2">
      <c r="A1436" t="s">
        <v>191</v>
      </c>
      <c r="B1436" t="e">
        <f>VLOOKUP(A1436,MasterTutor!A:E,4,FALSE)</f>
        <v>#N/A</v>
      </c>
      <c r="C1436" t="e">
        <f>VLOOKUP(A1436,MasterTutor!A:E,3,FALSE)</f>
        <v>#N/A</v>
      </c>
      <c r="D1436" t="e">
        <f>VLOOKUP(A1436,MasterTutor!A:E,2,FALSE)</f>
        <v>#N/A</v>
      </c>
      <c r="E1436" t="s">
        <v>372</v>
      </c>
      <c r="F1436" s="2">
        <v>0.76</v>
      </c>
      <c r="G1436" s="2">
        <v>1.03</v>
      </c>
      <c r="H1436" s="2">
        <v>1</v>
      </c>
      <c r="I1436" s="2">
        <v>0.92</v>
      </c>
      <c r="J1436" s="2">
        <v>0.82</v>
      </c>
      <c r="K1436">
        <v>6</v>
      </c>
      <c r="L1436" s="19">
        <v>1</v>
      </c>
      <c r="M1436" s="21">
        <f>L1436</f>
        <v>1</v>
      </c>
    </row>
    <row r="1437" spans="1:13" x14ac:dyDescent="0.2">
      <c r="A1437" t="s">
        <v>318</v>
      </c>
      <c r="B1437" t="str">
        <f>VLOOKUP(A1437,MasterTutor!A:E,4,FALSE)</f>
        <v>Advanced</v>
      </c>
      <c r="C1437" t="str">
        <f>VLOOKUP(A1437,MasterTutor!A:E,3,FALSE)</f>
        <v>Adjunct</v>
      </c>
      <c r="D1437" t="str">
        <f>VLOOKUP(A1437,MasterTutor!A:E,2,FALSE)</f>
        <v>Ela Cross</v>
      </c>
      <c r="E1437" t="s">
        <v>372</v>
      </c>
      <c r="F1437" s="2">
        <v>0.25</v>
      </c>
      <c r="G1437" s="2">
        <v>1.3</v>
      </c>
      <c r="H1437" s="2">
        <v>1</v>
      </c>
      <c r="I1437" s="2">
        <v>0.91</v>
      </c>
      <c r="J1437" s="2">
        <v>0.79</v>
      </c>
      <c r="K1437">
        <v>2</v>
      </c>
      <c r="L1437" s="19">
        <v>0</v>
      </c>
      <c r="M1437" s="21">
        <f>L1437</f>
        <v>0</v>
      </c>
    </row>
    <row r="1438" spans="1:13" x14ac:dyDescent="0.2">
      <c r="A1438" t="s">
        <v>192</v>
      </c>
      <c r="B1438" t="str">
        <f>VLOOKUP(A1438,MasterTutor!A:E,4,FALSE)</f>
        <v>Advanced</v>
      </c>
      <c r="C1438" t="str">
        <f>VLOOKUP(A1438,MasterTutor!A:E,3,FALSE)</f>
        <v>Adjunct</v>
      </c>
      <c r="D1438" t="str">
        <f>VLOOKUP(A1438,MasterTutor!A:E,2,FALSE)</f>
        <v>Ela Cross</v>
      </c>
      <c r="E1438" t="s">
        <v>372</v>
      </c>
      <c r="F1438" s="2">
        <v>0.45</v>
      </c>
      <c r="G1438" s="2">
        <v>1.34</v>
      </c>
      <c r="H1438" s="2">
        <v>1</v>
      </c>
      <c r="I1438" s="2">
        <v>0.94</v>
      </c>
      <c r="J1438" s="2">
        <v>0.91</v>
      </c>
      <c r="K1438">
        <v>7</v>
      </c>
    </row>
    <row r="1439" spans="1:13" x14ac:dyDescent="0.2">
      <c r="A1439" t="s">
        <v>193</v>
      </c>
      <c r="B1439" t="str">
        <f>VLOOKUP(A1439,MasterTutor!A:E,4,FALSE)</f>
        <v>Advanced</v>
      </c>
      <c r="C1439" t="str">
        <f>VLOOKUP(A1439,MasterTutor!A:E,3,FALSE)</f>
        <v>Professional</v>
      </c>
      <c r="D1439" t="str">
        <f>VLOOKUP(A1439,MasterTutor!A:E,2,FALSE)</f>
        <v>Annelies de Groot</v>
      </c>
      <c r="E1439" t="s">
        <v>372</v>
      </c>
      <c r="F1439" s="2">
        <v>0.85</v>
      </c>
      <c r="G1439" s="2">
        <v>1.1000000000000001</v>
      </c>
      <c r="H1439" s="2">
        <v>1</v>
      </c>
      <c r="I1439" s="2">
        <v>1</v>
      </c>
      <c r="J1439" s="2">
        <v>0.73</v>
      </c>
      <c r="K1439">
        <v>5</v>
      </c>
      <c r="L1439" s="19">
        <v>1</v>
      </c>
      <c r="M1439" s="21">
        <f>L1439</f>
        <v>1</v>
      </c>
    </row>
    <row r="1440" spans="1:13" x14ac:dyDescent="0.2">
      <c r="A1440" t="s">
        <v>195</v>
      </c>
      <c r="B1440" t="e">
        <f>VLOOKUP(A1440,MasterTutor!A:E,4,FALSE)</f>
        <v>#N/A</v>
      </c>
      <c r="C1440" t="e">
        <f>VLOOKUP(A1440,MasterTutor!A:E,3,FALSE)</f>
        <v>#N/A</v>
      </c>
      <c r="D1440" t="e">
        <f>VLOOKUP(A1440,MasterTutor!A:E,2,FALSE)</f>
        <v>#N/A</v>
      </c>
      <c r="E1440" t="s">
        <v>372</v>
      </c>
      <c r="F1440" s="2">
        <v>0.25</v>
      </c>
      <c r="G1440" s="2">
        <v>1.03</v>
      </c>
      <c r="H1440" s="2">
        <v>1</v>
      </c>
      <c r="I1440" s="2">
        <v>0.83</v>
      </c>
      <c r="J1440" s="2">
        <v>0.67</v>
      </c>
      <c r="K1440" t="e">
        <v>#N/A</v>
      </c>
    </row>
    <row r="1441" spans="1:13" x14ac:dyDescent="0.2">
      <c r="A1441" t="s">
        <v>196</v>
      </c>
      <c r="B1441" t="str">
        <f>VLOOKUP(A1441,MasterTutor!A:E,4,FALSE)</f>
        <v>Advanced</v>
      </c>
      <c r="C1441" t="str">
        <f>VLOOKUP(A1441,MasterTutor!A:E,3,FALSE)</f>
        <v>Adjunct</v>
      </c>
      <c r="D1441" t="str">
        <f>VLOOKUP(A1441,MasterTutor!A:E,2,FALSE)</f>
        <v>Kristin Haase-Alvey</v>
      </c>
      <c r="E1441" t="s">
        <v>372</v>
      </c>
      <c r="F1441" s="2">
        <v>0.26</v>
      </c>
      <c r="G1441" s="2">
        <v>0.98</v>
      </c>
      <c r="H1441" s="2">
        <v>1</v>
      </c>
      <c r="I1441" s="2">
        <v>1</v>
      </c>
      <c r="J1441" s="2">
        <v>1</v>
      </c>
      <c r="K1441">
        <v>1</v>
      </c>
      <c r="L1441" s="19">
        <v>1</v>
      </c>
      <c r="M1441" s="21">
        <f>L1441</f>
        <v>1</v>
      </c>
    </row>
    <row r="1442" spans="1:13" x14ac:dyDescent="0.2">
      <c r="A1442" t="s">
        <v>197</v>
      </c>
      <c r="B1442" t="str">
        <f>VLOOKUP(A1442,MasterTutor!A:E,4,FALSE)</f>
        <v>Premium</v>
      </c>
      <c r="C1442" t="str">
        <f>VLOOKUP(A1442,MasterTutor!A:E,3,FALSE)</f>
        <v>Professional</v>
      </c>
      <c r="D1442" t="str">
        <f>VLOOKUP(A1442,MasterTutor!A:E,2,FALSE)</f>
        <v>Jessica Milner</v>
      </c>
      <c r="E1442" t="s">
        <v>372</v>
      </c>
      <c r="F1442" s="2">
        <v>0.56999999999999995</v>
      </c>
      <c r="G1442" s="2">
        <v>1.45</v>
      </c>
      <c r="H1442" s="2">
        <v>0.98</v>
      </c>
      <c r="I1442" s="2">
        <v>1</v>
      </c>
      <c r="J1442" s="2">
        <v>0.88</v>
      </c>
      <c r="K1442">
        <v>1</v>
      </c>
      <c r="L1442" s="19">
        <v>1</v>
      </c>
      <c r="M1442" s="21">
        <f>L1442</f>
        <v>1</v>
      </c>
    </row>
    <row r="1443" spans="1:13" x14ac:dyDescent="0.2">
      <c r="A1443" t="s">
        <v>319</v>
      </c>
      <c r="B1443" t="str">
        <f>VLOOKUP(A1443,MasterTutor!A:E,4,FALSE)</f>
        <v>Advanced</v>
      </c>
      <c r="C1443" t="str">
        <f>VLOOKUP(A1443,MasterTutor!A:E,3,FALSE)</f>
        <v>Adjunct</v>
      </c>
      <c r="D1443" t="str">
        <f>VLOOKUP(A1443,MasterTutor!A:E,2,FALSE)</f>
        <v>Ela Cross</v>
      </c>
      <c r="E1443" t="s">
        <v>372</v>
      </c>
      <c r="F1443" s="2">
        <v>0.24</v>
      </c>
      <c r="G1443" s="2">
        <v>0.89</v>
      </c>
      <c r="H1443" s="2">
        <v>1</v>
      </c>
      <c r="I1443" s="2">
        <v>0.75</v>
      </c>
      <c r="J1443" s="2">
        <v>0.67</v>
      </c>
      <c r="K1443">
        <v>3</v>
      </c>
    </row>
    <row r="1444" spans="1:13" x14ac:dyDescent="0.2">
      <c r="A1444" t="s">
        <v>198</v>
      </c>
      <c r="B1444" t="str">
        <f>VLOOKUP(A1444,MasterTutor!A:E,4,FALSE)</f>
        <v>Distinguished</v>
      </c>
      <c r="C1444" t="str">
        <f>VLOOKUP(A1444,MasterTutor!A:E,3,FALSE)</f>
        <v>Adjunct</v>
      </c>
      <c r="D1444" t="str">
        <f>VLOOKUP(A1444,MasterTutor!A:E,2,FALSE)</f>
        <v>Ian Plamondon</v>
      </c>
      <c r="E1444" t="s">
        <v>372</v>
      </c>
      <c r="F1444" s="2">
        <v>0.6</v>
      </c>
      <c r="G1444" s="2">
        <v>1.4</v>
      </c>
      <c r="H1444" s="2">
        <v>1</v>
      </c>
      <c r="I1444" s="2">
        <v>1</v>
      </c>
      <c r="J1444" s="2">
        <v>0.89</v>
      </c>
      <c r="K1444">
        <v>1</v>
      </c>
      <c r="L1444" s="19" t="s">
        <v>330</v>
      </c>
      <c r="M1444" s="21">
        <v>0.67</v>
      </c>
    </row>
    <row r="1445" spans="1:13" x14ac:dyDescent="0.2">
      <c r="A1445" t="s">
        <v>200</v>
      </c>
      <c r="B1445" t="e">
        <f>VLOOKUP(A1445,MasterTutor!A:E,4,FALSE)</f>
        <v>#N/A</v>
      </c>
      <c r="C1445" t="e">
        <f>VLOOKUP(A1445,MasterTutor!A:E,3,FALSE)</f>
        <v>#N/A</v>
      </c>
      <c r="D1445" t="e">
        <f>VLOOKUP(A1445,MasterTutor!A:E,2,FALSE)</f>
        <v>#N/A</v>
      </c>
      <c r="E1445" t="s">
        <v>372</v>
      </c>
      <c r="F1445" s="2">
        <v>0.03</v>
      </c>
      <c r="G1445" s="2">
        <v>0.06</v>
      </c>
      <c r="H1445" s="2">
        <v>1</v>
      </c>
      <c r="I1445" s="2">
        <v>0</v>
      </c>
      <c r="J1445" s="2">
        <v>0</v>
      </c>
      <c r="K1445" t="e">
        <v>#N/A</v>
      </c>
    </row>
    <row r="1446" spans="1:13" x14ac:dyDescent="0.2">
      <c r="A1446" t="s">
        <v>201</v>
      </c>
      <c r="B1446" t="str">
        <f>VLOOKUP(A1446,MasterTutor!A:E,4,FALSE)</f>
        <v>Distinguished</v>
      </c>
      <c r="C1446" t="str">
        <f>VLOOKUP(A1446,MasterTutor!A:E,3,FALSE)</f>
        <v>Professional</v>
      </c>
      <c r="D1446" t="str">
        <f>VLOOKUP(A1446,MasterTutor!A:E,2,FALSE)</f>
        <v>Ian Plamondon</v>
      </c>
      <c r="E1446" t="s">
        <v>372</v>
      </c>
      <c r="F1446" s="2">
        <v>0.25</v>
      </c>
      <c r="G1446" s="2">
        <v>1.1499999999999999</v>
      </c>
      <c r="H1446" s="2">
        <v>1</v>
      </c>
      <c r="I1446" s="2">
        <v>1</v>
      </c>
      <c r="J1446" s="2">
        <v>0.67</v>
      </c>
      <c r="K1446">
        <v>1</v>
      </c>
      <c r="L1446" s="19">
        <v>0</v>
      </c>
      <c r="M1446" s="21">
        <f>L1446</f>
        <v>0</v>
      </c>
    </row>
    <row r="1447" spans="1:13" x14ac:dyDescent="0.2">
      <c r="A1447" t="s">
        <v>320</v>
      </c>
      <c r="B1447" t="str">
        <f>VLOOKUP(A1447,MasterTutor!A:E,4,FALSE)</f>
        <v>Advanced</v>
      </c>
      <c r="C1447" t="str">
        <f>VLOOKUP(A1447,MasterTutor!A:E,3,FALSE)</f>
        <v>Professional</v>
      </c>
      <c r="D1447" t="str">
        <f>VLOOKUP(A1447,MasterTutor!A:E,2,FALSE)</f>
        <v>Kristin Haase-Alvey</v>
      </c>
      <c r="E1447" t="s">
        <v>372</v>
      </c>
      <c r="F1447" s="2">
        <v>0.5</v>
      </c>
      <c r="G1447" s="2">
        <v>1.1000000000000001</v>
      </c>
      <c r="H1447" s="2">
        <v>0.97</v>
      </c>
      <c r="I1447" s="2">
        <v>0.97</v>
      </c>
      <c r="J1447" s="2">
        <v>1</v>
      </c>
      <c r="K1447" t="e">
        <v>#N/A</v>
      </c>
      <c r="L1447" s="19" t="s">
        <v>371</v>
      </c>
      <c r="M1447" s="21">
        <v>0.38</v>
      </c>
    </row>
    <row r="1448" spans="1:13" x14ac:dyDescent="0.2">
      <c r="A1448" t="s">
        <v>202</v>
      </c>
      <c r="B1448" t="str">
        <f>VLOOKUP(A1448,MasterTutor!A:E,4,FALSE)</f>
        <v>Advanced</v>
      </c>
      <c r="C1448" t="str">
        <f>VLOOKUP(A1448,MasterTutor!A:E,3,FALSE)</f>
        <v>Professional</v>
      </c>
      <c r="D1448" t="str">
        <f>VLOOKUP(A1448,MasterTutor!A:E,2,FALSE)</f>
        <v>Annelies de Groot</v>
      </c>
      <c r="E1448" t="s">
        <v>372</v>
      </c>
      <c r="F1448" s="2">
        <v>0.39</v>
      </c>
      <c r="G1448" s="2">
        <v>0.8</v>
      </c>
      <c r="H1448" s="2">
        <v>0.96</v>
      </c>
      <c r="I1448" s="2">
        <v>0.79</v>
      </c>
      <c r="J1448" s="2">
        <v>0.65</v>
      </c>
      <c r="K1448">
        <v>4</v>
      </c>
      <c r="L1448" s="19">
        <v>1</v>
      </c>
      <c r="M1448" s="21">
        <f>L1448</f>
        <v>1</v>
      </c>
    </row>
    <row r="1449" spans="1:13" x14ac:dyDescent="0.2">
      <c r="A1449" t="s">
        <v>203</v>
      </c>
      <c r="B1449" t="str">
        <f>VLOOKUP(A1449,MasterTutor!A:E,4,FALSE)</f>
        <v>Premium</v>
      </c>
      <c r="C1449" t="str">
        <f>VLOOKUP(A1449,MasterTutor!A:E,3,FALSE)</f>
        <v>Professional</v>
      </c>
      <c r="D1449" t="str">
        <f>VLOOKUP(A1449,MasterTutor!A:E,2,FALSE)</f>
        <v>Ian Plamondon</v>
      </c>
      <c r="E1449" t="s">
        <v>372</v>
      </c>
      <c r="F1449" s="2">
        <v>0.28000000000000003</v>
      </c>
      <c r="G1449" s="2">
        <v>0.82</v>
      </c>
      <c r="H1449" s="2">
        <v>1</v>
      </c>
      <c r="I1449" s="2">
        <v>1</v>
      </c>
      <c r="J1449" s="2">
        <v>1</v>
      </c>
      <c r="K1449" t="e">
        <v>#N/A</v>
      </c>
      <c r="L1449" s="19">
        <v>1</v>
      </c>
      <c r="M1449" s="21">
        <f>L1449</f>
        <v>1</v>
      </c>
    </row>
    <row r="1450" spans="1:13" x14ac:dyDescent="0.2">
      <c r="A1450" t="s">
        <v>204</v>
      </c>
      <c r="B1450" t="str">
        <f>VLOOKUP(A1450,MasterTutor!A:E,4,FALSE)</f>
        <v>Advanced</v>
      </c>
      <c r="C1450" t="str">
        <f>VLOOKUP(A1450,MasterTutor!A:E,3,FALSE)</f>
        <v>Professional</v>
      </c>
      <c r="D1450" t="str">
        <f>VLOOKUP(A1450,MasterTutor!A:E,2,FALSE)</f>
        <v>Ela Cross</v>
      </c>
      <c r="E1450" t="s">
        <v>372</v>
      </c>
      <c r="F1450" s="2">
        <v>1.01</v>
      </c>
      <c r="G1450" s="2">
        <v>1.79</v>
      </c>
      <c r="H1450" s="2">
        <v>1</v>
      </c>
      <c r="I1450" s="2">
        <v>1</v>
      </c>
      <c r="J1450" s="2">
        <v>0.4</v>
      </c>
      <c r="K1450">
        <v>5</v>
      </c>
    </row>
    <row r="1451" spans="1:13" x14ac:dyDescent="0.2">
      <c r="A1451" t="s">
        <v>206</v>
      </c>
      <c r="B1451" t="e">
        <f>VLOOKUP(A1451,MasterTutor!A:E,4,FALSE)</f>
        <v>#N/A</v>
      </c>
      <c r="C1451" t="e">
        <f>VLOOKUP(A1451,MasterTutor!A:E,3,FALSE)</f>
        <v>#N/A</v>
      </c>
      <c r="D1451" t="e">
        <f>VLOOKUP(A1451,MasterTutor!A:E,2,FALSE)</f>
        <v>#N/A</v>
      </c>
      <c r="E1451" t="s">
        <v>372</v>
      </c>
      <c r="F1451" s="2">
        <v>0.44</v>
      </c>
      <c r="G1451" s="2">
        <v>1.05</v>
      </c>
      <c r="H1451" s="2">
        <v>0.99</v>
      </c>
      <c r="I1451" s="2">
        <v>1</v>
      </c>
      <c r="J1451" s="2">
        <v>0.63</v>
      </c>
      <c r="K1451">
        <v>1</v>
      </c>
      <c r="L1451" s="19" t="s">
        <v>357</v>
      </c>
      <c r="M1451" s="21">
        <v>0.17</v>
      </c>
    </row>
    <row r="1452" spans="1:13" x14ac:dyDescent="0.2">
      <c r="A1452" t="s">
        <v>207</v>
      </c>
      <c r="B1452" t="str">
        <f>VLOOKUP(A1452,MasterTutor!A:E,4,FALSE)</f>
        <v>Advanced</v>
      </c>
      <c r="C1452" t="str">
        <f>VLOOKUP(A1452,MasterTutor!A:E,3,FALSE)</f>
        <v>Adjunct</v>
      </c>
      <c r="D1452" t="str">
        <f>VLOOKUP(A1452,MasterTutor!A:E,2,FALSE)</f>
        <v>Ela Cross</v>
      </c>
      <c r="E1452" t="s">
        <v>372</v>
      </c>
      <c r="F1452" s="2">
        <v>1.18</v>
      </c>
      <c r="G1452" s="2">
        <v>1.65</v>
      </c>
      <c r="H1452" s="2">
        <v>0.98</v>
      </c>
      <c r="I1452" s="2">
        <v>0.95</v>
      </c>
      <c r="J1452" s="2">
        <v>0.46</v>
      </c>
      <c r="K1452">
        <v>9</v>
      </c>
      <c r="L1452" s="19" t="s">
        <v>329</v>
      </c>
      <c r="M1452" s="21">
        <v>0.75</v>
      </c>
    </row>
    <row r="1453" spans="1:13" x14ac:dyDescent="0.2">
      <c r="A1453" t="s">
        <v>325</v>
      </c>
      <c r="B1453" t="str">
        <f>VLOOKUP(A1453,MasterTutor!A:E,4,FALSE)</f>
        <v>Advanced</v>
      </c>
      <c r="C1453" t="str">
        <f>VLOOKUP(A1453,MasterTutor!A:E,3,FALSE)</f>
        <v>Professional</v>
      </c>
      <c r="D1453" t="str">
        <f>VLOOKUP(A1453,MasterTutor!A:E,2,FALSE)</f>
        <v>Ela Cross</v>
      </c>
      <c r="E1453" t="s">
        <v>372</v>
      </c>
      <c r="F1453" s="2">
        <v>0.73</v>
      </c>
      <c r="G1453" s="2">
        <v>0.97</v>
      </c>
      <c r="H1453" s="2">
        <v>1</v>
      </c>
      <c r="I1453" s="2">
        <v>0.79</v>
      </c>
      <c r="J1453" s="2">
        <v>0.67</v>
      </c>
      <c r="K1453">
        <v>6</v>
      </c>
      <c r="L1453" s="19">
        <v>0</v>
      </c>
      <c r="M1453" s="21">
        <f>L1453</f>
        <v>0</v>
      </c>
    </row>
    <row r="1454" spans="1:13" x14ac:dyDescent="0.2">
      <c r="A1454" t="s">
        <v>208</v>
      </c>
      <c r="B1454" t="str">
        <f>VLOOKUP(A1454,MasterTutor!A:E,4,FALSE)</f>
        <v>Distinguished</v>
      </c>
      <c r="C1454" t="str">
        <f>VLOOKUP(A1454,MasterTutor!A:E,3,FALSE)</f>
        <v>Adjunct</v>
      </c>
      <c r="D1454" t="str">
        <f>VLOOKUP(A1454,MasterTutor!A:E,2,FALSE)</f>
        <v>Annelies de Groot</v>
      </c>
      <c r="E1454" t="s">
        <v>372</v>
      </c>
      <c r="F1454" s="2">
        <v>0.23</v>
      </c>
      <c r="G1454" s="2">
        <v>1.18</v>
      </c>
      <c r="H1454" s="2">
        <v>1</v>
      </c>
      <c r="I1454" s="2">
        <v>0.83</v>
      </c>
      <c r="J1454" s="2">
        <v>1</v>
      </c>
      <c r="K1454">
        <v>1</v>
      </c>
    </row>
    <row r="1455" spans="1:13" x14ac:dyDescent="0.2">
      <c r="A1455" t="s">
        <v>209</v>
      </c>
      <c r="B1455" t="str">
        <f>VLOOKUP(A1455,MasterTutor!A:E,4,FALSE)</f>
        <v>Premium</v>
      </c>
      <c r="C1455" t="str">
        <f>VLOOKUP(A1455,MasterTutor!A:E,3,FALSE)</f>
        <v>Professional</v>
      </c>
      <c r="D1455" t="str">
        <f>VLOOKUP(A1455,MasterTutor!A:E,2,FALSE)</f>
        <v>Jessica Milner</v>
      </c>
      <c r="E1455" t="s">
        <v>372</v>
      </c>
      <c r="F1455" s="2">
        <v>0.6</v>
      </c>
      <c r="G1455" s="2">
        <v>1.22</v>
      </c>
      <c r="H1455" s="2">
        <v>1</v>
      </c>
      <c r="I1455" s="2">
        <v>1</v>
      </c>
      <c r="J1455" s="2">
        <v>0.75</v>
      </c>
      <c r="K1455">
        <v>3</v>
      </c>
      <c r="L1455" s="19" t="s">
        <v>334</v>
      </c>
      <c r="M1455" s="21">
        <v>0.86</v>
      </c>
    </row>
    <row r="1456" spans="1:13" x14ac:dyDescent="0.2">
      <c r="A1456" t="s">
        <v>210</v>
      </c>
      <c r="B1456" t="str">
        <f>VLOOKUP(A1456,MasterTutor!A:E,4,FALSE)</f>
        <v>Advanced</v>
      </c>
      <c r="C1456" t="str">
        <f>VLOOKUP(A1456,MasterTutor!A:E,3,FALSE)</f>
        <v>Professional</v>
      </c>
      <c r="D1456" t="str">
        <f>VLOOKUP(A1456,MasterTutor!A:E,2,FALSE)</f>
        <v>Kristin Haase-Alvey</v>
      </c>
      <c r="E1456" t="s">
        <v>372</v>
      </c>
      <c r="F1456" s="2">
        <v>0.44</v>
      </c>
      <c r="G1456" s="2">
        <v>1.04</v>
      </c>
      <c r="H1456" s="2">
        <v>0.98</v>
      </c>
      <c r="I1456" s="2">
        <v>0.88</v>
      </c>
      <c r="J1456" s="2">
        <v>0.94</v>
      </c>
      <c r="K1456">
        <v>5</v>
      </c>
      <c r="L1456" s="19">
        <v>1</v>
      </c>
      <c r="M1456" s="21">
        <f>L1456</f>
        <v>1</v>
      </c>
    </row>
    <row r="1457" spans="1:13" x14ac:dyDescent="0.2">
      <c r="A1457" t="s">
        <v>211</v>
      </c>
      <c r="B1457" t="str">
        <f>VLOOKUP(A1457,MasterTutor!A:E,4,FALSE)</f>
        <v>Advanced</v>
      </c>
      <c r="C1457" t="str">
        <f>VLOOKUP(A1457,MasterTutor!A:E,3,FALSE)</f>
        <v>Professional</v>
      </c>
      <c r="D1457" t="str">
        <f>VLOOKUP(A1457,MasterTutor!A:E,2,FALSE)</f>
        <v>Kristin Haase-Alvey</v>
      </c>
      <c r="E1457" t="s">
        <v>372</v>
      </c>
      <c r="F1457" s="2">
        <v>0.82</v>
      </c>
      <c r="G1457" s="2">
        <v>1.08</v>
      </c>
      <c r="H1457" s="2">
        <v>1</v>
      </c>
      <c r="I1457" s="2">
        <v>1</v>
      </c>
      <c r="J1457" s="2">
        <v>0.73</v>
      </c>
      <c r="K1457">
        <v>6</v>
      </c>
      <c r="L1457" s="19" t="s">
        <v>330</v>
      </c>
      <c r="M1457" s="21">
        <v>0.67</v>
      </c>
    </row>
    <row r="1458" spans="1:13" x14ac:dyDescent="0.2">
      <c r="A1458" t="s">
        <v>12</v>
      </c>
      <c r="B1458" t="str">
        <f>VLOOKUP(A1458,MasterTutor!A:E,4,FALSE)</f>
        <v>Advanced</v>
      </c>
      <c r="C1458" t="str">
        <f>VLOOKUP(A1458,MasterTutor!A:E,3,FALSE)</f>
        <v>Adjunct</v>
      </c>
      <c r="D1458" t="str">
        <f>VLOOKUP(A1458,MasterTutor!A:E,2,FALSE)</f>
        <v>Ian Plamondon</v>
      </c>
      <c r="E1458" t="s">
        <v>373</v>
      </c>
      <c r="F1458" s="2">
        <v>0.48</v>
      </c>
      <c r="G1458" s="2">
        <v>0.5</v>
      </c>
      <c r="H1458" s="2">
        <v>1</v>
      </c>
      <c r="I1458" s="2">
        <v>1</v>
      </c>
      <c r="J1458" s="2">
        <v>0.71</v>
      </c>
      <c r="K1458">
        <v>3</v>
      </c>
      <c r="L1458" s="19">
        <v>1</v>
      </c>
      <c r="M1458" s="21">
        <f>L1458</f>
        <v>1</v>
      </c>
    </row>
    <row r="1459" spans="1:13" x14ac:dyDescent="0.2">
      <c r="A1459" t="s">
        <v>15</v>
      </c>
      <c r="B1459" t="str">
        <f>VLOOKUP(A1459,MasterTutor!A:E,4,FALSE)</f>
        <v>Advanced</v>
      </c>
      <c r="C1459" t="str">
        <f>VLOOKUP(A1459,MasterTutor!A:E,3,FALSE)</f>
        <v>Professional</v>
      </c>
      <c r="D1459" t="str">
        <f>VLOOKUP(A1459,MasterTutor!A:E,2,FALSE)</f>
        <v>Ian Plamondon</v>
      </c>
      <c r="E1459" t="s">
        <v>373</v>
      </c>
      <c r="F1459" s="2">
        <v>0.94</v>
      </c>
      <c r="G1459" s="2">
        <v>0.98</v>
      </c>
      <c r="H1459" s="2">
        <v>0.99</v>
      </c>
      <c r="I1459" s="2">
        <v>1</v>
      </c>
      <c r="J1459" s="2">
        <v>0.46</v>
      </c>
      <c r="K1459">
        <v>6</v>
      </c>
      <c r="L1459" s="19" t="s">
        <v>330</v>
      </c>
      <c r="M1459" s="21">
        <v>0.67</v>
      </c>
    </row>
    <row r="1460" spans="1:13" x14ac:dyDescent="0.2">
      <c r="A1460" t="s">
        <v>16</v>
      </c>
      <c r="B1460" t="str">
        <f>VLOOKUP(A1460,MasterTutor!A:E,4,FALSE)</f>
        <v>Premium</v>
      </c>
      <c r="C1460" t="str">
        <f>VLOOKUP(A1460,MasterTutor!A:E,3,FALSE)</f>
        <v>Adjunct</v>
      </c>
      <c r="D1460" t="str">
        <f>VLOOKUP(A1460,MasterTutor!A:E,2,FALSE)</f>
        <v>Ela Cross</v>
      </c>
      <c r="E1460" t="s">
        <v>373</v>
      </c>
      <c r="F1460" s="2">
        <v>0</v>
      </c>
      <c r="G1460" s="2">
        <v>1</v>
      </c>
      <c r="H1460" s="2">
        <v>0</v>
      </c>
      <c r="I1460" s="2">
        <v>0</v>
      </c>
      <c r="J1460" s="2">
        <v>0</v>
      </c>
      <c r="K1460" t="e">
        <v>#N/A</v>
      </c>
      <c r="M1460" s="21"/>
    </row>
    <row r="1461" spans="1:13" x14ac:dyDescent="0.2">
      <c r="A1461" t="s">
        <v>17</v>
      </c>
      <c r="B1461" t="str">
        <f>VLOOKUP(A1461,MasterTutor!A:E,4,FALSE)</f>
        <v>Premium</v>
      </c>
      <c r="C1461" t="str">
        <f>VLOOKUP(A1461,MasterTutor!A:E,3,FALSE)</f>
        <v>Professional</v>
      </c>
      <c r="D1461" t="str">
        <f>VLOOKUP(A1461,MasterTutor!A:E,2,FALSE)</f>
        <v>Ian Plamondon</v>
      </c>
      <c r="E1461" t="s">
        <v>373</v>
      </c>
      <c r="F1461" s="2">
        <v>0.82</v>
      </c>
      <c r="G1461" s="2">
        <v>1.92</v>
      </c>
      <c r="H1461" s="2">
        <v>0.96</v>
      </c>
      <c r="I1461" s="2">
        <v>1</v>
      </c>
      <c r="J1461" s="2">
        <v>0.56000000000000005</v>
      </c>
      <c r="K1461">
        <v>2</v>
      </c>
      <c r="L1461" s="19">
        <v>1</v>
      </c>
      <c r="M1461" s="21">
        <f>L1461</f>
        <v>1</v>
      </c>
    </row>
    <row r="1462" spans="1:13" x14ac:dyDescent="0.2">
      <c r="A1462" t="s">
        <v>217</v>
      </c>
      <c r="B1462" t="str">
        <f>VLOOKUP(A1462,MasterTutor!A:E,4,FALSE)</f>
        <v>Advanced</v>
      </c>
      <c r="C1462" t="str">
        <f>VLOOKUP(A1462,MasterTutor!A:E,3,FALSE)</f>
        <v>Adjunct</v>
      </c>
      <c r="D1462" t="str">
        <f>VLOOKUP(A1462,MasterTutor!A:E,2,FALSE)</f>
        <v>Kristin Haase-Alvey</v>
      </c>
      <c r="E1462" t="s">
        <v>373</v>
      </c>
      <c r="F1462" s="2">
        <v>0.8</v>
      </c>
      <c r="G1462" s="2">
        <v>1.29</v>
      </c>
      <c r="H1462" s="2">
        <v>1</v>
      </c>
      <c r="I1462" s="2">
        <v>0.87</v>
      </c>
      <c r="J1462" s="2">
        <v>0.8</v>
      </c>
      <c r="K1462" t="e">
        <v>#N/A</v>
      </c>
      <c r="L1462" s="19">
        <v>1</v>
      </c>
      <c r="M1462" s="21">
        <f>L1462</f>
        <v>1</v>
      </c>
    </row>
    <row r="1463" spans="1:13" x14ac:dyDescent="0.2">
      <c r="A1463" t="s">
        <v>18</v>
      </c>
      <c r="B1463" t="str">
        <f>VLOOKUP(A1463,MasterTutor!A:E,4,FALSE)</f>
        <v>Distinguished</v>
      </c>
      <c r="C1463" t="str">
        <f>VLOOKUP(A1463,MasterTutor!A:E,3,FALSE)</f>
        <v>Professional</v>
      </c>
      <c r="D1463" t="str">
        <f>VLOOKUP(A1463,MasterTutor!A:E,2,FALSE)</f>
        <v>Ian Plamondon</v>
      </c>
      <c r="E1463" t="s">
        <v>373</v>
      </c>
      <c r="F1463" s="2">
        <v>0.73</v>
      </c>
      <c r="G1463" s="2">
        <v>1.02</v>
      </c>
      <c r="H1463" s="2">
        <v>1</v>
      </c>
      <c r="I1463" s="2">
        <v>0.91</v>
      </c>
      <c r="J1463" s="2">
        <v>0.71</v>
      </c>
      <c r="K1463" t="e">
        <v>#N/A</v>
      </c>
      <c r="L1463" s="19">
        <v>1</v>
      </c>
      <c r="M1463" s="21">
        <f>L1463</f>
        <v>1</v>
      </c>
    </row>
    <row r="1464" spans="1:13" x14ac:dyDescent="0.2">
      <c r="A1464" t="s">
        <v>19</v>
      </c>
      <c r="B1464" t="str">
        <f>VLOOKUP(A1464,MasterTutor!A:E,4,FALSE)</f>
        <v>Premium</v>
      </c>
      <c r="C1464" t="str">
        <f>VLOOKUP(A1464,MasterTutor!A:E,3,FALSE)</f>
        <v>Adjunct</v>
      </c>
      <c r="D1464" t="str">
        <f>VLOOKUP(A1464,MasterTutor!A:E,2,FALSE)</f>
        <v>Geoff St. Marie</v>
      </c>
      <c r="E1464" t="s">
        <v>373</v>
      </c>
      <c r="F1464" s="2">
        <v>1</v>
      </c>
      <c r="G1464" s="2">
        <v>1.03</v>
      </c>
      <c r="H1464" s="2">
        <v>1</v>
      </c>
      <c r="I1464" s="2">
        <v>1</v>
      </c>
      <c r="J1464" s="2">
        <v>0.64</v>
      </c>
      <c r="K1464">
        <v>2</v>
      </c>
      <c r="M1464" s="21"/>
    </row>
    <row r="1465" spans="1:13" x14ac:dyDescent="0.2">
      <c r="A1465" t="s">
        <v>20</v>
      </c>
      <c r="B1465" t="e">
        <f>VLOOKUP(A1465,MasterTutor!A:E,4,FALSE)</f>
        <v>#N/A</v>
      </c>
      <c r="C1465" t="e">
        <f>VLOOKUP(A1465,MasterTutor!A:E,3,FALSE)</f>
        <v>#N/A</v>
      </c>
      <c r="D1465" t="e">
        <f>VLOOKUP(A1465,MasterTutor!A:E,2,FALSE)</f>
        <v>#N/A</v>
      </c>
      <c r="E1465" t="s">
        <v>373</v>
      </c>
      <c r="F1465" s="2">
        <v>0.83</v>
      </c>
      <c r="G1465" s="2">
        <v>1.05</v>
      </c>
      <c r="H1465" s="2">
        <v>1</v>
      </c>
      <c r="I1465" s="2">
        <v>0.94</v>
      </c>
      <c r="J1465" s="2">
        <v>0.91</v>
      </c>
      <c r="K1465">
        <v>2</v>
      </c>
      <c r="L1465" s="19">
        <v>0</v>
      </c>
      <c r="M1465" s="21">
        <f>L1465</f>
        <v>0</v>
      </c>
    </row>
    <row r="1466" spans="1:13" x14ac:dyDescent="0.2">
      <c r="A1466" t="s">
        <v>21</v>
      </c>
      <c r="B1466" t="str">
        <f>VLOOKUP(A1466,MasterTutor!A:E,4,FALSE)</f>
        <v>Distinguished</v>
      </c>
      <c r="C1466" t="str">
        <f>VLOOKUP(A1466,MasterTutor!A:E,3,FALSE)</f>
        <v>Adjunct</v>
      </c>
      <c r="D1466" t="str">
        <f>VLOOKUP(A1466,MasterTutor!A:E,2,FALSE)</f>
        <v>Kristin Haase-Alvey</v>
      </c>
      <c r="E1466" t="s">
        <v>373</v>
      </c>
      <c r="F1466" s="2">
        <v>0.02</v>
      </c>
      <c r="G1466" s="2">
        <v>1.24</v>
      </c>
      <c r="H1466" s="2">
        <v>1</v>
      </c>
      <c r="I1466" s="2">
        <v>1</v>
      </c>
      <c r="J1466" s="2">
        <v>1</v>
      </c>
      <c r="K1466" t="e">
        <v>#N/A</v>
      </c>
      <c r="L1466" s="19">
        <v>1</v>
      </c>
      <c r="M1466" s="21">
        <f>L1466</f>
        <v>1</v>
      </c>
    </row>
    <row r="1467" spans="1:13" x14ac:dyDescent="0.2">
      <c r="A1467" t="s">
        <v>22</v>
      </c>
      <c r="B1467" t="str">
        <f>VLOOKUP(A1467,MasterTutor!A:E,4,FALSE)</f>
        <v>Advanced</v>
      </c>
      <c r="C1467" t="str">
        <f>VLOOKUP(A1467,MasterTutor!A:E,3,FALSE)</f>
        <v>Professional</v>
      </c>
      <c r="D1467" t="str">
        <f>VLOOKUP(A1467,MasterTutor!A:E,2,FALSE)</f>
        <v>Annelies de Groot</v>
      </c>
      <c r="E1467" t="s">
        <v>373</v>
      </c>
      <c r="F1467" s="2">
        <v>0.75</v>
      </c>
      <c r="G1467" s="2">
        <v>1.07</v>
      </c>
      <c r="H1467" s="2">
        <v>0.85</v>
      </c>
      <c r="I1467" s="2">
        <v>0.91</v>
      </c>
      <c r="J1467" s="2">
        <v>0.77</v>
      </c>
      <c r="K1467">
        <v>5</v>
      </c>
      <c r="L1467" s="19" t="s">
        <v>332</v>
      </c>
      <c r="M1467" s="21">
        <v>0.71</v>
      </c>
    </row>
    <row r="1468" spans="1:13" x14ac:dyDescent="0.2">
      <c r="A1468" t="s">
        <v>23</v>
      </c>
      <c r="B1468" t="str">
        <f>VLOOKUP(A1468,MasterTutor!A:E,4,FALSE)</f>
        <v>Premium</v>
      </c>
      <c r="C1468" t="str">
        <f>VLOOKUP(A1468,MasterTutor!A:E,3,FALSE)</f>
        <v>Professional</v>
      </c>
      <c r="D1468" t="str">
        <f>VLOOKUP(A1468,MasterTutor!A:E,2,FALSE)</f>
        <v>Jessica Milner</v>
      </c>
      <c r="E1468" t="s">
        <v>373</v>
      </c>
      <c r="F1468" s="2">
        <v>0.51</v>
      </c>
      <c r="G1468" s="2">
        <v>1.36</v>
      </c>
      <c r="H1468" s="2">
        <v>1</v>
      </c>
      <c r="I1468" s="2">
        <v>0.94</v>
      </c>
      <c r="J1468" s="2">
        <v>0.53</v>
      </c>
      <c r="K1468">
        <v>2</v>
      </c>
      <c r="M1468" s="21"/>
    </row>
    <row r="1469" spans="1:13" x14ac:dyDescent="0.2">
      <c r="A1469" t="s">
        <v>24</v>
      </c>
      <c r="B1469" t="str">
        <f>VLOOKUP(A1469,MasterTutor!A:E,4,FALSE)</f>
        <v>Distinguished</v>
      </c>
      <c r="C1469" t="str">
        <f>VLOOKUP(A1469,MasterTutor!A:E,3,FALSE)</f>
        <v>Professional</v>
      </c>
      <c r="D1469" t="str">
        <f>VLOOKUP(A1469,MasterTutor!A:E,2,FALSE)</f>
        <v>Kristin Haase-Alvey</v>
      </c>
      <c r="E1469" t="s">
        <v>373</v>
      </c>
      <c r="F1469" s="2">
        <v>0.76</v>
      </c>
      <c r="G1469" s="2">
        <v>0.91</v>
      </c>
      <c r="H1469" s="2">
        <v>0.96</v>
      </c>
      <c r="I1469" s="2">
        <v>0.97</v>
      </c>
      <c r="J1469" s="2">
        <v>0.89</v>
      </c>
      <c r="K1469">
        <v>3</v>
      </c>
      <c r="L1469" s="19" t="s">
        <v>338</v>
      </c>
      <c r="M1469" s="21">
        <v>0.8</v>
      </c>
    </row>
    <row r="1470" spans="1:13" x14ac:dyDescent="0.2">
      <c r="A1470" t="s">
        <v>26</v>
      </c>
      <c r="B1470" t="str">
        <f>VLOOKUP(A1470,MasterTutor!A:E,4,FALSE)</f>
        <v>Distinguished</v>
      </c>
      <c r="C1470" t="str">
        <f>VLOOKUP(A1470,MasterTutor!A:E,3,FALSE)</f>
        <v>Professional</v>
      </c>
      <c r="D1470" t="str">
        <f>VLOOKUP(A1470,MasterTutor!A:E,2,FALSE)</f>
        <v>Ian Plamondon</v>
      </c>
      <c r="E1470" t="s">
        <v>373</v>
      </c>
      <c r="F1470" s="2">
        <v>0.72</v>
      </c>
      <c r="G1470" s="2">
        <v>1.36</v>
      </c>
      <c r="H1470" s="2">
        <v>1</v>
      </c>
      <c r="I1470" s="2">
        <v>0.96</v>
      </c>
      <c r="J1470" s="2">
        <v>0.33</v>
      </c>
      <c r="K1470">
        <v>5</v>
      </c>
      <c r="L1470" s="19" t="s">
        <v>331</v>
      </c>
      <c r="M1470" s="21">
        <v>0.5</v>
      </c>
    </row>
    <row r="1471" spans="1:13" x14ac:dyDescent="0.2">
      <c r="A1471" t="s">
        <v>27</v>
      </c>
      <c r="B1471" t="str">
        <f>VLOOKUP(A1471,MasterTutor!A:E,4,FALSE)</f>
        <v>Premium</v>
      </c>
      <c r="C1471" t="str">
        <f>VLOOKUP(A1471,MasterTutor!A:E,3,FALSE)</f>
        <v>Professional</v>
      </c>
      <c r="D1471" t="str">
        <f>VLOOKUP(A1471,MasterTutor!A:E,2,FALSE)</f>
        <v>Jessica Milner</v>
      </c>
      <c r="E1471" t="s">
        <v>373</v>
      </c>
      <c r="F1471" s="2">
        <v>0.56999999999999995</v>
      </c>
      <c r="G1471" s="2">
        <v>1.03</v>
      </c>
      <c r="H1471" s="2">
        <v>0.98</v>
      </c>
      <c r="I1471" s="2">
        <v>1</v>
      </c>
      <c r="J1471" s="2">
        <v>0.71</v>
      </c>
      <c r="K1471">
        <v>3</v>
      </c>
      <c r="L1471" s="19">
        <v>1</v>
      </c>
      <c r="M1471" s="21">
        <f>L1471</f>
        <v>1</v>
      </c>
    </row>
    <row r="1472" spans="1:13" x14ac:dyDescent="0.2">
      <c r="A1472" t="s">
        <v>28</v>
      </c>
      <c r="B1472" t="e">
        <f>VLOOKUP(A1472,MasterTutor!A:E,4,FALSE)</f>
        <v>#N/A</v>
      </c>
      <c r="C1472" t="e">
        <f>VLOOKUP(A1472,MasterTutor!A:E,3,FALSE)</f>
        <v>#N/A</v>
      </c>
      <c r="D1472" t="e">
        <f>VLOOKUP(A1472,MasterTutor!A:E,2,FALSE)</f>
        <v>#N/A</v>
      </c>
      <c r="E1472" t="s">
        <v>373</v>
      </c>
      <c r="F1472" s="2">
        <v>0.87</v>
      </c>
      <c r="G1472" s="2">
        <v>1.03</v>
      </c>
      <c r="H1472" s="2">
        <v>0.99</v>
      </c>
      <c r="I1472" s="2">
        <v>1</v>
      </c>
      <c r="J1472" s="2">
        <v>0.8</v>
      </c>
      <c r="K1472">
        <v>9</v>
      </c>
      <c r="L1472" s="19" t="s">
        <v>338</v>
      </c>
      <c r="M1472" s="21">
        <v>0.8</v>
      </c>
    </row>
    <row r="1473" spans="1:13" x14ac:dyDescent="0.2">
      <c r="A1473" t="s">
        <v>29</v>
      </c>
      <c r="B1473" t="str">
        <f>VLOOKUP(A1473,MasterTutor!A:E,4,FALSE)</f>
        <v>Distinguished</v>
      </c>
      <c r="C1473" t="str">
        <f>VLOOKUP(A1473,MasterTutor!A:E,3,FALSE)</f>
        <v>Adjunct</v>
      </c>
      <c r="D1473" t="str">
        <f>VLOOKUP(A1473,MasterTutor!A:E,2,FALSE)</f>
        <v>Kristin Haase-Alvey</v>
      </c>
      <c r="E1473" t="s">
        <v>373</v>
      </c>
      <c r="F1473" s="2">
        <v>0.45</v>
      </c>
      <c r="G1473" s="2">
        <v>1.08</v>
      </c>
      <c r="H1473" s="2">
        <v>1</v>
      </c>
      <c r="I1473" s="2">
        <v>1</v>
      </c>
      <c r="J1473" s="2">
        <v>0.82</v>
      </c>
      <c r="K1473">
        <v>1</v>
      </c>
      <c r="L1473" s="19">
        <v>1</v>
      </c>
      <c r="M1473" s="21">
        <f t="shared" ref="M1473:M1479" si="11">L1473</f>
        <v>1</v>
      </c>
    </row>
    <row r="1474" spans="1:13" x14ac:dyDescent="0.2">
      <c r="A1474" t="s">
        <v>30</v>
      </c>
      <c r="B1474" t="str">
        <f>VLOOKUP(A1474,MasterTutor!A:E,4,FALSE)</f>
        <v>Distinguished</v>
      </c>
      <c r="C1474" t="str">
        <f>VLOOKUP(A1474,MasterTutor!A:E,3,FALSE)</f>
        <v>Professional</v>
      </c>
      <c r="D1474" t="str">
        <f>VLOOKUP(A1474,MasterTutor!A:E,2,FALSE)</f>
        <v>Ian Plamondon</v>
      </c>
      <c r="E1474" t="s">
        <v>373</v>
      </c>
      <c r="F1474" s="2">
        <v>1.02</v>
      </c>
      <c r="G1474" s="2">
        <v>1.68</v>
      </c>
      <c r="H1474" s="2">
        <v>0.96</v>
      </c>
      <c r="I1474" s="2">
        <v>1</v>
      </c>
      <c r="J1474" s="2">
        <v>0.75</v>
      </c>
      <c r="K1474">
        <v>1</v>
      </c>
      <c r="L1474" s="19">
        <v>1</v>
      </c>
      <c r="M1474" s="21">
        <f t="shared" si="11"/>
        <v>1</v>
      </c>
    </row>
    <row r="1475" spans="1:13" x14ac:dyDescent="0.2">
      <c r="A1475" t="s">
        <v>31</v>
      </c>
      <c r="B1475" t="str">
        <f>VLOOKUP(A1475,MasterTutor!A:E,4,FALSE)</f>
        <v>Premium</v>
      </c>
      <c r="C1475" t="str">
        <f>VLOOKUP(A1475,MasterTutor!A:E,3,FALSE)</f>
        <v>Adjunct</v>
      </c>
      <c r="D1475" t="str">
        <f>VLOOKUP(A1475,MasterTutor!A:E,2,FALSE)</f>
        <v>Kristin Haase-Alvey</v>
      </c>
      <c r="E1475" t="s">
        <v>373</v>
      </c>
      <c r="F1475" s="2">
        <v>0.33</v>
      </c>
      <c r="G1475" s="2">
        <v>1</v>
      </c>
      <c r="H1475" s="2">
        <v>1</v>
      </c>
      <c r="I1475" s="2">
        <v>1</v>
      </c>
      <c r="J1475" s="2">
        <v>0.77</v>
      </c>
      <c r="K1475" t="e">
        <v>#N/A</v>
      </c>
      <c r="L1475" s="19">
        <v>1</v>
      </c>
      <c r="M1475" s="21">
        <f t="shared" si="11"/>
        <v>1</v>
      </c>
    </row>
    <row r="1476" spans="1:13" x14ac:dyDescent="0.2">
      <c r="A1476" t="s">
        <v>32</v>
      </c>
      <c r="B1476" t="e">
        <f>VLOOKUP(A1476,MasterTutor!A:E,4,FALSE)</f>
        <v>#N/A</v>
      </c>
      <c r="C1476" t="e">
        <f>VLOOKUP(A1476,MasterTutor!A:E,3,FALSE)</f>
        <v>#N/A</v>
      </c>
      <c r="D1476" t="e">
        <f>VLOOKUP(A1476,MasterTutor!A:E,2,FALSE)</f>
        <v>#N/A</v>
      </c>
      <c r="E1476" t="s">
        <v>373</v>
      </c>
      <c r="F1476" s="2">
        <v>0.75</v>
      </c>
      <c r="G1476" s="2">
        <v>1.07</v>
      </c>
      <c r="H1476" s="2">
        <v>1</v>
      </c>
      <c r="I1476" s="2">
        <v>0.72</v>
      </c>
      <c r="J1476" s="2">
        <v>0.33</v>
      </c>
      <c r="K1476">
        <v>5</v>
      </c>
      <c r="L1476" s="19">
        <v>0</v>
      </c>
      <c r="M1476" s="21">
        <f t="shared" si="11"/>
        <v>0</v>
      </c>
    </row>
    <row r="1477" spans="1:13" x14ac:dyDescent="0.2">
      <c r="A1477" t="s">
        <v>33</v>
      </c>
      <c r="B1477" t="str">
        <f>VLOOKUP(A1477,MasterTutor!A:E,4,FALSE)</f>
        <v>Premium</v>
      </c>
      <c r="C1477" t="str">
        <f>VLOOKUP(A1477,MasterTutor!A:E,3,FALSE)</f>
        <v>Professional</v>
      </c>
      <c r="D1477" t="str">
        <f>VLOOKUP(A1477,MasterTutor!A:E,2,FALSE)</f>
        <v>Geoff St. Marie</v>
      </c>
      <c r="E1477" t="s">
        <v>373</v>
      </c>
      <c r="F1477" s="2">
        <v>1.42</v>
      </c>
      <c r="G1477" s="2">
        <v>1.19</v>
      </c>
      <c r="H1477" s="2">
        <v>0.9</v>
      </c>
      <c r="I1477" s="2">
        <v>0.94</v>
      </c>
      <c r="J1477" s="2">
        <v>0.7</v>
      </c>
      <c r="K1477">
        <v>2</v>
      </c>
      <c r="L1477" s="19">
        <v>0</v>
      </c>
      <c r="M1477" s="21">
        <f t="shared" si="11"/>
        <v>0</v>
      </c>
    </row>
    <row r="1478" spans="1:13" x14ac:dyDescent="0.2">
      <c r="A1478" t="s">
        <v>35</v>
      </c>
      <c r="B1478" t="str">
        <f>VLOOKUP(A1478,MasterTutor!A:E,4,FALSE)</f>
        <v>Advanced</v>
      </c>
      <c r="C1478" t="str">
        <f>VLOOKUP(A1478,MasterTutor!A:E,3,FALSE)</f>
        <v>Adjunct</v>
      </c>
      <c r="D1478" t="str">
        <f>VLOOKUP(A1478,MasterTutor!A:E,2,FALSE)</f>
        <v>Annelies de Groot</v>
      </c>
      <c r="E1478" t="s">
        <v>373</v>
      </c>
      <c r="F1478" s="2">
        <v>0.95</v>
      </c>
      <c r="G1478" s="2">
        <v>1.95</v>
      </c>
      <c r="H1478" s="2">
        <v>0.96</v>
      </c>
      <c r="I1478" s="2">
        <v>1</v>
      </c>
      <c r="J1478" s="2">
        <v>0.78</v>
      </c>
      <c r="K1478">
        <v>5</v>
      </c>
      <c r="L1478" s="19">
        <v>1</v>
      </c>
      <c r="M1478" s="21">
        <f t="shared" si="11"/>
        <v>1</v>
      </c>
    </row>
    <row r="1479" spans="1:13" x14ac:dyDescent="0.2">
      <c r="A1479" t="s">
        <v>36</v>
      </c>
      <c r="B1479" t="str">
        <f>VLOOKUP(A1479,MasterTutor!A:E,4,FALSE)</f>
        <v>Premium</v>
      </c>
      <c r="C1479" t="str">
        <f>VLOOKUP(A1479,MasterTutor!A:E,3,FALSE)</f>
        <v>Professional</v>
      </c>
      <c r="D1479" t="str">
        <f>VLOOKUP(A1479,MasterTutor!A:E,2,FALSE)</f>
        <v>Jessica Milner</v>
      </c>
      <c r="E1479" t="s">
        <v>373</v>
      </c>
      <c r="F1479" s="2">
        <v>0.73</v>
      </c>
      <c r="G1479" s="2">
        <v>1.06</v>
      </c>
      <c r="H1479" s="2">
        <v>1</v>
      </c>
      <c r="I1479" s="2">
        <v>1</v>
      </c>
      <c r="J1479" s="2">
        <v>0.65</v>
      </c>
      <c r="K1479">
        <v>2</v>
      </c>
      <c r="L1479" s="19">
        <v>1</v>
      </c>
      <c r="M1479" s="21">
        <f t="shared" si="11"/>
        <v>1</v>
      </c>
    </row>
    <row r="1480" spans="1:13" x14ac:dyDescent="0.2">
      <c r="A1480" t="s">
        <v>37</v>
      </c>
      <c r="B1480" t="e">
        <f>VLOOKUP(A1480,MasterTutor!A:E,4,FALSE)</f>
        <v>#N/A</v>
      </c>
      <c r="C1480" t="e">
        <f>VLOOKUP(A1480,MasterTutor!A:E,3,FALSE)</f>
        <v>#N/A</v>
      </c>
      <c r="D1480" t="e">
        <f>VLOOKUP(A1480,MasterTutor!A:E,2,FALSE)</f>
        <v>#N/A</v>
      </c>
      <c r="E1480" t="s">
        <v>373</v>
      </c>
      <c r="F1480" s="2">
        <v>0.56000000000000005</v>
      </c>
      <c r="G1480" s="2">
        <v>1</v>
      </c>
      <c r="H1480" s="2">
        <v>0.93</v>
      </c>
      <c r="I1480" s="2">
        <v>0.81</v>
      </c>
      <c r="J1480" s="2">
        <v>1</v>
      </c>
      <c r="K1480">
        <v>1</v>
      </c>
      <c r="M1480" s="21"/>
    </row>
    <row r="1481" spans="1:13" x14ac:dyDescent="0.2">
      <c r="A1481" t="s">
        <v>38</v>
      </c>
      <c r="B1481" t="str">
        <f>VLOOKUP(A1481,MasterTutor!A:E,4,FALSE)</f>
        <v>Advanced</v>
      </c>
      <c r="C1481" t="str">
        <f>VLOOKUP(A1481,MasterTutor!A:E,3,FALSE)</f>
        <v>Adjunct</v>
      </c>
      <c r="D1481" t="str">
        <f>VLOOKUP(A1481,MasterTutor!A:E,2,FALSE)</f>
        <v>Annelies de Groot</v>
      </c>
      <c r="E1481" t="s">
        <v>373</v>
      </c>
      <c r="F1481" s="2">
        <v>0.88</v>
      </c>
      <c r="G1481" s="2">
        <v>1.21</v>
      </c>
      <c r="H1481" s="2">
        <v>1</v>
      </c>
      <c r="I1481" s="2">
        <v>1</v>
      </c>
      <c r="J1481" s="2">
        <v>0.77</v>
      </c>
      <c r="K1481">
        <v>5</v>
      </c>
      <c r="L1481" s="19" t="s">
        <v>331</v>
      </c>
      <c r="M1481" s="21">
        <v>0.5</v>
      </c>
    </row>
    <row r="1482" spans="1:13" x14ac:dyDescent="0.2">
      <c r="A1482" t="s">
        <v>39</v>
      </c>
      <c r="B1482" t="str">
        <f>VLOOKUP(A1482,MasterTutor!A:E,4,FALSE)</f>
        <v>Premium</v>
      </c>
      <c r="C1482" t="str">
        <f>VLOOKUP(A1482,MasterTutor!A:E,3,FALSE)</f>
        <v>Adjunct</v>
      </c>
      <c r="D1482" t="str">
        <f>VLOOKUP(A1482,MasterTutor!A:E,2,FALSE)</f>
        <v>Jessica Milner</v>
      </c>
      <c r="E1482" t="s">
        <v>373</v>
      </c>
      <c r="F1482" s="2">
        <v>1.01</v>
      </c>
      <c r="G1482" s="2">
        <v>1.03</v>
      </c>
      <c r="H1482" s="2">
        <v>0.98</v>
      </c>
      <c r="I1482" s="2">
        <v>1</v>
      </c>
      <c r="J1482" s="2">
        <v>1</v>
      </c>
      <c r="K1482">
        <v>1</v>
      </c>
      <c r="M1482" s="21"/>
    </row>
    <row r="1483" spans="1:13" x14ac:dyDescent="0.2">
      <c r="A1483" t="s">
        <v>40</v>
      </c>
      <c r="B1483" t="str">
        <f>VLOOKUP(A1483,MasterTutor!A:E,4,FALSE)</f>
        <v>Advanced</v>
      </c>
      <c r="C1483" t="str">
        <f>VLOOKUP(A1483,MasterTutor!A:E,3,FALSE)</f>
        <v>Professional</v>
      </c>
      <c r="D1483" t="str">
        <f>VLOOKUP(A1483,MasterTutor!A:E,2,FALSE)</f>
        <v>Annelies de Groot</v>
      </c>
      <c r="E1483" t="s">
        <v>373</v>
      </c>
      <c r="F1483" s="2">
        <v>1.44</v>
      </c>
      <c r="G1483" s="2">
        <v>1.38</v>
      </c>
      <c r="H1483" s="2">
        <v>0.99</v>
      </c>
      <c r="I1483" s="2">
        <v>0.96</v>
      </c>
      <c r="J1483" s="2">
        <v>0.21</v>
      </c>
      <c r="K1483">
        <v>17</v>
      </c>
      <c r="L1483" s="19" t="s">
        <v>338</v>
      </c>
      <c r="M1483" s="21">
        <v>0.8</v>
      </c>
    </row>
    <row r="1484" spans="1:13" x14ac:dyDescent="0.2">
      <c r="A1484" t="s">
        <v>41</v>
      </c>
      <c r="B1484" t="str">
        <f>VLOOKUP(A1484,MasterTutor!A:E,4,FALSE)</f>
        <v>Premium</v>
      </c>
      <c r="C1484" t="str">
        <f>VLOOKUP(A1484,MasterTutor!A:E,3,FALSE)</f>
        <v>Professional</v>
      </c>
      <c r="D1484" t="str">
        <f>VLOOKUP(A1484,MasterTutor!A:E,2,FALSE)</f>
        <v>Jessica Milner</v>
      </c>
      <c r="E1484" t="s">
        <v>373</v>
      </c>
      <c r="F1484" s="2">
        <v>0.56999999999999995</v>
      </c>
      <c r="G1484" s="2">
        <v>0.89</v>
      </c>
      <c r="H1484" s="2">
        <v>0.95</v>
      </c>
      <c r="I1484" s="2">
        <v>0.91</v>
      </c>
      <c r="J1484" s="2">
        <v>0.86</v>
      </c>
      <c r="K1484">
        <v>2</v>
      </c>
      <c r="L1484" s="19">
        <v>1</v>
      </c>
      <c r="M1484" s="21">
        <f>L1484</f>
        <v>1</v>
      </c>
    </row>
    <row r="1485" spans="1:13" x14ac:dyDescent="0.2">
      <c r="A1485" t="s">
        <v>42</v>
      </c>
      <c r="B1485" t="str">
        <f>VLOOKUP(A1485,MasterTutor!A:E,4,FALSE)</f>
        <v>Premium</v>
      </c>
      <c r="C1485" t="str">
        <f>VLOOKUP(A1485,MasterTutor!A:E,3,FALSE)</f>
        <v>Adjunct</v>
      </c>
      <c r="D1485" t="str">
        <f>VLOOKUP(A1485,MasterTutor!A:E,2,FALSE)</f>
        <v>Ela Cross</v>
      </c>
      <c r="E1485" t="s">
        <v>373</v>
      </c>
      <c r="F1485" s="2">
        <v>0.39</v>
      </c>
      <c r="G1485" s="2">
        <v>1.1299999999999999</v>
      </c>
      <c r="H1485" s="2">
        <v>1</v>
      </c>
      <c r="I1485" s="2">
        <v>1</v>
      </c>
      <c r="J1485" s="2">
        <v>0</v>
      </c>
      <c r="K1485" t="e">
        <v>#N/A</v>
      </c>
      <c r="M1485" s="21"/>
    </row>
    <row r="1486" spans="1:13" x14ac:dyDescent="0.2">
      <c r="A1486" t="s">
        <v>43</v>
      </c>
      <c r="B1486" t="e">
        <f>VLOOKUP(A1486,MasterTutor!A:E,4,FALSE)</f>
        <v>#N/A</v>
      </c>
      <c r="C1486" t="e">
        <f>VLOOKUP(A1486,MasterTutor!A:E,3,FALSE)</f>
        <v>#N/A</v>
      </c>
      <c r="D1486" t="e">
        <f>VLOOKUP(A1486,MasterTutor!A:E,2,FALSE)</f>
        <v>#N/A</v>
      </c>
      <c r="E1486" t="s">
        <v>373</v>
      </c>
      <c r="F1486" s="2">
        <v>0.89</v>
      </c>
      <c r="G1486" s="2">
        <v>1</v>
      </c>
      <c r="H1486" s="2">
        <v>0.99</v>
      </c>
      <c r="I1486" s="2">
        <v>0.95</v>
      </c>
      <c r="J1486" s="2">
        <v>0.73</v>
      </c>
      <c r="K1486">
        <v>1</v>
      </c>
      <c r="L1486" s="19">
        <v>0</v>
      </c>
      <c r="M1486" s="21">
        <f>L1486</f>
        <v>0</v>
      </c>
    </row>
    <row r="1487" spans="1:13" x14ac:dyDescent="0.2">
      <c r="A1487" t="s">
        <v>45</v>
      </c>
      <c r="B1487" t="str">
        <f>VLOOKUP(A1487,MasterTutor!A:E,4,FALSE)</f>
        <v>Distinguished</v>
      </c>
      <c r="C1487" t="str">
        <f>VLOOKUP(A1487,MasterTutor!A:E,3,FALSE)</f>
        <v>Adjunct</v>
      </c>
      <c r="D1487" t="str">
        <f>VLOOKUP(A1487,MasterTutor!A:E,2,FALSE)</f>
        <v>Kristin Haase-Alvey</v>
      </c>
      <c r="E1487" t="s">
        <v>373</v>
      </c>
      <c r="F1487" s="2">
        <v>0.5</v>
      </c>
      <c r="G1487" s="2">
        <v>1.1599999999999999</v>
      </c>
      <c r="H1487" s="2">
        <v>1</v>
      </c>
      <c r="I1487" s="2">
        <v>1</v>
      </c>
      <c r="J1487" s="2">
        <v>0.33</v>
      </c>
      <c r="K1487">
        <v>1</v>
      </c>
      <c r="L1487" s="19">
        <v>1</v>
      </c>
      <c r="M1487" s="21">
        <f>L1487</f>
        <v>1</v>
      </c>
    </row>
    <row r="1488" spans="1:13" x14ac:dyDescent="0.2">
      <c r="A1488" t="s">
        <v>46</v>
      </c>
      <c r="B1488" t="str">
        <f>VLOOKUP(A1488,MasterTutor!A:E,4,FALSE)</f>
        <v>Distinguished</v>
      </c>
      <c r="C1488" t="str">
        <f>VLOOKUP(A1488,MasterTutor!A:E,3,FALSE)</f>
        <v>Professional</v>
      </c>
      <c r="D1488" t="str">
        <f>VLOOKUP(A1488,MasterTutor!A:E,2,FALSE)</f>
        <v>Ian Plamondon</v>
      </c>
      <c r="E1488" t="s">
        <v>373</v>
      </c>
      <c r="F1488" s="2">
        <v>1.38</v>
      </c>
      <c r="G1488" s="2">
        <v>1.21</v>
      </c>
      <c r="H1488" s="2">
        <v>0.98</v>
      </c>
      <c r="I1488" s="2">
        <v>0.99</v>
      </c>
      <c r="J1488" s="2">
        <v>0.88</v>
      </c>
      <c r="K1488">
        <v>8</v>
      </c>
      <c r="L1488" s="19">
        <v>1</v>
      </c>
      <c r="M1488" s="21">
        <f>L1488</f>
        <v>1</v>
      </c>
    </row>
    <row r="1489" spans="1:13" x14ac:dyDescent="0.2">
      <c r="A1489" t="s">
        <v>236</v>
      </c>
      <c r="B1489" t="str">
        <f>VLOOKUP(A1489,MasterTutor!A:E,4,FALSE)</f>
        <v>Advanced</v>
      </c>
      <c r="C1489" t="str">
        <f>VLOOKUP(A1489,MasterTutor!A:E,3,FALSE)</f>
        <v xml:space="preserve">Professional </v>
      </c>
      <c r="D1489" t="str">
        <f>VLOOKUP(A1489,MasterTutor!A:E,2,FALSE)</f>
        <v>Kristin Haase-Alvey</v>
      </c>
      <c r="E1489" t="s">
        <v>373</v>
      </c>
      <c r="F1489" s="2">
        <v>0.6</v>
      </c>
      <c r="G1489" s="2">
        <v>0.88</v>
      </c>
      <c r="H1489" s="2">
        <v>1</v>
      </c>
      <c r="I1489" s="2">
        <v>0.97</v>
      </c>
      <c r="J1489" s="2">
        <v>0.84</v>
      </c>
      <c r="K1489">
        <v>4</v>
      </c>
      <c r="L1489" s="19" t="s">
        <v>330</v>
      </c>
      <c r="M1489" s="21">
        <v>0.67</v>
      </c>
    </row>
    <row r="1490" spans="1:13" x14ac:dyDescent="0.2">
      <c r="A1490" t="s">
        <v>238</v>
      </c>
      <c r="B1490" t="str">
        <f>VLOOKUP(A1490,MasterTutor!A:E,4,FALSE)</f>
        <v>Advanced</v>
      </c>
      <c r="C1490" t="str">
        <f>VLOOKUP(A1490,MasterTutor!A:E,3,FALSE)</f>
        <v>Professional</v>
      </c>
      <c r="D1490" t="str">
        <f>VLOOKUP(A1490,MasterTutor!A:E,2,FALSE)</f>
        <v>Ela Cross</v>
      </c>
      <c r="E1490" t="s">
        <v>373</v>
      </c>
      <c r="F1490" s="2">
        <v>0.78</v>
      </c>
      <c r="G1490" s="2">
        <v>1.1399999999999999</v>
      </c>
      <c r="H1490" s="2">
        <v>0.97</v>
      </c>
      <c r="I1490" s="2">
        <v>0.92</v>
      </c>
      <c r="J1490" s="2">
        <v>0.92</v>
      </c>
      <c r="K1490">
        <v>1</v>
      </c>
      <c r="L1490" s="19">
        <v>1</v>
      </c>
      <c r="M1490" s="21">
        <f>L1490</f>
        <v>1</v>
      </c>
    </row>
    <row r="1491" spans="1:13" x14ac:dyDescent="0.2">
      <c r="A1491" t="s">
        <v>48</v>
      </c>
      <c r="B1491" t="str">
        <f>VLOOKUP(A1491,MasterTutor!A:E,4,FALSE)</f>
        <v>Advanced</v>
      </c>
      <c r="C1491" t="str">
        <f>VLOOKUP(A1491,MasterTutor!A:E,3,FALSE)</f>
        <v>Professional</v>
      </c>
      <c r="D1491" t="str">
        <f>VLOOKUP(A1491,MasterTutor!A:E,2,FALSE)</f>
        <v>Annelies de Groot</v>
      </c>
      <c r="E1491" t="s">
        <v>373</v>
      </c>
      <c r="F1491" s="2">
        <v>0.83</v>
      </c>
      <c r="G1491" s="2">
        <v>1.0900000000000001</v>
      </c>
      <c r="H1491" s="2">
        <v>1</v>
      </c>
      <c r="I1491" s="2">
        <v>0.98</v>
      </c>
      <c r="J1491" s="2">
        <v>0.46</v>
      </c>
      <c r="K1491">
        <v>7</v>
      </c>
      <c r="L1491" s="19" t="s">
        <v>360</v>
      </c>
      <c r="M1491" s="21">
        <v>0.4</v>
      </c>
    </row>
    <row r="1492" spans="1:13" x14ac:dyDescent="0.2">
      <c r="A1492" t="s">
        <v>49</v>
      </c>
      <c r="B1492" t="str">
        <f>VLOOKUP(A1492,MasterTutor!A:E,4,FALSE)</f>
        <v>Advanced</v>
      </c>
      <c r="C1492" t="str">
        <f>VLOOKUP(A1492,MasterTutor!A:E,3,FALSE)</f>
        <v>Professional</v>
      </c>
      <c r="D1492" t="str">
        <f>VLOOKUP(A1492,MasterTutor!A:E,2,FALSE)</f>
        <v>Ian Plamondon</v>
      </c>
      <c r="E1492" t="s">
        <v>373</v>
      </c>
      <c r="F1492" s="2">
        <v>0.74</v>
      </c>
      <c r="G1492" s="2">
        <v>1.02</v>
      </c>
      <c r="H1492" s="2">
        <v>0.93</v>
      </c>
      <c r="I1492" s="2">
        <v>0.92</v>
      </c>
      <c r="J1492" s="2">
        <v>0.5</v>
      </c>
      <c r="K1492">
        <v>6</v>
      </c>
    </row>
    <row r="1493" spans="1:13" x14ac:dyDescent="0.2">
      <c r="A1493" t="s">
        <v>50</v>
      </c>
      <c r="B1493" t="str">
        <f>VLOOKUP(A1493,MasterTutor!A:E,4,FALSE)</f>
        <v>Premium</v>
      </c>
      <c r="C1493" t="str">
        <f>VLOOKUP(A1493,MasterTutor!A:E,3,FALSE)</f>
        <v>Adjunct</v>
      </c>
      <c r="D1493" t="str">
        <f>VLOOKUP(A1493,MasterTutor!A:E,2,FALSE)</f>
        <v>Kristin Haase-Alvey</v>
      </c>
      <c r="E1493" t="s">
        <v>373</v>
      </c>
      <c r="F1493" s="2">
        <v>0.46</v>
      </c>
      <c r="G1493" s="2">
        <v>1.17</v>
      </c>
      <c r="H1493" s="2">
        <v>1</v>
      </c>
      <c r="I1493" s="2">
        <v>1</v>
      </c>
      <c r="J1493" s="2">
        <v>0.5</v>
      </c>
      <c r="K1493" t="e">
        <v>#N/A</v>
      </c>
      <c r="L1493" s="19">
        <v>1</v>
      </c>
      <c r="M1493" s="21">
        <f>L1493</f>
        <v>1</v>
      </c>
    </row>
    <row r="1494" spans="1:13" x14ac:dyDescent="0.2">
      <c r="A1494" t="s">
        <v>51</v>
      </c>
      <c r="B1494" t="str">
        <f>VLOOKUP(A1494,MasterTutor!A:E,4,FALSE)</f>
        <v>Premium</v>
      </c>
      <c r="C1494" t="str">
        <f>VLOOKUP(A1494,MasterTutor!A:E,3,FALSE)</f>
        <v>Adjunct</v>
      </c>
      <c r="D1494" t="str">
        <f>VLOOKUP(A1494,MasterTutor!A:E,2,FALSE)</f>
        <v>Annelies de Groot</v>
      </c>
      <c r="E1494" t="s">
        <v>373</v>
      </c>
      <c r="F1494" s="2">
        <v>1.08</v>
      </c>
      <c r="G1494" s="2">
        <v>1.26</v>
      </c>
      <c r="H1494" s="2">
        <v>1</v>
      </c>
      <c r="I1494" s="2">
        <v>0.93</v>
      </c>
      <c r="J1494" s="2">
        <v>1</v>
      </c>
      <c r="K1494">
        <v>4</v>
      </c>
      <c r="L1494" s="19">
        <v>1</v>
      </c>
      <c r="M1494" s="21">
        <f>L1494</f>
        <v>1</v>
      </c>
    </row>
    <row r="1495" spans="1:13" x14ac:dyDescent="0.2">
      <c r="A1495" t="s">
        <v>52</v>
      </c>
      <c r="B1495" t="str">
        <f>VLOOKUP(A1495,MasterTutor!A:E,4,FALSE)</f>
        <v>Premium</v>
      </c>
      <c r="C1495" t="str">
        <f>VLOOKUP(A1495,MasterTutor!A:E,3,FALSE)</f>
        <v>Professional</v>
      </c>
      <c r="D1495" t="str">
        <f>VLOOKUP(A1495,MasterTutor!A:E,2,FALSE)</f>
        <v>Jessica Milner</v>
      </c>
      <c r="E1495" t="s">
        <v>373</v>
      </c>
      <c r="F1495" s="2">
        <v>1.18</v>
      </c>
      <c r="G1495" s="2">
        <v>1.24</v>
      </c>
      <c r="H1495" s="2">
        <v>0.99</v>
      </c>
      <c r="I1495" s="2">
        <v>1</v>
      </c>
      <c r="J1495" s="2">
        <v>0.57999999999999996</v>
      </c>
      <c r="K1495">
        <v>5</v>
      </c>
    </row>
    <row r="1496" spans="1:13" x14ac:dyDescent="0.2">
      <c r="A1496" t="s">
        <v>53</v>
      </c>
      <c r="B1496" t="str">
        <f>VLOOKUP(A1496,MasterTutor!A:E,4,FALSE)</f>
        <v>Advanced</v>
      </c>
      <c r="C1496" t="str">
        <f>VLOOKUP(A1496,MasterTutor!A:E,3,FALSE)</f>
        <v>Professional</v>
      </c>
      <c r="D1496" t="str">
        <f>VLOOKUP(A1496,MasterTutor!A:E,2,FALSE)</f>
        <v>Kristin Haase-Alvey</v>
      </c>
      <c r="E1496" t="s">
        <v>373</v>
      </c>
      <c r="F1496" s="2">
        <v>0.6</v>
      </c>
      <c r="G1496" s="2">
        <v>1</v>
      </c>
      <c r="H1496" s="2">
        <v>0.93</v>
      </c>
      <c r="I1496" s="2">
        <v>1</v>
      </c>
      <c r="J1496" s="2">
        <v>0.75</v>
      </c>
      <c r="K1496">
        <v>1</v>
      </c>
      <c r="L1496" s="19" t="s">
        <v>331</v>
      </c>
      <c r="M1496" s="21">
        <v>0.5</v>
      </c>
    </row>
    <row r="1497" spans="1:13" x14ac:dyDescent="0.2">
      <c r="A1497" t="s">
        <v>54</v>
      </c>
      <c r="B1497" t="str">
        <f>VLOOKUP(A1497,MasterTutor!A:E,4,FALSE)</f>
        <v>Premium</v>
      </c>
      <c r="C1497" t="str">
        <f>VLOOKUP(A1497,MasterTutor!A:E,3,FALSE)</f>
        <v>Professional</v>
      </c>
      <c r="D1497" t="str">
        <f>VLOOKUP(A1497,MasterTutor!A:E,2,FALSE)</f>
        <v>Jessica Milner</v>
      </c>
      <c r="E1497" t="s">
        <v>373</v>
      </c>
      <c r="F1497" s="2">
        <v>0.68</v>
      </c>
      <c r="G1497" s="2">
        <v>0.9</v>
      </c>
      <c r="H1497" s="2">
        <v>0.99</v>
      </c>
      <c r="I1497" s="2">
        <v>0.95</v>
      </c>
      <c r="J1497" s="2">
        <v>0.25</v>
      </c>
      <c r="K1497">
        <v>2</v>
      </c>
      <c r="L1497" s="19" t="s">
        <v>331</v>
      </c>
      <c r="M1497" s="21">
        <v>0.5</v>
      </c>
    </row>
    <row r="1498" spans="1:13" x14ac:dyDescent="0.2">
      <c r="A1498" t="s">
        <v>55</v>
      </c>
      <c r="B1498" t="str">
        <f>VLOOKUP(A1498,MasterTutor!A:E,4,FALSE)</f>
        <v>Premium</v>
      </c>
      <c r="C1498" t="str">
        <f>VLOOKUP(A1498,MasterTutor!A:E,3,FALSE)</f>
        <v>Adjunct</v>
      </c>
      <c r="D1498" t="str">
        <f>VLOOKUP(A1498,MasterTutor!A:E,2,FALSE)</f>
        <v>Ela Cross</v>
      </c>
      <c r="E1498" t="s">
        <v>373</v>
      </c>
      <c r="F1498" s="2">
        <v>0.75</v>
      </c>
      <c r="G1498" s="2">
        <v>1.3</v>
      </c>
      <c r="H1498" s="2">
        <v>0.97</v>
      </c>
      <c r="I1498" s="2">
        <v>1</v>
      </c>
      <c r="J1498" s="2">
        <v>0.67</v>
      </c>
      <c r="K1498">
        <v>5</v>
      </c>
      <c r="L1498" s="19">
        <v>0</v>
      </c>
      <c r="M1498" s="21">
        <f>L1498</f>
        <v>0</v>
      </c>
    </row>
    <row r="1499" spans="1:13" x14ac:dyDescent="0.2">
      <c r="A1499" t="s">
        <v>56</v>
      </c>
      <c r="B1499" t="str">
        <f>VLOOKUP(A1499,MasterTutor!A:E,4,FALSE)</f>
        <v>Advanced</v>
      </c>
      <c r="C1499" t="str">
        <f>VLOOKUP(A1499,MasterTutor!A:E,3,FALSE)</f>
        <v>Professional</v>
      </c>
      <c r="D1499" t="str">
        <f>VLOOKUP(A1499,MasterTutor!A:E,2,FALSE)</f>
        <v>Ela Cross</v>
      </c>
      <c r="E1499" t="s">
        <v>373</v>
      </c>
      <c r="F1499" s="2">
        <v>0.8</v>
      </c>
      <c r="G1499" s="2">
        <v>1.0900000000000001</v>
      </c>
      <c r="H1499" s="2">
        <v>0.92</v>
      </c>
      <c r="I1499" s="2">
        <v>1</v>
      </c>
      <c r="J1499" s="2">
        <v>0.84</v>
      </c>
      <c r="K1499">
        <v>2</v>
      </c>
      <c r="L1499" s="19" t="s">
        <v>344</v>
      </c>
      <c r="M1499" s="21">
        <v>0.83</v>
      </c>
    </row>
    <row r="1500" spans="1:13" x14ac:dyDescent="0.2">
      <c r="A1500" t="s">
        <v>245</v>
      </c>
      <c r="B1500" t="str">
        <f>VLOOKUP(A1500,MasterTutor!A:E,4,FALSE)</f>
        <v>Advanced</v>
      </c>
      <c r="C1500" t="str">
        <f>VLOOKUP(A1500,MasterTutor!A:E,3,FALSE)</f>
        <v>Professional</v>
      </c>
      <c r="D1500" t="str">
        <f>VLOOKUP(A1500,MasterTutor!A:E,2,FALSE)</f>
        <v>Ela Cross</v>
      </c>
      <c r="E1500" t="s">
        <v>373</v>
      </c>
      <c r="F1500" s="2">
        <v>0.79</v>
      </c>
      <c r="G1500" s="2">
        <v>1.0900000000000001</v>
      </c>
      <c r="H1500" s="2">
        <v>0.92</v>
      </c>
      <c r="I1500" s="2">
        <v>0.98</v>
      </c>
      <c r="J1500" s="2">
        <v>0.83</v>
      </c>
      <c r="K1500">
        <v>5</v>
      </c>
      <c r="L1500" s="19">
        <v>1</v>
      </c>
      <c r="M1500" s="21">
        <f>L1500</f>
        <v>1</v>
      </c>
    </row>
    <row r="1501" spans="1:13" x14ac:dyDescent="0.2">
      <c r="A1501" t="s">
        <v>248</v>
      </c>
      <c r="B1501" t="e">
        <f>VLOOKUP(A1501,MasterTutor!A:E,4,FALSE)</f>
        <v>#N/A</v>
      </c>
      <c r="C1501" t="e">
        <f>VLOOKUP(A1501,MasterTutor!A:E,3,FALSE)</f>
        <v>#N/A</v>
      </c>
      <c r="D1501" t="e">
        <f>VLOOKUP(A1501,MasterTutor!A:E,2,FALSE)</f>
        <v>#N/A</v>
      </c>
      <c r="E1501" t="s">
        <v>373</v>
      </c>
      <c r="F1501" s="2">
        <v>0.95</v>
      </c>
      <c r="G1501" s="2">
        <v>0.96</v>
      </c>
      <c r="H1501" s="2">
        <v>1</v>
      </c>
      <c r="I1501" s="2">
        <v>0.87</v>
      </c>
      <c r="J1501" s="2">
        <v>0.42</v>
      </c>
      <c r="K1501">
        <v>3</v>
      </c>
      <c r="L1501" s="19">
        <v>1</v>
      </c>
      <c r="M1501" s="21">
        <f>L1501</f>
        <v>1</v>
      </c>
    </row>
    <row r="1502" spans="1:13" x14ac:dyDescent="0.2">
      <c r="A1502" t="s">
        <v>249</v>
      </c>
      <c r="B1502" t="str">
        <f>VLOOKUP(A1502,MasterTutor!A:E,4,FALSE)</f>
        <v>Advanced</v>
      </c>
      <c r="C1502" t="str">
        <f>VLOOKUP(A1502,MasterTutor!A:E,3,FALSE)</f>
        <v>Adjunct</v>
      </c>
      <c r="D1502" t="str">
        <f>VLOOKUP(A1502,MasterTutor!A:E,2,FALSE)</f>
        <v>Annelies de Groot</v>
      </c>
      <c r="E1502" t="s">
        <v>373</v>
      </c>
      <c r="F1502" s="2">
        <v>0.66</v>
      </c>
      <c r="G1502" s="2">
        <v>1.1399999999999999</v>
      </c>
      <c r="H1502" s="2">
        <v>0.92</v>
      </c>
      <c r="I1502" s="2">
        <v>0.89</v>
      </c>
      <c r="J1502" s="2">
        <v>0.77</v>
      </c>
      <c r="K1502">
        <v>3</v>
      </c>
      <c r="L1502" s="19" t="s">
        <v>354</v>
      </c>
      <c r="M1502" s="21">
        <v>0.43</v>
      </c>
    </row>
    <row r="1503" spans="1:13" x14ac:dyDescent="0.2">
      <c r="A1503" t="s">
        <v>58</v>
      </c>
      <c r="B1503" t="str">
        <f>VLOOKUP(A1503,MasterTutor!A:E,4,FALSE)</f>
        <v>Premium</v>
      </c>
      <c r="C1503" t="str">
        <f>VLOOKUP(A1503,MasterTutor!A:E,3,FALSE)</f>
        <v>Professional</v>
      </c>
      <c r="D1503" t="str">
        <f>VLOOKUP(A1503,MasterTutor!A:E,2,FALSE)</f>
        <v>Jessica Milner</v>
      </c>
      <c r="E1503" t="s">
        <v>373</v>
      </c>
      <c r="F1503" s="2">
        <v>0.93</v>
      </c>
      <c r="G1503" s="2">
        <v>0.96</v>
      </c>
      <c r="H1503" s="2">
        <v>0.99</v>
      </c>
      <c r="I1503" s="2">
        <v>0.98</v>
      </c>
      <c r="J1503" s="2">
        <v>0.47</v>
      </c>
      <c r="K1503">
        <v>1</v>
      </c>
      <c r="L1503" s="19" t="s">
        <v>330</v>
      </c>
      <c r="M1503" s="21">
        <v>0.67</v>
      </c>
    </row>
    <row r="1504" spans="1:13" x14ac:dyDescent="0.2">
      <c r="A1504" t="s">
        <v>59</v>
      </c>
      <c r="B1504" t="str">
        <f>VLOOKUP(A1504,MasterTutor!A:E,4,FALSE)</f>
        <v>Distinguished</v>
      </c>
      <c r="C1504" t="str">
        <f>VLOOKUP(A1504,MasterTutor!A:E,3,FALSE)</f>
        <v>Professional</v>
      </c>
      <c r="D1504" t="str">
        <f>VLOOKUP(A1504,MasterTutor!A:E,2,FALSE)</f>
        <v>Ela Cross</v>
      </c>
      <c r="E1504" t="s">
        <v>373</v>
      </c>
      <c r="F1504" s="2">
        <v>0.57999999999999996</v>
      </c>
      <c r="G1504" s="2">
        <v>1.02</v>
      </c>
      <c r="H1504" s="2">
        <v>1</v>
      </c>
      <c r="I1504" s="2">
        <v>0.74</v>
      </c>
      <c r="J1504" s="2">
        <v>0.46</v>
      </c>
      <c r="K1504" t="e">
        <v>#N/A</v>
      </c>
      <c r="L1504" s="19">
        <v>1</v>
      </c>
      <c r="M1504" s="21">
        <f t="shared" ref="M1504:M1509" si="12">L1504</f>
        <v>1</v>
      </c>
    </row>
    <row r="1505" spans="1:13" x14ac:dyDescent="0.2">
      <c r="A1505" t="s">
        <v>60</v>
      </c>
      <c r="B1505" t="str">
        <f>VLOOKUP(A1505,MasterTutor!A:E,4,FALSE)</f>
        <v>Advanced</v>
      </c>
      <c r="C1505" t="str">
        <f>VLOOKUP(A1505,MasterTutor!A:E,3,FALSE)</f>
        <v>Adjunct</v>
      </c>
      <c r="D1505" t="str">
        <f>VLOOKUP(A1505,MasterTutor!A:E,2,FALSE)</f>
        <v>Kristin Haase-Alvey</v>
      </c>
      <c r="E1505" t="s">
        <v>373</v>
      </c>
      <c r="F1505" s="2">
        <v>1</v>
      </c>
      <c r="G1505" s="2">
        <v>1.1599999999999999</v>
      </c>
      <c r="H1505" s="2">
        <v>0.97</v>
      </c>
      <c r="I1505" s="2">
        <v>0.96</v>
      </c>
      <c r="J1505" s="2">
        <v>0.1</v>
      </c>
      <c r="K1505">
        <v>1</v>
      </c>
      <c r="L1505" s="19">
        <v>1</v>
      </c>
      <c r="M1505" s="21">
        <f t="shared" si="12"/>
        <v>1</v>
      </c>
    </row>
    <row r="1506" spans="1:13" x14ac:dyDescent="0.2">
      <c r="A1506" t="s">
        <v>61</v>
      </c>
      <c r="B1506" t="str">
        <f>VLOOKUP(A1506,MasterTutor!A:E,4,FALSE)</f>
        <v>Advanced</v>
      </c>
      <c r="C1506" t="str">
        <f>VLOOKUP(A1506,MasterTutor!A:E,3,FALSE)</f>
        <v>Adjunct</v>
      </c>
      <c r="D1506" t="str">
        <f>VLOOKUP(A1506,MasterTutor!A:E,2,FALSE)</f>
        <v>Ela Cross</v>
      </c>
      <c r="E1506" t="s">
        <v>373</v>
      </c>
      <c r="F1506" s="2">
        <v>0.39</v>
      </c>
      <c r="G1506" s="2">
        <v>1.43</v>
      </c>
      <c r="H1506" s="2">
        <v>1</v>
      </c>
      <c r="I1506" s="2">
        <v>1</v>
      </c>
      <c r="J1506" s="2">
        <v>0.78</v>
      </c>
      <c r="K1506">
        <v>1</v>
      </c>
      <c r="L1506" s="19">
        <v>1</v>
      </c>
      <c r="M1506" s="21">
        <f t="shared" si="12"/>
        <v>1</v>
      </c>
    </row>
    <row r="1507" spans="1:13" x14ac:dyDescent="0.2">
      <c r="A1507" t="s">
        <v>62</v>
      </c>
      <c r="B1507" t="e">
        <f>VLOOKUP(A1507,MasterTutor!A:E,4,FALSE)</f>
        <v>#N/A</v>
      </c>
      <c r="C1507" t="e">
        <f>VLOOKUP(A1507,MasterTutor!A:E,3,FALSE)</f>
        <v>#N/A</v>
      </c>
      <c r="D1507" t="e">
        <f>VLOOKUP(A1507,MasterTutor!A:E,2,FALSE)</f>
        <v>#N/A</v>
      </c>
      <c r="E1507" t="s">
        <v>373</v>
      </c>
      <c r="F1507" s="2">
        <v>0.77</v>
      </c>
      <c r="G1507" s="2">
        <v>1.05</v>
      </c>
      <c r="H1507" s="2">
        <v>1</v>
      </c>
      <c r="I1507" s="2">
        <v>0.85</v>
      </c>
      <c r="J1507" s="2">
        <v>0.87</v>
      </c>
      <c r="K1507">
        <v>3</v>
      </c>
      <c r="L1507" s="19">
        <v>0</v>
      </c>
      <c r="M1507" s="21">
        <f t="shared" si="12"/>
        <v>0</v>
      </c>
    </row>
    <row r="1508" spans="1:13" x14ac:dyDescent="0.2">
      <c r="A1508" t="s">
        <v>63</v>
      </c>
      <c r="B1508" t="str">
        <f>VLOOKUP(A1508,MasterTutor!A:E,4,FALSE)</f>
        <v>Advanced</v>
      </c>
      <c r="C1508" t="str">
        <f>VLOOKUP(A1508,MasterTutor!A:E,3,FALSE)</f>
        <v>Adjunct</v>
      </c>
      <c r="D1508" t="str">
        <f>VLOOKUP(A1508,MasterTutor!A:E,2,FALSE)</f>
        <v>Kristin Haase-Alvey</v>
      </c>
      <c r="E1508" t="s">
        <v>373</v>
      </c>
      <c r="F1508" s="2">
        <v>0.57999999999999996</v>
      </c>
      <c r="G1508" s="2">
        <v>1.28</v>
      </c>
      <c r="H1508" s="2">
        <v>0.98</v>
      </c>
      <c r="I1508" s="2">
        <v>0.96</v>
      </c>
      <c r="J1508" s="2">
        <v>0.55000000000000004</v>
      </c>
      <c r="K1508">
        <v>6</v>
      </c>
      <c r="L1508" s="19">
        <v>1</v>
      </c>
      <c r="M1508" s="21">
        <f t="shared" si="12"/>
        <v>1</v>
      </c>
    </row>
    <row r="1509" spans="1:13" x14ac:dyDescent="0.2">
      <c r="A1509" t="s">
        <v>64</v>
      </c>
      <c r="B1509" t="str">
        <f>VLOOKUP(A1509,MasterTutor!A:E,4,FALSE)</f>
        <v>Distinguished</v>
      </c>
      <c r="C1509" t="str">
        <f>VLOOKUP(A1509,MasterTutor!A:E,3,FALSE)</f>
        <v>Professional</v>
      </c>
      <c r="D1509" t="str">
        <f>VLOOKUP(A1509,MasterTutor!A:E,2,FALSE)</f>
        <v>Ian Plamondon</v>
      </c>
      <c r="E1509" t="s">
        <v>373</v>
      </c>
      <c r="F1509" s="2">
        <v>0.85</v>
      </c>
      <c r="G1509" s="2">
        <v>1.23</v>
      </c>
      <c r="H1509" s="2">
        <v>0.93</v>
      </c>
      <c r="I1509" s="2">
        <v>1</v>
      </c>
      <c r="J1509" s="2">
        <v>0.85</v>
      </c>
      <c r="K1509">
        <v>2</v>
      </c>
      <c r="L1509" s="19">
        <v>1</v>
      </c>
      <c r="M1509" s="21">
        <f t="shared" si="12"/>
        <v>1</v>
      </c>
    </row>
    <row r="1510" spans="1:13" x14ac:dyDescent="0.2">
      <c r="A1510" t="s">
        <v>65</v>
      </c>
      <c r="B1510" t="str">
        <f>VLOOKUP(A1510,MasterTutor!A:E,4,FALSE)</f>
        <v>Premium</v>
      </c>
      <c r="C1510" t="str">
        <f>VLOOKUP(A1510,MasterTutor!A:E,3,FALSE)</f>
        <v>Professional</v>
      </c>
      <c r="D1510" t="str">
        <f>VLOOKUP(A1510,MasterTutor!A:E,2,FALSE)</f>
        <v>Ian Plamondon</v>
      </c>
      <c r="E1510" t="s">
        <v>373</v>
      </c>
      <c r="F1510" s="2">
        <v>0.53</v>
      </c>
      <c r="G1510" s="2">
        <v>1.06</v>
      </c>
      <c r="H1510" s="2">
        <v>1</v>
      </c>
      <c r="I1510" s="2">
        <v>0.95</v>
      </c>
      <c r="J1510" s="2">
        <v>0.09</v>
      </c>
      <c r="K1510">
        <v>1</v>
      </c>
    </row>
    <row r="1511" spans="1:13" x14ac:dyDescent="0.2">
      <c r="A1511" t="s">
        <v>254</v>
      </c>
      <c r="B1511" t="str">
        <f>VLOOKUP(A1511,MasterTutor!A:E,4,FALSE)</f>
        <v>Advanced</v>
      </c>
      <c r="C1511" t="str">
        <f>VLOOKUP(A1511,MasterTutor!A:E,3,FALSE)</f>
        <v>Professional</v>
      </c>
      <c r="D1511" t="str">
        <f>VLOOKUP(A1511,MasterTutor!A:E,2,FALSE)</f>
        <v>Annelies de Groot</v>
      </c>
      <c r="E1511" t="s">
        <v>373</v>
      </c>
      <c r="F1511" s="2">
        <v>0.7</v>
      </c>
      <c r="G1511" s="2">
        <v>1.1100000000000001</v>
      </c>
      <c r="H1511" s="2">
        <v>0.88</v>
      </c>
      <c r="I1511" s="2">
        <v>0.89</v>
      </c>
      <c r="J1511" s="2">
        <v>0.7</v>
      </c>
      <c r="K1511">
        <v>4</v>
      </c>
      <c r="L1511" s="19" t="s">
        <v>337</v>
      </c>
      <c r="M1511" s="21">
        <f>1/3</f>
        <v>0.33333333333333331</v>
      </c>
    </row>
    <row r="1512" spans="1:13" x14ac:dyDescent="0.2">
      <c r="A1512" t="s">
        <v>67</v>
      </c>
      <c r="B1512" t="str">
        <f>VLOOKUP(A1512,MasterTutor!A:E,4,FALSE)</f>
        <v>Distinguished</v>
      </c>
      <c r="C1512" t="str">
        <f>VLOOKUP(A1512,MasterTutor!A:E,3,FALSE)</f>
        <v>Professional</v>
      </c>
      <c r="D1512" t="str">
        <f>VLOOKUP(A1512,MasterTutor!A:E,2,FALSE)</f>
        <v>Ian Plamondon</v>
      </c>
      <c r="E1512" t="s">
        <v>373</v>
      </c>
      <c r="F1512" s="2">
        <v>0.83</v>
      </c>
      <c r="G1512" s="2">
        <v>1.23</v>
      </c>
      <c r="H1512" s="2">
        <v>1</v>
      </c>
      <c r="I1512" s="2">
        <v>1</v>
      </c>
      <c r="J1512" s="2">
        <v>0.94</v>
      </c>
      <c r="K1512">
        <v>1</v>
      </c>
      <c r="L1512" s="19" t="s">
        <v>360</v>
      </c>
      <c r="M1512" s="21">
        <v>0.4</v>
      </c>
    </row>
    <row r="1513" spans="1:13" x14ac:dyDescent="0.2">
      <c r="A1513" t="s">
        <v>68</v>
      </c>
      <c r="B1513" t="str">
        <f>VLOOKUP(A1513,MasterTutor!A:E,4,FALSE)</f>
        <v>Advanced</v>
      </c>
      <c r="C1513" t="str">
        <f>VLOOKUP(A1513,MasterTutor!A:E,3,FALSE)</f>
        <v>Professional</v>
      </c>
      <c r="D1513" t="str">
        <f>VLOOKUP(A1513,MasterTutor!A:E,2,FALSE)</f>
        <v>Ian Plamondon</v>
      </c>
      <c r="E1513" t="s">
        <v>373</v>
      </c>
      <c r="F1513" s="2">
        <v>0.93</v>
      </c>
      <c r="G1513" s="2">
        <v>1.01</v>
      </c>
      <c r="H1513" s="2">
        <v>0.89</v>
      </c>
      <c r="I1513" s="2">
        <v>0.88</v>
      </c>
      <c r="J1513" s="2">
        <v>0.53</v>
      </c>
      <c r="K1513">
        <v>9</v>
      </c>
      <c r="L1513" s="19" t="s">
        <v>345</v>
      </c>
      <c r="M1513" s="21">
        <v>0.2</v>
      </c>
    </row>
    <row r="1514" spans="1:13" x14ac:dyDescent="0.2">
      <c r="A1514" t="s">
        <v>69</v>
      </c>
      <c r="B1514" t="str">
        <f>VLOOKUP(A1514,MasterTutor!A:E,4,FALSE)</f>
        <v>Advanced</v>
      </c>
      <c r="C1514" t="str">
        <f>VLOOKUP(A1514,MasterTutor!A:E,3,FALSE)</f>
        <v>Adjunct</v>
      </c>
      <c r="D1514" t="str">
        <f>VLOOKUP(A1514,MasterTutor!A:E,2,FALSE)</f>
        <v>Ela Cross</v>
      </c>
      <c r="E1514" t="s">
        <v>373</v>
      </c>
      <c r="F1514" s="2">
        <v>0.85</v>
      </c>
      <c r="G1514" s="2">
        <v>1.04</v>
      </c>
      <c r="H1514" s="2">
        <v>1</v>
      </c>
      <c r="I1514" s="2">
        <v>1</v>
      </c>
      <c r="J1514" s="2">
        <v>0.86</v>
      </c>
      <c r="K1514">
        <v>3</v>
      </c>
      <c r="L1514" s="19">
        <v>1</v>
      </c>
      <c r="M1514" s="21">
        <f>L1514</f>
        <v>1</v>
      </c>
    </row>
    <row r="1515" spans="1:13" x14ac:dyDescent="0.2">
      <c r="A1515" t="s">
        <v>70</v>
      </c>
      <c r="B1515" t="str">
        <f>VLOOKUP(A1515,MasterTutor!A:E,4,FALSE)</f>
        <v>Distinguished</v>
      </c>
      <c r="C1515" t="str">
        <f>VLOOKUP(A1515,MasterTutor!A:E,3,FALSE)</f>
        <v>Professional</v>
      </c>
      <c r="D1515" t="str">
        <f>VLOOKUP(A1515,MasterTutor!A:E,2,FALSE)</f>
        <v>Ela Cross</v>
      </c>
      <c r="E1515" t="s">
        <v>373</v>
      </c>
      <c r="F1515" s="2">
        <v>0.61</v>
      </c>
      <c r="G1515" s="2">
        <v>1.1499999999999999</v>
      </c>
      <c r="H1515" s="2">
        <v>0.99</v>
      </c>
      <c r="I1515" s="2">
        <v>1</v>
      </c>
      <c r="J1515" s="2">
        <v>0.28000000000000003</v>
      </c>
      <c r="K1515">
        <v>6</v>
      </c>
      <c r="L1515" s="19">
        <v>1</v>
      </c>
      <c r="M1515" s="21">
        <f>L1515</f>
        <v>1</v>
      </c>
    </row>
    <row r="1516" spans="1:13" x14ac:dyDescent="0.2">
      <c r="A1516" t="s">
        <v>71</v>
      </c>
      <c r="B1516" t="str">
        <f>VLOOKUP(A1516,MasterTutor!A:E,4,FALSE)</f>
        <v>Premium</v>
      </c>
      <c r="C1516" t="str">
        <f>VLOOKUP(A1516,MasterTutor!A:E,3,FALSE)</f>
        <v>Professional</v>
      </c>
      <c r="D1516" t="str">
        <f>VLOOKUP(A1516,MasterTutor!A:E,2,FALSE)</f>
        <v>Ian Plamondon</v>
      </c>
      <c r="E1516" t="s">
        <v>373</v>
      </c>
      <c r="F1516" s="2">
        <v>0.84</v>
      </c>
      <c r="G1516" s="2">
        <v>1.1100000000000001</v>
      </c>
      <c r="H1516" s="2">
        <v>0.98</v>
      </c>
      <c r="I1516" s="2">
        <v>0.95</v>
      </c>
      <c r="J1516" s="2">
        <v>0.77</v>
      </c>
      <c r="K1516">
        <v>1</v>
      </c>
      <c r="L1516" s="19">
        <v>0</v>
      </c>
      <c r="M1516" s="21">
        <f>L1516</f>
        <v>0</v>
      </c>
    </row>
    <row r="1517" spans="1:13" x14ac:dyDescent="0.2">
      <c r="A1517" t="s">
        <v>258</v>
      </c>
      <c r="B1517" t="str">
        <f>VLOOKUP(A1517,MasterTutor!A:E,4,FALSE)</f>
        <v>Advanced</v>
      </c>
      <c r="C1517" t="str">
        <f>VLOOKUP(A1517,MasterTutor!A:E,3,FALSE)</f>
        <v>Adjunct</v>
      </c>
      <c r="D1517" t="str">
        <f>VLOOKUP(A1517,MasterTutor!A:E,2,FALSE)</f>
        <v>Kristin Haase-Alvey</v>
      </c>
      <c r="E1517" t="s">
        <v>373</v>
      </c>
      <c r="F1517" s="2">
        <v>1.1000000000000001</v>
      </c>
      <c r="G1517" s="2">
        <v>1.52</v>
      </c>
      <c r="H1517" s="2">
        <v>1</v>
      </c>
      <c r="I1517" s="2">
        <v>1</v>
      </c>
      <c r="J1517" s="2">
        <v>0.71</v>
      </c>
      <c r="K1517">
        <v>1</v>
      </c>
    </row>
    <row r="1518" spans="1:13" x14ac:dyDescent="0.2">
      <c r="A1518" t="s">
        <v>72</v>
      </c>
      <c r="B1518" t="str">
        <f>VLOOKUP(A1518,MasterTutor!A:E,4,FALSE)</f>
        <v>Premium</v>
      </c>
      <c r="C1518" t="str">
        <f>VLOOKUP(A1518,MasterTutor!A:E,3,FALSE)</f>
        <v>Adjunct</v>
      </c>
      <c r="D1518" t="str">
        <f>VLOOKUP(A1518,MasterTutor!A:E,2,FALSE)</f>
        <v>Annelies de Groot</v>
      </c>
      <c r="E1518" t="s">
        <v>373</v>
      </c>
      <c r="F1518" s="2">
        <v>1.51</v>
      </c>
      <c r="G1518" s="2">
        <v>1.23</v>
      </c>
      <c r="H1518" s="2">
        <v>1</v>
      </c>
      <c r="I1518" s="2">
        <v>1</v>
      </c>
      <c r="J1518" s="2">
        <v>0.82</v>
      </c>
      <c r="K1518">
        <v>3</v>
      </c>
      <c r="L1518" s="19">
        <v>1</v>
      </c>
      <c r="M1518" s="21">
        <f>L1518</f>
        <v>1</v>
      </c>
    </row>
    <row r="1519" spans="1:13" x14ac:dyDescent="0.2">
      <c r="A1519" t="s">
        <v>261</v>
      </c>
      <c r="B1519" t="str">
        <f>VLOOKUP(A1519,MasterTutor!A:E,4,FALSE)</f>
        <v>Advanced</v>
      </c>
      <c r="C1519" t="str">
        <f>VLOOKUP(A1519,MasterTutor!A:E,3,FALSE)</f>
        <v xml:space="preserve">Professional </v>
      </c>
      <c r="D1519" t="str">
        <f>VLOOKUP(A1519,MasterTutor!A:E,2,FALSE)</f>
        <v>Kristin Haase-Alvey</v>
      </c>
      <c r="E1519" t="s">
        <v>373</v>
      </c>
      <c r="F1519" s="2">
        <v>0.91</v>
      </c>
      <c r="G1519" s="2">
        <v>1.02</v>
      </c>
      <c r="H1519" s="2">
        <v>0.99</v>
      </c>
      <c r="I1519" s="2">
        <v>1</v>
      </c>
      <c r="J1519" s="2">
        <v>0.69</v>
      </c>
      <c r="K1519">
        <v>7</v>
      </c>
      <c r="L1519" s="19" t="s">
        <v>331</v>
      </c>
      <c r="M1519" s="21">
        <v>0.5</v>
      </c>
    </row>
    <row r="1520" spans="1:13" x14ac:dyDescent="0.2">
      <c r="A1520" t="s">
        <v>73</v>
      </c>
      <c r="B1520" t="str">
        <f>VLOOKUP(A1520,MasterTutor!A:E,4,FALSE)</f>
        <v>Advanced</v>
      </c>
      <c r="C1520" t="str">
        <f>VLOOKUP(A1520,MasterTutor!A:E,3,FALSE)</f>
        <v>Adjunct</v>
      </c>
      <c r="D1520" t="str">
        <f>VLOOKUP(A1520,MasterTutor!A:E,2,FALSE)</f>
        <v>Geoff St. Marie</v>
      </c>
      <c r="E1520" t="s">
        <v>373</v>
      </c>
      <c r="F1520" s="2">
        <v>0.99</v>
      </c>
      <c r="G1520" s="2">
        <v>1.08</v>
      </c>
      <c r="H1520" s="2">
        <v>1</v>
      </c>
      <c r="I1520" s="2">
        <v>0.9</v>
      </c>
      <c r="J1520" s="2">
        <v>0.78</v>
      </c>
      <c r="K1520">
        <v>2</v>
      </c>
    </row>
    <row r="1521" spans="1:13" x14ac:dyDescent="0.2">
      <c r="A1521" t="s">
        <v>263</v>
      </c>
      <c r="B1521" t="str">
        <f>VLOOKUP(A1521,MasterTutor!A:E,4,FALSE)</f>
        <v>Advanced</v>
      </c>
      <c r="C1521" t="str">
        <f>VLOOKUP(A1521,MasterTutor!A:E,3,FALSE)</f>
        <v>Professional</v>
      </c>
      <c r="D1521" t="str">
        <f>VLOOKUP(A1521,MasterTutor!A:E,2,FALSE)</f>
        <v>Annelies de Groot</v>
      </c>
      <c r="E1521" t="s">
        <v>373</v>
      </c>
      <c r="F1521" s="2">
        <v>1.18</v>
      </c>
      <c r="G1521" s="2">
        <v>1.21</v>
      </c>
      <c r="H1521" s="2">
        <v>0.97</v>
      </c>
      <c r="I1521" s="2">
        <v>0.97</v>
      </c>
      <c r="J1521" s="2">
        <v>0.64</v>
      </c>
      <c r="K1521">
        <v>10</v>
      </c>
      <c r="L1521" s="19" t="s">
        <v>331</v>
      </c>
      <c r="M1521" s="21">
        <v>0.5</v>
      </c>
    </row>
    <row r="1522" spans="1:13" x14ac:dyDescent="0.2">
      <c r="A1522" t="s">
        <v>74</v>
      </c>
      <c r="B1522" t="str">
        <f>VLOOKUP(A1522,MasterTutor!A:E,4,FALSE)</f>
        <v>Distinguished</v>
      </c>
      <c r="C1522" t="str">
        <f>VLOOKUP(A1522,MasterTutor!A:E,3,FALSE)</f>
        <v>Adjunct</v>
      </c>
      <c r="D1522" t="str">
        <f>VLOOKUP(A1522,MasterTutor!A:E,2,FALSE)</f>
        <v>Ela Cross</v>
      </c>
      <c r="E1522" t="s">
        <v>373</v>
      </c>
      <c r="F1522" s="2">
        <v>0.5</v>
      </c>
      <c r="G1522" s="2">
        <v>1.03</v>
      </c>
      <c r="H1522" s="2">
        <v>1</v>
      </c>
      <c r="I1522" s="2">
        <v>1</v>
      </c>
      <c r="J1522" s="2">
        <v>0.5</v>
      </c>
      <c r="K1522">
        <v>3</v>
      </c>
      <c r="L1522" s="19">
        <v>1</v>
      </c>
      <c r="M1522" s="21">
        <f>L1522</f>
        <v>1</v>
      </c>
    </row>
    <row r="1523" spans="1:13" x14ac:dyDescent="0.2">
      <c r="A1523" t="s">
        <v>365</v>
      </c>
      <c r="B1523" t="e">
        <f>VLOOKUP(A1523,MasterTutor!A:E,4,FALSE)</f>
        <v>#N/A</v>
      </c>
      <c r="C1523" t="e">
        <f>VLOOKUP(A1523,MasterTutor!A:E,3,FALSE)</f>
        <v>#N/A</v>
      </c>
      <c r="D1523" t="e">
        <f>VLOOKUP(A1523,MasterTutor!A:E,2,FALSE)</f>
        <v>#N/A</v>
      </c>
      <c r="E1523" t="s">
        <v>373</v>
      </c>
      <c r="F1523" s="2">
        <v>0.28999999999999998</v>
      </c>
      <c r="G1523" s="2">
        <v>0.92</v>
      </c>
      <c r="H1523" s="2">
        <v>1</v>
      </c>
      <c r="I1523" s="2">
        <v>0.82</v>
      </c>
      <c r="J1523" s="2">
        <v>0.86</v>
      </c>
      <c r="K1523">
        <v>2</v>
      </c>
      <c r="L1523" s="19">
        <v>1</v>
      </c>
      <c r="M1523" s="21">
        <f>L1523</f>
        <v>1</v>
      </c>
    </row>
    <row r="1524" spans="1:13" x14ac:dyDescent="0.2">
      <c r="A1524" t="s">
        <v>75</v>
      </c>
      <c r="B1524" t="str">
        <f>VLOOKUP(A1524,MasterTutor!A:E,4,FALSE)</f>
        <v>Advanced</v>
      </c>
      <c r="C1524" t="str">
        <f>VLOOKUP(A1524,MasterTutor!A:E,3,FALSE)</f>
        <v>Professional</v>
      </c>
      <c r="D1524" t="str">
        <f>VLOOKUP(A1524,MasterTutor!A:E,2,FALSE)</f>
        <v>Geoff St. Marie</v>
      </c>
      <c r="E1524" t="s">
        <v>373</v>
      </c>
      <c r="F1524" s="2">
        <v>0.37</v>
      </c>
      <c r="G1524" s="2">
        <v>1.07</v>
      </c>
      <c r="H1524" s="2">
        <v>1</v>
      </c>
      <c r="I1524" s="2">
        <v>1</v>
      </c>
      <c r="J1524" s="2">
        <v>0.52</v>
      </c>
      <c r="K1524">
        <v>2</v>
      </c>
      <c r="L1524" s="19" t="s">
        <v>335</v>
      </c>
      <c r="M1524" s="21">
        <v>0.25</v>
      </c>
    </row>
    <row r="1525" spans="1:13" x14ac:dyDescent="0.2">
      <c r="A1525" t="s">
        <v>265</v>
      </c>
      <c r="B1525" t="str">
        <f>VLOOKUP(A1525,MasterTutor!A:E,4,FALSE)</f>
        <v>Advanced</v>
      </c>
      <c r="C1525" t="str">
        <f>VLOOKUP(A1525,MasterTutor!A:E,3,FALSE)</f>
        <v>Adjunct</v>
      </c>
      <c r="D1525" t="str">
        <f>VLOOKUP(A1525,MasterTutor!A:E,2,FALSE)</f>
        <v>Kristin Haase-Alvey</v>
      </c>
      <c r="E1525" t="s">
        <v>373</v>
      </c>
      <c r="F1525" s="2">
        <v>0.39</v>
      </c>
      <c r="G1525" s="2">
        <v>1.1100000000000001</v>
      </c>
      <c r="H1525" s="2">
        <v>1</v>
      </c>
      <c r="I1525" s="2">
        <v>1</v>
      </c>
      <c r="J1525" s="2">
        <v>1</v>
      </c>
      <c r="K1525" t="e">
        <v>#N/A</v>
      </c>
    </row>
    <row r="1526" spans="1:13" x14ac:dyDescent="0.2">
      <c r="A1526" t="s">
        <v>76</v>
      </c>
      <c r="B1526" t="e">
        <f>VLOOKUP(A1526,MasterTutor!A:E,4,FALSE)</f>
        <v>#N/A</v>
      </c>
      <c r="C1526" t="e">
        <f>VLOOKUP(A1526,MasterTutor!A:E,3,FALSE)</f>
        <v>#N/A</v>
      </c>
      <c r="D1526" t="e">
        <f>VLOOKUP(A1526,MasterTutor!A:E,2,FALSE)</f>
        <v>#N/A</v>
      </c>
      <c r="E1526" t="s">
        <v>373</v>
      </c>
      <c r="F1526" s="2">
        <v>0.21</v>
      </c>
      <c r="G1526" s="2">
        <v>0.77</v>
      </c>
      <c r="H1526" s="2">
        <v>1</v>
      </c>
      <c r="I1526" s="2">
        <v>1</v>
      </c>
      <c r="J1526" s="2">
        <v>0.5</v>
      </c>
      <c r="K1526" t="e">
        <v>#N/A</v>
      </c>
    </row>
    <row r="1527" spans="1:13" x14ac:dyDescent="0.2">
      <c r="A1527" t="s">
        <v>77</v>
      </c>
      <c r="B1527" t="str">
        <f>VLOOKUP(A1527,MasterTutor!A:E,4,FALSE)</f>
        <v>Distinguished</v>
      </c>
      <c r="C1527" t="str">
        <f>VLOOKUP(A1527,MasterTutor!A:E,3,FALSE)</f>
        <v>Professional</v>
      </c>
      <c r="D1527" t="str">
        <f>VLOOKUP(A1527,MasterTutor!A:E,2,FALSE)</f>
        <v>Ian Plamondon</v>
      </c>
      <c r="E1527" t="s">
        <v>373</v>
      </c>
      <c r="F1527" s="2">
        <v>0.55000000000000004</v>
      </c>
      <c r="G1527" s="2">
        <v>1.01</v>
      </c>
      <c r="H1527" s="2">
        <v>0.94</v>
      </c>
      <c r="I1527" s="2">
        <v>1</v>
      </c>
      <c r="J1527" s="2">
        <v>0.73</v>
      </c>
      <c r="K1527">
        <v>2</v>
      </c>
      <c r="L1527" s="19" t="s">
        <v>330</v>
      </c>
      <c r="M1527" s="21">
        <v>0.67</v>
      </c>
    </row>
    <row r="1528" spans="1:13" x14ac:dyDescent="0.2">
      <c r="A1528" t="s">
        <v>78</v>
      </c>
      <c r="B1528" t="str">
        <f>VLOOKUP(A1528,MasterTutor!A:E,4,FALSE)</f>
        <v>Distinguished</v>
      </c>
      <c r="C1528" t="str">
        <f>VLOOKUP(A1528,MasterTutor!A:E,3,FALSE)</f>
        <v>Adjunct</v>
      </c>
      <c r="D1528" t="str">
        <f>VLOOKUP(A1528,MasterTutor!A:E,2,FALSE)</f>
        <v>Geoff St. Marie</v>
      </c>
      <c r="E1528" t="s">
        <v>373</v>
      </c>
      <c r="F1528" s="2">
        <v>0.4</v>
      </c>
      <c r="G1528" s="2">
        <v>1.08</v>
      </c>
      <c r="H1528" s="2">
        <v>1</v>
      </c>
      <c r="I1528" s="2">
        <v>1</v>
      </c>
      <c r="J1528" s="2">
        <v>0.56999999999999995</v>
      </c>
      <c r="K1528" t="e">
        <v>#N/A</v>
      </c>
      <c r="L1528" s="19">
        <v>0</v>
      </c>
      <c r="M1528" s="21">
        <f>L1528</f>
        <v>0</v>
      </c>
    </row>
    <row r="1529" spans="1:13" x14ac:dyDescent="0.2">
      <c r="A1529" t="s">
        <v>79</v>
      </c>
      <c r="B1529" t="str">
        <f>VLOOKUP(A1529,MasterTutor!A:E,4,FALSE)</f>
        <v>Premium</v>
      </c>
      <c r="C1529" t="str">
        <f>VLOOKUP(A1529,MasterTutor!A:E,3,FALSE)</f>
        <v>Professional</v>
      </c>
      <c r="D1529" t="str">
        <f>VLOOKUP(A1529,MasterTutor!A:E,2,FALSE)</f>
        <v>Ian Plamondon</v>
      </c>
      <c r="E1529" t="s">
        <v>373</v>
      </c>
      <c r="F1529" s="2">
        <v>0.23</v>
      </c>
      <c r="G1529" s="2">
        <v>1.1200000000000001</v>
      </c>
      <c r="H1529" s="2">
        <v>1</v>
      </c>
      <c r="I1529" s="2">
        <v>1</v>
      </c>
      <c r="J1529" s="2">
        <v>0.72</v>
      </c>
      <c r="K1529">
        <v>1</v>
      </c>
    </row>
    <row r="1530" spans="1:13" x14ac:dyDescent="0.2">
      <c r="A1530" t="s">
        <v>81</v>
      </c>
      <c r="B1530" t="str">
        <f>VLOOKUP(A1530,MasterTutor!A:E,4,FALSE)</f>
        <v>Distinguished</v>
      </c>
      <c r="C1530" t="str">
        <f>VLOOKUP(A1530,MasterTutor!A:E,3,FALSE)</f>
        <v>Professional</v>
      </c>
      <c r="D1530" t="str">
        <f>VLOOKUP(A1530,MasterTutor!A:E,2,FALSE)</f>
        <v>Ian Plamondon</v>
      </c>
      <c r="E1530" t="s">
        <v>373</v>
      </c>
      <c r="F1530" s="2">
        <v>0.65</v>
      </c>
      <c r="G1530" s="2">
        <v>1.28</v>
      </c>
      <c r="H1530" s="2">
        <v>0.96</v>
      </c>
      <c r="I1530" s="2">
        <v>1</v>
      </c>
      <c r="J1530" s="2">
        <v>0.73</v>
      </c>
      <c r="K1530">
        <v>3</v>
      </c>
      <c r="L1530" s="19">
        <v>1</v>
      </c>
      <c r="M1530" s="21">
        <f>L1530</f>
        <v>1</v>
      </c>
    </row>
    <row r="1531" spans="1:13" x14ac:dyDescent="0.2">
      <c r="A1531" t="s">
        <v>268</v>
      </c>
      <c r="B1531" t="str">
        <f>VLOOKUP(A1531,MasterTutor!A:E,4,FALSE)</f>
        <v>Advanced</v>
      </c>
      <c r="C1531" t="str">
        <f>VLOOKUP(A1531,MasterTutor!A:E,3,FALSE)</f>
        <v xml:space="preserve">Adjunct </v>
      </c>
      <c r="D1531" t="str">
        <f>VLOOKUP(A1531,MasterTutor!A:E,2,FALSE)</f>
        <v>Kristin Haase-Alvey</v>
      </c>
      <c r="E1531" t="s">
        <v>373</v>
      </c>
      <c r="F1531" s="2">
        <v>0.88</v>
      </c>
      <c r="G1531" s="2">
        <v>1.05</v>
      </c>
      <c r="H1531" s="2">
        <v>1</v>
      </c>
      <c r="I1531" s="2">
        <v>0.98</v>
      </c>
      <c r="J1531" s="2">
        <v>0.89</v>
      </c>
      <c r="K1531">
        <v>14</v>
      </c>
      <c r="L1531" s="19" t="s">
        <v>351</v>
      </c>
      <c r="M1531" s="21">
        <v>0.44</v>
      </c>
    </row>
    <row r="1532" spans="1:13" x14ac:dyDescent="0.2">
      <c r="A1532" t="s">
        <v>270</v>
      </c>
      <c r="B1532" t="e">
        <f>VLOOKUP(A1532,MasterTutor!A:E,4,FALSE)</f>
        <v>#N/A</v>
      </c>
      <c r="C1532" t="e">
        <f>VLOOKUP(A1532,MasterTutor!A:E,3,FALSE)</f>
        <v>#N/A</v>
      </c>
      <c r="D1532" t="e">
        <f>VLOOKUP(A1532,MasterTutor!A:E,2,FALSE)</f>
        <v>#N/A</v>
      </c>
      <c r="E1532" t="s">
        <v>373</v>
      </c>
      <c r="F1532" s="2">
        <v>1.1299999999999999</v>
      </c>
      <c r="G1532" s="2">
        <v>1.24</v>
      </c>
      <c r="H1532" s="2">
        <v>0.79</v>
      </c>
      <c r="I1532" s="2">
        <v>1</v>
      </c>
      <c r="J1532" s="2">
        <v>0.71</v>
      </c>
      <c r="K1532">
        <v>5</v>
      </c>
      <c r="L1532" s="19" t="s">
        <v>331</v>
      </c>
      <c r="M1532" s="21">
        <v>0.5</v>
      </c>
    </row>
    <row r="1533" spans="1:13" x14ac:dyDescent="0.2">
      <c r="A1533" t="s">
        <v>82</v>
      </c>
      <c r="B1533" t="str">
        <f>VLOOKUP(A1533,MasterTutor!A:E,4,FALSE)</f>
        <v>Premium</v>
      </c>
      <c r="C1533" t="str">
        <f>VLOOKUP(A1533,MasterTutor!A:E,3,FALSE)</f>
        <v>Adjunct</v>
      </c>
      <c r="D1533" t="str">
        <f>VLOOKUP(A1533,MasterTutor!A:E,2,FALSE)</f>
        <v>Jessica Milner</v>
      </c>
      <c r="E1533" t="s">
        <v>373</v>
      </c>
      <c r="F1533" s="2">
        <v>1.32</v>
      </c>
      <c r="G1533" s="2">
        <v>2.48</v>
      </c>
      <c r="H1533" s="2">
        <v>1</v>
      </c>
      <c r="I1533" s="2">
        <v>1</v>
      </c>
      <c r="J1533" s="2">
        <v>0.94</v>
      </c>
      <c r="K1533">
        <v>1</v>
      </c>
      <c r="L1533" s="19">
        <v>1</v>
      </c>
      <c r="M1533" s="21">
        <f>L1533</f>
        <v>1</v>
      </c>
    </row>
    <row r="1534" spans="1:13" x14ac:dyDescent="0.2">
      <c r="A1534" t="s">
        <v>83</v>
      </c>
      <c r="B1534" t="str">
        <f>VLOOKUP(A1534,MasterTutor!A:E,4,FALSE)</f>
        <v>Premium</v>
      </c>
      <c r="C1534" t="str">
        <f>VLOOKUP(A1534,MasterTutor!A:E,3,FALSE)</f>
        <v>Professional</v>
      </c>
      <c r="D1534" t="str">
        <f>VLOOKUP(A1534,MasterTutor!A:E,2,FALSE)</f>
        <v>Jessica Milner</v>
      </c>
      <c r="E1534" t="s">
        <v>373</v>
      </c>
      <c r="F1534" s="2">
        <v>0.93</v>
      </c>
      <c r="G1534" s="2">
        <v>1.36</v>
      </c>
      <c r="H1534" s="2">
        <v>1</v>
      </c>
      <c r="I1534" s="2">
        <v>0.95</v>
      </c>
      <c r="J1534" s="2">
        <v>0.69</v>
      </c>
      <c r="K1534">
        <v>2</v>
      </c>
      <c r="L1534" s="19" t="s">
        <v>337</v>
      </c>
      <c r="M1534" s="21">
        <f>1/3</f>
        <v>0.33333333333333331</v>
      </c>
    </row>
    <row r="1535" spans="1:13" x14ac:dyDescent="0.2">
      <c r="A1535" t="s">
        <v>84</v>
      </c>
      <c r="B1535" t="str">
        <f>VLOOKUP(A1535,MasterTutor!A:E,4,FALSE)</f>
        <v>Advanced</v>
      </c>
      <c r="C1535" t="str">
        <f>VLOOKUP(A1535,MasterTutor!A:E,3,FALSE)</f>
        <v>Professional</v>
      </c>
      <c r="D1535" t="str">
        <f>VLOOKUP(A1535,MasterTutor!A:E,2,FALSE)</f>
        <v>Kristin Haase-Alvey</v>
      </c>
      <c r="E1535" t="s">
        <v>373</v>
      </c>
      <c r="F1535" s="2">
        <v>0.81</v>
      </c>
      <c r="G1535" s="2">
        <v>0.98</v>
      </c>
      <c r="H1535" s="2">
        <v>1</v>
      </c>
      <c r="I1535" s="2">
        <v>0.94</v>
      </c>
      <c r="J1535" s="2">
        <v>0.68</v>
      </c>
      <c r="K1535">
        <v>4</v>
      </c>
      <c r="L1535" s="19" t="s">
        <v>345</v>
      </c>
      <c r="M1535" s="21">
        <v>0.2</v>
      </c>
    </row>
    <row r="1536" spans="1:13" x14ac:dyDescent="0.2">
      <c r="A1536" t="s">
        <v>85</v>
      </c>
      <c r="B1536" t="str">
        <f>VLOOKUP(A1536,MasterTutor!A:E,4,FALSE)</f>
        <v>Premium</v>
      </c>
      <c r="C1536" t="str">
        <f>VLOOKUP(A1536,MasterTutor!A:E,3,FALSE)</f>
        <v>Professional</v>
      </c>
      <c r="D1536" t="str">
        <f>VLOOKUP(A1536,MasterTutor!A:E,2,FALSE)</f>
        <v>Ian Plamondon</v>
      </c>
      <c r="E1536" t="s">
        <v>373</v>
      </c>
      <c r="F1536" s="2">
        <v>1.04</v>
      </c>
      <c r="G1536" s="2">
        <v>1.62</v>
      </c>
      <c r="H1536" s="2">
        <v>1</v>
      </c>
      <c r="I1536" s="2">
        <v>1</v>
      </c>
      <c r="J1536" s="2">
        <v>0.79</v>
      </c>
      <c r="K1536">
        <v>1</v>
      </c>
      <c r="L1536" s="19">
        <v>1</v>
      </c>
      <c r="M1536" s="21">
        <f>L1536</f>
        <v>1</v>
      </c>
    </row>
    <row r="1537" spans="1:13" x14ac:dyDescent="0.2">
      <c r="A1537" t="s">
        <v>87</v>
      </c>
      <c r="B1537" t="str">
        <f>VLOOKUP(A1537,MasterTutor!A:E,4,FALSE)</f>
        <v>Advanced</v>
      </c>
      <c r="C1537" t="str">
        <f>VLOOKUP(A1537,MasterTutor!A:E,3,FALSE)</f>
        <v>Adjunct</v>
      </c>
      <c r="D1537" t="str">
        <f>VLOOKUP(A1537,MasterTutor!A:E,2,FALSE)</f>
        <v>Ela Cross</v>
      </c>
      <c r="E1537" t="s">
        <v>373</v>
      </c>
      <c r="F1537" s="2">
        <v>0.69</v>
      </c>
      <c r="G1537" s="2">
        <v>0.95</v>
      </c>
      <c r="H1537" s="2">
        <v>1</v>
      </c>
      <c r="I1537" s="2">
        <v>1</v>
      </c>
      <c r="J1537" s="2">
        <v>0.21</v>
      </c>
      <c r="K1537">
        <v>6</v>
      </c>
      <c r="L1537" s="19">
        <v>1</v>
      </c>
      <c r="M1537" s="21">
        <f>L1537</f>
        <v>1</v>
      </c>
    </row>
    <row r="1538" spans="1:13" x14ac:dyDescent="0.2">
      <c r="A1538" t="s">
        <v>88</v>
      </c>
      <c r="B1538" t="str">
        <f>VLOOKUP(A1538,MasterTutor!A:E,4,FALSE)</f>
        <v>Distinguished</v>
      </c>
      <c r="C1538" t="str">
        <f>VLOOKUP(A1538,MasterTutor!A:E,3,FALSE)</f>
        <v>Professional</v>
      </c>
      <c r="D1538" t="str">
        <f>VLOOKUP(A1538,MasterTutor!A:E,2,FALSE)</f>
        <v>Ian Plamondon</v>
      </c>
      <c r="E1538" t="s">
        <v>373</v>
      </c>
      <c r="F1538" s="2">
        <v>0.65</v>
      </c>
      <c r="G1538" s="2">
        <v>1.1299999999999999</v>
      </c>
      <c r="H1538" s="2">
        <v>1</v>
      </c>
      <c r="I1538" s="2">
        <v>0.96</v>
      </c>
      <c r="J1538" s="2">
        <v>0.95</v>
      </c>
      <c r="K1538">
        <v>4</v>
      </c>
      <c r="L1538" s="19" t="s">
        <v>335</v>
      </c>
      <c r="M1538" s="21">
        <v>0.25</v>
      </c>
    </row>
    <row r="1539" spans="1:13" x14ac:dyDescent="0.2">
      <c r="A1539" t="s">
        <v>272</v>
      </c>
      <c r="B1539" t="str">
        <f>VLOOKUP(A1539,MasterTutor!A:E,4,FALSE)</f>
        <v>Advanced</v>
      </c>
      <c r="C1539" t="str">
        <f>VLOOKUP(A1539,MasterTutor!A:E,3,FALSE)</f>
        <v xml:space="preserve">Professional </v>
      </c>
      <c r="D1539" t="str">
        <f>VLOOKUP(A1539,MasterTutor!A:E,2,FALSE)</f>
        <v>Ian Plamondon</v>
      </c>
      <c r="E1539" t="s">
        <v>373</v>
      </c>
      <c r="F1539" s="2">
        <v>0.36</v>
      </c>
      <c r="G1539" s="2">
        <v>1.02</v>
      </c>
      <c r="H1539" s="2">
        <v>0.93</v>
      </c>
      <c r="I1539" s="2">
        <v>1</v>
      </c>
      <c r="J1539" s="2">
        <v>0.56000000000000005</v>
      </c>
      <c r="K1539">
        <v>2</v>
      </c>
      <c r="L1539" s="19" t="s">
        <v>330</v>
      </c>
      <c r="M1539" s="21">
        <v>0.67</v>
      </c>
    </row>
    <row r="1540" spans="1:13" x14ac:dyDescent="0.2">
      <c r="A1540" t="s">
        <v>89</v>
      </c>
      <c r="B1540" t="e">
        <f>VLOOKUP(A1540,MasterTutor!A:E,4,FALSE)</f>
        <v>#N/A</v>
      </c>
      <c r="C1540" t="e">
        <f>VLOOKUP(A1540,MasterTutor!A:E,3,FALSE)</f>
        <v>#N/A</v>
      </c>
      <c r="D1540" t="e">
        <f>VLOOKUP(A1540,MasterTutor!A:E,2,FALSE)</f>
        <v>#N/A</v>
      </c>
      <c r="E1540" t="s">
        <v>373</v>
      </c>
      <c r="F1540" s="2">
        <v>0.68</v>
      </c>
      <c r="G1540" s="2">
        <v>0.54</v>
      </c>
      <c r="H1540" s="2">
        <v>0.96</v>
      </c>
      <c r="I1540" s="2">
        <v>0.52</v>
      </c>
      <c r="J1540" s="2">
        <v>0.38</v>
      </c>
      <c r="K1540">
        <v>1</v>
      </c>
    </row>
    <row r="1541" spans="1:13" x14ac:dyDescent="0.2">
      <c r="A1541" t="s">
        <v>90</v>
      </c>
      <c r="B1541" t="str">
        <f>VLOOKUP(A1541,MasterTutor!A:E,4,FALSE)</f>
        <v>Advanced</v>
      </c>
      <c r="C1541" t="str">
        <f>VLOOKUP(A1541,MasterTutor!A:E,3,FALSE)</f>
        <v>Adjunct</v>
      </c>
      <c r="D1541" t="str">
        <f>VLOOKUP(A1541,MasterTutor!A:E,2,FALSE)</f>
        <v>Ela Cross</v>
      </c>
      <c r="E1541" t="s">
        <v>373</v>
      </c>
      <c r="F1541" s="2">
        <v>0.95</v>
      </c>
      <c r="G1541" s="2">
        <v>1.2</v>
      </c>
      <c r="H1541" s="2">
        <v>0.98</v>
      </c>
      <c r="I1541" s="2">
        <v>1</v>
      </c>
      <c r="J1541" s="2">
        <v>0.13</v>
      </c>
      <c r="K1541">
        <v>9</v>
      </c>
    </row>
    <row r="1542" spans="1:13" x14ac:dyDescent="0.2">
      <c r="A1542" t="s">
        <v>92</v>
      </c>
      <c r="B1542" t="str">
        <f>VLOOKUP(A1542,MasterTutor!A:E,4,FALSE)</f>
        <v>Premium</v>
      </c>
      <c r="C1542" t="str">
        <f>VLOOKUP(A1542,MasterTutor!A:E,3,FALSE)</f>
        <v>Professional</v>
      </c>
      <c r="D1542" t="str">
        <f>VLOOKUP(A1542,MasterTutor!A:E,2,FALSE)</f>
        <v>Ian Plamondon</v>
      </c>
      <c r="E1542" t="s">
        <v>373</v>
      </c>
      <c r="F1542" s="2">
        <v>0.92</v>
      </c>
      <c r="G1542" s="2">
        <v>1.24</v>
      </c>
      <c r="H1542" s="2">
        <v>1</v>
      </c>
      <c r="I1542" s="2">
        <v>0.97</v>
      </c>
      <c r="J1542" s="2">
        <v>0.96</v>
      </c>
      <c r="K1542">
        <v>1</v>
      </c>
      <c r="L1542" s="19" t="s">
        <v>330</v>
      </c>
      <c r="M1542" s="21">
        <v>0.67</v>
      </c>
    </row>
    <row r="1543" spans="1:13" x14ac:dyDescent="0.2">
      <c r="A1543" t="s">
        <v>93</v>
      </c>
      <c r="B1543" t="str">
        <f>VLOOKUP(A1543,MasterTutor!A:E,4,FALSE)</f>
        <v>Advanced</v>
      </c>
      <c r="C1543" t="str">
        <f>VLOOKUP(A1543,MasterTutor!A:E,3,FALSE)</f>
        <v>Professional</v>
      </c>
      <c r="D1543" t="str">
        <f>VLOOKUP(A1543,MasterTutor!A:E,2,FALSE)</f>
        <v>Ian Plamondon</v>
      </c>
      <c r="E1543" t="s">
        <v>373</v>
      </c>
      <c r="F1543" s="2">
        <v>0.87</v>
      </c>
      <c r="G1543" s="2">
        <v>0.92</v>
      </c>
      <c r="H1543" s="2">
        <v>1</v>
      </c>
      <c r="I1543" s="2">
        <v>1</v>
      </c>
      <c r="J1543" s="2">
        <v>0.74</v>
      </c>
      <c r="K1543">
        <v>7</v>
      </c>
      <c r="L1543" s="19">
        <v>1</v>
      </c>
      <c r="M1543" s="21">
        <f>L1543</f>
        <v>1</v>
      </c>
    </row>
    <row r="1544" spans="1:13" x14ac:dyDescent="0.2">
      <c r="A1544" t="s">
        <v>94</v>
      </c>
      <c r="B1544" t="str">
        <f>VLOOKUP(A1544,MasterTutor!A:E,4,FALSE)</f>
        <v>Premium</v>
      </c>
      <c r="C1544" t="str">
        <f>VLOOKUP(A1544,MasterTutor!A:E,3,FALSE)</f>
        <v>Professional</v>
      </c>
      <c r="D1544" t="str">
        <f>VLOOKUP(A1544,MasterTutor!A:E,2,FALSE)</f>
        <v>Jessica Milner</v>
      </c>
      <c r="E1544" t="s">
        <v>373</v>
      </c>
      <c r="F1544" s="2">
        <v>0.9</v>
      </c>
      <c r="G1544" s="2">
        <v>1.1499999999999999</v>
      </c>
      <c r="H1544" s="2">
        <v>0.99</v>
      </c>
      <c r="I1544" s="2">
        <v>0.93</v>
      </c>
      <c r="J1544" s="2">
        <v>0.41</v>
      </c>
      <c r="K1544" t="e">
        <v>#N/A</v>
      </c>
      <c r="L1544" s="19" t="s">
        <v>329</v>
      </c>
      <c r="M1544" s="21">
        <v>0.75</v>
      </c>
    </row>
    <row r="1545" spans="1:13" x14ac:dyDescent="0.2">
      <c r="A1545" t="s">
        <v>95</v>
      </c>
      <c r="B1545" t="str">
        <f>VLOOKUP(A1545,MasterTutor!A:E,4,FALSE)</f>
        <v>Advanced</v>
      </c>
      <c r="C1545" t="str">
        <f>VLOOKUP(A1545,MasterTutor!A:E,3,FALSE)</f>
        <v>Professional</v>
      </c>
      <c r="D1545" t="str">
        <f>VLOOKUP(A1545,MasterTutor!A:E,2,FALSE)</f>
        <v>Kristin Haase-Alvey</v>
      </c>
      <c r="E1545" t="s">
        <v>373</v>
      </c>
      <c r="F1545" s="2">
        <v>0.53</v>
      </c>
      <c r="G1545" s="2">
        <v>1.02</v>
      </c>
      <c r="H1545" s="2">
        <v>0.96</v>
      </c>
      <c r="I1545" s="2">
        <v>0.9</v>
      </c>
      <c r="J1545" s="2">
        <v>0.75</v>
      </c>
      <c r="K1545">
        <v>5</v>
      </c>
      <c r="L1545" s="19" t="s">
        <v>367</v>
      </c>
      <c r="M1545" s="21">
        <v>0.13</v>
      </c>
    </row>
    <row r="1546" spans="1:13" x14ac:dyDescent="0.2">
      <c r="A1546" t="s">
        <v>96</v>
      </c>
      <c r="B1546" t="str">
        <f>VLOOKUP(A1546,MasterTutor!A:E,4,FALSE)</f>
        <v>Distinguished</v>
      </c>
      <c r="C1546" t="str">
        <f>VLOOKUP(A1546,MasterTutor!A:E,3,FALSE)</f>
        <v>Adjunct</v>
      </c>
      <c r="D1546" t="str">
        <f>VLOOKUP(A1546,MasterTutor!A:E,2,FALSE)</f>
        <v>Kristin Haase-Alvey</v>
      </c>
      <c r="E1546" t="s">
        <v>373</v>
      </c>
      <c r="F1546" s="2">
        <v>0.4</v>
      </c>
      <c r="G1546" s="2">
        <v>1</v>
      </c>
      <c r="H1546" s="2">
        <v>1</v>
      </c>
      <c r="I1546" s="2">
        <v>1</v>
      </c>
      <c r="J1546" s="2">
        <v>0.88</v>
      </c>
      <c r="K1546">
        <v>3</v>
      </c>
      <c r="L1546" s="19">
        <v>1</v>
      </c>
      <c r="M1546" s="21">
        <f>L1546</f>
        <v>1</v>
      </c>
    </row>
    <row r="1547" spans="1:13" x14ac:dyDescent="0.2">
      <c r="A1547" t="s">
        <v>97</v>
      </c>
      <c r="B1547" t="str">
        <f>VLOOKUP(A1547,MasterTutor!A:E,4,FALSE)</f>
        <v>Advanced</v>
      </c>
      <c r="C1547" t="str">
        <f>VLOOKUP(A1547,MasterTutor!A:E,3,FALSE)</f>
        <v>Professional</v>
      </c>
      <c r="D1547" t="str">
        <f>VLOOKUP(A1547,MasterTutor!A:E,2,FALSE)</f>
        <v>Kristin Haase-Alvey</v>
      </c>
      <c r="E1547" t="s">
        <v>373</v>
      </c>
      <c r="F1547" s="2">
        <v>0.4</v>
      </c>
      <c r="G1547" s="2">
        <v>0.89</v>
      </c>
      <c r="H1547" s="2">
        <v>1</v>
      </c>
      <c r="I1547" s="2">
        <v>1</v>
      </c>
      <c r="J1547" s="2">
        <v>0.77</v>
      </c>
      <c r="K1547">
        <v>2</v>
      </c>
      <c r="L1547" s="19">
        <v>1</v>
      </c>
      <c r="M1547" s="21">
        <f>L1547</f>
        <v>1</v>
      </c>
    </row>
    <row r="1548" spans="1:13" x14ac:dyDescent="0.2">
      <c r="A1548" t="s">
        <v>98</v>
      </c>
      <c r="B1548" t="str">
        <f>VLOOKUP(A1548,MasterTutor!A:E,4,FALSE)</f>
        <v>Premium</v>
      </c>
      <c r="C1548" t="str">
        <f>VLOOKUP(A1548,MasterTutor!A:E,3,FALSE)</f>
        <v>Adjunct</v>
      </c>
      <c r="D1548" t="str">
        <f>VLOOKUP(A1548,MasterTutor!A:E,2,FALSE)</f>
        <v>Ela Cross</v>
      </c>
      <c r="E1548" t="s">
        <v>373</v>
      </c>
      <c r="F1548" s="2">
        <v>0.86</v>
      </c>
      <c r="G1548" s="2">
        <v>1.74</v>
      </c>
      <c r="H1548" s="2">
        <v>1</v>
      </c>
      <c r="I1548" s="2">
        <v>0.95</v>
      </c>
      <c r="J1548" s="2">
        <v>0.67</v>
      </c>
      <c r="K1548" t="e">
        <v>#N/A</v>
      </c>
      <c r="L1548" s="19">
        <v>1</v>
      </c>
      <c r="M1548" s="21">
        <f>L1548</f>
        <v>1</v>
      </c>
    </row>
    <row r="1549" spans="1:13" x14ac:dyDescent="0.2">
      <c r="A1549" t="s">
        <v>100</v>
      </c>
      <c r="B1549" t="str">
        <f>VLOOKUP(A1549,MasterTutor!A:E,4,FALSE)</f>
        <v>Premium</v>
      </c>
      <c r="C1549" t="str">
        <f>VLOOKUP(A1549,MasterTutor!A:E,3,FALSE)</f>
        <v>Adjunct</v>
      </c>
      <c r="D1549" t="str">
        <f>VLOOKUP(A1549,MasterTutor!A:E,2,FALSE)</f>
        <v>Annelies de Groot</v>
      </c>
      <c r="E1549" t="s">
        <v>373</v>
      </c>
      <c r="F1549" s="2">
        <v>0.93</v>
      </c>
      <c r="G1549" s="2">
        <v>1.28</v>
      </c>
      <c r="H1549" s="2">
        <v>1</v>
      </c>
      <c r="I1549" s="2">
        <v>1</v>
      </c>
      <c r="J1549" s="2">
        <v>0.6</v>
      </c>
      <c r="K1549" t="e">
        <v>#N/A</v>
      </c>
    </row>
    <row r="1550" spans="1:13" x14ac:dyDescent="0.2">
      <c r="A1550" t="s">
        <v>101</v>
      </c>
      <c r="B1550" t="str">
        <f>VLOOKUP(A1550,MasterTutor!A:E,4,FALSE)</f>
        <v>Advanced</v>
      </c>
      <c r="C1550" t="str">
        <f>VLOOKUP(A1550,MasterTutor!A:E,3,FALSE)</f>
        <v>Professional</v>
      </c>
      <c r="D1550" t="str">
        <f>VLOOKUP(A1550,MasterTutor!A:E,2,FALSE)</f>
        <v>Kristin Haase-Alvey</v>
      </c>
      <c r="E1550" t="s">
        <v>373</v>
      </c>
      <c r="F1550" s="2">
        <v>0.73</v>
      </c>
      <c r="G1550" s="2">
        <v>1.47</v>
      </c>
      <c r="H1550" s="2">
        <v>0.97</v>
      </c>
      <c r="I1550" s="2">
        <v>1</v>
      </c>
      <c r="J1550" s="2">
        <v>0.79</v>
      </c>
      <c r="K1550" t="e">
        <v>#N/A</v>
      </c>
      <c r="L1550" s="19" t="s">
        <v>329</v>
      </c>
      <c r="M1550" s="21">
        <v>0.75</v>
      </c>
    </row>
    <row r="1551" spans="1:13" x14ac:dyDescent="0.2">
      <c r="A1551" t="s">
        <v>103</v>
      </c>
      <c r="B1551" t="str">
        <f>VLOOKUP(A1551,MasterTutor!A:E,4,FALSE)</f>
        <v>Distinguished</v>
      </c>
      <c r="C1551" t="str">
        <f>VLOOKUP(A1551,MasterTutor!A:E,3,FALSE)</f>
        <v>Adjunct</v>
      </c>
      <c r="D1551" t="str">
        <f>VLOOKUP(A1551,MasterTutor!A:E,2,FALSE)</f>
        <v>Kristin Haase-Alvey</v>
      </c>
      <c r="E1551" t="s">
        <v>373</v>
      </c>
      <c r="F1551" s="2">
        <v>0.5</v>
      </c>
      <c r="G1551" s="2">
        <v>0.99</v>
      </c>
      <c r="H1551" s="2">
        <v>1</v>
      </c>
      <c r="I1551" s="2">
        <v>1</v>
      </c>
      <c r="J1551" s="2">
        <v>0.44</v>
      </c>
      <c r="K1551" t="e">
        <v>#N/A</v>
      </c>
      <c r="L1551" s="19">
        <v>0</v>
      </c>
      <c r="M1551" s="21">
        <f>L1551</f>
        <v>0</v>
      </c>
    </row>
    <row r="1552" spans="1:13" x14ac:dyDescent="0.2">
      <c r="A1552" t="s">
        <v>104</v>
      </c>
      <c r="B1552" t="e">
        <f>VLOOKUP(A1552,MasterTutor!A:E,4,FALSE)</f>
        <v>#N/A</v>
      </c>
      <c r="C1552" t="e">
        <f>VLOOKUP(A1552,MasterTutor!A:E,3,FALSE)</f>
        <v>#N/A</v>
      </c>
      <c r="D1552" t="e">
        <f>VLOOKUP(A1552,MasterTutor!A:E,2,FALSE)</f>
        <v>#N/A</v>
      </c>
      <c r="E1552" t="s">
        <v>373</v>
      </c>
      <c r="F1552" s="2">
        <v>0.67</v>
      </c>
      <c r="G1552" s="2">
        <v>1.1499999999999999</v>
      </c>
      <c r="H1552" s="2">
        <v>0.97</v>
      </c>
      <c r="I1552" s="2">
        <v>1</v>
      </c>
      <c r="J1552" s="2">
        <v>0.5</v>
      </c>
      <c r="K1552">
        <v>6</v>
      </c>
      <c r="L1552" s="19">
        <v>0</v>
      </c>
      <c r="M1552" s="21">
        <f>L1552</f>
        <v>0</v>
      </c>
    </row>
    <row r="1553" spans="1:13" x14ac:dyDescent="0.2">
      <c r="A1553" t="s">
        <v>105</v>
      </c>
      <c r="B1553" t="str">
        <f>VLOOKUP(A1553,MasterTutor!A:E,4,FALSE)</f>
        <v>Advanced</v>
      </c>
      <c r="C1553" t="str">
        <f>VLOOKUP(A1553,MasterTutor!A:E,3,FALSE)</f>
        <v>Adjunct</v>
      </c>
      <c r="D1553" t="str">
        <f>VLOOKUP(A1553,MasterTutor!A:E,2,FALSE)</f>
        <v>Annelies de Groot</v>
      </c>
      <c r="E1553" t="s">
        <v>373</v>
      </c>
      <c r="F1553" s="2">
        <v>0.42</v>
      </c>
      <c r="G1553" s="2">
        <v>1.1100000000000001</v>
      </c>
      <c r="H1553" s="2">
        <v>1</v>
      </c>
      <c r="I1553" s="2">
        <v>0.94</v>
      </c>
      <c r="J1553" s="2">
        <v>0.5</v>
      </c>
      <c r="K1553">
        <v>1</v>
      </c>
    </row>
    <row r="1554" spans="1:13" x14ac:dyDescent="0.2">
      <c r="A1554" t="s">
        <v>276</v>
      </c>
      <c r="B1554" t="str">
        <f>VLOOKUP(A1554,MasterTutor!A:E,4,FALSE)</f>
        <v>Advanced</v>
      </c>
      <c r="C1554" t="str">
        <f>VLOOKUP(A1554,MasterTutor!A:E,3,FALSE)</f>
        <v xml:space="preserve">Professional </v>
      </c>
      <c r="D1554" t="str">
        <f>VLOOKUP(A1554,MasterTutor!A:E,2,FALSE)</f>
        <v>Ian Plamondon</v>
      </c>
      <c r="E1554" t="s">
        <v>373</v>
      </c>
      <c r="F1554" s="2">
        <v>0.79</v>
      </c>
      <c r="G1554" s="2">
        <v>1.02</v>
      </c>
      <c r="H1554" s="2">
        <v>0.97</v>
      </c>
      <c r="I1554" s="2">
        <v>0.84</v>
      </c>
      <c r="J1554" s="2">
        <v>0.45</v>
      </c>
      <c r="K1554">
        <v>4</v>
      </c>
      <c r="L1554" s="19">
        <v>0</v>
      </c>
      <c r="M1554" s="21">
        <f>L1554</f>
        <v>0</v>
      </c>
    </row>
    <row r="1555" spans="1:13" x14ac:dyDescent="0.2">
      <c r="A1555" t="s">
        <v>107</v>
      </c>
      <c r="B1555" t="str">
        <f>VLOOKUP(A1555,MasterTutor!A:E,4,FALSE)</f>
        <v>Distinguished</v>
      </c>
      <c r="C1555" t="str">
        <f>VLOOKUP(A1555,MasterTutor!A:E,3,FALSE)</f>
        <v>Professional</v>
      </c>
      <c r="D1555" t="str">
        <f>VLOOKUP(A1555,MasterTutor!A:E,2,FALSE)</f>
        <v>Ian Plamondon</v>
      </c>
      <c r="E1555" t="s">
        <v>373</v>
      </c>
      <c r="F1555" s="2">
        <v>0.75</v>
      </c>
      <c r="G1555" s="2">
        <v>1.1100000000000001</v>
      </c>
      <c r="H1555" s="2">
        <v>1</v>
      </c>
      <c r="I1555" s="2">
        <v>1</v>
      </c>
      <c r="J1555" s="2">
        <v>0.75</v>
      </c>
      <c r="K1555">
        <v>2</v>
      </c>
      <c r="L1555" s="19">
        <v>1</v>
      </c>
      <c r="M1555" s="21">
        <f>L1555</f>
        <v>1</v>
      </c>
    </row>
    <row r="1556" spans="1:13" x14ac:dyDescent="0.2">
      <c r="A1556" t="s">
        <v>108</v>
      </c>
      <c r="B1556" t="str">
        <f>VLOOKUP(A1556,MasterTutor!A:E,4,FALSE)</f>
        <v>Advanced</v>
      </c>
      <c r="C1556" t="str">
        <f>VLOOKUP(A1556,MasterTutor!A:E,3,FALSE)</f>
        <v>Professional</v>
      </c>
      <c r="D1556" t="str">
        <f>VLOOKUP(A1556,MasterTutor!A:E,2,FALSE)</f>
        <v>Geoff St. Marie</v>
      </c>
      <c r="E1556" t="s">
        <v>373</v>
      </c>
      <c r="F1556" s="2">
        <v>0.93</v>
      </c>
      <c r="G1556" s="2">
        <v>0.86</v>
      </c>
      <c r="H1556" s="2">
        <v>0.95</v>
      </c>
      <c r="I1556" s="2">
        <v>1</v>
      </c>
      <c r="J1556" s="2">
        <v>0.5</v>
      </c>
      <c r="K1556">
        <v>3</v>
      </c>
    </row>
    <row r="1557" spans="1:13" x14ac:dyDescent="0.2">
      <c r="A1557" t="s">
        <v>111</v>
      </c>
      <c r="B1557" t="str">
        <f>VLOOKUP(A1557,MasterTutor!A:E,4,FALSE)</f>
        <v>Premium</v>
      </c>
      <c r="C1557" t="str">
        <f>VLOOKUP(A1557,MasterTutor!A:E,3,FALSE)</f>
        <v>Adjunct</v>
      </c>
      <c r="D1557" t="str">
        <f>VLOOKUP(A1557,MasterTutor!A:E,2,FALSE)</f>
        <v>Kristin Haase-Alvey</v>
      </c>
      <c r="E1557" t="s">
        <v>373</v>
      </c>
      <c r="F1557" s="2">
        <v>0</v>
      </c>
      <c r="G1557" s="2">
        <v>0</v>
      </c>
      <c r="H1557" s="2">
        <v>0</v>
      </c>
      <c r="I1557" s="2">
        <v>0</v>
      </c>
      <c r="J1557" s="2">
        <v>1</v>
      </c>
      <c r="K1557" t="e">
        <v>#N/A</v>
      </c>
    </row>
    <row r="1558" spans="1:13" x14ac:dyDescent="0.2">
      <c r="A1558" t="s">
        <v>281</v>
      </c>
      <c r="B1558" t="str">
        <f>VLOOKUP(A1558,MasterTutor!A:E,4,FALSE)</f>
        <v>Advanced</v>
      </c>
      <c r="C1558" t="str">
        <f>VLOOKUP(A1558,MasterTutor!A:E,3,FALSE)</f>
        <v>Professional</v>
      </c>
      <c r="D1558" t="str">
        <f>VLOOKUP(A1558,MasterTutor!A:E,2,FALSE)</f>
        <v>Annelies de Groot</v>
      </c>
      <c r="E1558" t="s">
        <v>373</v>
      </c>
      <c r="F1558" s="2">
        <v>0.85</v>
      </c>
      <c r="G1558" s="2">
        <v>1.23</v>
      </c>
      <c r="H1558" s="2">
        <v>0.99</v>
      </c>
      <c r="I1558" s="2">
        <v>1</v>
      </c>
      <c r="J1558" s="2">
        <v>0.52</v>
      </c>
      <c r="K1558">
        <v>8</v>
      </c>
      <c r="L1558" s="19" t="s">
        <v>331</v>
      </c>
      <c r="M1558" s="21">
        <v>0.5</v>
      </c>
    </row>
    <row r="1559" spans="1:13" x14ac:dyDescent="0.2">
      <c r="A1559" t="s">
        <v>113</v>
      </c>
      <c r="B1559" t="e">
        <f>VLOOKUP(A1559,MasterTutor!A:E,4,FALSE)</f>
        <v>#N/A</v>
      </c>
      <c r="C1559" t="e">
        <f>VLOOKUP(A1559,MasterTutor!A:E,3,FALSE)</f>
        <v>#N/A</v>
      </c>
      <c r="D1559" t="e">
        <f>VLOOKUP(A1559,MasterTutor!A:E,2,FALSE)</f>
        <v>#N/A</v>
      </c>
      <c r="E1559" t="s">
        <v>373</v>
      </c>
      <c r="F1559" s="2">
        <v>0.99</v>
      </c>
      <c r="G1559" s="2">
        <v>0.9</v>
      </c>
      <c r="H1559" s="2">
        <v>1</v>
      </c>
      <c r="I1559" s="2">
        <v>0.74</v>
      </c>
      <c r="J1559" s="2">
        <v>0.32</v>
      </c>
      <c r="K1559">
        <v>11</v>
      </c>
      <c r="L1559" s="19">
        <v>0</v>
      </c>
      <c r="M1559" s="21">
        <f>L1559</f>
        <v>0</v>
      </c>
    </row>
    <row r="1560" spans="1:13" x14ac:dyDescent="0.2">
      <c r="A1560" t="s">
        <v>115</v>
      </c>
      <c r="B1560" t="str">
        <f>VLOOKUP(A1560,MasterTutor!A:E,4,FALSE)</f>
        <v>Advanced</v>
      </c>
      <c r="C1560" t="str">
        <f>VLOOKUP(A1560,MasterTutor!A:E,3,FALSE)</f>
        <v>Adjunct</v>
      </c>
      <c r="D1560" t="str">
        <f>VLOOKUP(A1560,MasterTutor!A:E,2,FALSE)</f>
        <v>Kristin Haase-Alvey</v>
      </c>
      <c r="E1560" t="s">
        <v>373</v>
      </c>
      <c r="F1560" s="2">
        <v>0.4</v>
      </c>
      <c r="G1560" s="2">
        <v>1.51</v>
      </c>
      <c r="H1560" s="2">
        <v>1</v>
      </c>
      <c r="I1560" s="2">
        <v>0.93</v>
      </c>
      <c r="J1560" s="2">
        <v>1</v>
      </c>
      <c r="K1560">
        <v>2</v>
      </c>
      <c r="L1560" s="19">
        <v>1</v>
      </c>
      <c r="M1560" s="21">
        <f>L1560</f>
        <v>1</v>
      </c>
    </row>
    <row r="1561" spans="1:13" x14ac:dyDescent="0.2">
      <c r="A1561" t="s">
        <v>116</v>
      </c>
      <c r="B1561" t="str">
        <f>VLOOKUP(A1561,MasterTutor!A:E,4,FALSE)</f>
        <v>Premium</v>
      </c>
      <c r="C1561" t="str">
        <f>VLOOKUP(A1561,MasterTutor!A:E,3,FALSE)</f>
        <v>Professional</v>
      </c>
      <c r="D1561" t="str">
        <f>VLOOKUP(A1561,MasterTutor!A:E,2,FALSE)</f>
        <v>Jessica Milner</v>
      </c>
      <c r="E1561" t="s">
        <v>373</v>
      </c>
      <c r="F1561" s="2">
        <v>0.82</v>
      </c>
      <c r="G1561" s="2">
        <v>1.05</v>
      </c>
      <c r="H1561" s="2">
        <v>1</v>
      </c>
      <c r="I1561" s="2">
        <v>1</v>
      </c>
      <c r="J1561" s="2">
        <v>0.8</v>
      </c>
      <c r="K1561">
        <v>2</v>
      </c>
      <c r="L1561" s="19">
        <v>1</v>
      </c>
      <c r="M1561" s="21">
        <f>L1561</f>
        <v>1</v>
      </c>
    </row>
    <row r="1562" spans="1:13" x14ac:dyDescent="0.2">
      <c r="A1562" t="s">
        <v>117</v>
      </c>
      <c r="B1562" t="str">
        <f>VLOOKUP(A1562,MasterTutor!A:E,4,FALSE)</f>
        <v>Advanced</v>
      </c>
      <c r="C1562" t="str">
        <f>VLOOKUP(A1562,MasterTutor!A:E,3,FALSE)</f>
        <v>Professional</v>
      </c>
      <c r="D1562" t="str">
        <f>VLOOKUP(A1562,MasterTutor!A:E,2,FALSE)</f>
        <v>Kristin Haase-Alvey</v>
      </c>
      <c r="E1562" t="s">
        <v>373</v>
      </c>
      <c r="F1562" s="2">
        <v>1.05</v>
      </c>
      <c r="G1562" s="2">
        <v>1.0900000000000001</v>
      </c>
      <c r="H1562" s="2">
        <v>0.99</v>
      </c>
      <c r="I1562" s="2">
        <v>1</v>
      </c>
      <c r="J1562" s="2">
        <v>0.45</v>
      </c>
      <c r="K1562">
        <v>8</v>
      </c>
      <c r="L1562" s="19" t="s">
        <v>337</v>
      </c>
      <c r="M1562" s="21">
        <f>1/3</f>
        <v>0.33333333333333331</v>
      </c>
    </row>
    <row r="1563" spans="1:13" x14ac:dyDescent="0.2">
      <c r="A1563" t="s">
        <v>118</v>
      </c>
      <c r="B1563" t="e">
        <f>VLOOKUP(A1563,MasterTutor!A:E,4,FALSE)</f>
        <v>#N/A</v>
      </c>
      <c r="C1563" t="e">
        <f>VLOOKUP(A1563,MasterTutor!A:E,3,FALSE)</f>
        <v>#N/A</v>
      </c>
      <c r="D1563" t="e">
        <f>VLOOKUP(A1563,MasterTutor!A:E,2,FALSE)</f>
        <v>#N/A</v>
      </c>
      <c r="E1563" t="s">
        <v>373</v>
      </c>
      <c r="F1563" s="2">
        <v>0.95</v>
      </c>
      <c r="G1563" s="2">
        <v>1.68</v>
      </c>
      <c r="H1563" s="2">
        <v>0.99</v>
      </c>
      <c r="I1563" s="2">
        <v>0.3</v>
      </c>
      <c r="J1563" s="2">
        <v>0.46</v>
      </c>
      <c r="K1563">
        <v>5</v>
      </c>
      <c r="L1563" s="19">
        <v>0</v>
      </c>
      <c r="M1563" s="21">
        <f t="shared" ref="M1563:M1569" si="13">L1563</f>
        <v>0</v>
      </c>
    </row>
    <row r="1564" spans="1:13" x14ac:dyDescent="0.2">
      <c r="A1564" t="s">
        <v>119</v>
      </c>
      <c r="B1564" t="str">
        <f>VLOOKUP(A1564,MasterTutor!A:E,4,FALSE)</f>
        <v>Distinguished</v>
      </c>
      <c r="C1564" t="str">
        <f>VLOOKUP(A1564,MasterTutor!A:E,3,FALSE)</f>
        <v>Professional</v>
      </c>
      <c r="D1564" t="str">
        <f>VLOOKUP(A1564,MasterTutor!A:E,2,FALSE)</f>
        <v>Kristin Haase-Alvey</v>
      </c>
      <c r="E1564" t="s">
        <v>373</v>
      </c>
      <c r="F1564" s="2">
        <v>0.71</v>
      </c>
      <c r="G1564" s="2">
        <v>1.05</v>
      </c>
      <c r="H1564" s="2">
        <v>1</v>
      </c>
      <c r="I1564" s="2">
        <v>0.69</v>
      </c>
      <c r="J1564" s="2">
        <v>0.8</v>
      </c>
      <c r="K1564">
        <v>8</v>
      </c>
      <c r="L1564" s="19">
        <v>1</v>
      </c>
      <c r="M1564" s="21">
        <f t="shared" si="13"/>
        <v>1</v>
      </c>
    </row>
    <row r="1565" spans="1:13" x14ac:dyDescent="0.2">
      <c r="A1565" t="s">
        <v>120</v>
      </c>
      <c r="B1565" t="str">
        <f>VLOOKUP(A1565,MasterTutor!A:E,4,FALSE)</f>
        <v>Premium</v>
      </c>
      <c r="C1565" t="str">
        <f>VLOOKUP(A1565,MasterTutor!A:E,3,FALSE)</f>
        <v>Professional</v>
      </c>
      <c r="D1565" t="str">
        <f>VLOOKUP(A1565,MasterTutor!A:E,2,FALSE)</f>
        <v>Jessica Milner</v>
      </c>
      <c r="E1565" t="s">
        <v>373</v>
      </c>
      <c r="F1565" s="2">
        <v>0.94</v>
      </c>
      <c r="G1565" s="2">
        <v>1.21</v>
      </c>
      <c r="H1565" s="2">
        <v>1</v>
      </c>
      <c r="I1565" s="2">
        <v>0.91</v>
      </c>
      <c r="J1565" s="2">
        <v>0.33</v>
      </c>
      <c r="K1565">
        <v>4</v>
      </c>
      <c r="L1565" s="19">
        <v>0</v>
      </c>
      <c r="M1565" s="21">
        <f t="shared" si="13"/>
        <v>0</v>
      </c>
    </row>
    <row r="1566" spans="1:13" x14ac:dyDescent="0.2">
      <c r="A1566" t="s">
        <v>121</v>
      </c>
      <c r="B1566" t="str">
        <f>VLOOKUP(A1566,MasterTutor!A:E,4,FALSE)</f>
        <v>Advanced</v>
      </c>
      <c r="C1566" t="str">
        <f>VLOOKUP(A1566,MasterTutor!A:E,3,FALSE)</f>
        <v>Adjunct</v>
      </c>
      <c r="D1566" t="str">
        <f>VLOOKUP(A1566,MasterTutor!A:E,2,FALSE)</f>
        <v>Annelies de Groot</v>
      </c>
      <c r="E1566" t="s">
        <v>373</v>
      </c>
      <c r="F1566" s="2">
        <v>0.56000000000000005</v>
      </c>
      <c r="G1566" s="2">
        <v>1.0900000000000001</v>
      </c>
      <c r="H1566" s="2">
        <v>1</v>
      </c>
      <c r="I1566" s="2">
        <v>1</v>
      </c>
      <c r="J1566" s="2">
        <v>0.33</v>
      </c>
      <c r="K1566">
        <v>6</v>
      </c>
      <c r="L1566" s="19">
        <v>1</v>
      </c>
      <c r="M1566" s="21">
        <f t="shared" si="13"/>
        <v>1</v>
      </c>
    </row>
    <row r="1567" spans="1:13" x14ac:dyDescent="0.2">
      <c r="A1567" t="s">
        <v>123</v>
      </c>
      <c r="B1567" t="str">
        <f>VLOOKUP(A1567,MasterTutor!A:E,4,FALSE)</f>
        <v>Premium</v>
      </c>
      <c r="C1567" t="str">
        <f>VLOOKUP(A1567,MasterTutor!A:E,3,FALSE)</f>
        <v xml:space="preserve">Professional </v>
      </c>
      <c r="D1567" t="str">
        <f>VLOOKUP(A1567,MasterTutor!A:E,2,FALSE)</f>
        <v>Ela Cross</v>
      </c>
      <c r="E1567" t="s">
        <v>373</v>
      </c>
      <c r="F1567" s="2">
        <v>1.05</v>
      </c>
      <c r="G1567" s="2">
        <v>1.31</v>
      </c>
      <c r="H1567" s="2">
        <v>1</v>
      </c>
      <c r="I1567" s="2">
        <v>1</v>
      </c>
      <c r="J1567" s="2">
        <v>0.44</v>
      </c>
      <c r="K1567">
        <v>6</v>
      </c>
      <c r="L1567" s="19">
        <v>1</v>
      </c>
      <c r="M1567" s="21">
        <f t="shared" si="13"/>
        <v>1</v>
      </c>
    </row>
    <row r="1568" spans="1:13" x14ac:dyDescent="0.2">
      <c r="A1568" t="s">
        <v>125</v>
      </c>
      <c r="B1568" t="str">
        <f>VLOOKUP(A1568,MasterTutor!A:E,4,FALSE)</f>
        <v>Advanced</v>
      </c>
      <c r="C1568" t="str">
        <f>VLOOKUP(A1568,MasterTutor!A:E,3,FALSE)</f>
        <v>Professional</v>
      </c>
      <c r="D1568" t="str">
        <f>VLOOKUP(A1568,MasterTutor!A:E,2,FALSE)</f>
        <v>Kristin Haase-Alvey</v>
      </c>
      <c r="E1568" t="s">
        <v>373</v>
      </c>
      <c r="F1568" s="2">
        <v>0.96</v>
      </c>
      <c r="G1568" s="2">
        <v>1.06</v>
      </c>
      <c r="H1568" s="2">
        <v>0.87</v>
      </c>
      <c r="I1568" s="2">
        <v>0.95</v>
      </c>
      <c r="J1568" s="2">
        <v>0.96</v>
      </c>
      <c r="K1568">
        <v>10</v>
      </c>
      <c r="L1568" s="19">
        <v>1</v>
      </c>
      <c r="M1568" s="21">
        <f t="shared" si="13"/>
        <v>1</v>
      </c>
    </row>
    <row r="1569" spans="1:13" x14ac:dyDescent="0.2">
      <c r="A1569" t="s">
        <v>126</v>
      </c>
      <c r="B1569" t="str">
        <f>VLOOKUP(A1569,MasterTutor!A:E,4,FALSE)</f>
        <v>Distinguished</v>
      </c>
      <c r="C1569" t="str">
        <f>VLOOKUP(A1569,MasterTutor!A:E,3,FALSE)</f>
        <v>Professional</v>
      </c>
      <c r="D1569" t="str">
        <f>VLOOKUP(A1569,MasterTutor!A:E,2,FALSE)</f>
        <v>Ian Plamondon</v>
      </c>
      <c r="E1569" t="s">
        <v>373</v>
      </c>
      <c r="F1569" s="2">
        <v>0.33</v>
      </c>
      <c r="G1569" s="2">
        <v>1.07</v>
      </c>
      <c r="H1569" s="2">
        <v>1</v>
      </c>
      <c r="I1569" s="2">
        <v>1</v>
      </c>
      <c r="J1569" s="2">
        <v>0.75</v>
      </c>
      <c r="K1569">
        <v>1</v>
      </c>
      <c r="L1569" s="19">
        <v>1</v>
      </c>
      <c r="M1569" s="21">
        <f t="shared" si="13"/>
        <v>1</v>
      </c>
    </row>
    <row r="1570" spans="1:13" x14ac:dyDescent="0.2">
      <c r="A1570" t="s">
        <v>369</v>
      </c>
      <c r="B1570" t="e">
        <f>VLOOKUP(A1570,MasterTutor!A:E,4,FALSE)</f>
        <v>#N/A</v>
      </c>
      <c r="C1570" t="e">
        <f>VLOOKUP(A1570,MasterTutor!A:E,3,FALSE)</f>
        <v>#N/A</v>
      </c>
      <c r="D1570" t="e">
        <f>VLOOKUP(A1570,MasterTutor!A:E,2,FALSE)</f>
        <v>#N/A</v>
      </c>
      <c r="E1570" t="s">
        <v>373</v>
      </c>
      <c r="F1570" s="2">
        <v>0.97</v>
      </c>
      <c r="G1570" s="2">
        <v>1.0900000000000001</v>
      </c>
      <c r="H1570" s="2">
        <v>0.98</v>
      </c>
      <c r="I1570" s="2">
        <v>1</v>
      </c>
      <c r="J1570" s="2">
        <v>0.67</v>
      </c>
      <c r="K1570">
        <v>3</v>
      </c>
      <c r="L1570" s="19" t="s">
        <v>352</v>
      </c>
      <c r="M1570" s="21">
        <v>0.63</v>
      </c>
    </row>
    <row r="1571" spans="1:13" x14ac:dyDescent="0.2">
      <c r="A1571" t="s">
        <v>127</v>
      </c>
      <c r="B1571" t="str">
        <f>VLOOKUP(A1571,MasterTutor!A:E,4,FALSE)</f>
        <v>Premium</v>
      </c>
      <c r="C1571" t="str">
        <f>VLOOKUP(A1571,MasterTutor!A:E,3,FALSE)</f>
        <v>Professional</v>
      </c>
      <c r="D1571" t="str">
        <f>VLOOKUP(A1571,MasterTutor!A:E,2,FALSE)</f>
        <v>Jessica Milner</v>
      </c>
      <c r="E1571" t="s">
        <v>373</v>
      </c>
      <c r="F1571" s="2">
        <v>0.69</v>
      </c>
      <c r="G1571" s="2">
        <v>1.1299999999999999</v>
      </c>
      <c r="H1571" s="2">
        <v>1</v>
      </c>
      <c r="I1571" s="2">
        <v>0.98</v>
      </c>
      <c r="J1571" s="2">
        <v>0.94</v>
      </c>
      <c r="K1571">
        <v>1</v>
      </c>
      <c r="L1571" s="19">
        <v>1</v>
      </c>
      <c r="M1571" s="21">
        <f t="shared" ref="M1571:M1576" si="14">L1571</f>
        <v>1</v>
      </c>
    </row>
    <row r="1572" spans="1:13" x14ac:dyDescent="0.2">
      <c r="A1572" t="s">
        <v>128</v>
      </c>
      <c r="B1572" t="str">
        <f>VLOOKUP(A1572,MasterTutor!A:E,4,FALSE)</f>
        <v>Distinguished</v>
      </c>
      <c r="C1572" t="str">
        <f>VLOOKUP(A1572,MasterTutor!A:E,3,FALSE)</f>
        <v>Professional</v>
      </c>
      <c r="D1572" t="str">
        <f>VLOOKUP(A1572,MasterTutor!A:E,2,FALSE)</f>
        <v>Ian Plamondon</v>
      </c>
      <c r="E1572" t="s">
        <v>373</v>
      </c>
      <c r="F1572" s="2">
        <v>0.72</v>
      </c>
      <c r="G1572" s="2">
        <v>1.35</v>
      </c>
      <c r="H1572" s="2">
        <v>0.99</v>
      </c>
      <c r="I1572" s="2">
        <v>0.98</v>
      </c>
      <c r="J1572" s="2">
        <v>1</v>
      </c>
      <c r="K1572" t="e">
        <v>#N/A</v>
      </c>
      <c r="L1572" s="19">
        <v>1</v>
      </c>
      <c r="M1572" s="21">
        <f t="shared" si="14"/>
        <v>1</v>
      </c>
    </row>
    <row r="1573" spans="1:13" x14ac:dyDescent="0.2">
      <c r="A1573" t="s">
        <v>129</v>
      </c>
      <c r="B1573" t="str">
        <f>VLOOKUP(A1573,MasterTutor!A:E,4,FALSE)</f>
        <v>Premium</v>
      </c>
      <c r="C1573" t="str">
        <f>VLOOKUP(A1573,MasterTutor!A:E,3,FALSE)</f>
        <v>Adjunct</v>
      </c>
      <c r="D1573" t="str">
        <f>VLOOKUP(A1573,MasterTutor!A:E,2,FALSE)</f>
        <v>Annelies de Groot</v>
      </c>
      <c r="E1573" t="s">
        <v>373</v>
      </c>
      <c r="F1573" s="2">
        <v>0.9</v>
      </c>
      <c r="G1573" s="2">
        <v>1.44</v>
      </c>
      <c r="H1573" s="2">
        <v>0.97</v>
      </c>
      <c r="I1573" s="2">
        <v>1</v>
      </c>
      <c r="J1573" s="2">
        <v>0.75</v>
      </c>
      <c r="K1573">
        <v>1</v>
      </c>
      <c r="L1573" s="19">
        <v>0</v>
      </c>
      <c r="M1573" s="21">
        <f t="shared" si="14"/>
        <v>0</v>
      </c>
    </row>
    <row r="1574" spans="1:13" x14ac:dyDescent="0.2">
      <c r="A1574" t="s">
        <v>130</v>
      </c>
      <c r="B1574" t="str">
        <f>VLOOKUP(A1574,MasterTutor!A:E,4,FALSE)</f>
        <v>Premium</v>
      </c>
      <c r="C1574" t="str">
        <f>VLOOKUP(A1574,MasterTutor!A:E,3,FALSE)</f>
        <v>Adjunct</v>
      </c>
      <c r="D1574" t="str">
        <f>VLOOKUP(A1574,MasterTutor!A:E,2,FALSE)</f>
        <v>Ela Cross</v>
      </c>
      <c r="E1574" t="s">
        <v>373</v>
      </c>
      <c r="F1574" s="2">
        <v>0.56000000000000005</v>
      </c>
      <c r="G1574" s="2">
        <v>1.4</v>
      </c>
      <c r="H1574" s="2">
        <v>0.95</v>
      </c>
      <c r="I1574" s="2">
        <v>0.74</v>
      </c>
      <c r="J1574" s="2">
        <v>1</v>
      </c>
      <c r="K1574">
        <v>2</v>
      </c>
      <c r="L1574" s="19">
        <v>1</v>
      </c>
      <c r="M1574" s="21">
        <f t="shared" si="14"/>
        <v>1</v>
      </c>
    </row>
    <row r="1575" spans="1:13" x14ac:dyDescent="0.2">
      <c r="A1575" t="s">
        <v>131</v>
      </c>
      <c r="B1575" t="str">
        <f>VLOOKUP(A1575,MasterTutor!A:E,4,FALSE)</f>
        <v>Advanced</v>
      </c>
      <c r="C1575" t="str">
        <f>VLOOKUP(A1575,MasterTutor!A:E,3,FALSE)</f>
        <v>Professional</v>
      </c>
      <c r="D1575" t="str">
        <f>VLOOKUP(A1575,MasterTutor!A:E,2,FALSE)</f>
        <v>Ian Plamondon</v>
      </c>
      <c r="E1575" t="s">
        <v>373</v>
      </c>
      <c r="F1575" s="2">
        <v>0.61</v>
      </c>
      <c r="G1575" s="2">
        <v>0.99</v>
      </c>
      <c r="H1575" s="2">
        <v>0.97</v>
      </c>
      <c r="I1575" s="2">
        <v>0.98</v>
      </c>
      <c r="J1575" s="2">
        <v>0.72</v>
      </c>
      <c r="K1575">
        <v>1</v>
      </c>
      <c r="L1575" s="19">
        <v>1</v>
      </c>
      <c r="M1575" s="21">
        <f t="shared" si="14"/>
        <v>1</v>
      </c>
    </row>
    <row r="1576" spans="1:13" x14ac:dyDescent="0.2">
      <c r="A1576" t="s">
        <v>132</v>
      </c>
      <c r="B1576" t="str">
        <f>VLOOKUP(A1576,MasterTutor!A:E,4,FALSE)</f>
        <v>Distinguished</v>
      </c>
      <c r="C1576" t="str">
        <f>VLOOKUP(A1576,MasterTutor!A:E,3,FALSE)</f>
        <v>Professional</v>
      </c>
      <c r="D1576" t="str">
        <f>VLOOKUP(A1576,MasterTutor!A:E,2,FALSE)</f>
        <v>Kristin Haase-Alvey</v>
      </c>
      <c r="E1576" t="s">
        <v>373</v>
      </c>
      <c r="F1576" s="2">
        <v>0.76</v>
      </c>
      <c r="G1576" s="2">
        <v>1.1000000000000001</v>
      </c>
      <c r="H1576" s="2">
        <v>1</v>
      </c>
      <c r="I1576" s="2">
        <v>0.98</v>
      </c>
      <c r="J1576" s="2">
        <v>0.88</v>
      </c>
      <c r="K1576">
        <v>2</v>
      </c>
      <c r="L1576" s="19">
        <v>1</v>
      </c>
      <c r="M1576" s="21">
        <f t="shared" si="14"/>
        <v>1</v>
      </c>
    </row>
    <row r="1577" spans="1:13" x14ac:dyDescent="0.2">
      <c r="A1577" t="s">
        <v>133</v>
      </c>
      <c r="B1577" t="e">
        <f>VLOOKUP(A1577,MasterTutor!A:E,4,FALSE)</f>
        <v>#N/A</v>
      </c>
      <c r="C1577" t="e">
        <f>VLOOKUP(A1577,MasterTutor!A:E,3,FALSE)</f>
        <v>#N/A</v>
      </c>
      <c r="D1577" t="e">
        <f>VLOOKUP(A1577,MasterTutor!A:E,2,FALSE)</f>
        <v>#N/A</v>
      </c>
      <c r="E1577" t="s">
        <v>373</v>
      </c>
      <c r="F1577" s="2">
        <v>0.64</v>
      </c>
      <c r="G1577" s="2">
        <v>1.75</v>
      </c>
      <c r="H1577" s="2">
        <v>0.92</v>
      </c>
      <c r="I1577" s="2">
        <v>0.91</v>
      </c>
      <c r="J1577" s="2">
        <v>1</v>
      </c>
      <c r="K1577">
        <v>1</v>
      </c>
      <c r="L1577" s="19" t="s">
        <v>330</v>
      </c>
      <c r="M1577" s="21">
        <v>0.67</v>
      </c>
    </row>
    <row r="1578" spans="1:13" x14ac:dyDescent="0.2">
      <c r="A1578" t="s">
        <v>134</v>
      </c>
      <c r="B1578" t="str">
        <f>VLOOKUP(A1578,MasterTutor!A:E,4,FALSE)</f>
        <v>Distinguished</v>
      </c>
      <c r="C1578" t="str">
        <f>VLOOKUP(A1578,MasterTutor!A:E,3,FALSE)</f>
        <v>Professional</v>
      </c>
      <c r="D1578" t="str">
        <f>VLOOKUP(A1578,MasterTutor!A:E,2,FALSE)</f>
        <v>Annelies de Groot</v>
      </c>
      <c r="E1578" t="s">
        <v>373</v>
      </c>
      <c r="F1578" s="2">
        <v>0.74</v>
      </c>
      <c r="G1578" s="2">
        <v>1.01</v>
      </c>
      <c r="H1578" s="2">
        <v>0.98</v>
      </c>
      <c r="I1578" s="2">
        <v>1</v>
      </c>
      <c r="J1578" s="2">
        <v>0.42</v>
      </c>
      <c r="K1578">
        <v>2</v>
      </c>
      <c r="L1578" s="19" t="s">
        <v>329</v>
      </c>
      <c r="M1578" s="21">
        <v>0.75</v>
      </c>
    </row>
    <row r="1579" spans="1:13" x14ac:dyDescent="0.2">
      <c r="A1579" t="s">
        <v>366</v>
      </c>
      <c r="B1579" t="e">
        <f>VLOOKUP(A1579,MasterTutor!A:E,4,FALSE)</f>
        <v>#N/A</v>
      </c>
      <c r="C1579" t="e">
        <f>VLOOKUP(A1579,MasterTutor!A:E,3,FALSE)</f>
        <v>#N/A</v>
      </c>
      <c r="D1579" t="e">
        <f>VLOOKUP(A1579,MasterTutor!A:E,2,FALSE)</f>
        <v>#N/A</v>
      </c>
      <c r="E1579" t="s">
        <v>373</v>
      </c>
      <c r="F1579" s="2">
        <v>0.38</v>
      </c>
      <c r="G1579" s="2">
        <v>1.0900000000000001</v>
      </c>
      <c r="H1579" s="2">
        <v>1</v>
      </c>
      <c r="I1579" s="2">
        <v>0.77</v>
      </c>
      <c r="J1579" s="2">
        <v>0</v>
      </c>
      <c r="K1579" t="e">
        <v>#N/A</v>
      </c>
      <c r="L1579" s="19">
        <v>0</v>
      </c>
      <c r="M1579" s="21">
        <f>L1579</f>
        <v>0</v>
      </c>
    </row>
    <row r="1580" spans="1:13" x14ac:dyDescent="0.2">
      <c r="A1580" t="s">
        <v>135</v>
      </c>
      <c r="B1580" t="str">
        <f>VLOOKUP(A1580,MasterTutor!A:E,4,FALSE)</f>
        <v>Distinguished</v>
      </c>
      <c r="C1580" t="str">
        <f>VLOOKUP(A1580,MasterTutor!A:E,3,FALSE)</f>
        <v>Adjunct</v>
      </c>
      <c r="D1580" t="str">
        <f>VLOOKUP(A1580,MasterTutor!A:E,2,FALSE)</f>
        <v>Annelies de Groot</v>
      </c>
      <c r="E1580" t="s">
        <v>373</v>
      </c>
      <c r="F1580" s="2">
        <v>1.21</v>
      </c>
      <c r="G1580" s="2">
        <v>1.26</v>
      </c>
      <c r="H1580" s="2">
        <v>0.98</v>
      </c>
      <c r="I1580" s="2">
        <v>0.93</v>
      </c>
      <c r="J1580" s="2">
        <v>0.64</v>
      </c>
      <c r="K1580">
        <v>3</v>
      </c>
      <c r="L1580" s="19">
        <v>0</v>
      </c>
      <c r="M1580" s="21">
        <f>L1580</f>
        <v>0</v>
      </c>
    </row>
    <row r="1581" spans="1:13" x14ac:dyDescent="0.2">
      <c r="A1581" t="s">
        <v>136</v>
      </c>
      <c r="B1581" t="e">
        <f>VLOOKUP(A1581,MasterTutor!A:E,4,FALSE)</f>
        <v>#N/A</v>
      </c>
      <c r="C1581" t="e">
        <f>VLOOKUP(A1581,MasterTutor!A:E,3,FALSE)</f>
        <v>#N/A</v>
      </c>
      <c r="D1581" t="e">
        <f>VLOOKUP(A1581,MasterTutor!A:E,2,FALSE)</f>
        <v>#N/A</v>
      </c>
      <c r="E1581" t="s">
        <v>373</v>
      </c>
      <c r="F1581" s="2">
        <v>0.51</v>
      </c>
      <c r="G1581" s="2">
        <v>1.0900000000000001</v>
      </c>
      <c r="H1581" s="2">
        <v>0.97</v>
      </c>
      <c r="I1581" s="2">
        <v>0.78</v>
      </c>
      <c r="J1581" s="2">
        <v>0.82</v>
      </c>
      <c r="K1581">
        <v>8</v>
      </c>
    </row>
    <row r="1582" spans="1:13" x14ac:dyDescent="0.2">
      <c r="A1582" t="s">
        <v>294</v>
      </c>
      <c r="B1582" t="str">
        <f>VLOOKUP(A1582,MasterTutor!A:E,4,FALSE)</f>
        <v>Advanced</v>
      </c>
      <c r="C1582" t="str">
        <f>VLOOKUP(A1582,MasterTutor!A:E,3,FALSE)</f>
        <v>Adjunct</v>
      </c>
      <c r="D1582" t="str">
        <f>VLOOKUP(A1582,MasterTutor!A:E,2,FALSE)</f>
        <v>Kristin Haase-Alvey</v>
      </c>
      <c r="E1582" t="s">
        <v>373</v>
      </c>
      <c r="F1582" s="2">
        <v>0.71</v>
      </c>
      <c r="G1582" s="2">
        <v>1.0900000000000001</v>
      </c>
      <c r="H1582" s="2">
        <v>0.97</v>
      </c>
      <c r="I1582" s="2">
        <v>1</v>
      </c>
      <c r="J1582" s="2">
        <v>0.83</v>
      </c>
      <c r="K1582">
        <v>3</v>
      </c>
      <c r="L1582" s="19">
        <v>0</v>
      </c>
      <c r="M1582" s="21">
        <f>L1582</f>
        <v>0</v>
      </c>
    </row>
    <row r="1583" spans="1:13" x14ac:dyDescent="0.2">
      <c r="A1583" t="s">
        <v>137</v>
      </c>
      <c r="B1583" t="str">
        <f>VLOOKUP(A1583,MasterTutor!A:E,4,FALSE)</f>
        <v>Premium</v>
      </c>
      <c r="C1583" t="str">
        <f>VLOOKUP(A1583,MasterTutor!A:E,3,FALSE)</f>
        <v>Professional</v>
      </c>
      <c r="D1583" t="str">
        <f>VLOOKUP(A1583,MasterTutor!A:E,2,FALSE)</f>
        <v>Jessica Milner</v>
      </c>
      <c r="E1583" t="s">
        <v>373</v>
      </c>
      <c r="F1583" s="2">
        <v>0.68</v>
      </c>
      <c r="G1583" s="2">
        <v>1.2</v>
      </c>
      <c r="H1583" s="2">
        <v>0.99</v>
      </c>
      <c r="I1583" s="2">
        <v>1</v>
      </c>
      <c r="J1583" s="2">
        <v>0.88</v>
      </c>
      <c r="K1583">
        <v>2</v>
      </c>
      <c r="L1583" s="19">
        <v>0</v>
      </c>
      <c r="M1583" s="21">
        <f>L1583</f>
        <v>0</v>
      </c>
    </row>
    <row r="1584" spans="1:13" x14ac:dyDescent="0.2">
      <c r="A1584" t="s">
        <v>138</v>
      </c>
      <c r="B1584" t="str">
        <f>VLOOKUP(A1584,MasterTutor!A:E,4,FALSE)</f>
        <v>Advanced</v>
      </c>
      <c r="C1584" t="str">
        <f>VLOOKUP(A1584,MasterTutor!A:E,3,FALSE)</f>
        <v>Professional</v>
      </c>
      <c r="D1584" t="str">
        <f>VLOOKUP(A1584,MasterTutor!A:E,2,FALSE)</f>
        <v>Ela Cross</v>
      </c>
      <c r="E1584" t="s">
        <v>373</v>
      </c>
      <c r="F1584" s="2">
        <v>1.0900000000000001</v>
      </c>
      <c r="G1584" s="2">
        <v>1.1499999999999999</v>
      </c>
      <c r="H1584" s="2">
        <v>1</v>
      </c>
      <c r="I1584" s="2">
        <v>0.98</v>
      </c>
      <c r="J1584" s="2">
        <v>0.86</v>
      </c>
      <c r="K1584">
        <v>15</v>
      </c>
      <c r="L1584" s="19" t="s">
        <v>338</v>
      </c>
      <c r="M1584" s="21">
        <v>0.8</v>
      </c>
    </row>
    <row r="1585" spans="1:13" x14ac:dyDescent="0.2">
      <c r="A1585" t="s">
        <v>139</v>
      </c>
      <c r="B1585" t="str">
        <f>VLOOKUP(A1585,MasterTutor!A:E,4,FALSE)</f>
        <v>Distinguished</v>
      </c>
      <c r="C1585" t="str">
        <f>VLOOKUP(A1585,MasterTutor!A:E,3,FALSE)</f>
        <v>Professional</v>
      </c>
      <c r="D1585" t="str">
        <f>VLOOKUP(A1585,MasterTutor!A:E,2,FALSE)</f>
        <v>Ian Plamondon</v>
      </c>
      <c r="E1585" t="s">
        <v>373</v>
      </c>
      <c r="F1585" s="2">
        <v>1</v>
      </c>
      <c r="G1585" s="2">
        <v>1.01</v>
      </c>
      <c r="H1585" s="2">
        <v>1</v>
      </c>
      <c r="I1585" s="2">
        <v>0.94</v>
      </c>
      <c r="J1585" s="2">
        <v>0.47</v>
      </c>
      <c r="K1585">
        <v>1</v>
      </c>
      <c r="L1585" s="19">
        <v>1</v>
      </c>
      <c r="M1585" s="21">
        <f>L1585</f>
        <v>1</v>
      </c>
    </row>
    <row r="1586" spans="1:13" x14ac:dyDescent="0.2">
      <c r="A1586" t="s">
        <v>140</v>
      </c>
      <c r="B1586" t="str">
        <f>VLOOKUP(A1586,MasterTutor!A:E,4,FALSE)</f>
        <v>Advanced</v>
      </c>
      <c r="C1586" t="str">
        <f>VLOOKUP(A1586,MasterTutor!A:E,3,FALSE)</f>
        <v>Adjunct</v>
      </c>
      <c r="D1586" t="str">
        <f>VLOOKUP(A1586,MasterTutor!A:E,2,FALSE)</f>
        <v>Annelies de Groot</v>
      </c>
      <c r="E1586" t="s">
        <v>373</v>
      </c>
      <c r="F1586" s="2">
        <v>0.71</v>
      </c>
      <c r="G1586" s="2">
        <v>1.02</v>
      </c>
      <c r="H1586" s="2">
        <v>0.98</v>
      </c>
      <c r="I1586" s="2">
        <v>0.96</v>
      </c>
      <c r="J1586" s="2">
        <v>0.62</v>
      </c>
      <c r="K1586">
        <v>2</v>
      </c>
    </row>
    <row r="1587" spans="1:13" x14ac:dyDescent="0.2">
      <c r="A1587" t="s">
        <v>141</v>
      </c>
      <c r="B1587" t="str">
        <f>VLOOKUP(A1587,MasterTutor!A:E,4,FALSE)</f>
        <v>Distinguished</v>
      </c>
      <c r="C1587" t="str">
        <f>VLOOKUP(A1587,MasterTutor!A:E,3,FALSE)</f>
        <v>Adjunct</v>
      </c>
      <c r="D1587" t="str">
        <f>VLOOKUP(A1587,MasterTutor!A:E,2,FALSE)</f>
        <v>Annelies de Groot</v>
      </c>
      <c r="E1587" t="s">
        <v>373</v>
      </c>
      <c r="F1587" s="2">
        <v>0.23</v>
      </c>
      <c r="G1587" s="2">
        <v>0.9</v>
      </c>
      <c r="H1587" s="2">
        <v>1</v>
      </c>
      <c r="I1587" s="2">
        <v>1</v>
      </c>
      <c r="J1587" s="2">
        <v>0</v>
      </c>
      <c r="K1587" t="e">
        <v>#N/A</v>
      </c>
    </row>
    <row r="1588" spans="1:13" x14ac:dyDescent="0.2">
      <c r="A1588" t="s">
        <v>142</v>
      </c>
      <c r="B1588" t="str">
        <f>VLOOKUP(A1588,MasterTutor!A:E,4,FALSE)</f>
        <v>Advanced</v>
      </c>
      <c r="C1588" t="str">
        <f>VLOOKUP(A1588,MasterTutor!A:E,3,FALSE)</f>
        <v>Professional</v>
      </c>
      <c r="D1588" t="str">
        <f>VLOOKUP(A1588,MasterTutor!A:E,2,FALSE)</f>
        <v>Ian Plamondon</v>
      </c>
      <c r="E1588" t="s">
        <v>373</v>
      </c>
      <c r="F1588" s="2">
        <v>0.92</v>
      </c>
      <c r="G1588" s="2">
        <v>1.06</v>
      </c>
      <c r="H1588" s="2">
        <v>0.99</v>
      </c>
      <c r="I1588" s="2">
        <v>1</v>
      </c>
      <c r="J1588" s="2">
        <v>0.57999999999999996</v>
      </c>
      <c r="K1588">
        <v>6</v>
      </c>
      <c r="L1588" s="19" t="s">
        <v>374</v>
      </c>
      <c r="M1588" s="21">
        <v>0.22</v>
      </c>
    </row>
    <row r="1589" spans="1:13" x14ac:dyDescent="0.2">
      <c r="A1589" t="s">
        <v>143</v>
      </c>
      <c r="B1589" t="str">
        <f>VLOOKUP(A1589,MasterTutor!A:E,4,FALSE)</f>
        <v>Distinguished</v>
      </c>
      <c r="C1589" t="str">
        <f>VLOOKUP(A1589,MasterTutor!A:E,3,FALSE)</f>
        <v>Adjunct</v>
      </c>
      <c r="D1589" t="str">
        <f>VLOOKUP(A1589,MasterTutor!A:E,2,FALSE)</f>
        <v>Annelies de Groot</v>
      </c>
      <c r="E1589" t="s">
        <v>373</v>
      </c>
      <c r="F1589" s="2">
        <v>0.35</v>
      </c>
      <c r="G1589" s="2">
        <v>1.25</v>
      </c>
      <c r="H1589" s="2">
        <v>0.94</v>
      </c>
      <c r="I1589" s="2">
        <v>1</v>
      </c>
      <c r="J1589" s="2">
        <v>0.5</v>
      </c>
      <c r="K1589" t="e">
        <v>#N/A</v>
      </c>
    </row>
    <row r="1590" spans="1:13" x14ac:dyDescent="0.2">
      <c r="A1590" t="s">
        <v>144</v>
      </c>
      <c r="B1590" t="str">
        <f>VLOOKUP(A1590,MasterTutor!A:E,4,FALSE)</f>
        <v>Distinguished</v>
      </c>
      <c r="C1590" t="str">
        <f>VLOOKUP(A1590,MasterTutor!A:E,3,FALSE)</f>
        <v>Professional</v>
      </c>
      <c r="D1590" t="str">
        <f>VLOOKUP(A1590,MasterTutor!A:E,2,FALSE)</f>
        <v>Annelies de Groot</v>
      </c>
      <c r="E1590" t="s">
        <v>373</v>
      </c>
      <c r="F1590" s="2">
        <v>0.55000000000000004</v>
      </c>
      <c r="G1590" s="2">
        <v>0.99</v>
      </c>
      <c r="H1590" s="2">
        <v>1</v>
      </c>
      <c r="I1590" s="2">
        <v>0.98</v>
      </c>
      <c r="J1590" s="2">
        <v>0.5</v>
      </c>
      <c r="K1590">
        <v>6</v>
      </c>
    </row>
    <row r="1591" spans="1:13" x14ac:dyDescent="0.2">
      <c r="A1591" t="s">
        <v>145</v>
      </c>
      <c r="B1591" t="str">
        <f>VLOOKUP(A1591,MasterTutor!A:E,4,FALSE)</f>
        <v>Premium</v>
      </c>
      <c r="C1591" t="str">
        <f>VLOOKUP(A1591,MasterTutor!A:E,3,FALSE)</f>
        <v>Professional</v>
      </c>
      <c r="D1591" t="str">
        <f>VLOOKUP(A1591,MasterTutor!A:E,2,FALSE)</f>
        <v>Jessica Milner</v>
      </c>
      <c r="E1591" t="s">
        <v>373</v>
      </c>
      <c r="F1591" s="2">
        <v>0.6</v>
      </c>
      <c r="G1591" s="2">
        <v>1.1100000000000001</v>
      </c>
      <c r="H1591" s="2">
        <v>1</v>
      </c>
      <c r="I1591" s="2">
        <v>1</v>
      </c>
      <c r="J1591" s="2">
        <v>0.93</v>
      </c>
      <c r="K1591">
        <v>1</v>
      </c>
      <c r="L1591" s="19">
        <v>1</v>
      </c>
      <c r="M1591" s="21">
        <f>L1591</f>
        <v>1</v>
      </c>
    </row>
    <row r="1592" spans="1:13" x14ac:dyDescent="0.2">
      <c r="A1592" t="s">
        <v>146</v>
      </c>
      <c r="B1592" t="str">
        <f>VLOOKUP(A1592,MasterTutor!A:E,4,FALSE)</f>
        <v>Distinguished</v>
      </c>
      <c r="C1592" t="str">
        <f>VLOOKUP(A1592,MasterTutor!A:E,3,FALSE)</f>
        <v>Adjunct</v>
      </c>
      <c r="D1592" t="str">
        <f>VLOOKUP(A1592,MasterTutor!A:E,2,FALSE)</f>
        <v>Ian Plamondon</v>
      </c>
      <c r="E1592" t="s">
        <v>373</v>
      </c>
      <c r="F1592" s="2">
        <v>0.65</v>
      </c>
      <c r="G1592" s="2">
        <v>0.96</v>
      </c>
      <c r="H1592" s="2">
        <v>1</v>
      </c>
      <c r="I1592" s="2">
        <v>0.89</v>
      </c>
      <c r="J1592" s="2">
        <v>0.75</v>
      </c>
      <c r="K1592">
        <v>2</v>
      </c>
    </row>
    <row r="1593" spans="1:13" x14ac:dyDescent="0.2">
      <c r="A1593" t="s">
        <v>147</v>
      </c>
      <c r="B1593" t="str">
        <f>VLOOKUP(A1593,MasterTutor!A:E,4,FALSE)</f>
        <v>Premium</v>
      </c>
      <c r="C1593" t="str">
        <f>VLOOKUP(A1593,MasterTutor!A:E,3,FALSE)</f>
        <v>Adjunct</v>
      </c>
      <c r="D1593" t="str">
        <f>VLOOKUP(A1593,MasterTutor!A:E,2,FALSE)</f>
        <v>Ela Cross</v>
      </c>
      <c r="E1593" t="s">
        <v>373</v>
      </c>
      <c r="F1593" s="2">
        <v>0.57999999999999996</v>
      </c>
      <c r="G1593" s="2">
        <v>1.08</v>
      </c>
      <c r="H1593" s="2">
        <v>1</v>
      </c>
      <c r="I1593" s="2">
        <v>1</v>
      </c>
      <c r="J1593" s="2">
        <v>0.73</v>
      </c>
      <c r="K1593" t="e">
        <v>#N/A</v>
      </c>
      <c r="L1593" s="19">
        <v>1</v>
      </c>
      <c r="M1593" s="21">
        <f>L1593</f>
        <v>1</v>
      </c>
    </row>
    <row r="1594" spans="1:13" x14ac:dyDescent="0.2">
      <c r="A1594" t="s">
        <v>148</v>
      </c>
      <c r="B1594" t="str">
        <f>VLOOKUP(A1594,MasterTutor!A:E,4,FALSE)</f>
        <v>Advanced</v>
      </c>
      <c r="C1594" t="str">
        <f>VLOOKUP(A1594,MasterTutor!A:E,3,FALSE)</f>
        <v>Adjunct</v>
      </c>
      <c r="D1594" t="str">
        <f>VLOOKUP(A1594,MasterTutor!A:E,2,FALSE)</f>
        <v>Ela Cross</v>
      </c>
      <c r="E1594" t="s">
        <v>373</v>
      </c>
      <c r="F1594" s="2">
        <v>1.33</v>
      </c>
      <c r="G1594" s="2">
        <v>1.24</v>
      </c>
      <c r="H1594" s="2">
        <v>0.99</v>
      </c>
      <c r="I1594" s="2">
        <v>1</v>
      </c>
      <c r="J1594" s="2">
        <v>0.92</v>
      </c>
      <c r="K1594">
        <v>10</v>
      </c>
      <c r="L1594" s="19">
        <v>0</v>
      </c>
      <c r="M1594" s="21">
        <f>L1594</f>
        <v>0</v>
      </c>
    </row>
    <row r="1595" spans="1:13" x14ac:dyDescent="0.2">
      <c r="A1595" t="s">
        <v>149</v>
      </c>
      <c r="B1595" t="str">
        <f>VLOOKUP(A1595,MasterTutor!A:E,4,FALSE)</f>
        <v>Distinguished</v>
      </c>
      <c r="C1595" t="str">
        <f>VLOOKUP(A1595,MasterTutor!A:E,3,FALSE)</f>
        <v>Professional</v>
      </c>
      <c r="D1595" t="str">
        <f>VLOOKUP(A1595,MasterTutor!A:E,2,FALSE)</f>
        <v>Ian Plamondon</v>
      </c>
      <c r="E1595" t="s">
        <v>373</v>
      </c>
      <c r="F1595" s="2">
        <v>0.75</v>
      </c>
      <c r="G1595" s="2">
        <v>0.98</v>
      </c>
      <c r="H1595" s="2">
        <v>0.92</v>
      </c>
      <c r="I1595" s="2">
        <v>0.73</v>
      </c>
      <c r="J1595" s="2">
        <v>0.62</v>
      </c>
      <c r="K1595">
        <v>4</v>
      </c>
      <c r="L1595" s="19">
        <v>0</v>
      </c>
      <c r="M1595" s="21">
        <f>L1595</f>
        <v>0</v>
      </c>
    </row>
    <row r="1596" spans="1:13" x14ac:dyDescent="0.2">
      <c r="A1596" t="s">
        <v>361</v>
      </c>
      <c r="B1596" t="e">
        <f>VLOOKUP(A1596,MasterTutor!A:E,4,FALSE)</f>
        <v>#N/A</v>
      </c>
      <c r="C1596" t="e">
        <f>VLOOKUP(A1596,MasterTutor!A:E,3,FALSE)</f>
        <v>#N/A</v>
      </c>
      <c r="D1596" t="e">
        <f>VLOOKUP(A1596,MasterTutor!A:E,2,FALSE)</f>
        <v>#N/A</v>
      </c>
      <c r="E1596" t="s">
        <v>373</v>
      </c>
      <c r="F1596" s="2">
        <v>0.6</v>
      </c>
      <c r="G1596" s="2">
        <v>0.94</v>
      </c>
      <c r="H1596" s="2">
        <v>0.97</v>
      </c>
      <c r="I1596" s="2">
        <v>0.83</v>
      </c>
      <c r="J1596" s="2">
        <v>0.73</v>
      </c>
      <c r="K1596">
        <v>3</v>
      </c>
      <c r="L1596" s="19">
        <v>0</v>
      </c>
      <c r="M1596" s="21">
        <f>L1596</f>
        <v>0</v>
      </c>
    </row>
    <row r="1597" spans="1:13" x14ac:dyDescent="0.2">
      <c r="A1597" t="s">
        <v>150</v>
      </c>
      <c r="B1597" t="str">
        <f>VLOOKUP(A1597,MasterTutor!A:E,4,FALSE)</f>
        <v>Advanced</v>
      </c>
      <c r="C1597" t="str">
        <f>VLOOKUP(A1597,MasterTutor!A:E,3,FALSE)</f>
        <v>Adjunct</v>
      </c>
      <c r="D1597" t="str">
        <f>VLOOKUP(A1597,MasterTutor!A:E,2,FALSE)</f>
        <v>Ela Cross</v>
      </c>
      <c r="E1597" t="s">
        <v>373</v>
      </c>
      <c r="F1597" s="2">
        <v>0.36</v>
      </c>
      <c r="G1597" s="2">
        <v>0.52</v>
      </c>
      <c r="H1597" s="2">
        <v>0.95</v>
      </c>
      <c r="I1597" s="2">
        <v>0.92</v>
      </c>
      <c r="J1597" s="2">
        <v>0.86</v>
      </c>
      <c r="K1597">
        <v>1</v>
      </c>
    </row>
    <row r="1598" spans="1:13" x14ac:dyDescent="0.2">
      <c r="A1598" t="s">
        <v>151</v>
      </c>
      <c r="B1598" t="e">
        <f>VLOOKUP(A1598,MasterTutor!A:E,4,FALSE)</f>
        <v>#N/A</v>
      </c>
      <c r="C1598" t="e">
        <f>VLOOKUP(A1598,MasterTutor!A:E,3,FALSE)</f>
        <v>#N/A</v>
      </c>
      <c r="D1598" t="e">
        <f>VLOOKUP(A1598,MasterTutor!A:E,2,FALSE)</f>
        <v>#N/A</v>
      </c>
      <c r="E1598" t="s">
        <v>373</v>
      </c>
      <c r="F1598" s="2">
        <v>0.89</v>
      </c>
      <c r="G1598" s="2">
        <v>1.64</v>
      </c>
      <c r="H1598" s="2">
        <v>1</v>
      </c>
      <c r="I1598" s="2">
        <v>0.92</v>
      </c>
      <c r="J1598" s="2">
        <v>0.79</v>
      </c>
      <c r="K1598" t="e">
        <v>#N/A</v>
      </c>
      <c r="L1598" s="19">
        <v>1</v>
      </c>
      <c r="M1598" s="21">
        <f t="shared" ref="M1598:M1603" si="15">L1598</f>
        <v>1</v>
      </c>
    </row>
    <row r="1599" spans="1:13" x14ac:dyDescent="0.2">
      <c r="A1599" t="s">
        <v>297</v>
      </c>
      <c r="B1599" t="e">
        <f>VLOOKUP(A1599,MasterTutor!A:E,4,FALSE)</f>
        <v>#N/A</v>
      </c>
      <c r="C1599" t="e">
        <f>VLOOKUP(A1599,MasterTutor!A:E,3,FALSE)</f>
        <v>#N/A</v>
      </c>
      <c r="D1599" t="e">
        <f>VLOOKUP(A1599,MasterTutor!A:E,2,FALSE)</f>
        <v>#N/A</v>
      </c>
      <c r="E1599" t="s">
        <v>373</v>
      </c>
      <c r="F1599" s="2">
        <v>0.76</v>
      </c>
      <c r="G1599" s="2">
        <v>1.1200000000000001</v>
      </c>
      <c r="H1599" s="2">
        <v>1</v>
      </c>
      <c r="I1599" s="2">
        <v>0.87</v>
      </c>
      <c r="J1599" s="2">
        <v>0.35</v>
      </c>
      <c r="K1599">
        <v>3</v>
      </c>
      <c r="L1599" s="19">
        <v>0</v>
      </c>
      <c r="M1599" s="21">
        <f t="shared" si="15"/>
        <v>0</v>
      </c>
    </row>
    <row r="1600" spans="1:13" x14ac:dyDescent="0.2">
      <c r="A1600" t="s">
        <v>152</v>
      </c>
      <c r="B1600" t="str">
        <f>VLOOKUP(A1600,MasterTutor!A:E,4,FALSE)</f>
        <v>Premium</v>
      </c>
      <c r="C1600" t="str">
        <f>VLOOKUP(A1600,MasterTutor!A:E,3,FALSE)</f>
        <v>Professional</v>
      </c>
      <c r="D1600" t="str">
        <f>VLOOKUP(A1600,MasterTutor!A:E,2,FALSE)</f>
        <v>Ian Plamondon</v>
      </c>
      <c r="E1600" t="s">
        <v>373</v>
      </c>
      <c r="F1600" s="2">
        <v>0.96</v>
      </c>
      <c r="G1600" s="2">
        <v>1.33</v>
      </c>
      <c r="H1600" s="2">
        <v>1</v>
      </c>
      <c r="I1600" s="2">
        <v>1</v>
      </c>
      <c r="J1600" s="2">
        <v>0.63</v>
      </c>
      <c r="K1600">
        <v>3</v>
      </c>
      <c r="L1600" s="19">
        <v>1</v>
      </c>
      <c r="M1600" s="21">
        <f t="shared" si="15"/>
        <v>1</v>
      </c>
    </row>
    <row r="1601" spans="1:13" x14ac:dyDescent="0.2">
      <c r="A1601" t="s">
        <v>153</v>
      </c>
      <c r="B1601" t="str">
        <f>VLOOKUP(A1601,MasterTutor!A:E,4,FALSE)</f>
        <v>Distinguished</v>
      </c>
      <c r="C1601" t="str">
        <f>VLOOKUP(A1601,MasterTutor!A:E,3,FALSE)</f>
        <v>Professional</v>
      </c>
      <c r="D1601" t="str">
        <f>VLOOKUP(A1601,MasterTutor!A:E,2,FALSE)</f>
        <v>Ian Plamondon</v>
      </c>
      <c r="E1601" t="s">
        <v>373</v>
      </c>
      <c r="F1601" s="2">
        <v>0.67</v>
      </c>
      <c r="G1601" s="2">
        <v>1.1299999999999999</v>
      </c>
      <c r="H1601" s="2">
        <v>0.99</v>
      </c>
      <c r="I1601" s="2">
        <v>0.78</v>
      </c>
      <c r="J1601" s="2">
        <v>0.71</v>
      </c>
      <c r="K1601">
        <v>5</v>
      </c>
      <c r="L1601" s="19">
        <v>0</v>
      </c>
      <c r="M1601" s="21">
        <f t="shared" si="15"/>
        <v>0</v>
      </c>
    </row>
    <row r="1602" spans="1:13" x14ac:dyDescent="0.2">
      <c r="A1602" t="s">
        <v>299</v>
      </c>
      <c r="B1602" t="str">
        <f>VLOOKUP(A1602,MasterTutor!A:E,4,FALSE)</f>
        <v>Advanced</v>
      </c>
      <c r="C1602" t="str">
        <f>VLOOKUP(A1602,MasterTutor!A:E,3,FALSE)</f>
        <v>Professional</v>
      </c>
      <c r="D1602" t="str">
        <f>VLOOKUP(A1602,MasterTutor!A:E,2,FALSE)</f>
        <v>Ela Cross</v>
      </c>
      <c r="E1602" t="s">
        <v>373</v>
      </c>
      <c r="F1602" s="2">
        <v>0.84</v>
      </c>
      <c r="G1602" s="2">
        <v>1.17</v>
      </c>
      <c r="H1602" s="2">
        <v>1</v>
      </c>
      <c r="I1602" s="2">
        <v>0.89</v>
      </c>
      <c r="J1602" s="2">
        <v>0.73</v>
      </c>
      <c r="K1602">
        <v>3</v>
      </c>
      <c r="L1602" s="19">
        <v>1</v>
      </c>
      <c r="M1602" s="21">
        <f t="shared" si="15"/>
        <v>1</v>
      </c>
    </row>
    <row r="1603" spans="1:13" x14ac:dyDescent="0.2">
      <c r="A1603" t="s">
        <v>155</v>
      </c>
      <c r="B1603" t="str">
        <f>VLOOKUP(A1603,MasterTutor!A:E,4,FALSE)</f>
        <v>Distinguished</v>
      </c>
      <c r="C1603" t="str">
        <f>VLOOKUP(A1603,MasterTutor!A:E,3,FALSE)</f>
        <v>Professional</v>
      </c>
      <c r="D1603" t="str">
        <f>VLOOKUP(A1603,MasterTutor!A:E,2,FALSE)</f>
        <v>Kristin Haase-Alvey</v>
      </c>
      <c r="E1603" t="s">
        <v>373</v>
      </c>
      <c r="F1603" s="2">
        <v>0.83</v>
      </c>
      <c r="G1603" s="2">
        <v>1.1100000000000001</v>
      </c>
      <c r="H1603" s="2">
        <v>1</v>
      </c>
      <c r="I1603" s="2">
        <v>1</v>
      </c>
      <c r="J1603" s="2">
        <v>0.53</v>
      </c>
      <c r="K1603">
        <v>9</v>
      </c>
      <c r="L1603" s="19">
        <v>1</v>
      </c>
      <c r="M1603" s="21">
        <f t="shared" si="15"/>
        <v>1</v>
      </c>
    </row>
    <row r="1604" spans="1:13" x14ac:dyDescent="0.2">
      <c r="A1604" t="s">
        <v>301</v>
      </c>
      <c r="B1604" t="str">
        <f>VLOOKUP(A1604,MasterTutor!A:E,4,FALSE)</f>
        <v>Advanced</v>
      </c>
      <c r="C1604" t="str">
        <f>VLOOKUP(A1604,MasterTutor!A:E,3,FALSE)</f>
        <v>Professional</v>
      </c>
      <c r="D1604" t="str">
        <f>VLOOKUP(A1604,MasterTutor!A:E,2,FALSE)</f>
        <v>Kristin Haase-Alvey</v>
      </c>
      <c r="E1604" t="s">
        <v>373</v>
      </c>
      <c r="F1604" s="2">
        <v>0.98</v>
      </c>
      <c r="G1604" s="2">
        <v>1.5</v>
      </c>
      <c r="H1604" s="2">
        <v>1</v>
      </c>
      <c r="I1604" s="2">
        <v>1</v>
      </c>
      <c r="J1604" s="2">
        <v>0.75</v>
      </c>
      <c r="K1604">
        <v>5</v>
      </c>
      <c r="L1604" s="19" t="s">
        <v>345</v>
      </c>
      <c r="M1604" s="21">
        <v>0.2</v>
      </c>
    </row>
    <row r="1605" spans="1:13" x14ac:dyDescent="0.2">
      <c r="A1605" t="s">
        <v>302</v>
      </c>
      <c r="B1605" t="str">
        <f>VLOOKUP(A1605,MasterTutor!A:E,4,FALSE)</f>
        <v>Advanced</v>
      </c>
      <c r="C1605" t="str">
        <f>VLOOKUP(A1605,MasterTutor!A:E,3,FALSE)</f>
        <v>Professional</v>
      </c>
      <c r="D1605" t="str">
        <f>VLOOKUP(A1605,MasterTutor!A:E,2,FALSE)</f>
        <v>Ela Cross</v>
      </c>
      <c r="E1605" t="s">
        <v>373</v>
      </c>
      <c r="F1605" s="2">
        <v>1.1000000000000001</v>
      </c>
      <c r="G1605" s="2">
        <v>1.27</v>
      </c>
      <c r="H1605" s="2">
        <v>0.99</v>
      </c>
      <c r="I1605" s="2">
        <v>0.99</v>
      </c>
      <c r="J1605" s="2">
        <v>0.32</v>
      </c>
      <c r="K1605">
        <v>11</v>
      </c>
      <c r="L1605" s="19">
        <v>0</v>
      </c>
      <c r="M1605" s="21">
        <f>L1605</f>
        <v>0</v>
      </c>
    </row>
    <row r="1606" spans="1:13" x14ac:dyDescent="0.2">
      <c r="A1606" t="s">
        <v>156</v>
      </c>
      <c r="B1606" t="e">
        <f>VLOOKUP(A1606,MasterTutor!A:E,4,FALSE)</f>
        <v>#N/A</v>
      </c>
      <c r="C1606" t="e">
        <f>VLOOKUP(A1606,MasterTutor!A:E,3,FALSE)</f>
        <v>#N/A</v>
      </c>
      <c r="D1606" t="e">
        <f>VLOOKUP(A1606,MasterTutor!A:E,2,FALSE)</f>
        <v>#N/A</v>
      </c>
      <c r="E1606" t="s">
        <v>373</v>
      </c>
      <c r="F1606" s="2">
        <v>0.97</v>
      </c>
      <c r="G1606" s="2">
        <v>1.0900000000000001</v>
      </c>
      <c r="H1606" s="2">
        <v>0.98</v>
      </c>
      <c r="I1606" s="2">
        <v>0.95</v>
      </c>
      <c r="J1606" s="2">
        <v>1</v>
      </c>
      <c r="K1606">
        <v>1</v>
      </c>
    </row>
    <row r="1607" spans="1:13" x14ac:dyDescent="0.2">
      <c r="A1607" t="s">
        <v>157</v>
      </c>
      <c r="B1607" t="str">
        <f>VLOOKUP(A1607,MasterTutor!A:E,4,FALSE)</f>
        <v>Advanced</v>
      </c>
      <c r="C1607" t="str">
        <f>VLOOKUP(A1607,MasterTutor!A:E,3,FALSE)</f>
        <v>Adjunct</v>
      </c>
      <c r="D1607" t="str">
        <f>VLOOKUP(A1607,MasterTutor!A:E,2,FALSE)</f>
        <v>Kristin Haase-Alvey</v>
      </c>
      <c r="E1607" t="s">
        <v>373</v>
      </c>
      <c r="F1607" s="2">
        <v>0.71</v>
      </c>
      <c r="G1607" s="2">
        <v>1.19</v>
      </c>
      <c r="H1607" s="2">
        <v>0.88</v>
      </c>
      <c r="I1607" s="2">
        <v>1</v>
      </c>
      <c r="J1607" s="2">
        <v>0.69</v>
      </c>
      <c r="K1607" t="e">
        <v>#N/A</v>
      </c>
      <c r="L1607" s="19">
        <v>1</v>
      </c>
      <c r="M1607" s="21">
        <f>L1607</f>
        <v>1</v>
      </c>
    </row>
    <row r="1608" spans="1:13" x14ac:dyDescent="0.2">
      <c r="A1608" t="s">
        <v>158</v>
      </c>
      <c r="B1608" t="str">
        <f>VLOOKUP(A1608,MasterTutor!A:E,4,FALSE)</f>
        <v>Advanced</v>
      </c>
      <c r="C1608" t="str">
        <f>VLOOKUP(A1608,MasterTutor!A:E,3,FALSE)</f>
        <v>Adjunct</v>
      </c>
      <c r="D1608" t="str">
        <f>VLOOKUP(A1608,MasterTutor!A:E,2,FALSE)</f>
        <v>Annelies de Groot</v>
      </c>
      <c r="E1608" t="s">
        <v>373</v>
      </c>
      <c r="F1608" s="2">
        <v>0.54</v>
      </c>
      <c r="G1608" s="2">
        <v>1.06</v>
      </c>
      <c r="H1608" s="2">
        <v>0.98</v>
      </c>
      <c r="I1608" s="2">
        <v>0.65</v>
      </c>
      <c r="J1608" s="2">
        <v>0.67</v>
      </c>
      <c r="K1608" t="e">
        <v>#N/A</v>
      </c>
      <c r="L1608" s="19">
        <v>1</v>
      </c>
      <c r="M1608" s="21">
        <f>L1608</f>
        <v>1</v>
      </c>
    </row>
    <row r="1609" spans="1:13" x14ac:dyDescent="0.2">
      <c r="A1609" t="s">
        <v>160</v>
      </c>
      <c r="B1609" t="str">
        <f>VLOOKUP(A1609,MasterTutor!A:E,4,FALSE)</f>
        <v>Distinguished</v>
      </c>
      <c r="C1609" t="str">
        <f>VLOOKUP(A1609,MasterTutor!A:E,3,FALSE)</f>
        <v>Adjunct</v>
      </c>
      <c r="D1609" t="str">
        <f>VLOOKUP(A1609,MasterTutor!A:E,2,FALSE)</f>
        <v>Ela Cross</v>
      </c>
      <c r="E1609" t="s">
        <v>373</v>
      </c>
      <c r="F1609" s="2">
        <v>0.31</v>
      </c>
      <c r="G1609" s="2">
        <v>1.28</v>
      </c>
      <c r="H1609" s="2">
        <v>0.86</v>
      </c>
      <c r="I1609" s="2">
        <v>0.78</v>
      </c>
      <c r="J1609" s="2">
        <v>0.63</v>
      </c>
      <c r="K1609" t="e">
        <v>#N/A</v>
      </c>
    </row>
    <row r="1610" spans="1:13" x14ac:dyDescent="0.2">
      <c r="A1610" t="s">
        <v>161</v>
      </c>
      <c r="B1610" t="str">
        <f>VLOOKUP(A1610,MasterTutor!A:E,4,FALSE)</f>
        <v>Distinguished</v>
      </c>
      <c r="C1610" t="str">
        <f>VLOOKUP(A1610,MasterTutor!A:E,3,FALSE)</f>
        <v>Professional</v>
      </c>
      <c r="D1610" t="str">
        <f>VLOOKUP(A1610,MasterTutor!A:E,2,FALSE)</f>
        <v>Ian Plamondon</v>
      </c>
      <c r="E1610" t="s">
        <v>373</v>
      </c>
      <c r="F1610" s="2">
        <v>0.67</v>
      </c>
      <c r="G1610" s="2">
        <v>1.1100000000000001</v>
      </c>
      <c r="H1610" s="2">
        <v>1</v>
      </c>
      <c r="I1610" s="2">
        <v>1</v>
      </c>
      <c r="J1610" s="2">
        <v>0.87</v>
      </c>
      <c r="K1610" t="e">
        <v>#N/A</v>
      </c>
      <c r="L1610" s="19">
        <v>1</v>
      </c>
      <c r="M1610" s="21">
        <f>L1610</f>
        <v>1</v>
      </c>
    </row>
    <row r="1611" spans="1:13" x14ac:dyDescent="0.2">
      <c r="A1611" t="s">
        <v>162</v>
      </c>
      <c r="B1611" t="e">
        <f>VLOOKUP(A1611,MasterTutor!A:E,4,FALSE)</f>
        <v>#N/A</v>
      </c>
      <c r="C1611" t="e">
        <f>VLOOKUP(A1611,MasterTutor!A:E,3,FALSE)</f>
        <v>#N/A</v>
      </c>
      <c r="D1611" t="e">
        <f>VLOOKUP(A1611,MasterTutor!A:E,2,FALSE)</f>
        <v>#N/A</v>
      </c>
      <c r="E1611" t="s">
        <v>373</v>
      </c>
      <c r="F1611" s="2">
        <v>0.38</v>
      </c>
      <c r="G1611" s="2">
        <v>1.1200000000000001</v>
      </c>
      <c r="H1611" s="2">
        <v>0.9</v>
      </c>
      <c r="I1611" s="2">
        <v>1</v>
      </c>
      <c r="J1611" s="2">
        <v>0.56999999999999995</v>
      </c>
      <c r="K1611">
        <v>4</v>
      </c>
      <c r="L1611" s="19">
        <v>1</v>
      </c>
      <c r="M1611" s="21">
        <f>L1611</f>
        <v>1</v>
      </c>
    </row>
    <row r="1612" spans="1:13" x14ac:dyDescent="0.2">
      <c r="A1612" t="s">
        <v>163</v>
      </c>
      <c r="B1612" t="str">
        <f>VLOOKUP(A1612,MasterTutor!A:E,4,FALSE)</f>
        <v>Premium</v>
      </c>
      <c r="C1612" t="str">
        <f>VLOOKUP(A1612,MasterTutor!A:E,3,FALSE)</f>
        <v>Professional</v>
      </c>
      <c r="D1612" t="str">
        <f>VLOOKUP(A1612,MasterTutor!A:E,2,FALSE)</f>
        <v>Jessica Milner</v>
      </c>
      <c r="E1612" t="s">
        <v>373</v>
      </c>
      <c r="F1612" s="2">
        <v>1.23</v>
      </c>
      <c r="G1612" s="2">
        <v>1.22</v>
      </c>
      <c r="H1612" s="2">
        <v>0.49</v>
      </c>
      <c r="I1612" s="2">
        <v>0.91</v>
      </c>
      <c r="J1612" s="2">
        <v>0.18</v>
      </c>
      <c r="K1612">
        <v>4</v>
      </c>
    </row>
    <row r="1613" spans="1:13" x14ac:dyDescent="0.2">
      <c r="A1613" t="s">
        <v>164</v>
      </c>
      <c r="B1613" t="str">
        <f>VLOOKUP(A1613,MasterTutor!A:E,4,FALSE)</f>
        <v>Advanced</v>
      </c>
      <c r="C1613" t="str">
        <f>VLOOKUP(A1613,MasterTutor!A:E,3,FALSE)</f>
        <v>Professional</v>
      </c>
      <c r="D1613" t="str">
        <f>VLOOKUP(A1613,MasterTutor!A:E,2,FALSE)</f>
        <v>Annelies de Groot</v>
      </c>
      <c r="E1613" t="s">
        <v>373</v>
      </c>
      <c r="F1613" s="2">
        <v>1.23</v>
      </c>
      <c r="G1613" s="2">
        <v>1.1399999999999999</v>
      </c>
      <c r="H1613" s="2">
        <v>0.91</v>
      </c>
      <c r="I1613" s="2">
        <v>0.82</v>
      </c>
      <c r="J1613" s="2">
        <v>0.28999999999999998</v>
      </c>
      <c r="K1613">
        <v>7</v>
      </c>
      <c r="L1613" s="19" t="s">
        <v>331</v>
      </c>
      <c r="M1613" s="21">
        <v>0.5</v>
      </c>
    </row>
    <row r="1614" spans="1:13" x14ac:dyDescent="0.2">
      <c r="A1614" t="s">
        <v>165</v>
      </c>
      <c r="B1614" t="str">
        <f>VLOOKUP(A1614,MasterTutor!A:E,4,FALSE)</f>
        <v>Advanced</v>
      </c>
      <c r="C1614" t="str">
        <f>VLOOKUP(A1614,MasterTutor!A:E,3,FALSE)</f>
        <v>Adjunct</v>
      </c>
      <c r="D1614" t="str">
        <f>VLOOKUP(A1614,MasterTutor!A:E,2,FALSE)</f>
        <v>Ela Cross</v>
      </c>
      <c r="E1614" t="s">
        <v>373</v>
      </c>
      <c r="F1614" s="2">
        <v>0.83</v>
      </c>
      <c r="G1614" s="2">
        <v>1.25</v>
      </c>
      <c r="H1614" s="2">
        <v>0.97</v>
      </c>
      <c r="I1614" s="2">
        <v>0.94</v>
      </c>
      <c r="J1614" s="2">
        <v>0.75</v>
      </c>
      <c r="K1614">
        <v>12</v>
      </c>
      <c r="L1614" s="19">
        <v>1</v>
      </c>
      <c r="M1614" s="21">
        <f>L1614</f>
        <v>1</v>
      </c>
    </row>
    <row r="1615" spans="1:13" x14ac:dyDescent="0.2">
      <c r="A1615" t="s">
        <v>166</v>
      </c>
      <c r="B1615" t="str">
        <f>VLOOKUP(A1615,MasterTutor!A:E,4,FALSE)</f>
        <v>Distinguished</v>
      </c>
      <c r="C1615" t="str">
        <f>VLOOKUP(A1615,MasterTutor!A:E,3,FALSE)</f>
        <v>Adjunct</v>
      </c>
      <c r="D1615" t="str">
        <f>VLOOKUP(A1615,MasterTutor!A:E,2,FALSE)</f>
        <v>Annelies de Groot</v>
      </c>
      <c r="E1615" t="s">
        <v>373</v>
      </c>
      <c r="F1615" s="2">
        <v>0.88</v>
      </c>
      <c r="G1615" s="2">
        <v>1.8</v>
      </c>
      <c r="H1615" s="2">
        <v>1</v>
      </c>
      <c r="I1615" s="2">
        <v>1</v>
      </c>
      <c r="J1615" s="2">
        <v>-0.25</v>
      </c>
      <c r="K1615" t="e">
        <v>#N/A</v>
      </c>
      <c r="L1615" s="19" t="s">
        <v>330</v>
      </c>
      <c r="M1615" s="21">
        <v>0.67</v>
      </c>
    </row>
    <row r="1616" spans="1:13" x14ac:dyDescent="0.2">
      <c r="A1616" t="s">
        <v>167</v>
      </c>
      <c r="B1616" t="str">
        <f>VLOOKUP(A1616,MasterTutor!A:E,4,FALSE)</f>
        <v>Advanced</v>
      </c>
      <c r="C1616" t="str">
        <f>VLOOKUP(A1616,MasterTutor!A:E,3,FALSE)</f>
        <v>Adjunct</v>
      </c>
      <c r="D1616" t="str">
        <f>VLOOKUP(A1616,MasterTutor!A:E,2,FALSE)</f>
        <v>Ela Cross</v>
      </c>
      <c r="E1616" t="s">
        <v>373</v>
      </c>
      <c r="F1616" s="2">
        <v>0.34</v>
      </c>
      <c r="G1616" s="2">
        <v>0.96</v>
      </c>
      <c r="H1616" s="2">
        <v>0.87</v>
      </c>
      <c r="I1616" s="2">
        <v>1</v>
      </c>
      <c r="J1616" s="2">
        <v>0.86</v>
      </c>
      <c r="K1616">
        <v>2</v>
      </c>
      <c r="L1616" s="19">
        <v>0</v>
      </c>
      <c r="M1616" s="21">
        <f>L1616</f>
        <v>0</v>
      </c>
    </row>
    <row r="1617" spans="1:13" x14ac:dyDescent="0.2">
      <c r="A1617" t="s">
        <v>168</v>
      </c>
      <c r="B1617" t="str">
        <f>VLOOKUP(A1617,MasterTutor!A:E,4,FALSE)</f>
        <v>Advanced</v>
      </c>
      <c r="C1617" t="str">
        <f>VLOOKUP(A1617,MasterTutor!A:E,3,FALSE)</f>
        <v>Adjunct</v>
      </c>
      <c r="D1617" t="str">
        <f>VLOOKUP(A1617,MasterTutor!A:E,2,FALSE)</f>
        <v>Kristin Haase-Alvey</v>
      </c>
      <c r="E1617" t="s">
        <v>373</v>
      </c>
      <c r="F1617" s="2">
        <v>0.41</v>
      </c>
      <c r="G1617" s="2">
        <v>1.01</v>
      </c>
      <c r="H1617" s="2">
        <v>1</v>
      </c>
      <c r="I1617" s="2">
        <v>1</v>
      </c>
      <c r="J1617" s="2">
        <v>0.5</v>
      </c>
      <c r="K1617">
        <v>2</v>
      </c>
    </row>
    <row r="1618" spans="1:13" x14ac:dyDescent="0.2">
      <c r="A1618" t="s">
        <v>304</v>
      </c>
      <c r="B1618" t="str">
        <f>VLOOKUP(A1618,MasterTutor!A:E,4,FALSE)</f>
        <v>Advanced</v>
      </c>
      <c r="C1618" t="str">
        <f>VLOOKUP(A1618,MasterTutor!A:E,3,FALSE)</f>
        <v>Professional</v>
      </c>
      <c r="D1618" t="str">
        <f>VLOOKUP(A1618,MasterTutor!A:E,2,FALSE)</f>
        <v>Kristin Haase-Alvey</v>
      </c>
      <c r="E1618" t="s">
        <v>373</v>
      </c>
      <c r="F1618" s="2">
        <v>0.98</v>
      </c>
      <c r="G1618" s="2">
        <v>1.17</v>
      </c>
      <c r="H1618" s="2">
        <v>0.83</v>
      </c>
      <c r="I1618" s="2">
        <v>1</v>
      </c>
      <c r="J1618" s="2">
        <v>1</v>
      </c>
      <c r="K1618">
        <v>3</v>
      </c>
      <c r="L1618" s="19">
        <v>1</v>
      </c>
      <c r="M1618" s="21">
        <f>L1618</f>
        <v>1</v>
      </c>
    </row>
    <row r="1619" spans="1:13" x14ac:dyDescent="0.2">
      <c r="A1619" t="s">
        <v>169</v>
      </c>
      <c r="B1619" t="e">
        <f>VLOOKUP(A1619,MasterTutor!A:E,4,FALSE)</f>
        <v>#N/A</v>
      </c>
      <c r="C1619" t="e">
        <f>VLOOKUP(A1619,MasterTutor!A:E,3,FALSE)</f>
        <v>#N/A</v>
      </c>
      <c r="D1619" t="e">
        <f>VLOOKUP(A1619,MasterTutor!A:E,2,FALSE)</f>
        <v>#N/A</v>
      </c>
      <c r="E1619" t="s">
        <v>373</v>
      </c>
      <c r="F1619" s="2">
        <v>0.44</v>
      </c>
      <c r="G1619" s="2">
        <v>1.19</v>
      </c>
      <c r="H1619" s="2">
        <v>0.98</v>
      </c>
      <c r="I1619" s="2">
        <v>0.73</v>
      </c>
      <c r="J1619" s="2">
        <v>0.61</v>
      </c>
      <c r="K1619" t="e">
        <v>#N/A</v>
      </c>
      <c r="L1619" s="19">
        <v>0</v>
      </c>
      <c r="M1619" s="21">
        <f>L1619</f>
        <v>0</v>
      </c>
    </row>
    <row r="1620" spans="1:13" x14ac:dyDescent="0.2">
      <c r="A1620" t="s">
        <v>170</v>
      </c>
      <c r="B1620" t="str">
        <f>VLOOKUP(A1620,MasterTutor!A:E,4,FALSE)</f>
        <v>Advanced</v>
      </c>
      <c r="C1620" t="str">
        <f>VLOOKUP(A1620,MasterTutor!A:E,3,FALSE)</f>
        <v>Professional</v>
      </c>
      <c r="D1620" t="str">
        <f>VLOOKUP(A1620,MasterTutor!A:E,2,FALSE)</f>
        <v>Ela Cross</v>
      </c>
      <c r="E1620" t="s">
        <v>373</v>
      </c>
      <c r="F1620" s="2">
        <v>1.05</v>
      </c>
      <c r="G1620" s="2">
        <v>1.1499999999999999</v>
      </c>
      <c r="H1620" s="2">
        <v>0.98</v>
      </c>
      <c r="I1620" s="2">
        <v>0.71</v>
      </c>
      <c r="J1620" s="2">
        <v>0.44</v>
      </c>
      <c r="K1620">
        <v>10</v>
      </c>
      <c r="L1620" s="19">
        <v>0</v>
      </c>
      <c r="M1620" s="21">
        <f>L1620</f>
        <v>0</v>
      </c>
    </row>
    <row r="1621" spans="1:13" x14ac:dyDescent="0.2">
      <c r="A1621" t="s">
        <v>305</v>
      </c>
      <c r="B1621" t="str">
        <f>VLOOKUP(A1621,MasterTutor!A:E,4,FALSE)</f>
        <v>Advanced</v>
      </c>
      <c r="C1621" t="str">
        <f>VLOOKUP(A1621,MasterTutor!A:E,3,FALSE)</f>
        <v>Professional</v>
      </c>
      <c r="D1621" t="str">
        <f>VLOOKUP(A1621,MasterTutor!A:E,2,FALSE)</f>
        <v>Ian Plamondon</v>
      </c>
      <c r="E1621" t="s">
        <v>373</v>
      </c>
      <c r="F1621" s="2">
        <v>0.61</v>
      </c>
      <c r="G1621" s="2">
        <v>1.01</v>
      </c>
      <c r="H1621" s="2">
        <v>0.99</v>
      </c>
      <c r="I1621" s="2">
        <v>0.71</v>
      </c>
      <c r="J1621" s="2">
        <v>0.2</v>
      </c>
      <c r="K1621">
        <v>2</v>
      </c>
      <c r="L1621" s="19" t="s">
        <v>330</v>
      </c>
      <c r="M1621" s="21">
        <v>0.67</v>
      </c>
    </row>
    <row r="1622" spans="1:13" x14ac:dyDescent="0.2">
      <c r="A1622" t="s">
        <v>171</v>
      </c>
      <c r="B1622" t="str">
        <f>VLOOKUP(A1622,MasterTutor!A:E,4,FALSE)</f>
        <v>Advanced</v>
      </c>
      <c r="C1622" t="str">
        <f>VLOOKUP(A1622,MasterTutor!A:E,3,FALSE)</f>
        <v>Adjunct</v>
      </c>
      <c r="D1622" t="str">
        <f>VLOOKUP(A1622,MasterTutor!A:E,2,FALSE)</f>
        <v>Annelies de Groot</v>
      </c>
      <c r="E1622" t="s">
        <v>373</v>
      </c>
      <c r="F1622" s="2">
        <v>0.23</v>
      </c>
      <c r="G1622" s="2">
        <v>0.93</v>
      </c>
      <c r="H1622" s="2">
        <v>0.91</v>
      </c>
      <c r="I1622" s="2">
        <v>1</v>
      </c>
      <c r="J1622" s="2">
        <v>0</v>
      </c>
      <c r="K1622">
        <v>1</v>
      </c>
    </row>
    <row r="1623" spans="1:13" x14ac:dyDescent="0.2">
      <c r="A1623" t="s">
        <v>308</v>
      </c>
      <c r="B1623" t="str">
        <f>VLOOKUP(A1623,MasterTutor!A:E,4,FALSE)</f>
        <v>Advanced</v>
      </c>
      <c r="C1623" t="str">
        <f>VLOOKUP(A1623,MasterTutor!A:E,3,FALSE)</f>
        <v>Professional</v>
      </c>
      <c r="D1623" t="str">
        <f>VLOOKUP(A1623,MasterTutor!A:E,2,FALSE)</f>
        <v>Annelies de Groot</v>
      </c>
      <c r="E1623" t="s">
        <v>373</v>
      </c>
      <c r="F1623" s="2">
        <v>0.57999999999999996</v>
      </c>
      <c r="G1623" s="2">
        <v>1.02</v>
      </c>
      <c r="H1623" s="2">
        <v>0.97</v>
      </c>
      <c r="I1623" s="2">
        <v>0.77</v>
      </c>
      <c r="J1623" s="2">
        <v>0.74</v>
      </c>
      <c r="K1623" t="e">
        <v>#N/A</v>
      </c>
      <c r="L1623" s="19" t="s">
        <v>336</v>
      </c>
      <c r="M1623" s="21">
        <v>0.6</v>
      </c>
    </row>
    <row r="1624" spans="1:13" x14ac:dyDescent="0.2">
      <c r="A1624" t="s">
        <v>310</v>
      </c>
      <c r="B1624" t="str">
        <f>VLOOKUP(A1624,MasterTutor!A:E,4,FALSE)</f>
        <v>Advanced</v>
      </c>
      <c r="C1624" t="str">
        <f>VLOOKUP(A1624,MasterTutor!A:E,3,FALSE)</f>
        <v>Professional</v>
      </c>
      <c r="D1624" t="str">
        <f>VLOOKUP(A1624,MasterTutor!A:E,2,FALSE)</f>
        <v>Ela Cross</v>
      </c>
      <c r="E1624" t="s">
        <v>373</v>
      </c>
      <c r="F1624" s="2">
        <v>0.78</v>
      </c>
      <c r="G1624" s="2">
        <v>1.1299999999999999</v>
      </c>
      <c r="H1624" s="2">
        <v>0.97</v>
      </c>
      <c r="I1624" s="2">
        <v>0.69</v>
      </c>
      <c r="J1624" s="2">
        <v>0.71</v>
      </c>
      <c r="K1624">
        <v>1</v>
      </c>
      <c r="L1624" s="19" t="s">
        <v>337</v>
      </c>
      <c r="M1624" s="21">
        <f>1/3</f>
        <v>0.33333333333333331</v>
      </c>
    </row>
    <row r="1625" spans="1:13" x14ac:dyDescent="0.2">
      <c r="A1625" t="s">
        <v>172</v>
      </c>
      <c r="B1625" t="e">
        <f>VLOOKUP(A1625,MasterTutor!A:E,4,FALSE)</f>
        <v>#N/A</v>
      </c>
      <c r="C1625" t="e">
        <f>VLOOKUP(A1625,MasterTutor!A:E,3,FALSE)</f>
        <v>#N/A</v>
      </c>
      <c r="D1625" t="e">
        <f>VLOOKUP(A1625,MasterTutor!A:E,2,FALSE)</f>
        <v>#N/A</v>
      </c>
      <c r="E1625" t="s">
        <v>373</v>
      </c>
      <c r="F1625" s="2">
        <v>0.4</v>
      </c>
      <c r="G1625" s="2">
        <v>1.22</v>
      </c>
      <c r="H1625" s="2">
        <v>1</v>
      </c>
      <c r="I1625" s="2">
        <v>1</v>
      </c>
      <c r="J1625" s="2">
        <v>0</v>
      </c>
      <c r="K1625">
        <v>2</v>
      </c>
      <c r="L1625" s="19">
        <v>0</v>
      </c>
      <c r="M1625" s="21">
        <f>L1625</f>
        <v>0</v>
      </c>
    </row>
    <row r="1626" spans="1:13" x14ac:dyDescent="0.2">
      <c r="A1626" t="s">
        <v>175</v>
      </c>
      <c r="B1626" t="str">
        <f>VLOOKUP(A1626,MasterTutor!A:E,4,FALSE)</f>
        <v>Distinguished</v>
      </c>
      <c r="C1626" t="str">
        <f>VLOOKUP(A1626,MasterTutor!A:E,3,FALSE)</f>
        <v>Adjunct</v>
      </c>
      <c r="D1626" t="str">
        <f>VLOOKUP(A1626,MasterTutor!A:E,2,FALSE)</f>
        <v>Annelies de Groot</v>
      </c>
      <c r="E1626" t="s">
        <v>373</v>
      </c>
      <c r="F1626" s="2">
        <v>0.73</v>
      </c>
      <c r="G1626" s="2">
        <v>1.1399999999999999</v>
      </c>
      <c r="H1626" s="2">
        <v>0.86</v>
      </c>
      <c r="I1626" s="2">
        <v>0.88</v>
      </c>
      <c r="J1626" s="2">
        <v>0.67</v>
      </c>
      <c r="K1626" t="e">
        <v>#N/A</v>
      </c>
      <c r="L1626" s="19">
        <v>1</v>
      </c>
      <c r="M1626" s="21">
        <f>L1626</f>
        <v>1</v>
      </c>
    </row>
    <row r="1627" spans="1:13" x14ac:dyDescent="0.2">
      <c r="A1627" t="s">
        <v>176</v>
      </c>
      <c r="B1627" t="str">
        <f>VLOOKUP(A1627,MasterTutor!A:E,4,FALSE)</f>
        <v>Premium</v>
      </c>
      <c r="C1627" t="str">
        <f>VLOOKUP(A1627,MasterTutor!A:E,3,FALSE)</f>
        <v>Professional</v>
      </c>
      <c r="D1627" t="str">
        <f>VLOOKUP(A1627,MasterTutor!A:E,2,FALSE)</f>
        <v>Ian Plamondon</v>
      </c>
      <c r="E1627" t="s">
        <v>373</v>
      </c>
      <c r="F1627" s="2">
        <v>1.02</v>
      </c>
      <c r="G1627" s="2">
        <v>1.1100000000000001</v>
      </c>
      <c r="H1627" s="2">
        <v>1</v>
      </c>
      <c r="I1627" s="2">
        <v>0.99</v>
      </c>
      <c r="J1627" s="2">
        <v>0.65</v>
      </c>
      <c r="K1627">
        <v>5</v>
      </c>
      <c r="L1627" s="19">
        <v>1</v>
      </c>
      <c r="M1627" s="21">
        <f>L1627</f>
        <v>1</v>
      </c>
    </row>
    <row r="1628" spans="1:13" x14ac:dyDescent="0.2">
      <c r="A1628" t="s">
        <v>362</v>
      </c>
      <c r="B1628" t="e">
        <f>VLOOKUP(A1628,MasterTutor!A:E,4,FALSE)</f>
        <v>#N/A</v>
      </c>
      <c r="C1628" t="e">
        <f>VLOOKUP(A1628,MasterTutor!A:E,3,FALSE)</f>
        <v>#N/A</v>
      </c>
      <c r="D1628" t="e">
        <f>VLOOKUP(A1628,MasterTutor!A:E,2,FALSE)</f>
        <v>#N/A</v>
      </c>
      <c r="E1628" t="s">
        <v>373</v>
      </c>
      <c r="F1628" s="2">
        <v>0.82</v>
      </c>
      <c r="G1628" s="2">
        <v>1.01</v>
      </c>
      <c r="H1628" s="2">
        <v>1</v>
      </c>
      <c r="I1628" s="2">
        <v>0.93</v>
      </c>
      <c r="J1628" s="2">
        <v>0.36</v>
      </c>
      <c r="K1628">
        <v>3</v>
      </c>
      <c r="L1628" s="19">
        <v>0</v>
      </c>
      <c r="M1628" s="21">
        <f>L1628</f>
        <v>0</v>
      </c>
    </row>
    <row r="1629" spans="1:13" x14ac:dyDescent="0.2">
      <c r="A1629" t="s">
        <v>177</v>
      </c>
      <c r="B1629" t="e">
        <f>VLOOKUP(A1629,MasterTutor!A:E,4,FALSE)</f>
        <v>#N/A</v>
      </c>
      <c r="C1629" t="e">
        <f>VLOOKUP(A1629,MasterTutor!A:E,3,FALSE)</f>
        <v>#N/A</v>
      </c>
      <c r="D1629" t="e">
        <f>VLOOKUP(A1629,MasterTutor!A:E,2,FALSE)</f>
        <v>#N/A</v>
      </c>
      <c r="E1629" t="s">
        <v>373</v>
      </c>
      <c r="F1629" s="2">
        <v>0.49</v>
      </c>
      <c r="G1629" s="2">
        <v>0.69</v>
      </c>
      <c r="H1629" s="2">
        <v>1</v>
      </c>
      <c r="I1629" s="2">
        <v>0.94</v>
      </c>
      <c r="J1629" s="2">
        <v>0.5</v>
      </c>
      <c r="K1629">
        <v>2</v>
      </c>
    </row>
    <row r="1630" spans="1:13" x14ac:dyDescent="0.2">
      <c r="A1630" t="s">
        <v>314</v>
      </c>
      <c r="B1630" t="str">
        <f>VLOOKUP(A1630,MasterTutor!A:E,4,FALSE)</f>
        <v>Advanced</v>
      </c>
      <c r="C1630" t="str">
        <f>VLOOKUP(A1630,MasterTutor!A:E,3,FALSE)</f>
        <v>Professional</v>
      </c>
      <c r="D1630" t="str">
        <f>VLOOKUP(A1630,MasterTutor!A:E,2,FALSE)</f>
        <v>Ian Plamondon</v>
      </c>
      <c r="E1630" t="s">
        <v>373</v>
      </c>
      <c r="F1630" s="2">
        <v>0.75</v>
      </c>
      <c r="G1630" s="2">
        <v>0.99</v>
      </c>
      <c r="H1630" s="2">
        <v>1</v>
      </c>
      <c r="I1630" s="2">
        <v>1</v>
      </c>
      <c r="J1630" s="2">
        <v>0.47</v>
      </c>
      <c r="K1630">
        <v>5</v>
      </c>
      <c r="L1630" s="19">
        <v>1</v>
      </c>
      <c r="M1630" s="21">
        <f>L1630</f>
        <v>1</v>
      </c>
    </row>
    <row r="1631" spans="1:13" x14ac:dyDescent="0.2">
      <c r="A1631" t="s">
        <v>179</v>
      </c>
      <c r="B1631" t="str">
        <f>VLOOKUP(A1631,MasterTutor!A:E,4,FALSE)</f>
        <v>Advanced</v>
      </c>
      <c r="C1631" t="str">
        <f>VLOOKUP(A1631,MasterTutor!A:E,3,FALSE)</f>
        <v>Adjunct</v>
      </c>
      <c r="D1631" t="str">
        <f>VLOOKUP(A1631,MasterTutor!A:E,2,FALSE)</f>
        <v>Ela Cross</v>
      </c>
      <c r="E1631" t="s">
        <v>373</v>
      </c>
      <c r="F1631" s="2">
        <v>0.33</v>
      </c>
      <c r="G1631" s="2">
        <v>0.96</v>
      </c>
      <c r="H1631" s="2">
        <v>0.94</v>
      </c>
      <c r="I1631" s="2">
        <v>1</v>
      </c>
      <c r="J1631" s="2">
        <v>1</v>
      </c>
      <c r="K1631">
        <v>1</v>
      </c>
      <c r="L1631" s="19">
        <v>1</v>
      </c>
      <c r="M1631" s="21">
        <f>L1631</f>
        <v>1</v>
      </c>
    </row>
    <row r="1632" spans="1:13" x14ac:dyDescent="0.2">
      <c r="A1632" t="s">
        <v>180</v>
      </c>
      <c r="B1632" t="str">
        <f>VLOOKUP(A1632,MasterTutor!A:E,4,FALSE)</f>
        <v>Premium</v>
      </c>
      <c r="C1632" t="str">
        <f>VLOOKUP(A1632,MasterTutor!A:E,3,FALSE)</f>
        <v>Adjunct</v>
      </c>
      <c r="D1632" t="str">
        <f>VLOOKUP(A1632,MasterTutor!A:E,2,FALSE)</f>
        <v>Geoff St. Marie</v>
      </c>
      <c r="E1632" t="s">
        <v>373</v>
      </c>
      <c r="F1632" s="2">
        <v>0.52</v>
      </c>
      <c r="G1632" s="2">
        <v>1.29</v>
      </c>
      <c r="H1632" s="2">
        <v>0.96</v>
      </c>
      <c r="I1632" s="2">
        <v>0.71</v>
      </c>
      <c r="J1632" s="2">
        <v>0.88</v>
      </c>
      <c r="K1632">
        <v>3</v>
      </c>
    </row>
    <row r="1633" spans="1:13" x14ac:dyDescent="0.2">
      <c r="A1633" t="s">
        <v>181</v>
      </c>
      <c r="B1633" t="str">
        <f>VLOOKUP(A1633,MasterTutor!A:E,4,FALSE)</f>
        <v>Advanced</v>
      </c>
      <c r="C1633" t="str">
        <f>VLOOKUP(A1633,MasterTutor!A:E,3,FALSE)</f>
        <v>Professional</v>
      </c>
      <c r="D1633" t="str">
        <f>VLOOKUP(A1633,MasterTutor!A:E,2,FALSE)</f>
        <v>Ela Cross</v>
      </c>
      <c r="E1633" t="s">
        <v>373</v>
      </c>
      <c r="F1633" s="2">
        <v>0.9</v>
      </c>
      <c r="G1633" s="2">
        <v>1.03</v>
      </c>
      <c r="H1633" s="2">
        <v>0.89</v>
      </c>
      <c r="I1633" s="2">
        <v>0.97</v>
      </c>
      <c r="J1633" s="2">
        <v>0.77</v>
      </c>
      <c r="K1633">
        <v>3</v>
      </c>
      <c r="L1633" s="19" t="s">
        <v>329</v>
      </c>
      <c r="M1633" s="21">
        <v>0.75</v>
      </c>
    </row>
    <row r="1634" spans="1:13" x14ac:dyDescent="0.2">
      <c r="A1634" t="s">
        <v>182</v>
      </c>
      <c r="B1634" t="str">
        <f>VLOOKUP(A1634,MasterTutor!A:E,4,FALSE)</f>
        <v>Premium</v>
      </c>
      <c r="C1634" t="str">
        <f>VLOOKUP(A1634,MasterTutor!A:E,3,FALSE)</f>
        <v>Professional</v>
      </c>
      <c r="D1634" t="str">
        <f>VLOOKUP(A1634,MasterTutor!A:E,2,FALSE)</f>
        <v>Annelies de Groot</v>
      </c>
      <c r="E1634" t="s">
        <v>373</v>
      </c>
      <c r="F1634" s="2">
        <v>1.37</v>
      </c>
      <c r="G1634" s="2">
        <v>1.36</v>
      </c>
      <c r="H1634" s="2">
        <v>1</v>
      </c>
      <c r="I1634" s="2">
        <v>1</v>
      </c>
      <c r="J1634" s="2">
        <v>0.82</v>
      </c>
      <c r="K1634">
        <v>7</v>
      </c>
      <c r="L1634" s="19" t="s">
        <v>330</v>
      </c>
      <c r="M1634" s="21">
        <v>0.67</v>
      </c>
    </row>
    <row r="1635" spans="1:13" x14ac:dyDescent="0.2">
      <c r="A1635" t="s">
        <v>315</v>
      </c>
      <c r="B1635" t="str">
        <f>VLOOKUP(A1635,MasterTutor!A:E,4,FALSE)</f>
        <v>Advanced</v>
      </c>
      <c r="C1635" t="str">
        <f>VLOOKUP(A1635,MasterTutor!A:E,3,FALSE)</f>
        <v>Professional</v>
      </c>
      <c r="D1635" t="str">
        <f>VLOOKUP(A1635,MasterTutor!A:E,2,FALSE)</f>
        <v>Ela Cross</v>
      </c>
      <c r="E1635" t="s">
        <v>373</v>
      </c>
      <c r="F1635" s="2">
        <v>0.98</v>
      </c>
      <c r="G1635" s="2">
        <v>1.1100000000000001</v>
      </c>
      <c r="H1635" s="2">
        <v>1</v>
      </c>
      <c r="I1635" s="2">
        <v>0.88</v>
      </c>
      <c r="J1635" s="2">
        <v>0.38</v>
      </c>
      <c r="K1635">
        <v>4</v>
      </c>
      <c r="L1635" s="19" t="s">
        <v>351</v>
      </c>
      <c r="M1635" s="21">
        <v>0.44</v>
      </c>
    </row>
    <row r="1636" spans="1:13" x14ac:dyDescent="0.2">
      <c r="A1636" t="s">
        <v>183</v>
      </c>
      <c r="B1636" t="str">
        <f>VLOOKUP(A1636,MasterTutor!A:E,4,FALSE)</f>
        <v>Advanced</v>
      </c>
      <c r="C1636" t="str">
        <f>VLOOKUP(A1636,MasterTutor!A:E,3,FALSE)</f>
        <v>Adjunct</v>
      </c>
      <c r="D1636" t="str">
        <f>VLOOKUP(A1636,MasterTutor!A:E,2,FALSE)</f>
        <v>Annelies de Groot</v>
      </c>
      <c r="E1636" t="s">
        <v>373</v>
      </c>
      <c r="F1636" s="2">
        <v>0.86</v>
      </c>
      <c r="G1636" s="2">
        <v>1.1599999999999999</v>
      </c>
      <c r="H1636" s="2">
        <v>1</v>
      </c>
      <c r="I1636" s="2">
        <v>1</v>
      </c>
      <c r="J1636" s="2">
        <v>0.83</v>
      </c>
      <c r="K1636">
        <v>9</v>
      </c>
    </row>
    <row r="1637" spans="1:13" x14ac:dyDescent="0.2">
      <c r="A1637" t="s">
        <v>184</v>
      </c>
      <c r="B1637" t="str">
        <f>VLOOKUP(A1637,MasterTutor!A:E,4,FALSE)</f>
        <v>Advanced</v>
      </c>
      <c r="C1637" t="str">
        <f>VLOOKUP(A1637,MasterTutor!A:E,3,FALSE)</f>
        <v>Adjunct</v>
      </c>
      <c r="D1637" t="str">
        <f>VLOOKUP(A1637,MasterTutor!A:E,2,FALSE)</f>
        <v>Kristin Haase-Alvey</v>
      </c>
      <c r="E1637" t="s">
        <v>373</v>
      </c>
      <c r="F1637" s="2">
        <v>0.28999999999999998</v>
      </c>
      <c r="G1637" s="2">
        <v>0.71</v>
      </c>
      <c r="H1637" s="2">
        <v>0.69</v>
      </c>
      <c r="I1637" s="2">
        <v>1</v>
      </c>
      <c r="J1637" s="2">
        <v>1</v>
      </c>
      <c r="K1637">
        <v>1</v>
      </c>
      <c r="L1637" s="19">
        <v>1</v>
      </c>
      <c r="M1637" s="21">
        <f>L1637</f>
        <v>1</v>
      </c>
    </row>
    <row r="1638" spans="1:13" x14ac:dyDescent="0.2">
      <c r="A1638" t="s">
        <v>185</v>
      </c>
      <c r="B1638" t="str">
        <f>VLOOKUP(A1638,MasterTutor!A:E,4,FALSE)</f>
        <v>Distinguished</v>
      </c>
      <c r="C1638" t="str">
        <f>VLOOKUP(A1638,MasterTutor!A:E,3,FALSE)</f>
        <v>Professional</v>
      </c>
      <c r="D1638" t="str">
        <f>VLOOKUP(A1638,MasterTutor!A:E,2,FALSE)</f>
        <v>Ian Plamondon</v>
      </c>
      <c r="E1638" t="s">
        <v>373</v>
      </c>
      <c r="F1638" s="2">
        <v>0.67</v>
      </c>
      <c r="G1638" s="2">
        <v>1</v>
      </c>
      <c r="H1638" s="2">
        <v>0.91</v>
      </c>
      <c r="I1638" s="2">
        <v>0.95</v>
      </c>
      <c r="J1638" s="2">
        <v>0.86</v>
      </c>
      <c r="K1638">
        <v>1</v>
      </c>
      <c r="L1638" s="19">
        <v>0</v>
      </c>
      <c r="M1638" s="21">
        <f>L1638</f>
        <v>0</v>
      </c>
    </row>
    <row r="1639" spans="1:13" x14ac:dyDescent="0.2">
      <c r="A1639" t="s">
        <v>186</v>
      </c>
      <c r="B1639" t="str">
        <f>VLOOKUP(A1639,MasterTutor!A:E,4,FALSE)</f>
        <v>Premium</v>
      </c>
      <c r="C1639" t="str">
        <f>VLOOKUP(A1639,MasterTutor!A:E,3,FALSE)</f>
        <v>Adjunct</v>
      </c>
      <c r="D1639" t="str">
        <f>VLOOKUP(A1639,MasterTutor!A:E,2,FALSE)</f>
        <v>Ela Cross</v>
      </c>
      <c r="E1639" t="s">
        <v>373</v>
      </c>
      <c r="F1639" s="2">
        <v>0.54</v>
      </c>
      <c r="G1639" s="2">
        <v>1.06</v>
      </c>
      <c r="H1639" s="2">
        <v>1</v>
      </c>
      <c r="I1639" s="2">
        <v>0.88</v>
      </c>
      <c r="J1639" s="2">
        <v>0.53</v>
      </c>
      <c r="K1639" t="e">
        <v>#N/A</v>
      </c>
      <c r="L1639" s="19">
        <v>1</v>
      </c>
      <c r="M1639" s="21">
        <f>L1639</f>
        <v>1</v>
      </c>
    </row>
    <row r="1640" spans="1:13" x14ac:dyDescent="0.2">
      <c r="A1640" t="s">
        <v>316</v>
      </c>
      <c r="B1640" t="str">
        <f>VLOOKUP(A1640,MasterTutor!A:E,4,FALSE)</f>
        <v>Advanced</v>
      </c>
      <c r="C1640" t="str">
        <f>VLOOKUP(A1640,MasterTutor!A:E,3,FALSE)</f>
        <v>Professional</v>
      </c>
      <c r="D1640" t="str">
        <f>VLOOKUP(A1640,MasterTutor!A:E,2,FALSE)</f>
        <v>Annelies de Groot</v>
      </c>
      <c r="E1640" t="s">
        <v>373</v>
      </c>
      <c r="F1640" s="2">
        <v>0.82</v>
      </c>
      <c r="G1640" s="2">
        <v>1.04</v>
      </c>
      <c r="H1640" s="2">
        <v>0.97</v>
      </c>
      <c r="I1640" s="2">
        <v>0.74</v>
      </c>
      <c r="J1640" s="2">
        <v>0.56000000000000005</v>
      </c>
      <c r="K1640">
        <v>5</v>
      </c>
      <c r="L1640" s="19">
        <v>0</v>
      </c>
      <c r="M1640" s="21">
        <f>L1640</f>
        <v>0</v>
      </c>
    </row>
    <row r="1641" spans="1:13" x14ac:dyDescent="0.2">
      <c r="A1641" t="s">
        <v>187</v>
      </c>
      <c r="B1641" t="str">
        <f>VLOOKUP(A1641,MasterTutor!A:E,4,FALSE)</f>
        <v>Distinguished</v>
      </c>
      <c r="C1641" t="str">
        <f>VLOOKUP(A1641,MasterTutor!A:E,3,FALSE)</f>
        <v>Adjunct</v>
      </c>
      <c r="D1641" t="str">
        <f>VLOOKUP(A1641,MasterTutor!A:E,2,FALSE)</f>
        <v>Ela Cross</v>
      </c>
      <c r="E1641" t="s">
        <v>373</v>
      </c>
      <c r="F1641" s="2">
        <v>0.32</v>
      </c>
      <c r="G1641" s="2">
        <v>1.1100000000000001</v>
      </c>
      <c r="H1641" s="2">
        <v>1</v>
      </c>
      <c r="I1641" s="2">
        <v>1</v>
      </c>
      <c r="J1641" s="2">
        <v>0.5</v>
      </c>
      <c r="K1641" t="e">
        <v>#N/A</v>
      </c>
    </row>
    <row r="1642" spans="1:13" x14ac:dyDescent="0.2">
      <c r="A1642" t="s">
        <v>188</v>
      </c>
      <c r="B1642" t="str">
        <f>VLOOKUP(A1642,MasterTutor!A:E,4,FALSE)</f>
        <v>Premium</v>
      </c>
      <c r="C1642" t="str">
        <f>VLOOKUP(A1642,MasterTutor!A:E,3,FALSE)</f>
        <v>Professional</v>
      </c>
      <c r="D1642" t="str">
        <f>VLOOKUP(A1642,MasterTutor!A:E,2,FALSE)</f>
        <v>Ian Plamondon</v>
      </c>
      <c r="E1642" t="s">
        <v>373</v>
      </c>
      <c r="F1642" s="2">
        <v>0.38</v>
      </c>
      <c r="G1642" s="2">
        <v>0.98</v>
      </c>
      <c r="H1642" s="2">
        <v>1</v>
      </c>
      <c r="I1642" s="2">
        <v>0.96</v>
      </c>
      <c r="J1642" s="2">
        <v>0.86</v>
      </c>
      <c r="K1642">
        <v>2</v>
      </c>
      <c r="L1642" s="19">
        <v>0</v>
      </c>
      <c r="M1642" s="21">
        <f>L1642</f>
        <v>0</v>
      </c>
    </row>
    <row r="1643" spans="1:13" x14ac:dyDescent="0.2">
      <c r="A1643" t="s">
        <v>189</v>
      </c>
      <c r="B1643" t="str">
        <f>VLOOKUP(A1643,MasterTutor!A:E,4,FALSE)</f>
        <v>Advanced</v>
      </c>
      <c r="C1643" t="str">
        <f>VLOOKUP(A1643,MasterTutor!A:E,3,FALSE)</f>
        <v>Adjunct</v>
      </c>
      <c r="D1643" t="str">
        <f>VLOOKUP(A1643,MasterTutor!A:E,2,FALSE)</f>
        <v>Annelies de Groot</v>
      </c>
      <c r="E1643" t="s">
        <v>373</v>
      </c>
      <c r="F1643" s="2">
        <v>0.89</v>
      </c>
      <c r="G1643" s="2">
        <v>1.49</v>
      </c>
      <c r="H1643" s="2">
        <v>0.95</v>
      </c>
      <c r="I1643" s="2">
        <v>0.94</v>
      </c>
      <c r="J1643" s="2">
        <v>0.54</v>
      </c>
      <c r="K1643">
        <v>2</v>
      </c>
      <c r="L1643" s="19">
        <v>0</v>
      </c>
      <c r="M1643" s="21">
        <f>L1643</f>
        <v>0</v>
      </c>
    </row>
    <row r="1644" spans="1:13" x14ac:dyDescent="0.2">
      <c r="A1644" t="s">
        <v>318</v>
      </c>
      <c r="B1644" t="str">
        <f>VLOOKUP(A1644,MasterTutor!A:E,4,FALSE)</f>
        <v>Advanced</v>
      </c>
      <c r="C1644" t="str">
        <f>VLOOKUP(A1644,MasterTutor!A:E,3,FALSE)</f>
        <v>Adjunct</v>
      </c>
      <c r="D1644" t="str">
        <f>VLOOKUP(A1644,MasterTutor!A:E,2,FALSE)</f>
        <v>Ela Cross</v>
      </c>
      <c r="E1644" t="s">
        <v>373</v>
      </c>
      <c r="F1644" s="2">
        <v>1.55</v>
      </c>
      <c r="G1644" s="2">
        <v>2.4900000000000002</v>
      </c>
      <c r="H1644" s="2">
        <v>1</v>
      </c>
      <c r="I1644" s="2">
        <v>1</v>
      </c>
      <c r="J1644" s="2">
        <v>0</v>
      </c>
      <c r="K1644">
        <v>3</v>
      </c>
      <c r="L1644" s="19" t="s">
        <v>337</v>
      </c>
      <c r="M1644" s="21">
        <f>1/3</f>
        <v>0.33333333333333331</v>
      </c>
    </row>
    <row r="1645" spans="1:13" x14ac:dyDescent="0.2">
      <c r="A1645" t="s">
        <v>192</v>
      </c>
      <c r="B1645" t="str">
        <f>VLOOKUP(A1645,MasterTutor!A:E,4,FALSE)</f>
        <v>Advanced</v>
      </c>
      <c r="C1645" t="str">
        <f>VLOOKUP(A1645,MasterTutor!A:E,3,FALSE)</f>
        <v>Adjunct</v>
      </c>
      <c r="D1645" t="str">
        <f>VLOOKUP(A1645,MasterTutor!A:E,2,FALSE)</f>
        <v>Ela Cross</v>
      </c>
      <c r="E1645" t="s">
        <v>373</v>
      </c>
      <c r="F1645" s="2">
        <v>0.99</v>
      </c>
      <c r="G1645" s="2">
        <v>1.3</v>
      </c>
      <c r="H1645" s="2">
        <v>0.98</v>
      </c>
      <c r="I1645" s="2">
        <v>0.93</v>
      </c>
      <c r="J1645" s="2">
        <v>0.88</v>
      </c>
      <c r="K1645">
        <v>1</v>
      </c>
      <c r="L1645" s="19" t="s">
        <v>329</v>
      </c>
      <c r="M1645" s="21">
        <v>0.75</v>
      </c>
    </row>
    <row r="1646" spans="1:13" x14ac:dyDescent="0.2">
      <c r="A1646" t="s">
        <v>193</v>
      </c>
      <c r="B1646" t="str">
        <f>VLOOKUP(A1646,MasterTutor!A:E,4,FALSE)</f>
        <v>Advanced</v>
      </c>
      <c r="C1646" t="str">
        <f>VLOOKUP(A1646,MasterTutor!A:E,3,FALSE)</f>
        <v>Professional</v>
      </c>
      <c r="D1646" t="str">
        <f>VLOOKUP(A1646,MasterTutor!A:E,2,FALSE)</f>
        <v>Annelies de Groot</v>
      </c>
      <c r="E1646" t="s">
        <v>373</v>
      </c>
      <c r="F1646" s="2">
        <v>0.84</v>
      </c>
      <c r="G1646" s="2">
        <v>1.01</v>
      </c>
      <c r="H1646" s="2">
        <v>1</v>
      </c>
      <c r="I1646" s="2">
        <v>0.94</v>
      </c>
      <c r="J1646" s="2">
        <v>0.69</v>
      </c>
      <c r="K1646">
        <v>2</v>
      </c>
      <c r="L1646" s="19">
        <v>1</v>
      </c>
      <c r="M1646" s="21">
        <f>L1646</f>
        <v>1</v>
      </c>
    </row>
    <row r="1647" spans="1:13" x14ac:dyDescent="0.2">
      <c r="A1647" t="s">
        <v>195</v>
      </c>
      <c r="B1647" t="e">
        <f>VLOOKUP(A1647,MasterTutor!A:E,4,FALSE)</f>
        <v>#N/A</v>
      </c>
      <c r="C1647" t="e">
        <f>VLOOKUP(A1647,MasterTutor!A:E,3,FALSE)</f>
        <v>#N/A</v>
      </c>
      <c r="D1647" t="e">
        <f>VLOOKUP(A1647,MasterTutor!A:E,2,FALSE)</f>
        <v>#N/A</v>
      </c>
      <c r="E1647" t="s">
        <v>373</v>
      </c>
      <c r="F1647" s="2">
        <v>0.35</v>
      </c>
      <c r="G1647" s="2">
        <v>1.01</v>
      </c>
      <c r="H1647" s="2">
        <v>1</v>
      </c>
      <c r="I1647" s="2">
        <v>0.86</v>
      </c>
      <c r="J1647" s="2">
        <v>0.8</v>
      </c>
      <c r="K1647">
        <v>1</v>
      </c>
      <c r="L1647" s="19">
        <v>1</v>
      </c>
      <c r="M1647" s="21">
        <f>L1647</f>
        <v>1</v>
      </c>
    </row>
    <row r="1648" spans="1:13" x14ac:dyDescent="0.2">
      <c r="A1648" t="s">
        <v>196</v>
      </c>
      <c r="B1648" t="str">
        <f>VLOOKUP(A1648,MasterTutor!A:E,4,FALSE)</f>
        <v>Advanced</v>
      </c>
      <c r="C1648" t="str">
        <f>VLOOKUP(A1648,MasterTutor!A:E,3,FALSE)</f>
        <v>Adjunct</v>
      </c>
      <c r="D1648" t="str">
        <f>VLOOKUP(A1648,MasterTutor!A:E,2,FALSE)</f>
        <v>Kristin Haase-Alvey</v>
      </c>
      <c r="E1648" t="s">
        <v>373</v>
      </c>
      <c r="F1648" s="2">
        <v>0.5</v>
      </c>
      <c r="G1648" s="2">
        <v>1.21</v>
      </c>
      <c r="H1648" s="2">
        <v>0.9</v>
      </c>
      <c r="I1648" s="2">
        <v>0.73</v>
      </c>
      <c r="J1648" s="2">
        <v>0.63</v>
      </c>
      <c r="K1648" t="e">
        <v>#N/A</v>
      </c>
      <c r="L1648" s="19">
        <v>1</v>
      </c>
      <c r="M1648" s="21">
        <f>L1648</f>
        <v>1</v>
      </c>
    </row>
    <row r="1649" spans="1:13" x14ac:dyDescent="0.2">
      <c r="A1649" t="s">
        <v>197</v>
      </c>
      <c r="B1649" t="str">
        <f>VLOOKUP(A1649,MasterTutor!A:E,4,FALSE)</f>
        <v>Premium</v>
      </c>
      <c r="C1649" t="str">
        <f>VLOOKUP(A1649,MasterTutor!A:E,3,FALSE)</f>
        <v>Professional</v>
      </c>
      <c r="D1649" t="str">
        <f>VLOOKUP(A1649,MasterTutor!A:E,2,FALSE)</f>
        <v>Jessica Milner</v>
      </c>
      <c r="E1649" t="s">
        <v>373</v>
      </c>
      <c r="F1649" s="2">
        <v>0.89</v>
      </c>
      <c r="G1649" s="2">
        <v>1.25</v>
      </c>
      <c r="H1649" s="2">
        <v>1</v>
      </c>
      <c r="I1649" s="2">
        <v>1</v>
      </c>
      <c r="J1649" s="2">
        <v>0.93</v>
      </c>
      <c r="K1649">
        <v>3</v>
      </c>
    </row>
    <row r="1650" spans="1:13" x14ac:dyDescent="0.2">
      <c r="A1650" t="s">
        <v>319</v>
      </c>
      <c r="B1650" t="str">
        <f>VLOOKUP(A1650,MasterTutor!A:E,4,FALSE)</f>
        <v>Advanced</v>
      </c>
      <c r="C1650" t="str">
        <f>VLOOKUP(A1650,MasterTutor!A:E,3,FALSE)</f>
        <v>Adjunct</v>
      </c>
      <c r="D1650" t="str">
        <f>VLOOKUP(A1650,MasterTutor!A:E,2,FALSE)</f>
        <v>Ela Cross</v>
      </c>
      <c r="E1650" t="s">
        <v>373</v>
      </c>
      <c r="F1650" s="2">
        <v>0.61</v>
      </c>
      <c r="G1650" s="2">
        <v>1.07</v>
      </c>
      <c r="H1650" s="2">
        <v>1</v>
      </c>
      <c r="I1650" s="2">
        <v>0.82</v>
      </c>
      <c r="J1650" s="2">
        <v>0.56000000000000005</v>
      </c>
      <c r="K1650">
        <v>6</v>
      </c>
      <c r="L1650" s="19" t="s">
        <v>331</v>
      </c>
      <c r="M1650" s="21">
        <v>0.5</v>
      </c>
    </row>
    <row r="1651" spans="1:13" x14ac:dyDescent="0.2">
      <c r="A1651" t="s">
        <v>198</v>
      </c>
      <c r="B1651" t="str">
        <f>VLOOKUP(A1651,MasterTutor!A:E,4,FALSE)</f>
        <v>Distinguished</v>
      </c>
      <c r="C1651" t="str">
        <f>VLOOKUP(A1651,MasterTutor!A:E,3,FALSE)</f>
        <v>Adjunct</v>
      </c>
      <c r="D1651" t="str">
        <f>VLOOKUP(A1651,MasterTutor!A:E,2,FALSE)</f>
        <v>Ian Plamondon</v>
      </c>
      <c r="E1651" t="s">
        <v>373</v>
      </c>
      <c r="F1651" s="2">
        <v>0.97</v>
      </c>
      <c r="G1651" s="2">
        <v>1.41</v>
      </c>
      <c r="H1651" s="2">
        <v>1</v>
      </c>
      <c r="I1651" s="2">
        <v>0.97</v>
      </c>
      <c r="J1651" s="2">
        <v>0.67</v>
      </c>
      <c r="K1651">
        <v>4</v>
      </c>
      <c r="L1651" s="19">
        <v>1</v>
      </c>
      <c r="M1651" s="21">
        <f>L1651</f>
        <v>1</v>
      </c>
    </row>
    <row r="1652" spans="1:13" x14ac:dyDescent="0.2">
      <c r="A1652" t="s">
        <v>200</v>
      </c>
      <c r="B1652" t="e">
        <f>VLOOKUP(A1652,MasterTutor!A:E,4,FALSE)</f>
        <v>#N/A</v>
      </c>
      <c r="C1652" t="e">
        <f>VLOOKUP(A1652,MasterTutor!A:E,3,FALSE)</f>
        <v>#N/A</v>
      </c>
      <c r="D1652" t="e">
        <f>VLOOKUP(A1652,MasterTutor!A:E,2,FALSE)</f>
        <v>#N/A</v>
      </c>
      <c r="E1652" t="s">
        <v>373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t="e">
        <v>#N/A</v>
      </c>
    </row>
    <row r="1653" spans="1:13" x14ac:dyDescent="0.2">
      <c r="A1653" t="s">
        <v>201</v>
      </c>
      <c r="B1653" t="str">
        <f>VLOOKUP(A1653,MasterTutor!A:E,4,FALSE)</f>
        <v>Distinguished</v>
      </c>
      <c r="C1653" t="str">
        <f>VLOOKUP(A1653,MasterTutor!A:E,3,FALSE)</f>
        <v>Professional</v>
      </c>
      <c r="D1653" t="str">
        <f>VLOOKUP(A1653,MasterTutor!A:E,2,FALSE)</f>
        <v>Ian Plamondon</v>
      </c>
      <c r="E1653" t="s">
        <v>373</v>
      </c>
      <c r="F1653" s="2">
        <v>0.43</v>
      </c>
      <c r="G1653" s="2">
        <v>1.1299999999999999</v>
      </c>
      <c r="H1653" s="2">
        <v>1</v>
      </c>
      <c r="I1653" s="2">
        <v>0.91</v>
      </c>
      <c r="J1653" s="2">
        <v>0.33</v>
      </c>
      <c r="K1653" t="e">
        <v>#N/A</v>
      </c>
      <c r="L1653" s="19" t="s">
        <v>330</v>
      </c>
      <c r="M1653" s="21">
        <v>0.67</v>
      </c>
    </row>
    <row r="1654" spans="1:13" x14ac:dyDescent="0.2">
      <c r="A1654" t="s">
        <v>320</v>
      </c>
      <c r="B1654" t="str">
        <f>VLOOKUP(A1654,MasterTutor!A:E,4,FALSE)</f>
        <v>Advanced</v>
      </c>
      <c r="C1654" t="str">
        <f>VLOOKUP(A1654,MasterTutor!A:E,3,FALSE)</f>
        <v>Professional</v>
      </c>
      <c r="D1654" t="str">
        <f>VLOOKUP(A1654,MasterTutor!A:E,2,FALSE)</f>
        <v>Kristin Haase-Alvey</v>
      </c>
      <c r="E1654" t="s">
        <v>373</v>
      </c>
      <c r="F1654" s="2">
        <v>0.86</v>
      </c>
      <c r="G1654" s="2">
        <v>0.89</v>
      </c>
      <c r="H1654" s="2">
        <v>0.99</v>
      </c>
      <c r="I1654" s="2">
        <v>0.7</v>
      </c>
      <c r="J1654" s="2">
        <v>1</v>
      </c>
      <c r="K1654">
        <v>5</v>
      </c>
      <c r="L1654" s="19" t="s">
        <v>344</v>
      </c>
      <c r="M1654" s="21">
        <v>0.83</v>
      </c>
    </row>
    <row r="1655" spans="1:13" x14ac:dyDescent="0.2">
      <c r="A1655" t="s">
        <v>202</v>
      </c>
      <c r="B1655" t="str">
        <f>VLOOKUP(A1655,MasterTutor!A:E,4,FALSE)</f>
        <v>Advanced</v>
      </c>
      <c r="C1655" t="str">
        <f>VLOOKUP(A1655,MasterTutor!A:E,3,FALSE)</f>
        <v>Professional</v>
      </c>
      <c r="D1655" t="str">
        <f>VLOOKUP(A1655,MasterTutor!A:E,2,FALSE)</f>
        <v>Annelies de Groot</v>
      </c>
      <c r="E1655" t="s">
        <v>373</v>
      </c>
      <c r="F1655" s="2">
        <v>1</v>
      </c>
      <c r="G1655" s="2">
        <v>1.28</v>
      </c>
      <c r="H1655" s="2">
        <v>0.92</v>
      </c>
      <c r="I1655" s="2">
        <v>1</v>
      </c>
      <c r="J1655" s="2">
        <v>0.56999999999999995</v>
      </c>
      <c r="K1655">
        <v>11</v>
      </c>
      <c r="L1655" s="19">
        <v>1</v>
      </c>
      <c r="M1655" s="21">
        <f>L1655</f>
        <v>1</v>
      </c>
    </row>
    <row r="1656" spans="1:13" x14ac:dyDescent="0.2">
      <c r="A1656" t="s">
        <v>203</v>
      </c>
      <c r="B1656" t="str">
        <f>VLOOKUP(A1656,MasterTutor!A:E,4,FALSE)</f>
        <v>Premium</v>
      </c>
      <c r="C1656" t="str">
        <f>VLOOKUP(A1656,MasterTutor!A:E,3,FALSE)</f>
        <v>Professional</v>
      </c>
      <c r="D1656" t="str">
        <f>VLOOKUP(A1656,MasterTutor!A:E,2,FALSE)</f>
        <v>Ian Plamondon</v>
      </c>
      <c r="E1656" t="s">
        <v>373</v>
      </c>
      <c r="F1656" s="2">
        <v>0.28999999999999998</v>
      </c>
      <c r="G1656" s="2">
        <v>0.81</v>
      </c>
      <c r="H1656" s="2">
        <v>1</v>
      </c>
      <c r="I1656" s="2">
        <v>1</v>
      </c>
      <c r="J1656" s="2">
        <v>0.82</v>
      </c>
      <c r="K1656">
        <v>3</v>
      </c>
      <c r="L1656" s="19">
        <v>1</v>
      </c>
      <c r="M1656" s="21">
        <f>L1656</f>
        <v>1</v>
      </c>
    </row>
    <row r="1657" spans="1:13" x14ac:dyDescent="0.2">
      <c r="A1657" t="s">
        <v>206</v>
      </c>
      <c r="B1657" t="e">
        <f>VLOOKUP(A1657,MasterTutor!A:E,4,FALSE)</f>
        <v>#N/A</v>
      </c>
      <c r="C1657" t="e">
        <f>VLOOKUP(A1657,MasterTutor!A:E,3,FALSE)</f>
        <v>#N/A</v>
      </c>
      <c r="D1657" t="e">
        <f>VLOOKUP(A1657,MasterTutor!A:E,2,FALSE)</f>
        <v>#N/A</v>
      </c>
      <c r="E1657" t="s">
        <v>373</v>
      </c>
      <c r="F1657" s="2">
        <v>0.59</v>
      </c>
      <c r="G1657" s="2">
        <v>1.02</v>
      </c>
      <c r="H1657" s="2">
        <v>0.98</v>
      </c>
      <c r="I1657" s="2">
        <v>0.47</v>
      </c>
      <c r="J1657" s="2">
        <v>0.54</v>
      </c>
      <c r="K1657" t="e">
        <v>#N/A</v>
      </c>
      <c r="L1657" s="19">
        <v>0</v>
      </c>
      <c r="M1657" s="21">
        <f>L1657</f>
        <v>0</v>
      </c>
    </row>
    <row r="1658" spans="1:13" x14ac:dyDescent="0.2">
      <c r="A1658" t="s">
        <v>207</v>
      </c>
      <c r="B1658" t="str">
        <f>VLOOKUP(A1658,MasterTutor!A:E,4,FALSE)</f>
        <v>Advanced</v>
      </c>
      <c r="C1658" t="str">
        <f>VLOOKUP(A1658,MasterTutor!A:E,3,FALSE)</f>
        <v>Adjunct</v>
      </c>
      <c r="D1658" t="str">
        <f>VLOOKUP(A1658,MasterTutor!A:E,2,FALSE)</f>
        <v>Ela Cross</v>
      </c>
      <c r="E1658" t="s">
        <v>373</v>
      </c>
      <c r="F1658" s="2">
        <v>1.49</v>
      </c>
      <c r="G1658" s="2">
        <v>1.47</v>
      </c>
      <c r="H1658" s="2">
        <v>1</v>
      </c>
      <c r="I1658" s="2">
        <v>0.94</v>
      </c>
      <c r="J1658" s="2">
        <v>0.75</v>
      </c>
      <c r="K1658">
        <v>4</v>
      </c>
    </row>
    <row r="1659" spans="1:13" x14ac:dyDescent="0.2">
      <c r="A1659" t="s">
        <v>325</v>
      </c>
      <c r="B1659" t="str">
        <f>VLOOKUP(A1659,MasterTutor!A:E,4,FALSE)</f>
        <v>Advanced</v>
      </c>
      <c r="C1659" t="str">
        <f>VLOOKUP(A1659,MasterTutor!A:E,3,FALSE)</f>
        <v>Professional</v>
      </c>
      <c r="D1659" t="str">
        <f>VLOOKUP(A1659,MasterTutor!A:E,2,FALSE)</f>
        <v>Ela Cross</v>
      </c>
      <c r="E1659" t="s">
        <v>373</v>
      </c>
      <c r="F1659" s="2">
        <v>0.64</v>
      </c>
      <c r="G1659" s="2">
        <v>1.05</v>
      </c>
      <c r="H1659" s="2">
        <v>1</v>
      </c>
      <c r="I1659" s="2">
        <v>1</v>
      </c>
      <c r="J1659" s="2">
        <v>0.4</v>
      </c>
      <c r="K1659">
        <v>9</v>
      </c>
      <c r="L1659" s="19">
        <v>0</v>
      </c>
      <c r="M1659" s="21">
        <f>L1659</f>
        <v>0</v>
      </c>
    </row>
    <row r="1660" spans="1:13" x14ac:dyDescent="0.2">
      <c r="A1660" t="s">
        <v>208</v>
      </c>
      <c r="B1660" t="str">
        <f>VLOOKUP(A1660,MasterTutor!A:E,4,FALSE)</f>
        <v>Distinguished</v>
      </c>
      <c r="C1660" t="str">
        <f>VLOOKUP(A1660,MasterTutor!A:E,3,FALSE)</f>
        <v>Adjunct</v>
      </c>
      <c r="D1660" t="str">
        <f>VLOOKUP(A1660,MasterTutor!A:E,2,FALSE)</f>
        <v>Annelies de Groot</v>
      </c>
      <c r="E1660" t="s">
        <v>373</v>
      </c>
      <c r="F1660" s="2">
        <v>0.46</v>
      </c>
      <c r="G1660" s="2">
        <v>1.0900000000000001</v>
      </c>
      <c r="H1660" s="2">
        <v>1</v>
      </c>
      <c r="I1660" s="2">
        <v>1</v>
      </c>
      <c r="J1660" s="2">
        <v>0</v>
      </c>
      <c r="K1660">
        <v>2</v>
      </c>
    </row>
    <row r="1661" spans="1:13" x14ac:dyDescent="0.2">
      <c r="A1661" t="s">
        <v>209</v>
      </c>
      <c r="B1661" t="str">
        <f>VLOOKUP(A1661,MasterTutor!A:E,4,FALSE)</f>
        <v>Premium</v>
      </c>
      <c r="C1661" t="str">
        <f>VLOOKUP(A1661,MasterTutor!A:E,3,FALSE)</f>
        <v>Professional</v>
      </c>
      <c r="D1661" t="str">
        <f>VLOOKUP(A1661,MasterTutor!A:E,2,FALSE)</f>
        <v>Jessica Milner</v>
      </c>
      <c r="E1661" t="s">
        <v>373</v>
      </c>
      <c r="F1661" s="2">
        <v>1.1599999999999999</v>
      </c>
      <c r="G1661" s="2">
        <v>1.21</v>
      </c>
      <c r="H1661" s="2">
        <v>1</v>
      </c>
      <c r="I1661" s="2">
        <v>0.96</v>
      </c>
      <c r="J1661" s="2">
        <v>0.96</v>
      </c>
      <c r="K1661">
        <v>1</v>
      </c>
      <c r="L1661" s="19">
        <v>0</v>
      </c>
      <c r="M1661" s="21">
        <f>L1661</f>
        <v>0</v>
      </c>
    </row>
    <row r="1662" spans="1:13" x14ac:dyDescent="0.2">
      <c r="A1662" t="s">
        <v>210</v>
      </c>
      <c r="B1662" t="str">
        <f>VLOOKUP(A1662,MasterTutor!A:E,4,FALSE)</f>
        <v>Advanced</v>
      </c>
      <c r="C1662" t="str">
        <f>VLOOKUP(A1662,MasterTutor!A:E,3,FALSE)</f>
        <v>Professional</v>
      </c>
      <c r="D1662" t="str">
        <f>VLOOKUP(A1662,MasterTutor!A:E,2,FALSE)</f>
        <v>Kristin Haase-Alvey</v>
      </c>
      <c r="E1662" t="s">
        <v>373</v>
      </c>
      <c r="F1662" s="2">
        <v>0.77</v>
      </c>
      <c r="G1662" s="2">
        <v>1.07</v>
      </c>
      <c r="H1662" s="2">
        <v>1</v>
      </c>
      <c r="I1662" s="2">
        <v>0.88</v>
      </c>
      <c r="J1662" s="2">
        <v>0.73</v>
      </c>
      <c r="K1662">
        <v>7</v>
      </c>
      <c r="L1662" s="19">
        <v>1</v>
      </c>
      <c r="M1662" s="21">
        <f>L1662</f>
        <v>1</v>
      </c>
    </row>
    <row r="1663" spans="1:13" x14ac:dyDescent="0.2">
      <c r="A1663" t="s">
        <v>211</v>
      </c>
      <c r="B1663" t="str">
        <f>VLOOKUP(A1663,MasterTutor!A:E,4,FALSE)</f>
        <v>Advanced</v>
      </c>
      <c r="C1663" t="str">
        <f>VLOOKUP(A1663,MasterTutor!A:E,3,FALSE)</f>
        <v>Professional</v>
      </c>
      <c r="D1663" t="str">
        <f>VLOOKUP(A1663,MasterTutor!A:E,2,FALSE)</f>
        <v>Kristin Haase-Alvey</v>
      </c>
      <c r="E1663" t="s">
        <v>373</v>
      </c>
      <c r="F1663" s="2">
        <v>0.84</v>
      </c>
      <c r="G1663" s="2">
        <v>1.03</v>
      </c>
      <c r="H1663" s="2">
        <v>1</v>
      </c>
      <c r="I1663" s="2">
        <v>1</v>
      </c>
      <c r="J1663" s="2">
        <v>0.74</v>
      </c>
      <c r="K1663">
        <v>5</v>
      </c>
      <c r="L1663" s="19" t="s">
        <v>356</v>
      </c>
      <c r="M1663" s="21">
        <v>0.88</v>
      </c>
    </row>
    <row r="1664" spans="1:13" x14ac:dyDescent="0.2">
      <c r="A1664" t="s">
        <v>12</v>
      </c>
      <c r="B1664" t="str">
        <f>VLOOKUP(A1664,MasterTutor!A:E,4,FALSE)</f>
        <v>Advanced</v>
      </c>
      <c r="C1664" t="str">
        <f>VLOOKUP(A1664,MasterTutor!A:E,3,FALSE)</f>
        <v>Adjunct</v>
      </c>
      <c r="D1664" t="str">
        <f>VLOOKUP(A1664,MasterTutor!A:E,2,FALSE)</f>
        <v>Ian Plamondon</v>
      </c>
      <c r="E1664" t="s">
        <v>375</v>
      </c>
      <c r="F1664" s="2">
        <v>1.2</v>
      </c>
      <c r="G1664" s="2">
        <v>1.24</v>
      </c>
      <c r="H1664" s="2">
        <v>1</v>
      </c>
      <c r="I1664" s="2">
        <v>1</v>
      </c>
      <c r="J1664" s="2">
        <v>1</v>
      </c>
      <c r="K1664">
        <v>4</v>
      </c>
      <c r="M1664" s="21"/>
    </row>
    <row r="1665" spans="1:13" x14ac:dyDescent="0.2">
      <c r="A1665" t="s">
        <v>15</v>
      </c>
      <c r="B1665" t="str">
        <f>VLOOKUP(A1665,MasterTutor!A:E,4,FALSE)</f>
        <v>Advanced</v>
      </c>
      <c r="C1665" t="str">
        <f>VLOOKUP(A1665,MasterTutor!A:E,3,FALSE)</f>
        <v>Professional</v>
      </c>
      <c r="D1665" t="str">
        <f>VLOOKUP(A1665,MasterTutor!A:E,2,FALSE)</f>
        <v>Ian Plamondon</v>
      </c>
      <c r="E1665" t="s">
        <v>375</v>
      </c>
      <c r="F1665" s="2">
        <v>0.8</v>
      </c>
      <c r="G1665" s="2">
        <v>0.97</v>
      </c>
      <c r="H1665" s="2">
        <v>1</v>
      </c>
      <c r="I1665" s="2">
        <v>0.99</v>
      </c>
      <c r="J1665" s="2">
        <v>0.91</v>
      </c>
      <c r="K1665">
        <v>10</v>
      </c>
      <c r="L1665" s="19" t="s">
        <v>243</v>
      </c>
      <c r="M1665" s="21">
        <v>0.33</v>
      </c>
    </row>
    <row r="1666" spans="1:13" x14ac:dyDescent="0.2">
      <c r="A1666" t="s">
        <v>16</v>
      </c>
      <c r="B1666" t="str">
        <f>VLOOKUP(A1666,MasterTutor!A:E,4,FALSE)</f>
        <v>Premium</v>
      </c>
      <c r="C1666" t="str">
        <f>VLOOKUP(A1666,MasterTutor!A:E,3,FALSE)</f>
        <v>Adjunct</v>
      </c>
      <c r="D1666" t="str">
        <f>VLOOKUP(A1666,MasterTutor!A:E,2,FALSE)</f>
        <v>Ela Cross</v>
      </c>
      <c r="E1666" t="s">
        <v>375</v>
      </c>
      <c r="F1666" s="2">
        <v>0.76</v>
      </c>
      <c r="G1666" s="2">
        <v>1.42</v>
      </c>
      <c r="H1666" s="2">
        <v>1</v>
      </c>
      <c r="I1666" s="2">
        <v>1</v>
      </c>
      <c r="J1666" s="2">
        <v>0</v>
      </c>
      <c r="K1666">
        <v>2</v>
      </c>
      <c r="L1666" s="19" t="s">
        <v>229</v>
      </c>
      <c r="M1666" s="21">
        <v>0.6</v>
      </c>
    </row>
    <row r="1667" spans="1:13" x14ac:dyDescent="0.2">
      <c r="A1667" t="s">
        <v>17</v>
      </c>
      <c r="B1667" t="str">
        <f>VLOOKUP(A1667,MasterTutor!A:E,4,FALSE)</f>
        <v>Premium</v>
      </c>
      <c r="C1667" t="str">
        <f>VLOOKUP(A1667,MasterTutor!A:E,3,FALSE)</f>
        <v>Professional</v>
      </c>
      <c r="D1667" t="str">
        <f>VLOOKUP(A1667,MasterTutor!A:E,2,FALSE)</f>
        <v>Ian Plamondon</v>
      </c>
      <c r="E1667" t="s">
        <v>375</v>
      </c>
      <c r="F1667" s="2">
        <v>0.8</v>
      </c>
      <c r="G1667" s="2">
        <v>1.03</v>
      </c>
      <c r="H1667" s="2">
        <v>0.99</v>
      </c>
      <c r="I1667" s="2">
        <v>1</v>
      </c>
      <c r="J1667" s="2">
        <v>0.88</v>
      </c>
      <c r="K1667">
        <v>1</v>
      </c>
      <c r="L1667" s="19" t="s">
        <v>219</v>
      </c>
      <c r="M1667" s="21">
        <v>0</v>
      </c>
    </row>
    <row r="1668" spans="1:13" x14ac:dyDescent="0.2">
      <c r="A1668" t="s">
        <v>217</v>
      </c>
      <c r="B1668" t="str">
        <f>VLOOKUP(A1668,MasterTutor!A:E,4,FALSE)</f>
        <v>Advanced</v>
      </c>
      <c r="C1668" t="str">
        <f>VLOOKUP(A1668,MasterTutor!A:E,3,FALSE)</f>
        <v>Adjunct</v>
      </c>
      <c r="D1668" t="str">
        <f>VLOOKUP(A1668,MasterTutor!A:E,2,FALSE)</f>
        <v>Kristin Haase-Alvey</v>
      </c>
      <c r="E1668" t="s">
        <v>375</v>
      </c>
      <c r="F1668" s="2">
        <v>1.02</v>
      </c>
      <c r="G1668" s="2">
        <v>1.48</v>
      </c>
      <c r="H1668" s="2">
        <v>1</v>
      </c>
      <c r="I1668" s="2">
        <v>0.95</v>
      </c>
      <c r="J1668" s="2">
        <v>0.4</v>
      </c>
      <c r="K1668">
        <v>2</v>
      </c>
      <c r="L1668" s="20"/>
      <c r="M1668" s="21"/>
    </row>
    <row r="1669" spans="1:13" x14ac:dyDescent="0.2">
      <c r="A1669" t="s">
        <v>18</v>
      </c>
      <c r="B1669" t="str">
        <f>VLOOKUP(A1669,MasterTutor!A:E,4,FALSE)</f>
        <v>Distinguished</v>
      </c>
      <c r="C1669" t="str">
        <f>VLOOKUP(A1669,MasterTutor!A:E,3,FALSE)</f>
        <v>Professional</v>
      </c>
      <c r="D1669" t="str">
        <f>VLOOKUP(A1669,MasterTutor!A:E,2,FALSE)</f>
        <v>Ian Plamondon</v>
      </c>
      <c r="E1669" t="s">
        <v>375</v>
      </c>
      <c r="F1669" s="2">
        <v>0.74</v>
      </c>
      <c r="G1669" s="2">
        <v>0.98</v>
      </c>
      <c r="H1669" s="2">
        <v>1</v>
      </c>
      <c r="I1669" s="2">
        <v>0.9</v>
      </c>
      <c r="J1669" s="2">
        <v>0.94</v>
      </c>
      <c r="K1669">
        <v>3</v>
      </c>
      <c r="L1669" s="19" t="s">
        <v>256</v>
      </c>
      <c r="M1669" s="21">
        <v>0.83</v>
      </c>
    </row>
    <row r="1670" spans="1:13" x14ac:dyDescent="0.2">
      <c r="A1670" t="s">
        <v>19</v>
      </c>
      <c r="B1670" t="str">
        <f>VLOOKUP(A1670,MasterTutor!A:E,4,FALSE)</f>
        <v>Premium</v>
      </c>
      <c r="C1670" t="str">
        <f>VLOOKUP(A1670,MasterTutor!A:E,3,FALSE)</f>
        <v>Adjunct</v>
      </c>
      <c r="D1670" t="str">
        <f>VLOOKUP(A1670,MasterTutor!A:E,2,FALSE)</f>
        <v>Geoff St. Marie</v>
      </c>
      <c r="E1670" t="s">
        <v>375</v>
      </c>
      <c r="F1670" s="2">
        <v>1.53</v>
      </c>
      <c r="G1670" s="2">
        <v>1.23</v>
      </c>
      <c r="H1670" s="2">
        <v>0.97</v>
      </c>
      <c r="I1670" s="2">
        <v>0.83</v>
      </c>
      <c r="J1670" s="2">
        <v>1</v>
      </c>
      <c r="K1670">
        <v>0</v>
      </c>
      <c r="L1670" s="19" t="s">
        <v>215</v>
      </c>
      <c r="M1670" s="21">
        <v>1</v>
      </c>
    </row>
    <row r="1671" spans="1:13" x14ac:dyDescent="0.2">
      <c r="A1671" t="s">
        <v>21</v>
      </c>
      <c r="B1671" t="str">
        <f>VLOOKUP(A1671,MasterTutor!A:E,4,FALSE)</f>
        <v>Distinguished</v>
      </c>
      <c r="C1671" t="str">
        <f>VLOOKUP(A1671,MasterTutor!A:E,3,FALSE)</f>
        <v>Adjunct</v>
      </c>
      <c r="D1671" t="str">
        <f>VLOOKUP(A1671,MasterTutor!A:E,2,FALSE)</f>
        <v>Kristin Haase-Alvey</v>
      </c>
      <c r="E1671" t="s">
        <v>375</v>
      </c>
      <c r="F1671" s="2">
        <v>0.24</v>
      </c>
      <c r="G1671" s="2">
        <v>1.39</v>
      </c>
      <c r="H1671" s="2">
        <v>1</v>
      </c>
      <c r="I1671" s="2">
        <v>0.86</v>
      </c>
      <c r="J1671" s="2">
        <v>0</v>
      </c>
      <c r="K1671">
        <v>0</v>
      </c>
      <c r="L1671" s="19" t="s">
        <v>219</v>
      </c>
      <c r="M1671" s="21">
        <v>0</v>
      </c>
    </row>
    <row r="1672" spans="1:13" x14ac:dyDescent="0.2">
      <c r="A1672" t="s">
        <v>22</v>
      </c>
      <c r="B1672" t="str">
        <f>VLOOKUP(A1672,MasterTutor!A:E,4,FALSE)</f>
        <v>Advanced</v>
      </c>
      <c r="C1672" t="str">
        <f>VLOOKUP(A1672,MasterTutor!A:E,3,FALSE)</f>
        <v>Professional</v>
      </c>
      <c r="D1672" t="str">
        <f>VLOOKUP(A1672,MasterTutor!A:E,2,FALSE)</f>
        <v>Annelies de Groot</v>
      </c>
      <c r="E1672" t="s">
        <v>375</v>
      </c>
      <c r="F1672" s="2">
        <v>0.82</v>
      </c>
      <c r="G1672" s="2">
        <v>1.1000000000000001</v>
      </c>
      <c r="H1672" s="2">
        <v>0.87</v>
      </c>
      <c r="I1672" s="2">
        <v>0.91</v>
      </c>
      <c r="J1672" s="2">
        <v>0.92</v>
      </c>
      <c r="K1672">
        <v>5</v>
      </c>
      <c r="L1672" s="19" t="s">
        <v>220</v>
      </c>
      <c r="M1672" s="21">
        <v>0.86</v>
      </c>
    </row>
    <row r="1673" spans="1:13" x14ac:dyDescent="0.2">
      <c r="A1673" t="s">
        <v>23</v>
      </c>
      <c r="B1673" t="str">
        <f>VLOOKUP(A1673,MasterTutor!A:E,4,FALSE)</f>
        <v>Premium</v>
      </c>
      <c r="C1673" t="str">
        <f>VLOOKUP(A1673,MasterTutor!A:E,3,FALSE)</f>
        <v>Professional</v>
      </c>
      <c r="D1673" t="str">
        <f>VLOOKUP(A1673,MasterTutor!A:E,2,FALSE)</f>
        <v>Jessica Milner</v>
      </c>
      <c r="E1673" t="s">
        <v>375</v>
      </c>
      <c r="F1673" s="2">
        <v>0.72</v>
      </c>
      <c r="G1673" s="2">
        <v>1.1100000000000001</v>
      </c>
      <c r="H1673" s="2">
        <v>1</v>
      </c>
      <c r="I1673" s="2">
        <v>0.75</v>
      </c>
      <c r="J1673" s="2">
        <v>0.15</v>
      </c>
      <c r="K1673">
        <v>1</v>
      </c>
      <c r="L1673" s="19" t="s">
        <v>267</v>
      </c>
      <c r="M1673" s="21">
        <v>0</v>
      </c>
    </row>
    <row r="1674" spans="1:13" x14ac:dyDescent="0.2">
      <c r="A1674" t="s">
        <v>24</v>
      </c>
      <c r="B1674" t="str">
        <f>VLOOKUP(A1674,MasterTutor!A:E,4,FALSE)</f>
        <v>Distinguished</v>
      </c>
      <c r="C1674" t="str">
        <f>VLOOKUP(A1674,MasterTutor!A:E,3,FALSE)</f>
        <v>Professional</v>
      </c>
      <c r="D1674" t="str">
        <f>VLOOKUP(A1674,MasterTutor!A:E,2,FALSE)</f>
        <v>Kristin Haase-Alvey</v>
      </c>
      <c r="E1674" t="s">
        <v>375</v>
      </c>
      <c r="F1674" s="2">
        <v>0.82</v>
      </c>
      <c r="G1674" s="2">
        <v>0.99</v>
      </c>
      <c r="H1674" s="2">
        <v>0.98</v>
      </c>
      <c r="I1674" s="2">
        <v>0.96</v>
      </c>
      <c r="J1674" s="2">
        <v>1</v>
      </c>
      <c r="K1674">
        <v>7</v>
      </c>
      <c r="L1674" s="19" t="s">
        <v>226</v>
      </c>
      <c r="M1674" s="21">
        <v>0.75</v>
      </c>
    </row>
    <row r="1675" spans="1:13" x14ac:dyDescent="0.2">
      <c r="A1675" t="s">
        <v>26</v>
      </c>
      <c r="B1675" t="str">
        <f>VLOOKUP(A1675,MasterTutor!A:E,4,FALSE)</f>
        <v>Distinguished</v>
      </c>
      <c r="C1675" t="str">
        <f>VLOOKUP(A1675,MasterTutor!A:E,3,FALSE)</f>
        <v>Professional</v>
      </c>
      <c r="D1675" t="str">
        <f>VLOOKUP(A1675,MasterTutor!A:E,2,FALSE)</f>
        <v>Ian Plamondon</v>
      </c>
      <c r="E1675" t="s">
        <v>375</v>
      </c>
      <c r="F1675" s="2">
        <v>0.84</v>
      </c>
      <c r="G1675" s="2">
        <v>1.33</v>
      </c>
      <c r="H1675" s="2">
        <v>0.99</v>
      </c>
      <c r="I1675" s="2">
        <v>1</v>
      </c>
      <c r="J1675" s="2">
        <v>0.74</v>
      </c>
      <c r="K1675">
        <v>0</v>
      </c>
      <c r="L1675" s="20"/>
      <c r="M1675" s="21"/>
    </row>
    <row r="1676" spans="1:13" x14ac:dyDescent="0.2">
      <c r="A1676" t="s">
        <v>27</v>
      </c>
      <c r="B1676" t="str">
        <f>VLOOKUP(A1676,MasterTutor!A:E,4,FALSE)</f>
        <v>Premium</v>
      </c>
      <c r="C1676" t="str">
        <f>VLOOKUP(A1676,MasterTutor!A:E,3,FALSE)</f>
        <v>Professional</v>
      </c>
      <c r="D1676" t="str">
        <f>VLOOKUP(A1676,MasterTutor!A:E,2,FALSE)</f>
        <v>Jessica Milner</v>
      </c>
      <c r="E1676" t="s">
        <v>375</v>
      </c>
      <c r="F1676" s="2">
        <v>0.78</v>
      </c>
      <c r="G1676" s="2">
        <v>1.01</v>
      </c>
      <c r="H1676" s="2">
        <v>0.99</v>
      </c>
      <c r="I1676" s="2">
        <v>0.88</v>
      </c>
      <c r="J1676" s="2">
        <v>0.85</v>
      </c>
      <c r="K1676">
        <v>0</v>
      </c>
      <c r="L1676" s="19" t="s">
        <v>225</v>
      </c>
      <c r="M1676" s="21">
        <v>0.5</v>
      </c>
    </row>
    <row r="1677" spans="1:13" x14ac:dyDescent="0.2">
      <c r="A1677" t="s">
        <v>28</v>
      </c>
      <c r="B1677" t="e">
        <f>VLOOKUP(A1677,MasterTutor!A:E,4,FALSE)</f>
        <v>#N/A</v>
      </c>
      <c r="C1677" t="e">
        <f>VLOOKUP(A1677,MasterTutor!A:E,3,FALSE)</f>
        <v>#N/A</v>
      </c>
      <c r="D1677" t="e">
        <f>VLOOKUP(A1677,MasterTutor!A:E,2,FALSE)</f>
        <v>#N/A</v>
      </c>
      <c r="E1677" t="s">
        <v>375</v>
      </c>
      <c r="F1677" s="2">
        <v>0.81</v>
      </c>
      <c r="G1677" s="2">
        <v>1.03</v>
      </c>
      <c r="H1677" s="2">
        <v>1</v>
      </c>
      <c r="I1677" s="2">
        <v>1</v>
      </c>
      <c r="J1677" s="2">
        <v>0.7</v>
      </c>
      <c r="K1677">
        <v>1</v>
      </c>
      <c r="L1677" s="19" t="s">
        <v>215</v>
      </c>
      <c r="M1677" s="21">
        <v>1</v>
      </c>
    </row>
    <row r="1678" spans="1:13" x14ac:dyDescent="0.2">
      <c r="A1678" t="s">
        <v>29</v>
      </c>
      <c r="B1678" t="str">
        <f>VLOOKUP(A1678,MasterTutor!A:E,4,FALSE)</f>
        <v>Distinguished</v>
      </c>
      <c r="C1678" t="str">
        <f>VLOOKUP(A1678,MasterTutor!A:E,3,FALSE)</f>
        <v>Adjunct</v>
      </c>
      <c r="D1678" t="str">
        <f>VLOOKUP(A1678,MasterTutor!A:E,2,FALSE)</f>
        <v>Kristin Haase-Alvey</v>
      </c>
      <c r="E1678" t="s">
        <v>375</v>
      </c>
      <c r="F1678" s="2">
        <v>0.81</v>
      </c>
      <c r="G1678" s="2">
        <v>0.97</v>
      </c>
      <c r="H1678" s="2">
        <v>1</v>
      </c>
      <c r="I1678" s="2">
        <v>1</v>
      </c>
      <c r="J1678" s="2">
        <v>0.56000000000000005</v>
      </c>
      <c r="K1678">
        <v>5</v>
      </c>
      <c r="L1678" s="20"/>
      <c r="M1678" s="21"/>
    </row>
    <row r="1679" spans="1:13" x14ac:dyDescent="0.2">
      <c r="A1679" t="s">
        <v>30</v>
      </c>
      <c r="B1679" t="str">
        <f>VLOOKUP(A1679,MasterTutor!A:E,4,FALSE)</f>
        <v>Distinguished</v>
      </c>
      <c r="C1679" t="str">
        <f>VLOOKUP(A1679,MasterTutor!A:E,3,FALSE)</f>
        <v>Professional</v>
      </c>
      <c r="D1679" t="str">
        <f>VLOOKUP(A1679,MasterTutor!A:E,2,FALSE)</f>
        <v>Ian Plamondon</v>
      </c>
      <c r="E1679" t="s">
        <v>375</v>
      </c>
      <c r="F1679" s="2">
        <v>0.67</v>
      </c>
      <c r="G1679" s="2">
        <v>1.59</v>
      </c>
      <c r="H1679" s="2">
        <v>0.98</v>
      </c>
      <c r="I1679" s="2">
        <v>0.97</v>
      </c>
      <c r="J1679" s="2">
        <v>1</v>
      </c>
      <c r="K1679">
        <v>1</v>
      </c>
      <c r="L1679" s="19" t="s">
        <v>215</v>
      </c>
      <c r="M1679" s="21">
        <v>1</v>
      </c>
    </row>
    <row r="1680" spans="1:13" x14ac:dyDescent="0.2">
      <c r="A1680" t="s">
        <v>31</v>
      </c>
      <c r="B1680" t="str">
        <f>VLOOKUP(A1680,MasterTutor!A:E,4,FALSE)</f>
        <v>Premium</v>
      </c>
      <c r="C1680" t="str">
        <f>VLOOKUP(A1680,MasterTutor!A:E,3,FALSE)</f>
        <v>Adjunct</v>
      </c>
      <c r="D1680" t="str">
        <f>VLOOKUP(A1680,MasterTutor!A:E,2,FALSE)</f>
        <v>Kristin Haase-Alvey</v>
      </c>
      <c r="E1680" t="s">
        <v>375</v>
      </c>
      <c r="F1680" s="2">
        <v>0.88</v>
      </c>
      <c r="G1680" s="2">
        <v>1.03</v>
      </c>
      <c r="H1680" s="2">
        <v>1</v>
      </c>
      <c r="I1680" s="2">
        <v>0.95</v>
      </c>
      <c r="J1680" s="2">
        <v>0.64</v>
      </c>
      <c r="K1680">
        <v>3</v>
      </c>
      <c r="L1680" s="19" t="s">
        <v>227</v>
      </c>
      <c r="M1680" s="21">
        <v>1</v>
      </c>
    </row>
    <row r="1681" spans="1:13" x14ac:dyDescent="0.2">
      <c r="A1681" t="s">
        <v>32</v>
      </c>
      <c r="B1681" t="e">
        <f>VLOOKUP(A1681,MasterTutor!A:E,4,FALSE)</f>
        <v>#N/A</v>
      </c>
      <c r="C1681" t="e">
        <f>VLOOKUP(A1681,MasterTutor!A:E,3,FALSE)</f>
        <v>#N/A</v>
      </c>
      <c r="D1681" t="e">
        <f>VLOOKUP(A1681,MasterTutor!A:E,2,FALSE)</f>
        <v>#N/A</v>
      </c>
      <c r="E1681" t="s">
        <v>375</v>
      </c>
      <c r="F1681" s="2">
        <v>0.85</v>
      </c>
      <c r="G1681" s="2">
        <v>1.03</v>
      </c>
      <c r="H1681" s="2">
        <v>1</v>
      </c>
      <c r="I1681" s="2">
        <v>0.83</v>
      </c>
      <c r="J1681" s="2">
        <v>0.13</v>
      </c>
      <c r="K1681">
        <v>5</v>
      </c>
      <c r="L1681" s="20"/>
      <c r="M1681" s="21"/>
    </row>
    <row r="1682" spans="1:13" x14ac:dyDescent="0.2">
      <c r="A1682" t="s">
        <v>33</v>
      </c>
      <c r="B1682" t="str">
        <f>VLOOKUP(A1682,MasterTutor!A:E,4,FALSE)</f>
        <v>Premium</v>
      </c>
      <c r="C1682" t="str">
        <f>VLOOKUP(A1682,MasterTutor!A:E,3,FALSE)</f>
        <v>Professional</v>
      </c>
      <c r="D1682" t="str">
        <f>VLOOKUP(A1682,MasterTutor!A:E,2,FALSE)</f>
        <v>Geoff St. Marie</v>
      </c>
      <c r="E1682" t="s">
        <v>375</v>
      </c>
      <c r="F1682" s="2">
        <v>1.41</v>
      </c>
      <c r="G1682" s="2">
        <v>1.34</v>
      </c>
      <c r="H1682" s="2">
        <v>0.89</v>
      </c>
      <c r="I1682" s="2">
        <v>0.94</v>
      </c>
      <c r="J1682" s="2">
        <v>0.91</v>
      </c>
      <c r="K1682">
        <v>4</v>
      </c>
      <c r="L1682" s="19" t="s">
        <v>228</v>
      </c>
      <c r="M1682" s="21">
        <v>0</v>
      </c>
    </row>
    <row r="1683" spans="1:13" x14ac:dyDescent="0.2">
      <c r="A1683" t="s">
        <v>35</v>
      </c>
      <c r="B1683" t="str">
        <f>VLOOKUP(A1683,MasterTutor!A:E,4,FALSE)</f>
        <v>Advanced</v>
      </c>
      <c r="C1683" t="str">
        <f>VLOOKUP(A1683,MasterTutor!A:E,3,FALSE)</f>
        <v>Adjunct</v>
      </c>
      <c r="D1683" t="str">
        <f>VLOOKUP(A1683,MasterTutor!A:E,2,FALSE)</f>
        <v>Annelies de Groot</v>
      </c>
      <c r="E1683" t="s">
        <v>375</v>
      </c>
      <c r="F1683" s="2">
        <v>1.02</v>
      </c>
      <c r="G1683" s="2">
        <v>2.31</v>
      </c>
      <c r="H1683" s="2">
        <v>0.96</v>
      </c>
      <c r="I1683" s="2">
        <v>1</v>
      </c>
      <c r="J1683" s="2">
        <v>0.82</v>
      </c>
      <c r="K1683">
        <v>1</v>
      </c>
      <c r="L1683" s="20"/>
      <c r="M1683" s="21"/>
    </row>
    <row r="1684" spans="1:13" x14ac:dyDescent="0.2">
      <c r="A1684" t="s">
        <v>36</v>
      </c>
      <c r="B1684" t="str">
        <f>VLOOKUP(A1684,MasterTutor!A:E,4,FALSE)</f>
        <v>Premium</v>
      </c>
      <c r="C1684" t="str">
        <f>VLOOKUP(A1684,MasterTutor!A:E,3,FALSE)</f>
        <v>Professional</v>
      </c>
      <c r="D1684" t="str">
        <f>VLOOKUP(A1684,MasterTutor!A:E,2,FALSE)</f>
        <v>Jessica Milner</v>
      </c>
      <c r="E1684" t="s">
        <v>375</v>
      </c>
      <c r="F1684" s="2">
        <v>0.95</v>
      </c>
      <c r="G1684" s="2">
        <v>1.1200000000000001</v>
      </c>
      <c r="H1684" s="2">
        <v>1</v>
      </c>
      <c r="I1684" s="2">
        <v>1</v>
      </c>
      <c r="J1684" s="2">
        <v>0.94</v>
      </c>
      <c r="K1684">
        <v>9</v>
      </c>
      <c r="L1684" s="20"/>
      <c r="M1684" s="21"/>
    </row>
    <row r="1685" spans="1:13" x14ac:dyDescent="0.2">
      <c r="A1685" t="s">
        <v>37</v>
      </c>
      <c r="B1685" t="e">
        <f>VLOOKUP(A1685,MasterTutor!A:E,4,FALSE)</f>
        <v>#N/A</v>
      </c>
      <c r="C1685" t="e">
        <f>VLOOKUP(A1685,MasterTutor!A:E,3,FALSE)</f>
        <v>#N/A</v>
      </c>
      <c r="D1685" t="e">
        <f>VLOOKUP(A1685,MasterTutor!A:E,2,FALSE)</f>
        <v>#N/A</v>
      </c>
      <c r="E1685" t="s">
        <v>375</v>
      </c>
      <c r="F1685" s="2">
        <v>0.4</v>
      </c>
      <c r="G1685" s="2">
        <v>1</v>
      </c>
      <c r="H1685" s="2">
        <v>0.9</v>
      </c>
      <c r="I1685" s="2">
        <v>0.67</v>
      </c>
      <c r="J1685" s="2">
        <v>0.67</v>
      </c>
      <c r="K1685">
        <v>0</v>
      </c>
      <c r="L1685" s="19" t="s">
        <v>225</v>
      </c>
      <c r="M1685" s="21">
        <v>0.5</v>
      </c>
    </row>
    <row r="1686" spans="1:13" x14ac:dyDescent="0.2">
      <c r="A1686" t="s">
        <v>231</v>
      </c>
      <c r="B1686" t="str">
        <f>VLOOKUP(A1686,MasterTutor!A:E,4,FALSE)</f>
        <v>Advanced</v>
      </c>
      <c r="C1686" t="str">
        <f>VLOOKUP(A1686,MasterTutor!A:E,3,FALSE)</f>
        <v>Professional</v>
      </c>
      <c r="D1686" t="str">
        <f>VLOOKUP(A1686,MasterTutor!A:E,2,FALSE)</f>
        <v>Annelies de Groot</v>
      </c>
      <c r="E1686" t="s">
        <v>375</v>
      </c>
      <c r="F1686" s="2">
        <v>0.88</v>
      </c>
      <c r="G1686" s="2">
        <v>1.05</v>
      </c>
      <c r="H1686" s="2">
        <v>1</v>
      </c>
      <c r="I1686" s="2">
        <v>0.94</v>
      </c>
      <c r="J1686" s="2">
        <v>0.11</v>
      </c>
      <c r="K1686">
        <v>5</v>
      </c>
      <c r="L1686" s="19" t="s">
        <v>376</v>
      </c>
      <c r="M1686" s="21">
        <v>0.62</v>
      </c>
    </row>
    <row r="1687" spans="1:13" x14ac:dyDescent="0.2">
      <c r="A1687" t="s">
        <v>38</v>
      </c>
      <c r="B1687" t="str">
        <f>VLOOKUP(A1687,MasterTutor!A:E,4,FALSE)</f>
        <v>Advanced</v>
      </c>
      <c r="C1687" t="str">
        <f>VLOOKUP(A1687,MasterTutor!A:E,3,FALSE)</f>
        <v>Adjunct</v>
      </c>
      <c r="D1687" t="str">
        <f>VLOOKUP(A1687,MasterTutor!A:E,2,FALSE)</f>
        <v>Annelies de Groot</v>
      </c>
      <c r="E1687" t="s">
        <v>375</v>
      </c>
      <c r="F1687" s="2">
        <v>0.9</v>
      </c>
      <c r="G1687" s="2">
        <v>1.2</v>
      </c>
      <c r="H1687" s="2">
        <v>0.98</v>
      </c>
      <c r="I1687" s="2">
        <v>1</v>
      </c>
      <c r="J1687" s="2">
        <v>0.73</v>
      </c>
      <c r="K1687">
        <v>3</v>
      </c>
      <c r="L1687" s="20"/>
      <c r="M1687" s="21"/>
    </row>
    <row r="1688" spans="1:13" x14ac:dyDescent="0.2">
      <c r="A1688" t="s">
        <v>39</v>
      </c>
      <c r="B1688" t="str">
        <f>VLOOKUP(A1688,MasterTutor!A:E,4,FALSE)</f>
        <v>Premium</v>
      </c>
      <c r="C1688" t="str">
        <f>VLOOKUP(A1688,MasterTutor!A:E,3,FALSE)</f>
        <v>Adjunct</v>
      </c>
      <c r="D1688" t="str">
        <f>VLOOKUP(A1688,MasterTutor!A:E,2,FALSE)</f>
        <v>Jessica Milner</v>
      </c>
      <c r="E1688" t="s">
        <v>375</v>
      </c>
      <c r="F1688" s="2">
        <v>0.65</v>
      </c>
      <c r="G1688" s="2">
        <v>0.9</v>
      </c>
      <c r="H1688" s="2">
        <v>1</v>
      </c>
      <c r="I1688" s="2">
        <v>1</v>
      </c>
      <c r="J1688" s="2">
        <v>1</v>
      </c>
      <c r="K1688">
        <v>0</v>
      </c>
      <c r="L1688" s="20"/>
      <c r="M1688" s="21"/>
    </row>
    <row r="1689" spans="1:13" x14ac:dyDescent="0.2">
      <c r="A1689" t="s">
        <v>40</v>
      </c>
      <c r="B1689" t="str">
        <f>VLOOKUP(A1689,MasterTutor!A:E,4,FALSE)</f>
        <v>Advanced</v>
      </c>
      <c r="C1689" t="str">
        <f>VLOOKUP(A1689,MasterTutor!A:E,3,FALSE)</f>
        <v>Professional</v>
      </c>
      <c r="D1689" t="str">
        <f>VLOOKUP(A1689,MasterTutor!A:E,2,FALSE)</f>
        <v>Annelies de Groot</v>
      </c>
      <c r="E1689" t="s">
        <v>375</v>
      </c>
      <c r="F1689" s="2">
        <v>1.22</v>
      </c>
      <c r="G1689" s="2">
        <v>1.18</v>
      </c>
      <c r="H1689" s="2">
        <v>1</v>
      </c>
      <c r="I1689" s="2">
        <v>0.99</v>
      </c>
      <c r="J1689" s="2">
        <v>0.5</v>
      </c>
      <c r="K1689">
        <v>16</v>
      </c>
      <c r="L1689" s="19" t="s">
        <v>218</v>
      </c>
      <c r="M1689" s="21">
        <v>0.66</v>
      </c>
    </row>
    <row r="1690" spans="1:13" x14ac:dyDescent="0.2">
      <c r="A1690" t="s">
        <v>41</v>
      </c>
      <c r="B1690" t="str">
        <f>VLOOKUP(A1690,MasterTutor!A:E,4,FALSE)</f>
        <v>Premium</v>
      </c>
      <c r="C1690" t="str">
        <f>VLOOKUP(A1690,MasterTutor!A:E,3,FALSE)</f>
        <v>Professional</v>
      </c>
      <c r="D1690" t="str">
        <f>VLOOKUP(A1690,MasterTutor!A:E,2,FALSE)</f>
        <v>Jessica Milner</v>
      </c>
      <c r="E1690" t="s">
        <v>375</v>
      </c>
      <c r="F1690" s="2">
        <v>0.53</v>
      </c>
      <c r="G1690" s="2">
        <v>0.92</v>
      </c>
      <c r="H1690" s="2">
        <v>0.97</v>
      </c>
      <c r="I1690" s="2">
        <v>0.92</v>
      </c>
      <c r="J1690" s="2">
        <v>0.85</v>
      </c>
      <c r="K1690">
        <v>0</v>
      </c>
      <c r="L1690" s="19" t="s">
        <v>228</v>
      </c>
      <c r="M1690" s="21">
        <v>0</v>
      </c>
    </row>
    <row r="1691" spans="1:13" x14ac:dyDescent="0.2">
      <c r="A1691" t="s">
        <v>42</v>
      </c>
      <c r="B1691" t="str">
        <f>VLOOKUP(A1691,MasterTutor!A:E,4,FALSE)</f>
        <v>Premium</v>
      </c>
      <c r="C1691" t="str">
        <f>VLOOKUP(A1691,MasterTutor!A:E,3,FALSE)</f>
        <v>Adjunct</v>
      </c>
      <c r="D1691" t="str">
        <f>VLOOKUP(A1691,MasterTutor!A:E,2,FALSE)</f>
        <v>Ela Cross</v>
      </c>
      <c r="E1691" t="s">
        <v>375</v>
      </c>
      <c r="F1691" s="2">
        <v>0.42</v>
      </c>
      <c r="G1691" s="2">
        <v>1.1000000000000001</v>
      </c>
      <c r="H1691" s="2">
        <v>1</v>
      </c>
      <c r="I1691" s="2">
        <v>1</v>
      </c>
      <c r="J1691" s="2">
        <v>0.5</v>
      </c>
      <c r="K1691">
        <v>0</v>
      </c>
      <c r="L1691" s="20"/>
      <c r="M1691" s="21"/>
    </row>
    <row r="1692" spans="1:13" x14ac:dyDescent="0.2">
      <c r="A1692" t="s">
        <v>45</v>
      </c>
      <c r="B1692" t="str">
        <f>VLOOKUP(A1692,MasterTutor!A:E,4,FALSE)</f>
        <v>Distinguished</v>
      </c>
      <c r="C1692" t="str">
        <f>VLOOKUP(A1692,MasterTutor!A:E,3,FALSE)</f>
        <v>Adjunct</v>
      </c>
      <c r="D1692" t="str">
        <f>VLOOKUP(A1692,MasterTutor!A:E,2,FALSE)</f>
        <v>Kristin Haase-Alvey</v>
      </c>
      <c r="E1692" t="s">
        <v>375</v>
      </c>
      <c r="F1692" s="2">
        <v>0.95</v>
      </c>
      <c r="G1692" s="2">
        <v>1.21</v>
      </c>
      <c r="H1692" s="2">
        <v>1</v>
      </c>
      <c r="I1692" s="2">
        <v>0.79</v>
      </c>
      <c r="J1692" s="2">
        <v>0.63</v>
      </c>
      <c r="K1692">
        <v>2</v>
      </c>
      <c r="L1692" s="19" t="s">
        <v>227</v>
      </c>
      <c r="M1692" s="21">
        <v>1</v>
      </c>
    </row>
    <row r="1693" spans="1:13" x14ac:dyDescent="0.2">
      <c r="A1693" t="s">
        <v>46</v>
      </c>
      <c r="B1693" t="str">
        <f>VLOOKUP(A1693,MasterTutor!A:E,4,FALSE)</f>
        <v>Distinguished</v>
      </c>
      <c r="C1693" t="str">
        <f>VLOOKUP(A1693,MasterTutor!A:E,3,FALSE)</f>
        <v>Professional</v>
      </c>
      <c r="D1693" t="str">
        <f>VLOOKUP(A1693,MasterTutor!A:E,2,FALSE)</f>
        <v>Ian Plamondon</v>
      </c>
      <c r="E1693" t="s">
        <v>375</v>
      </c>
      <c r="F1693" s="2">
        <v>1.37</v>
      </c>
      <c r="G1693" s="2">
        <v>1.32</v>
      </c>
      <c r="H1693" s="2">
        <v>0.99</v>
      </c>
      <c r="I1693" s="2">
        <v>0.79</v>
      </c>
      <c r="J1693" s="2">
        <v>0.88</v>
      </c>
      <c r="K1693">
        <v>4</v>
      </c>
      <c r="L1693" s="19" t="s">
        <v>267</v>
      </c>
      <c r="M1693" s="21">
        <v>0</v>
      </c>
    </row>
    <row r="1694" spans="1:13" x14ac:dyDescent="0.2">
      <c r="A1694" t="s">
        <v>236</v>
      </c>
      <c r="B1694" t="str">
        <f>VLOOKUP(A1694,MasterTutor!A:E,4,FALSE)</f>
        <v>Advanced</v>
      </c>
      <c r="C1694" t="str">
        <f>VLOOKUP(A1694,MasterTutor!A:E,3,FALSE)</f>
        <v xml:space="preserve">Professional </v>
      </c>
      <c r="D1694" t="str">
        <f>VLOOKUP(A1694,MasterTutor!A:E,2,FALSE)</f>
        <v>Kristin Haase-Alvey</v>
      </c>
      <c r="E1694" t="s">
        <v>375</v>
      </c>
      <c r="F1694" s="2">
        <v>0.99</v>
      </c>
      <c r="G1694" s="2">
        <v>1.0900000000000001</v>
      </c>
      <c r="H1694" s="2">
        <v>1</v>
      </c>
      <c r="I1694" s="2">
        <v>0.97</v>
      </c>
      <c r="J1694" s="2">
        <v>1</v>
      </c>
      <c r="K1694">
        <v>8</v>
      </c>
      <c r="L1694" s="19" t="s">
        <v>234</v>
      </c>
      <c r="M1694" s="21">
        <v>1</v>
      </c>
    </row>
    <row r="1695" spans="1:13" x14ac:dyDescent="0.2">
      <c r="A1695" t="s">
        <v>238</v>
      </c>
      <c r="B1695" t="str">
        <f>VLOOKUP(A1695,MasterTutor!A:E,4,FALSE)</f>
        <v>Advanced</v>
      </c>
      <c r="C1695" t="str">
        <f>VLOOKUP(A1695,MasterTutor!A:E,3,FALSE)</f>
        <v>Professional</v>
      </c>
      <c r="D1695" t="str">
        <f>VLOOKUP(A1695,MasterTutor!A:E,2,FALSE)</f>
        <v>Ela Cross</v>
      </c>
      <c r="E1695" t="s">
        <v>375</v>
      </c>
      <c r="F1695" s="2">
        <v>0.74</v>
      </c>
      <c r="G1695" s="2">
        <v>1.1599999999999999</v>
      </c>
      <c r="H1695" s="2">
        <v>1</v>
      </c>
      <c r="I1695" s="2">
        <v>1</v>
      </c>
      <c r="J1695" s="2">
        <v>1</v>
      </c>
      <c r="K1695">
        <v>5</v>
      </c>
      <c r="L1695" s="19" t="s">
        <v>224</v>
      </c>
      <c r="M1695" s="21">
        <v>0</v>
      </c>
    </row>
    <row r="1696" spans="1:13" x14ac:dyDescent="0.2">
      <c r="A1696" t="s">
        <v>48</v>
      </c>
      <c r="B1696" t="str">
        <f>VLOOKUP(A1696,MasterTutor!A:E,4,FALSE)</f>
        <v>Advanced</v>
      </c>
      <c r="C1696" t="str">
        <f>VLOOKUP(A1696,MasterTutor!A:E,3,FALSE)</f>
        <v>Professional</v>
      </c>
      <c r="D1696" t="str">
        <f>VLOOKUP(A1696,MasterTutor!A:E,2,FALSE)</f>
        <v>Annelies de Groot</v>
      </c>
      <c r="E1696" t="s">
        <v>375</v>
      </c>
      <c r="F1696" s="2">
        <v>0.82</v>
      </c>
      <c r="G1696" s="2">
        <v>1.1100000000000001</v>
      </c>
      <c r="H1696" s="2">
        <v>0.99</v>
      </c>
      <c r="I1696" s="2">
        <v>1</v>
      </c>
      <c r="J1696" s="2">
        <v>0</v>
      </c>
      <c r="K1696">
        <v>3</v>
      </c>
      <c r="L1696" s="19" t="s">
        <v>256</v>
      </c>
      <c r="M1696" s="21">
        <v>0.83</v>
      </c>
    </row>
    <row r="1697" spans="1:13" x14ac:dyDescent="0.2">
      <c r="A1697" t="s">
        <v>49</v>
      </c>
      <c r="B1697" t="str">
        <f>VLOOKUP(A1697,MasterTutor!A:E,4,FALSE)</f>
        <v>Advanced</v>
      </c>
      <c r="C1697" t="str">
        <f>VLOOKUP(A1697,MasterTutor!A:E,3,FALSE)</f>
        <v>Professional</v>
      </c>
      <c r="D1697" t="str">
        <f>VLOOKUP(A1697,MasterTutor!A:E,2,FALSE)</f>
        <v>Ian Plamondon</v>
      </c>
      <c r="E1697" t="s">
        <v>375</v>
      </c>
      <c r="F1697" s="2">
        <v>0.62</v>
      </c>
      <c r="G1697" s="2">
        <v>0.97</v>
      </c>
      <c r="H1697" s="2">
        <v>0.82</v>
      </c>
      <c r="I1697" s="2">
        <v>0.96</v>
      </c>
      <c r="J1697" s="2">
        <v>0.94</v>
      </c>
      <c r="K1697">
        <v>4</v>
      </c>
      <c r="L1697" s="20"/>
    </row>
    <row r="1698" spans="1:13" x14ac:dyDescent="0.2">
      <c r="A1698" t="s">
        <v>50</v>
      </c>
      <c r="B1698" t="str">
        <f>VLOOKUP(A1698,MasterTutor!A:E,4,FALSE)</f>
        <v>Premium</v>
      </c>
      <c r="C1698" t="str">
        <f>VLOOKUP(A1698,MasterTutor!A:E,3,FALSE)</f>
        <v>Adjunct</v>
      </c>
      <c r="D1698" t="str">
        <f>VLOOKUP(A1698,MasterTutor!A:E,2,FALSE)</f>
        <v>Kristin Haase-Alvey</v>
      </c>
      <c r="E1698" t="s">
        <v>375</v>
      </c>
      <c r="F1698" s="2">
        <v>0.3</v>
      </c>
      <c r="G1698" s="2">
        <v>0.96</v>
      </c>
      <c r="H1698" s="2">
        <v>1</v>
      </c>
      <c r="I1698" s="2">
        <v>0.5</v>
      </c>
      <c r="J1698" s="2">
        <v>0.33</v>
      </c>
      <c r="K1698">
        <v>0</v>
      </c>
      <c r="L1698" s="20"/>
    </row>
    <row r="1699" spans="1:13" x14ac:dyDescent="0.2">
      <c r="A1699" t="s">
        <v>51</v>
      </c>
      <c r="B1699" t="str">
        <f>VLOOKUP(A1699,MasterTutor!A:E,4,FALSE)</f>
        <v>Premium</v>
      </c>
      <c r="C1699" t="str">
        <f>VLOOKUP(A1699,MasterTutor!A:E,3,FALSE)</f>
        <v>Adjunct</v>
      </c>
      <c r="D1699" t="str">
        <f>VLOOKUP(A1699,MasterTutor!A:E,2,FALSE)</f>
        <v>Annelies de Groot</v>
      </c>
      <c r="E1699" t="s">
        <v>375</v>
      </c>
      <c r="F1699" s="2">
        <v>1.1599999999999999</v>
      </c>
      <c r="G1699" s="2">
        <v>1.34</v>
      </c>
      <c r="H1699" s="2">
        <v>0.95</v>
      </c>
      <c r="I1699" s="2">
        <v>0.96</v>
      </c>
      <c r="J1699" s="2">
        <v>1</v>
      </c>
      <c r="K1699">
        <v>3</v>
      </c>
      <c r="L1699" s="19" t="s">
        <v>227</v>
      </c>
      <c r="M1699" s="21">
        <v>1</v>
      </c>
    </row>
    <row r="1700" spans="1:13" x14ac:dyDescent="0.2">
      <c r="A1700" t="s">
        <v>52</v>
      </c>
      <c r="B1700" t="str">
        <f>VLOOKUP(A1700,MasterTutor!A:E,4,FALSE)</f>
        <v>Premium</v>
      </c>
      <c r="C1700" t="str">
        <f>VLOOKUP(A1700,MasterTutor!A:E,3,FALSE)</f>
        <v>Professional</v>
      </c>
      <c r="D1700" t="str">
        <f>VLOOKUP(A1700,MasterTutor!A:E,2,FALSE)</f>
        <v>Jessica Milner</v>
      </c>
      <c r="E1700" t="s">
        <v>375</v>
      </c>
      <c r="F1700" s="2">
        <v>1.1299999999999999</v>
      </c>
      <c r="G1700" s="2">
        <v>1.27</v>
      </c>
      <c r="H1700" s="2">
        <v>0.99</v>
      </c>
      <c r="I1700" s="2">
        <v>1</v>
      </c>
      <c r="J1700" s="2">
        <v>0.79</v>
      </c>
      <c r="K1700">
        <v>3</v>
      </c>
      <c r="L1700" s="19" t="s">
        <v>219</v>
      </c>
      <c r="M1700" s="21">
        <v>0</v>
      </c>
    </row>
    <row r="1701" spans="1:13" x14ac:dyDescent="0.2">
      <c r="A1701" t="s">
        <v>53</v>
      </c>
      <c r="B1701" t="str">
        <f>VLOOKUP(A1701,MasterTutor!A:E,4,FALSE)</f>
        <v>Advanced</v>
      </c>
      <c r="C1701" t="str">
        <f>VLOOKUP(A1701,MasterTutor!A:E,3,FALSE)</f>
        <v>Professional</v>
      </c>
      <c r="D1701" t="str">
        <f>VLOOKUP(A1701,MasterTutor!A:E,2,FALSE)</f>
        <v>Kristin Haase-Alvey</v>
      </c>
      <c r="E1701" t="s">
        <v>375</v>
      </c>
      <c r="F1701" s="2">
        <v>0.64</v>
      </c>
      <c r="G1701" s="2">
        <v>1.04</v>
      </c>
      <c r="H1701" s="2">
        <v>0.9</v>
      </c>
      <c r="I1701" s="2">
        <v>0.98</v>
      </c>
      <c r="J1701" s="2">
        <v>0.92</v>
      </c>
      <c r="K1701">
        <v>7</v>
      </c>
      <c r="L1701" s="19" t="s">
        <v>215</v>
      </c>
      <c r="M1701" s="21">
        <v>1</v>
      </c>
    </row>
    <row r="1702" spans="1:13" x14ac:dyDescent="0.2">
      <c r="A1702" t="s">
        <v>54</v>
      </c>
      <c r="B1702" t="str">
        <f>VLOOKUP(A1702,MasterTutor!A:E,4,FALSE)</f>
        <v>Premium</v>
      </c>
      <c r="C1702" t="str">
        <f>VLOOKUP(A1702,MasterTutor!A:E,3,FALSE)</f>
        <v>Professional</v>
      </c>
      <c r="D1702" t="str">
        <f>VLOOKUP(A1702,MasterTutor!A:E,2,FALSE)</f>
        <v>Jessica Milner</v>
      </c>
      <c r="E1702" t="s">
        <v>375</v>
      </c>
      <c r="F1702" s="2">
        <v>0.7</v>
      </c>
      <c r="G1702" s="2">
        <v>0.87</v>
      </c>
      <c r="H1702" s="2">
        <v>1</v>
      </c>
      <c r="I1702" s="2">
        <v>0.98</v>
      </c>
      <c r="J1702" s="2">
        <v>0.39</v>
      </c>
      <c r="K1702">
        <v>1</v>
      </c>
      <c r="L1702" s="19" t="s">
        <v>215</v>
      </c>
      <c r="M1702" s="21">
        <v>1</v>
      </c>
    </row>
    <row r="1703" spans="1:13" x14ac:dyDescent="0.2">
      <c r="A1703" t="s">
        <v>55</v>
      </c>
      <c r="B1703" t="str">
        <f>VLOOKUP(A1703,MasterTutor!A:E,4,FALSE)</f>
        <v>Premium</v>
      </c>
      <c r="C1703" t="str">
        <f>VLOOKUP(A1703,MasterTutor!A:E,3,FALSE)</f>
        <v>Adjunct</v>
      </c>
      <c r="D1703" t="str">
        <f>VLOOKUP(A1703,MasterTutor!A:E,2,FALSE)</f>
        <v>Ela Cross</v>
      </c>
      <c r="E1703" t="s">
        <v>375</v>
      </c>
      <c r="F1703" s="2">
        <v>1.06</v>
      </c>
      <c r="G1703" s="2">
        <v>1.4</v>
      </c>
      <c r="H1703" s="2">
        <v>0.92</v>
      </c>
      <c r="I1703" s="2">
        <v>0.92</v>
      </c>
      <c r="J1703" s="2">
        <v>0.63</v>
      </c>
      <c r="K1703">
        <v>0</v>
      </c>
      <c r="L1703" s="20"/>
    </row>
    <row r="1704" spans="1:13" x14ac:dyDescent="0.2">
      <c r="A1704" t="s">
        <v>56</v>
      </c>
      <c r="B1704" t="str">
        <f>VLOOKUP(A1704,MasterTutor!A:E,4,FALSE)</f>
        <v>Advanced</v>
      </c>
      <c r="C1704" t="str">
        <f>VLOOKUP(A1704,MasterTutor!A:E,3,FALSE)</f>
        <v>Professional</v>
      </c>
      <c r="D1704" t="str">
        <f>VLOOKUP(A1704,MasterTutor!A:E,2,FALSE)</f>
        <v>Ela Cross</v>
      </c>
      <c r="E1704" t="s">
        <v>375</v>
      </c>
      <c r="F1704" s="2">
        <v>0.79</v>
      </c>
      <c r="G1704" s="2">
        <v>1.06</v>
      </c>
      <c r="H1704" s="2">
        <v>0.94</v>
      </c>
      <c r="I1704" s="2">
        <v>0.67</v>
      </c>
      <c r="J1704" s="2">
        <v>0.47</v>
      </c>
      <c r="K1704">
        <v>5</v>
      </c>
      <c r="L1704" s="19" t="s">
        <v>218</v>
      </c>
      <c r="M1704" s="21">
        <v>0.66</v>
      </c>
    </row>
    <row r="1705" spans="1:13" x14ac:dyDescent="0.2">
      <c r="A1705" t="s">
        <v>245</v>
      </c>
      <c r="B1705" t="str">
        <f>VLOOKUP(A1705,MasterTutor!A:E,4,FALSE)</f>
        <v>Advanced</v>
      </c>
      <c r="C1705" t="str">
        <f>VLOOKUP(A1705,MasterTutor!A:E,3,FALSE)</f>
        <v>Professional</v>
      </c>
      <c r="D1705" t="str">
        <f>VLOOKUP(A1705,MasterTutor!A:E,2,FALSE)</f>
        <v>Ela Cross</v>
      </c>
      <c r="E1705" t="s">
        <v>375</v>
      </c>
      <c r="F1705" s="2">
        <v>0.62</v>
      </c>
      <c r="G1705" s="2">
        <v>1.05</v>
      </c>
      <c r="H1705" s="2">
        <v>0.96</v>
      </c>
      <c r="I1705" s="2">
        <v>1</v>
      </c>
      <c r="J1705" s="2">
        <v>1</v>
      </c>
      <c r="K1705">
        <v>6</v>
      </c>
      <c r="L1705" s="20"/>
    </row>
    <row r="1706" spans="1:13" x14ac:dyDescent="0.2">
      <c r="A1706" t="s">
        <v>57</v>
      </c>
      <c r="B1706" t="str">
        <f>VLOOKUP(A1706,MasterTutor!A:E,4,FALSE)</f>
        <v>Advanced</v>
      </c>
      <c r="C1706" t="str">
        <f>VLOOKUP(A1706,MasterTutor!A:E,3,FALSE)</f>
        <v>Professional</v>
      </c>
      <c r="D1706" t="str">
        <f>VLOOKUP(A1706,MasterTutor!A:E,2,FALSE)</f>
        <v>Ian Plamondon</v>
      </c>
      <c r="E1706" t="s">
        <v>375</v>
      </c>
      <c r="F1706" s="2">
        <v>0</v>
      </c>
      <c r="G1706" s="2">
        <v>0.68</v>
      </c>
      <c r="H1706" s="2">
        <v>0</v>
      </c>
      <c r="I1706" s="2">
        <v>0</v>
      </c>
      <c r="J1706" s="2">
        <v>0</v>
      </c>
      <c r="K1706">
        <v>0</v>
      </c>
      <c r="L1706" s="20"/>
    </row>
    <row r="1707" spans="1:13" x14ac:dyDescent="0.2">
      <c r="A1707" t="s">
        <v>248</v>
      </c>
      <c r="B1707" t="e">
        <f>VLOOKUP(A1707,MasterTutor!A:E,4,FALSE)</f>
        <v>#N/A</v>
      </c>
      <c r="C1707" t="e">
        <f>VLOOKUP(A1707,MasterTutor!A:E,3,FALSE)</f>
        <v>#N/A</v>
      </c>
      <c r="D1707" t="e">
        <f>VLOOKUP(A1707,MasterTutor!A:E,2,FALSE)</f>
        <v>#N/A</v>
      </c>
      <c r="E1707" t="s">
        <v>375</v>
      </c>
      <c r="F1707" s="2">
        <v>0.98</v>
      </c>
      <c r="G1707" s="2">
        <v>1.02</v>
      </c>
      <c r="H1707" s="2">
        <v>0.99</v>
      </c>
      <c r="I1707" s="2">
        <v>0.96</v>
      </c>
      <c r="J1707" s="2">
        <v>0.17</v>
      </c>
      <c r="K1707">
        <v>3</v>
      </c>
      <c r="L1707" s="19" t="s">
        <v>227</v>
      </c>
      <c r="M1707" s="21">
        <v>1</v>
      </c>
    </row>
    <row r="1708" spans="1:13" x14ac:dyDescent="0.2">
      <c r="A1708" t="s">
        <v>249</v>
      </c>
      <c r="B1708" t="str">
        <f>VLOOKUP(A1708,MasterTutor!A:E,4,FALSE)</f>
        <v>Advanced</v>
      </c>
      <c r="C1708" t="str">
        <f>VLOOKUP(A1708,MasterTutor!A:E,3,FALSE)</f>
        <v>Adjunct</v>
      </c>
      <c r="D1708" t="str">
        <f>VLOOKUP(A1708,MasterTutor!A:E,2,FALSE)</f>
        <v>Annelies de Groot</v>
      </c>
      <c r="E1708" t="s">
        <v>375</v>
      </c>
      <c r="F1708" s="2">
        <v>0.79</v>
      </c>
      <c r="G1708" s="2">
        <v>1.1399999999999999</v>
      </c>
      <c r="H1708" s="2">
        <v>0.97</v>
      </c>
      <c r="I1708" s="2">
        <v>0.98</v>
      </c>
      <c r="J1708" s="2">
        <v>0.55000000000000004</v>
      </c>
      <c r="K1708">
        <v>2</v>
      </c>
      <c r="L1708" s="19" t="s">
        <v>224</v>
      </c>
      <c r="M1708" s="21">
        <v>0</v>
      </c>
    </row>
    <row r="1709" spans="1:13" x14ac:dyDescent="0.2">
      <c r="A1709" t="s">
        <v>58</v>
      </c>
      <c r="B1709" t="str">
        <f>VLOOKUP(A1709,MasterTutor!A:E,4,FALSE)</f>
        <v>Premium</v>
      </c>
      <c r="C1709" t="str">
        <f>VLOOKUP(A1709,MasterTutor!A:E,3,FALSE)</f>
        <v>Professional</v>
      </c>
      <c r="D1709" t="str">
        <f>VLOOKUP(A1709,MasterTutor!A:E,2,FALSE)</f>
        <v>Jessica Milner</v>
      </c>
      <c r="E1709" t="s">
        <v>375</v>
      </c>
      <c r="F1709" s="2">
        <v>0.93</v>
      </c>
      <c r="G1709" s="2">
        <v>1.1399999999999999</v>
      </c>
      <c r="H1709" s="2">
        <v>0.99</v>
      </c>
      <c r="I1709" s="2">
        <v>1</v>
      </c>
      <c r="J1709" s="2">
        <v>0.81</v>
      </c>
      <c r="K1709">
        <v>4</v>
      </c>
      <c r="L1709" s="19" t="s">
        <v>215</v>
      </c>
      <c r="M1709" s="21">
        <v>1</v>
      </c>
    </row>
    <row r="1710" spans="1:13" x14ac:dyDescent="0.2">
      <c r="A1710" t="s">
        <v>59</v>
      </c>
      <c r="B1710" t="str">
        <f>VLOOKUP(A1710,MasterTutor!A:E,4,FALSE)</f>
        <v>Distinguished</v>
      </c>
      <c r="C1710" t="str">
        <f>VLOOKUP(A1710,MasterTutor!A:E,3,FALSE)</f>
        <v>Professional</v>
      </c>
      <c r="D1710" t="str">
        <f>VLOOKUP(A1710,MasterTutor!A:E,2,FALSE)</f>
        <v>Ela Cross</v>
      </c>
      <c r="E1710" t="s">
        <v>375</v>
      </c>
      <c r="F1710" s="2">
        <v>0.32</v>
      </c>
      <c r="G1710" s="2">
        <v>0.68</v>
      </c>
      <c r="H1710" s="2">
        <v>1</v>
      </c>
      <c r="I1710" s="2">
        <v>1</v>
      </c>
      <c r="J1710" s="2">
        <v>0.78</v>
      </c>
      <c r="K1710">
        <v>0</v>
      </c>
      <c r="L1710" s="19" t="s">
        <v>227</v>
      </c>
      <c r="M1710" s="21">
        <v>1</v>
      </c>
    </row>
    <row r="1711" spans="1:13" x14ac:dyDescent="0.2">
      <c r="A1711" t="s">
        <v>60</v>
      </c>
      <c r="B1711" t="str">
        <f>VLOOKUP(A1711,MasterTutor!A:E,4,FALSE)</f>
        <v>Advanced</v>
      </c>
      <c r="C1711" t="str">
        <f>VLOOKUP(A1711,MasterTutor!A:E,3,FALSE)</f>
        <v>Adjunct</v>
      </c>
      <c r="D1711" t="str">
        <f>VLOOKUP(A1711,MasterTutor!A:E,2,FALSE)</f>
        <v>Kristin Haase-Alvey</v>
      </c>
      <c r="E1711" t="s">
        <v>375</v>
      </c>
      <c r="F1711" s="2">
        <v>0.91</v>
      </c>
      <c r="G1711" s="2">
        <v>1.1399999999999999</v>
      </c>
      <c r="H1711" s="2">
        <v>0.94</v>
      </c>
      <c r="I1711" s="2">
        <v>0.96</v>
      </c>
      <c r="J1711" s="2">
        <v>0.6</v>
      </c>
      <c r="K1711">
        <v>4</v>
      </c>
      <c r="L1711" s="20"/>
    </row>
    <row r="1712" spans="1:13" x14ac:dyDescent="0.2">
      <c r="A1712" t="s">
        <v>61</v>
      </c>
      <c r="B1712" t="str">
        <f>VLOOKUP(A1712,MasterTutor!A:E,4,FALSE)</f>
        <v>Advanced</v>
      </c>
      <c r="C1712" t="str">
        <f>VLOOKUP(A1712,MasterTutor!A:E,3,FALSE)</f>
        <v>Adjunct</v>
      </c>
      <c r="D1712" t="str">
        <f>VLOOKUP(A1712,MasterTutor!A:E,2,FALSE)</f>
        <v>Ela Cross</v>
      </c>
      <c r="E1712" t="s">
        <v>375</v>
      </c>
      <c r="F1712" s="2">
        <v>0.88</v>
      </c>
      <c r="G1712" s="2">
        <v>1.62</v>
      </c>
      <c r="H1712" s="2">
        <v>1</v>
      </c>
      <c r="I1712" s="2">
        <v>1</v>
      </c>
      <c r="J1712" s="2">
        <v>0.63</v>
      </c>
      <c r="K1712">
        <v>3</v>
      </c>
      <c r="L1712" s="19" t="s">
        <v>377</v>
      </c>
      <c r="M1712" s="21">
        <v>0.25</v>
      </c>
    </row>
    <row r="1713" spans="1:13" x14ac:dyDescent="0.2">
      <c r="A1713" t="s">
        <v>62</v>
      </c>
      <c r="B1713" t="e">
        <f>VLOOKUP(A1713,MasterTutor!A:E,4,FALSE)</f>
        <v>#N/A</v>
      </c>
      <c r="C1713" t="e">
        <f>VLOOKUP(A1713,MasterTutor!A:E,3,FALSE)</f>
        <v>#N/A</v>
      </c>
      <c r="D1713" t="e">
        <f>VLOOKUP(A1713,MasterTutor!A:E,2,FALSE)</f>
        <v>#N/A</v>
      </c>
      <c r="E1713" t="s">
        <v>375</v>
      </c>
      <c r="F1713" s="2">
        <v>1.29</v>
      </c>
      <c r="G1713" s="2">
        <v>1.6</v>
      </c>
      <c r="H1713" s="2">
        <v>1</v>
      </c>
      <c r="I1713" s="2">
        <v>0.89</v>
      </c>
      <c r="J1713" s="2">
        <v>0.31</v>
      </c>
      <c r="K1713">
        <v>3</v>
      </c>
      <c r="L1713" s="19" t="s">
        <v>228</v>
      </c>
      <c r="M1713" s="21">
        <v>0</v>
      </c>
    </row>
    <row r="1714" spans="1:13" x14ac:dyDescent="0.2">
      <c r="A1714" t="s">
        <v>63</v>
      </c>
      <c r="B1714" t="str">
        <f>VLOOKUP(A1714,MasterTutor!A:E,4,FALSE)</f>
        <v>Advanced</v>
      </c>
      <c r="C1714" t="str">
        <f>VLOOKUP(A1714,MasterTutor!A:E,3,FALSE)</f>
        <v>Adjunct</v>
      </c>
      <c r="D1714" t="str">
        <f>VLOOKUP(A1714,MasterTutor!A:E,2,FALSE)</f>
        <v>Kristin Haase-Alvey</v>
      </c>
      <c r="E1714" t="s">
        <v>375</v>
      </c>
      <c r="F1714" s="2">
        <v>0.65</v>
      </c>
      <c r="G1714" s="2">
        <v>1.3</v>
      </c>
      <c r="H1714" s="2">
        <v>1</v>
      </c>
      <c r="I1714" s="2">
        <v>0.89</v>
      </c>
      <c r="J1714" s="2">
        <v>1</v>
      </c>
      <c r="K1714">
        <v>6</v>
      </c>
      <c r="L1714" s="20"/>
    </row>
    <row r="1715" spans="1:13" x14ac:dyDescent="0.2">
      <c r="A1715" t="s">
        <v>64</v>
      </c>
      <c r="B1715" t="str">
        <f>VLOOKUP(A1715,MasterTutor!A:E,4,FALSE)</f>
        <v>Distinguished</v>
      </c>
      <c r="C1715" t="str">
        <f>VLOOKUP(A1715,MasterTutor!A:E,3,FALSE)</f>
        <v>Professional</v>
      </c>
      <c r="D1715" t="str">
        <f>VLOOKUP(A1715,MasterTutor!A:E,2,FALSE)</f>
        <v>Ian Plamondon</v>
      </c>
      <c r="E1715" t="s">
        <v>375</v>
      </c>
      <c r="F1715" s="2">
        <v>0.98</v>
      </c>
      <c r="G1715" s="2">
        <v>1.24</v>
      </c>
      <c r="H1715" s="2">
        <v>0.92</v>
      </c>
      <c r="I1715" s="2">
        <v>1</v>
      </c>
      <c r="J1715" s="2">
        <v>1</v>
      </c>
      <c r="K1715">
        <v>4</v>
      </c>
      <c r="L1715" s="19" t="s">
        <v>215</v>
      </c>
      <c r="M1715" s="21">
        <v>1</v>
      </c>
    </row>
    <row r="1716" spans="1:13" x14ac:dyDescent="0.2">
      <c r="A1716" t="s">
        <v>65</v>
      </c>
      <c r="B1716" t="str">
        <f>VLOOKUP(A1716,MasterTutor!A:E,4,FALSE)</f>
        <v>Premium</v>
      </c>
      <c r="C1716" t="str">
        <f>VLOOKUP(A1716,MasterTutor!A:E,3,FALSE)</f>
        <v>Professional</v>
      </c>
      <c r="D1716" t="str">
        <f>VLOOKUP(A1716,MasterTutor!A:E,2,FALSE)</f>
        <v>Ian Plamondon</v>
      </c>
      <c r="E1716" t="s">
        <v>375</v>
      </c>
      <c r="F1716" s="2">
        <v>0.16</v>
      </c>
      <c r="G1716" s="2">
        <v>0.56000000000000005</v>
      </c>
      <c r="H1716" s="2">
        <v>1</v>
      </c>
      <c r="I1716" s="2">
        <v>0.79</v>
      </c>
      <c r="J1716" s="2">
        <v>0.67</v>
      </c>
      <c r="K1716">
        <v>0</v>
      </c>
      <c r="L1716" s="20"/>
    </row>
    <row r="1717" spans="1:13" x14ac:dyDescent="0.2">
      <c r="A1717" t="s">
        <v>254</v>
      </c>
      <c r="B1717" t="str">
        <f>VLOOKUP(A1717,MasterTutor!A:E,4,FALSE)</f>
        <v>Advanced</v>
      </c>
      <c r="C1717" t="str">
        <f>VLOOKUP(A1717,MasterTutor!A:E,3,FALSE)</f>
        <v>Professional</v>
      </c>
      <c r="D1717" t="str">
        <f>VLOOKUP(A1717,MasterTutor!A:E,2,FALSE)</f>
        <v>Annelies de Groot</v>
      </c>
      <c r="E1717" t="s">
        <v>375</v>
      </c>
      <c r="F1717" s="2">
        <v>0.83</v>
      </c>
      <c r="G1717" s="2">
        <v>1.1200000000000001</v>
      </c>
      <c r="H1717" s="2">
        <v>0.89</v>
      </c>
      <c r="I1717" s="2">
        <v>0.72</v>
      </c>
      <c r="J1717" s="2">
        <v>0.67</v>
      </c>
      <c r="K1717">
        <v>4</v>
      </c>
      <c r="L1717" s="19" t="s">
        <v>311</v>
      </c>
      <c r="M1717" s="21">
        <v>0.33</v>
      </c>
    </row>
    <row r="1718" spans="1:13" x14ac:dyDescent="0.2">
      <c r="A1718" t="s">
        <v>67</v>
      </c>
      <c r="B1718" t="str">
        <f>VLOOKUP(A1718,MasterTutor!A:E,4,FALSE)</f>
        <v>Distinguished</v>
      </c>
      <c r="C1718" t="str">
        <f>VLOOKUP(A1718,MasterTutor!A:E,3,FALSE)</f>
        <v>Professional</v>
      </c>
      <c r="D1718" t="str">
        <f>VLOOKUP(A1718,MasterTutor!A:E,2,FALSE)</f>
        <v>Ian Plamondon</v>
      </c>
      <c r="E1718" t="s">
        <v>375</v>
      </c>
      <c r="F1718" s="2">
        <v>0.89</v>
      </c>
      <c r="G1718" s="2">
        <v>1.1399999999999999</v>
      </c>
      <c r="H1718" s="2">
        <v>1</v>
      </c>
      <c r="I1718" s="2">
        <v>0.98</v>
      </c>
      <c r="J1718" s="2">
        <v>0.9</v>
      </c>
      <c r="K1718">
        <v>2</v>
      </c>
      <c r="L1718" s="19" t="s">
        <v>225</v>
      </c>
      <c r="M1718" s="21">
        <v>0.5</v>
      </c>
    </row>
    <row r="1719" spans="1:13" x14ac:dyDescent="0.2">
      <c r="A1719" t="s">
        <v>68</v>
      </c>
      <c r="B1719" t="str">
        <f>VLOOKUP(A1719,MasterTutor!A:E,4,FALSE)</f>
        <v>Advanced</v>
      </c>
      <c r="C1719" t="str">
        <f>VLOOKUP(A1719,MasterTutor!A:E,3,FALSE)</f>
        <v>Professional</v>
      </c>
      <c r="D1719" t="str">
        <f>VLOOKUP(A1719,MasterTutor!A:E,2,FALSE)</f>
        <v>Ian Plamondon</v>
      </c>
      <c r="E1719" t="s">
        <v>375</v>
      </c>
      <c r="F1719" s="2">
        <v>1</v>
      </c>
      <c r="G1719" s="2">
        <v>1</v>
      </c>
      <c r="H1719" s="2">
        <v>0.9</v>
      </c>
      <c r="I1719" s="2">
        <v>1</v>
      </c>
      <c r="J1719" s="2">
        <v>0.6</v>
      </c>
      <c r="K1719">
        <v>10</v>
      </c>
      <c r="L1719" s="19" t="s">
        <v>219</v>
      </c>
      <c r="M1719" s="21">
        <v>0</v>
      </c>
    </row>
    <row r="1720" spans="1:13" x14ac:dyDescent="0.2">
      <c r="A1720" t="s">
        <v>69</v>
      </c>
      <c r="B1720" t="str">
        <f>VLOOKUP(A1720,MasterTutor!A:E,4,FALSE)</f>
        <v>Advanced</v>
      </c>
      <c r="C1720" t="str">
        <f>VLOOKUP(A1720,MasterTutor!A:E,3,FALSE)</f>
        <v>Adjunct</v>
      </c>
      <c r="D1720" t="str">
        <f>VLOOKUP(A1720,MasterTutor!A:E,2,FALSE)</f>
        <v>Ela Cross</v>
      </c>
      <c r="E1720" t="s">
        <v>375</v>
      </c>
      <c r="F1720" s="2">
        <v>0.73</v>
      </c>
      <c r="G1720" s="2">
        <v>1.05</v>
      </c>
      <c r="H1720" s="2">
        <v>1</v>
      </c>
      <c r="I1720" s="2">
        <v>1</v>
      </c>
      <c r="J1720" s="2">
        <v>1</v>
      </c>
      <c r="K1720">
        <v>2</v>
      </c>
      <c r="L1720" s="20"/>
    </row>
    <row r="1721" spans="1:13" x14ac:dyDescent="0.2">
      <c r="A1721" t="s">
        <v>70</v>
      </c>
      <c r="B1721" t="str">
        <f>VLOOKUP(A1721,MasterTutor!A:E,4,FALSE)</f>
        <v>Distinguished</v>
      </c>
      <c r="C1721" t="str">
        <f>VLOOKUP(A1721,MasterTutor!A:E,3,FALSE)</f>
        <v>Professional</v>
      </c>
      <c r="D1721" t="str">
        <f>VLOOKUP(A1721,MasterTutor!A:E,2,FALSE)</f>
        <v>Ela Cross</v>
      </c>
      <c r="E1721" t="s">
        <v>375</v>
      </c>
      <c r="F1721" s="2">
        <v>0.95</v>
      </c>
      <c r="G1721" s="2">
        <v>1.22</v>
      </c>
      <c r="H1721" s="2">
        <v>0.98</v>
      </c>
      <c r="I1721" s="2">
        <v>1</v>
      </c>
      <c r="J1721" s="2">
        <v>0.53</v>
      </c>
      <c r="K1721">
        <v>3</v>
      </c>
      <c r="L1721" s="19" t="s">
        <v>228</v>
      </c>
      <c r="M1721" s="21">
        <v>0</v>
      </c>
    </row>
    <row r="1722" spans="1:13" x14ac:dyDescent="0.2">
      <c r="A1722" t="s">
        <v>71</v>
      </c>
      <c r="B1722" t="str">
        <f>VLOOKUP(A1722,MasterTutor!A:E,4,FALSE)</f>
        <v>Premium</v>
      </c>
      <c r="C1722" t="str">
        <f>VLOOKUP(A1722,MasterTutor!A:E,3,FALSE)</f>
        <v>Professional</v>
      </c>
      <c r="D1722" t="str">
        <f>VLOOKUP(A1722,MasterTutor!A:E,2,FALSE)</f>
        <v>Ian Plamondon</v>
      </c>
      <c r="E1722" t="s">
        <v>375</v>
      </c>
      <c r="F1722" s="2">
        <v>0.92</v>
      </c>
      <c r="G1722" s="2">
        <v>1.18</v>
      </c>
      <c r="H1722" s="2">
        <v>0.98</v>
      </c>
      <c r="I1722" s="2">
        <v>1</v>
      </c>
      <c r="J1722" s="2">
        <v>0.87</v>
      </c>
      <c r="K1722">
        <v>2</v>
      </c>
      <c r="L1722" s="19" t="s">
        <v>227</v>
      </c>
      <c r="M1722" s="21">
        <v>1</v>
      </c>
    </row>
    <row r="1723" spans="1:13" x14ac:dyDescent="0.2">
      <c r="A1723" t="s">
        <v>258</v>
      </c>
      <c r="B1723" t="str">
        <f>VLOOKUP(A1723,MasterTutor!A:E,4,FALSE)</f>
        <v>Advanced</v>
      </c>
      <c r="C1723" t="str">
        <f>VLOOKUP(A1723,MasterTutor!A:E,3,FALSE)</f>
        <v>Adjunct</v>
      </c>
      <c r="D1723" t="str">
        <f>VLOOKUP(A1723,MasterTutor!A:E,2,FALSE)</f>
        <v>Kristin Haase-Alvey</v>
      </c>
      <c r="E1723" t="s">
        <v>375</v>
      </c>
      <c r="F1723" s="2">
        <v>0.89</v>
      </c>
      <c r="G1723" s="2">
        <v>1.53</v>
      </c>
      <c r="H1723" s="2">
        <v>1</v>
      </c>
      <c r="I1723" s="2">
        <v>0.71</v>
      </c>
      <c r="J1723" s="2">
        <v>0.5</v>
      </c>
      <c r="K1723">
        <v>0</v>
      </c>
      <c r="L1723" s="19" t="s">
        <v>219</v>
      </c>
      <c r="M1723" s="21">
        <v>0</v>
      </c>
    </row>
    <row r="1724" spans="1:13" x14ac:dyDescent="0.2">
      <c r="A1724" t="s">
        <v>259</v>
      </c>
      <c r="B1724" t="str">
        <f>VLOOKUP(A1724,MasterTutor!A:E,4,FALSE)</f>
        <v>Advanced</v>
      </c>
      <c r="C1724" t="str">
        <f>VLOOKUP(A1724,MasterTutor!A:E,3,FALSE)</f>
        <v>Professional</v>
      </c>
      <c r="D1724" t="str">
        <f>VLOOKUP(A1724,MasterTutor!A:E,2,FALSE)</f>
        <v>Annelies de Groot</v>
      </c>
      <c r="E1724" t="s">
        <v>375</v>
      </c>
      <c r="F1724" s="2">
        <v>0.46</v>
      </c>
      <c r="G1724" s="2">
        <v>0.97</v>
      </c>
      <c r="H1724" s="2">
        <v>1</v>
      </c>
      <c r="I1724" s="2">
        <v>1</v>
      </c>
      <c r="J1724" s="2">
        <v>1</v>
      </c>
      <c r="K1724">
        <v>1</v>
      </c>
      <c r="L1724" s="19" t="s">
        <v>262</v>
      </c>
      <c r="M1724" s="21">
        <v>0.25</v>
      </c>
    </row>
    <row r="1725" spans="1:13" x14ac:dyDescent="0.2">
      <c r="A1725" t="s">
        <v>72</v>
      </c>
      <c r="B1725" t="str">
        <f>VLOOKUP(A1725,MasterTutor!A:E,4,FALSE)</f>
        <v>Premium</v>
      </c>
      <c r="C1725" t="str">
        <f>VLOOKUP(A1725,MasterTutor!A:E,3,FALSE)</f>
        <v>Adjunct</v>
      </c>
      <c r="D1725" t="str">
        <f>VLOOKUP(A1725,MasterTutor!A:E,2,FALSE)</f>
        <v>Annelies de Groot</v>
      </c>
      <c r="E1725" t="s">
        <v>375</v>
      </c>
      <c r="F1725" s="2">
        <v>1.8</v>
      </c>
      <c r="G1725" s="2">
        <v>1.48</v>
      </c>
      <c r="H1725" s="2">
        <v>0.96</v>
      </c>
      <c r="I1725" s="2">
        <v>1</v>
      </c>
      <c r="J1725" s="2">
        <v>0.88</v>
      </c>
      <c r="K1725">
        <v>5</v>
      </c>
      <c r="L1725" s="19" t="s">
        <v>227</v>
      </c>
      <c r="M1725" s="21">
        <v>1</v>
      </c>
    </row>
    <row r="1726" spans="1:13" x14ac:dyDescent="0.2">
      <c r="A1726" t="s">
        <v>261</v>
      </c>
      <c r="B1726" t="str">
        <f>VLOOKUP(A1726,MasterTutor!A:E,4,FALSE)</f>
        <v>Advanced</v>
      </c>
      <c r="C1726" t="str">
        <f>VLOOKUP(A1726,MasterTutor!A:E,3,FALSE)</f>
        <v xml:space="preserve">Professional </v>
      </c>
      <c r="D1726" t="str">
        <f>VLOOKUP(A1726,MasterTutor!A:E,2,FALSE)</f>
        <v>Kristin Haase-Alvey</v>
      </c>
      <c r="E1726" t="s">
        <v>375</v>
      </c>
      <c r="F1726" s="2">
        <v>0.94</v>
      </c>
      <c r="G1726" s="2">
        <v>1.1000000000000001</v>
      </c>
      <c r="H1726" s="2">
        <v>0.99</v>
      </c>
      <c r="I1726" s="2">
        <v>1</v>
      </c>
      <c r="J1726" s="2">
        <v>0.53</v>
      </c>
      <c r="K1726">
        <v>7</v>
      </c>
      <c r="L1726" s="19" t="s">
        <v>262</v>
      </c>
      <c r="M1726" s="21">
        <v>0.25</v>
      </c>
    </row>
    <row r="1727" spans="1:13" x14ac:dyDescent="0.2">
      <c r="A1727" t="s">
        <v>73</v>
      </c>
      <c r="B1727" t="str">
        <f>VLOOKUP(A1727,MasterTutor!A:E,4,FALSE)</f>
        <v>Advanced</v>
      </c>
      <c r="C1727" t="str">
        <f>VLOOKUP(A1727,MasterTutor!A:E,3,FALSE)</f>
        <v>Adjunct</v>
      </c>
      <c r="D1727" t="str">
        <f>VLOOKUP(A1727,MasterTutor!A:E,2,FALSE)</f>
        <v>Geoff St. Marie</v>
      </c>
      <c r="E1727" t="s">
        <v>375</v>
      </c>
      <c r="F1727" s="2">
        <v>0.84</v>
      </c>
      <c r="G1727" s="2">
        <v>1.1399999999999999</v>
      </c>
      <c r="H1727" s="2">
        <v>1</v>
      </c>
      <c r="I1727" s="2">
        <v>1</v>
      </c>
      <c r="J1727" s="2">
        <v>0.86</v>
      </c>
      <c r="K1727">
        <v>1</v>
      </c>
      <c r="L1727" s="20"/>
    </row>
    <row r="1728" spans="1:13" x14ac:dyDescent="0.2">
      <c r="A1728" t="s">
        <v>263</v>
      </c>
      <c r="B1728" t="str">
        <f>VLOOKUP(A1728,MasterTutor!A:E,4,FALSE)</f>
        <v>Advanced</v>
      </c>
      <c r="C1728" t="str">
        <f>VLOOKUP(A1728,MasterTutor!A:E,3,FALSE)</f>
        <v>Professional</v>
      </c>
      <c r="D1728" t="str">
        <f>VLOOKUP(A1728,MasterTutor!A:E,2,FALSE)</f>
        <v>Annelies de Groot</v>
      </c>
      <c r="E1728" t="s">
        <v>375</v>
      </c>
      <c r="F1728" s="2">
        <v>1.1299999999999999</v>
      </c>
      <c r="G1728" s="2">
        <v>1.1000000000000001</v>
      </c>
      <c r="H1728" s="2">
        <v>0.99</v>
      </c>
      <c r="I1728" s="2">
        <v>0.88</v>
      </c>
      <c r="J1728" s="2">
        <v>0.78</v>
      </c>
      <c r="K1728">
        <v>5</v>
      </c>
      <c r="L1728" s="19" t="s">
        <v>215</v>
      </c>
      <c r="M1728" s="21">
        <v>1</v>
      </c>
    </row>
    <row r="1729" spans="1:13" x14ac:dyDescent="0.2">
      <c r="A1729" t="s">
        <v>74</v>
      </c>
      <c r="B1729" t="str">
        <f>VLOOKUP(A1729,MasterTutor!A:E,4,FALSE)</f>
        <v>Distinguished</v>
      </c>
      <c r="C1729" t="str">
        <f>VLOOKUP(A1729,MasterTutor!A:E,3,FALSE)</f>
        <v>Adjunct</v>
      </c>
      <c r="D1729" t="str">
        <f>VLOOKUP(A1729,MasterTutor!A:E,2,FALSE)</f>
        <v>Ela Cross</v>
      </c>
      <c r="E1729" t="s">
        <v>375</v>
      </c>
      <c r="F1729" s="2">
        <v>0.66</v>
      </c>
      <c r="G1729" s="2">
        <v>0.97</v>
      </c>
      <c r="H1729" s="2">
        <v>1</v>
      </c>
      <c r="I1729" s="2">
        <v>0.8</v>
      </c>
      <c r="J1729" s="2">
        <v>1</v>
      </c>
      <c r="K1729">
        <v>0</v>
      </c>
      <c r="L1729" s="19" t="s">
        <v>243</v>
      </c>
      <c r="M1729" s="21">
        <v>0.33</v>
      </c>
    </row>
    <row r="1730" spans="1:13" x14ac:dyDescent="0.2">
      <c r="A1730" t="s">
        <v>365</v>
      </c>
      <c r="B1730" t="e">
        <f>VLOOKUP(A1730,MasterTutor!A:E,4,FALSE)</f>
        <v>#N/A</v>
      </c>
      <c r="C1730" t="e">
        <f>VLOOKUP(A1730,MasterTutor!A:E,3,FALSE)</f>
        <v>#N/A</v>
      </c>
      <c r="D1730" t="e">
        <f>VLOOKUP(A1730,MasterTutor!A:E,2,FALSE)</f>
        <v>#N/A</v>
      </c>
      <c r="E1730" t="s">
        <v>375</v>
      </c>
      <c r="F1730" s="2">
        <v>0.73</v>
      </c>
      <c r="G1730" s="2">
        <v>1.1299999999999999</v>
      </c>
      <c r="H1730" s="2">
        <v>0.94</v>
      </c>
      <c r="I1730" s="2">
        <v>1</v>
      </c>
      <c r="J1730" s="2">
        <v>1</v>
      </c>
      <c r="K1730">
        <v>0</v>
      </c>
      <c r="L1730" s="20"/>
    </row>
    <row r="1731" spans="1:13" x14ac:dyDescent="0.2">
      <c r="A1731" t="s">
        <v>75</v>
      </c>
      <c r="B1731" t="str">
        <f>VLOOKUP(A1731,MasterTutor!A:E,4,FALSE)</f>
        <v>Advanced</v>
      </c>
      <c r="C1731" t="str">
        <f>VLOOKUP(A1731,MasterTutor!A:E,3,FALSE)</f>
        <v>Professional</v>
      </c>
      <c r="D1731" t="str">
        <f>VLOOKUP(A1731,MasterTutor!A:E,2,FALSE)</f>
        <v>Geoff St. Marie</v>
      </c>
      <c r="E1731" t="s">
        <v>375</v>
      </c>
      <c r="F1731" s="2">
        <v>1.04</v>
      </c>
      <c r="G1731" s="2">
        <v>1.41</v>
      </c>
      <c r="H1731" s="2">
        <v>1</v>
      </c>
      <c r="I1731" s="2">
        <v>0.97</v>
      </c>
      <c r="J1731" s="2">
        <v>0.4</v>
      </c>
      <c r="K1731">
        <v>1</v>
      </c>
      <c r="L1731" s="19" t="s">
        <v>378</v>
      </c>
      <c r="M1731" s="21">
        <v>0.42</v>
      </c>
    </row>
    <row r="1732" spans="1:13" x14ac:dyDescent="0.2">
      <c r="A1732" t="s">
        <v>265</v>
      </c>
      <c r="B1732" t="str">
        <f>VLOOKUP(A1732,MasterTutor!A:E,4,FALSE)</f>
        <v>Advanced</v>
      </c>
      <c r="C1732" t="str">
        <f>VLOOKUP(A1732,MasterTutor!A:E,3,FALSE)</f>
        <v>Adjunct</v>
      </c>
      <c r="D1732" t="str">
        <f>VLOOKUP(A1732,MasterTutor!A:E,2,FALSE)</f>
        <v>Kristin Haase-Alvey</v>
      </c>
      <c r="E1732" t="s">
        <v>375</v>
      </c>
      <c r="F1732" s="2">
        <v>0.74</v>
      </c>
      <c r="G1732" s="2">
        <v>1.17</v>
      </c>
      <c r="H1732" s="2">
        <v>1</v>
      </c>
      <c r="I1732" s="2">
        <v>0.96</v>
      </c>
      <c r="J1732" s="2">
        <v>1</v>
      </c>
      <c r="K1732">
        <v>2</v>
      </c>
      <c r="L1732" s="19" t="s">
        <v>234</v>
      </c>
      <c r="M1732" s="21">
        <v>1</v>
      </c>
    </row>
    <row r="1733" spans="1:13" x14ac:dyDescent="0.2">
      <c r="A1733" t="s">
        <v>77</v>
      </c>
      <c r="B1733" t="str">
        <f>VLOOKUP(A1733,MasterTutor!A:E,4,FALSE)</f>
        <v>Distinguished</v>
      </c>
      <c r="C1733" t="str">
        <f>VLOOKUP(A1733,MasterTutor!A:E,3,FALSE)</f>
        <v>Professional</v>
      </c>
      <c r="D1733" t="str">
        <f>VLOOKUP(A1733,MasterTutor!A:E,2,FALSE)</f>
        <v>Ian Plamondon</v>
      </c>
      <c r="E1733" t="s">
        <v>375</v>
      </c>
      <c r="F1733" s="2">
        <v>0.72</v>
      </c>
      <c r="G1733" s="2">
        <v>0.97</v>
      </c>
      <c r="H1733" s="2">
        <v>0.96</v>
      </c>
      <c r="I1733" s="2">
        <v>0.98</v>
      </c>
      <c r="J1733" s="2">
        <v>0.85</v>
      </c>
      <c r="K1733">
        <v>3</v>
      </c>
      <c r="L1733" s="19" t="s">
        <v>229</v>
      </c>
      <c r="M1733" s="21">
        <v>0.6</v>
      </c>
    </row>
    <row r="1734" spans="1:13" x14ac:dyDescent="0.2">
      <c r="A1734" t="s">
        <v>78</v>
      </c>
      <c r="B1734" t="str">
        <f>VLOOKUP(A1734,MasterTutor!A:E,4,FALSE)</f>
        <v>Distinguished</v>
      </c>
      <c r="C1734" t="str">
        <f>VLOOKUP(A1734,MasterTutor!A:E,3,FALSE)</f>
        <v>Adjunct</v>
      </c>
      <c r="D1734" t="str">
        <f>VLOOKUP(A1734,MasterTutor!A:E,2,FALSE)</f>
        <v>Geoff St. Marie</v>
      </c>
      <c r="E1734" t="s">
        <v>375</v>
      </c>
      <c r="F1734" s="2">
        <v>0.82</v>
      </c>
      <c r="G1734" s="2">
        <v>1.0900000000000001</v>
      </c>
      <c r="H1734" s="2">
        <v>1</v>
      </c>
      <c r="I1734" s="2">
        <v>1</v>
      </c>
      <c r="J1734" s="2">
        <v>0.67</v>
      </c>
      <c r="K1734">
        <v>0</v>
      </c>
      <c r="L1734" s="20"/>
    </row>
    <row r="1735" spans="1:13" x14ac:dyDescent="0.2">
      <c r="A1735" t="s">
        <v>79</v>
      </c>
      <c r="B1735" t="str">
        <f>VLOOKUP(A1735,MasterTutor!A:E,4,FALSE)</f>
        <v>Premium</v>
      </c>
      <c r="C1735" t="str">
        <f>VLOOKUP(A1735,MasterTutor!A:E,3,FALSE)</f>
        <v>Professional</v>
      </c>
      <c r="D1735" t="str">
        <f>VLOOKUP(A1735,MasterTutor!A:E,2,FALSE)</f>
        <v>Ian Plamondon</v>
      </c>
      <c r="E1735" t="s">
        <v>375</v>
      </c>
      <c r="F1735" s="2">
        <v>0.87</v>
      </c>
      <c r="G1735" s="2">
        <v>1.31</v>
      </c>
      <c r="H1735" s="2">
        <v>1</v>
      </c>
      <c r="I1735" s="2">
        <v>1</v>
      </c>
      <c r="J1735" s="2">
        <v>0.56999999999999995</v>
      </c>
      <c r="K1735">
        <v>3</v>
      </c>
      <c r="L1735" s="19" t="s">
        <v>279</v>
      </c>
      <c r="M1735" s="21">
        <v>0</v>
      </c>
    </row>
    <row r="1736" spans="1:13" x14ac:dyDescent="0.2">
      <c r="A1736" t="s">
        <v>81</v>
      </c>
      <c r="B1736" t="str">
        <f>VLOOKUP(A1736,MasterTutor!A:E,4,FALSE)</f>
        <v>Distinguished</v>
      </c>
      <c r="C1736" t="str">
        <f>VLOOKUP(A1736,MasterTutor!A:E,3,FALSE)</f>
        <v>Professional</v>
      </c>
      <c r="D1736" t="str">
        <f>VLOOKUP(A1736,MasterTutor!A:E,2,FALSE)</f>
        <v>Ian Plamondon</v>
      </c>
      <c r="E1736" t="s">
        <v>375</v>
      </c>
      <c r="F1736" s="2">
        <v>0.53</v>
      </c>
      <c r="G1736" s="2">
        <v>1.1000000000000001</v>
      </c>
      <c r="H1736" s="2">
        <v>1</v>
      </c>
      <c r="I1736" s="2">
        <v>0.95</v>
      </c>
      <c r="J1736" s="2">
        <v>1</v>
      </c>
      <c r="K1736">
        <v>0</v>
      </c>
      <c r="L1736" s="20"/>
    </row>
    <row r="1737" spans="1:13" x14ac:dyDescent="0.2">
      <c r="A1737" t="s">
        <v>268</v>
      </c>
      <c r="B1737" t="str">
        <f>VLOOKUP(A1737,MasterTutor!A:E,4,FALSE)</f>
        <v>Advanced</v>
      </c>
      <c r="C1737" t="str">
        <f>VLOOKUP(A1737,MasterTutor!A:E,3,FALSE)</f>
        <v xml:space="preserve">Adjunct </v>
      </c>
      <c r="D1737" t="str">
        <f>VLOOKUP(A1737,MasterTutor!A:E,2,FALSE)</f>
        <v>Kristin Haase-Alvey</v>
      </c>
      <c r="E1737" t="s">
        <v>375</v>
      </c>
      <c r="F1737" s="2">
        <v>0.86</v>
      </c>
      <c r="G1737" s="2">
        <v>0.97</v>
      </c>
      <c r="H1737" s="2">
        <v>0.99</v>
      </c>
      <c r="I1737" s="2">
        <v>0.98</v>
      </c>
      <c r="J1737" s="2">
        <v>0.9</v>
      </c>
      <c r="K1737">
        <v>13</v>
      </c>
      <c r="L1737" s="19" t="s">
        <v>266</v>
      </c>
      <c r="M1737" s="21">
        <v>0</v>
      </c>
    </row>
    <row r="1738" spans="1:13" x14ac:dyDescent="0.2">
      <c r="A1738" t="s">
        <v>270</v>
      </c>
      <c r="B1738" t="e">
        <f>VLOOKUP(A1738,MasterTutor!A:E,4,FALSE)</f>
        <v>#N/A</v>
      </c>
      <c r="C1738" t="e">
        <f>VLOOKUP(A1738,MasterTutor!A:E,3,FALSE)</f>
        <v>#N/A</v>
      </c>
      <c r="D1738" t="e">
        <f>VLOOKUP(A1738,MasterTutor!A:E,2,FALSE)</f>
        <v>#N/A</v>
      </c>
      <c r="E1738" t="s">
        <v>375</v>
      </c>
      <c r="F1738" s="2">
        <v>1.08</v>
      </c>
      <c r="G1738" s="2">
        <v>1.1100000000000001</v>
      </c>
      <c r="H1738" s="2">
        <v>0.9</v>
      </c>
      <c r="I1738" s="2">
        <v>0.96</v>
      </c>
      <c r="J1738" s="2">
        <v>0.94</v>
      </c>
      <c r="K1738">
        <v>9</v>
      </c>
      <c r="L1738" s="19" t="s">
        <v>244</v>
      </c>
      <c r="M1738" s="21">
        <v>0.8</v>
      </c>
    </row>
    <row r="1739" spans="1:13" x14ac:dyDescent="0.2">
      <c r="A1739" t="s">
        <v>82</v>
      </c>
      <c r="B1739" t="str">
        <f>VLOOKUP(A1739,MasterTutor!A:E,4,FALSE)</f>
        <v>Premium</v>
      </c>
      <c r="C1739" t="str">
        <f>VLOOKUP(A1739,MasterTutor!A:E,3,FALSE)</f>
        <v>Adjunct</v>
      </c>
      <c r="D1739" t="str">
        <f>VLOOKUP(A1739,MasterTutor!A:E,2,FALSE)</f>
        <v>Jessica Milner</v>
      </c>
      <c r="E1739" t="s">
        <v>375</v>
      </c>
      <c r="F1739" s="2">
        <v>1.5</v>
      </c>
      <c r="G1739" s="2">
        <v>1.58</v>
      </c>
      <c r="H1739" s="2">
        <v>1</v>
      </c>
      <c r="I1739" s="2">
        <v>1</v>
      </c>
      <c r="J1739" s="2">
        <v>0.94</v>
      </c>
      <c r="K1739">
        <v>2</v>
      </c>
      <c r="L1739" s="20"/>
    </row>
    <row r="1740" spans="1:13" x14ac:dyDescent="0.2">
      <c r="A1740" t="s">
        <v>83</v>
      </c>
      <c r="B1740" t="str">
        <f>VLOOKUP(A1740,MasterTutor!A:E,4,FALSE)</f>
        <v>Premium</v>
      </c>
      <c r="C1740" t="str">
        <f>VLOOKUP(A1740,MasterTutor!A:E,3,FALSE)</f>
        <v>Professional</v>
      </c>
      <c r="D1740" t="str">
        <f>VLOOKUP(A1740,MasterTutor!A:E,2,FALSE)</f>
        <v>Jessica Milner</v>
      </c>
      <c r="E1740" t="s">
        <v>375</v>
      </c>
      <c r="F1740" s="2">
        <v>1.1399999999999999</v>
      </c>
      <c r="G1740" s="2">
        <v>1.44</v>
      </c>
      <c r="H1740" s="2">
        <v>0.98</v>
      </c>
      <c r="I1740" s="2">
        <v>0.97</v>
      </c>
      <c r="J1740" s="2">
        <v>0.64</v>
      </c>
      <c r="K1740">
        <v>1</v>
      </c>
      <c r="L1740" s="19" t="s">
        <v>262</v>
      </c>
      <c r="M1740" s="21">
        <v>0.25</v>
      </c>
    </row>
    <row r="1741" spans="1:13" x14ac:dyDescent="0.2">
      <c r="A1741" t="s">
        <v>84</v>
      </c>
      <c r="B1741" t="str">
        <f>VLOOKUP(A1741,MasterTutor!A:E,4,FALSE)</f>
        <v>Advanced</v>
      </c>
      <c r="C1741" t="str">
        <f>VLOOKUP(A1741,MasterTutor!A:E,3,FALSE)</f>
        <v>Professional</v>
      </c>
      <c r="D1741" t="str">
        <f>VLOOKUP(A1741,MasterTutor!A:E,2,FALSE)</f>
        <v>Kristin Haase-Alvey</v>
      </c>
      <c r="E1741" t="s">
        <v>375</v>
      </c>
      <c r="F1741" s="2">
        <v>0.73</v>
      </c>
      <c r="G1741" s="2">
        <v>1.01</v>
      </c>
      <c r="H1741" s="2">
        <v>1</v>
      </c>
      <c r="I1741" s="2">
        <v>1</v>
      </c>
      <c r="J1741" s="2">
        <v>1</v>
      </c>
      <c r="K1741">
        <v>7</v>
      </c>
      <c r="L1741" s="19" t="s">
        <v>266</v>
      </c>
      <c r="M1741" s="21">
        <v>0</v>
      </c>
    </row>
    <row r="1742" spans="1:13" x14ac:dyDescent="0.2">
      <c r="A1742" t="s">
        <v>85</v>
      </c>
      <c r="B1742" t="str">
        <f>VLOOKUP(A1742,MasterTutor!A:E,4,FALSE)</f>
        <v>Premium</v>
      </c>
      <c r="C1742" t="str">
        <f>VLOOKUP(A1742,MasterTutor!A:E,3,FALSE)</f>
        <v>Professional</v>
      </c>
      <c r="D1742" t="str">
        <f>VLOOKUP(A1742,MasterTutor!A:E,2,FALSE)</f>
        <v>Ian Plamondon</v>
      </c>
      <c r="E1742" t="s">
        <v>375</v>
      </c>
      <c r="F1742" s="2">
        <v>1.2</v>
      </c>
      <c r="G1742" s="2">
        <v>1.69</v>
      </c>
      <c r="H1742" s="2">
        <v>0.99</v>
      </c>
      <c r="I1742" s="2">
        <v>0.98</v>
      </c>
      <c r="J1742" s="2">
        <v>1</v>
      </c>
      <c r="K1742">
        <v>0</v>
      </c>
      <c r="L1742" s="19" t="s">
        <v>262</v>
      </c>
      <c r="M1742" s="21">
        <v>0.25</v>
      </c>
    </row>
    <row r="1743" spans="1:13" x14ac:dyDescent="0.2">
      <c r="A1743" t="s">
        <v>87</v>
      </c>
      <c r="B1743" t="str">
        <f>VLOOKUP(A1743,MasterTutor!A:E,4,FALSE)</f>
        <v>Advanced</v>
      </c>
      <c r="C1743" t="str">
        <f>VLOOKUP(A1743,MasterTutor!A:E,3,FALSE)</f>
        <v>Adjunct</v>
      </c>
      <c r="D1743" t="str">
        <f>VLOOKUP(A1743,MasterTutor!A:E,2,FALSE)</f>
        <v>Ela Cross</v>
      </c>
      <c r="E1743" t="s">
        <v>375</v>
      </c>
      <c r="F1743" s="2">
        <v>0.92</v>
      </c>
      <c r="G1743" s="2">
        <v>1.01</v>
      </c>
      <c r="H1743" s="2">
        <v>0.99</v>
      </c>
      <c r="I1743" s="2">
        <v>1</v>
      </c>
      <c r="J1743" s="2">
        <v>0.82</v>
      </c>
      <c r="K1743">
        <v>7</v>
      </c>
      <c r="L1743" s="19" t="s">
        <v>227</v>
      </c>
      <c r="M1743" s="21">
        <v>1</v>
      </c>
    </row>
    <row r="1744" spans="1:13" x14ac:dyDescent="0.2">
      <c r="A1744" t="s">
        <v>88</v>
      </c>
      <c r="B1744" t="str">
        <f>VLOOKUP(A1744,MasterTutor!A:E,4,FALSE)</f>
        <v>Distinguished</v>
      </c>
      <c r="C1744" t="str">
        <f>VLOOKUP(A1744,MasterTutor!A:E,3,FALSE)</f>
        <v>Professional</v>
      </c>
      <c r="D1744" t="str">
        <f>VLOOKUP(A1744,MasterTutor!A:E,2,FALSE)</f>
        <v>Ian Plamondon</v>
      </c>
      <c r="E1744" t="s">
        <v>375</v>
      </c>
      <c r="F1744" s="2">
        <v>0.71</v>
      </c>
      <c r="G1744" s="2">
        <v>1.22</v>
      </c>
      <c r="H1744" s="2">
        <v>1</v>
      </c>
      <c r="I1744" s="2">
        <v>0.98</v>
      </c>
      <c r="J1744" s="2">
        <v>1</v>
      </c>
      <c r="K1744">
        <v>2</v>
      </c>
      <c r="L1744" s="19" t="s">
        <v>224</v>
      </c>
      <c r="M1744" s="21">
        <v>0</v>
      </c>
    </row>
    <row r="1745" spans="1:13" x14ac:dyDescent="0.2">
      <c r="A1745" t="s">
        <v>272</v>
      </c>
      <c r="B1745" t="str">
        <f>VLOOKUP(A1745,MasterTutor!A:E,4,FALSE)</f>
        <v>Advanced</v>
      </c>
      <c r="C1745" t="str">
        <f>VLOOKUP(A1745,MasterTutor!A:E,3,FALSE)</f>
        <v xml:space="preserve">Professional </v>
      </c>
      <c r="D1745" t="str">
        <f>VLOOKUP(A1745,MasterTutor!A:E,2,FALSE)</f>
        <v>Ian Plamondon</v>
      </c>
      <c r="E1745" t="s">
        <v>375</v>
      </c>
      <c r="F1745" s="2">
        <v>0.59</v>
      </c>
      <c r="G1745" s="2">
        <v>1</v>
      </c>
      <c r="H1745" s="2">
        <v>0.98</v>
      </c>
      <c r="I1745" s="2">
        <v>1</v>
      </c>
      <c r="J1745" s="2">
        <v>0.5</v>
      </c>
      <c r="K1745">
        <v>5</v>
      </c>
      <c r="L1745" s="19" t="s">
        <v>229</v>
      </c>
      <c r="M1745" s="21">
        <v>0.6</v>
      </c>
    </row>
    <row r="1746" spans="1:13" x14ac:dyDescent="0.2">
      <c r="A1746" t="s">
        <v>90</v>
      </c>
      <c r="B1746" t="str">
        <f>VLOOKUP(A1746,MasterTutor!A:E,4,FALSE)</f>
        <v>Advanced</v>
      </c>
      <c r="C1746" t="str">
        <f>VLOOKUP(A1746,MasterTutor!A:E,3,FALSE)</f>
        <v>Adjunct</v>
      </c>
      <c r="D1746" t="str">
        <f>VLOOKUP(A1746,MasterTutor!A:E,2,FALSE)</f>
        <v>Ela Cross</v>
      </c>
      <c r="E1746" t="s">
        <v>375</v>
      </c>
      <c r="F1746" s="2">
        <v>0.96</v>
      </c>
      <c r="G1746" s="2">
        <v>1.29</v>
      </c>
      <c r="H1746" s="2">
        <v>0.95</v>
      </c>
      <c r="I1746" s="2">
        <v>1</v>
      </c>
      <c r="J1746" s="2">
        <v>0</v>
      </c>
      <c r="K1746">
        <v>5</v>
      </c>
      <c r="L1746" s="19" t="s">
        <v>215</v>
      </c>
      <c r="M1746" s="21">
        <v>1</v>
      </c>
    </row>
    <row r="1747" spans="1:13" x14ac:dyDescent="0.2">
      <c r="A1747" t="s">
        <v>92</v>
      </c>
      <c r="B1747" t="str">
        <f>VLOOKUP(A1747,MasterTutor!A:E,4,FALSE)</f>
        <v>Premium</v>
      </c>
      <c r="C1747" t="str">
        <f>VLOOKUP(A1747,MasterTutor!A:E,3,FALSE)</f>
        <v>Professional</v>
      </c>
      <c r="D1747" t="str">
        <f>VLOOKUP(A1747,MasterTutor!A:E,2,FALSE)</f>
        <v>Ian Plamondon</v>
      </c>
      <c r="E1747" t="s">
        <v>375</v>
      </c>
      <c r="F1747" s="2">
        <v>1.08</v>
      </c>
      <c r="G1747" s="2">
        <v>1.3</v>
      </c>
      <c r="H1747" s="2">
        <v>1</v>
      </c>
      <c r="I1747" s="2">
        <v>0.86</v>
      </c>
      <c r="J1747" s="2">
        <v>0.88</v>
      </c>
      <c r="K1747">
        <v>9</v>
      </c>
      <c r="L1747" s="19" t="s">
        <v>228</v>
      </c>
      <c r="M1747" s="21">
        <v>0</v>
      </c>
    </row>
    <row r="1748" spans="1:13" x14ac:dyDescent="0.2">
      <c r="A1748" t="s">
        <v>93</v>
      </c>
      <c r="B1748" t="str">
        <f>VLOOKUP(A1748,MasterTutor!A:E,4,FALSE)</f>
        <v>Advanced</v>
      </c>
      <c r="C1748" t="str">
        <f>VLOOKUP(A1748,MasterTutor!A:E,3,FALSE)</f>
        <v>Professional</v>
      </c>
      <c r="D1748" t="str">
        <f>VLOOKUP(A1748,MasterTutor!A:E,2,FALSE)</f>
        <v>Ian Plamondon</v>
      </c>
      <c r="E1748" t="s">
        <v>375</v>
      </c>
      <c r="F1748" s="2">
        <v>1</v>
      </c>
      <c r="G1748" s="2">
        <v>1.1000000000000001</v>
      </c>
      <c r="H1748" s="2">
        <v>1</v>
      </c>
      <c r="I1748" s="2">
        <v>0.92</v>
      </c>
      <c r="J1748" s="2">
        <v>0.96</v>
      </c>
      <c r="K1748">
        <v>8</v>
      </c>
      <c r="L1748" s="19" t="s">
        <v>227</v>
      </c>
      <c r="M1748" s="21">
        <v>1</v>
      </c>
    </row>
    <row r="1749" spans="1:13" x14ac:dyDescent="0.2">
      <c r="A1749" t="s">
        <v>94</v>
      </c>
      <c r="B1749" t="str">
        <f>VLOOKUP(A1749,MasterTutor!A:E,4,FALSE)</f>
        <v>Premium</v>
      </c>
      <c r="C1749" t="str">
        <f>VLOOKUP(A1749,MasterTutor!A:E,3,FALSE)</f>
        <v>Professional</v>
      </c>
      <c r="D1749" t="str">
        <f>VLOOKUP(A1749,MasterTutor!A:E,2,FALSE)</f>
        <v>Jessica Milner</v>
      </c>
      <c r="E1749" t="s">
        <v>375</v>
      </c>
      <c r="F1749" s="2">
        <v>0.75</v>
      </c>
      <c r="G1749" s="2">
        <v>1.23</v>
      </c>
      <c r="H1749" s="2">
        <v>0.98</v>
      </c>
      <c r="I1749" s="2">
        <v>0.96</v>
      </c>
      <c r="J1749" s="2">
        <v>0.4</v>
      </c>
      <c r="K1749">
        <v>2</v>
      </c>
      <c r="L1749" s="19" t="s">
        <v>219</v>
      </c>
      <c r="M1749" s="21">
        <v>0</v>
      </c>
    </row>
    <row r="1750" spans="1:13" x14ac:dyDescent="0.2">
      <c r="A1750" t="s">
        <v>95</v>
      </c>
      <c r="B1750" t="str">
        <f>VLOOKUP(A1750,MasterTutor!A:E,4,FALSE)</f>
        <v>Advanced</v>
      </c>
      <c r="C1750" t="str">
        <f>VLOOKUP(A1750,MasterTutor!A:E,3,FALSE)</f>
        <v>Professional</v>
      </c>
      <c r="D1750" t="str">
        <f>VLOOKUP(A1750,MasterTutor!A:E,2,FALSE)</f>
        <v>Kristin Haase-Alvey</v>
      </c>
      <c r="E1750" t="s">
        <v>375</v>
      </c>
      <c r="F1750" s="2">
        <v>0.72</v>
      </c>
      <c r="G1750" s="2">
        <v>1.07</v>
      </c>
      <c r="H1750" s="2">
        <v>0.95</v>
      </c>
      <c r="I1750" s="2">
        <v>0.97</v>
      </c>
      <c r="J1750" s="2">
        <v>0.92</v>
      </c>
      <c r="K1750">
        <v>6</v>
      </c>
      <c r="L1750" s="19" t="s">
        <v>242</v>
      </c>
      <c r="M1750" s="21">
        <v>0.4</v>
      </c>
    </row>
    <row r="1751" spans="1:13" x14ac:dyDescent="0.2">
      <c r="A1751" t="s">
        <v>96</v>
      </c>
      <c r="B1751" t="str">
        <f>VLOOKUP(A1751,MasterTutor!A:E,4,FALSE)</f>
        <v>Distinguished</v>
      </c>
      <c r="C1751" t="str">
        <f>VLOOKUP(A1751,MasterTutor!A:E,3,FALSE)</f>
        <v>Adjunct</v>
      </c>
      <c r="D1751" t="str">
        <f>VLOOKUP(A1751,MasterTutor!A:E,2,FALSE)</f>
        <v>Kristin Haase-Alvey</v>
      </c>
      <c r="E1751" t="s">
        <v>375</v>
      </c>
      <c r="F1751" s="2">
        <v>0.53</v>
      </c>
      <c r="G1751" s="2">
        <v>1</v>
      </c>
      <c r="H1751" s="2">
        <v>1</v>
      </c>
      <c r="I1751" s="2">
        <v>0.93</v>
      </c>
      <c r="J1751" s="2">
        <v>0.89</v>
      </c>
      <c r="K1751">
        <v>4</v>
      </c>
      <c r="L1751" s="20"/>
    </row>
    <row r="1752" spans="1:13" x14ac:dyDescent="0.2">
      <c r="A1752" t="s">
        <v>97</v>
      </c>
      <c r="B1752" t="str">
        <f>VLOOKUP(A1752,MasterTutor!A:E,4,FALSE)</f>
        <v>Advanced</v>
      </c>
      <c r="C1752" t="str">
        <f>VLOOKUP(A1752,MasterTutor!A:E,3,FALSE)</f>
        <v>Professional</v>
      </c>
      <c r="D1752" t="str">
        <f>VLOOKUP(A1752,MasterTutor!A:E,2,FALSE)</f>
        <v>Kristin Haase-Alvey</v>
      </c>
      <c r="E1752" t="s">
        <v>375</v>
      </c>
      <c r="F1752" s="2">
        <v>0.65</v>
      </c>
      <c r="G1752" s="2">
        <v>0.97</v>
      </c>
      <c r="H1752" s="2">
        <v>1</v>
      </c>
      <c r="I1752" s="2">
        <v>0.95</v>
      </c>
      <c r="J1752" s="2">
        <v>0.7</v>
      </c>
      <c r="K1752">
        <v>2</v>
      </c>
      <c r="L1752" s="19" t="s">
        <v>379</v>
      </c>
      <c r="M1752" s="21">
        <v>0.89</v>
      </c>
    </row>
    <row r="1753" spans="1:13" x14ac:dyDescent="0.2">
      <c r="A1753" t="s">
        <v>98</v>
      </c>
      <c r="B1753" t="str">
        <f>VLOOKUP(A1753,MasterTutor!A:E,4,FALSE)</f>
        <v>Premium</v>
      </c>
      <c r="C1753" t="str">
        <f>VLOOKUP(A1753,MasterTutor!A:E,3,FALSE)</f>
        <v>Adjunct</v>
      </c>
      <c r="D1753" t="str">
        <f>VLOOKUP(A1753,MasterTutor!A:E,2,FALSE)</f>
        <v>Ela Cross</v>
      </c>
      <c r="E1753" t="s">
        <v>375</v>
      </c>
      <c r="F1753" s="2">
        <v>1.1399999999999999</v>
      </c>
      <c r="G1753" s="2">
        <v>1.45</v>
      </c>
      <c r="H1753" s="2">
        <v>1</v>
      </c>
      <c r="I1753" s="2">
        <v>1</v>
      </c>
      <c r="J1753" s="2">
        <v>1</v>
      </c>
      <c r="K1753">
        <v>1</v>
      </c>
      <c r="L1753" s="19" t="s">
        <v>225</v>
      </c>
      <c r="M1753" s="21">
        <v>0.5</v>
      </c>
    </row>
    <row r="1754" spans="1:13" x14ac:dyDescent="0.2">
      <c r="A1754" t="s">
        <v>100</v>
      </c>
      <c r="B1754" t="str">
        <f>VLOOKUP(A1754,MasterTutor!A:E,4,FALSE)</f>
        <v>Premium</v>
      </c>
      <c r="C1754" t="str">
        <f>VLOOKUP(A1754,MasterTutor!A:E,3,FALSE)</f>
        <v>Adjunct</v>
      </c>
      <c r="D1754" t="str">
        <f>VLOOKUP(A1754,MasterTutor!A:E,2,FALSE)</f>
        <v>Annelies de Groot</v>
      </c>
      <c r="E1754" t="s">
        <v>375</v>
      </c>
      <c r="F1754" s="2">
        <v>0.28999999999999998</v>
      </c>
      <c r="G1754" s="2">
        <v>0.97</v>
      </c>
      <c r="H1754" s="2">
        <v>1</v>
      </c>
      <c r="I1754" s="2">
        <v>1</v>
      </c>
      <c r="J1754" s="2">
        <v>0.5</v>
      </c>
      <c r="K1754">
        <v>0</v>
      </c>
      <c r="L1754" s="20"/>
    </row>
    <row r="1755" spans="1:13" x14ac:dyDescent="0.2">
      <c r="A1755" t="s">
        <v>101</v>
      </c>
      <c r="B1755" t="str">
        <f>VLOOKUP(A1755,MasterTutor!A:E,4,FALSE)</f>
        <v>Advanced</v>
      </c>
      <c r="C1755" t="str">
        <f>VLOOKUP(A1755,MasterTutor!A:E,3,FALSE)</f>
        <v>Professional</v>
      </c>
      <c r="D1755" t="str">
        <f>VLOOKUP(A1755,MasterTutor!A:E,2,FALSE)</f>
        <v>Kristin Haase-Alvey</v>
      </c>
      <c r="E1755" t="s">
        <v>375</v>
      </c>
      <c r="F1755" s="2">
        <v>0.75</v>
      </c>
      <c r="G1755" s="2">
        <v>0.96</v>
      </c>
      <c r="H1755" s="2">
        <v>0.98</v>
      </c>
      <c r="I1755" s="2">
        <v>0.98</v>
      </c>
      <c r="J1755" s="2">
        <v>0.27</v>
      </c>
      <c r="K1755">
        <v>9</v>
      </c>
      <c r="L1755" s="19" t="s">
        <v>380</v>
      </c>
      <c r="M1755" s="21">
        <v>0.75</v>
      </c>
    </row>
    <row r="1756" spans="1:13" x14ac:dyDescent="0.2">
      <c r="A1756" t="s">
        <v>103</v>
      </c>
      <c r="B1756" t="str">
        <f>VLOOKUP(A1756,MasterTutor!A:E,4,FALSE)</f>
        <v>Distinguished</v>
      </c>
      <c r="C1756" t="str">
        <f>VLOOKUP(A1756,MasterTutor!A:E,3,FALSE)</f>
        <v>Adjunct</v>
      </c>
      <c r="D1756" t="str">
        <f>VLOOKUP(A1756,MasterTutor!A:E,2,FALSE)</f>
        <v>Kristin Haase-Alvey</v>
      </c>
      <c r="E1756" t="s">
        <v>375</v>
      </c>
      <c r="F1756" s="2">
        <v>0.56999999999999995</v>
      </c>
      <c r="G1756" s="2">
        <v>1.17</v>
      </c>
      <c r="H1756" s="2">
        <v>1</v>
      </c>
      <c r="I1756" s="2">
        <v>0.75</v>
      </c>
      <c r="J1756" s="2">
        <v>1</v>
      </c>
      <c r="K1756">
        <v>1</v>
      </c>
      <c r="L1756" s="20"/>
    </row>
    <row r="1757" spans="1:13" x14ac:dyDescent="0.2">
      <c r="A1757" t="s">
        <v>104</v>
      </c>
      <c r="B1757" t="e">
        <f>VLOOKUP(A1757,MasterTutor!A:E,4,FALSE)</f>
        <v>#N/A</v>
      </c>
      <c r="C1757" t="e">
        <f>VLOOKUP(A1757,MasterTutor!A:E,3,FALSE)</f>
        <v>#N/A</v>
      </c>
      <c r="D1757" t="e">
        <f>VLOOKUP(A1757,MasterTutor!A:E,2,FALSE)</f>
        <v>#N/A</v>
      </c>
      <c r="E1757" t="s">
        <v>375</v>
      </c>
      <c r="F1757" s="2">
        <v>0.72</v>
      </c>
      <c r="G1757" s="2">
        <v>1.22</v>
      </c>
      <c r="H1757" s="2">
        <v>0.94</v>
      </c>
      <c r="I1757" s="2">
        <v>1</v>
      </c>
      <c r="J1757" s="2">
        <v>0</v>
      </c>
      <c r="K1757">
        <v>1</v>
      </c>
      <c r="L1757" s="20"/>
    </row>
    <row r="1758" spans="1:13" x14ac:dyDescent="0.2">
      <c r="A1758" t="s">
        <v>105</v>
      </c>
      <c r="B1758" t="str">
        <f>VLOOKUP(A1758,MasterTutor!A:E,4,FALSE)</f>
        <v>Advanced</v>
      </c>
      <c r="C1758" t="str">
        <f>VLOOKUP(A1758,MasterTutor!A:E,3,FALSE)</f>
        <v>Adjunct</v>
      </c>
      <c r="D1758" t="str">
        <f>VLOOKUP(A1758,MasterTutor!A:E,2,FALSE)</f>
        <v>Annelies de Groot</v>
      </c>
      <c r="E1758" t="s">
        <v>375</v>
      </c>
      <c r="F1758" s="2">
        <v>0.27</v>
      </c>
      <c r="G1758" s="2">
        <v>0.86</v>
      </c>
      <c r="H1758" s="2">
        <v>1</v>
      </c>
      <c r="I1758" s="2">
        <v>0.69</v>
      </c>
      <c r="J1758" s="2">
        <v>0.6</v>
      </c>
      <c r="K1758">
        <v>4</v>
      </c>
      <c r="L1758" s="20"/>
    </row>
    <row r="1759" spans="1:13" x14ac:dyDescent="0.2">
      <c r="A1759" t="s">
        <v>276</v>
      </c>
      <c r="B1759" t="str">
        <f>VLOOKUP(A1759,MasterTutor!A:E,4,FALSE)</f>
        <v>Advanced</v>
      </c>
      <c r="C1759" t="str">
        <f>VLOOKUP(A1759,MasterTutor!A:E,3,FALSE)</f>
        <v xml:space="preserve">Professional </v>
      </c>
      <c r="D1759" t="str">
        <f>VLOOKUP(A1759,MasterTutor!A:E,2,FALSE)</f>
        <v>Ian Plamondon</v>
      </c>
      <c r="E1759" t="s">
        <v>375</v>
      </c>
      <c r="F1759" s="2">
        <v>0.5</v>
      </c>
      <c r="G1759" s="2">
        <v>0.92</v>
      </c>
      <c r="H1759" s="2">
        <v>0.95</v>
      </c>
      <c r="I1759" s="2">
        <v>0.71</v>
      </c>
      <c r="J1759" s="2">
        <v>0</v>
      </c>
      <c r="K1759">
        <v>5</v>
      </c>
      <c r="L1759" s="19" t="s">
        <v>228</v>
      </c>
      <c r="M1759" s="21">
        <v>0</v>
      </c>
    </row>
    <row r="1760" spans="1:13" x14ac:dyDescent="0.2">
      <c r="A1760" t="s">
        <v>107</v>
      </c>
      <c r="B1760" t="str">
        <f>VLOOKUP(A1760,MasterTutor!A:E,4,FALSE)</f>
        <v>Distinguished</v>
      </c>
      <c r="C1760" t="str">
        <f>VLOOKUP(A1760,MasterTutor!A:E,3,FALSE)</f>
        <v>Professional</v>
      </c>
      <c r="D1760" t="str">
        <f>VLOOKUP(A1760,MasterTutor!A:E,2,FALSE)</f>
        <v>Ian Plamondon</v>
      </c>
      <c r="E1760" t="s">
        <v>375</v>
      </c>
      <c r="F1760" s="2">
        <v>0.9</v>
      </c>
      <c r="G1760" s="2">
        <v>1.36</v>
      </c>
      <c r="H1760" s="2">
        <v>1</v>
      </c>
      <c r="I1760" s="2">
        <v>1</v>
      </c>
      <c r="J1760" s="2">
        <v>0.88</v>
      </c>
      <c r="K1760">
        <v>1</v>
      </c>
      <c r="L1760" s="19" t="s">
        <v>218</v>
      </c>
      <c r="M1760" s="21">
        <v>0.66</v>
      </c>
    </row>
    <row r="1761" spans="1:13" x14ac:dyDescent="0.2">
      <c r="A1761" t="s">
        <v>108</v>
      </c>
      <c r="B1761" t="str">
        <f>VLOOKUP(A1761,MasterTutor!A:E,4,FALSE)</f>
        <v>Advanced</v>
      </c>
      <c r="C1761" t="str">
        <f>VLOOKUP(A1761,MasterTutor!A:E,3,FALSE)</f>
        <v>Professional</v>
      </c>
      <c r="D1761" t="str">
        <f>VLOOKUP(A1761,MasterTutor!A:E,2,FALSE)</f>
        <v>Geoff St. Marie</v>
      </c>
      <c r="E1761" t="s">
        <v>375</v>
      </c>
      <c r="F1761" s="2">
        <v>0.85</v>
      </c>
      <c r="G1761" s="2">
        <v>1.0900000000000001</v>
      </c>
      <c r="H1761" s="2">
        <v>0.97</v>
      </c>
      <c r="I1761" s="2">
        <v>1</v>
      </c>
      <c r="J1761" s="2">
        <v>0.56000000000000005</v>
      </c>
      <c r="K1761">
        <v>1</v>
      </c>
      <c r="L1761" s="19" t="s">
        <v>253</v>
      </c>
      <c r="M1761" s="21">
        <v>1</v>
      </c>
    </row>
    <row r="1762" spans="1:13" x14ac:dyDescent="0.2">
      <c r="A1762" t="s">
        <v>111</v>
      </c>
      <c r="B1762" t="str">
        <f>VLOOKUP(A1762,MasterTutor!A:E,4,FALSE)</f>
        <v>Premium</v>
      </c>
      <c r="C1762" t="str">
        <f>VLOOKUP(A1762,MasterTutor!A:E,3,FALSE)</f>
        <v>Adjunct</v>
      </c>
      <c r="D1762" t="str">
        <f>VLOOKUP(A1762,MasterTutor!A:E,2,FALSE)</f>
        <v>Kristin Haase-Alvey</v>
      </c>
      <c r="E1762" t="s">
        <v>375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>
        <v>0</v>
      </c>
      <c r="L1762" s="20"/>
    </row>
    <row r="1763" spans="1:13" x14ac:dyDescent="0.2">
      <c r="A1763" t="s">
        <v>281</v>
      </c>
      <c r="B1763" t="str">
        <f>VLOOKUP(A1763,MasterTutor!A:E,4,FALSE)</f>
        <v>Advanced</v>
      </c>
      <c r="C1763" t="str">
        <f>VLOOKUP(A1763,MasterTutor!A:E,3,FALSE)</f>
        <v>Professional</v>
      </c>
      <c r="D1763" t="str">
        <f>VLOOKUP(A1763,MasterTutor!A:E,2,FALSE)</f>
        <v>Annelies de Groot</v>
      </c>
      <c r="E1763" t="s">
        <v>375</v>
      </c>
      <c r="F1763" s="2">
        <v>0.89</v>
      </c>
      <c r="G1763" s="2">
        <v>1.04</v>
      </c>
      <c r="H1763" s="2">
        <v>0.98</v>
      </c>
      <c r="I1763" s="2">
        <v>0.97</v>
      </c>
      <c r="J1763" s="2">
        <v>0.52</v>
      </c>
      <c r="K1763">
        <v>10</v>
      </c>
      <c r="L1763" s="19" t="s">
        <v>243</v>
      </c>
      <c r="M1763" s="21">
        <v>0.33</v>
      </c>
    </row>
    <row r="1764" spans="1:13" x14ac:dyDescent="0.2">
      <c r="A1764" t="s">
        <v>113</v>
      </c>
      <c r="B1764" t="e">
        <f>VLOOKUP(A1764,MasterTutor!A:E,4,FALSE)</f>
        <v>#N/A</v>
      </c>
      <c r="C1764" t="e">
        <f>VLOOKUP(A1764,MasterTutor!A:E,3,FALSE)</f>
        <v>#N/A</v>
      </c>
      <c r="D1764" t="e">
        <f>VLOOKUP(A1764,MasterTutor!A:E,2,FALSE)</f>
        <v>#N/A</v>
      </c>
      <c r="E1764" t="s">
        <v>375</v>
      </c>
      <c r="F1764" s="2">
        <v>0.91</v>
      </c>
      <c r="G1764" s="2">
        <v>0.96</v>
      </c>
      <c r="H1764" s="2">
        <v>0.99</v>
      </c>
      <c r="I1764" s="2">
        <v>0.9</v>
      </c>
      <c r="J1764" s="2">
        <v>0.27</v>
      </c>
      <c r="K1764">
        <v>20</v>
      </c>
      <c r="L1764" s="20"/>
    </row>
    <row r="1765" spans="1:13" x14ac:dyDescent="0.2">
      <c r="A1765" t="s">
        <v>115</v>
      </c>
      <c r="B1765" t="str">
        <f>VLOOKUP(A1765,MasterTutor!A:E,4,FALSE)</f>
        <v>Advanced</v>
      </c>
      <c r="C1765" t="str">
        <f>VLOOKUP(A1765,MasterTutor!A:E,3,FALSE)</f>
        <v>Adjunct</v>
      </c>
      <c r="D1765" t="str">
        <f>VLOOKUP(A1765,MasterTutor!A:E,2,FALSE)</f>
        <v>Kristin Haase-Alvey</v>
      </c>
      <c r="E1765" t="s">
        <v>375</v>
      </c>
      <c r="F1765" s="2">
        <v>0.92</v>
      </c>
      <c r="G1765" s="2">
        <v>1.62</v>
      </c>
      <c r="H1765" s="2">
        <v>1</v>
      </c>
      <c r="I1765" s="2">
        <v>0.97</v>
      </c>
      <c r="J1765" s="2">
        <v>0.63</v>
      </c>
      <c r="K1765">
        <v>3</v>
      </c>
      <c r="L1765" s="19" t="s">
        <v>213</v>
      </c>
      <c r="M1765" s="21">
        <v>0.5</v>
      </c>
    </row>
    <row r="1766" spans="1:13" x14ac:dyDescent="0.2">
      <c r="A1766" t="s">
        <v>116</v>
      </c>
      <c r="B1766" t="str">
        <f>VLOOKUP(A1766,MasterTutor!A:E,4,FALSE)</f>
        <v>Premium</v>
      </c>
      <c r="C1766" t="str">
        <f>VLOOKUP(A1766,MasterTutor!A:E,3,FALSE)</f>
        <v>Professional</v>
      </c>
      <c r="D1766" t="str">
        <f>VLOOKUP(A1766,MasterTutor!A:E,2,FALSE)</f>
        <v>Jessica Milner</v>
      </c>
      <c r="E1766" t="s">
        <v>375</v>
      </c>
      <c r="F1766" s="2">
        <v>0.85</v>
      </c>
      <c r="G1766" s="2">
        <v>1.08</v>
      </c>
      <c r="H1766" s="2">
        <v>1</v>
      </c>
      <c r="I1766" s="2">
        <v>1</v>
      </c>
      <c r="J1766" s="2">
        <v>0.86</v>
      </c>
      <c r="K1766">
        <v>0</v>
      </c>
      <c r="L1766" s="19" t="s">
        <v>215</v>
      </c>
      <c r="M1766" s="21">
        <v>1</v>
      </c>
    </row>
    <row r="1767" spans="1:13" x14ac:dyDescent="0.2">
      <c r="A1767" t="s">
        <v>117</v>
      </c>
      <c r="B1767" t="str">
        <f>VLOOKUP(A1767,MasterTutor!A:E,4,FALSE)</f>
        <v>Advanced</v>
      </c>
      <c r="C1767" t="str">
        <f>VLOOKUP(A1767,MasterTutor!A:E,3,FALSE)</f>
        <v>Professional</v>
      </c>
      <c r="D1767" t="str">
        <f>VLOOKUP(A1767,MasterTutor!A:E,2,FALSE)</f>
        <v>Kristin Haase-Alvey</v>
      </c>
      <c r="E1767" t="s">
        <v>375</v>
      </c>
      <c r="F1767" s="2">
        <v>1.1599999999999999</v>
      </c>
      <c r="G1767" s="2">
        <v>1.1599999999999999</v>
      </c>
      <c r="H1767" s="2">
        <v>1</v>
      </c>
      <c r="I1767" s="2">
        <v>1</v>
      </c>
      <c r="J1767" s="2">
        <v>1</v>
      </c>
      <c r="K1767">
        <v>3</v>
      </c>
      <c r="L1767" s="19" t="s">
        <v>218</v>
      </c>
      <c r="M1767" s="21">
        <v>0.66</v>
      </c>
    </row>
    <row r="1768" spans="1:13" x14ac:dyDescent="0.2">
      <c r="A1768" t="s">
        <v>119</v>
      </c>
      <c r="B1768" t="str">
        <f>VLOOKUP(A1768,MasterTutor!A:E,4,FALSE)</f>
        <v>Distinguished</v>
      </c>
      <c r="C1768" t="str">
        <f>VLOOKUP(A1768,MasterTutor!A:E,3,FALSE)</f>
        <v>Professional</v>
      </c>
      <c r="D1768" t="str">
        <f>VLOOKUP(A1768,MasterTutor!A:E,2,FALSE)</f>
        <v>Kristin Haase-Alvey</v>
      </c>
      <c r="E1768" t="s">
        <v>375</v>
      </c>
      <c r="F1768" s="2">
        <v>0.74</v>
      </c>
      <c r="G1768" s="2">
        <v>1.0900000000000001</v>
      </c>
      <c r="H1768" s="2">
        <v>1</v>
      </c>
      <c r="I1768" s="2">
        <v>0.95</v>
      </c>
      <c r="J1768" s="2">
        <v>0.85</v>
      </c>
      <c r="K1768">
        <v>1</v>
      </c>
      <c r="L1768" s="19" t="s">
        <v>215</v>
      </c>
      <c r="M1768" s="21">
        <v>1</v>
      </c>
    </row>
    <row r="1769" spans="1:13" x14ac:dyDescent="0.2">
      <c r="A1769" t="s">
        <v>120</v>
      </c>
      <c r="B1769" t="str">
        <f>VLOOKUP(A1769,MasterTutor!A:E,4,FALSE)</f>
        <v>Premium</v>
      </c>
      <c r="C1769" t="str">
        <f>VLOOKUP(A1769,MasterTutor!A:E,3,FALSE)</f>
        <v>Professional</v>
      </c>
      <c r="D1769" t="str">
        <f>VLOOKUP(A1769,MasterTutor!A:E,2,FALSE)</f>
        <v>Jessica Milner</v>
      </c>
      <c r="E1769" t="s">
        <v>375</v>
      </c>
      <c r="F1769" s="2">
        <v>0.95</v>
      </c>
      <c r="G1769" s="2">
        <v>1.1200000000000001</v>
      </c>
      <c r="H1769" s="2">
        <v>1</v>
      </c>
      <c r="I1769" s="2">
        <v>0.88</v>
      </c>
      <c r="J1769" s="2">
        <v>0.26</v>
      </c>
      <c r="K1769">
        <v>8</v>
      </c>
      <c r="L1769" s="19" t="s">
        <v>219</v>
      </c>
      <c r="M1769" s="21">
        <v>0</v>
      </c>
    </row>
    <row r="1770" spans="1:13" x14ac:dyDescent="0.2">
      <c r="A1770" t="s">
        <v>121</v>
      </c>
      <c r="B1770" t="str">
        <f>VLOOKUP(A1770,MasterTutor!A:E,4,FALSE)</f>
        <v>Advanced</v>
      </c>
      <c r="C1770" t="str">
        <f>VLOOKUP(A1770,MasterTutor!A:E,3,FALSE)</f>
        <v>Adjunct</v>
      </c>
      <c r="D1770" t="str">
        <f>VLOOKUP(A1770,MasterTutor!A:E,2,FALSE)</f>
        <v>Annelies de Groot</v>
      </c>
      <c r="E1770" t="s">
        <v>375</v>
      </c>
      <c r="F1770" s="2">
        <v>1.02</v>
      </c>
      <c r="G1770" s="2">
        <v>1.34</v>
      </c>
      <c r="H1770" s="2">
        <v>0.98</v>
      </c>
      <c r="I1770" s="2">
        <v>1</v>
      </c>
      <c r="J1770" s="2">
        <v>0.22</v>
      </c>
      <c r="K1770">
        <v>9</v>
      </c>
      <c r="L1770" s="19" t="s">
        <v>227</v>
      </c>
      <c r="M1770" s="21">
        <v>1</v>
      </c>
    </row>
    <row r="1771" spans="1:13" x14ac:dyDescent="0.2">
      <c r="A1771" t="s">
        <v>123</v>
      </c>
      <c r="B1771" t="str">
        <f>VLOOKUP(A1771,MasterTutor!A:E,4,FALSE)</f>
        <v>Premium</v>
      </c>
      <c r="C1771" t="str">
        <f>VLOOKUP(A1771,MasterTutor!A:E,3,FALSE)</f>
        <v xml:space="preserve">Professional </v>
      </c>
      <c r="D1771" t="str">
        <f>VLOOKUP(A1771,MasterTutor!A:E,2,FALSE)</f>
        <v>Ela Cross</v>
      </c>
      <c r="E1771" t="s">
        <v>375</v>
      </c>
      <c r="F1771" s="2">
        <v>1.07</v>
      </c>
      <c r="G1771" s="2">
        <v>1.1599999999999999</v>
      </c>
      <c r="H1771" s="2">
        <v>0.99</v>
      </c>
      <c r="I1771" s="2">
        <v>1</v>
      </c>
      <c r="J1771" s="2">
        <v>0.76</v>
      </c>
      <c r="K1771">
        <v>4</v>
      </c>
      <c r="L1771" s="19" t="s">
        <v>219</v>
      </c>
      <c r="M1771" s="21">
        <v>0</v>
      </c>
    </row>
    <row r="1772" spans="1:13" x14ac:dyDescent="0.2">
      <c r="A1772" t="s">
        <v>125</v>
      </c>
      <c r="B1772" t="str">
        <f>VLOOKUP(A1772,MasterTutor!A:E,4,FALSE)</f>
        <v>Advanced</v>
      </c>
      <c r="C1772" t="str">
        <f>VLOOKUP(A1772,MasterTutor!A:E,3,FALSE)</f>
        <v>Professional</v>
      </c>
      <c r="D1772" t="str">
        <f>VLOOKUP(A1772,MasterTutor!A:E,2,FALSE)</f>
        <v>Kristin Haase-Alvey</v>
      </c>
      <c r="E1772" t="s">
        <v>375</v>
      </c>
      <c r="F1772" s="2">
        <v>0.82</v>
      </c>
      <c r="G1772" s="2">
        <v>0.92</v>
      </c>
      <c r="H1772" s="2">
        <v>0.9</v>
      </c>
      <c r="I1772" s="2">
        <v>0.97</v>
      </c>
      <c r="J1772" s="2">
        <v>0.89</v>
      </c>
      <c r="K1772">
        <v>7</v>
      </c>
      <c r="L1772" s="19" t="s">
        <v>215</v>
      </c>
      <c r="M1772" s="21">
        <v>1</v>
      </c>
    </row>
    <row r="1773" spans="1:13" x14ac:dyDescent="0.2">
      <c r="A1773" t="s">
        <v>126</v>
      </c>
      <c r="B1773" t="str">
        <f>VLOOKUP(A1773,MasterTutor!A:E,4,FALSE)</f>
        <v>Distinguished</v>
      </c>
      <c r="C1773" t="str">
        <f>VLOOKUP(A1773,MasterTutor!A:E,3,FALSE)</f>
        <v>Professional</v>
      </c>
      <c r="D1773" t="str">
        <f>VLOOKUP(A1773,MasterTutor!A:E,2,FALSE)</f>
        <v>Ian Plamondon</v>
      </c>
      <c r="E1773" t="s">
        <v>375</v>
      </c>
      <c r="F1773" s="2">
        <v>0.35</v>
      </c>
      <c r="G1773" s="2">
        <v>1.1499999999999999</v>
      </c>
      <c r="H1773" s="2">
        <v>0.98</v>
      </c>
      <c r="I1773" s="2">
        <v>1</v>
      </c>
      <c r="J1773" s="2">
        <v>0.78</v>
      </c>
      <c r="K1773">
        <v>1</v>
      </c>
      <c r="L1773" s="20"/>
    </row>
    <row r="1774" spans="1:13" x14ac:dyDescent="0.2">
      <c r="A1774" t="s">
        <v>369</v>
      </c>
      <c r="B1774" t="e">
        <f>VLOOKUP(A1774,MasterTutor!A:E,4,FALSE)</f>
        <v>#N/A</v>
      </c>
      <c r="C1774" t="e">
        <f>VLOOKUP(A1774,MasterTutor!A:E,3,FALSE)</f>
        <v>#N/A</v>
      </c>
      <c r="D1774" t="e">
        <f>VLOOKUP(A1774,MasterTutor!A:E,2,FALSE)</f>
        <v>#N/A</v>
      </c>
      <c r="E1774" t="s">
        <v>375</v>
      </c>
      <c r="F1774" s="2">
        <v>0.89</v>
      </c>
      <c r="G1774" s="2">
        <v>0.97</v>
      </c>
      <c r="H1774" s="2">
        <v>0.97</v>
      </c>
      <c r="I1774" s="2">
        <v>0.9</v>
      </c>
      <c r="J1774" s="2">
        <v>0.77</v>
      </c>
      <c r="K1774">
        <v>6</v>
      </c>
      <c r="L1774" s="19" t="s">
        <v>221</v>
      </c>
      <c r="M1774" s="21">
        <v>1</v>
      </c>
    </row>
    <row r="1775" spans="1:13" x14ac:dyDescent="0.2">
      <c r="A1775" t="s">
        <v>127</v>
      </c>
      <c r="B1775" t="str">
        <f>VLOOKUP(A1775,MasterTutor!A:E,4,FALSE)</f>
        <v>Premium</v>
      </c>
      <c r="C1775" t="str">
        <f>VLOOKUP(A1775,MasterTutor!A:E,3,FALSE)</f>
        <v>Professional</v>
      </c>
      <c r="D1775" t="str">
        <f>VLOOKUP(A1775,MasterTutor!A:E,2,FALSE)</f>
        <v>Jessica Milner</v>
      </c>
      <c r="E1775" t="s">
        <v>375</v>
      </c>
      <c r="F1775" s="2">
        <v>0.74</v>
      </c>
      <c r="G1775" s="2">
        <v>0.99</v>
      </c>
      <c r="H1775" s="2">
        <v>0.94</v>
      </c>
      <c r="I1775" s="2">
        <v>0.98</v>
      </c>
      <c r="J1775" s="2">
        <v>0.63</v>
      </c>
      <c r="K1775">
        <v>1</v>
      </c>
      <c r="L1775" s="20"/>
    </row>
    <row r="1776" spans="1:13" x14ac:dyDescent="0.2">
      <c r="A1776" t="s">
        <v>128</v>
      </c>
      <c r="B1776" t="str">
        <f>VLOOKUP(A1776,MasterTutor!A:E,4,FALSE)</f>
        <v>Distinguished</v>
      </c>
      <c r="C1776" t="str">
        <f>VLOOKUP(A1776,MasterTutor!A:E,3,FALSE)</f>
        <v>Professional</v>
      </c>
      <c r="D1776" t="str">
        <f>VLOOKUP(A1776,MasterTutor!A:E,2,FALSE)</f>
        <v>Ian Plamondon</v>
      </c>
      <c r="E1776" t="s">
        <v>375</v>
      </c>
      <c r="F1776" s="2">
        <v>1.01</v>
      </c>
      <c r="G1776" s="2">
        <v>1.67</v>
      </c>
      <c r="H1776" s="2">
        <v>0.99</v>
      </c>
      <c r="I1776" s="2">
        <v>1</v>
      </c>
      <c r="J1776" s="2">
        <v>1</v>
      </c>
      <c r="K1776">
        <v>3</v>
      </c>
      <c r="L1776" s="19" t="s">
        <v>216</v>
      </c>
      <c r="M1776" s="21">
        <v>1</v>
      </c>
    </row>
    <row r="1777" spans="1:13" x14ac:dyDescent="0.2">
      <c r="A1777" t="s">
        <v>129</v>
      </c>
      <c r="B1777" t="str">
        <f>VLOOKUP(A1777,MasterTutor!A:E,4,FALSE)</f>
        <v>Premium</v>
      </c>
      <c r="C1777" t="str">
        <f>VLOOKUP(A1777,MasterTutor!A:E,3,FALSE)</f>
        <v>Adjunct</v>
      </c>
      <c r="D1777" t="str">
        <f>VLOOKUP(A1777,MasterTutor!A:E,2,FALSE)</f>
        <v>Annelies de Groot</v>
      </c>
      <c r="E1777" t="s">
        <v>375</v>
      </c>
      <c r="F1777" s="2">
        <v>1.06</v>
      </c>
      <c r="G1777" s="2">
        <v>1.2</v>
      </c>
      <c r="H1777" s="2">
        <v>0.96</v>
      </c>
      <c r="I1777" s="2">
        <v>1</v>
      </c>
      <c r="J1777" s="2">
        <v>0.25</v>
      </c>
      <c r="K1777">
        <v>3</v>
      </c>
      <c r="L1777" s="19" t="s">
        <v>219</v>
      </c>
      <c r="M1777" s="21">
        <v>0</v>
      </c>
    </row>
    <row r="1778" spans="1:13" x14ac:dyDescent="0.2">
      <c r="A1778" t="s">
        <v>130</v>
      </c>
      <c r="B1778" t="str">
        <f>VLOOKUP(A1778,MasterTutor!A:E,4,FALSE)</f>
        <v>Premium</v>
      </c>
      <c r="C1778" t="str">
        <f>VLOOKUP(A1778,MasterTutor!A:E,3,FALSE)</f>
        <v>Adjunct</v>
      </c>
      <c r="D1778" t="str">
        <f>VLOOKUP(A1778,MasterTutor!A:E,2,FALSE)</f>
        <v>Ela Cross</v>
      </c>
      <c r="E1778" t="s">
        <v>375</v>
      </c>
      <c r="F1778" s="2">
        <v>0.98</v>
      </c>
      <c r="G1778" s="2">
        <v>1.42</v>
      </c>
      <c r="H1778" s="2">
        <v>1</v>
      </c>
      <c r="I1778" s="2">
        <v>1</v>
      </c>
      <c r="J1778" s="2">
        <v>1</v>
      </c>
      <c r="K1778">
        <v>1</v>
      </c>
      <c r="L1778" s="19" t="s">
        <v>215</v>
      </c>
      <c r="M1778" s="21">
        <v>1</v>
      </c>
    </row>
    <row r="1779" spans="1:13" x14ac:dyDescent="0.2">
      <c r="A1779" t="s">
        <v>131</v>
      </c>
      <c r="B1779" t="str">
        <f>VLOOKUP(A1779,MasterTutor!A:E,4,FALSE)</f>
        <v>Advanced</v>
      </c>
      <c r="C1779" t="str">
        <f>VLOOKUP(A1779,MasterTutor!A:E,3,FALSE)</f>
        <v>Professional</v>
      </c>
      <c r="D1779" t="str">
        <f>VLOOKUP(A1779,MasterTutor!A:E,2,FALSE)</f>
        <v>Ian Plamondon</v>
      </c>
      <c r="E1779" t="s">
        <v>375</v>
      </c>
      <c r="F1779" s="2">
        <v>0.92</v>
      </c>
      <c r="G1779" s="2">
        <v>1.19</v>
      </c>
      <c r="H1779" s="2">
        <v>1</v>
      </c>
      <c r="I1779" s="2">
        <v>1</v>
      </c>
      <c r="J1779" s="2">
        <v>0.13</v>
      </c>
      <c r="K1779">
        <v>9</v>
      </c>
      <c r="L1779" s="19" t="s">
        <v>244</v>
      </c>
      <c r="M1779" s="21">
        <v>0.8</v>
      </c>
    </row>
    <row r="1780" spans="1:13" x14ac:dyDescent="0.2">
      <c r="A1780" t="s">
        <v>132</v>
      </c>
      <c r="B1780" t="str">
        <f>VLOOKUP(A1780,MasterTutor!A:E,4,FALSE)</f>
        <v>Distinguished</v>
      </c>
      <c r="C1780" t="str">
        <f>VLOOKUP(A1780,MasterTutor!A:E,3,FALSE)</f>
        <v>Professional</v>
      </c>
      <c r="D1780" t="str">
        <f>VLOOKUP(A1780,MasterTutor!A:E,2,FALSE)</f>
        <v>Kristin Haase-Alvey</v>
      </c>
      <c r="E1780" t="s">
        <v>375</v>
      </c>
      <c r="F1780" s="2">
        <v>1.06</v>
      </c>
      <c r="G1780" s="2">
        <v>0.93</v>
      </c>
      <c r="H1780" s="2">
        <v>1</v>
      </c>
      <c r="I1780" s="2">
        <v>0.97</v>
      </c>
      <c r="J1780" s="2">
        <v>0.83</v>
      </c>
      <c r="K1780">
        <v>4</v>
      </c>
      <c r="L1780" s="19" t="s">
        <v>227</v>
      </c>
      <c r="M1780" s="21">
        <v>1</v>
      </c>
    </row>
    <row r="1781" spans="1:13" x14ac:dyDescent="0.2">
      <c r="A1781" t="s">
        <v>133</v>
      </c>
      <c r="B1781" t="e">
        <f>VLOOKUP(A1781,MasterTutor!A:E,4,FALSE)</f>
        <v>#N/A</v>
      </c>
      <c r="C1781" t="e">
        <f>VLOOKUP(A1781,MasterTutor!A:E,3,FALSE)</f>
        <v>#N/A</v>
      </c>
      <c r="D1781" t="e">
        <f>VLOOKUP(A1781,MasterTutor!A:E,2,FALSE)</f>
        <v>#N/A</v>
      </c>
      <c r="E1781" t="s">
        <v>375</v>
      </c>
      <c r="F1781" s="2">
        <v>0.46</v>
      </c>
      <c r="G1781" s="2">
        <v>1.3</v>
      </c>
      <c r="H1781" s="2">
        <v>0.86</v>
      </c>
      <c r="I1781" s="2">
        <v>0.69</v>
      </c>
      <c r="J1781" s="2">
        <v>0.67</v>
      </c>
      <c r="K1781">
        <v>2</v>
      </c>
      <c r="L1781" s="19" t="s">
        <v>215</v>
      </c>
      <c r="M1781" s="21">
        <v>1</v>
      </c>
    </row>
    <row r="1782" spans="1:13" x14ac:dyDescent="0.2">
      <c r="A1782" t="s">
        <v>134</v>
      </c>
      <c r="B1782" t="str">
        <f>VLOOKUP(A1782,MasterTutor!A:E,4,FALSE)</f>
        <v>Distinguished</v>
      </c>
      <c r="C1782" t="str">
        <f>VLOOKUP(A1782,MasterTutor!A:E,3,FALSE)</f>
        <v>Professional</v>
      </c>
      <c r="D1782" t="str">
        <f>VLOOKUP(A1782,MasterTutor!A:E,2,FALSE)</f>
        <v>Annelies de Groot</v>
      </c>
      <c r="E1782" t="s">
        <v>375</v>
      </c>
      <c r="F1782" s="2">
        <v>0.73</v>
      </c>
      <c r="G1782" s="2">
        <v>1.01</v>
      </c>
      <c r="H1782" s="2">
        <v>0.99</v>
      </c>
      <c r="I1782" s="2">
        <v>1</v>
      </c>
      <c r="J1782" s="2">
        <v>0.62</v>
      </c>
      <c r="K1782">
        <v>2</v>
      </c>
      <c r="L1782" s="20"/>
    </row>
    <row r="1783" spans="1:13" x14ac:dyDescent="0.2">
      <c r="A1783" t="s">
        <v>135</v>
      </c>
      <c r="B1783" t="str">
        <f>VLOOKUP(A1783,MasterTutor!A:E,4,FALSE)</f>
        <v>Distinguished</v>
      </c>
      <c r="C1783" t="str">
        <f>VLOOKUP(A1783,MasterTutor!A:E,3,FALSE)</f>
        <v>Adjunct</v>
      </c>
      <c r="D1783" t="str">
        <f>VLOOKUP(A1783,MasterTutor!A:E,2,FALSE)</f>
        <v>Annelies de Groot</v>
      </c>
      <c r="E1783" t="s">
        <v>375</v>
      </c>
      <c r="F1783" s="2">
        <v>0.86</v>
      </c>
      <c r="G1783" s="2">
        <v>1.5</v>
      </c>
      <c r="H1783" s="2">
        <v>1</v>
      </c>
      <c r="I1783" s="2">
        <v>0.9</v>
      </c>
      <c r="J1783" s="2">
        <v>0.67</v>
      </c>
      <c r="K1783">
        <v>2</v>
      </c>
      <c r="L1783" s="19" t="s">
        <v>219</v>
      </c>
      <c r="M1783" s="21">
        <v>0</v>
      </c>
    </row>
    <row r="1784" spans="1:13" x14ac:dyDescent="0.2">
      <c r="A1784" t="s">
        <v>136</v>
      </c>
      <c r="B1784" t="e">
        <f>VLOOKUP(A1784,MasterTutor!A:E,4,FALSE)</f>
        <v>#N/A</v>
      </c>
      <c r="C1784" t="e">
        <f>VLOOKUP(A1784,MasterTutor!A:E,3,FALSE)</f>
        <v>#N/A</v>
      </c>
      <c r="D1784" t="e">
        <f>VLOOKUP(A1784,MasterTutor!A:E,2,FALSE)</f>
        <v>#N/A</v>
      </c>
      <c r="E1784" t="s">
        <v>375</v>
      </c>
      <c r="F1784" s="2">
        <v>0.8</v>
      </c>
      <c r="G1784" s="2">
        <v>1.3</v>
      </c>
      <c r="H1784" s="2">
        <v>0.95</v>
      </c>
      <c r="I1784" s="2">
        <v>0.81</v>
      </c>
      <c r="J1784" s="2">
        <v>1</v>
      </c>
      <c r="K1784">
        <v>4</v>
      </c>
      <c r="L1784" s="20"/>
    </row>
    <row r="1785" spans="1:13" x14ac:dyDescent="0.2">
      <c r="A1785" t="s">
        <v>294</v>
      </c>
      <c r="B1785" t="str">
        <f>VLOOKUP(A1785,MasterTutor!A:E,4,FALSE)</f>
        <v>Advanced</v>
      </c>
      <c r="C1785" t="str">
        <f>VLOOKUP(A1785,MasterTutor!A:E,3,FALSE)</f>
        <v>Adjunct</v>
      </c>
      <c r="D1785" t="str">
        <f>VLOOKUP(A1785,MasterTutor!A:E,2,FALSE)</f>
        <v>Kristin Haase-Alvey</v>
      </c>
      <c r="E1785" t="s">
        <v>375</v>
      </c>
      <c r="F1785" s="2">
        <v>1.1599999999999999</v>
      </c>
      <c r="G1785" s="2">
        <v>1.26</v>
      </c>
      <c r="H1785" s="2">
        <v>0.84</v>
      </c>
      <c r="I1785" s="2">
        <v>0.56999999999999995</v>
      </c>
      <c r="J1785" s="2">
        <v>0.73</v>
      </c>
      <c r="K1785">
        <v>4</v>
      </c>
      <c r="L1785" s="19" t="s">
        <v>219</v>
      </c>
      <c r="M1785" s="21">
        <v>0</v>
      </c>
    </row>
    <row r="1786" spans="1:13" x14ac:dyDescent="0.2">
      <c r="A1786" t="s">
        <v>137</v>
      </c>
      <c r="B1786" t="str">
        <f>VLOOKUP(A1786,MasterTutor!A:E,4,FALSE)</f>
        <v>Premium</v>
      </c>
      <c r="C1786" t="str">
        <f>VLOOKUP(A1786,MasterTutor!A:E,3,FALSE)</f>
        <v>Professional</v>
      </c>
      <c r="D1786" t="str">
        <f>VLOOKUP(A1786,MasterTutor!A:E,2,FALSE)</f>
        <v>Jessica Milner</v>
      </c>
      <c r="E1786" t="s">
        <v>375</v>
      </c>
      <c r="F1786" s="2">
        <v>0.73</v>
      </c>
      <c r="G1786" s="2">
        <v>1.23</v>
      </c>
      <c r="H1786" s="2">
        <v>1</v>
      </c>
      <c r="I1786" s="2">
        <v>0.96</v>
      </c>
      <c r="J1786" s="2">
        <v>0.88</v>
      </c>
      <c r="K1786">
        <v>1</v>
      </c>
      <c r="L1786" s="19" t="s">
        <v>228</v>
      </c>
      <c r="M1786" s="21">
        <v>0</v>
      </c>
    </row>
    <row r="1787" spans="1:13" x14ac:dyDescent="0.2">
      <c r="A1787" t="s">
        <v>138</v>
      </c>
      <c r="B1787" t="str">
        <f>VLOOKUP(A1787,MasterTutor!A:E,4,FALSE)</f>
        <v>Advanced</v>
      </c>
      <c r="C1787" t="str">
        <f>VLOOKUP(A1787,MasterTutor!A:E,3,FALSE)</f>
        <v>Professional</v>
      </c>
      <c r="D1787" t="str">
        <f>VLOOKUP(A1787,MasterTutor!A:E,2,FALSE)</f>
        <v>Ela Cross</v>
      </c>
      <c r="E1787" t="s">
        <v>375</v>
      </c>
      <c r="F1787" s="2">
        <v>0.88</v>
      </c>
      <c r="G1787" s="2">
        <v>1.1100000000000001</v>
      </c>
      <c r="H1787" s="2">
        <v>1</v>
      </c>
      <c r="I1787" s="2">
        <v>0.96</v>
      </c>
      <c r="J1787" s="2">
        <v>0.95</v>
      </c>
      <c r="K1787">
        <v>22</v>
      </c>
      <c r="L1787" s="19" t="s">
        <v>227</v>
      </c>
      <c r="M1787" s="21">
        <v>1</v>
      </c>
    </row>
    <row r="1788" spans="1:13" x14ac:dyDescent="0.2">
      <c r="A1788" t="s">
        <v>139</v>
      </c>
      <c r="B1788" t="str">
        <f>VLOOKUP(A1788,MasterTutor!A:E,4,FALSE)</f>
        <v>Distinguished</v>
      </c>
      <c r="C1788" t="str">
        <f>VLOOKUP(A1788,MasterTutor!A:E,3,FALSE)</f>
        <v>Professional</v>
      </c>
      <c r="D1788" t="str">
        <f>VLOOKUP(A1788,MasterTutor!A:E,2,FALSE)</f>
        <v>Ian Plamondon</v>
      </c>
      <c r="E1788" t="s">
        <v>375</v>
      </c>
      <c r="F1788" s="2">
        <v>0.84</v>
      </c>
      <c r="G1788" s="2">
        <v>0.96</v>
      </c>
      <c r="H1788" s="2">
        <v>1</v>
      </c>
      <c r="I1788" s="2">
        <v>1</v>
      </c>
      <c r="J1788" s="2">
        <v>0.84</v>
      </c>
      <c r="K1788">
        <v>2</v>
      </c>
      <c r="L1788" s="20"/>
    </row>
    <row r="1789" spans="1:13" x14ac:dyDescent="0.2">
      <c r="A1789" t="s">
        <v>140</v>
      </c>
      <c r="B1789" t="str">
        <f>VLOOKUP(A1789,MasterTutor!A:E,4,FALSE)</f>
        <v>Advanced</v>
      </c>
      <c r="C1789" t="str">
        <f>VLOOKUP(A1789,MasterTutor!A:E,3,FALSE)</f>
        <v>Adjunct</v>
      </c>
      <c r="D1789" t="str">
        <f>VLOOKUP(A1789,MasterTutor!A:E,2,FALSE)</f>
        <v>Annelies de Groot</v>
      </c>
      <c r="E1789" t="s">
        <v>375</v>
      </c>
      <c r="F1789" s="2">
        <v>0.72</v>
      </c>
      <c r="G1789" s="2">
        <v>0.98</v>
      </c>
      <c r="H1789" s="2">
        <v>0.98</v>
      </c>
      <c r="I1789" s="2">
        <v>0.97</v>
      </c>
      <c r="J1789" s="2">
        <v>0.75</v>
      </c>
      <c r="K1789">
        <v>9</v>
      </c>
      <c r="L1789" s="19" t="s">
        <v>226</v>
      </c>
      <c r="M1789" s="21">
        <v>0.75</v>
      </c>
    </row>
    <row r="1790" spans="1:13" x14ac:dyDescent="0.2">
      <c r="A1790" t="s">
        <v>141</v>
      </c>
      <c r="B1790" t="str">
        <f>VLOOKUP(A1790,MasterTutor!A:E,4,FALSE)</f>
        <v>Distinguished</v>
      </c>
      <c r="C1790" t="str">
        <f>VLOOKUP(A1790,MasterTutor!A:E,3,FALSE)</f>
        <v>Adjunct</v>
      </c>
      <c r="D1790" t="str">
        <f>VLOOKUP(A1790,MasterTutor!A:E,2,FALSE)</f>
        <v>Annelies de Groot</v>
      </c>
      <c r="E1790" t="s">
        <v>375</v>
      </c>
      <c r="F1790" s="2">
        <v>0.15</v>
      </c>
      <c r="G1790" s="2">
        <v>0.71</v>
      </c>
      <c r="H1790" s="2">
        <v>1</v>
      </c>
      <c r="I1790" s="2">
        <v>1</v>
      </c>
      <c r="J1790" s="2">
        <v>1</v>
      </c>
      <c r="K1790">
        <v>1</v>
      </c>
      <c r="L1790" s="20"/>
    </row>
    <row r="1791" spans="1:13" x14ac:dyDescent="0.2">
      <c r="A1791" t="s">
        <v>142</v>
      </c>
      <c r="B1791" t="str">
        <f>VLOOKUP(A1791,MasterTutor!A:E,4,FALSE)</f>
        <v>Advanced</v>
      </c>
      <c r="C1791" t="str">
        <f>VLOOKUP(A1791,MasterTutor!A:E,3,FALSE)</f>
        <v>Professional</v>
      </c>
      <c r="D1791" t="str">
        <f>VLOOKUP(A1791,MasterTutor!A:E,2,FALSE)</f>
        <v>Ian Plamondon</v>
      </c>
      <c r="E1791" t="s">
        <v>375</v>
      </c>
      <c r="F1791" s="2">
        <v>0.9</v>
      </c>
      <c r="G1791" s="2">
        <v>1.04</v>
      </c>
      <c r="H1791" s="2">
        <v>0.99</v>
      </c>
      <c r="I1791" s="2">
        <v>1</v>
      </c>
      <c r="J1791" s="2">
        <v>0</v>
      </c>
      <c r="K1791">
        <v>10</v>
      </c>
      <c r="L1791" s="19" t="s">
        <v>326</v>
      </c>
      <c r="M1791" s="21">
        <v>0.63</v>
      </c>
    </row>
    <row r="1792" spans="1:13" x14ac:dyDescent="0.2">
      <c r="A1792" t="s">
        <v>143</v>
      </c>
      <c r="B1792" t="str">
        <f>VLOOKUP(A1792,MasterTutor!A:E,4,FALSE)</f>
        <v>Distinguished</v>
      </c>
      <c r="C1792" t="str">
        <f>VLOOKUP(A1792,MasterTutor!A:E,3,FALSE)</f>
        <v>Adjunct</v>
      </c>
      <c r="D1792" t="str">
        <f>VLOOKUP(A1792,MasterTutor!A:E,2,FALSE)</f>
        <v>Annelies de Groot</v>
      </c>
      <c r="E1792" t="s">
        <v>375</v>
      </c>
      <c r="F1792" s="2">
        <v>0.56000000000000005</v>
      </c>
      <c r="G1792" s="2">
        <v>1.22</v>
      </c>
      <c r="H1792" s="2">
        <v>0.96</v>
      </c>
      <c r="I1792" s="2">
        <v>1</v>
      </c>
      <c r="J1792" s="2">
        <v>0</v>
      </c>
      <c r="K1792">
        <v>0</v>
      </c>
      <c r="L1792" s="20"/>
    </row>
    <row r="1793" spans="1:13" x14ac:dyDescent="0.2">
      <c r="A1793" t="s">
        <v>144</v>
      </c>
      <c r="B1793" t="str">
        <f>VLOOKUP(A1793,MasterTutor!A:E,4,FALSE)</f>
        <v>Distinguished</v>
      </c>
      <c r="C1793" t="str">
        <f>VLOOKUP(A1793,MasterTutor!A:E,3,FALSE)</f>
        <v>Professional</v>
      </c>
      <c r="D1793" t="str">
        <f>VLOOKUP(A1793,MasterTutor!A:E,2,FALSE)</f>
        <v>Annelies de Groot</v>
      </c>
      <c r="E1793" t="s">
        <v>375</v>
      </c>
      <c r="F1793" s="2">
        <v>0.46</v>
      </c>
      <c r="G1793" s="2">
        <v>1.0900000000000001</v>
      </c>
      <c r="H1793" s="2">
        <v>1</v>
      </c>
      <c r="I1793" s="2">
        <v>1</v>
      </c>
      <c r="J1793" s="2">
        <v>0.82</v>
      </c>
      <c r="K1793">
        <v>1</v>
      </c>
      <c r="L1793" s="19" t="s">
        <v>218</v>
      </c>
      <c r="M1793" s="21">
        <v>0.66</v>
      </c>
    </row>
    <row r="1794" spans="1:13" x14ac:dyDescent="0.2">
      <c r="A1794" t="s">
        <v>145</v>
      </c>
      <c r="B1794" t="str">
        <f>VLOOKUP(A1794,MasterTutor!A:E,4,FALSE)</f>
        <v>Premium</v>
      </c>
      <c r="C1794" t="str">
        <f>VLOOKUP(A1794,MasterTutor!A:E,3,FALSE)</f>
        <v>Professional</v>
      </c>
      <c r="D1794" t="str">
        <f>VLOOKUP(A1794,MasterTutor!A:E,2,FALSE)</f>
        <v>Jessica Milner</v>
      </c>
      <c r="E1794" t="s">
        <v>375</v>
      </c>
      <c r="F1794" s="2">
        <v>0.99</v>
      </c>
      <c r="G1794" s="2">
        <v>1.02</v>
      </c>
      <c r="H1794" s="2">
        <v>1</v>
      </c>
      <c r="I1794" s="2">
        <v>1</v>
      </c>
      <c r="J1794" s="2">
        <v>0.87</v>
      </c>
      <c r="K1794">
        <v>1</v>
      </c>
      <c r="L1794" s="19" t="s">
        <v>215</v>
      </c>
      <c r="M1794" s="21">
        <v>1</v>
      </c>
    </row>
    <row r="1795" spans="1:13" x14ac:dyDescent="0.2">
      <c r="A1795" t="s">
        <v>146</v>
      </c>
      <c r="B1795" t="str">
        <f>VLOOKUP(A1795,MasterTutor!A:E,4,FALSE)</f>
        <v>Distinguished</v>
      </c>
      <c r="C1795" t="str">
        <f>VLOOKUP(A1795,MasterTutor!A:E,3,FALSE)</f>
        <v>Adjunct</v>
      </c>
      <c r="D1795" t="str">
        <f>VLOOKUP(A1795,MasterTutor!A:E,2,FALSE)</f>
        <v>Ian Plamondon</v>
      </c>
      <c r="E1795" t="s">
        <v>375</v>
      </c>
      <c r="F1795" s="2">
        <v>0.85</v>
      </c>
      <c r="G1795" s="2">
        <v>1.1000000000000001</v>
      </c>
      <c r="H1795" s="2">
        <v>1</v>
      </c>
      <c r="I1795" s="2">
        <v>0.89</v>
      </c>
      <c r="J1795" s="2">
        <v>0.67</v>
      </c>
      <c r="K1795">
        <v>3</v>
      </c>
      <c r="L1795" s="20"/>
    </row>
    <row r="1796" spans="1:13" x14ac:dyDescent="0.2">
      <c r="A1796" t="s">
        <v>147</v>
      </c>
      <c r="B1796" t="str">
        <f>VLOOKUP(A1796,MasterTutor!A:E,4,FALSE)</f>
        <v>Premium</v>
      </c>
      <c r="C1796" t="str">
        <f>VLOOKUP(A1796,MasterTutor!A:E,3,FALSE)</f>
        <v>Adjunct</v>
      </c>
      <c r="D1796" t="str">
        <f>VLOOKUP(A1796,MasterTutor!A:E,2,FALSE)</f>
        <v>Ela Cross</v>
      </c>
      <c r="E1796" t="s">
        <v>375</v>
      </c>
      <c r="F1796" s="2">
        <v>0.84</v>
      </c>
      <c r="G1796" s="2">
        <v>1.1299999999999999</v>
      </c>
      <c r="H1796" s="2">
        <v>1</v>
      </c>
      <c r="I1796" s="2">
        <v>1</v>
      </c>
      <c r="J1796" s="2">
        <v>0.77</v>
      </c>
      <c r="K1796">
        <v>0</v>
      </c>
      <c r="L1796" s="19" t="s">
        <v>279</v>
      </c>
      <c r="M1796" s="21">
        <v>0</v>
      </c>
    </row>
    <row r="1797" spans="1:13" x14ac:dyDescent="0.2">
      <c r="A1797" t="s">
        <v>148</v>
      </c>
      <c r="B1797" t="str">
        <f>VLOOKUP(A1797,MasterTutor!A:E,4,FALSE)</f>
        <v>Advanced</v>
      </c>
      <c r="C1797" t="str">
        <f>VLOOKUP(A1797,MasterTutor!A:E,3,FALSE)</f>
        <v>Adjunct</v>
      </c>
      <c r="D1797" t="str">
        <f>VLOOKUP(A1797,MasterTutor!A:E,2,FALSE)</f>
        <v>Ela Cross</v>
      </c>
      <c r="E1797" t="s">
        <v>375</v>
      </c>
      <c r="F1797" s="2">
        <v>1.17</v>
      </c>
      <c r="G1797" s="2">
        <v>1.1100000000000001</v>
      </c>
      <c r="H1797" s="2">
        <v>0.97</v>
      </c>
      <c r="I1797" s="2">
        <v>0.94</v>
      </c>
      <c r="J1797" s="2">
        <v>1</v>
      </c>
      <c r="K1797">
        <v>13</v>
      </c>
      <c r="L1797" s="19" t="s">
        <v>224</v>
      </c>
      <c r="M1797" s="21">
        <v>0</v>
      </c>
    </row>
    <row r="1798" spans="1:13" x14ac:dyDescent="0.2">
      <c r="A1798" t="s">
        <v>149</v>
      </c>
      <c r="B1798" t="str">
        <f>VLOOKUP(A1798,MasterTutor!A:E,4,FALSE)</f>
        <v>Distinguished</v>
      </c>
      <c r="C1798" t="str">
        <f>VLOOKUP(A1798,MasterTutor!A:E,3,FALSE)</f>
        <v>Professional</v>
      </c>
      <c r="D1798" t="str">
        <f>VLOOKUP(A1798,MasterTutor!A:E,2,FALSE)</f>
        <v>Ian Plamondon</v>
      </c>
      <c r="E1798" t="s">
        <v>375</v>
      </c>
      <c r="F1798" s="2">
        <v>0.85</v>
      </c>
      <c r="G1798" s="2">
        <v>1.0900000000000001</v>
      </c>
      <c r="H1798" s="2">
        <v>0.92</v>
      </c>
      <c r="I1798" s="2">
        <v>0.68</v>
      </c>
      <c r="J1798" s="2">
        <v>0.96</v>
      </c>
      <c r="K1798">
        <v>3</v>
      </c>
      <c r="L1798" s="19" t="s">
        <v>219</v>
      </c>
      <c r="M1798" s="21">
        <v>0</v>
      </c>
    </row>
    <row r="1799" spans="1:13" x14ac:dyDescent="0.2">
      <c r="A1799" t="s">
        <v>361</v>
      </c>
      <c r="B1799" t="e">
        <f>VLOOKUP(A1799,MasterTutor!A:E,4,FALSE)</f>
        <v>#N/A</v>
      </c>
      <c r="C1799" t="e">
        <f>VLOOKUP(A1799,MasterTutor!A:E,3,FALSE)</f>
        <v>#N/A</v>
      </c>
      <c r="D1799" t="e">
        <f>VLOOKUP(A1799,MasterTutor!A:E,2,FALSE)</f>
        <v>#N/A</v>
      </c>
      <c r="E1799" t="s">
        <v>375</v>
      </c>
      <c r="F1799" s="2">
        <v>0.72</v>
      </c>
      <c r="G1799" s="2">
        <v>1.06</v>
      </c>
      <c r="H1799" s="2">
        <v>0.99</v>
      </c>
      <c r="I1799" s="2">
        <v>0.92</v>
      </c>
      <c r="J1799" s="2">
        <v>0.27</v>
      </c>
      <c r="K1799">
        <v>5</v>
      </c>
      <c r="L1799" s="19" t="s">
        <v>282</v>
      </c>
      <c r="M1799" s="21">
        <v>0</v>
      </c>
    </row>
    <row r="1800" spans="1:13" x14ac:dyDescent="0.2">
      <c r="A1800" t="s">
        <v>150</v>
      </c>
      <c r="B1800" t="str">
        <f>VLOOKUP(A1800,MasterTutor!A:E,4,FALSE)</f>
        <v>Advanced</v>
      </c>
      <c r="C1800" t="str">
        <f>VLOOKUP(A1800,MasterTutor!A:E,3,FALSE)</f>
        <v>Adjunct</v>
      </c>
      <c r="D1800" t="str">
        <f>VLOOKUP(A1800,MasterTutor!A:E,2,FALSE)</f>
        <v>Ela Cross</v>
      </c>
      <c r="E1800" t="s">
        <v>375</v>
      </c>
      <c r="F1800" s="2">
        <v>0.59</v>
      </c>
      <c r="G1800" s="2">
        <v>0.81</v>
      </c>
      <c r="H1800" s="2">
        <v>0.97</v>
      </c>
      <c r="I1800" s="2">
        <v>0.95</v>
      </c>
      <c r="J1800" s="2">
        <v>1</v>
      </c>
      <c r="K1800">
        <v>0</v>
      </c>
      <c r="L1800" s="19" t="s">
        <v>224</v>
      </c>
      <c r="M1800" s="21">
        <v>0</v>
      </c>
    </row>
    <row r="1801" spans="1:13" x14ac:dyDescent="0.2">
      <c r="A1801" t="s">
        <v>151</v>
      </c>
      <c r="B1801" t="e">
        <f>VLOOKUP(A1801,MasterTutor!A:E,4,FALSE)</f>
        <v>#N/A</v>
      </c>
      <c r="C1801" t="e">
        <f>VLOOKUP(A1801,MasterTutor!A:E,3,FALSE)</f>
        <v>#N/A</v>
      </c>
      <c r="D1801" t="e">
        <f>VLOOKUP(A1801,MasterTutor!A:E,2,FALSE)</f>
        <v>#N/A</v>
      </c>
      <c r="E1801" t="s">
        <v>375</v>
      </c>
      <c r="F1801" s="2">
        <v>1.41</v>
      </c>
      <c r="G1801" s="2">
        <v>1.97</v>
      </c>
      <c r="H1801" s="2">
        <v>0.98</v>
      </c>
      <c r="I1801" s="2">
        <v>0.97</v>
      </c>
      <c r="J1801" s="2">
        <v>0.89</v>
      </c>
      <c r="K1801">
        <v>2</v>
      </c>
      <c r="L1801" s="19" t="s">
        <v>226</v>
      </c>
      <c r="M1801" s="21">
        <v>0.75</v>
      </c>
    </row>
    <row r="1802" spans="1:13" x14ac:dyDescent="0.2">
      <c r="A1802" t="s">
        <v>297</v>
      </c>
      <c r="B1802" t="e">
        <f>VLOOKUP(A1802,MasterTutor!A:E,4,FALSE)</f>
        <v>#N/A</v>
      </c>
      <c r="C1802" t="e">
        <f>VLOOKUP(A1802,MasterTutor!A:E,3,FALSE)</f>
        <v>#N/A</v>
      </c>
      <c r="D1802" t="e">
        <f>VLOOKUP(A1802,MasterTutor!A:E,2,FALSE)</f>
        <v>#N/A</v>
      </c>
      <c r="E1802" t="s">
        <v>375</v>
      </c>
      <c r="F1802" s="2">
        <v>0.78</v>
      </c>
      <c r="G1802" s="2">
        <v>1.02</v>
      </c>
      <c r="H1802" s="2">
        <v>0.99</v>
      </c>
      <c r="I1802" s="2">
        <v>0.56999999999999995</v>
      </c>
      <c r="J1802" s="2">
        <v>0.1</v>
      </c>
      <c r="K1802">
        <v>3</v>
      </c>
      <c r="L1802" s="19" t="s">
        <v>266</v>
      </c>
      <c r="M1802" s="21">
        <v>0</v>
      </c>
    </row>
    <row r="1803" spans="1:13" x14ac:dyDescent="0.2">
      <c r="A1803" t="s">
        <v>152</v>
      </c>
      <c r="B1803" t="str">
        <f>VLOOKUP(A1803,MasterTutor!A:E,4,FALSE)</f>
        <v>Premium</v>
      </c>
      <c r="C1803" t="str">
        <f>VLOOKUP(A1803,MasterTutor!A:E,3,FALSE)</f>
        <v>Professional</v>
      </c>
      <c r="D1803" t="str">
        <f>VLOOKUP(A1803,MasterTutor!A:E,2,FALSE)</f>
        <v>Ian Plamondon</v>
      </c>
      <c r="E1803" t="s">
        <v>375</v>
      </c>
      <c r="F1803" s="2">
        <v>1.1100000000000001</v>
      </c>
      <c r="G1803" s="2">
        <v>1.39</v>
      </c>
      <c r="H1803" s="2">
        <v>0.98</v>
      </c>
      <c r="I1803" s="2">
        <v>0.83</v>
      </c>
      <c r="J1803" s="2">
        <v>0.88</v>
      </c>
      <c r="K1803">
        <v>2</v>
      </c>
      <c r="L1803" s="19" t="s">
        <v>243</v>
      </c>
      <c r="M1803" s="21">
        <v>0.33</v>
      </c>
    </row>
    <row r="1804" spans="1:13" x14ac:dyDescent="0.2">
      <c r="A1804" t="s">
        <v>153</v>
      </c>
      <c r="B1804" t="str">
        <f>VLOOKUP(A1804,MasterTutor!A:E,4,FALSE)</f>
        <v>Distinguished</v>
      </c>
      <c r="C1804" t="str">
        <f>VLOOKUP(A1804,MasterTutor!A:E,3,FALSE)</f>
        <v>Professional</v>
      </c>
      <c r="D1804" t="str">
        <f>VLOOKUP(A1804,MasterTutor!A:E,2,FALSE)</f>
        <v>Ian Plamondon</v>
      </c>
      <c r="E1804" t="s">
        <v>375</v>
      </c>
      <c r="F1804" s="2">
        <v>0.56000000000000005</v>
      </c>
      <c r="G1804" s="2">
        <v>1.24</v>
      </c>
      <c r="H1804" s="2">
        <v>1</v>
      </c>
      <c r="I1804" s="2">
        <v>0.93</v>
      </c>
      <c r="J1804" s="2">
        <v>0.5</v>
      </c>
      <c r="K1804">
        <v>0</v>
      </c>
      <c r="L1804" s="19" t="s">
        <v>267</v>
      </c>
      <c r="M1804" s="21">
        <v>0</v>
      </c>
    </row>
    <row r="1805" spans="1:13" x14ac:dyDescent="0.2">
      <c r="A1805" t="s">
        <v>299</v>
      </c>
      <c r="B1805" t="str">
        <f>VLOOKUP(A1805,MasterTutor!A:E,4,FALSE)</f>
        <v>Advanced</v>
      </c>
      <c r="C1805" t="str">
        <f>VLOOKUP(A1805,MasterTutor!A:E,3,FALSE)</f>
        <v>Professional</v>
      </c>
      <c r="D1805" t="str">
        <f>VLOOKUP(A1805,MasterTutor!A:E,2,FALSE)</f>
        <v>Ela Cross</v>
      </c>
      <c r="E1805" t="s">
        <v>375</v>
      </c>
      <c r="F1805" s="2">
        <v>0.95</v>
      </c>
      <c r="G1805" s="2">
        <v>1.19</v>
      </c>
      <c r="H1805" s="2">
        <v>1</v>
      </c>
      <c r="I1805" s="2">
        <v>0.84</v>
      </c>
      <c r="J1805" s="2">
        <v>0.85</v>
      </c>
      <c r="K1805">
        <v>6</v>
      </c>
      <c r="L1805" s="19" t="s">
        <v>227</v>
      </c>
      <c r="M1805" s="21">
        <v>1</v>
      </c>
    </row>
    <row r="1806" spans="1:13" x14ac:dyDescent="0.2">
      <c r="A1806" t="s">
        <v>155</v>
      </c>
      <c r="B1806" t="str">
        <f>VLOOKUP(A1806,MasterTutor!A:E,4,FALSE)</f>
        <v>Distinguished</v>
      </c>
      <c r="C1806" t="str">
        <f>VLOOKUP(A1806,MasterTutor!A:E,3,FALSE)</f>
        <v>Professional</v>
      </c>
      <c r="D1806" t="str">
        <f>VLOOKUP(A1806,MasterTutor!A:E,2,FALSE)</f>
        <v>Kristin Haase-Alvey</v>
      </c>
      <c r="E1806" t="s">
        <v>375</v>
      </c>
      <c r="F1806" s="2">
        <v>0.89</v>
      </c>
      <c r="G1806" s="2">
        <v>1.1000000000000001</v>
      </c>
      <c r="H1806" s="2">
        <v>0.99</v>
      </c>
      <c r="I1806" s="2">
        <v>0.91</v>
      </c>
      <c r="J1806" s="2">
        <v>0.76</v>
      </c>
      <c r="K1806">
        <v>7</v>
      </c>
      <c r="L1806" s="19" t="s">
        <v>225</v>
      </c>
      <c r="M1806" s="21">
        <v>0.5</v>
      </c>
    </row>
    <row r="1807" spans="1:13" x14ac:dyDescent="0.2">
      <c r="A1807" t="s">
        <v>301</v>
      </c>
      <c r="B1807" t="str">
        <f>VLOOKUP(A1807,MasterTutor!A:E,4,FALSE)</f>
        <v>Advanced</v>
      </c>
      <c r="C1807" t="str">
        <f>VLOOKUP(A1807,MasterTutor!A:E,3,FALSE)</f>
        <v>Professional</v>
      </c>
      <c r="D1807" t="str">
        <f>VLOOKUP(A1807,MasterTutor!A:E,2,FALSE)</f>
        <v>Kristin Haase-Alvey</v>
      </c>
      <c r="E1807" t="s">
        <v>375</v>
      </c>
      <c r="F1807" s="2">
        <v>1.1100000000000001</v>
      </c>
      <c r="G1807" s="2">
        <v>1.42</v>
      </c>
      <c r="H1807" s="2">
        <v>1</v>
      </c>
      <c r="I1807" s="2">
        <v>1</v>
      </c>
      <c r="J1807" s="2">
        <v>0.56999999999999995</v>
      </c>
      <c r="K1807">
        <v>10</v>
      </c>
      <c r="L1807" s="19" t="s">
        <v>381</v>
      </c>
      <c r="M1807" s="21">
        <v>0</v>
      </c>
    </row>
    <row r="1808" spans="1:13" x14ac:dyDescent="0.2">
      <c r="A1808" t="s">
        <v>302</v>
      </c>
      <c r="B1808" t="str">
        <f>VLOOKUP(A1808,MasterTutor!A:E,4,FALSE)</f>
        <v>Advanced</v>
      </c>
      <c r="C1808" t="str">
        <f>VLOOKUP(A1808,MasterTutor!A:E,3,FALSE)</f>
        <v>Professional</v>
      </c>
      <c r="D1808" t="str">
        <f>VLOOKUP(A1808,MasterTutor!A:E,2,FALSE)</f>
        <v>Ela Cross</v>
      </c>
      <c r="E1808" t="s">
        <v>375</v>
      </c>
      <c r="F1808" s="2">
        <v>0.96</v>
      </c>
      <c r="G1808" s="2">
        <v>1.1100000000000001</v>
      </c>
      <c r="H1808" s="2">
        <v>0.96</v>
      </c>
      <c r="I1808" s="2">
        <v>0.95</v>
      </c>
      <c r="J1808" s="2">
        <v>0.45</v>
      </c>
      <c r="K1808">
        <v>8</v>
      </c>
      <c r="L1808" s="19" t="s">
        <v>219</v>
      </c>
      <c r="M1808" s="21">
        <v>0</v>
      </c>
    </row>
    <row r="1809" spans="1:13" x14ac:dyDescent="0.2">
      <c r="A1809" t="s">
        <v>156</v>
      </c>
      <c r="B1809" t="e">
        <f>VLOOKUP(A1809,MasterTutor!A:E,4,FALSE)</f>
        <v>#N/A</v>
      </c>
      <c r="C1809" t="e">
        <f>VLOOKUP(A1809,MasterTutor!A:E,3,FALSE)</f>
        <v>#N/A</v>
      </c>
      <c r="D1809" t="e">
        <f>VLOOKUP(A1809,MasterTutor!A:E,2,FALSE)</f>
        <v>#N/A</v>
      </c>
      <c r="E1809" t="s">
        <v>375</v>
      </c>
      <c r="F1809" s="2">
        <v>0.72</v>
      </c>
      <c r="G1809" s="2">
        <v>1.07</v>
      </c>
      <c r="H1809" s="2">
        <v>1</v>
      </c>
      <c r="I1809" s="2">
        <v>0.93</v>
      </c>
      <c r="J1809" s="2">
        <v>1</v>
      </c>
      <c r="K1809">
        <v>5</v>
      </c>
      <c r="L1809" s="19" t="s">
        <v>234</v>
      </c>
      <c r="M1809" s="21">
        <v>1</v>
      </c>
    </row>
    <row r="1810" spans="1:13" x14ac:dyDescent="0.2">
      <c r="A1810" t="s">
        <v>157</v>
      </c>
      <c r="B1810" t="str">
        <f>VLOOKUP(A1810,MasterTutor!A:E,4,FALSE)</f>
        <v>Advanced</v>
      </c>
      <c r="C1810" t="str">
        <f>VLOOKUP(A1810,MasterTutor!A:E,3,FALSE)</f>
        <v>Adjunct</v>
      </c>
      <c r="D1810" t="str">
        <f>VLOOKUP(A1810,MasterTutor!A:E,2,FALSE)</f>
        <v>Kristin Haase-Alvey</v>
      </c>
      <c r="E1810" t="s">
        <v>375</v>
      </c>
      <c r="F1810" s="2">
        <v>0.84</v>
      </c>
      <c r="G1810" s="2">
        <v>1.1000000000000001</v>
      </c>
      <c r="H1810" s="2">
        <v>0.99</v>
      </c>
      <c r="I1810" s="2">
        <v>1</v>
      </c>
      <c r="J1810" s="2">
        <v>0.55000000000000004</v>
      </c>
      <c r="K1810">
        <v>2</v>
      </c>
      <c r="L1810" s="19" t="s">
        <v>225</v>
      </c>
      <c r="M1810" s="21">
        <v>0.5</v>
      </c>
    </row>
    <row r="1811" spans="1:13" x14ac:dyDescent="0.2">
      <c r="A1811" t="s">
        <v>158</v>
      </c>
      <c r="B1811" t="str">
        <f>VLOOKUP(A1811,MasterTutor!A:E,4,FALSE)</f>
        <v>Advanced</v>
      </c>
      <c r="C1811" t="str">
        <f>VLOOKUP(A1811,MasterTutor!A:E,3,FALSE)</f>
        <v>Adjunct</v>
      </c>
      <c r="D1811" t="str">
        <f>VLOOKUP(A1811,MasterTutor!A:E,2,FALSE)</f>
        <v>Annelies de Groot</v>
      </c>
      <c r="E1811" t="s">
        <v>375</v>
      </c>
      <c r="F1811" s="2">
        <v>0.46</v>
      </c>
      <c r="G1811" s="2">
        <v>0.95</v>
      </c>
      <c r="H1811" s="2">
        <v>1</v>
      </c>
      <c r="I1811" s="2">
        <v>0.89</v>
      </c>
      <c r="J1811" s="2">
        <v>0.14000000000000001</v>
      </c>
      <c r="K1811">
        <v>2</v>
      </c>
      <c r="L1811" s="19" t="s">
        <v>213</v>
      </c>
      <c r="M1811" s="21">
        <v>0.5</v>
      </c>
    </row>
    <row r="1812" spans="1:13" x14ac:dyDescent="0.2">
      <c r="A1812" t="s">
        <v>160</v>
      </c>
      <c r="B1812" t="str">
        <f>VLOOKUP(A1812,MasterTutor!A:E,4,FALSE)</f>
        <v>Distinguished</v>
      </c>
      <c r="C1812" t="str">
        <f>VLOOKUP(A1812,MasterTutor!A:E,3,FALSE)</f>
        <v>Adjunct</v>
      </c>
      <c r="D1812" t="str">
        <f>VLOOKUP(A1812,MasterTutor!A:E,2,FALSE)</f>
        <v>Ela Cross</v>
      </c>
      <c r="E1812" t="s">
        <v>375</v>
      </c>
      <c r="F1812" s="2">
        <v>0.43</v>
      </c>
      <c r="G1812" s="2">
        <v>1.1399999999999999</v>
      </c>
      <c r="H1812" s="2">
        <v>0.91</v>
      </c>
      <c r="I1812" s="2">
        <v>1</v>
      </c>
      <c r="J1812" s="2">
        <v>1</v>
      </c>
      <c r="K1812">
        <v>1</v>
      </c>
      <c r="L1812" s="19" t="s">
        <v>234</v>
      </c>
      <c r="M1812" s="21">
        <v>1</v>
      </c>
    </row>
    <row r="1813" spans="1:13" x14ac:dyDescent="0.2">
      <c r="A1813" t="s">
        <v>161</v>
      </c>
      <c r="B1813" t="str">
        <f>VLOOKUP(A1813,MasterTutor!A:E,4,FALSE)</f>
        <v>Distinguished</v>
      </c>
      <c r="C1813" t="str">
        <f>VLOOKUP(A1813,MasterTutor!A:E,3,FALSE)</f>
        <v>Professional</v>
      </c>
      <c r="D1813" t="str">
        <f>VLOOKUP(A1813,MasterTutor!A:E,2,FALSE)</f>
        <v>Ian Plamondon</v>
      </c>
      <c r="E1813" t="s">
        <v>375</v>
      </c>
      <c r="F1813" s="2">
        <v>1.07</v>
      </c>
      <c r="G1813" s="2">
        <v>1.35</v>
      </c>
      <c r="H1813" s="2">
        <v>1</v>
      </c>
      <c r="I1813" s="2">
        <v>0.97</v>
      </c>
      <c r="J1813" s="2">
        <v>0.7</v>
      </c>
      <c r="K1813">
        <v>2</v>
      </c>
      <c r="L1813" s="19" t="s">
        <v>382</v>
      </c>
      <c r="M1813" s="21">
        <v>1</v>
      </c>
    </row>
    <row r="1814" spans="1:13" x14ac:dyDescent="0.2">
      <c r="A1814" t="s">
        <v>163</v>
      </c>
      <c r="B1814" t="str">
        <f>VLOOKUP(A1814,MasterTutor!A:E,4,FALSE)</f>
        <v>Premium</v>
      </c>
      <c r="C1814" t="str">
        <f>VLOOKUP(A1814,MasterTutor!A:E,3,FALSE)</f>
        <v>Professional</v>
      </c>
      <c r="D1814" t="str">
        <f>VLOOKUP(A1814,MasterTutor!A:E,2,FALSE)</f>
        <v>Jessica Milner</v>
      </c>
      <c r="E1814" t="s">
        <v>375</v>
      </c>
      <c r="F1814" s="2">
        <v>1.03</v>
      </c>
      <c r="G1814" s="2">
        <v>1.21</v>
      </c>
      <c r="H1814" s="2">
        <v>0.36</v>
      </c>
      <c r="I1814" s="2">
        <v>0.82</v>
      </c>
      <c r="J1814" s="2">
        <v>0.17</v>
      </c>
      <c r="K1814">
        <v>4</v>
      </c>
      <c r="L1814" s="20"/>
    </row>
    <row r="1815" spans="1:13" x14ac:dyDescent="0.2">
      <c r="A1815" t="s">
        <v>164</v>
      </c>
      <c r="B1815" t="str">
        <f>VLOOKUP(A1815,MasterTutor!A:E,4,FALSE)</f>
        <v>Advanced</v>
      </c>
      <c r="C1815" t="str">
        <f>VLOOKUP(A1815,MasterTutor!A:E,3,FALSE)</f>
        <v>Professional</v>
      </c>
      <c r="D1815" t="str">
        <f>VLOOKUP(A1815,MasterTutor!A:E,2,FALSE)</f>
        <v>Annelies de Groot</v>
      </c>
      <c r="E1815" t="s">
        <v>375</v>
      </c>
      <c r="F1815" s="2">
        <v>1.28</v>
      </c>
      <c r="G1815" s="2">
        <v>1.07</v>
      </c>
      <c r="H1815" s="2">
        <v>0.91</v>
      </c>
      <c r="I1815" s="2">
        <v>0.8</v>
      </c>
      <c r="J1815" s="2">
        <v>7.0000000000000007E-2</v>
      </c>
      <c r="K1815">
        <v>6</v>
      </c>
      <c r="L1815" s="19" t="s">
        <v>213</v>
      </c>
      <c r="M1815" s="21">
        <v>0.5</v>
      </c>
    </row>
    <row r="1816" spans="1:13" x14ac:dyDescent="0.2">
      <c r="A1816" t="s">
        <v>165</v>
      </c>
      <c r="B1816" t="str">
        <f>VLOOKUP(A1816,MasterTutor!A:E,4,FALSE)</f>
        <v>Advanced</v>
      </c>
      <c r="C1816" t="str">
        <f>VLOOKUP(A1816,MasterTutor!A:E,3,FALSE)</f>
        <v>Adjunct</v>
      </c>
      <c r="D1816" t="str">
        <f>VLOOKUP(A1816,MasterTutor!A:E,2,FALSE)</f>
        <v>Ela Cross</v>
      </c>
      <c r="E1816" t="s">
        <v>375</v>
      </c>
      <c r="F1816" s="2">
        <v>1.01</v>
      </c>
      <c r="G1816" s="2">
        <v>1.36</v>
      </c>
      <c r="H1816" s="2">
        <v>0.98</v>
      </c>
      <c r="I1816" s="2">
        <v>0.99</v>
      </c>
      <c r="J1816" s="2">
        <v>0.95</v>
      </c>
      <c r="K1816">
        <v>11</v>
      </c>
      <c r="L1816" s="19" t="s">
        <v>267</v>
      </c>
      <c r="M1816" s="21">
        <v>0</v>
      </c>
    </row>
    <row r="1817" spans="1:13" x14ac:dyDescent="0.2">
      <c r="A1817" t="s">
        <v>166</v>
      </c>
      <c r="B1817" t="str">
        <f>VLOOKUP(A1817,MasterTutor!A:E,4,FALSE)</f>
        <v>Distinguished</v>
      </c>
      <c r="C1817" t="str">
        <f>VLOOKUP(A1817,MasterTutor!A:E,3,FALSE)</f>
        <v>Adjunct</v>
      </c>
      <c r="D1817" t="str">
        <f>VLOOKUP(A1817,MasterTutor!A:E,2,FALSE)</f>
        <v>Annelies de Groot</v>
      </c>
      <c r="E1817" t="s">
        <v>375</v>
      </c>
      <c r="F1817" s="2">
        <v>0.81</v>
      </c>
      <c r="G1817" s="2">
        <v>1.1399999999999999</v>
      </c>
      <c r="H1817" s="2">
        <v>1</v>
      </c>
      <c r="I1817" s="2">
        <v>0.91</v>
      </c>
      <c r="J1817" s="2">
        <v>0.28999999999999998</v>
      </c>
      <c r="K1817">
        <v>1</v>
      </c>
      <c r="L1817" s="20"/>
    </row>
    <row r="1818" spans="1:13" x14ac:dyDescent="0.2">
      <c r="A1818" t="s">
        <v>167</v>
      </c>
      <c r="B1818" t="str">
        <f>VLOOKUP(A1818,MasterTutor!A:E,4,FALSE)</f>
        <v>Advanced</v>
      </c>
      <c r="C1818" t="str">
        <f>VLOOKUP(A1818,MasterTutor!A:E,3,FALSE)</f>
        <v>Adjunct</v>
      </c>
      <c r="D1818" t="str">
        <f>VLOOKUP(A1818,MasterTutor!A:E,2,FALSE)</f>
        <v>Ela Cross</v>
      </c>
      <c r="E1818" t="s">
        <v>375</v>
      </c>
      <c r="F1818" s="2">
        <v>0.55000000000000004</v>
      </c>
      <c r="G1818" s="2">
        <v>1.01</v>
      </c>
      <c r="H1818" s="2">
        <v>1</v>
      </c>
      <c r="I1818" s="2">
        <v>1</v>
      </c>
      <c r="J1818" s="2">
        <v>0.83</v>
      </c>
      <c r="K1818">
        <v>2</v>
      </c>
      <c r="L1818" s="19" t="s">
        <v>266</v>
      </c>
      <c r="M1818" s="21">
        <v>0</v>
      </c>
    </row>
    <row r="1819" spans="1:13" x14ac:dyDescent="0.2">
      <c r="A1819" t="s">
        <v>168</v>
      </c>
      <c r="B1819" t="str">
        <f>VLOOKUP(A1819,MasterTutor!A:E,4,FALSE)</f>
        <v>Advanced</v>
      </c>
      <c r="C1819" t="str">
        <f>VLOOKUP(A1819,MasterTutor!A:E,3,FALSE)</f>
        <v>Adjunct</v>
      </c>
      <c r="D1819" t="str">
        <f>VLOOKUP(A1819,MasterTutor!A:E,2,FALSE)</f>
        <v>Kristin Haase-Alvey</v>
      </c>
      <c r="E1819" t="s">
        <v>375</v>
      </c>
      <c r="F1819" s="2">
        <v>0.48</v>
      </c>
      <c r="G1819" s="2">
        <v>1.01</v>
      </c>
      <c r="H1819" s="2">
        <v>1</v>
      </c>
      <c r="I1819" s="2">
        <v>1</v>
      </c>
      <c r="J1819" s="2">
        <v>0.56000000000000005</v>
      </c>
      <c r="K1819">
        <v>11</v>
      </c>
      <c r="L1819" s="20"/>
    </row>
    <row r="1820" spans="1:13" x14ac:dyDescent="0.2">
      <c r="A1820" t="s">
        <v>304</v>
      </c>
      <c r="B1820" t="str">
        <f>VLOOKUP(A1820,MasterTutor!A:E,4,FALSE)</f>
        <v>Advanced</v>
      </c>
      <c r="C1820" t="str">
        <f>VLOOKUP(A1820,MasterTutor!A:E,3,FALSE)</f>
        <v>Professional</v>
      </c>
      <c r="D1820" t="str">
        <f>VLOOKUP(A1820,MasterTutor!A:E,2,FALSE)</f>
        <v>Kristin Haase-Alvey</v>
      </c>
      <c r="E1820" t="s">
        <v>375</v>
      </c>
      <c r="F1820" s="2">
        <v>0.79</v>
      </c>
      <c r="G1820" s="2">
        <v>1.08</v>
      </c>
      <c r="H1820" s="2">
        <v>0.94</v>
      </c>
      <c r="I1820" s="2">
        <v>0.98</v>
      </c>
      <c r="J1820" s="2">
        <v>1</v>
      </c>
      <c r="K1820">
        <v>4</v>
      </c>
      <c r="L1820" s="19" t="s">
        <v>234</v>
      </c>
      <c r="M1820" s="21">
        <v>1</v>
      </c>
    </row>
    <row r="1821" spans="1:13" x14ac:dyDescent="0.2">
      <c r="A1821" t="s">
        <v>170</v>
      </c>
      <c r="B1821" t="str">
        <f>VLOOKUP(A1821,MasterTutor!A:E,4,FALSE)</f>
        <v>Advanced</v>
      </c>
      <c r="C1821" t="str">
        <f>VLOOKUP(A1821,MasterTutor!A:E,3,FALSE)</f>
        <v>Professional</v>
      </c>
      <c r="D1821" t="str">
        <f>VLOOKUP(A1821,MasterTutor!A:E,2,FALSE)</f>
        <v>Ela Cross</v>
      </c>
      <c r="E1821" t="s">
        <v>375</v>
      </c>
      <c r="F1821" s="2">
        <v>0.9</v>
      </c>
      <c r="G1821" s="2">
        <v>1.1299999999999999</v>
      </c>
      <c r="H1821" s="2">
        <v>0.95</v>
      </c>
      <c r="I1821" s="2">
        <v>0.89</v>
      </c>
      <c r="J1821" s="2">
        <v>0.23</v>
      </c>
      <c r="K1821">
        <v>9</v>
      </c>
      <c r="L1821" s="19" t="s">
        <v>262</v>
      </c>
      <c r="M1821" s="21">
        <v>0.25</v>
      </c>
    </row>
    <row r="1822" spans="1:13" x14ac:dyDescent="0.2">
      <c r="A1822" t="s">
        <v>305</v>
      </c>
      <c r="B1822" t="str">
        <f>VLOOKUP(A1822,MasterTutor!A:E,4,FALSE)</f>
        <v>Advanced</v>
      </c>
      <c r="C1822" t="str">
        <f>VLOOKUP(A1822,MasterTutor!A:E,3,FALSE)</f>
        <v>Professional</v>
      </c>
      <c r="D1822" t="str">
        <f>VLOOKUP(A1822,MasterTutor!A:E,2,FALSE)</f>
        <v>Ian Plamondon</v>
      </c>
      <c r="E1822" t="s">
        <v>375</v>
      </c>
      <c r="F1822" s="2">
        <v>0.76</v>
      </c>
      <c r="G1822" s="2">
        <v>1.01</v>
      </c>
      <c r="H1822" s="2">
        <v>0.99</v>
      </c>
      <c r="I1822" s="2">
        <v>0.94</v>
      </c>
      <c r="J1822" s="2">
        <v>0.15</v>
      </c>
      <c r="K1822">
        <v>5</v>
      </c>
      <c r="L1822" s="19" t="s">
        <v>307</v>
      </c>
      <c r="M1822" s="21">
        <v>0.28999999999999998</v>
      </c>
    </row>
    <row r="1823" spans="1:13" x14ac:dyDescent="0.2">
      <c r="A1823" t="s">
        <v>171</v>
      </c>
      <c r="B1823" t="str">
        <f>VLOOKUP(A1823,MasterTutor!A:E,4,FALSE)</f>
        <v>Advanced</v>
      </c>
      <c r="C1823" t="str">
        <f>VLOOKUP(A1823,MasterTutor!A:E,3,FALSE)</f>
        <v>Adjunct</v>
      </c>
      <c r="D1823" t="str">
        <f>VLOOKUP(A1823,MasterTutor!A:E,2,FALSE)</f>
        <v>Annelies de Groot</v>
      </c>
      <c r="E1823" t="s">
        <v>375</v>
      </c>
      <c r="F1823" s="2">
        <v>0.42</v>
      </c>
      <c r="G1823" s="2">
        <v>1.1599999999999999</v>
      </c>
      <c r="H1823" s="2">
        <v>0.95</v>
      </c>
      <c r="I1823" s="2">
        <v>1</v>
      </c>
      <c r="J1823" s="2">
        <v>0.5</v>
      </c>
      <c r="K1823">
        <v>1</v>
      </c>
      <c r="L1823" s="20"/>
    </row>
    <row r="1824" spans="1:13" x14ac:dyDescent="0.2">
      <c r="A1824" t="s">
        <v>308</v>
      </c>
      <c r="B1824" t="str">
        <f>VLOOKUP(A1824,MasterTutor!A:E,4,FALSE)</f>
        <v>Advanced</v>
      </c>
      <c r="C1824" t="str">
        <f>VLOOKUP(A1824,MasterTutor!A:E,3,FALSE)</f>
        <v>Professional</v>
      </c>
      <c r="D1824" t="str">
        <f>VLOOKUP(A1824,MasterTutor!A:E,2,FALSE)</f>
        <v>Annelies de Groot</v>
      </c>
      <c r="E1824" t="s">
        <v>375</v>
      </c>
      <c r="F1824" s="2">
        <v>0.79</v>
      </c>
      <c r="G1824" s="2">
        <v>1.1200000000000001</v>
      </c>
      <c r="H1824" s="2">
        <v>0.99</v>
      </c>
      <c r="I1824" s="2">
        <v>0.98</v>
      </c>
      <c r="J1824" s="2">
        <v>0.8</v>
      </c>
      <c r="K1824">
        <v>5</v>
      </c>
      <c r="L1824" s="19" t="s">
        <v>380</v>
      </c>
      <c r="M1824" s="21">
        <v>0.75</v>
      </c>
    </row>
    <row r="1825" spans="1:13" x14ac:dyDescent="0.2">
      <c r="A1825" t="s">
        <v>310</v>
      </c>
      <c r="B1825" t="str">
        <f>VLOOKUP(A1825,MasterTutor!A:E,4,FALSE)</f>
        <v>Advanced</v>
      </c>
      <c r="C1825" t="str">
        <f>VLOOKUP(A1825,MasterTutor!A:E,3,FALSE)</f>
        <v>Professional</v>
      </c>
      <c r="D1825" t="str">
        <f>VLOOKUP(A1825,MasterTutor!A:E,2,FALSE)</f>
        <v>Ela Cross</v>
      </c>
      <c r="E1825" t="s">
        <v>375</v>
      </c>
      <c r="F1825" s="2">
        <v>0.79</v>
      </c>
      <c r="G1825" s="2">
        <v>1.24</v>
      </c>
      <c r="H1825" s="2">
        <v>0.97</v>
      </c>
      <c r="I1825" s="2">
        <v>0.98</v>
      </c>
      <c r="J1825" s="2">
        <v>0.73</v>
      </c>
      <c r="K1825">
        <v>3</v>
      </c>
      <c r="L1825" s="19" t="s">
        <v>326</v>
      </c>
      <c r="M1825" s="21">
        <v>0.63</v>
      </c>
    </row>
    <row r="1826" spans="1:13" x14ac:dyDescent="0.2">
      <c r="A1826" t="s">
        <v>312</v>
      </c>
      <c r="B1826" t="str">
        <f>VLOOKUP(A1826,MasterTutor!A:E,4,FALSE)</f>
        <v>Advanced</v>
      </c>
      <c r="C1826" t="str">
        <f>VLOOKUP(A1826,MasterTutor!A:E,3,FALSE)</f>
        <v>Professional</v>
      </c>
      <c r="D1826" t="str">
        <f>VLOOKUP(A1826,MasterTutor!A:E,2,FALSE)</f>
        <v>Ela Cross</v>
      </c>
      <c r="E1826" t="s">
        <v>375</v>
      </c>
      <c r="F1826" s="2">
        <v>0.95</v>
      </c>
      <c r="G1826" s="2">
        <v>1.42</v>
      </c>
      <c r="H1826" s="2">
        <v>0.99</v>
      </c>
      <c r="I1826" s="2">
        <v>0.77</v>
      </c>
      <c r="J1826" s="2">
        <v>0.4</v>
      </c>
      <c r="K1826">
        <v>3</v>
      </c>
      <c r="L1826" s="19" t="s">
        <v>275</v>
      </c>
      <c r="M1826" s="21">
        <v>0.2</v>
      </c>
    </row>
    <row r="1827" spans="1:13" x14ac:dyDescent="0.2">
      <c r="A1827" t="s">
        <v>175</v>
      </c>
      <c r="B1827" t="str">
        <f>VLOOKUP(A1827,MasterTutor!A:E,4,FALSE)</f>
        <v>Distinguished</v>
      </c>
      <c r="C1827" t="str">
        <f>VLOOKUP(A1827,MasterTutor!A:E,3,FALSE)</f>
        <v>Adjunct</v>
      </c>
      <c r="D1827" t="str">
        <f>VLOOKUP(A1827,MasterTutor!A:E,2,FALSE)</f>
        <v>Annelies de Groot</v>
      </c>
      <c r="E1827" t="s">
        <v>375</v>
      </c>
      <c r="F1827" s="2">
        <v>0.49</v>
      </c>
      <c r="G1827" s="2">
        <v>1.02</v>
      </c>
      <c r="H1827" s="2">
        <v>0.83</v>
      </c>
      <c r="I1827" s="2">
        <v>0.91</v>
      </c>
      <c r="J1827" s="2">
        <v>0.88</v>
      </c>
      <c r="K1827">
        <v>0</v>
      </c>
      <c r="L1827" s="19" t="s">
        <v>219</v>
      </c>
      <c r="M1827" s="21">
        <v>0</v>
      </c>
    </row>
    <row r="1828" spans="1:13" x14ac:dyDescent="0.2">
      <c r="A1828" t="s">
        <v>176</v>
      </c>
      <c r="B1828" t="str">
        <f>VLOOKUP(A1828,MasterTutor!A:E,4,FALSE)</f>
        <v>Premium</v>
      </c>
      <c r="C1828" t="str">
        <f>VLOOKUP(A1828,MasterTutor!A:E,3,FALSE)</f>
        <v>Professional</v>
      </c>
      <c r="D1828" t="str">
        <f>VLOOKUP(A1828,MasterTutor!A:E,2,FALSE)</f>
        <v>Ian Plamondon</v>
      </c>
      <c r="E1828" t="s">
        <v>375</v>
      </c>
      <c r="F1828" s="2">
        <v>1</v>
      </c>
      <c r="G1828" s="2">
        <v>1.25</v>
      </c>
      <c r="H1828" s="2">
        <v>1</v>
      </c>
      <c r="I1828" s="2">
        <v>1</v>
      </c>
      <c r="J1828" s="2">
        <v>0.81</v>
      </c>
      <c r="K1828">
        <v>0</v>
      </c>
      <c r="L1828" s="20"/>
    </row>
    <row r="1829" spans="1:13" x14ac:dyDescent="0.2">
      <c r="A1829" t="s">
        <v>362</v>
      </c>
      <c r="B1829" t="e">
        <f>VLOOKUP(A1829,MasterTutor!A:E,4,FALSE)</f>
        <v>#N/A</v>
      </c>
      <c r="C1829" t="e">
        <f>VLOOKUP(A1829,MasterTutor!A:E,3,FALSE)</f>
        <v>#N/A</v>
      </c>
      <c r="D1829" t="e">
        <f>VLOOKUP(A1829,MasterTutor!A:E,2,FALSE)</f>
        <v>#N/A</v>
      </c>
      <c r="E1829" t="s">
        <v>375</v>
      </c>
      <c r="F1829" s="2">
        <v>0.73</v>
      </c>
      <c r="G1829" s="2">
        <v>1</v>
      </c>
      <c r="H1829" s="2">
        <v>1</v>
      </c>
      <c r="I1829" s="2">
        <v>0.88</v>
      </c>
      <c r="J1829" s="2">
        <v>0.17</v>
      </c>
      <c r="K1829">
        <v>7</v>
      </c>
      <c r="L1829" s="19" t="s">
        <v>219</v>
      </c>
      <c r="M1829" s="21">
        <v>0</v>
      </c>
    </row>
    <row r="1830" spans="1:13" x14ac:dyDescent="0.2">
      <c r="A1830" t="s">
        <v>314</v>
      </c>
      <c r="B1830" t="str">
        <f>VLOOKUP(A1830,MasterTutor!A:E,4,FALSE)</f>
        <v>Advanced</v>
      </c>
      <c r="C1830" t="str">
        <f>VLOOKUP(A1830,MasterTutor!A:E,3,FALSE)</f>
        <v>Professional</v>
      </c>
      <c r="D1830" t="str">
        <f>VLOOKUP(A1830,MasterTutor!A:E,2,FALSE)</f>
        <v>Ian Plamondon</v>
      </c>
      <c r="E1830" t="s">
        <v>375</v>
      </c>
      <c r="F1830" s="2">
        <v>0.68</v>
      </c>
      <c r="G1830" s="2">
        <v>0.9</v>
      </c>
      <c r="H1830" s="2">
        <v>1</v>
      </c>
      <c r="I1830" s="2">
        <v>1</v>
      </c>
      <c r="J1830" s="2">
        <v>0.5</v>
      </c>
      <c r="K1830">
        <v>5</v>
      </c>
      <c r="L1830" s="19" t="s">
        <v>227</v>
      </c>
      <c r="M1830" s="21">
        <v>1</v>
      </c>
    </row>
    <row r="1831" spans="1:13" x14ac:dyDescent="0.2">
      <c r="A1831" t="s">
        <v>179</v>
      </c>
      <c r="B1831" t="str">
        <f>VLOOKUP(A1831,MasterTutor!A:E,4,FALSE)</f>
        <v>Advanced</v>
      </c>
      <c r="C1831" t="str">
        <f>VLOOKUP(A1831,MasterTutor!A:E,3,FALSE)</f>
        <v>Adjunct</v>
      </c>
      <c r="D1831" t="str">
        <f>VLOOKUP(A1831,MasterTutor!A:E,2,FALSE)</f>
        <v>Ela Cross</v>
      </c>
      <c r="E1831" t="s">
        <v>375</v>
      </c>
      <c r="F1831" s="2">
        <v>0.65</v>
      </c>
      <c r="G1831" s="2">
        <v>1</v>
      </c>
      <c r="H1831" s="2">
        <v>0.97</v>
      </c>
      <c r="I1831" s="2">
        <v>0.94</v>
      </c>
      <c r="J1831" s="2">
        <v>1</v>
      </c>
      <c r="K1831">
        <v>3</v>
      </c>
      <c r="L1831" s="19" t="s">
        <v>266</v>
      </c>
      <c r="M1831" s="21">
        <v>0</v>
      </c>
    </row>
    <row r="1832" spans="1:13" x14ac:dyDescent="0.2">
      <c r="A1832" t="s">
        <v>180</v>
      </c>
      <c r="B1832" t="str">
        <f>VLOOKUP(A1832,MasterTutor!A:E,4,FALSE)</f>
        <v>Premium</v>
      </c>
      <c r="C1832" t="str">
        <f>VLOOKUP(A1832,MasterTutor!A:E,3,FALSE)</f>
        <v>Adjunct</v>
      </c>
      <c r="D1832" t="str">
        <f>VLOOKUP(A1832,MasterTutor!A:E,2,FALSE)</f>
        <v>Geoff St. Marie</v>
      </c>
      <c r="E1832" t="s">
        <v>375</v>
      </c>
      <c r="F1832" s="2">
        <v>0.55000000000000004</v>
      </c>
      <c r="G1832" s="2">
        <v>1.27</v>
      </c>
      <c r="H1832" s="2">
        <v>1</v>
      </c>
      <c r="I1832" s="2">
        <v>0.94</v>
      </c>
      <c r="J1832" s="2">
        <v>0.56999999999999995</v>
      </c>
      <c r="K1832">
        <v>0</v>
      </c>
      <c r="L1832" s="19" t="s">
        <v>219</v>
      </c>
      <c r="M1832" s="21">
        <v>0</v>
      </c>
    </row>
    <row r="1833" spans="1:13" x14ac:dyDescent="0.2">
      <c r="A1833" t="s">
        <v>181</v>
      </c>
      <c r="B1833" t="str">
        <f>VLOOKUP(A1833,MasterTutor!A:E,4,FALSE)</f>
        <v>Advanced</v>
      </c>
      <c r="C1833" t="str">
        <f>VLOOKUP(A1833,MasterTutor!A:E,3,FALSE)</f>
        <v>Professional</v>
      </c>
      <c r="D1833" t="str">
        <f>VLOOKUP(A1833,MasterTutor!A:E,2,FALSE)</f>
        <v>Ela Cross</v>
      </c>
      <c r="E1833" t="s">
        <v>375</v>
      </c>
      <c r="F1833" s="2">
        <v>0.87</v>
      </c>
      <c r="G1833" s="2">
        <v>1.07</v>
      </c>
      <c r="H1833" s="2">
        <v>0.95</v>
      </c>
      <c r="I1833" s="2">
        <v>0.97</v>
      </c>
      <c r="J1833" s="2">
        <v>0.88</v>
      </c>
      <c r="K1833">
        <v>5</v>
      </c>
      <c r="L1833" s="19" t="s">
        <v>380</v>
      </c>
      <c r="M1833" s="21">
        <v>0.75</v>
      </c>
    </row>
    <row r="1834" spans="1:13" x14ac:dyDescent="0.2">
      <c r="A1834" t="s">
        <v>182</v>
      </c>
      <c r="B1834" t="str">
        <f>VLOOKUP(A1834,MasterTutor!A:E,4,FALSE)</f>
        <v>Premium</v>
      </c>
      <c r="C1834" t="str">
        <f>VLOOKUP(A1834,MasterTutor!A:E,3,FALSE)</f>
        <v>Professional</v>
      </c>
      <c r="D1834" t="str">
        <f>VLOOKUP(A1834,MasterTutor!A:E,2,FALSE)</f>
        <v>Annelies de Groot</v>
      </c>
      <c r="E1834" t="s">
        <v>375</v>
      </c>
      <c r="F1834" s="2">
        <v>1.34</v>
      </c>
      <c r="G1834" s="2">
        <v>1.32</v>
      </c>
      <c r="H1834" s="2">
        <v>1</v>
      </c>
      <c r="I1834" s="2">
        <v>0.99</v>
      </c>
      <c r="J1834" s="2">
        <v>0.85</v>
      </c>
      <c r="K1834">
        <v>8</v>
      </c>
      <c r="L1834" s="19" t="s">
        <v>287</v>
      </c>
      <c r="M1834" s="21">
        <v>0.5</v>
      </c>
    </row>
    <row r="1835" spans="1:13" x14ac:dyDescent="0.2">
      <c r="A1835" t="s">
        <v>315</v>
      </c>
      <c r="B1835" t="str">
        <f>VLOOKUP(A1835,MasterTutor!A:E,4,FALSE)</f>
        <v>Advanced</v>
      </c>
      <c r="C1835" t="str">
        <f>VLOOKUP(A1835,MasterTutor!A:E,3,FALSE)</f>
        <v>Professional</v>
      </c>
      <c r="D1835" t="str">
        <f>VLOOKUP(A1835,MasterTutor!A:E,2,FALSE)</f>
        <v>Ela Cross</v>
      </c>
      <c r="E1835" t="s">
        <v>375</v>
      </c>
      <c r="F1835" s="2">
        <v>1.02</v>
      </c>
      <c r="G1835" s="2">
        <v>1.1299999999999999</v>
      </c>
      <c r="H1835" s="2">
        <v>1</v>
      </c>
      <c r="I1835" s="2">
        <v>0.94</v>
      </c>
      <c r="J1835" s="2">
        <v>0.27</v>
      </c>
      <c r="K1835">
        <v>8</v>
      </c>
      <c r="L1835" s="19" t="s">
        <v>275</v>
      </c>
      <c r="M1835" s="21">
        <v>0.2</v>
      </c>
    </row>
    <row r="1836" spans="1:13" x14ac:dyDescent="0.2">
      <c r="A1836" t="s">
        <v>183</v>
      </c>
      <c r="B1836" t="str">
        <f>VLOOKUP(A1836,MasterTutor!A:E,4,FALSE)</f>
        <v>Advanced</v>
      </c>
      <c r="C1836" t="str">
        <f>VLOOKUP(A1836,MasterTutor!A:E,3,FALSE)</f>
        <v>Adjunct</v>
      </c>
      <c r="D1836" t="str">
        <f>VLOOKUP(A1836,MasterTutor!A:E,2,FALSE)</f>
        <v>Annelies de Groot</v>
      </c>
      <c r="E1836" t="s">
        <v>375</v>
      </c>
      <c r="F1836" s="2">
        <v>1.29</v>
      </c>
      <c r="G1836" s="2">
        <v>1.47</v>
      </c>
      <c r="H1836" s="2">
        <v>1</v>
      </c>
      <c r="I1836" s="2">
        <v>1</v>
      </c>
      <c r="J1836" s="2">
        <v>0.92</v>
      </c>
      <c r="K1836">
        <v>8</v>
      </c>
      <c r="L1836" s="20"/>
    </row>
    <row r="1837" spans="1:13" x14ac:dyDescent="0.2">
      <c r="A1837" t="s">
        <v>184</v>
      </c>
      <c r="B1837" t="str">
        <f>VLOOKUP(A1837,MasterTutor!A:E,4,FALSE)</f>
        <v>Advanced</v>
      </c>
      <c r="C1837" t="str">
        <f>VLOOKUP(A1837,MasterTutor!A:E,3,FALSE)</f>
        <v>Adjunct</v>
      </c>
      <c r="D1837" t="str">
        <f>VLOOKUP(A1837,MasterTutor!A:E,2,FALSE)</f>
        <v>Kristin Haase-Alvey</v>
      </c>
      <c r="E1837" t="s">
        <v>375</v>
      </c>
      <c r="F1837" s="2">
        <v>0.33</v>
      </c>
      <c r="G1837" s="2">
        <v>0.78</v>
      </c>
      <c r="H1837" s="2">
        <v>0.79</v>
      </c>
      <c r="I1837" s="2">
        <v>0.82</v>
      </c>
      <c r="J1837" s="2">
        <v>1</v>
      </c>
      <c r="K1837">
        <v>3</v>
      </c>
      <c r="L1837" s="19" t="s">
        <v>215</v>
      </c>
      <c r="M1837" s="21">
        <v>1</v>
      </c>
    </row>
    <row r="1838" spans="1:13" x14ac:dyDescent="0.2">
      <c r="A1838" t="s">
        <v>185</v>
      </c>
      <c r="B1838" t="str">
        <f>VLOOKUP(A1838,MasterTutor!A:E,4,FALSE)</f>
        <v>Distinguished</v>
      </c>
      <c r="C1838" t="str">
        <f>VLOOKUP(A1838,MasterTutor!A:E,3,FALSE)</f>
        <v>Professional</v>
      </c>
      <c r="D1838" t="str">
        <f>VLOOKUP(A1838,MasterTutor!A:E,2,FALSE)</f>
        <v>Ian Plamondon</v>
      </c>
      <c r="E1838" t="s">
        <v>375</v>
      </c>
      <c r="F1838" s="2">
        <v>0.73</v>
      </c>
      <c r="G1838" s="2">
        <v>1</v>
      </c>
      <c r="H1838" s="2">
        <v>0.87</v>
      </c>
      <c r="I1838" s="2">
        <v>0.95</v>
      </c>
      <c r="J1838" s="2">
        <v>0.88</v>
      </c>
      <c r="K1838">
        <v>3</v>
      </c>
      <c r="L1838" s="19" t="s">
        <v>219</v>
      </c>
      <c r="M1838" s="21">
        <v>0</v>
      </c>
    </row>
    <row r="1839" spans="1:13" x14ac:dyDescent="0.2">
      <c r="A1839" t="s">
        <v>186</v>
      </c>
      <c r="B1839" t="str">
        <f>VLOOKUP(A1839,MasterTutor!A:E,4,FALSE)</f>
        <v>Premium</v>
      </c>
      <c r="C1839" t="str">
        <f>VLOOKUP(A1839,MasterTutor!A:E,3,FALSE)</f>
        <v>Adjunct</v>
      </c>
      <c r="D1839" t="str">
        <f>VLOOKUP(A1839,MasterTutor!A:E,2,FALSE)</f>
        <v>Ela Cross</v>
      </c>
      <c r="E1839" t="s">
        <v>375</v>
      </c>
      <c r="F1839" s="2">
        <v>1.04</v>
      </c>
      <c r="G1839" s="2">
        <v>1.36</v>
      </c>
      <c r="H1839" s="2">
        <v>0.98</v>
      </c>
      <c r="I1839" s="2">
        <v>0.82</v>
      </c>
      <c r="J1839" s="2">
        <v>0.54</v>
      </c>
      <c r="K1839">
        <v>0</v>
      </c>
      <c r="L1839" s="20"/>
    </row>
    <row r="1840" spans="1:13" x14ac:dyDescent="0.2">
      <c r="A1840" t="s">
        <v>316</v>
      </c>
      <c r="B1840" t="str">
        <f>VLOOKUP(A1840,MasterTutor!A:E,4,FALSE)</f>
        <v>Advanced</v>
      </c>
      <c r="C1840" t="str">
        <f>VLOOKUP(A1840,MasterTutor!A:E,3,FALSE)</f>
        <v>Professional</v>
      </c>
      <c r="D1840" t="str">
        <f>VLOOKUP(A1840,MasterTutor!A:E,2,FALSE)</f>
        <v>Annelies de Groot</v>
      </c>
      <c r="E1840" t="s">
        <v>375</v>
      </c>
      <c r="F1840" s="2">
        <v>0.91</v>
      </c>
      <c r="G1840" s="2">
        <v>1.02</v>
      </c>
      <c r="H1840" s="2">
        <v>0.92</v>
      </c>
      <c r="I1840" s="2">
        <v>0.6</v>
      </c>
      <c r="J1840" s="2">
        <v>0.17</v>
      </c>
      <c r="K1840">
        <v>5</v>
      </c>
      <c r="L1840" s="19" t="s">
        <v>242</v>
      </c>
      <c r="M1840" s="21">
        <v>0.4</v>
      </c>
    </row>
    <row r="1841" spans="1:13" x14ac:dyDescent="0.2">
      <c r="A1841" t="s">
        <v>187</v>
      </c>
      <c r="B1841" t="str">
        <f>VLOOKUP(A1841,MasterTutor!A:E,4,FALSE)</f>
        <v>Distinguished</v>
      </c>
      <c r="C1841" t="str">
        <f>VLOOKUP(A1841,MasterTutor!A:E,3,FALSE)</f>
        <v>Adjunct</v>
      </c>
      <c r="D1841" t="str">
        <f>VLOOKUP(A1841,MasterTutor!A:E,2,FALSE)</f>
        <v>Ela Cross</v>
      </c>
      <c r="E1841" t="s">
        <v>375</v>
      </c>
      <c r="F1841" s="2">
        <v>0.83</v>
      </c>
      <c r="G1841" s="2">
        <v>1.34</v>
      </c>
      <c r="H1841" s="2">
        <v>0.94</v>
      </c>
      <c r="I1841" s="2">
        <v>1</v>
      </c>
      <c r="J1841" s="2">
        <v>1</v>
      </c>
      <c r="K1841">
        <v>2</v>
      </c>
      <c r="L1841" s="20"/>
    </row>
    <row r="1842" spans="1:13" x14ac:dyDescent="0.2">
      <c r="A1842" t="s">
        <v>188</v>
      </c>
      <c r="B1842" t="str">
        <f>VLOOKUP(A1842,MasterTutor!A:E,4,FALSE)</f>
        <v>Premium</v>
      </c>
      <c r="C1842" t="str">
        <f>VLOOKUP(A1842,MasterTutor!A:E,3,FALSE)</f>
        <v>Professional</v>
      </c>
      <c r="D1842" t="str">
        <f>VLOOKUP(A1842,MasterTutor!A:E,2,FALSE)</f>
        <v>Ian Plamondon</v>
      </c>
      <c r="E1842" t="s">
        <v>375</v>
      </c>
      <c r="F1842" s="2">
        <v>0.55000000000000004</v>
      </c>
      <c r="G1842" s="2">
        <v>1.21</v>
      </c>
      <c r="H1842" s="2">
        <v>1</v>
      </c>
      <c r="I1842" s="2">
        <v>0.97</v>
      </c>
      <c r="J1842" s="2">
        <v>0.92</v>
      </c>
      <c r="K1842">
        <v>5</v>
      </c>
      <c r="L1842" s="19" t="s">
        <v>228</v>
      </c>
      <c r="M1842" s="21">
        <v>0</v>
      </c>
    </row>
    <row r="1843" spans="1:13" x14ac:dyDescent="0.2">
      <c r="A1843" t="s">
        <v>189</v>
      </c>
      <c r="B1843" t="str">
        <f>VLOOKUP(A1843,MasterTutor!A:E,4,FALSE)</f>
        <v>Advanced</v>
      </c>
      <c r="C1843" t="str">
        <f>VLOOKUP(A1843,MasterTutor!A:E,3,FALSE)</f>
        <v>Adjunct</v>
      </c>
      <c r="D1843" t="str">
        <f>VLOOKUP(A1843,MasterTutor!A:E,2,FALSE)</f>
        <v>Annelies de Groot</v>
      </c>
      <c r="E1843" t="s">
        <v>375</v>
      </c>
      <c r="F1843" s="2">
        <v>1.1299999999999999</v>
      </c>
      <c r="G1843" s="2">
        <v>1.51</v>
      </c>
      <c r="H1843" s="2">
        <v>0.92</v>
      </c>
      <c r="I1843" s="2">
        <v>0.95</v>
      </c>
      <c r="J1843" s="2">
        <v>0.92</v>
      </c>
      <c r="K1843">
        <v>8</v>
      </c>
      <c r="L1843" s="19" t="s">
        <v>219</v>
      </c>
      <c r="M1843" s="21">
        <v>0</v>
      </c>
    </row>
    <row r="1844" spans="1:13" x14ac:dyDescent="0.2">
      <c r="A1844" t="s">
        <v>318</v>
      </c>
      <c r="B1844" t="str">
        <f>VLOOKUP(A1844,MasterTutor!A:E,4,FALSE)</f>
        <v>Advanced</v>
      </c>
      <c r="C1844" t="str">
        <f>VLOOKUP(A1844,MasterTutor!A:E,3,FALSE)</f>
        <v>Adjunct</v>
      </c>
      <c r="D1844" t="str">
        <f>VLOOKUP(A1844,MasterTutor!A:E,2,FALSE)</f>
        <v>Ela Cross</v>
      </c>
      <c r="E1844" t="s">
        <v>375</v>
      </c>
      <c r="F1844" s="2">
        <v>1.67</v>
      </c>
      <c r="G1844" s="2">
        <v>2.17</v>
      </c>
      <c r="H1844" s="2">
        <v>0.99</v>
      </c>
      <c r="I1844" s="2">
        <v>0.49</v>
      </c>
      <c r="J1844" s="2">
        <v>0.27</v>
      </c>
      <c r="K1844">
        <v>7</v>
      </c>
      <c r="L1844" s="20"/>
    </row>
    <row r="1845" spans="1:13" x14ac:dyDescent="0.2">
      <c r="A1845" t="s">
        <v>192</v>
      </c>
      <c r="B1845" t="str">
        <f>VLOOKUP(A1845,MasterTutor!A:E,4,FALSE)</f>
        <v>Advanced</v>
      </c>
      <c r="C1845" t="str">
        <f>VLOOKUP(A1845,MasterTutor!A:E,3,FALSE)</f>
        <v>Adjunct</v>
      </c>
      <c r="D1845" t="str">
        <f>VLOOKUP(A1845,MasterTutor!A:E,2,FALSE)</f>
        <v>Ela Cross</v>
      </c>
      <c r="E1845" t="s">
        <v>375</v>
      </c>
      <c r="F1845" s="2">
        <v>1.75</v>
      </c>
      <c r="G1845" s="2">
        <v>1.82</v>
      </c>
      <c r="H1845" s="2">
        <v>0.99</v>
      </c>
      <c r="I1845" s="2">
        <v>1</v>
      </c>
      <c r="J1845" s="2">
        <v>1</v>
      </c>
      <c r="K1845">
        <v>5</v>
      </c>
      <c r="L1845" s="19" t="s">
        <v>243</v>
      </c>
      <c r="M1845" s="21">
        <v>0.33</v>
      </c>
    </row>
    <row r="1846" spans="1:13" x14ac:dyDescent="0.2">
      <c r="A1846" t="s">
        <v>193</v>
      </c>
      <c r="B1846" t="str">
        <f>VLOOKUP(A1846,MasterTutor!A:E,4,FALSE)</f>
        <v>Advanced</v>
      </c>
      <c r="C1846" t="str">
        <f>VLOOKUP(A1846,MasterTutor!A:E,3,FALSE)</f>
        <v>Professional</v>
      </c>
      <c r="D1846" t="str">
        <f>VLOOKUP(A1846,MasterTutor!A:E,2,FALSE)</f>
        <v>Annelies de Groot</v>
      </c>
      <c r="E1846" t="s">
        <v>375</v>
      </c>
      <c r="F1846" s="2">
        <v>0.85</v>
      </c>
      <c r="G1846" s="2">
        <v>1.06</v>
      </c>
      <c r="H1846" s="2">
        <v>0.99</v>
      </c>
      <c r="I1846" s="2">
        <v>0.98</v>
      </c>
      <c r="J1846" s="2">
        <v>0.92</v>
      </c>
      <c r="K1846">
        <v>5</v>
      </c>
      <c r="L1846" s="19" t="s">
        <v>225</v>
      </c>
      <c r="M1846" s="21">
        <v>0.5</v>
      </c>
    </row>
    <row r="1847" spans="1:13" x14ac:dyDescent="0.2">
      <c r="A1847" t="s">
        <v>195</v>
      </c>
      <c r="B1847" t="e">
        <f>VLOOKUP(A1847,MasterTutor!A:E,4,FALSE)</f>
        <v>#N/A</v>
      </c>
      <c r="C1847" t="e">
        <f>VLOOKUP(A1847,MasterTutor!A:E,3,FALSE)</f>
        <v>#N/A</v>
      </c>
      <c r="D1847" t="e">
        <f>VLOOKUP(A1847,MasterTutor!A:E,2,FALSE)</f>
        <v>#N/A</v>
      </c>
      <c r="E1847" t="s">
        <v>375</v>
      </c>
      <c r="F1847" s="2">
        <v>0.36</v>
      </c>
      <c r="G1847" s="2">
        <v>0.99</v>
      </c>
      <c r="H1847" s="2">
        <v>0.89</v>
      </c>
      <c r="I1847" s="2">
        <v>0.87</v>
      </c>
      <c r="J1847" s="2">
        <v>1</v>
      </c>
      <c r="K1847">
        <v>1</v>
      </c>
      <c r="L1847" s="19" t="s">
        <v>219</v>
      </c>
      <c r="M1847" s="21">
        <v>0</v>
      </c>
    </row>
    <row r="1848" spans="1:13" x14ac:dyDescent="0.2">
      <c r="A1848" t="s">
        <v>196</v>
      </c>
      <c r="B1848" t="str">
        <f>VLOOKUP(A1848,MasterTutor!A:E,4,FALSE)</f>
        <v>Advanced</v>
      </c>
      <c r="C1848" t="str">
        <f>VLOOKUP(A1848,MasterTutor!A:E,3,FALSE)</f>
        <v>Adjunct</v>
      </c>
      <c r="D1848" t="str">
        <f>VLOOKUP(A1848,MasterTutor!A:E,2,FALSE)</f>
        <v>Kristin Haase-Alvey</v>
      </c>
      <c r="E1848" t="s">
        <v>375</v>
      </c>
      <c r="F1848" s="2">
        <v>0.71</v>
      </c>
      <c r="G1848" s="2">
        <v>1.27</v>
      </c>
      <c r="H1848" s="2">
        <v>1</v>
      </c>
      <c r="I1848" s="2">
        <v>0.9</v>
      </c>
      <c r="J1848" s="2">
        <v>0.71</v>
      </c>
      <c r="K1848">
        <v>3</v>
      </c>
      <c r="L1848" s="19" t="s">
        <v>227</v>
      </c>
      <c r="M1848" s="21">
        <v>1</v>
      </c>
    </row>
    <row r="1849" spans="1:13" x14ac:dyDescent="0.2">
      <c r="A1849" t="s">
        <v>197</v>
      </c>
      <c r="B1849" t="str">
        <f>VLOOKUP(A1849,MasterTutor!A:E,4,FALSE)</f>
        <v>Premium</v>
      </c>
      <c r="C1849" t="str">
        <f>VLOOKUP(A1849,MasterTutor!A:E,3,FALSE)</f>
        <v>Professional</v>
      </c>
      <c r="D1849" t="str">
        <f>VLOOKUP(A1849,MasterTutor!A:E,2,FALSE)</f>
        <v>Jessica Milner</v>
      </c>
      <c r="E1849" t="s">
        <v>375</v>
      </c>
      <c r="F1849" s="2">
        <v>0.76</v>
      </c>
      <c r="G1849" s="2">
        <v>1.25</v>
      </c>
      <c r="H1849" s="2">
        <v>0.99</v>
      </c>
      <c r="I1849" s="2">
        <v>1</v>
      </c>
      <c r="J1849" s="2">
        <v>0.93</v>
      </c>
      <c r="K1849">
        <v>2</v>
      </c>
      <c r="L1849" s="19" t="s">
        <v>227</v>
      </c>
      <c r="M1849" s="21">
        <v>1</v>
      </c>
    </row>
    <row r="1850" spans="1:13" x14ac:dyDescent="0.2">
      <c r="A1850" t="s">
        <v>319</v>
      </c>
      <c r="B1850" t="str">
        <f>VLOOKUP(A1850,MasterTutor!A:E,4,FALSE)</f>
        <v>Advanced</v>
      </c>
      <c r="C1850" t="str">
        <f>VLOOKUP(A1850,MasterTutor!A:E,3,FALSE)</f>
        <v>Adjunct</v>
      </c>
      <c r="D1850" t="str">
        <f>VLOOKUP(A1850,MasterTutor!A:E,2,FALSE)</f>
        <v>Ela Cross</v>
      </c>
      <c r="E1850" t="s">
        <v>375</v>
      </c>
      <c r="F1850" s="2">
        <v>0.69</v>
      </c>
      <c r="G1850" s="2">
        <v>1.1100000000000001</v>
      </c>
      <c r="H1850" s="2">
        <v>1</v>
      </c>
      <c r="I1850" s="2">
        <v>0.92</v>
      </c>
      <c r="J1850" s="2">
        <v>0.86</v>
      </c>
      <c r="K1850">
        <v>3</v>
      </c>
      <c r="L1850" s="19" t="s">
        <v>262</v>
      </c>
      <c r="M1850" s="21">
        <v>0.25</v>
      </c>
    </row>
    <row r="1851" spans="1:13" x14ac:dyDescent="0.2">
      <c r="A1851" t="s">
        <v>198</v>
      </c>
      <c r="B1851" t="str">
        <f>VLOOKUP(A1851,MasterTutor!A:E,4,FALSE)</f>
        <v>Distinguished</v>
      </c>
      <c r="C1851" t="str">
        <f>VLOOKUP(A1851,MasterTutor!A:E,3,FALSE)</f>
        <v>Adjunct</v>
      </c>
      <c r="D1851" t="str">
        <f>VLOOKUP(A1851,MasterTutor!A:E,2,FALSE)</f>
        <v>Ian Plamondon</v>
      </c>
      <c r="E1851" t="s">
        <v>375</v>
      </c>
      <c r="F1851" s="2">
        <v>1.1499999999999999</v>
      </c>
      <c r="G1851" s="2">
        <v>1.4</v>
      </c>
      <c r="H1851" s="2">
        <v>1</v>
      </c>
      <c r="I1851" s="2">
        <v>1</v>
      </c>
      <c r="J1851" s="2">
        <v>0.8</v>
      </c>
      <c r="K1851">
        <v>0</v>
      </c>
      <c r="L1851" s="19" t="s">
        <v>215</v>
      </c>
      <c r="M1851" s="21">
        <v>1</v>
      </c>
    </row>
    <row r="1852" spans="1:13" x14ac:dyDescent="0.2">
      <c r="A1852" t="s">
        <v>200</v>
      </c>
      <c r="B1852" t="e">
        <f>VLOOKUP(A1852,MasterTutor!A:E,4,FALSE)</f>
        <v>#N/A</v>
      </c>
      <c r="C1852" t="e">
        <f>VLOOKUP(A1852,MasterTutor!A:E,3,FALSE)</f>
        <v>#N/A</v>
      </c>
      <c r="D1852" t="e">
        <f>VLOOKUP(A1852,MasterTutor!A:E,2,FALSE)</f>
        <v>#N/A</v>
      </c>
      <c r="E1852" t="s">
        <v>375</v>
      </c>
      <c r="F1852" s="2">
        <v>0</v>
      </c>
      <c r="G1852" s="2">
        <v>0.88</v>
      </c>
      <c r="H1852" s="2">
        <v>0</v>
      </c>
      <c r="I1852" s="2">
        <v>0</v>
      </c>
      <c r="J1852" s="2">
        <v>0</v>
      </c>
      <c r="K1852">
        <v>0</v>
      </c>
      <c r="L1852" s="20"/>
    </row>
    <row r="1853" spans="1:13" x14ac:dyDescent="0.2">
      <c r="A1853" t="s">
        <v>201</v>
      </c>
      <c r="B1853" t="str">
        <f>VLOOKUP(A1853,MasterTutor!A:E,4,FALSE)</f>
        <v>Distinguished</v>
      </c>
      <c r="C1853" t="str">
        <f>VLOOKUP(A1853,MasterTutor!A:E,3,FALSE)</f>
        <v>Professional</v>
      </c>
      <c r="D1853" t="str">
        <f>VLOOKUP(A1853,MasterTutor!A:E,2,FALSE)</f>
        <v>Ian Plamondon</v>
      </c>
      <c r="E1853" t="s">
        <v>375</v>
      </c>
      <c r="F1853" s="2">
        <v>0.67</v>
      </c>
      <c r="G1853" s="2">
        <v>1.25</v>
      </c>
      <c r="H1853" s="2">
        <v>1</v>
      </c>
      <c r="I1853" s="2">
        <v>0.98</v>
      </c>
      <c r="J1853" s="2">
        <v>0.64</v>
      </c>
      <c r="K1853">
        <v>2</v>
      </c>
      <c r="L1853" s="19" t="s">
        <v>225</v>
      </c>
      <c r="M1853" s="21">
        <v>0.5</v>
      </c>
    </row>
    <row r="1854" spans="1:13" x14ac:dyDescent="0.2">
      <c r="A1854" t="s">
        <v>320</v>
      </c>
      <c r="B1854" t="str">
        <f>VLOOKUP(A1854,MasterTutor!A:E,4,FALSE)</f>
        <v>Advanced</v>
      </c>
      <c r="C1854" t="str">
        <f>VLOOKUP(A1854,MasterTutor!A:E,3,FALSE)</f>
        <v>Professional</v>
      </c>
      <c r="D1854" t="str">
        <f>VLOOKUP(A1854,MasterTutor!A:E,2,FALSE)</f>
        <v>Kristin Haase-Alvey</v>
      </c>
      <c r="E1854" t="s">
        <v>375</v>
      </c>
      <c r="F1854" s="2">
        <v>0.7</v>
      </c>
      <c r="G1854" s="2">
        <v>1.02</v>
      </c>
      <c r="H1854" s="2">
        <v>0.96</v>
      </c>
      <c r="I1854" s="2">
        <v>0.96</v>
      </c>
      <c r="J1854" s="2">
        <v>1</v>
      </c>
      <c r="K1854">
        <v>1</v>
      </c>
      <c r="L1854" s="19" t="s">
        <v>218</v>
      </c>
      <c r="M1854" s="21">
        <v>0.66</v>
      </c>
    </row>
    <row r="1855" spans="1:13" x14ac:dyDescent="0.2">
      <c r="A1855" t="s">
        <v>202</v>
      </c>
      <c r="B1855" t="str">
        <f>VLOOKUP(A1855,MasterTutor!A:E,4,FALSE)</f>
        <v>Advanced</v>
      </c>
      <c r="C1855" t="str">
        <f>VLOOKUP(A1855,MasterTutor!A:E,3,FALSE)</f>
        <v>Professional</v>
      </c>
      <c r="D1855" t="str">
        <f>VLOOKUP(A1855,MasterTutor!A:E,2,FALSE)</f>
        <v>Annelies de Groot</v>
      </c>
      <c r="E1855" t="s">
        <v>375</v>
      </c>
      <c r="F1855" s="2">
        <v>1.1599999999999999</v>
      </c>
      <c r="G1855" s="2">
        <v>1.31</v>
      </c>
      <c r="H1855" s="2">
        <v>0.9</v>
      </c>
      <c r="I1855" s="2">
        <v>1</v>
      </c>
      <c r="J1855" s="2">
        <v>0.9</v>
      </c>
      <c r="K1855">
        <v>8</v>
      </c>
      <c r="L1855" s="19" t="s">
        <v>244</v>
      </c>
      <c r="M1855" s="21">
        <v>0.8</v>
      </c>
    </row>
    <row r="1856" spans="1:13" x14ac:dyDescent="0.2">
      <c r="A1856" t="s">
        <v>203</v>
      </c>
      <c r="B1856" t="str">
        <f>VLOOKUP(A1856,MasterTutor!A:E,4,FALSE)</f>
        <v>Premium</v>
      </c>
      <c r="C1856" t="str">
        <f>VLOOKUP(A1856,MasterTutor!A:E,3,FALSE)</f>
        <v>Professional</v>
      </c>
      <c r="D1856" t="str">
        <f>VLOOKUP(A1856,MasterTutor!A:E,2,FALSE)</f>
        <v>Ian Plamondon</v>
      </c>
      <c r="E1856" t="s">
        <v>375</v>
      </c>
      <c r="F1856" s="2">
        <v>0.82</v>
      </c>
      <c r="G1856" s="2">
        <v>1.07</v>
      </c>
      <c r="H1856" s="2">
        <v>1</v>
      </c>
      <c r="I1856" s="2">
        <v>1</v>
      </c>
      <c r="J1856" s="2">
        <v>0.88</v>
      </c>
      <c r="K1856">
        <v>2</v>
      </c>
      <c r="L1856" s="19" t="s">
        <v>225</v>
      </c>
      <c r="M1856" s="21">
        <v>0.5</v>
      </c>
    </row>
    <row r="1857" spans="1:13" x14ac:dyDescent="0.2">
      <c r="A1857" t="s">
        <v>206</v>
      </c>
      <c r="B1857" t="e">
        <f>VLOOKUP(A1857,MasterTutor!A:E,4,FALSE)</f>
        <v>#N/A</v>
      </c>
      <c r="C1857" t="e">
        <f>VLOOKUP(A1857,MasterTutor!A:E,3,FALSE)</f>
        <v>#N/A</v>
      </c>
      <c r="D1857" t="e">
        <f>VLOOKUP(A1857,MasterTutor!A:E,2,FALSE)</f>
        <v>#N/A</v>
      </c>
      <c r="E1857" t="s">
        <v>375</v>
      </c>
      <c r="F1857" s="2">
        <v>0.56000000000000005</v>
      </c>
      <c r="G1857" s="2">
        <v>0.98</v>
      </c>
      <c r="H1857" s="2">
        <v>0.98</v>
      </c>
      <c r="I1857" s="2">
        <v>0.76</v>
      </c>
      <c r="J1857" s="2">
        <v>0</v>
      </c>
      <c r="K1857">
        <v>2</v>
      </c>
      <c r="L1857" s="19" t="s">
        <v>267</v>
      </c>
      <c r="M1857" s="21">
        <v>0</v>
      </c>
    </row>
    <row r="1858" spans="1:13" x14ac:dyDescent="0.2">
      <c r="A1858" t="s">
        <v>207</v>
      </c>
      <c r="B1858" t="str">
        <f>VLOOKUP(A1858,MasterTutor!A:E,4,FALSE)</f>
        <v>Advanced</v>
      </c>
      <c r="C1858" t="str">
        <f>VLOOKUP(A1858,MasterTutor!A:E,3,FALSE)</f>
        <v>Adjunct</v>
      </c>
      <c r="D1858" t="str">
        <f>VLOOKUP(A1858,MasterTutor!A:E,2,FALSE)</f>
        <v>Ela Cross</v>
      </c>
      <c r="E1858" t="s">
        <v>375</v>
      </c>
      <c r="F1858" s="2">
        <v>0.78</v>
      </c>
      <c r="G1858" s="2">
        <v>1.1299999999999999</v>
      </c>
      <c r="H1858" s="2">
        <v>0.98</v>
      </c>
      <c r="I1858" s="2">
        <v>1</v>
      </c>
      <c r="J1858" s="2">
        <v>0.94</v>
      </c>
      <c r="K1858">
        <v>5</v>
      </c>
      <c r="L1858" s="19" t="s">
        <v>232</v>
      </c>
      <c r="M1858" s="21">
        <v>0.71</v>
      </c>
    </row>
    <row r="1859" spans="1:13" x14ac:dyDescent="0.2">
      <c r="A1859" t="s">
        <v>325</v>
      </c>
      <c r="B1859" t="str">
        <f>VLOOKUP(A1859,MasterTutor!A:E,4,FALSE)</f>
        <v>Advanced</v>
      </c>
      <c r="C1859" t="str">
        <f>VLOOKUP(A1859,MasterTutor!A:E,3,FALSE)</f>
        <v>Professional</v>
      </c>
      <c r="D1859" t="str">
        <f>VLOOKUP(A1859,MasterTutor!A:E,2,FALSE)</f>
        <v>Ela Cross</v>
      </c>
      <c r="E1859" t="s">
        <v>375</v>
      </c>
      <c r="F1859" s="2">
        <v>0.77</v>
      </c>
      <c r="G1859" s="2">
        <v>1.04</v>
      </c>
      <c r="H1859" s="2">
        <v>0.99</v>
      </c>
      <c r="I1859" s="2">
        <v>0.79</v>
      </c>
      <c r="J1859" s="2">
        <v>0.12</v>
      </c>
      <c r="K1859">
        <v>3</v>
      </c>
      <c r="L1859" s="19" t="s">
        <v>287</v>
      </c>
      <c r="M1859" s="21">
        <v>0.5</v>
      </c>
    </row>
    <row r="1860" spans="1:13" x14ac:dyDescent="0.2">
      <c r="A1860" t="s">
        <v>208</v>
      </c>
      <c r="B1860" t="str">
        <f>VLOOKUP(A1860,MasterTutor!A:E,4,FALSE)</f>
        <v>Distinguished</v>
      </c>
      <c r="C1860" t="str">
        <f>VLOOKUP(A1860,MasterTutor!A:E,3,FALSE)</f>
        <v>Adjunct</v>
      </c>
      <c r="D1860" t="str">
        <f>VLOOKUP(A1860,MasterTutor!A:E,2,FALSE)</f>
        <v>Annelies de Groot</v>
      </c>
      <c r="E1860" t="s">
        <v>375</v>
      </c>
      <c r="F1860" s="2">
        <v>0.31</v>
      </c>
      <c r="G1860" s="2">
        <v>1.1200000000000001</v>
      </c>
      <c r="H1860" s="2">
        <v>1</v>
      </c>
      <c r="I1860" s="2">
        <v>1</v>
      </c>
      <c r="J1860" s="2">
        <v>0.33</v>
      </c>
      <c r="K1860">
        <v>1</v>
      </c>
      <c r="L1860" s="20"/>
    </row>
    <row r="1861" spans="1:13" x14ac:dyDescent="0.2">
      <c r="A1861" t="s">
        <v>209</v>
      </c>
      <c r="B1861" t="str">
        <f>VLOOKUP(A1861,MasterTutor!A:E,4,FALSE)</f>
        <v>Premium</v>
      </c>
      <c r="C1861" t="str">
        <f>VLOOKUP(A1861,MasterTutor!A:E,3,FALSE)</f>
        <v>Professional</v>
      </c>
      <c r="D1861" t="str">
        <f>VLOOKUP(A1861,MasterTutor!A:E,2,FALSE)</f>
        <v>Jessica Milner</v>
      </c>
      <c r="E1861" t="s">
        <v>375</v>
      </c>
      <c r="F1861" s="2">
        <v>1.1100000000000001</v>
      </c>
      <c r="G1861" s="2">
        <v>1.1000000000000001</v>
      </c>
      <c r="H1861" s="2">
        <v>1</v>
      </c>
      <c r="I1861" s="2">
        <v>0.99</v>
      </c>
      <c r="J1861" s="2">
        <v>0.96</v>
      </c>
      <c r="K1861">
        <v>4</v>
      </c>
      <c r="L1861" s="19" t="s">
        <v>218</v>
      </c>
      <c r="M1861" s="21">
        <v>0.66</v>
      </c>
    </row>
    <row r="1862" spans="1:13" x14ac:dyDescent="0.2">
      <c r="A1862" t="s">
        <v>210</v>
      </c>
      <c r="B1862" t="str">
        <f>VLOOKUP(A1862,MasterTutor!A:E,4,FALSE)</f>
        <v>Advanced</v>
      </c>
      <c r="C1862" t="str">
        <f>VLOOKUP(A1862,MasterTutor!A:E,3,FALSE)</f>
        <v>Professional</v>
      </c>
      <c r="D1862" t="str">
        <f>VLOOKUP(A1862,MasterTutor!A:E,2,FALSE)</f>
        <v>Kristin Haase-Alvey</v>
      </c>
      <c r="E1862" t="s">
        <v>375</v>
      </c>
      <c r="F1862" s="2">
        <v>0.96</v>
      </c>
      <c r="G1862" s="2">
        <v>1.03</v>
      </c>
      <c r="H1862" s="2">
        <v>0.97</v>
      </c>
      <c r="I1862" s="2">
        <v>0.89</v>
      </c>
      <c r="J1862" s="2">
        <v>0.61</v>
      </c>
      <c r="K1862">
        <v>10</v>
      </c>
      <c r="L1862" s="19" t="s">
        <v>215</v>
      </c>
      <c r="M1862" s="21">
        <v>1</v>
      </c>
    </row>
    <row r="1863" spans="1:13" x14ac:dyDescent="0.2">
      <c r="A1863" t="s">
        <v>211</v>
      </c>
      <c r="B1863" t="str">
        <f>VLOOKUP(A1863,MasterTutor!A:E,4,FALSE)</f>
        <v>Advanced</v>
      </c>
      <c r="C1863" t="str">
        <f>VLOOKUP(A1863,MasterTutor!A:E,3,FALSE)</f>
        <v>Professional</v>
      </c>
      <c r="D1863" t="str">
        <f>VLOOKUP(A1863,MasterTutor!A:E,2,FALSE)</f>
        <v>Kristin Haase-Alvey</v>
      </c>
      <c r="E1863" t="s">
        <v>375</v>
      </c>
      <c r="F1863" s="2">
        <v>0.95</v>
      </c>
      <c r="G1863" s="2">
        <v>1.03</v>
      </c>
      <c r="H1863" s="2">
        <v>0.99</v>
      </c>
      <c r="I1863" s="2">
        <v>0.98</v>
      </c>
      <c r="J1863" s="2">
        <v>0.85</v>
      </c>
      <c r="K1863">
        <v>2</v>
      </c>
      <c r="L1863" s="19" t="s">
        <v>253</v>
      </c>
      <c r="M1863" s="21">
        <v>1</v>
      </c>
    </row>
    <row r="1864" spans="1:13" x14ac:dyDescent="0.2">
      <c r="A1864" t="s">
        <v>12</v>
      </c>
      <c r="B1864" t="str">
        <f>VLOOKUP(A1864,MasterTutor!A:E,4,FALSE)</f>
        <v>Advanced</v>
      </c>
      <c r="C1864" t="str">
        <f>VLOOKUP(A1864,MasterTutor!A:E,3,FALSE)</f>
        <v>Adjunct</v>
      </c>
      <c r="D1864" t="str">
        <f>VLOOKUP(A1864,MasterTutor!A:E,2,FALSE)</f>
        <v>Ian Plamondon</v>
      </c>
      <c r="E1864" t="s">
        <v>383</v>
      </c>
      <c r="F1864" s="2">
        <v>1.06</v>
      </c>
      <c r="G1864" s="2">
        <v>1.1000000000000001</v>
      </c>
      <c r="H1864" s="2">
        <v>1</v>
      </c>
      <c r="I1864" s="2">
        <v>0.97</v>
      </c>
      <c r="J1864" s="2">
        <v>0.82</v>
      </c>
      <c r="K1864">
        <v>6</v>
      </c>
      <c r="L1864" s="19" t="s">
        <v>215</v>
      </c>
      <c r="M1864" s="21">
        <v>1</v>
      </c>
    </row>
    <row r="1865" spans="1:13" x14ac:dyDescent="0.2">
      <c r="A1865" t="s">
        <v>15</v>
      </c>
      <c r="B1865" t="str">
        <f>VLOOKUP(A1865,MasterTutor!A:E,4,FALSE)</f>
        <v>Advanced</v>
      </c>
      <c r="C1865" t="str">
        <f>VLOOKUP(A1865,MasterTutor!A:E,3,FALSE)</f>
        <v>Professional</v>
      </c>
      <c r="D1865" t="str">
        <f>VLOOKUP(A1865,MasterTutor!A:E,2,FALSE)</f>
        <v>Ian Plamondon</v>
      </c>
      <c r="E1865" t="s">
        <v>383</v>
      </c>
      <c r="F1865" s="2">
        <v>0.96</v>
      </c>
      <c r="G1865" s="2">
        <v>1.01</v>
      </c>
      <c r="H1865" s="2">
        <v>0.99</v>
      </c>
      <c r="I1865" s="2">
        <v>0.97</v>
      </c>
      <c r="J1865" s="2">
        <v>0.74</v>
      </c>
      <c r="K1865">
        <v>13</v>
      </c>
      <c r="L1865" s="19" t="s">
        <v>241</v>
      </c>
      <c r="M1865" s="21">
        <v>0.67</v>
      </c>
    </row>
    <row r="1866" spans="1:13" x14ac:dyDescent="0.2">
      <c r="A1866" t="s">
        <v>16</v>
      </c>
      <c r="B1866" t="str">
        <f>VLOOKUP(A1866,MasterTutor!A:E,4,FALSE)</f>
        <v>Premium</v>
      </c>
      <c r="C1866" t="str">
        <f>VLOOKUP(A1866,MasterTutor!A:E,3,FALSE)</f>
        <v>Adjunct</v>
      </c>
      <c r="D1866" t="str">
        <f>VLOOKUP(A1866,MasterTutor!A:E,2,FALSE)</f>
        <v>Ela Cross</v>
      </c>
      <c r="E1866" t="s">
        <v>383</v>
      </c>
      <c r="F1866" s="2">
        <v>1.1399999999999999</v>
      </c>
      <c r="G1866" s="2">
        <v>1.46</v>
      </c>
      <c r="H1866" s="2">
        <v>1</v>
      </c>
      <c r="I1866" s="2">
        <v>0.73</v>
      </c>
      <c r="J1866" s="2">
        <v>0</v>
      </c>
      <c r="K1866">
        <v>3</v>
      </c>
      <c r="L1866" s="20"/>
      <c r="M1866" s="21"/>
    </row>
    <row r="1867" spans="1:13" x14ac:dyDescent="0.2">
      <c r="A1867" t="s">
        <v>17</v>
      </c>
      <c r="B1867" t="str">
        <f>VLOOKUP(A1867,MasterTutor!A:E,4,FALSE)</f>
        <v>Premium</v>
      </c>
      <c r="C1867" t="str">
        <f>VLOOKUP(A1867,MasterTutor!A:E,3,FALSE)</f>
        <v>Professional</v>
      </c>
      <c r="D1867" t="str">
        <f>VLOOKUP(A1867,MasterTutor!A:E,2,FALSE)</f>
        <v>Ian Plamondon</v>
      </c>
      <c r="E1867" t="s">
        <v>383</v>
      </c>
      <c r="F1867" s="2">
        <v>0.75</v>
      </c>
      <c r="G1867" s="2">
        <v>2.19</v>
      </c>
      <c r="H1867" s="2">
        <v>0.94</v>
      </c>
      <c r="I1867" s="2">
        <v>1</v>
      </c>
      <c r="J1867" s="2">
        <v>0.93</v>
      </c>
      <c r="K1867">
        <v>0</v>
      </c>
      <c r="L1867" s="19" t="s">
        <v>234</v>
      </c>
      <c r="M1867" s="21">
        <v>1</v>
      </c>
    </row>
    <row r="1868" spans="1:13" x14ac:dyDescent="0.2">
      <c r="A1868" t="s">
        <v>217</v>
      </c>
      <c r="B1868" t="str">
        <f>VLOOKUP(A1868,MasterTutor!A:E,4,FALSE)</f>
        <v>Advanced</v>
      </c>
      <c r="C1868" t="str">
        <f>VLOOKUP(A1868,MasterTutor!A:E,3,FALSE)</f>
        <v>Adjunct</v>
      </c>
      <c r="D1868" t="str">
        <f>VLOOKUP(A1868,MasterTutor!A:E,2,FALSE)</f>
        <v>Kristin Haase-Alvey</v>
      </c>
      <c r="E1868" t="s">
        <v>383</v>
      </c>
      <c r="F1868" s="2">
        <v>1.85</v>
      </c>
      <c r="G1868" s="2">
        <v>1.65</v>
      </c>
      <c r="H1868" s="2">
        <v>1</v>
      </c>
      <c r="I1868" s="2">
        <v>0.75</v>
      </c>
      <c r="J1868" s="2">
        <v>0.57999999999999996</v>
      </c>
      <c r="K1868">
        <v>8</v>
      </c>
      <c r="L1868" s="19" t="s">
        <v>256</v>
      </c>
      <c r="M1868" s="21">
        <v>0.83</v>
      </c>
    </row>
    <row r="1869" spans="1:13" x14ac:dyDescent="0.2">
      <c r="A1869" t="s">
        <v>18</v>
      </c>
      <c r="B1869" t="str">
        <f>VLOOKUP(A1869,MasterTutor!A:E,4,FALSE)</f>
        <v>Distinguished</v>
      </c>
      <c r="C1869" t="str">
        <f>VLOOKUP(A1869,MasterTutor!A:E,3,FALSE)</f>
        <v>Professional</v>
      </c>
      <c r="D1869" t="str">
        <f>VLOOKUP(A1869,MasterTutor!A:E,2,FALSE)</f>
        <v>Ian Plamondon</v>
      </c>
      <c r="E1869" t="s">
        <v>383</v>
      </c>
      <c r="F1869" s="2">
        <v>0.76</v>
      </c>
      <c r="G1869" s="2">
        <v>0.99</v>
      </c>
      <c r="H1869" s="2">
        <v>1</v>
      </c>
      <c r="I1869" s="2">
        <v>1</v>
      </c>
      <c r="J1869" s="2">
        <v>0.77</v>
      </c>
      <c r="K1869">
        <v>2</v>
      </c>
      <c r="L1869" s="19" t="s">
        <v>260</v>
      </c>
      <c r="M1869" s="21">
        <v>0.17</v>
      </c>
    </row>
    <row r="1870" spans="1:13" x14ac:dyDescent="0.2">
      <c r="A1870" t="s">
        <v>19</v>
      </c>
      <c r="B1870" t="str">
        <f>VLOOKUP(A1870,MasterTutor!A:E,4,FALSE)</f>
        <v>Premium</v>
      </c>
      <c r="C1870" t="str">
        <f>VLOOKUP(A1870,MasterTutor!A:E,3,FALSE)</f>
        <v>Adjunct</v>
      </c>
      <c r="D1870" t="str">
        <f>VLOOKUP(A1870,MasterTutor!A:E,2,FALSE)</f>
        <v>Geoff St. Marie</v>
      </c>
      <c r="E1870" t="s">
        <v>383</v>
      </c>
      <c r="F1870" s="2">
        <v>1.08</v>
      </c>
      <c r="G1870" s="2">
        <v>1.02</v>
      </c>
      <c r="H1870" s="2">
        <v>0.96</v>
      </c>
      <c r="I1870" s="2">
        <v>1</v>
      </c>
      <c r="J1870" s="2">
        <v>1</v>
      </c>
      <c r="K1870">
        <v>1</v>
      </c>
      <c r="L1870" s="20"/>
      <c r="M1870" s="21"/>
    </row>
    <row r="1871" spans="1:13" x14ac:dyDescent="0.2">
      <c r="A1871" t="s">
        <v>21</v>
      </c>
      <c r="B1871" t="str">
        <f>VLOOKUP(A1871,MasterTutor!A:E,4,FALSE)</f>
        <v>Distinguished</v>
      </c>
      <c r="C1871" t="str">
        <f>VLOOKUP(A1871,MasterTutor!A:E,3,FALSE)</f>
        <v>Adjunct</v>
      </c>
      <c r="D1871" t="str">
        <f>VLOOKUP(A1871,MasterTutor!A:E,2,FALSE)</f>
        <v>Kristin Haase-Alvey</v>
      </c>
      <c r="E1871" t="s">
        <v>383</v>
      </c>
      <c r="F1871" s="2">
        <v>0.74</v>
      </c>
      <c r="G1871" s="2">
        <v>0.73</v>
      </c>
      <c r="H1871" s="2">
        <v>1</v>
      </c>
      <c r="I1871" s="2">
        <v>0.87</v>
      </c>
      <c r="J1871" s="2">
        <v>1</v>
      </c>
      <c r="K1871">
        <v>0</v>
      </c>
      <c r="L1871" s="19" t="s">
        <v>227</v>
      </c>
      <c r="M1871" s="21">
        <v>1</v>
      </c>
    </row>
    <row r="1872" spans="1:13" x14ac:dyDescent="0.2">
      <c r="A1872" t="s">
        <v>22</v>
      </c>
      <c r="B1872" t="str">
        <f>VLOOKUP(A1872,MasterTutor!A:E,4,FALSE)</f>
        <v>Advanced</v>
      </c>
      <c r="C1872" t="str">
        <f>VLOOKUP(A1872,MasterTutor!A:E,3,FALSE)</f>
        <v>Professional</v>
      </c>
      <c r="D1872" t="str">
        <f>VLOOKUP(A1872,MasterTutor!A:E,2,FALSE)</f>
        <v>Annelies de Groot</v>
      </c>
      <c r="E1872" t="s">
        <v>383</v>
      </c>
      <c r="F1872" s="2">
        <v>0.88</v>
      </c>
      <c r="G1872" s="2">
        <v>1.06</v>
      </c>
      <c r="H1872" s="2">
        <v>0.86</v>
      </c>
      <c r="I1872" s="2">
        <v>0.94</v>
      </c>
      <c r="J1872" s="2">
        <v>1</v>
      </c>
      <c r="K1872">
        <v>4</v>
      </c>
      <c r="L1872" s="19" t="s">
        <v>326</v>
      </c>
      <c r="M1872" s="21">
        <v>0.63</v>
      </c>
    </row>
    <row r="1873" spans="1:13" x14ac:dyDescent="0.2">
      <c r="A1873" t="s">
        <v>23</v>
      </c>
      <c r="B1873" t="str">
        <f>VLOOKUP(A1873,MasterTutor!A:E,4,FALSE)</f>
        <v>Premium</v>
      </c>
      <c r="C1873" t="str">
        <f>VLOOKUP(A1873,MasterTutor!A:E,3,FALSE)</f>
        <v>Professional</v>
      </c>
      <c r="D1873" t="str">
        <f>VLOOKUP(A1873,MasterTutor!A:E,2,FALSE)</f>
        <v>Jessica Milner</v>
      </c>
      <c r="E1873" t="s">
        <v>383</v>
      </c>
      <c r="F1873" s="2">
        <v>0.56999999999999995</v>
      </c>
      <c r="G1873" s="2">
        <v>1.17</v>
      </c>
      <c r="H1873" s="2">
        <v>1</v>
      </c>
      <c r="I1873" s="2">
        <v>0.86</v>
      </c>
      <c r="J1873" s="2">
        <v>0</v>
      </c>
      <c r="K1873">
        <v>1</v>
      </c>
      <c r="L1873" s="19" t="s">
        <v>219</v>
      </c>
      <c r="M1873" s="21">
        <v>0</v>
      </c>
    </row>
    <row r="1874" spans="1:13" x14ac:dyDescent="0.2">
      <c r="A1874" t="s">
        <v>24</v>
      </c>
      <c r="B1874" t="str">
        <f>VLOOKUP(A1874,MasterTutor!A:E,4,FALSE)</f>
        <v>Distinguished</v>
      </c>
      <c r="C1874" t="str">
        <f>VLOOKUP(A1874,MasterTutor!A:E,3,FALSE)</f>
        <v>Professional</v>
      </c>
      <c r="D1874" t="str">
        <f>VLOOKUP(A1874,MasterTutor!A:E,2,FALSE)</f>
        <v>Kristin Haase-Alvey</v>
      </c>
      <c r="E1874" t="s">
        <v>383</v>
      </c>
      <c r="F1874" s="2">
        <v>0.81</v>
      </c>
      <c r="G1874" s="2">
        <v>1.06</v>
      </c>
      <c r="H1874" s="2">
        <v>0.98</v>
      </c>
      <c r="I1874" s="2">
        <v>0.84</v>
      </c>
      <c r="J1874" s="2">
        <v>1</v>
      </c>
      <c r="K1874">
        <v>11</v>
      </c>
      <c r="L1874" s="19" t="s">
        <v>219</v>
      </c>
      <c r="M1874" s="21">
        <v>0</v>
      </c>
    </row>
    <row r="1875" spans="1:13" x14ac:dyDescent="0.2">
      <c r="A1875" t="s">
        <v>222</v>
      </c>
      <c r="B1875" t="str">
        <f>VLOOKUP(A1875,MasterTutor!A:E,4,FALSE)</f>
        <v>Advanced</v>
      </c>
      <c r="C1875" t="str">
        <f>VLOOKUP(A1875,MasterTutor!A:E,3,FALSE)</f>
        <v>Professional</v>
      </c>
      <c r="D1875" t="str">
        <f>VLOOKUP(A1875,MasterTutor!A:E,2,FALSE)</f>
        <v>Ian Plamondon</v>
      </c>
      <c r="E1875" t="s">
        <v>383</v>
      </c>
      <c r="F1875" s="2">
        <v>0.88</v>
      </c>
      <c r="G1875" s="2">
        <v>1.08</v>
      </c>
      <c r="H1875" s="2">
        <v>0.99</v>
      </c>
      <c r="I1875" s="2">
        <v>0.97</v>
      </c>
      <c r="J1875" s="2">
        <v>0.17</v>
      </c>
      <c r="K1875">
        <v>9</v>
      </c>
      <c r="L1875" s="19" t="s">
        <v>381</v>
      </c>
      <c r="M1875" s="21">
        <v>0</v>
      </c>
    </row>
    <row r="1876" spans="1:13" x14ac:dyDescent="0.2">
      <c r="A1876" t="s">
        <v>26</v>
      </c>
      <c r="B1876" t="str">
        <f>VLOOKUP(A1876,MasterTutor!A:E,4,FALSE)</f>
        <v>Distinguished</v>
      </c>
      <c r="C1876" t="str">
        <f>VLOOKUP(A1876,MasterTutor!A:E,3,FALSE)</f>
        <v>Professional</v>
      </c>
      <c r="D1876" t="str">
        <f>VLOOKUP(A1876,MasterTutor!A:E,2,FALSE)</f>
        <v>Ian Plamondon</v>
      </c>
      <c r="E1876" t="s">
        <v>383</v>
      </c>
      <c r="F1876" s="2">
        <v>0.8</v>
      </c>
      <c r="G1876" s="2">
        <v>1.46</v>
      </c>
      <c r="H1876" s="2">
        <v>0.99</v>
      </c>
      <c r="I1876" s="2">
        <v>0.87</v>
      </c>
      <c r="J1876" s="2">
        <v>0.7</v>
      </c>
      <c r="K1876">
        <v>4</v>
      </c>
      <c r="L1876" s="19" t="s">
        <v>262</v>
      </c>
      <c r="M1876" s="21">
        <v>0.25</v>
      </c>
    </row>
    <row r="1877" spans="1:13" x14ac:dyDescent="0.2">
      <c r="A1877" t="s">
        <v>27</v>
      </c>
      <c r="B1877" t="str">
        <f>VLOOKUP(A1877,MasterTutor!A:E,4,FALSE)</f>
        <v>Premium</v>
      </c>
      <c r="C1877" t="str">
        <f>VLOOKUP(A1877,MasterTutor!A:E,3,FALSE)</f>
        <v>Professional</v>
      </c>
      <c r="D1877" t="str">
        <f>VLOOKUP(A1877,MasterTutor!A:E,2,FALSE)</f>
        <v>Jessica Milner</v>
      </c>
      <c r="E1877" t="s">
        <v>383</v>
      </c>
      <c r="F1877" s="2">
        <v>0.56999999999999995</v>
      </c>
      <c r="G1877" s="2">
        <v>1.06</v>
      </c>
      <c r="H1877" s="2">
        <v>0.98</v>
      </c>
      <c r="I1877" s="2">
        <v>0.84</v>
      </c>
      <c r="J1877" s="2">
        <v>0.64</v>
      </c>
      <c r="K1877">
        <v>3</v>
      </c>
      <c r="L1877" s="19" t="s">
        <v>243</v>
      </c>
      <c r="M1877" s="21">
        <v>0.33</v>
      </c>
    </row>
    <row r="1878" spans="1:13" x14ac:dyDescent="0.2">
      <c r="A1878" t="s">
        <v>28</v>
      </c>
      <c r="B1878" t="e">
        <f>VLOOKUP(A1878,MasterTutor!A:E,4,FALSE)</f>
        <v>#N/A</v>
      </c>
      <c r="C1878" t="e">
        <f>VLOOKUP(A1878,MasterTutor!A:E,3,FALSE)</f>
        <v>#N/A</v>
      </c>
      <c r="D1878" t="e">
        <f>VLOOKUP(A1878,MasterTutor!A:E,2,FALSE)</f>
        <v>#N/A</v>
      </c>
      <c r="E1878" t="s">
        <v>383</v>
      </c>
      <c r="F1878" s="2">
        <v>0.65</v>
      </c>
      <c r="G1878" s="2">
        <v>1</v>
      </c>
      <c r="H1878" s="2">
        <v>1</v>
      </c>
      <c r="I1878" s="2">
        <v>0.98</v>
      </c>
      <c r="J1878" s="2">
        <v>0.73</v>
      </c>
      <c r="K1878">
        <v>1</v>
      </c>
      <c r="L1878" s="19" t="s">
        <v>219</v>
      </c>
      <c r="M1878" s="21">
        <v>0</v>
      </c>
    </row>
    <row r="1879" spans="1:13" x14ac:dyDescent="0.2">
      <c r="A1879" t="s">
        <v>29</v>
      </c>
      <c r="B1879" t="str">
        <f>VLOOKUP(A1879,MasterTutor!A:E,4,FALSE)</f>
        <v>Distinguished</v>
      </c>
      <c r="C1879" t="str">
        <f>VLOOKUP(A1879,MasterTutor!A:E,3,FALSE)</f>
        <v>Adjunct</v>
      </c>
      <c r="D1879" t="str">
        <f>VLOOKUP(A1879,MasterTutor!A:E,2,FALSE)</f>
        <v>Kristin Haase-Alvey</v>
      </c>
      <c r="E1879" t="s">
        <v>383</v>
      </c>
      <c r="F1879" s="2">
        <v>0.79</v>
      </c>
      <c r="G1879" s="2">
        <v>1</v>
      </c>
      <c r="H1879" s="2">
        <v>1</v>
      </c>
      <c r="I1879" s="2">
        <v>0.97</v>
      </c>
      <c r="J1879" s="2">
        <v>0.55000000000000004</v>
      </c>
      <c r="K1879">
        <v>3</v>
      </c>
      <c r="L1879" s="20"/>
      <c r="M1879" s="21"/>
    </row>
    <row r="1880" spans="1:13" x14ac:dyDescent="0.2">
      <c r="A1880" t="s">
        <v>30</v>
      </c>
      <c r="B1880" t="str">
        <f>VLOOKUP(A1880,MasterTutor!A:E,4,FALSE)</f>
        <v>Distinguished</v>
      </c>
      <c r="C1880" t="str">
        <f>VLOOKUP(A1880,MasterTutor!A:E,3,FALSE)</f>
        <v>Professional</v>
      </c>
      <c r="D1880" t="str">
        <f>VLOOKUP(A1880,MasterTutor!A:E,2,FALSE)</f>
        <v>Ian Plamondon</v>
      </c>
      <c r="E1880" t="s">
        <v>383</v>
      </c>
      <c r="F1880" s="2">
        <v>0.62</v>
      </c>
      <c r="G1880" s="2">
        <v>1.75</v>
      </c>
      <c r="H1880" s="2">
        <v>0.97</v>
      </c>
      <c r="I1880" s="2">
        <v>1</v>
      </c>
      <c r="J1880" s="2">
        <v>0.83</v>
      </c>
      <c r="K1880">
        <v>2</v>
      </c>
      <c r="L1880" s="19" t="s">
        <v>234</v>
      </c>
      <c r="M1880" s="21">
        <v>1</v>
      </c>
    </row>
    <row r="1881" spans="1:13" x14ac:dyDescent="0.2">
      <c r="A1881" t="s">
        <v>31</v>
      </c>
      <c r="B1881" t="str">
        <f>VLOOKUP(A1881,MasterTutor!A:E,4,FALSE)</f>
        <v>Premium</v>
      </c>
      <c r="C1881" t="str">
        <f>VLOOKUP(A1881,MasterTutor!A:E,3,FALSE)</f>
        <v>Adjunct</v>
      </c>
      <c r="D1881" t="str">
        <f>VLOOKUP(A1881,MasterTutor!A:E,2,FALSE)</f>
        <v>Kristin Haase-Alvey</v>
      </c>
      <c r="E1881" t="s">
        <v>383</v>
      </c>
      <c r="F1881" s="2">
        <v>0.37</v>
      </c>
      <c r="G1881" s="2">
        <v>1.01</v>
      </c>
      <c r="H1881" s="2">
        <v>1</v>
      </c>
      <c r="I1881" s="2">
        <v>1</v>
      </c>
      <c r="J1881" s="2">
        <v>0.6</v>
      </c>
      <c r="K1881">
        <v>1</v>
      </c>
      <c r="L1881" s="20"/>
      <c r="M1881" s="21"/>
    </row>
    <row r="1882" spans="1:13" x14ac:dyDescent="0.2">
      <c r="A1882" t="s">
        <v>32</v>
      </c>
      <c r="B1882" t="e">
        <f>VLOOKUP(A1882,MasterTutor!A:E,4,FALSE)</f>
        <v>#N/A</v>
      </c>
      <c r="C1882" t="e">
        <f>VLOOKUP(A1882,MasterTutor!A:E,3,FALSE)</f>
        <v>#N/A</v>
      </c>
      <c r="D1882" t="e">
        <f>VLOOKUP(A1882,MasterTutor!A:E,2,FALSE)</f>
        <v>#N/A</v>
      </c>
      <c r="E1882" t="s">
        <v>383</v>
      </c>
      <c r="F1882" s="2">
        <v>0.94</v>
      </c>
      <c r="G1882" s="2">
        <v>1.07</v>
      </c>
      <c r="H1882" s="2">
        <v>0.99</v>
      </c>
      <c r="I1882" s="2">
        <v>0.75</v>
      </c>
      <c r="J1882" s="2">
        <v>0.13</v>
      </c>
      <c r="K1882">
        <v>13</v>
      </c>
      <c r="L1882" s="19" t="s">
        <v>381</v>
      </c>
      <c r="M1882" s="21">
        <v>0</v>
      </c>
    </row>
    <row r="1883" spans="1:13" x14ac:dyDescent="0.2">
      <c r="A1883" t="s">
        <v>33</v>
      </c>
      <c r="B1883" t="str">
        <f>VLOOKUP(A1883,MasterTutor!A:E,4,FALSE)</f>
        <v>Premium</v>
      </c>
      <c r="C1883" t="str">
        <f>VLOOKUP(A1883,MasterTutor!A:E,3,FALSE)</f>
        <v>Professional</v>
      </c>
      <c r="D1883" t="str">
        <f>VLOOKUP(A1883,MasterTutor!A:E,2,FALSE)</f>
        <v>Geoff St. Marie</v>
      </c>
      <c r="E1883" t="s">
        <v>383</v>
      </c>
      <c r="F1883" s="2">
        <v>1.23</v>
      </c>
      <c r="G1883" s="2">
        <v>1.38</v>
      </c>
      <c r="H1883" s="2">
        <v>0.96</v>
      </c>
      <c r="I1883" s="2">
        <v>0.94</v>
      </c>
      <c r="J1883" s="2">
        <v>0.88</v>
      </c>
      <c r="K1883">
        <v>2</v>
      </c>
      <c r="L1883" s="19" t="s">
        <v>224</v>
      </c>
      <c r="M1883" s="21">
        <v>0</v>
      </c>
    </row>
    <row r="1884" spans="1:13" x14ac:dyDescent="0.2">
      <c r="A1884" t="s">
        <v>35</v>
      </c>
      <c r="B1884" t="str">
        <f>VLOOKUP(A1884,MasterTutor!A:E,4,FALSE)</f>
        <v>Advanced</v>
      </c>
      <c r="C1884" t="str">
        <f>VLOOKUP(A1884,MasterTutor!A:E,3,FALSE)</f>
        <v>Adjunct</v>
      </c>
      <c r="D1884" t="str">
        <f>VLOOKUP(A1884,MasterTutor!A:E,2,FALSE)</f>
        <v>Annelies de Groot</v>
      </c>
      <c r="E1884" t="s">
        <v>383</v>
      </c>
      <c r="F1884" s="2">
        <v>1.44</v>
      </c>
      <c r="G1884" s="2">
        <v>2.34</v>
      </c>
      <c r="H1884" s="2">
        <v>0.95</v>
      </c>
      <c r="I1884" s="2">
        <v>1</v>
      </c>
      <c r="J1884" s="2">
        <v>0.38</v>
      </c>
      <c r="K1884">
        <v>2</v>
      </c>
      <c r="L1884" s="19" t="s">
        <v>218</v>
      </c>
      <c r="M1884" s="21">
        <v>0.66</v>
      </c>
    </row>
    <row r="1885" spans="1:13" x14ac:dyDescent="0.2">
      <c r="A1885" t="s">
        <v>36</v>
      </c>
      <c r="B1885" t="str">
        <f>VLOOKUP(A1885,MasterTutor!A:E,4,FALSE)</f>
        <v>Premium</v>
      </c>
      <c r="C1885" t="str">
        <f>VLOOKUP(A1885,MasterTutor!A:E,3,FALSE)</f>
        <v>Professional</v>
      </c>
      <c r="D1885" t="str">
        <f>VLOOKUP(A1885,MasterTutor!A:E,2,FALSE)</f>
        <v>Jessica Milner</v>
      </c>
      <c r="E1885" t="s">
        <v>383</v>
      </c>
      <c r="F1885" s="2">
        <v>0.74</v>
      </c>
      <c r="G1885" s="2">
        <v>1.0900000000000001</v>
      </c>
      <c r="H1885" s="2">
        <v>1</v>
      </c>
      <c r="I1885" s="2">
        <v>0.98</v>
      </c>
      <c r="J1885" s="2">
        <v>0.88</v>
      </c>
      <c r="K1885">
        <v>1</v>
      </c>
      <c r="L1885" s="20"/>
      <c r="M1885" s="21"/>
    </row>
    <row r="1886" spans="1:13" x14ac:dyDescent="0.2">
      <c r="A1886" t="s">
        <v>231</v>
      </c>
      <c r="B1886" t="str">
        <f>VLOOKUP(A1886,MasterTutor!A:E,4,FALSE)</f>
        <v>Advanced</v>
      </c>
      <c r="C1886" t="str">
        <f>VLOOKUP(A1886,MasterTutor!A:E,3,FALSE)</f>
        <v>Professional</v>
      </c>
      <c r="D1886" t="str">
        <f>VLOOKUP(A1886,MasterTutor!A:E,2,FALSE)</f>
        <v>Annelies de Groot</v>
      </c>
      <c r="E1886" t="s">
        <v>383</v>
      </c>
      <c r="F1886" s="2">
        <v>0.88</v>
      </c>
      <c r="G1886" s="2">
        <v>1.17</v>
      </c>
      <c r="H1886" s="2">
        <v>1</v>
      </c>
      <c r="I1886" s="2">
        <v>0.95</v>
      </c>
      <c r="J1886" s="2">
        <v>0.43</v>
      </c>
      <c r="K1886">
        <v>10</v>
      </c>
      <c r="L1886" s="19" t="s">
        <v>384</v>
      </c>
      <c r="M1886" s="21">
        <v>0.86</v>
      </c>
    </row>
    <row r="1887" spans="1:13" x14ac:dyDescent="0.2">
      <c r="A1887" t="s">
        <v>38</v>
      </c>
      <c r="B1887" t="str">
        <f>VLOOKUP(A1887,MasterTutor!A:E,4,FALSE)</f>
        <v>Advanced</v>
      </c>
      <c r="C1887" t="str">
        <f>VLOOKUP(A1887,MasterTutor!A:E,3,FALSE)</f>
        <v>Adjunct</v>
      </c>
      <c r="D1887" t="str">
        <f>VLOOKUP(A1887,MasterTutor!A:E,2,FALSE)</f>
        <v>Annelies de Groot</v>
      </c>
      <c r="E1887" t="s">
        <v>383</v>
      </c>
      <c r="F1887" s="2">
        <v>0.95</v>
      </c>
      <c r="G1887" s="2">
        <v>1.1499999999999999</v>
      </c>
      <c r="H1887" s="2">
        <v>1</v>
      </c>
      <c r="I1887" s="2">
        <v>1</v>
      </c>
      <c r="J1887" s="2">
        <v>0.9</v>
      </c>
      <c r="K1887">
        <v>6</v>
      </c>
      <c r="L1887" s="19" t="s">
        <v>234</v>
      </c>
      <c r="M1887" s="21">
        <v>1</v>
      </c>
    </row>
    <row r="1888" spans="1:13" x14ac:dyDescent="0.2">
      <c r="A1888" t="s">
        <v>39</v>
      </c>
      <c r="B1888" t="str">
        <f>VLOOKUP(A1888,MasterTutor!A:E,4,FALSE)</f>
        <v>Premium</v>
      </c>
      <c r="C1888" t="str">
        <f>VLOOKUP(A1888,MasterTutor!A:E,3,FALSE)</f>
        <v>Adjunct</v>
      </c>
      <c r="D1888" t="str">
        <f>VLOOKUP(A1888,MasterTutor!A:E,2,FALSE)</f>
        <v>Jessica Milner</v>
      </c>
      <c r="E1888" t="s">
        <v>383</v>
      </c>
      <c r="F1888" s="2">
        <v>0.94</v>
      </c>
      <c r="G1888" s="2">
        <v>1.19</v>
      </c>
      <c r="H1888" s="2">
        <v>1</v>
      </c>
      <c r="I1888" s="2">
        <v>0.97</v>
      </c>
      <c r="J1888" s="2">
        <v>1</v>
      </c>
      <c r="K1888">
        <v>1</v>
      </c>
      <c r="L1888" s="19" t="s">
        <v>215</v>
      </c>
      <c r="M1888" s="21">
        <v>1</v>
      </c>
    </row>
    <row r="1889" spans="1:13" x14ac:dyDescent="0.2">
      <c r="A1889" t="s">
        <v>40</v>
      </c>
      <c r="B1889" t="str">
        <f>VLOOKUP(A1889,MasterTutor!A:E,4,FALSE)</f>
        <v>Advanced</v>
      </c>
      <c r="C1889" t="str">
        <f>VLOOKUP(A1889,MasterTutor!A:E,3,FALSE)</f>
        <v>Professional</v>
      </c>
      <c r="D1889" t="str">
        <f>VLOOKUP(A1889,MasterTutor!A:E,2,FALSE)</f>
        <v>Annelies de Groot</v>
      </c>
      <c r="E1889" t="s">
        <v>383</v>
      </c>
      <c r="F1889" s="2">
        <v>1.28</v>
      </c>
      <c r="G1889" s="2">
        <v>1.1299999999999999</v>
      </c>
      <c r="H1889" s="2">
        <v>0.99</v>
      </c>
      <c r="I1889" s="2">
        <v>0.89</v>
      </c>
      <c r="J1889" s="2">
        <v>0.94</v>
      </c>
      <c r="K1889">
        <v>15</v>
      </c>
      <c r="L1889" s="19" t="s">
        <v>243</v>
      </c>
      <c r="M1889" s="21">
        <v>0.33</v>
      </c>
    </row>
    <row r="1890" spans="1:13" x14ac:dyDescent="0.2">
      <c r="A1890" t="s">
        <v>41</v>
      </c>
      <c r="B1890" t="str">
        <f>VLOOKUP(A1890,MasterTutor!A:E,4,FALSE)</f>
        <v>Premium</v>
      </c>
      <c r="C1890" t="str">
        <f>VLOOKUP(A1890,MasterTutor!A:E,3,FALSE)</f>
        <v>Professional</v>
      </c>
      <c r="D1890" t="str">
        <f>VLOOKUP(A1890,MasterTutor!A:E,2,FALSE)</f>
        <v>Jessica Milner</v>
      </c>
      <c r="E1890" t="s">
        <v>383</v>
      </c>
      <c r="F1890" s="2">
        <v>0.51</v>
      </c>
      <c r="G1890" s="2">
        <v>0.84</v>
      </c>
      <c r="H1890" s="2">
        <v>0.98</v>
      </c>
      <c r="I1890" s="2">
        <v>0.94</v>
      </c>
      <c r="J1890" s="2">
        <v>0.82</v>
      </c>
      <c r="K1890">
        <v>0</v>
      </c>
      <c r="L1890" s="19" t="s">
        <v>225</v>
      </c>
      <c r="M1890" s="21">
        <v>0.5</v>
      </c>
    </row>
    <row r="1891" spans="1:13" x14ac:dyDescent="0.2">
      <c r="A1891" t="s">
        <v>385</v>
      </c>
      <c r="B1891" t="e">
        <f>VLOOKUP(A1891,MasterTutor!A:E,4,FALSE)</f>
        <v>#N/A</v>
      </c>
      <c r="C1891" t="e">
        <f>VLOOKUP(A1891,MasterTutor!A:E,3,FALSE)</f>
        <v>#N/A</v>
      </c>
      <c r="D1891" t="e">
        <f>VLOOKUP(A1891,MasterTutor!A:E,2,FALSE)</f>
        <v>#N/A</v>
      </c>
      <c r="E1891" t="s">
        <v>383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>
        <v>0</v>
      </c>
      <c r="L1891" s="20"/>
      <c r="M1891" s="21"/>
    </row>
    <row r="1892" spans="1:13" x14ac:dyDescent="0.2">
      <c r="A1892" t="s">
        <v>42</v>
      </c>
      <c r="B1892" t="str">
        <f>VLOOKUP(A1892,MasterTutor!A:E,4,FALSE)</f>
        <v>Premium</v>
      </c>
      <c r="C1892" t="str">
        <f>VLOOKUP(A1892,MasterTutor!A:E,3,FALSE)</f>
        <v>Adjunct</v>
      </c>
      <c r="D1892" t="str">
        <f>VLOOKUP(A1892,MasterTutor!A:E,2,FALSE)</f>
        <v>Ela Cross</v>
      </c>
      <c r="E1892" t="s">
        <v>383</v>
      </c>
      <c r="F1892" s="2">
        <v>0.1</v>
      </c>
      <c r="G1892" s="2">
        <v>1.19</v>
      </c>
      <c r="H1892" s="2">
        <v>1</v>
      </c>
      <c r="I1892" s="2">
        <v>1</v>
      </c>
      <c r="J1892" s="2">
        <v>1</v>
      </c>
      <c r="K1892">
        <v>0</v>
      </c>
      <c r="L1892" s="20"/>
      <c r="M1892" s="21"/>
    </row>
    <row r="1893" spans="1:13" x14ac:dyDescent="0.2">
      <c r="A1893" t="s">
        <v>45</v>
      </c>
      <c r="B1893" t="str">
        <f>VLOOKUP(A1893,MasterTutor!A:E,4,FALSE)</f>
        <v>Distinguished</v>
      </c>
      <c r="C1893" t="str">
        <f>VLOOKUP(A1893,MasterTutor!A:E,3,FALSE)</f>
        <v>Adjunct</v>
      </c>
      <c r="D1893" t="str">
        <f>VLOOKUP(A1893,MasterTutor!A:E,2,FALSE)</f>
        <v>Kristin Haase-Alvey</v>
      </c>
      <c r="E1893" t="s">
        <v>383</v>
      </c>
      <c r="F1893" s="2">
        <v>0.88</v>
      </c>
      <c r="G1893" s="2">
        <v>1.04</v>
      </c>
      <c r="H1893" s="2">
        <v>1</v>
      </c>
      <c r="I1893" s="2">
        <v>0.97</v>
      </c>
      <c r="J1893" s="2">
        <v>0.67</v>
      </c>
      <c r="K1893">
        <v>0</v>
      </c>
      <c r="L1893" s="19" t="s">
        <v>219</v>
      </c>
      <c r="M1893" s="21">
        <v>0</v>
      </c>
    </row>
    <row r="1894" spans="1:13" x14ac:dyDescent="0.2">
      <c r="A1894" t="s">
        <v>46</v>
      </c>
      <c r="B1894" t="str">
        <f>VLOOKUP(A1894,MasterTutor!A:E,4,FALSE)</f>
        <v>Distinguished</v>
      </c>
      <c r="C1894" t="str">
        <f>VLOOKUP(A1894,MasterTutor!A:E,3,FALSE)</f>
        <v>Professional</v>
      </c>
      <c r="D1894" t="str">
        <f>VLOOKUP(A1894,MasterTutor!A:E,2,FALSE)</f>
        <v>Ian Plamondon</v>
      </c>
      <c r="E1894" t="s">
        <v>383</v>
      </c>
      <c r="F1894" s="2">
        <v>1.1000000000000001</v>
      </c>
      <c r="G1894" s="2">
        <v>0.96</v>
      </c>
      <c r="H1894" s="2">
        <v>0.96</v>
      </c>
      <c r="I1894" s="2">
        <v>0.71</v>
      </c>
      <c r="J1894" s="2">
        <v>0.51</v>
      </c>
      <c r="K1894">
        <v>5</v>
      </c>
      <c r="L1894" s="19" t="s">
        <v>219</v>
      </c>
      <c r="M1894" s="21">
        <v>0</v>
      </c>
    </row>
    <row r="1895" spans="1:13" x14ac:dyDescent="0.2">
      <c r="A1895" t="s">
        <v>236</v>
      </c>
      <c r="B1895" t="str">
        <f>VLOOKUP(A1895,MasterTutor!A:E,4,FALSE)</f>
        <v>Advanced</v>
      </c>
      <c r="C1895" t="str">
        <f>VLOOKUP(A1895,MasterTutor!A:E,3,FALSE)</f>
        <v xml:space="preserve">Professional </v>
      </c>
      <c r="D1895" t="str">
        <f>VLOOKUP(A1895,MasterTutor!A:E,2,FALSE)</f>
        <v>Kristin Haase-Alvey</v>
      </c>
      <c r="E1895" t="s">
        <v>383</v>
      </c>
      <c r="F1895" s="2">
        <v>0.83</v>
      </c>
      <c r="G1895" s="2">
        <v>0.94</v>
      </c>
      <c r="H1895" s="2">
        <v>0.99</v>
      </c>
      <c r="I1895" s="2">
        <v>0.97</v>
      </c>
      <c r="J1895" s="2">
        <v>0.64</v>
      </c>
      <c r="K1895">
        <v>9</v>
      </c>
      <c r="L1895" s="19" t="s">
        <v>242</v>
      </c>
      <c r="M1895" s="21">
        <v>0.4</v>
      </c>
    </row>
    <row r="1896" spans="1:13" x14ac:dyDescent="0.2">
      <c r="A1896" t="s">
        <v>238</v>
      </c>
      <c r="B1896" t="str">
        <f>VLOOKUP(A1896,MasterTutor!A:E,4,FALSE)</f>
        <v>Advanced</v>
      </c>
      <c r="C1896" t="str">
        <f>VLOOKUP(A1896,MasterTutor!A:E,3,FALSE)</f>
        <v>Professional</v>
      </c>
      <c r="D1896" t="str">
        <f>VLOOKUP(A1896,MasterTutor!A:E,2,FALSE)</f>
        <v>Ela Cross</v>
      </c>
      <c r="E1896" t="s">
        <v>383</v>
      </c>
      <c r="F1896" s="2">
        <v>0.85</v>
      </c>
      <c r="G1896" s="2">
        <v>1.1499999999999999</v>
      </c>
      <c r="H1896" s="2">
        <v>0.99</v>
      </c>
      <c r="I1896" s="2">
        <v>0.99</v>
      </c>
      <c r="J1896" s="2">
        <v>0.94</v>
      </c>
      <c r="K1896">
        <v>10</v>
      </c>
      <c r="L1896" s="19" t="s">
        <v>386</v>
      </c>
      <c r="M1896" s="21">
        <v>1</v>
      </c>
    </row>
    <row r="1897" spans="1:13" x14ac:dyDescent="0.2">
      <c r="A1897" t="s">
        <v>239</v>
      </c>
      <c r="B1897" t="str">
        <f>VLOOKUP(A1897,MasterTutor!A:E,4,FALSE)</f>
        <v>Advanced</v>
      </c>
      <c r="C1897" t="str">
        <f>VLOOKUP(A1897,MasterTutor!A:E,3,FALSE)</f>
        <v>Professional</v>
      </c>
      <c r="D1897" t="str">
        <f>VLOOKUP(A1897,MasterTutor!A:E,2,FALSE)</f>
        <v>Ela Cross</v>
      </c>
      <c r="E1897" t="s">
        <v>383</v>
      </c>
      <c r="F1897" s="2">
        <v>0.32</v>
      </c>
      <c r="G1897" s="2">
        <v>0.82</v>
      </c>
      <c r="H1897" s="2">
        <v>1</v>
      </c>
      <c r="I1897" s="2">
        <v>0.92</v>
      </c>
      <c r="J1897" s="2">
        <v>0</v>
      </c>
      <c r="K1897">
        <v>3</v>
      </c>
      <c r="L1897" s="19" t="s">
        <v>387</v>
      </c>
      <c r="M1897" s="21">
        <v>0.21</v>
      </c>
    </row>
    <row r="1898" spans="1:13" x14ac:dyDescent="0.2">
      <c r="A1898" t="s">
        <v>48</v>
      </c>
      <c r="B1898" t="str">
        <f>VLOOKUP(A1898,MasterTutor!A:E,4,FALSE)</f>
        <v>Advanced</v>
      </c>
      <c r="C1898" t="str">
        <f>VLOOKUP(A1898,MasterTutor!A:E,3,FALSE)</f>
        <v>Professional</v>
      </c>
      <c r="D1898" t="str">
        <f>VLOOKUP(A1898,MasterTutor!A:E,2,FALSE)</f>
        <v>Annelies de Groot</v>
      </c>
      <c r="E1898" t="s">
        <v>383</v>
      </c>
      <c r="F1898" s="2">
        <v>1.04</v>
      </c>
      <c r="G1898" s="2">
        <v>1.17</v>
      </c>
      <c r="H1898" s="2">
        <v>1</v>
      </c>
      <c r="I1898" s="2">
        <v>0.94</v>
      </c>
      <c r="J1898" s="2">
        <v>0.84</v>
      </c>
      <c r="K1898">
        <v>8</v>
      </c>
      <c r="L1898" s="19" t="s">
        <v>241</v>
      </c>
      <c r="M1898" s="21">
        <v>0.67</v>
      </c>
    </row>
    <row r="1899" spans="1:13" x14ac:dyDescent="0.2">
      <c r="A1899" t="s">
        <v>49</v>
      </c>
      <c r="B1899" t="str">
        <f>VLOOKUP(A1899,MasterTutor!A:E,4,FALSE)</f>
        <v>Advanced</v>
      </c>
      <c r="C1899" t="str">
        <f>VLOOKUP(A1899,MasterTutor!A:E,3,FALSE)</f>
        <v>Professional</v>
      </c>
      <c r="D1899" t="str">
        <f>VLOOKUP(A1899,MasterTutor!A:E,2,FALSE)</f>
        <v>Ian Plamondon</v>
      </c>
      <c r="E1899" t="s">
        <v>383</v>
      </c>
      <c r="F1899" s="2">
        <v>0.78</v>
      </c>
      <c r="G1899" s="2">
        <v>1.1100000000000001</v>
      </c>
      <c r="H1899" s="2">
        <v>0.88</v>
      </c>
      <c r="I1899" s="2">
        <v>0.85</v>
      </c>
      <c r="J1899" s="2">
        <v>0.69</v>
      </c>
      <c r="K1899">
        <v>1</v>
      </c>
      <c r="L1899" s="20"/>
    </row>
    <row r="1900" spans="1:13" x14ac:dyDescent="0.2">
      <c r="A1900" t="s">
        <v>50</v>
      </c>
      <c r="B1900" t="str">
        <f>VLOOKUP(A1900,MasterTutor!A:E,4,FALSE)</f>
        <v>Premium</v>
      </c>
      <c r="C1900" t="str">
        <f>VLOOKUP(A1900,MasterTutor!A:E,3,FALSE)</f>
        <v>Adjunct</v>
      </c>
      <c r="D1900" t="str">
        <f>VLOOKUP(A1900,MasterTutor!A:E,2,FALSE)</f>
        <v>Kristin Haase-Alvey</v>
      </c>
      <c r="E1900" t="s">
        <v>383</v>
      </c>
      <c r="F1900" s="2">
        <v>0</v>
      </c>
      <c r="G1900" s="2">
        <v>0.03</v>
      </c>
      <c r="H1900" s="2">
        <v>0</v>
      </c>
      <c r="I1900" s="2">
        <v>0</v>
      </c>
      <c r="J1900" s="2">
        <v>0</v>
      </c>
      <c r="K1900">
        <v>0</v>
      </c>
      <c r="L1900" s="20"/>
    </row>
    <row r="1901" spans="1:13" x14ac:dyDescent="0.2">
      <c r="A1901" t="s">
        <v>51</v>
      </c>
      <c r="B1901" t="str">
        <f>VLOOKUP(A1901,MasterTutor!A:E,4,FALSE)</f>
        <v>Premium</v>
      </c>
      <c r="C1901" t="str">
        <f>VLOOKUP(A1901,MasterTutor!A:E,3,FALSE)</f>
        <v>Adjunct</v>
      </c>
      <c r="D1901" t="str">
        <f>VLOOKUP(A1901,MasterTutor!A:E,2,FALSE)</f>
        <v>Annelies de Groot</v>
      </c>
      <c r="E1901" t="s">
        <v>383</v>
      </c>
      <c r="F1901" s="2">
        <v>0.94</v>
      </c>
      <c r="G1901" s="2">
        <v>1.08</v>
      </c>
      <c r="H1901" s="2">
        <v>1</v>
      </c>
      <c r="I1901" s="2">
        <v>1</v>
      </c>
      <c r="J1901" s="2">
        <v>1</v>
      </c>
      <c r="K1901">
        <v>0</v>
      </c>
      <c r="L1901" s="20"/>
    </row>
    <row r="1902" spans="1:13" x14ac:dyDescent="0.2">
      <c r="A1902" t="s">
        <v>52</v>
      </c>
      <c r="B1902" t="str">
        <f>VLOOKUP(A1902,MasterTutor!A:E,4,FALSE)</f>
        <v>Premium</v>
      </c>
      <c r="C1902" t="str">
        <f>VLOOKUP(A1902,MasterTutor!A:E,3,FALSE)</f>
        <v>Professional</v>
      </c>
      <c r="D1902" t="str">
        <f>VLOOKUP(A1902,MasterTutor!A:E,2,FALSE)</f>
        <v>Jessica Milner</v>
      </c>
      <c r="E1902" t="s">
        <v>383</v>
      </c>
      <c r="F1902" s="2">
        <v>1.05</v>
      </c>
      <c r="G1902" s="2">
        <v>1.29</v>
      </c>
      <c r="H1902" s="2">
        <v>0.99</v>
      </c>
      <c r="I1902" s="2">
        <v>1</v>
      </c>
      <c r="J1902" s="2">
        <v>0.83</v>
      </c>
      <c r="K1902">
        <v>3</v>
      </c>
      <c r="L1902" s="20"/>
    </row>
    <row r="1903" spans="1:13" x14ac:dyDescent="0.2">
      <c r="A1903" t="s">
        <v>53</v>
      </c>
      <c r="B1903" t="str">
        <f>VLOOKUP(A1903,MasterTutor!A:E,4,FALSE)</f>
        <v>Advanced</v>
      </c>
      <c r="C1903" t="str">
        <f>VLOOKUP(A1903,MasterTutor!A:E,3,FALSE)</f>
        <v>Professional</v>
      </c>
      <c r="D1903" t="str">
        <f>VLOOKUP(A1903,MasterTutor!A:E,2,FALSE)</f>
        <v>Kristin Haase-Alvey</v>
      </c>
      <c r="E1903" t="s">
        <v>383</v>
      </c>
      <c r="F1903" s="2">
        <v>0.87</v>
      </c>
      <c r="G1903" s="2">
        <v>1.03</v>
      </c>
      <c r="H1903" s="2">
        <v>0.89</v>
      </c>
      <c r="I1903" s="2">
        <v>0.91</v>
      </c>
      <c r="J1903" s="2">
        <v>0.8</v>
      </c>
      <c r="K1903">
        <v>6</v>
      </c>
      <c r="L1903" s="19" t="s">
        <v>232</v>
      </c>
      <c r="M1903" s="21">
        <v>0.71</v>
      </c>
    </row>
    <row r="1904" spans="1:13" x14ac:dyDescent="0.2">
      <c r="A1904" t="s">
        <v>54</v>
      </c>
      <c r="B1904" t="str">
        <f>VLOOKUP(A1904,MasterTutor!A:E,4,FALSE)</f>
        <v>Premium</v>
      </c>
      <c r="C1904" t="str">
        <f>VLOOKUP(A1904,MasterTutor!A:E,3,FALSE)</f>
        <v>Professional</v>
      </c>
      <c r="D1904" t="str">
        <f>VLOOKUP(A1904,MasterTutor!A:E,2,FALSE)</f>
        <v>Jessica Milner</v>
      </c>
      <c r="E1904" t="s">
        <v>383</v>
      </c>
      <c r="F1904" s="2">
        <v>0.75</v>
      </c>
      <c r="G1904" s="2">
        <v>1.01</v>
      </c>
      <c r="H1904" s="2">
        <v>1</v>
      </c>
      <c r="I1904" s="2">
        <v>0.95</v>
      </c>
      <c r="J1904" s="2">
        <v>0.56999999999999995</v>
      </c>
      <c r="K1904">
        <v>1</v>
      </c>
      <c r="L1904" s="19" t="s">
        <v>218</v>
      </c>
      <c r="M1904" s="21">
        <v>0.66</v>
      </c>
    </row>
    <row r="1905" spans="1:13" x14ac:dyDescent="0.2">
      <c r="A1905" t="s">
        <v>55</v>
      </c>
      <c r="B1905" t="str">
        <f>VLOOKUP(A1905,MasterTutor!A:E,4,FALSE)</f>
        <v>Premium</v>
      </c>
      <c r="C1905" t="str">
        <f>VLOOKUP(A1905,MasterTutor!A:E,3,FALSE)</f>
        <v>Adjunct</v>
      </c>
      <c r="D1905" t="str">
        <f>VLOOKUP(A1905,MasterTutor!A:E,2,FALSE)</f>
        <v>Ela Cross</v>
      </c>
      <c r="E1905" t="s">
        <v>383</v>
      </c>
      <c r="F1905" s="2">
        <v>1.0900000000000001</v>
      </c>
      <c r="G1905" s="2">
        <v>1.39</v>
      </c>
      <c r="H1905" s="2">
        <v>0.92</v>
      </c>
      <c r="I1905" s="2">
        <v>1</v>
      </c>
      <c r="J1905" s="2">
        <v>0.71</v>
      </c>
      <c r="K1905">
        <v>1</v>
      </c>
      <c r="L1905" s="20"/>
    </row>
    <row r="1906" spans="1:13" x14ac:dyDescent="0.2">
      <c r="A1906" t="s">
        <v>56</v>
      </c>
      <c r="B1906" t="str">
        <f>VLOOKUP(A1906,MasterTutor!A:E,4,FALSE)</f>
        <v>Advanced</v>
      </c>
      <c r="C1906" t="str">
        <f>VLOOKUP(A1906,MasterTutor!A:E,3,FALSE)</f>
        <v>Professional</v>
      </c>
      <c r="D1906" t="str">
        <f>VLOOKUP(A1906,MasterTutor!A:E,2,FALSE)</f>
        <v>Ela Cross</v>
      </c>
      <c r="E1906" t="s">
        <v>383</v>
      </c>
      <c r="F1906" s="2">
        <v>0.99</v>
      </c>
      <c r="G1906" s="2">
        <v>1.06</v>
      </c>
      <c r="H1906" s="2">
        <v>0.9</v>
      </c>
      <c r="I1906" s="2">
        <v>0.91</v>
      </c>
      <c r="J1906" s="2">
        <v>0.46</v>
      </c>
      <c r="K1906">
        <v>8</v>
      </c>
      <c r="L1906" s="19" t="s">
        <v>234</v>
      </c>
      <c r="M1906" s="21">
        <v>1</v>
      </c>
    </row>
    <row r="1907" spans="1:13" x14ac:dyDescent="0.2">
      <c r="A1907" t="s">
        <v>245</v>
      </c>
      <c r="B1907" t="str">
        <f>VLOOKUP(A1907,MasterTutor!A:E,4,FALSE)</f>
        <v>Advanced</v>
      </c>
      <c r="C1907" t="str">
        <f>VLOOKUP(A1907,MasterTutor!A:E,3,FALSE)</f>
        <v>Professional</v>
      </c>
      <c r="D1907" t="str">
        <f>VLOOKUP(A1907,MasterTutor!A:E,2,FALSE)</f>
        <v>Ela Cross</v>
      </c>
      <c r="E1907" t="s">
        <v>383</v>
      </c>
      <c r="F1907" s="2">
        <v>0.6</v>
      </c>
      <c r="G1907" s="2">
        <v>1.02</v>
      </c>
      <c r="H1907" s="2">
        <v>0.88</v>
      </c>
      <c r="I1907" s="2">
        <v>0.98</v>
      </c>
      <c r="J1907" s="2">
        <v>0.93</v>
      </c>
      <c r="K1907">
        <v>1</v>
      </c>
      <c r="L1907" s="19" t="s">
        <v>214</v>
      </c>
      <c r="M1907" s="21">
        <v>0.6</v>
      </c>
    </row>
    <row r="1908" spans="1:13" x14ac:dyDescent="0.2">
      <c r="A1908" t="s">
        <v>57</v>
      </c>
      <c r="B1908" t="str">
        <f>VLOOKUP(A1908,MasterTutor!A:E,4,FALSE)</f>
        <v>Advanced</v>
      </c>
      <c r="C1908" t="str">
        <f>VLOOKUP(A1908,MasterTutor!A:E,3,FALSE)</f>
        <v>Professional</v>
      </c>
      <c r="D1908" t="str">
        <f>VLOOKUP(A1908,MasterTutor!A:E,2,FALSE)</f>
        <v>Ian Plamondon</v>
      </c>
      <c r="E1908" t="s">
        <v>383</v>
      </c>
      <c r="F1908" s="2">
        <v>0.66</v>
      </c>
      <c r="G1908" s="2">
        <v>0.98</v>
      </c>
      <c r="H1908" s="2">
        <v>0.98</v>
      </c>
      <c r="I1908" s="2">
        <v>0.92</v>
      </c>
      <c r="J1908" s="2">
        <v>0</v>
      </c>
      <c r="K1908">
        <v>6</v>
      </c>
      <c r="L1908" s="19" t="s">
        <v>388</v>
      </c>
      <c r="M1908" s="21">
        <v>0.81</v>
      </c>
    </row>
    <row r="1909" spans="1:13" x14ac:dyDescent="0.2">
      <c r="A1909" t="s">
        <v>248</v>
      </c>
      <c r="B1909" t="e">
        <f>VLOOKUP(A1909,MasterTutor!A:E,4,FALSE)</f>
        <v>#N/A</v>
      </c>
      <c r="C1909" t="e">
        <f>VLOOKUP(A1909,MasterTutor!A:E,3,FALSE)</f>
        <v>#N/A</v>
      </c>
      <c r="D1909" t="e">
        <f>VLOOKUP(A1909,MasterTutor!A:E,2,FALSE)</f>
        <v>#N/A</v>
      </c>
      <c r="E1909" t="s">
        <v>383</v>
      </c>
      <c r="F1909" s="2">
        <v>0.76</v>
      </c>
      <c r="G1909" s="2">
        <v>0.94</v>
      </c>
      <c r="H1909" s="2">
        <v>1</v>
      </c>
      <c r="I1909" s="2">
        <v>0.99</v>
      </c>
      <c r="J1909" s="2">
        <v>0.17</v>
      </c>
      <c r="K1909">
        <v>5</v>
      </c>
      <c r="L1909" s="19" t="s">
        <v>267</v>
      </c>
      <c r="M1909" s="21">
        <v>0</v>
      </c>
    </row>
    <row r="1910" spans="1:13" x14ac:dyDescent="0.2">
      <c r="A1910" t="s">
        <v>249</v>
      </c>
      <c r="B1910" t="str">
        <f>VLOOKUP(A1910,MasterTutor!A:E,4,FALSE)</f>
        <v>Advanced</v>
      </c>
      <c r="C1910" t="str">
        <f>VLOOKUP(A1910,MasterTutor!A:E,3,FALSE)</f>
        <v>Adjunct</v>
      </c>
      <c r="D1910" t="str">
        <f>VLOOKUP(A1910,MasterTutor!A:E,2,FALSE)</f>
        <v>Annelies de Groot</v>
      </c>
      <c r="E1910" t="s">
        <v>383</v>
      </c>
      <c r="F1910" s="2">
        <v>0.83</v>
      </c>
      <c r="G1910" s="2">
        <v>1.1100000000000001</v>
      </c>
      <c r="H1910" s="2">
        <v>0.99</v>
      </c>
      <c r="I1910" s="2">
        <v>1</v>
      </c>
      <c r="J1910" s="2">
        <v>0.22</v>
      </c>
      <c r="K1910">
        <v>8</v>
      </c>
      <c r="L1910" s="19" t="s">
        <v>277</v>
      </c>
      <c r="M1910" s="21">
        <v>0.38</v>
      </c>
    </row>
    <row r="1911" spans="1:13" x14ac:dyDescent="0.2">
      <c r="A1911" t="s">
        <v>250</v>
      </c>
      <c r="B1911" t="str">
        <f>VLOOKUP(A1911,MasterTutor!A:E,4,FALSE)</f>
        <v>Advanced</v>
      </c>
      <c r="C1911" t="str">
        <f>VLOOKUP(A1911,MasterTutor!A:E,3,FALSE)</f>
        <v>Professional</v>
      </c>
      <c r="D1911" t="str">
        <f>VLOOKUP(A1911,MasterTutor!A:E,2,FALSE)</f>
        <v>Annelies de Groot</v>
      </c>
      <c r="E1911" t="s">
        <v>383</v>
      </c>
      <c r="F1911" s="2">
        <v>0.7</v>
      </c>
      <c r="G1911" s="2">
        <v>1.04</v>
      </c>
      <c r="H1911" s="2">
        <v>0.99</v>
      </c>
      <c r="I1911" s="2">
        <v>0.93</v>
      </c>
      <c r="J1911" s="2">
        <v>0.4</v>
      </c>
      <c r="K1911">
        <v>1</v>
      </c>
      <c r="L1911" s="19" t="s">
        <v>389</v>
      </c>
      <c r="M1911" s="21">
        <v>0.18</v>
      </c>
    </row>
    <row r="1912" spans="1:13" x14ac:dyDescent="0.2">
      <c r="A1912" t="s">
        <v>58</v>
      </c>
      <c r="B1912" t="str">
        <f>VLOOKUP(A1912,MasterTutor!A:E,4,FALSE)</f>
        <v>Premium</v>
      </c>
      <c r="C1912" t="str">
        <f>VLOOKUP(A1912,MasterTutor!A:E,3,FALSE)</f>
        <v>Professional</v>
      </c>
      <c r="D1912" t="str">
        <f>VLOOKUP(A1912,MasterTutor!A:E,2,FALSE)</f>
        <v>Jessica Milner</v>
      </c>
      <c r="E1912" t="s">
        <v>383</v>
      </c>
      <c r="F1912" s="2">
        <v>0.96</v>
      </c>
      <c r="G1912" s="2">
        <v>1.08</v>
      </c>
      <c r="H1912" s="2">
        <v>1</v>
      </c>
      <c r="I1912" s="2">
        <v>0.97</v>
      </c>
      <c r="J1912" s="2">
        <v>0.79</v>
      </c>
      <c r="K1912">
        <v>2</v>
      </c>
      <c r="L1912" s="19" t="s">
        <v>226</v>
      </c>
      <c r="M1912" s="21">
        <v>0.75</v>
      </c>
    </row>
    <row r="1913" spans="1:13" x14ac:dyDescent="0.2">
      <c r="A1913" t="s">
        <v>59</v>
      </c>
      <c r="B1913" t="str">
        <f>VLOOKUP(A1913,MasterTutor!A:E,4,FALSE)</f>
        <v>Distinguished</v>
      </c>
      <c r="C1913" t="str">
        <f>VLOOKUP(A1913,MasterTutor!A:E,3,FALSE)</f>
        <v>Professional</v>
      </c>
      <c r="D1913" t="str">
        <f>VLOOKUP(A1913,MasterTutor!A:E,2,FALSE)</f>
        <v>Ela Cross</v>
      </c>
      <c r="E1913" t="s">
        <v>383</v>
      </c>
      <c r="F1913" s="2">
        <v>0.4</v>
      </c>
      <c r="G1913" s="2">
        <v>0.97</v>
      </c>
      <c r="H1913" s="2">
        <v>1</v>
      </c>
      <c r="I1913" s="2">
        <v>0.93</v>
      </c>
      <c r="J1913" s="2">
        <v>0.43</v>
      </c>
      <c r="K1913">
        <v>0</v>
      </c>
      <c r="L1913" s="19" t="s">
        <v>226</v>
      </c>
      <c r="M1913" s="21">
        <v>0.75</v>
      </c>
    </row>
    <row r="1914" spans="1:13" x14ac:dyDescent="0.2">
      <c r="A1914" t="s">
        <v>60</v>
      </c>
      <c r="B1914" t="str">
        <f>VLOOKUP(A1914,MasterTutor!A:E,4,FALSE)</f>
        <v>Advanced</v>
      </c>
      <c r="C1914" t="str">
        <f>VLOOKUP(A1914,MasterTutor!A:E,3,FALSE)</f>
        <v>Adjunct</v>
      </c>
      <c r="D1914" t="str">
        <f>VLOOKUP(A1914,MasterTutor!A:E,2,FALSE)</f>
        <v>Kristin Haase-Alvey</v>
      </c>
      <c r="E1914" t="s">
        <v>383</v>
      </c>
      <c r="F1914" s="2">
        <v>0.78</v>
      </c>
      <c r="G1914" s="2">
        <v>1.1499999999999999</v>
      </c>
      <c r="H1914" s="2">
        <v>0.91</v>
      </c>
      <c r="I1914" s="2">
        <v>0.91</v>
      </c>
      <c r="J1914" s="2">
        <v>0.75</v>
      </c>
      <c r="K1914">
        <v>5</v>
      </c>
      <c r="L1914" s="19" t="s">
        <v>227</v>
      </c>
      <c r="M1914" s="21">
        <v>1</v>
      </c>
    </row>
    <row r="1915" spans="1:13" x14ac:dyDescent="0.2">
      <c r="A1915" t="s">
        <v>61</v>
      </c>
      <c r="B1915" t="str">
        <f>VLOOKUP(A1915,MasterTutor!A:E,4,FALSE)</f>
        <v>Advanced</v>
      </c>
      <c r="C1915" t="str">
        <f>VLOOKUP(A1915,MasterTutor!A:E,3,FALSE)</f>
        <v>Adjunct</v>
      </c>
      <c r="D1915" t="str">
        <f>VLOOKUP(A1915,MasterTutor!A:E,2,FALSE)</f>
        <v>Ela Cross</v>
      </c>
      <c r="E1915" t="s">
        <v>383</v>
      </c>
      <c r="F1915" s="2">
        <v>1.1000000000000001</v>
      </c>
      <c r="G1915" s="2">
        <v>1.7</v>
      </c>
      <c r="H1915" s="2">
        <v>0.98</v>
      </c>
      <c r="I1915" s="2">
        <v>0.74</v>
      </c>
      <c r="J1915" s="2">
        <v>0.08</v>
      </c>
      <c r="K1915">
        <v>5</v>
      </c>
      <c r="L1915" s="19" t="s">
        <v>266</v>
      </c>
      <c r="M1915" s="21">
        <v>0</v>
      </c>
    </row>
    <row r="1916" spans="1:13" x14ac:dyDescent="0.2">
      <c r="A1916" t="s">
        <v>62</v>
      </c>
      <c r="B1916" t="e">
        <f>VLOOKUP(A1916,MasterTutor!A:E,4,FALSE)</f>
        <v>#N/A</v>
      </c>
      <c r="C1916" t="e">
        <f>VLOOKUP(A1916,MasterTutor!A:E,3,FALSE)</f>
        <v>#N/A</v>
      </c>
      <c r="D1916" t="e">
        <f>VLOOKUP(A1916,MasterTutor!A:E,2,FALSE)</f>
        <v>#N/A</v>
      </c>
      <c r="E1916" t="s">
        <v>383</v>
      </c>
      <c r="F1916" s="2">
        <v>0.68</v>
      </c>
      <c r="G1916" s="2">
        <v>1.01</v>
      </c>
      <c r="H1916" s="2">
        <v>0.97</v>
      </c>
      <c r="I1916" s="2">
        <v>0.86</v>
      </c>
      <c r="J1916" s="2">
        <v>0.25</v>
      </c>
      <c r="K1916">
        <v>2</v>
      </c>
      <c r="L1916" s="20"/>
    </row>
    <row r="1917" spans="1:13" x14ac:dyDescent="0.2">
      <c r="A1917" t="s">
        <v>63</v>
      </c>
      <c r="B1917" t="str">
        <f>VLOOKUP(A1917,MasterTutor!A:E,4,FALSE)</f>
        <v>Advanced</v>
      </c>
      <c r="C1917" t="str">
        <f>VLOOKUP(A1917,MasterTutor!A:E,3,FALSE)</f>
        <v>Adjunct</v>
      </c>
      <c r="D1917" t="str">
        <f>VLOOKUP(A1917,MasterTutor!A:E,2,FALSE)</f>
        <v>Kristin Haase-Alvey</v>
      </c>
      <c r="E1917" t="s">
        <v>383</v>
      </c>
      <c r="F1917" s="2">
        <v>0.73</v>
      </c>
      <c r="G1917" s="2">
        <v>1.24</v>
      </c>
      <c r="H1917" s="2">
        <v>0.98</v>
      </c>
      <c r="I1917" s="2">
        <v>1</v>
      </c>
      <c r="J1917" s="2">
        <v>1</v>
      </c>
      <c r="K1917">
        <v>2</v>
      </c>
      <c r="L1917" s="19" t="s">
        <v>227</v>
      </c>
      <c r="M1917" s="21">
        <v>1</v>
      </c>
    </row>
    <row r="1918" spans="1:13" x14ac:dyDescent="0.2">
      <c r="A1918" t="s">
        <v>64</v>
      </c>
      <c r="B1918" t="str">
        <f>VLOOKUP(A1918,MasterTutor!A:E,4,FALSE)</f>
        <v>Distinguished</v>
      </c>
      <c r="C1918" t="str">
        <f>VLOOKUP(A1918,MasterTutor!A:E,3,FALSE)</f>
        <v>Professional</v>
      </c>
      <c r="D1918" t="str">
        <f>VLOOKUP(A1918,MasterTutor!A:E,2,FALSE)</f>
        <v>Ian Plamondon</v>
      </c>
      <c r="E1918" t="s">
        <v>383</v>
      </c>
      <c r="F1918" s="2">
        <v>0.93</v>
      </c>
      <c r="G1918" s="2">
        <v>1.24</v>
      </c>
      <c r="H1918" s="2">
        <v>0.87</v>
      </c>
      <c r="I1918" s="2">
        <v>1</v>
      </c>
      <c r="J1918" s="2">
        <v>1</v>
      </c>
      <c r="K1918">
        <v>1</v>
      </c>
      <c r="L1918" s="19" t="s">
        <v>215</v>
      </c>
      <c r="M1918" s="21">
        <v>1</v>
      </c>
    </row>
    <row r="1919" spans="1:13" x14ac:dyDescent="0.2">
      <c r="A1919" t="s">
        <v>65</v>
      </c>
      <c r="B1919" t="str">
        <f>VLOOKUP(A1919,MasterTutor!A:E,4,FALSE)</f>
        <v>Premium</v>
      </c>
      <c r="C1919" t="str">
        <f>VLOOKUP(A1919,MasterTutor!A:E,3,FALSE)</f>
        <v>Professional</v>
      </c>
      <c r="D1919" t="str">
        <f>VLOOKUP(A1919,MasterTutor!A:E,2,FALSE)</f>
        <v>Ian Plamondon</v>
      </c>
      <c r="E1919" t="s">
        <v>383</v>
      </c>
      <c r="F1919" s="2">
        <v>0</v>
      </c>
      <c r="G1919" s="2">
        <v>0.03</v>
      </c>
      <c r="H1919" s="2">
        <v>0</v>
      </c>
      <c r="I1919" s="2">
        <v>0</v>
      </c>
      <c r="J1919" s="2">
        <v>0</v>
      </c>
      <c r="K1919">
        <v>0</v>
      </c>
      <c r="L1919" s="20"/>
    </row>
    <row r="1920" spans="1:13" x14ac:dyDescent="0.2">
      <c r="A1920" t="s">
        <v>254</v>
      </c>
      <c r="B1920" t="str">
        <f>VLOOKUP(A1920,MasterTutor!A:E,4,FALSE)</f>
        <v>Advanced</v>
      </c>
      <c r="C1920" t="str">
        <f>VLOOKUP(A1920,MasterTutor!A:E,3,FALSE)</f>
        <v>Professional</v>
      </c>
      <c r="D1920" t="str">
        <f>VLOOKUP(A1920,MasterTutor!A:E,2,FALSE)</f>
        <v>Annelies de Groot</v>
      </c>
      <c r="E1920" t="s">
        <v>383</v>
      </c>
      <c r="F1920" s="2">
        <v>0.95</v>
      </c>
      <c r="G1920" s="2">
        <v>1.1200000000000001</v>
      </c>
      <c r="H1920" s="2">
        <v>0.87</v>
      </c>
      <c r="I1920" s="2">
        <v>0.83</v>
      </c>
      <c r="J1920" s="2">
        <v>0.75</v>
      </c>
      <c r="K1920">
        <v>7</v>
      </c>
      <c r="L1920" s="19" t="s">
        <v>381</v>
      </c>
      <c r="M1920" s="21">
        <v>0</v>
      </c>
    </row>
    <row r="1921" spans="1:13" x14ac:dyDescent="0.2">
      <c r="A1921" t="s">
        <v>67</v>
      </c>
      <c r="B1921" t="str">
        <f>VLOOKUP(A1921,MasterTutor!A:E,4,FALSE)</f>
        <v>Distinguished</v>
      </c>
      <c r="C1921" t="str">
        <f>VLOOKUP(A1921,MasterTutor!A:E,3,FALSE)</f>
        <v>Professional</v>
      </c>
      <c r="D1921" t="str">
        <f>VLOOKUP(A1921,MasterTutor!A:E,2,FALSE)</f>
        <v>Ian Plamondon</v>
      </c>
      <c r="E1921" t="s">
        <v>383</v>
      </c>
      <c r="F1921" s="2">
        <v>0.93</v>
      </c>
      <c r="G1921" s="2">
        <v>1.27</v>
      </c>
      <c r="H1921" s="2">
        <v>1</v>
      </c>
      <c r="I1921" s="2">
        <v>1</v>
      </c>
      <c r="J1921" s="2">
        <v>0.88</v>
      </c>
      <c r="K1921">
        <v>3</v>
      </c>
      <c r="L1921" s="19" t="s">
        <v>215</v>
      </c>
      <c r="M1921" s="21">
        <v>1</v>
      </c>
    </row>
    <row r="1922" spans="1:13" x14ac:dyDescent="0.2">
      <c r="A1922" t="s">
        <v>68</v>
      </c>
      <c r="B1922" t="str">
        <f>VLOOKUP(A1922,MasterTutor!A:E,4,FALSE)</f>
        <v>Advanced</v>
      </c>
      <c r="C1922" t="str">
        <f>VLOOKUP(A1922,MasterTutor!A:E,3,FALSE)</f>
        <v>Professional</v>
      </c>
      <c r="D1922" t="str">
        <f>VLOOKUP(A1922,MasterTutor!A:E,2,FALSE)</f>
        <v>Ian Plamondon</v>
      </c>
      <c r="E1922" t="s">
        <v>383</v>
      </c>
      <c r="F1922" s="2">
        <v>0.79</v>
      </c>
      <c r="G1922" s="2">
        <v>1.06</v>
      </c>
      <c r="H1922" s="2">
        <v>0.94</v>
      </c>
      <c r="I1922" s="2">
        <v>0.98</v>
      </c>
      <c r="J1922" s="2">
        <v>0.4</v>
      </c>
      <c r="K1922">
        <v>12</v>
      </c>
      <c r="L1922" s="19" t="s">
        <v>228</v>
      </c>
      <c r="M1922" s="21">
        <v>0</v>
      </c>
    </row>
    <row r="1923" spans="1:13" x14ac:dyDescent="0.2">
      <c r="A1923" t="s">
        <v>69</v>
      </c>
      <c r="B1923" t="str">
        <f>VLOOKUP(A1923,MasterTutor!A:E,4,FALSE)</f>
        <v>Advanced</v>
      </c>
      <c r="C1923" t="str">
        <f>VLOOKUP(A1923,MasterTutor!A:E,3,FALSE)</f>
        <v>Adjunct</v>
      </c>
      <c r="D1923" t="str">
        <f>VLOOKUP(A1923,MasterTutor!A:E,2,FALSE)</f>
        <v>Ela Cross</v>
      </c>
      <c r="E1923" t="s">
        <v>383</v>
      </c>
      <c r="F1923" s="2">
        <v>0.75</v>
      </c>
      <c r="G1923" s="2">
        <v>1.05</v>
      </c>
      <c r="H1923" s="2">
        <v>1</v>
      </c>
      <c r="I1923" s="2">
        <v>0.9</v>
      </c>
      <c r="J1923" s="2">
        <v>1</v>
      </c>
      <c r="K1923">
        <v>1</v>
      </c>
      <c r="L1923" s="19" t="s">
        <v>227</v>
      </c>
      <c r="M1923" s="21">
        <v>1</v>
      </c>
    </row>
    <row r="1924" spans="1:13" x14ac:dyDescent="0.2">
      <c r="A1924" t="s">
        <v>70</v>
      </c>
      <c r="B1924" t="str">
        <f>VLOOKUP(A1924,MasterTutor!A:E,4,FALSE)</f>
        <v>Distinguished</v>
      </c>
      <c r="C1924" t="str">
        <f>VLOOKUP(A1924,MasterTutor!A:E,3,FALSE)</f>
        <v>Professional</v>
      </c>
      <c r="D1924" t="str">
        <f>VLOOKUP(A1924,MasterTutor!A:E,2,FALSE)</f>
        <v>Ela Cross</v>
      </c>
      <c r="E1924" t="s">
        <v>383</v>
      </c>
      <c r="F1924" s="2">
        <v>0.93</v>
      </c>
      <c r="G1924" s="2">
        <v>1.18</v>
      </c>
      <c r="H1924" s="2">
        <v>0.99</v>
      </c>
      <c r="I1924" s="2">
        <v>1</v>
      </c>
      <c r="J1924" s="2">
        <v>0.8</v>
      </c>
      <c r="K1924">
        <v>1</v>
      </c>
      <c r="L1924" s="19" t="s">
        <v>218</v>
      </c>
      <c r="M1924" s="21">
        <v>0.66</v>
      </c>
    </row>
    <row r="1925" spans="1:13" x14ac:dyDescent="0.2">
      <c r="A1925" t="s">
        <v>71</v>
      </c>
      <c r="B1925" t="str">
        <f>VLOOKUP(A1925,MasterTutor!A:E,4,FALSE)</f>
        <v>Premium</v>
      </c>
      <c r="C1925" t="str">
        <f>VLOOKUP(A1925,MasterTutor!A:E,3,FALSE)</f>
        <v>Professional</v>
      </c>
      <c r="D1925" t="str">
        <f>VLOOKUP(A1925,MasterTutor!A:E,2,FALSE)</f>
        <v>Ian Plamondon</v>
      </c>
      <c r="E1925" t="s">
        <v>383</v>
      </c>
      <c r="F1925" s="2">
        <v>0.92</v>
      </c>
      <c r="G1925" s="2">
        <v>1.1299999999999999</v>
      </c>
      <c r="H1925" s="2">
        <v>0.99</v>
      </c>
      <c r="I1925" s="2">
        <v>0.99</v>
      </c>
      <c r="J1925" s="2">
        <v>0.95</v>
      </c>
      <c r="K1925">
        <v>1</v>
      </c>
      <c r="L1925" s="19" t="s">
        <v>228</v>
      </c>
      <c r="M1925" s="21">
        <v>0</v>
      </c>
    </row>
    <row r="1926" spans="1:13" x14ac:dyDescent="0.2">
      <c r="A1926" t="s">
        <v>258</v>
      </c>
      <c r="B1926" t="str">
        <f>VLOOKUP(A1926,MasterTutor!A:E,4,FALSE)</f>
        <v>Advanced</v>
      </c>
      <c r="C1926" t="str">
        <f>VLOOKUP(A1926,MasterTutor!A:E,3,FALSE)</f>
        <v>Adjunct</v>
      </c>
      <c r="D1926" t="str">
        <f>VLOOKUP(A1926,MasterTutor!A:E,2,FALSE)</f>
        <v>Kristin Haase-Alvey</v>
      </c>
      <c r="E1926" t="s">
        <v>383</v>
      </c>
      <c r="F1926" s="2">
        <v>0.89</v>
      </c>
      <c r="G1926" s="2">
        <v>1.3</v>
      </c>
      <c r="H1926" s="2">
        <v>1</v>
      </c>
      <c r="I1926" s="2">
        <v>1</v>
      </c>
      <c r="J1926" s="2">
        <v>0.4</v>
      </c>
      <c r="K1926">
        <v>4</v>
      </c>
      <c r="L1926" s="19" t="s">
        <v>307</v>
      </c>
      <c r="M1926" s="21">
        <v>0.28999999999999998</v>
      </c>
    </row>
    <row r="1927" spans="1:13" x14ac:dyDescent="0.2">
      <c r="A1927" t="s">
        <v>259</v>
      </c>
      <c r="B1927" t="str">
        <f>VLOOKUP(A1927,MasterTutor!A:E,4,FALSE)</f>
        <v>Advanced</v>
      </c>
      <c r="C1927" t="str">
        <f>VLOOKUP(A1927,MasterTutor!A:E,3,FALSE)</f>
        <v>Professional</v>
      </c>
      <c r="D1927" t="str">
        <f>VLOOKUP(A1927,MasterTutor!A:E,2,FALSE)</f>
        <v>Annelies de Groot</v>
      </c>
      <c r="E1927" t="s">
        <v>383</v>
      </c>
      <c r="F1927" s="2">
        <v>0.68</v>
      </c>
      <c r="G1927" s="2">
        <v>1.1000000000000001</v>
      </c>
      <c r="H1927" s="2">
        <v>1</v>
      </c>
      <c r="I1927" s="2">
        <v>0.98</v>
      </c>
      <c r="J1927" s="2">
        <v>0.71</v>
      </c>
      <c r="K1927">
        <v>4</v>
      </c>
      <c r="L1927" s="19" t="s">
        <v>226</v>
      </c>
      <c r="M1927" s="21">
        <v>0.75</v>
      </c>
    </row>
    <row r="1928" spans="1:13" x14ac:dyDescent="0.2">
      <c r="A1928" t="s">
        <v>72</v>
      </c>
      <c r="B1928" t="str">
        <f>VLOOKUP(A1928,MasterTutor!A:E,4,FALSE)</f>
        <v>Premium</v>
      </c>
      <c r="C1928" t="str">
        <f>VLOOKUP(A1928,MasterTutor!A:E,3,FALSE)</f>
        <v>Adjunct</v>
      </c>
      <c r="D1928" t="str">
        <f>VLOOKUP(A1928,MasterTutor!A:E,2,FALSE)</f>
        <v>Annelies de Groot</v>
      </c>
      <c r="E1928" t="s">
        <v>383</v>
      </c>
      <c r="F1928" s="2">
        <v>1.72</v>
      </c>
      <c r="G1928" s="2">
        <v>1.36</v>
      </c>
      <c r="H1928" s="2">
        <v>0.95</v>
      </c>
      <c r="I1928" s="2">
        <v>0.98</v>
      </c>
      <c r="J1928" s="2">
        <v>0.94</v>
      </c>
      <c r="K1928">
        <v>2</v>
      </c>
      <c r="L1928" s="19" t="s">
        <v>219</v>
      </c>
      <c r="M1928" s="21">
        <v>0</v>
      </c>
    </row>
    <row r="1929" spans="1:13" x14ac:dyDescent="0.2">
      <c r="A1929" t="s">
        <v>261</v>
      </c>
      <c r="B1929" t="str">
        <f>VLOOKUP(A1929,MasterTutor!A:E,4,FALSE)</f>
        <v>Advanced</v>
      </c>
      <c r="C1929" t="str">
        <f>VLOOKUP(A1929,MasterTutor!A:E,3,FALSE)</f>
        <v xml:space="preserve">Professional </v>
      </c>
      <c r="D1929" t="str">
        <f>VLOOKUP(A1929,MasterTutor!A:E,2,FALSE)</f>
        <v>Kristin Haase-Alvey</v>
      </c>
      <c r="E1929" t="s">
        <v>383</v>
      </c>
      <c r="F1929" s="2">
        <v>0.9</v>
      </c>
      <c r="G1929" s="2">
        <v>1.02</v>
      </c>
      <c r="H1929" s="2">
        <v>0.99</v>
      </c>
      <c r="I1929" s="2">
        <v>0.96</v>
      </c>
      <c r="J1929" s="2">
        <v>0.67</v>
      </c>
      <c r="K1929">
        <v>14</v>
      </c>
      <c r="L1929" s="19" t="s">
        <v>275</v>
      </c>
      <c r="M1929" s="21">
        <v>0.2</v>
      </c>
    </row>
    <row r="1930" spans="1:13" x14ac:dyDescent="0.2">
      <c r="A1930" t="s">
        <v>73</v>
      </c>
      <c r="B1930" t="str">
        <f>VLOOKUP(A1930,MasterTutor!A:E,4,FALSE)</f>
        <v>Advanced</v>
      </c>
      <c r="C1930" t="str">
        <f>VLOOKUP(A1930,MasterTutor!A:E,3,FALSE)</f>
        <v>Adjunct</v>
      </c>
      <c r="D1930" t="str">
        <f>VLOOKUP(A1930,MasterTutor!A:E,2,FALSE)</f>
        <v>Geoff St. Marie</v>
      </c>
      <c r="E1930" t="s">
        <v>383</v>
      </c>
      <c r="F1930" s="2">
        <v>0.65</v>
      </c>
      <c r="G1930" s="2">
        <v>1.0900000000000001</v>
      </c>
      <c r="H1930" s="2">
        <v>1</v>
      </c>
      <c r="I1930" s="2">
        <v>1</v>
      </c>
      <c r="J1930" s="2">
        <v>1</v>
      </c>
      <c r="K1930">
        <v>3</v>
      </c>
      <c r="L1930" s="19" t="s">
        <v>215</v>
      </c>
      <c r="M1930" s="21">
        <v>1</v>
      </c>
    </row>
    <row r="1931" spans="1:13" x14ac:dyDescent="0.2">
      <c r="A1931" t="s">
        <v>263</v>
      </c>
      <c r="B1931" t="str">
        <f>VLOOKUP(A1931,MasterTutor!A:E,4,FALSE)</f>
        <v>Advanced</v>
      </c>
      <c r="C1931" t="str">
        <f>VLOOKUP(A1931,MasterTutor!A:E,3,FALSE)</f>
        <v>Professional</v>
      </c>
      <c r="D1931" t="str">
        <f>VLOOKUP(A1931,MasterTutor!A:E,2,FALSE)</f>
        <v>Annelies de Groot</v>
      </c>
      <c r="E1931" t="s">
        <v>383</v>
      </c>
      <c r="F1931" s="2">
        <v>0.73</v>
      </c>
      <c r="G1931" s="2">
        <v>0.96</v>
      </c>
      <c r="H1931" s="2">
        <v>0.95</v>
      </c>
      <c r="I1931" s="2">
        <v>0.93</v>
      </c>
      <c r="J1931" s="2">
        <v>0.75</v>
      </c>
      <c r="K1931">
        <v>7</v>
      </c>
      <c r="L1931" s="19" t="s">
        <v>228</v>
      </c>
      <c r="M1931" s="21">
        <v>0</v>
      </c>
    </row>
    <row r="1932" spans="1:13" x14ac:dyDescent="0.2">
      <c r="A1932" t="s">
        <v>74</v>
      </c>
      <c r="B1932" t="str">
        <f>VLOOKUP(A1932,MasterTutor!A:E,4,FALSE)</f>
        <v>Distinguished</v>
      </c>
      <c r="C1932" t="str">
        <f>VLOOKUP(A1932,MasterTutor!A:E,3,FALSE)</f>
        <v>Adjunct</v>
      </c>
      <c r="D1932" t="str">
        <f>VLOOKUP(A1932,MasterTutor!A:E,2,FALSE)</f>
        <v>Ela Cross</v>
      </c>
      <c r="E1932" t="s">
        <v>383</v>
      </c>
      <c r="F1932" s="2">
        <v>0.79</v>
      </c>
      <c r="G1932" s="2">
        <v>1.05</v>
      </c>
      <c r="H1932" s="2">
        <v>1</v>
      </c>
      <c r="I1932" s="2">
        <v>0.97</v>
      </c>
      <c r="J1932" s="2">
        <v>0.67</v>
      </c>
      <c r="K1932">
        <v>1</v>
      </c>
      <c r="L1932" s="20"/>
    </row>
    <row r="1933" spans="1:13" x14ac:dyDescent="0.2">
      <c r="A1933" t="s">
        <v>365</v>
      </c>
      <c r="B1933" t="e">
        <f>VLOOKUP(A1933,MasterTutor!A:E,4,FALSE)</f>
        <v>#N/A</v>
      </c>
      <c r="C1933" t="e">
        <f>VLOOKUP(A1933,MasterTutor!A:E,3,FALSE)</f>
        <v>#N/A</v>
      </c>
      <c r="D1933" t="e">
        <f>VLOOKUP(A1933,MasterTutor!A:E,2,FALSE)</f>
        <v>#N/A</v>
      </c>
      <c r="E1933" t="s">
        <v>383</v>
      </c>
      <c r="F1933" s="2">
        <v>0.71</v>
      </c>
      <c r="G1933" s="2">
        <v>1.05</v>
      </c>
      <c r="H1933" s="2">
        <v>1</v>
      </c>
      <c r="I1933" s="2">
        <v>0.78</v>
      </c>
      <c r="J1933" s="2">
        <v>1</v>
      </c>
      <c r="K1933">
        <v>0</v>
      </c>
      <c r="L1933" s="19" t="s">
        <v>218</v>
      </c>
      <c r="M1933" s="21">
        <v>0.66</v>
      </c>
    </row>
    <row r="1934" spans="1:13" x14ac:dyDescent="0.2">
      <c r="A1934" t="s">
        <v>75</v>
      </c>
      <c r="B1934" t="str">
        <f>VLOOKUP(A1934,MasterTutor!A:E,4,FALSE)</f>
        <v>Advanced</v>
      </c>
      <c r="C1934" t="str">
        <f>VLOOKUP(A1934,MasterTutor!A:E,3,FALSE)</f>
        <v>Professional</v>
      </c>
      <c r="D1934" t="str">
        <f>VLOOKUP(A1934,MasterTutor!A:E,2,FALSE)</f>
        <v>Geoff St. Marie</v>
      </c>
      <c r="E1934" t="s">
        <v>383</v>
      </c>
      <c r="F1934" s="2">
        <v>1.29</v>
      </c>
      <c r="G1934" s="2">
        <v>1.31</v>
      </c>
      <c r="H1934" s="2">
        <v>1</v>
      </c>
      <c r="I1934" s="2">
        <v>0.99</v>
      </c>
      <c r="J1934" s="2">
        <v>0.28999999999999998</v>
      </c>
      <c r="K1934">
        <v>3</v>
      </c>
      <c r="L1934" s="19" t="s">
        <v>390</v>
      </c>
      <c r="M1934" s="21">
        <v>0.25</v>
      </c>
    </row>
    <row r="1935" spans="1:13" x14ac:dyDescent="0.2">
      <c r="A1935" t="s">
        <v>265</v>
      </c>
      <c r="B1935" t="str">
        <f>VLOOKUP(A1935,MasterTutor!A:E,4,FALSE)</f>
        <v>Advanced</v>
      </c>
      <c r="C1935" t="str">
        <f>VLOOKUP(A1935,MasterTutor!A:E,3,FALSE)</f>
        <v>Adjunct</v>
      </c>
      <c r="D1935" t="str">
        <f>VLOOKUP(A1935,MasterTutor!A:E,2,FALSE)</f>
        <v>Kristin Haase-Alvey</v>
      </c>
      <c r="E1935" t="s">
        <v>383</v>
      </c>
      <c r="F1935" s="2">
        <v>0.95</v>
      </c>
      <c r="G1935" s="2">
        <v>1.1100000000000001</v>
      </c>
      <c r="H1935" s="2">
        <v>1</v>
      </c>
      <c r="I1935" s="2">
        <v>0.94</v>
      </c>
      <c r="J1935" s="2">
        <v>1</v>
      </c>
      <c r="K1935">
        <v>2</v>
      </c>
      <c r="L1935" s="19" t="s">
        <v>215</v>
      </c>
      <c r="M1935" s="21">
        <v>1</v>
      </c>
    </row>
    <row r="1936" spans="1:13" x14ac:dyDescent="0.2">
      <c r="A1936" t="s">
        <v>77</v>
      </c>
      <c r="B1936" t="str">
        <f>VLOOKUP(A1936,MasterTutor!A:E,4,FALSE)</f>
        <v>Distinguished</v>
      </c>
      <c r="C1936" t="str">
        <f>VLOOKUP(A1936,MasterTutor!A:E,3,FALSE)</f>
        <v>Professional</v>
      </c>
      <c r="D1936" t="str">
        <f>VLOOKUP(A1936,MasterTutor!A:E,2,FALSE)</f>
        <v>Ian Plamondon</v>
      </c>
      <c r="E1936" t="s">
        <v>383</v>
      </c>
      <c r="F1936" s="2">
        <v>0.78</v>
      </c>
      <c r="G1936" s="2">
        <v>1.02</v>
      </c>
      <c r="H1936" s="2">
        <v>1</v>
      </c>
      <c r="I1936" s="2">
        <v>0.97</v>
      </c>
      <c r="J1936" s="2">
        <v>1</v>
      </c>
      <c r="K1936">
        <v>4</v>
      </c>
      <c r="L1936" s="19" t="s">
        <v>226</v>
      </c>
      <c r="M1936" s="21">
        <v>0.75</v>
      </c>
    </row>
    <row r="1937" spans="1:13" x14ac:dyDescent="0.2">
      <c r="A1937" t="s">
        <v>78</v>
      </c>
      <c r="B1937" t="str">
        <f>VLOOKUP(A1937,MasterTutor!A:E,4,FALSE)</f>
        <v>Distinguished</v>
      </c>
      <c r="C1937" t="str">
        <f>VLOOKUP(A1937,MasterTutor!A:E,3,FALSE)</f>
        <v>Adjunct</v>
      </c>
      <c r="D1937" t="str">
        <f>VLOOKUP(A1937,MasterTutor!A:E,2,FALSE)</f>
        <v>Geoff St. Marie</v>
      </c>
      <c r="E1937" t="s">
        <v>383</v>
      </c>
      <c r="F1937" s="2">
        <v>0.94</v>
      </c>
      <c r="G1937" s="2">
        <v>1.1499999999999999</v>
      </c>
      <c r="H1937" s="2">
        <v>1</v>
      </c>
      <c r="I1937" s="2">
        <v>1</v>
      </c>
      <c r="J1937" s="2">
        <v>0.5</v>
      </c>
      <c r="K1937">
        <v>1</v>
      </c>
      <c r="L1937" s="19" t="s">
        <v>216</v>
      </c>
      <c r="M1937" s="21">
        <v>1</v>
      </c>
    </row>
    <row r="1938" spans="1:13" x14ac:dyDescent="0.2">
      <c r="A1938" t="s">
        <v>79</v>
      </c>
      <c r="B1938" t="str">
        <f>VLOOKUP(A1938,MasterTutor!A:E,4,FALSE)</f>
        <v>Premium</v>
      </c>
      <c r="C1938" t="str">
        <f>VLOOKUP(A1938,MasterTutor!A:E,3,FALSE)</f>
        <v>Professional</v>
      </c>
      <c r="D1938" t="str">
        <f>VLOOKUP(A1938,MasterTutor!A:E,2,FALSE)</f>
        <v>Ian Plamondon</v>
      </c>
      <c r="E1938" t="s">
        <v>383</v>
      </c>
      <c r="F1938" s="2">
        <v>0.92</v>
      </c>
      <c r="G1938" s="2">
        <v>1.32</v>
      </c>
      <c r="H1938" s="2">
        <v>0.99</v>
      </c>
      <c r="I1938" s="2">
        <v>0.97</v>
      </c>
      <c r="J1938" s="2">
        <v>0.88</v>
      </c>
      <c r="K1938">
        <v>2</v>
      </c>
      <c r="L1938" s="19" t="s">
        <v>266</v>
      </c>
      <c r="M1938" s="21">
        <v>0</v>
      </c>
    </row>
    <row r="1939" spans="1:13" x14ac:dyDescent="0.2">
      <c r="A1939" t="s">
        <v>391</v>
      </c>
      <c r="B1939" t="e">
        <f>VLOOKUP(A1939,MasterTutor!A:E,4,FALSE)</f>
        <v>#N/A</v>
      </c>
      <c r="C1939" t="e">
        <f>VLOOKUP(A1939,MasterTutor!A:E,3,FALSE)</f>
        <v>#N/A</v>
      </c>
      <c r="D1939" t="e">
        <f>VLOOKUP(A1939,MasterTutor!A:E,2,FALSE)</f>
        <v>#N/A</v>
      </c>
      <c r="E1939" t="s">
        <v>383</v>
      </c>
      <c r="F1939" s="2">
        <v>0.66</v>
      </c>
      <c r="G1939" s="2">
        <v>1.03</v>
      </c>
      <c r="H1939" s="2">
        <v>0.94</v>
      </c>
      <c r="I1939" s="2">
        <v>0.89</v>
      </c>
      <c r="J1939" s="2">
        <v>0</v>
      </c>
      <c r="K1939">
        <v>2</v>
      </c>
      <c r="L1939" s="19" t="s">
        <v>306</v>
      </c>
      <c r="M1939" s="21">
        <v>0</v>
      </c>
    </row>
    <row r="1940" spans="1:13" x14ac:dyDescent="0.2">
      <c r="A1940" t="s">
        <v>81</v>
      </c>
      <c r="B1940" t="str">
        <f>VLOOKUP(A1940,MasterTutor!A:E,4,FALSE)</f>
        <v>Distinguished</v>
      </c>
      <c r="C1940" t="str">
        <f>VLOOKUP(A1940,MasterTutor!A:E,3,FALSE)</f>
        <v>Professional</v>
      </c>
      <c r="D1940" t="str">
        <f>VLOOKUP(A1940,MasterTutor!A:E,2,FALSE)</f>
        <v>Ian Plamondon</v>
      </c>
      <c r="E1940" t="s">
        <v>383</v>
      </c>
      <c r="F1940" s="2">
        <v>0.8</v>
      </c>
      <c r="G1940" s="2">
        <v>1.43</v>
      </c>
      <c r="H1940" s="2">
        <v>1</v>
      </c>
      <c r="I1940" s="2">
        <v>0.98</v>
      </c>
      <c r="J1940" s="2">
        <v>0.78</v>
      </c>
      <c r="K1940">
        <v>1</v>
      </c>
      <c r="L1940" s="19" t="s">
        <v>227</v>
      </c>
      <c r="M1940" s="21">
        <v>1</v>
      </c>
    </row>
    <row r="1941" spans="1:13" x14ac:dyDescent="0.2">
      <c r="A1941" t="s">
        <v>268</v>
      </c>
      <c r="B1941" t="str">
        <f>VLOOKUP(A1941,MasterTutor!A:E,4,FALSE)</f>
        <v>Advanced</v>
      </c>
      <c r="C1941" t="str">
        <f>VLOOKUP(A1941,MasterTutor!A:E,3,FALSE)</f>
        <v xml:space="preserve">Adjunct </v>
      </c>
      <c r="D1941" t="str">
        <f>VLOOKUP(A1941,MasterTutor!A:E,2,FALSE)</f>
        <v>Kristin Haase-Alvey</v>
      </c>
      <c r="E1941" t="s">
        <v>383</v>
      </c>
      <c r="F1941" s="2">
        <v>0.94</v>
      </c>
      <c r="G1941" s="2">
        <v>0.96</v>
      </c>
      <c r="H1941" s="2">
        <v>1</v>
      </c>
      <c r="I1941" s="2">
        <v>0.98</v>
      </c>
      <c r="J1941" s="2">
        <v>0.96</v>
      </c>
      <c r="K1941">
        <v>13</v>
      </c>
      <c r="L1941" s="19" t="s">
        <v>266</v>
      </c>
      <c r="M1941" s="21">
        <v>0</v>
      </c>
    </row>
    <row r="1942" spans="1:13" x14ac:dyDescent="0.2">
      <c r="A1942" t="s">
        <v>270</v>
      </c>
      <c r="B1942" t="e">
        <f>VLOOKUP(A1942,MasterTutor!A:E,4,FALSE)</f>
        <v>#N/A</v>
      </c>
      <c r="C1942" t="e">
        <f>VLOOKUP(A1942,MasterTutor!A:E,3,FALSE)</f>
        <v>#N/A</v>
      </c>
      <c r="D1942" t="e">
        <f>VLOOKUP(A1942,MasterTutor!A:E,2,FALSE)</f>
        <v>#N/A</v>
      </c>
      <c r="E1942" t="s">
        <v>383</v>
      </c>
      <c r="F1942" s="2">
        <v>1.01</v>
      </c>
      <c r="G1942" s="2">
        <v>1.05</v>
      </c>
      <c r="H1942" s="2">
        <v>0.82</v>
      </c>
      <c r="I1942" s="2">
        <v>0.7</v>
      </c>
      <c r="J1942" s="2">
        <v>0.62</v>
      </c>
      <c r="K1942">
        <v>5</v>
      </c>
      <c r="L1942" s="19" t="s">
        <v>218</v>
      </c>
      <c r="M1942" s="21">
        <v>0.66</v>
      </c>
    </row>
    <row r="1943" spans="1:13" x14ac:dyDescent="0.2">
      <c r="A1943" t="s">
        <v>82</v>
      </c>
      <c r="B1943" t="str">
        <f>VLOOKUP(A1943,MasterTutor!A:E,4,FALSE)</f>
        <v>Premium</v>
      </c>
      <c r="C1943" t="str">
        <f>VLOOKUP(A1943,MasterTutor!A:E,3,FALSE)</f>
        <v>Adjunct</v>
      </c>
      <c r="D1943" t="str">
        <f>VLOOKUP(A1943,MasterTutor!A:E,2,FALSE)</f>
        <v>Jessica Milner</v>
      </c>
      <c r="E1943" t="s">
        <v>383</v>
      </c>
      <c r="F1943" s="2">
        <v>0.71</v>
      </c>
      <c r="G1943" s="2">
        <v>1.1200000000000001</v>
      </c>
      <c r="H1943" s="2">
        <v>1</v>
      </c>
      <c r="I1943" s="2">
        <v>1</v>
      </c>
      <c r="J1943" s="2">
        <v>1</v>
      </c>
      <c r="K1943">
        <v>0</v>
      </c>
      <c r="L1943" s="20"/>
    </row>
    <row r="1944" spans="1:13" x14ac:dyDescent="0.2">
      <c r="A1944" t="s">
        <v>83</v>
      </c>
      <c r="B1944" t="str">
        <f>VLOOKUP(A1944,MasterTutor!A:E,4,FALSE)</f>
        <v>Premium</v>
      </c>
      <c r="C1944" t="str">
        <f>VLOOKUP(A1944,MasterTutor!A:E,3,FALSE)</f>
        <v>Professional</v>
      </c>
      <c r="D1944" t="str">
        <f>VLOOKUP(A1944,MasterTutor!A:E,2,FALSE)</f>
        <v>Jessica Milner</v>
      </c>
      <c r="E1944" t="s">
        <v>383</v>
      </c>
      <c r="F1944" s="2">
        <v>1.1000000000000001</v>
      </c>
      <c r="G1944" s="2">
        <v>1.2</v>
      </c>
      <c r="H1944" s="2">
        <v>1</v>
      </c>
      <c r="I1944" s="2">
        <v>1</v>
      </c>
      <c r="J1944" s="2">
        <v>0.68</v>
      </c>
      <c r="K1944">
        <v>7</v>
      </c>
      <c r="L1944" s="19" t="s">
        <v>215</v>
      </c>
      <c r="M1944" s="21">
        <v>1</v>
      </c>
    </row>
    <row r="1945" spans="1:13" x14ac:dyDescent="0.2">
      <c r="A1945" t="s">
        <v>84</v>
      </c>
      <c r="B1945" t="str">
        <f>VLOOKUP(A1945,MasterTutor!A:E,4,FALSE)</f>
        <v>Advanced</v>
      </c>
      <c r="C1945" t="str">
        <f>VLOOKUP(A1945,MasterTutor!A:E,3,FALSE)</f>
        <v>Professional</v>
      </c>
      <c r="D1945" t="str">
        <f>VLOOKUP(A1945,MasterTutor!A:E,2,FALSE)</f>
        <v>Kristin Haase-Alvey</v>
      </c>
      <c r="E1945" t="s">
        <v>383</v>
      </c>
      <c r="F1945" s="2">
        <v>0.84</v>
      </c>
      <c r="G1945" s="2">
        <v>1.02</v>
      </c>
      <c r="H1945" s="2">
        <v>1</v>
      </c>
      <c r="I1945" s="2">
        <v>0.97</v>
      </c>
      <c r="J1945" s="2">
        <v>1</v>
      </c>
      <c r="K1945">
        <v>14</v>
      </c>
      <c r="L1945" s="19" t="s">
        <v>306</v>
      </c>
      <c r="M1945" s="21">
        <v>0</v>
      </c>
    </row>
    <row r="1946" spans="1:13" x14ac:dyDescent="0.2">
      <c r="A1946" t="s">
        <v>85</v>
      </c>
      <c r="B1946" t="str">
        <f>VLOOKUP(A1946,MasterTutor!A:E,4,FALSE)</f>
        <v>Premium</v>
      </c>
      <c r="C1946" t="str">
        <f>VLOOKUP(A1946,MasterTutor!A:E,3,FALSE)</f>
        <v>Professional</v>
      </c>
      <c r="D1946" t="str">
        <f>VLOOKUP(A1946,MasterTutor!A:E,2,FALSE)</f>
        <v>Ian Plamondon</v>
      </c>
      <c r="E1946" t="s">
        <v>383</v>
      </c>
      <c r="F1946" s="2">
        <v>1.1599999999999999</v>
      </c>
      <c r="G1946" s="2">
        <v>1.36</v>
      </c>
      <c r="H1946" s="2">
        <v>0.99</v>
      </c>
      <c r="I1946" s="2">
        <v>0.96</v>
      </c>
      <c r="J1946" s="2">
        <v>1</v>
      </c>
      <c r="K1946">
        <v>2</v>
      </c>
      <c r="L1946" s="19" t="s">
        <v>215</v>
      </c>
      <c r="M1946" s="21">
        <v>1</v>
      </c>
    </row>
    <row r="1947" spans="1:13" x14ac:dyDescent="0.2">
      <c r="A1947" t="s">
        <v>87</v>
      </c>
      <c r="B1947" t="str">
        <f>VLOOKUP(A1947,MasterTutor!A:E,4,FALSE)</f>
        <v>Advanced</v>
      </c>
      <c r="C1947" t="str">
        <f>VLOOKUP(A1947,MasterTutor!A:E,3,FALSE)</f>
        <v>Adjunct</v>
      </c>
      <c r="D1947" t="str">
        <f>VLOOKUP(A1947,MasterTutor!A:E,2,FALSE)</f>
        <v>Ela Cross</v>
      </c>
      <c r="E1947" t="s">
        <v>383</v>
      </c>
      <c r="F1947" s="2">
        <v>0.96</v>
      </c>
      <c r="G1947" s="2">
        <v>1.03</v>
      </c>
      <c r="H1947" s="2">
        <v>0.98</v>
      </c>
      <c r="I1947" s="2">
        <v>0.97</v>
      </c>
      <c r="J1947" s="2">
        <v>0.83</v>
      </c>
      <c r="K1947">
        <v>7</v>
      </c>
      <c r="L1947" s="19" t="s">
        <v>298</v>
      </c>
      <c r="M1947" s="21">
        <v>0.5</v>
      </c>
    </row>
    <row r="1948" spans="1:13" x14ac:dyDescent="0.2">
      <c r="A1948" t="s">
        <v>88</v>
      </c>
      <c r="B1948" t="str">
        <f>VLOOKUP(A1948,MasterTutor!A:E,4,FALSE)</f>
        <v>Distinguished</v>
      </c>
      <c r="C1948" t="str">
        <f>VLOOKUP(A1948,MasterTutor!A:E,3,FALSE)</f>
        <v>Professional</v>
      </c>
      <c r="D1948" t="str">
        <f>VLOOKUP(A1948,MasterTutor!A:E,2,FALSE)</f>
        <v>Ian Plamondon</v>
      </c>
      <c r="E1948" t="s">
        <v>383</v>
      </c>
      <c r="F1948" s="2">
        <v>0.87</v>
      </c>
      <c r="G1948" s="2">
        <v>1.24</v>
      </c>
      <c r="H1948" s="2">
        <v>1</v>
      </c>
      <c r="I1948" s="2">
        <v>0.99</v>
      </c>
      <c r="J1948" s="2">
        <v>0.75</v>
      </c>
      <c r="K1948">
        <v>1</v>
      </c>
      <c r="L1948" s="19" t="s">
        <v>306</v>
      </c>
      <c r="M1948" s="21">
        <v>0</v>
      </c>
    </row>
    <row r="1949" spans="1:13" x14ac:dyDescent="0.2">
      <c r="A1949" t="s">
        <v>272</v>
      </c>
      <c r="B1949" t="str">
        <f>VLOOKUP(A1949,MasterTutor!A:E,4,FALSE)</f>
        <v>Advanced</v>
      </c>
      <c r="C1949" t="str">
        <f>VLOOKUP(A1949,MasterTutor!A:E,3,FALSE)</f>
        <v xml:space="preserve">Professional </v>
      </c>
      <c r="D1949" t="str">
        <f>VLOOKUP(A1949,MasterTutor!A:E,2,FALSE)</f>
        <v>Ian Plamondon</v>
      </c>
      <c r="E1949" t="s">
        <v>383</v>
      </c>
      <c r="F1949" s="2">
        <v>0.89</v>
      </c>
      <c r="G1949" s="2">
        <v>1.1599999999999999</v>
      </c>
      <c r="H1949" s="2">
        <v>1</v>
      </c>
      <c r="I1949" s="2">
        <v>1</v>
      </c>
      <c r="J1949" s="2">
        <v>0.3</v>
      </c>
      <c r="K1949">
        <v>4</v>
      </c>
      <c r="L1949" s="19" t="s">
        <v>266</v>
      </c>
      <c r="M1949" s="21">
        <v>0</v>
      </c>
    </row>
    <row r="1950" spans="1:13" x14ac:dyDescent="0.2">
      <c r="A1950" t="s">
        <v>90</v>
      </c>
      <c r="B1950" t="str">
        <f>VLOOKUP(A1950,MasterTutor!A:E,4,FALSE)</f>
        <v>Advanced</v>
      </c>
      <c r="C1950" t="str">
        <f>VLOOKUP(A1950,MasterTutor!A:E,3,FALSE)</f>
        <v>Adjunct</v>
      </c>
      <c r="D1950" t="str">
        <f>VLOOKUP(A1950,MasterTutor!A:E,2,FALSE)</f>
        <v>Ela Cross</v>
      </c>
      <c r="E1950" t="s">
        <v>383</v>
      </c>
      <c r="F1950" s="2">
        <v>1.18</v>
      </c>
      <c r="G1950" s="2">
        <v>1.44</v>
      </c>
      <c r="H1950" s="2">
        <v>0.96</v>
      </c>
      <c r="I1950" s="2">
        <v>0.97</v>
      </c>
      <c r="J1950" s="2">
        <v>0.79</v>
      </c>
      <c r="K1950">
        <v>3</v>
      </c>
      <c r="L1950" s="20"/>
    </row>
    <row r="1951" spans="1:13" x14ac:dyDescent="0.2">
      <c r="A1951" t="s">
        <v>92</v>
      </c>
      <c r="B1951" t="str">
        <f>VLOOKUP(A1951,MasterTutor!A:E,4,FALSE)</f>
        <v>Premium</v>
      </c>
      <c r="C1951" t="str">
        <f>VLOOKUP(A1951,MasterTutor!A:E,3,FALSE)</f>
        <v>Professional</v>
      </c>
      <c r="D1951" t="str">
        <f>VLOOKUP(A1951,MasterTutor!A:E,2,FALSE)</f>
        <v>Ian Plamondon</v>
      </c>
      <c r="E1951" t="s">
        <v>383</v>
      </c>
      <c r="F1951" s="2">
        <v>1.03</v>
      </c>
      <c r="G1951" s="2">
        <v>1.28</v>
      </c>
      <c r="H1951" s="2">
        <v>0.99</v>
      </c>
      <c r="I1951" s="2">
        <v>0.97</v>
      </c>
      <c r="J1951" s="2">
        <v>0.96</v>
      </c>
      <c r="K1951">
        <v>2</v>
      </c>
      <c r="L1951" s="20"/>
    </row>
    <row r="1952" spans="1:13" x14ac:dyDescent="0.2">
      <c r="A1952" t="s">
        <v>93</v>
      </c>
      <c r="B1952" t="str">
        <f>VLOOKUP(A1952,MasterTutor!A:E,4,FALSE)</f>
        <v>Advanced</v>
      </c>
      <c r="C1952" t="str">
        <f>VLOOKUP(A1952,MasterTutor!A:E,3,FALSE)</f>
        <v>Professional</v>
      </c>
      <c r="D1952" t="str">
        <f>VLOOKUP(A1952,MasterTutor!A:E,2,FALSE)</f>
        <v>Ian Plamondon</v>
      </c>
      <c r="E1952" t="s">
        <v>383</v>
      </c>
      <c r="F1952" s="2">
        <v>0.95</v>
      </c>
      <c r="G1952" s="2">
        <v>1.1100000000000001</v>
      </c>
      <c r="H1952" s="2">
        <v>0.99</v>
      </c>
      <c r="I1952" s="2">
        <v>0.96</v>
      </c>
      <c r="J1952" s="2">
        <v>1</v>
      </c>
      <c r="K1952">
        <v>11</v>
      </c>
      <c r="L1952" s="19" t="s">
        <v>215</v>
      </c>
      <c r="M1952" s="21">
        <v>1</v>
      </c>
    </row>
    <row r="1953" spans="1:13" x14ac:dyDescent="0.2">
      <c r="A1953" t="s">
        <v>94</v>
      </c>
      <c r="B1953" t="str">
        <f>VLOOKUP(A1953,MasterTutor!A:E,4,FALSE)</f>
        <v>Premium</v>
      </c>
      <c r="C1953" t="str">
        <f>VLOOKUP(A1953,MasterTutor!A:E,3,FALSE)</f>
        <v>Professional</v>
      </c>
      <c r="D1953" t="str">
        <f>VLOOKUP(A1953,MasterTutor!A:E,2,FALSE)</f>
        <v>Jessica Milner</v>
      </c>
      <c r="E1953" t="s">
        <v>383</v>
      </c>
      <c r="F1953" s="2">
        <v>0.77</v>
      </c>
      <c r="G1953" s="2">
        <v>0.97</v>
      </c>
      <c r="H1953" s="2">
        <v>0.99</v>
      </c>
      <c r="I1953" s="2">
        <v>0.95</v>
      </c>
      <c r="J1953" s="2">
        <v>0.32</v>
      </c>
      <c r="K1953">
        <v>6</v>
      </c>
      <c r="L1953" s="19" t="s">
        <v>218</v>
      </c>
      <c r="M1953" s="21">
        <v>0.66</v>
      </c>
    </row>
    <row r="1954" spans="1:13" x14ac:dyDescent="0.2">
      <c r="A1954" t="s">
        <v>95</v>
      </c>
      <c r="B1954" t="str">
        <f>VLOOKUP(A1954,MasterTutor!A:E,4,FALSE)</f>
        <v>Advanced</v>
      </c>
      <c r="C1954" t="str">
        <f>VLOOKUP(A1954,MasterTutor!A:E,3,FALSE)</f>
        <v>Professional</v>
      </c>
      <c r="D1954" t="str">
        <f>VLOOKUP(A1954,MasterTutor!A:E,2,FALSE)</f>
        <v>Kristin Haase-Alvey</v>
      </c>
      <c r="E1954" t="s">
        <v>383</v>
      </c>
      <c r="F1954" s="2">
        <v>0.95</v>
      </c>
      <c r="G1954" s="2">
        <v>0.96</v>
      </c>
      <c r="H1954" s="2">
        <v>0.92</v>
      </c>
      <c r="I1954" s="2">
        <v>1</v>
      </c>
      <c r="J1954" s="2">
        <v>0.88</v>
      </c>
      <c r="K1954">
        <v>12</v>
      </c>
      <c r="L1954" s="19" t="s">
        <v>266</v>
      </c>
      <c r="M1954" s="21">
        <v>0</v>
      </c>
    </row>
    <row r="1955" spans="1:13" x14ac:dyDescent="0.2">
      <c r="A1955" t="s">
        <v>274</v>
      </c>
      <c r="B1955" t="str">
        <f>VLOOKUP(A1955,MasterTutor!A:E,4,FALSE)</f>
        <v>Advanced</v>
      </c>
      <c r="C1955" t="str">
        <f>VLOOKUP(A1955,MasterTutor!A:E,3,FALSE)</f>
        <v>Adjunct- BUC</v>
      </c>
      <c r="D1955" t="str">
        <f>VLOOKUP(A1955,MasterTutor!A:E,2,FALSE)</f>
        <v>Ela Cross</v>
      </c>
      <c r="E1955" t="s">
        <v>383</v>
      </c>
      <c r="F1955" s="2">
        <v>1.39</v>
      </c>
      <c r="G1955" s="2">
        <v>1.93</v>
      </c>
      <c r="H1955" s="2">
        <v>0.94</v>
      </c>
      <c r="I1955" s="2">
        <v>0.93</v>
      </c>
      <c r="J1955" s="2">
        <v>0.4</v>
      </c>
      <c r="K1955">
        <v>0</v>
      </c>
      <c r="L1955" s="19" t="s">
        <v>306</v>
      </c>
      <c r="M1955" s="21">
        <v>0</v>
      </c>
    </row>
    <row r="1956" spans="1:13" x14ac:dyDescent="0.2">
      <c r="A1956" t="s">
        <v>96</v>
      </c>
      <c r="B1956" t="str">
        <f>VLOOKUP(A1956,MasterTutor!A:E,4,FALSE)</f>
        <v>Distinguished</v>
      </c>
      <c r="C1956" t="str">
        <f>VLOOKUP(A1956,MasterTutor!A:E,3,FALSE)</f>
        <v>Adjunct</v>
      </c>
      <c r="D1956" t="str">
        <f>VLOOKUP(A1956,MasterTutor!A:E,2,FALSE)</f>
        <v>Kristin Haase-Alvey</v>
      </c>
      <c r="E1956" t="s">
        <v>383</v>
      </c>
      <c r="F1956" s="2">
        <v>0.52</v>
      </c>
      <c r="G1956" s="2">
        <v>1.04</v>
      </c>
      <c r="H1956" s="2">
        <v>1</v>
      </c>
      <c r="I1956" s="2">
        <v>0.97</v>
      </c>
      <c r="J1956" s="2">
        <v>0.83</v>
      </c>
      <c r="K1956">
        <v>1</v>
      </c>
      <c r="L1956" s="19" t="s">
        <v>227</v>
      </c>
      <c r="M1956" s="21">
        <v>1</v>
      </c>
    </row>
    <row r="1957" spans="1:13" x14ac:dyDescent="0.2">
      <c r="A1957" t="s">
        <v>97</v>
      </c>
      <c r="B1957" t="str">
        <f>VLOOKUP(A1957,MasterTutor!A:E,4,FALSE)</f>
        <v>Advanced</v>
      </c>
      <c r="C1957" t="str">
        <f>VLOOKUP(A1957,MasterTutor!A:E,3,FALSE)</f>
        <v>Professional</v>
      </c>
      <c r="D1957" t="str">
        <f>VLOOKUP(A1957,MasterTutor!A:E,2,FALSE)</f>
        <v>Kristin Haase-Alvey</v>
      </c>
      <c r="E1957" t="s">
        <v>383</v>
      </c>
      <c r="F1957" s="2">
        <v>0.86</v>
      </c>
      <c r="G1957" s="2">
        <v>1.02</v>
      </c>
      <c r="H1957" s="2">
        <v>1</v>
      </c>
      <c r="I1957" s="2">
        <v>0.97</v>
      </c>
      <c r="J1957" s="2">
        <v>0.79</v>
      </c>
      <c r="K1957">
        <v>9</v>
      </c>
      <c r="L1957" s="19" t="s">
        <v>392</v>
      </c>
      <c r="M1957" s="21">
        <v>0.55000000000000004</v>
      </c>
    </row>
    <row r="1958" spans="1:13" x14ac:dyDescent="0.2">
      <c r="A1958" t="s">
        <v>98</v>
      </c>
      <c r="B1958" t="str">
        <f>VLOOKUP(A1958,MasterTutor!A:E,4,FALSE)</f>
        <v>Premium</v>
      </c>
      <c r="C1958" t="str">
        <f>VLOOKUP(A1958,MasterTutor!A:E,3,FALSE)</f>
        <v>Adjunct</v>
      </c>
      <c r="D1958" t="str">
        <f>VLOOKUP(A1958,MasterTutor!A:E,2,FALSE)</f>
        <v>Ela Cross</v>
      </c>
      <c r="E1958" t="s">
        <v>383</v>
      </c>
      <c r="F1958" s="2">
        <v>0.76</v>
      </c>
      <c r="G1958" s="2">
        <v>1.37</v>
      </c>
      <c r="H1958" s="2">
        <v>1</v>
      </c>
      <c r="I1958" s="2">
        <v>0.97</v>
      </c>
      <c r="J1958" s="2">
        <v>1</v>
      </c>
      <c r="K1958">
        <v>0</v>
      </c>
      <c r="L1958" s="20"/>
    </row>
    <row r="1959" spans="1:13" x14ac:dyDescent="0.2">
      <c r="A1959" t="s">
        <v>100</v>
      </c>
      <c r="B1959" t="str">
        <f>VLOOKUP(A1959,MasterTutor!A:E,4,FALSE)</f>
        <v>Premium</v>
      </c>
      <c r="C1959" t="str">
        <f>VLOOKUP(A1959,MasterTutor!A:E,3,FALSE)</f>
        <v>Adjunct</v>
      </c>
      <c r="D1959" t="str">
        <f>VLOOKUP(A1959,MasterTutor!A:E,2,FALSE)</f>
        <v>Annelies de Groot</v>
      </c>
      <c r="E1959" t="s">
        <v>383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>
        <v>0</v>
      </c>
      <c r="L1959" s="20"/>
    </row>
    <row r="1960" spans="1:13" x14ac:dyDescent="0.2">
      <c r="A1960" t="s">
        <v>101</v>
      </c>
      <c r="B1960" t="str">
        <f>VLOOKUP(A1960,MasterTutor!A:E,4,FALSE)</f>
        <v>Advanced</v>
      </c>
      <c r="C1960" t="str">
        <f>VLOOKUP(A1960,MasterTutor!A:E,3,FALSE)</f>
        <v>Professional</v>
      </c>
      <c r="D1960" t="str">
        <f>VLOOKUP(A1960,MasterTutor!A:E,2,FALSE)</f>
        <v>Kristin Haase-Alvey</v>
      </c>
      <c r="E1960" t="s">
        <v>383</v>
      </c>
      <c r="F1960" s="2">
        <v>0.94</v>
      </c>
      <c r="G1960" s="2">
        <v>1.08</v>
      </c>
      <c r="H1960" s="2">
        <v>0.99</v>
      </c>
      <c r="I1960" s="2">
        <v>1</v>
      </c>
      <c r="J1960" s="2">
        <v>0.5</v>
      </c>
      <c r="K1960">
        <v>9</v>
      </c>
      <c r="L1960" s="19" t="s">
        <v>247</v>
      </c>
      <c r="M1960" s="21">
        <v>0.7</v>
      </c>
    </row>
    <row r="1961" spans="1:13" x14ac:dyDescent="0.2">
      <c r="A1961" t="s">
        <v>103</v>
      </c>
      <c r="B1961" t="str">
        <f>VLOOKUP(A1961,MasterTutor!A:E,4,FALSE)</f>
        <v>Distinguished</v>
      </c>
      <c r="C1961" t="str">
        <f>VLOOKUP(A1961,MasterTutor!A:E,3,FALSE)</f>
        <v>Adjunct</v>
      </c>
      <c r="D1961" t="str">
        <f>VLOOKUP(A1961,MasterTutor!A:E,2,FALSE)</f>
        <v>Kristin Haase-Alvey</v>
      </c>
      <c r="E1961" t="s">
        <v>383</v>
      </c>
      <c r="F1961" s="2">
        <v>0.82</v>
      </c>
      <c r="G1961" s="2">
        <v>1.1499999999999999</v>
      </c>
      <c r="H1961" s="2">
        <v>1</v>
      </c>
      <c r="I1961" s="2">
        <v>1</v>
      </c>
      <c r="J1961" s="2">
        <v>0.9</v>
      </c>
      <c r="K1961">
        <v>0</v>
      </c>
      <c r="L1961" s="19" t="s">
        <v>275</v>
      </c>
      <c r="M1961" s="21">
        <v>0.2</v>
      </c>
    </row>
    <row r="1962" spans="1:13" x14ac:dyDescent="0.2">
      <c r="A1962" t="s">
        <v>104</v>
      </c>
      <c r="B1962" t="e">
        <f>VLOOKUP(A1962,MasterTutor!A:E,4,FALSE)</f>
        <v>#N/A</v>
      </c>
      <c r="C1962" t="e">
        <f>VLOOKUP(A1962,MasterTutor!A:E,3,FALSE)</f>
        <v>#N/A</v>
      </c>
      <c r="D1962" t="e">
        <f>VLOOKUP(A1962,MasterTutor!A:E,2,FALSE)</f>
        <v>#N/A</v>
      </c>
      <c r="E1962" t="s">
        <v>383</v>
      </c>
      <c r="F1962" s="2">
        <v>0.85</v>
      </c>
      <c r="G1962" s="2">
        <v>1.5</v>
      </c>
      <c r="H1962" s="2">
        <v>0.88</v>
      </c>
      <c r="I1962" s="2">
        <v>1</v>
      </c>
      <c r="J1962" s="2">
        <v>0.78</v>
      </c>
      <c r="K1962">
        <v>5</v>
      </c>
      <c r="L1962" s="19" t="s">
        <v>219</v>
      </c>
      <c r="M1962" s="21">
        <v>0</v>
      </c>
    </row>
    <row r="1963" spans="1:13" x14ac:dyDescent="0.2">
      <c r="A1963" t="s">
        <v>105</v>
      </c>
      <c r="B1963" t="str">
        <f>VLOOKUP(A1963,MasterTutor!A:E,4,FALSE)</f>
        <v>Advanced</v>
      </c>
      <c r="C1963" t="str">
        <f>VLOOKUP(A1963,MasterTutor!A:E,3,FALSE)</f>
        <v>Adjunct</v>
      </c>
      <c r="D1963" t="str">
        <f>VLOOKUP(A1963,MasterTutor!A:E,2,FALSE)</f>
        <v>Annelies de Groot</v>
      </c>
      <c r="E1963" t="s">
        <v>383</v>
      </c>
      <c r="F1963" s="2">
        <v>0.33</v>
      </c>
      <c r="G1963" s="2">
        <v>0.8</v>
      </c>
      <c r="H1963" s="2">
        <v>1</v>
      </c>
      <c r="I1963" s="2">
        <v>0.64</v>
      </c>
      <c r="J1963" s="2">
        <v>1</v>
      </c>
      <c r="K1963">
        <v>1</v>
      </c>
      <c r="L1963" s="19" t="s">
        <v>262</v>
      </c>
      <c r="M1963" s="21">
        <v>0.25</v>
      </c>
    </row>
    <row r="1964" spans="1:13" x14ac:dyDescent="0.2">
      <c r="A1964" t="s">
        <v>276</v>
      </c>
      <c r="B1964" t="str">
        <f>VLOOKUP(A1964,MasterTutor!A:E,4,FALSE)</f>
        <v>Advanced</v>
      </c>
      <c r="C1964" t="str">
        <f>VLOOKUP(A1964,MasterTutor!A:E,3,FALSE)</f>
        <v xml:space="preserve">Professional </v>
      </c>
      <c r="D1964" t="str">
        <f>VLOOKUP(A1964,MasterTutor!A:E,2,FALSE)</f>
        <v>Ian Plamondon</v>
      </c>
      <c r="E1964" t="s">
        <v>383</v>
      </c>
      <c r="F1964" s="2">
        <v>0.72</v>
      </c>
      <c r="G1964" s="2">
        <v>1.07</v>
      </c>
      <c r="H1964" s="2">
        <v>0.86</v>
      </c>
      <c r="I1964" s="2">
        <v>0.93</v>
      </c>
      <c r="J1964" s="2">
        <v>0</v>
      </c>
      <c r="K1964">
        <v>13</v>
      </c>
      <c r="L1964" s="19" t="s">
        <v>393</v>
      </c>
      <c r="M1964" s="21">
        <v>0.14000000000000001</v>
      </c>
    </row>
    <row r="1965" spans="1:13" x14ac:dyDescent="0.2">
      <c r="A1965" t="s">
        <v>278</v>
      </c>
      <c r="B1965" t="str">
        <f>VLOOKUP(A1965,MasterTutor!A:E,4,FALSE)</f>
        <v>Advanced</v>
      </c>
      <c r="C1965" t="str">
        <f>VLOOKUP(A1965,MasterTutor!A:E,3,FALSE)</f>
        <v xml:space="preserve">Professional </v>
      </c>
      <c r="D1965" t="str">
        <f>VLOOKUP(A1965,MasterTutor!A:E,2,FALSE)</f>
        <v>Geoff St. Marie</v>
      </c>
      <c r="E1965" t="s">
        <v>383</v>
      </c>
      <c r="F1965" s="2">
        <v>0.68</v>
      </c>
      <c r="G1965" s="2">
        <v>1.03</v>
      </c>
      <c r="H1965" s="2">
        <v>1</v>
      </c>
      <c r="I1965" s="2">
        <v>0.96</v>
      </c>
      <c r="J1965" s="2">
        <v>1</v>
      </c>
      <c r="K1965">
        <v>2</v>
      </c>
      <c r="L1965" s="19" t="s">
        <v>389</v>
      </c>
      <c r="M1965" s="21">
        <v>0.18</v>
      </c>
    </row>
    <row r="1966" spans="1:13" x14ac:dyDescent="0.2">
      <c r="A1966" t="s">
        <v>107</v>
      </c>
      <c r="B1966" t="str">
        <f>VLOOKUP(A1966,MasterTutor!A:E,4,FALSE)</f>
        <v>Distinguished</v>
      </c>
      <c r="C1966" t="str">
        <f>VLOOKUP(A1966,MasterTutor!A:E,3,FALSE)</f>
        <v>Professional</v>
      </c>
      <c r="D1966" t="str">
        <f>VLOOKUP(A1966,MasterTutor!A:E,2,FALSE)</f>
        <v>Ian Plamondon</v>
      </c>
      <c r="E1966" t="s">
        <v>383</v>
      </c>
      <c r="F1966" s="2">
        <v>0.86</v>
      </c>
      <c r="G1966" s="2">
        <v>1.49</v>
      </c>
      <c r="H1966" s="2">
        <v>1</v>
      </c>
      <c r="I1966" s="2">
        <v>0.96</v>
      </c>
      <c r="J1966" s="2">
        <v>0.81</v>
      </c>
      <c r="K1966">
        <v>1</v>
      </c>
      <c r="L1966" s="19" t="s">
        <v>225</v>
      </c>
      <c r="M1966" s="21">
        <v>0.5</v>
      </c>
    </row>
    <row r="1967" spans="1:13" x14ac:dyDescent="0.2">
      <c r="A1967" t="s">
        <v>108</v>
      </c>
      <c r="B1967" t="str">
        <f>VLOOKUP(A1967,MasterTutor!A:E,4,FALSE)</f>
        <v>Advanced</v>
      </c>
      <c r="C1967" t="str">
        <f>VLOOKUP(A1967,MasterTutor!A:E,3,FALSE)</f>
        <v>Professional</v>
      </c>
      <c r="D1967" t="str">
        <f>VLOOKUP(A1967,MasterTutor!A:E,2,FALSE)</f>
        <v>Geoff St. Marie</v>
      </c>
      <c r="E1967" t="s">
        <v>383</v>
      </c>
      <c r="F1967" s="2">
        <v>0.71</v>
      </c>
      <c r="G1967" s="2">
        <v>1.08</v>
      </c>
      <c r="H1967" s="2">
        <v>0.99</v>
      </c>
      <c r="I1967" s="2">
        <v>0.96</v>
      </c>
      <c r="J1967" s="2">
        <v>1</v>
      </c>
      <c r="K1967">
        <v>3</v>
      </c>
      <c r="L1967" s="19" t="s">
        <v>394</v>
      </c>
      <c r="M1967" s="21">
        <v>1</v>
      </c>
    </row>
    <row r="1968" spans="1:13" x14ac:dyDescent="0.2">
      <c r="A1968" t="s">
        <v>111</v>
      </c>
      <c r="B1968" t="str">
        <f>VLOOKUP(A1968,MasterTutor!A:E,4,FALSE)</f>
        <v>Premium</v>
      </c>
      <c r="C1968" t="str">
        <f>VLOOKUP(A1968,MasterTutor!A:E,3,FALSE)</f>
        <v>Adjunct</v>
      </c>
      <c r="D1968" t="str">
        <f>VLOOKUP(A1968,MasterTutor!A:E,2,FALSE)</f>
        <v>Kristin Haase-Alvey</v>
      </c>
      <c r="E1968" t="s">
        <v>383</v>
      </c>
      <c r="F1968" s="2">
        <v>0.42</v>
      </c>
      <c r="G1968" s="2">
        <v>1.21</v>
      </c>
      <c r="H1968" s="2">
        <v>1</v>
      </c>
      <c r="I1968" s="2">
        <v>1</v>
      </c>
      <c r="J1968" s="2">
        <v>1</v>
      </c>
      <c r="K1968">
        <v>0</v>
      </c>
      <c r="L1968" s="19" t="s">
        <v>216</v>
      </c>
      <c r="M1968" s="21">
        <v>1</v>
      </c>
    </row>
    <row r="1969" spans="1:13" x14ac:dyDescent="0.2">
      <c r="A1969" t="s">
        <v>281</v>
      </c>
      <c r="B1969" t="str">
        <f>VLOOKUP(A1969,MasterTutor!A:E,4,FALSE)</f>
        <v>Advanced</v>
      </c>
      <c r="C1969" t="str">
        <f>VLOOKUP(A1969,MasterTutor!A:E,3,FALSE)</f>
        <v>Professional</v>
      </c>
      <c r="D1969" t="str">
        <f>VLOOKUP(A1969,MasterTutor!A:E,2,FALSE)</f>
        <v>Annelies de Groot</v>
      </c>
      <c r="E1969" t="s">
        <v>383</v>
      </c>
      <c r="F1969" s="2">
        <v>0.87</v>
      </c>
      <c r="G1969" s="2">
        <v>1.02</v>
      </c>
      <c r="H1969" s="2">
        <v>0.98</v>
      </c>
      <c r="I1969" s="2">
        <v>1</v>
      </c>
      <c r="J1969" s="2">
        <v>0.5</v>
      </c>
      <c r="K1969">
        <v>4</v>
      </c>
      <c r="L1969" s="19" t="s">
        <v>279</v>
      </c>
      <c r="M1969" s="21">
        <v>0</v>
      </c>
    </row>
    <row r="1970" spans="1:13" x14ac:dyDescent="0.2">
      <c r="A1970" t="s">
        <v>115</v>
      </c>
      <c r="B1970" t="str">
        <f>VLOOKUP(A1970,MasterTutor!A:E,4,FALSE)</f>
        <v>Advanced</v>
      </c>
      <c r="C1970" t="str">
        <f>VLOOKUP(A1970,MasterTutor!A:E,3,FALSE)</f>
        <v>Adjunct</v>
      </c>
      <c r="D1970" t="str">
        <f>VLOOKUP(A1970,MasterTutor!A:E,2,FALSE)</f>
        <v>Kristin Haase-Alvey</v>
      </c>
      <c r="E1970" t="s">
        <v>383</v>
      </c>
      <c r="F1970" s="2">
        <v>0.99</v>
      </c>
      <c r="G1970" s="2">
        <v>1.21</v>
      </c>
      <c r="H1970" s="2">
        <v>1</v>
      </c>
      <c r="I1970" s="2">
        <v>0.88</v>
      </c>
      <c r="J1970" s="2">
        <v>0.73</v>
      </c>
      <c r="K1970">
        <v>10</v>
      </c>
      <c r="L1970" s="19" t="s">
        <v>215</v>
      </c>
      <c r="M1970" s="21">
        <v>1</v>
      </c>
    </row>
    <row r="1971" spans="1:13" x14ac:dyDescent="0.2">
      <c r="A1971" t="s">
        <v>283</v>
      </c>
      <c r="B1971" t="str">
        <f>VLOOKUP(A1971,MasterTutor!A:E,4,FALSE)</f>
        <v>Advanced</v>
      </c>
      <c r="C1971" t="str">
        <f>VLOOKUP(A1971,MasterTutor!A:E,3,FALSE)</f>
        <v>Adjunct- BUC</v>
      </c>
      <c r="D1971" t="str">
        <f>VLOOKUP(A1971,MasterTutor!A:E,2,FALSE)</f>
        <v>Geoff St. Marie</v>
      </c>
      <c r="E1971" t="s">
        <v>383</v>
      </c>
      <c r="F1971" s="2">
        <v>0.59</v>
      </c>
      <c r="G1971" s="2">
        <v>1.31</v>
      </c>
      <c r="H1971" s="2">
        <v>1</v>
      </c>
      <c r="I1971" s="2">
        <v>1</v>
      </c>
      <c r="J1971" s="2">
        <v>0</v>
      </c>
      <c r="K1971">
        <v>2</v>
      </c>
      <c r="L1971" s="19" t="s">
        <v>384</v>
      </c>
      <c r="M1971" s="21">
        <v>0.86</v>
      </c>
    </row>
    <row r="1972" spans="1:13" x14ac:dyDescent="0.2">
      <c r="A1972" t="s">
        <v>285</v>
      </c>
      <c r="B1972" t="str">
        <f>VLOOKUP(A1972,MasterTutor!A:E,4,FALSE)</f>
        <v>Advanced</v>
      </c>
      <c r="C1972" t="str">
        <f>VLOOKUP(A1972,MasterTutor!A:E,3,FALSE)</f>
        <v>Professional</v>
      </c>
      <c r="D1972" t="str">
        <f>VLOOKUP(A1972,MasterTutor!A:E,2,FALSE)</f>
        <v>Ela Cross</v>
      </c>
      <c r="E1972" t="s">
        <v>383</v>
      </c>
      <c r="F1972" s="2">
        <v>0.89</v>
      </c>
      <c r="G1972" s="2">
        <v>1.1000000000000001</v>
      </c>
      <c r="H1972" s="2">
        <v>1</v>
      </c>
      <c r="I1972" s="2">
        <v>0.81</v>
      </c>
      <c r="J1972" s="2">
        <v>0</v>
      </c>
      <c r="K1972">
        <v>7</v>
      </c>
      <c r="L1972" s="19" t="s">
        <v>395</v>
      </c>
      <c r="M1972" s="21">
        <v>0</v>
      </c>
    </row>
    <row r="1973" spans="1:13" x14ac:dyDescent="0.2">
      <c r="A1973" t="s">
        <v>116</v>
      </c>
      <c r="B1973" t="str">
        <f>VLOOKUP(A1973,MasterTutor!A:E,4,FALSE)</f>
        <v>Premium</v>
      </c>
      <c r="C1973" t="str">
        <f>VLOOKUP(A1973,MasterTutor!A:E,3,FALSE)</f>
        <v>Professional</v>
      </c>
      <c r="D1973" t="str">
        <f>VLOOKUP(A1973,MasterTutor!A:E,2,FALSE)</f>
        <v>Jessica Milner</v>
      </c>
      <c r="E1973" t="s">
        <v>383</v>
      </c>
      <c r="F1973" s="2">
        <v>0.86</v>
      </c>
      <c r="G1973" s="2">
        <v>1.07</v>
      </c>
      <c r="H1973" s="2">
        <v>1</v>
      </c>
      <c r="I1973" s="2">
        <v>1</v>
      </c>
      <c r="J1973" s="2">
        <v>1</v>
      </c>
      <c r="K1973">
        <v>5</v>
      </c>
      <c r="L1973" s="19" t="s">
        <v>216</v>
      </c>
      <c r="M1973" s="21">
        <v>1</v>
      </c>
    </row>
    <row r="1974" spans="1:13" x14ac:dyDescent="0.2">
      <c r="A1974" t="s">
        <v>117</v>
      </c>
      <c r="B1974" t="str">
        <f>VLOOKUP(A1974,MasterTutor!A:E,4,FALSE)</f>
        <v>Advanced</v>
      </c>
      <c r="C1974" t="str">
        <f>VLOOKUP(A1974,MasterTutor!A:E,3,FALSE)</f>
        <v>Professional</v>
      </c>
      <c r="D1974" t="str">
        <f>VLOOKUP(A1974,MasterTutor!A:E,2,FALSE)</f>
        <v>Kristin Haase-Alvey</v>
      </c>
      <c r="E1974" t="s">
        <v>383</v>
      </c>
      <c r="F1974" s="2">
        <v>1</v>
      </c>
      <c r="G1974" s="2">
        <v>1.01</v>
      </c>
      <c r="H1974" s="2">
        <v>1</v>
      </c>
      <c r="I1974" s="2">
        <v>1</v>
      </c>
      <c r="J1974" s="2">
        <v>0.65</v>
      </c>
      <c r="K1974">
        <v>2</v>
      </c>
      <c r="L1974" s="19" t="s">
        <v>393</v>
      </c>
      <c r="M1974" s="21">
        <v>0.14000000000000001</v>
      </c>
    </row>
    <row r="1975" spans="1:13" x14ac:dyDescent="0.2">
      <c r="A1975" t="s">
        <v>119</v>
      </c>
      <c r="B1975" t="str">
        <f>VLOOKUP(A1975,MasterTutor!A:E,4,FALSE)</f>
        <v>Distinguished</v>
      </c>
      <c r="C1975" t="str">
        <f>VLOOKUP(A1975,MasterTutor!A:E,3,FALSE)</f>
        <v>Professional</v>
      </c>
      <c r="D1975" t="str">
        <f>VLOOKUP(A1975,MasterTutor!A:E,2,FALSE)</f>
        <v>Kristin Haase-Alvey</v>
      </c>
      <c r="E1975" t="s">
        <v>383</v>
      </c>
      <c r="F1975" s="2">
        <v>0.8</v>
      </c>
      <c r="G1975" s="2">
        <v>0.98</v>
      </c>
      <c r="H1975" s="2">
        <v>1</v>
      </c>
      <c r="I1975" s="2">
        <v>0.92</v>
      </c>
      <c r="J1975" s="2">
        <v>0.86</v>
      </c>
      <c r="K1975">
        <v>0</v>
      </c>
      <c r="L1975" s="19" t="s">
        <v>243</v>
      </c>
      <c r="M1975" s="21">
        <v>0.33</v>
      </c>
    </row>
    <row r="1976" spans="1:13" x14ac:dyDescent="0.2">
      <c r="A1976" t="s">
        <v>120</v>
      </c>
      <c r="B1976" t="str">
        <f>VLOOKUP(A1976,MasterTutor!A:E,4,FALSE)</f>
        <v>Premium</v>
      </c>
      <c r="C1976" t="str">
        <f>VLOOKUP(A1976,MasterTutor!A:E,3,FALSE)</f>
        <v>Professional</v>
      </c>
      <c r="D1976" t="str">
        <f>VLOOKUP(A1976,MasterTutor!A:E,2,FALSE)</f>
        <v>Jessica Milner</v>
      </c>
      <c r="E1976" t="s">
        <v>383</v>
      </c>
      <c r="F1976" s="2">
        <v>0.81</v>
      </c>
      <c r="G1976" s="2">
        <v>1.32</v>
      </c>
      <c r="H1976" s="2">
        <v>1</v>
      </c>
      <c r="I1976" s="2">
        <v>0.89</v>
      </c>
      <c r="J1976" s="2">
        <v>0.33</v>
      </c>
      <c r="K1976">
        <v>0</v>
      </c>
      <c r="L1976" s="19" t="s">
        <v>225</v>
      </c>
      <c r="M1976" s="21">
        <v>0.5</v>
      </c>
    </row>
    <row r="1977" spans="1:13" x14ac:dyDescent="0.2">
      <c r="A1977" t="s">
        <v>121</v>
      </c>
      <c r="B1977" t="str">
        <f>VLOOKUP(A1977,MasterTutor!A:E,4,FALSE)</f>
        <v>Advanced</v>
      </c>
      <c r="C1977" t="str">
        <f>VLOOKUP(A1977,MasterTutor!A:E,3,FALSE)</f>
        <v>Adjunct</v>
      </c>
      <c r="D1977" t="str">
        <f>VLOOKUP(A1977,MasterTutor!A:E,2,FALSE)</f>
        <v>Annelies de Groot</v>
      </c>
      <c r="E1977" t="s">
        <v>383</v>
      </c>
      <c r="F1977" s="2">
        <v>1.08</v>
      </c>
      <c r="G1977" s="2">
        <v>1.33</v>
      </c>
      <c r="H1977" s="2">
        <v>1</v>
      </c>
      <c r="I1977" s="2">
        <v>1</v>
      </c>
      <c r="J1977" s="2">
        <v>0.55000000000000004</v>
      </c>
      <c r="K1977">
        <v>4</v>
      </c>
      <c r="L1977" s="20"/>
    </row>
    <row r="1978" spans="1:13" x14ac:dyDescent="0.2">
      <c r="A1978" t="s">
        <v>123</v>
      </c>
      <c r="B1978" t="str">
        <f>VLOOKUP(A1978,MasterTutor!A:E,4,FALSE)</f>
        <v>Premium</v>
      </c>
      <c r="C1978" t="str">
        <f>VLOOKUP(A1978,MasterTutor!A:E,3,FALSE)</f>
        <v xml:space="preserve">Professional </v>
      </c>
      <c r="D1978" t="str">
        <f>VLOOKUP(A1978,MasterTutor!A:E,2,FALSE)</f>
        <v>Ela Cross</v>
      </c>
      <c r="E1978" t="s">
        <v>383</v>
      </c>
      <c r="F1978" s="2">
        <v>1</v>
      </c>
      <c r="G1978" s="2">
        <v>1.18</v>
      </c>
      <c r="H1978" s="2">
        <v>0.99</v>
      </c>
      <c r="I1978" s="2">
        <v>0.99</v>
      </c>
      <c r="J1978" s="2">
        <v>0.67</v>
      </c>
      <c r="K1978">
        <v>3</v>
      </c>
      <c r="L1978" s="19" t="s">
        <v>215</v>
      </c>
      <c r="M1978" s="21">
        <v>1</v>
      </c>
    </row>
    <row r="1979" spans="1:13" x14ac:dyDescent="0.2">
      <c r="A1979" t="s">
        <v>125</v>
      </c>
      <c r="B1979" t="str">
        <f>VLOOKUP(A1979,MasterTutor!A:E,4,FALSE)</f>
        <v>Advanced</v>
      </c>
      <c r="C1979" t="str">
        <f>VLOOKUP(A1979,MasterTutor!A:E,3,FALSE)</f>
        <v>Professional</v>
      </c>
      <c r="D1979" t="str">
        <f>VLOOKUP(A1979,MasterTutor!A:E,2,FALSE)</f>
        <v>Kristin Haase-Alvey</v>
      </c>
      <c r="E1979" t="s">
        <v>383</v>
      </c>
      <c r="F1979" s="2">
        <v>0.8</v>
      </c>
      <c r="G1979" s="2">
        <v>0.84</v>
      </c>
      <c r="H1979" s="2">
        <v>0.92</v>
      </c>
      <c r="I1979" s="2">
        <v>1</v>
      </c>
      <c r="J1979" s="2">
        <v>0.94</v>
      </c>
      <c r="K1979">
        <v>12</v>
      </c>
      <c r="L1979" s="19" t="s">
        <v>380</v>
      </c>
      <c r="M1979" s="21">
        <v>0.75</v>
      </c>
    </row>
    <row r="1980" spans="1:13" x14ac:dyDescent="0.2">
      <c r="A1980" t="s">
        <v>126</v>
      </c>
      <c r="B1980" t="str">
        <f>VLOOKUP(A1980,MasterTutor!A:E,4,FALSE)</f>
        <v>Distinguished</v>
      </c>
      <c r="C1980" t="str">
        <f>VLOOKUP(A1980,MasterTutor!A:E,3,FALSE)</f>
        <v>Professional</v>
      </c>
      <c r="D1980" t="str">
        <f>VLOOKUP(A1980,MasterTutor!A:E,2,FALSE)</f>
        <v>Ian Plamondon</v>
      </c>
      <c r="E1980" t="s">
        <v>383</v>
      </c>
      <c r="F1980" s="2">
        <v>0.28999999999999998</v>
      </c>
      <c r="G1980" s="2">
        <v>0.63</v>
      </c>
      <c r="H1980" s="2">
        <v>0.94</v>
      </c>
      <c r="I1980" s="2">
        <v>1</v>
      </c>
      <c r="J1980" s="2">
        <v>0.86</v>
      </c>
      <c r="K1980">
        <v>2</v>
      </c>
      <c r="L1980" s="20"/>
    </row>
    <row r="1981" spans="1:13" x14ac:dyDescent="0.2">
      <c r="A1981" t="s">
        <v>127</v>
      </c>
      <c r="B1981" t="str">
        <f>VLOOKUP(A1981,MasterTutor!A:E,4,FALSE)</f>
        <v>Premium</v>
      </c>
      <c r="C1981" t="str">
        <f>VLOOKUP(A1981,MasterTutor!A:E,3,FALSE)</f>
        <v>Professional</v>
      </c>
      <c r="D1981" t="str">
        <f>VLOOKUP(A1981,MasterTutor!A:E,2,FALSE)</f>
        <v>Jessica Milner</v>
      </c>
      <c r="E1981" t="s">
        <v>383</v>
      </c>
      <c r="F1981" s="2">
        <v>0.5</v>
      </c>
      <c r="G1981" s="2">
        <v>0.82</v>
      </c>
      <c r="H1981" s="2">
        <v>0.94</v>
      </c>
      <c r="I1981" s="2">
        <v>1</v>
      </c>
      <c r="J1981" s="2">
        <v>0.18</v>
      </c>
      <c r="K1981">
        <v>2</v>
      </c>
      <c r="L1981" s="19" t="s">
        <v>226</v>
      </c>
      <c r="M1981" s="21">
        <v>0.75</v>
      </c>
    </row>
    <row r="1982" spans="1:13" x14ac:dyDescent="0.2">
      <c r="A1982" t="s">
        <v>128</v>
      </c>
      <c r="B1982" t="str">
        <f>VLOOKUP(A1982,MasterTutor!A:E,4,FALSE)</f>
        <v>Distinguished</v>
      </c>
      <c r="C1982" t="str">
        <f>VLOOKUP(A1982,MasterTutor!A:E,3,FALSE)</f>
        <v>Professional</v>
      </c>
      <c r="D1982" t="str">
        <f>VLOOKUP(A1982,MasterTutor!A:E,2,FALSE)</f>
        <v>Ian Plamondon</v>
      </c>
      <c r="E1982" t="s">
        <v>383</v>
      </c>
      <c r="F1982" s="2">
        <v>1</v>
      </c>
      <c r="G1982" s="2">
        <v>1.75</v>
      </c>
      <c r="H1982" s="2">
        <v>1</v>
      </c>
      <c r="I1982" s="2">
        <v>1</v>
      </c>
      <c r="J1982" s="2">
        <v>1</v>
      </c>
      <c r="K1982">
        <v>0</v>
      </c>
      <c r="L1982" s="19" t="s">
        <v>253</v>
      </c>
      <c r="M1982" s="21">
        <v>1</v>
      </c>
    </row>
    <row r="1983" spans="1:13" x14ac:dyDescent="0.2">
      <c r="A1983" t="s">
        <v>129</v>
      </c>
      <c r="B1983" t="str">
        <f>VLOOKUP(A1983,MasterTutor!A:E,4,FALSE)</f>
        <v>Premium</v>
      </c>
      <c r="C1983" t="str">
        <f>VLOOKUP(A1983,MasterTutor!A:E,3,FALSE)</f>
        <v>Adjunct</v>
      </c>
      <c r="D1983" t="str">
        <f>VLOOKUP(A1983,MasterTutor!A:E,2,FALSE)</f>
        <v>Annelies de Groot</v>
      </c>
      <c r="E1983" t="s">
        <v>383</v>
      </c>
      <c r="F1983" s="2">
        <v>1.1499999999999999</v>
      </c>
      <c r="G1983" s="2">
        <v>1.32</v>
      </c>
      <c r="H1983" s="2">
        <v>0.96</v>
      </c>
      <c r="I1983" s="2">
        <v>0.96</v>
      </c>
      <c r="J1983" s="2">
        <v>0.64</v>
      </c>
      <c r="K1983">
        <v>3</v>
      </c>
      <c r="L1983" s="19" t="s">
        <v>219</v>
      </c>
      <c r="M1983" s="21">
        <v>0</v>
      </c>
    </row>
    <row r="1984" spans="1:13" x14ac:dyDescent="0.2">
      <c r="A1984" t="s">
        <v>130</v>
      </c>
      <c r="B1984" t="str">
        <f>VLOOKUP(A1984,MasterTutor!A:E,4,FALSE)</f>
        <v>Premium</v>
      </c>
      <c r="C1984" t="str">
        <f>VLOOKUP(A1984,MasterTutor!A:E,3,FALSE)</f>
        <v>Adjunct</v>
      </c>
      <c r="D1984" t="str">
        <f>VLOOKUP(A1984,MasterTutor!A:E,2,FALSE)</f>
        <v>Ela Cross</v>
      </c>
      <c r="E1984" t="s">
        <v>383</v>
      </c>
      <c r="F1984" s="2">
        <v>0.74</v>
      </c>
      <c r="G1984" s="2">
        <v>1.29</v>
      </c>
      <c r="H1984" s="2">
        <v>1</v>
      </c>
      <c r="I1984" s="2">
        <v>1</v>
      </c>
      <c r="J1984" s="2">
        <v>1</v>
      </c>
      <c r="K1984">
        <v>1</v>
      </c>
      <c r="L1984" s="19" t="s">
        <v>215</v>
      </c>
      <c r="M1984" s="21">
        <v>1</v>
      </c>
    </row>
    <row r="1985" spans="1:13" x14ac:dyDescent="0.2">
      <c r="A1985" t="s">
        <v>131</v>
      </c>
      <c r="B1985" t="str">
        <f>VLOOKUP(A1985,MasterTutor!A:E,4,FALSE)</f>
        <v>Advanced</v>
      </c>
      <c r="C1985" t="str">
        <f>VLOOKUP(A1985,MasterTutor!A:E,3,FALSE)</f>
        <v>Professional</v>
      </c>
      <c r="D1985" t="str">
        <f>VLOOKUP(A1985,MasterTutor!A:E,2,FALSE)</f>
        <v>Ian Plamondon</v>
      </c>
      <c r="E1985" t="s">
        <v>383</v>
      </c>
      <c r="F1985" s="2">
        <v>0.83</v>
      </c>
      <c r="G1985" s="2">
        <v>1.21</v>
      </c>
      <c r="H1985" s="2">
        <v>0.99</v>
      </c>
      <c r="I1985" s="2">
        <v>0.97</v>
      </c>
      <c r="J1985" s="2">
        <v>0.69</v>
      </c>
      <c r="K1985">
        <v>1</v>
      </c>
      <c r="L1985" s="19" t="s">
        <v>266</v>
      </c>
      <c r="M1985" s="21">
        <v>0</v>
      </c>
    </row>
    <row r="1986" spans="1:13" x14ac:dyDescent="0.2">
      <c r="A1986" t="s">
        <v>132</v>
      </c>
      <c r="B1986" t="str">
        <f>VLOOKUP(A1986,MasterTutor!A:E,4,FALSE)</f>
        <v>Distinguished</v>
      </c>
      <c r="C1986" t="str">
        <f>VLOOKUP(A1986,MasterTutor!A:E,3,FALSE)</f>
        <v>Professional</v>
      </c>
      <c r="D1986" t="str">
        <f>VLOOKUP(A1986,MasterTutor!A:E,2,FALSE)</f>
        <v>Kristin Haase-Alvey</v>
      </c>
      <c r="E1986" t="s">
        <v>383</v>
      </c>
      <c r="F1986" s="2">
        <v>1.1000000000000001</v>
      </c>
      <c r="G1986" s="2">
        <v>0.93</v>
      </c>
      <c r="H1986" s="2">
        <v>1</v>
      </c>
      <c r="I1986" s="2">
        <v>0.96</v>
      </c>
      <c r="J1986" s="2">
        <v>1</v>
      </c>
      <c r="K1986">
        <v>3</v>
      </c>
      <c r="L1986" s="19" t="s">
        <v>219</v>
      </c>
      <c r="M1986" s="21">
        <v>0</v>
      </c>
    </row>
    <row r="1987" spans="1:13" x14ac:dyDescent="0.2">
      <c r="A1987" t="s">
        <v>133</v>
      </c>
      <c r="B1987" t="e">
        <f>VLOOKUP(A1987,MasterTutor!A:E,4,FALSE)</f>
        <v>#N/A</v>
      </c>
      <c r="C1987" t="e">
        <f>VLOOKUP(A1987,MasterTutor!A:E,3,FALSE)</f>
        <v>#N/A</v>
      </c>
      <c r="D1987" t="e">
        <f>VLOOKUP(A1987,MasterTutor!A:E,2,FALSE)</f>
        <v>#N/A</v>
      </c>
      <c r="E1987" t="s">
        <v>383</v>
      </c>
      <c r="F1987" s="2">
        <v>0.81</v>
      </c>
      <c r="G1987" s="2">
        <v>1.04</v>
      </c>
      <c r="H1987" s="2">
        <v>0.89</v>
      </c>
      <c r="I1987" s="2">
        <v>0.89</v>
      </c>
      <c r="J1987" s="2">
        <v>0.4</v>
      </c>
      <c r="K1987">
        <v>0</v>
      </c>
      <c r="L1987" s="19" t="s">
        <v>215</v>
      </c>
      <c r="M1987" s="21">
        <v>1</v>
      </c>
    </row>
    <row r="1988" spans="1:13" x14ac:dyDescent="0.2">
      <c r="A1988" t="s">
        <v>289</v>
      </c>
      <c r="B1988" t="str">
        <f>VLOOKUP(A1988,MasterTutor!A:E,4,FALSE)</f>
        <v>Advanced</v>
      </c>
      <c r="C1988" t="str">
        <f>VLOOKUP(A1988,MasterTutor!A:E,3,FALSE)</f>
        <v xml:space="preserve">Professional </v>
      </c>
      <c r="D1988" t="str">
        <f>VLOOKUP(A1988,MasterTutor!A:E,2,FALSE)</f>
        <v>Annelies de Groot</v>
      </c>
      <c r="E1988" t="s">
        <v>383</v>
      </c>
      <c r="F1988" s="2">
        <v>0.12</v>
      </c>
      <c r="G1988" s="2">
        <v>0.81</v>
      </c>
      <c r="H1988" s="2">
        <v>1</v>
      </c>
      <c r="I1988" s="2">
        <v>0</v>
      </c>
      <c r="J1988" s="2">
        <v>0</v>
      </c>
      <c r="K1988">
        <v>0</v>
      </c>
      <c r="L1988" s="19" t="s">
        <v>219</v>
      </c>
      <c r="M1988" s="21">
        <v>0</v>
      </c>
    </row>
    <row r="1989" spans="1:13" x14ac:dyDescent="0.2">
      <c r="A1989" t="s">
        <v>134</v>
      </c>
      <c r="B1989" t="str">
        <f>VLOOKUP(A1989,MasterTutor!A:E,4,FALSE)</f>
        <v>Distinguished</v>
      </c>
      <c r="C1989" t="str">
        <f>VLOOKUP(A1989,MasterTutor!A:E,3,FALSE)</f>
        <v>Professional</v>
      </c>
      <c r="D1989" t="str">
        <f>VLOOKUP(A1989,MasterTutor!A:E,2,FALSE)</f>
        <v>Annelies de Groot</v>
      </c>
      <c r="E1989" t="s">
        <v>383</v>
      </c>
      <c r="F1989" s="2">
        <v>0.63</v>
      </c>
      <c r="G1989" s="2">
        <v>1.0900000000000001</v>
      </c>
      <c r="H1989" s="2">
        <v>1</v>
      </c>
      <c r="I1989" s="2">
        <v>0.98</v>
      </c>
      <c r="J1989" s="2">
        <v>0.56000000000000005</v>
      </c>
      <c r="K1989">
        <v>2</v>
      </c>
      <c r="L1989" s="19" t="s">
        <v>227</v>
      </c>
      <c r="M1989" s="21">
        <v>1</v>
      </c>
    </row>
    <row r="1990" spans="1:13" x14ac:dyDescent="0.2">
      <c r="A1990" t="s">
        <v>135</v>
      </c>
      <c r="B1990" t="str">
        <f>VLOOKUP(A1990,MasterTutor!A:E,4,FALSE)</f>
        <v>Distinguished</v>
      </c>
      <c r="C1990" t="str">
        <f>VLOOKUP(A1990,MasterTutor!A:E,3,FALSE)</f>
        <v>Adjunct</v>
      </c>
      <c r="D1990" t="str">
        <f>VLOOKUP(A1990,MasterTutor!A:E,2,FALSE)</f>
        <v>Annelies de Groot</v>
      </c>
      <c r="E1990" t="s">
        <v>383</v>
      </c>
      <c r="F1990" s="2">
        <v>1.1499999999999999</v>
      </c>
      <c r="G1990" s="2">
        <v>1.44</v>
      </c>
      <c r="H1990" s="2">
        <v>1</v>
      </c>
      <c r="I1990" s="2">
        <v>0.85</v>
      </c>
      <c r="J1990" s="2">
        <v>0.67</v>
      </c>
      <c r="K1990">
        <v>3</v>
      </c>
      <c r="L1990" s="19" t="s">
        <v>219</v>
      </c>
      <c r="M1990" s="21">
        <v>0</v>
      </c>
    </row>
    <row r="1991" spans="1:13" x14ac:dyDescent="0.2">
      <c r="A1991" t="s">
        <v>292</v>
      </c>
      <c r="B1991" t="str">
        <f>VLOOKUP(A1991,MasterTutor!A:E,4,FALSE)</f>
        <v>Advanced</v>
      </c>
      <c r="C1991" t="str">
        <f>VLOOKUP(A1991,MasterTutor!A:E,3,FALSE)</f>
        <v xml:space="preserve">Professional </v>
      </c>
      <c r="D1991" t="str">
        <f>VLOOKUP(A1991,MasterTutor!A:E,2,FALSE)</f>
        <v>Kristin Haase-Alvey</v>
      </c>
      <c r="E1991" t="s">
        <v>383</v>
      </c>
      <c r="F1991" s="2">
        <v>0.98</v>
      </c>
      <c r="G1991" s="2">
        <v>0.87</v>
      </c>
      <c r="H1991" s="2">
        <v>1</v>
      </c>
      <c r="I1991" s="2">
        <v>0.98</v>
      </c>
      <c r="J1991" s="2">
        <v>0.71</v>
      </c>
      <c r="K1991">
        <v>12</v>
      </c>
      <c r="L1991" s="19" t="s">
        <v>296</v>
      </c>
      <c r="M1991" s="21">
        <v>0.71</v>
      </c>
    </row>
    <row r="1992" spans="1:13" x14ac:dyDescent="0.2">
      <c r="A1992" t="s">
        <v>294</v>
      </c>
      <c r="B1992" t="str">
        <f>VLOOKUP(A1992,MasterTutor!A:E,4,FALSE)</f>
        <v>Advanced</v>
      </c>
      <c r="C1992" t="str">
        <f>VLOOKUP(A1992,MasterTutor!A:E,3,FALSE)</f>
        <v>Adjunct</v>
      </c>
      <c r="D1992" t="str">
        <f>VLOOKUP(A1992,MasterTutor!A:E,2,FALSE)</f>
        <v>Kristin Haase-Alvey</v>
      </c>
      <c r="E1992" t="s">
        <v>383</v>
      </c>
      <c r="F1992" s="2">
        <v>0.74</v>
      </c>
      <c r="G1992" s="2">
        <v>1.1599999999999999</v>
      </c>
      <c r="H1992" s="2">
        <v>0.87</v>
      </c>
      <c r="I1992" s="2">
        <v>0.96</v>
      </c>
      <c r="J1992" s="2">
        <v>1</v>
      </c>
      <c r="K1992">
        <v>4</v>
      </c>
      <c r="L1992" s="19" t="s">
        <v>215</v>
      </c>
      <c r="M1992" s="21">
        <v>1</v>
      </c>
    </row>
    <row r="1993" spans="1:13" x14ac:dyDescent="0.2">
      <c r="A1993" t="s">
        <v>137</v>
      </c>
      <c r="B1993" t="str">
        <f>VLOOKUP(A1993,MasterTutor!A:E,4,FALSE)</f>
        <v>Premium</v>
      </c>
      <c r="C1993" t="str">
        <f>VLOOKUP(A1993,MasterTutor!A:E,3,FALSE)</f>
        <v>Professional</v>
      </c>
      <c r="D1993" t="str">
        <f>VLOOKUP(A1993,MasterTutor!A:E,2,FALSE)</f>
        <v>Jessica Milner</v>
      </c>
      <c r="E1993" t="s">
        <v>383</v>
      </c>
      <c r="F1993" s="2">
        <v>0.95</v>
      </c>
      <c r="G1993" s="2">
        <v>1.28</v>
      </c>
      <c r="H1993" s="2">
        <v>1</v>
      </c>
      <c r="I1993" s="2">
        <v>0.97</v>
      </c>
      <c r="J1993" s="2">
        <v>0.33</v>
      </c>
      <c r="K1993">
        <v>1</v>
      </c>
      <c r="L1993" s="19" t="s">
        <v>228</v>
      </c>
      <c r="M1993" s="21">
        <v>0</v>
      </c>
    </row>
    <row r="1994" spans="1:13" x14ac:dyDescent="0.2">
      <c r="A1994" t="s">
        <v>138</v>
      </c>
      <c r="B1994" t="str">
        <f>VLOOKUP(A1994,MasterTutor!A:E,4,FALSE)</f>
        <v>Advanced</v>
      </c>
      <c r="C1994" t="str">
        <f>VLOOKUP(A1994,MasterTutor!A:E,3,FALSE)</f>
        <v>Professional</v>
      </c>
      <c r="D1994" t="str">
        <f>VLOOKUP(A1994,MasterTutor!A:E,2,FALSE)</f>
        <v>Ela Cross</v>
      </c>
      <c r="E1994" t="s">
        <v>383</v>
      </c>
      <c r="F1994" s="2">
        <v>0.87</v>
      </c>
      <c r="G1994" s="2">
        <v>1.1399999999999999</v>
      </c>
      <c r="H1994" s="2">
        <v>1</v>
      </c>
      <c r="I1994" s="2">
        <v>0.99</v>
      </c>
      <c r="J1994" s="2">
        <v>0.95</v>
      </c>
      <c r="K1994">
        <v>10</v>
      </c>
      <c r="L1994" s="19" t="s">
        <v>215</v>
      </c>
      <c r="M1994" s="21">
        <v>1</v>
      </c>
    </row>
    <row r="1995" spans="1:13" x14ac:dyDescent="0.2">
      <c r="A1995" t="s">
        <v>139</v>
      </c>
      <c r="B1995" t="str">
        <f>VLOOKUP(A1995,MasterTutor!A:E,4,FALSE)</f>
        <v>Distinguished</v>
      </c>
      <c r="C1995" t="str">
        <f>VLOOKUP(A1995,MasterTutor!A:E,3,FALSE)</f>
        <v>Professional</v>
      </c>
      <c r="D1995" t="str">
        <f>VLOOKUP(A1995,MasterTutor!A:E,2,FALSE)</f>
        <v>Ian Plamondon</v>
      </c>
      <c r="E1995" t="s">
        <v>383</v>
      </c>
      <c r="F1995" s="2">
        <v>0.54</v>
      </c>
      <c r="G1995" s="2">
        <v>1</v>
      </c>
      <c r="H1995" s="2">
        <v>1</v>
      </c>
      <c r="I1995" s="2">
        <v>1</v>
      </c>
      <c r="J1995" s="2">
        <v>0.67</v>
      </c>
      <c r="K1995">
        <v>0</v>
      </c>
      <c r="L1995" s="20"/>
    </row>
    <row r="1996" spans="1:13" x14ac:dyDescent="0.2">
      <c r="A1996" t="s">
        <v>140</v>
      </c>
      <c r="B1996" t="str">
        <f>VLOOKUP(A1996,MasterTutor!A:E,4,FALSE)</f>
        <v>Advanced</v>
      </c>
      <c r="C1996" t="str">
        <f>VLOOKUP(A1996,MasterTutor!A:E,3,FALSE)</f>
        <v>Adjunct</v>
      </c>
      <c r="D1996" t="str">
        <f>VLOOKUP(A1996,MasterTutor!A:E,2,FALSE)</f>
        <v>Annelies de Groot</v>
      </c>
      <c r="E1996" t="s">
        <v>383</v>
      </c>
      <c r="F1996" s="2">
        <v>0.74</v>
      </c>
      <c r="G1996" s="2">
        <v>1.04</v>
      </c>
      <c r="H1996" s="2">
        <v>0.93</v>
      </c>
      <c r="I1996" s="2">
        <v>0.83</v>
      </c>
      <c r="J1996" s="2">
        <v>0.46</v>
      </c>
      <c r="K1996">
        <v>5</v>
      </c>
      <c r="L1996" s="19" t="s">
        <v>225</v>
      </c>
      <c r="M1996" s="21">
        <v>0.5</v>
      </c>
    </row>
    <row r="1997" spans="1:13" x14ac:dyDescent="0.2">
      <c r="A1997" t="s">
        <v>141</v>
      </c>
      <c r="B1997" t="str">
        <f>VLOOKUP(A1997,MasterTutor!A:E,4,FALSE)</f>
        <v>Distinguished</v>
      </c>
      <c r="C1997" t="str">
        <f>VLOOKUP(A1997,MasterTutor!A:E,3,FALSE)</f>
        <v>Adjunct</v>
      </c>
      <c r="D1997" t="str">
        <f>VLOOKUP(A1997,MasterTutor!A:E,2,FALSE)</f>
        <v>Annelies de Groot</v>
      </c>
      <c r="E1997" t="s">
        <v>383</v>
      </c>
      <c r="F1997" s="2">
        <v>0.06</v>
      </c>
      <c r="G1997" s="2">
        <v>0.82</v>
      </c>
      <c r="H1997" s="2">
        <v>1</v>
      </c>
      <c r="I1997" s="2">
        <v>1</v>
      </c>
      <c r="J1997" s="2">
        <v>0</v>
      </c>
      <c r="K1997">
        <v>0</v>
      </c>
      <c r="L1997" s="19" t="s">
        <v>215</v>
      </c>
      <c r="M1997" s="21">
        <v>1</v>
      </c>
    </row>
    <row r="1998" spans="1:13" x14ac:dyDescent="0.2">
      <c r="A1998" t="s">
        <v>142</v>
      </c>
      <c r="B1998" t="str">
        <f>VLOOKUP(A1998,MasterTutor!A:E,4,FALSE)</f>
        <v>Advanced</v>
      </c>
      <c r="C1998" t="str">
        <f>VLOOKUP(A1998,MasterTutor!A:E,3,FALSE)</f>
        <v>Professional</v>
      </c>
      <c r="D1998" t="str">
        <f>VLOOKUP(A1998,MasterTutor!A:E,2,FALSE)</f>
        <v>Ian Plamondon</v>
      </c>
      <c r="E1998" t="s">
        <v>383</v>
      </c>
      <c r="F1998" s="2">
        <v>0.89</v>
      </c>
      <c r="G1998" s="2">
        <v>1.05</v>
      </c>
      <c r="H1998" s="2">
        <v>0.98</v>
      </c>
      <c r="I1998" s="2">
        <v>0.96</v>
      </c>
      <c r="J1998" s="2">
        <v>0.28000000000000003</v>
      </c>
      <c r="K1998">
        <v>6</v>
      </c>
      <c r="L1998" s="19" t="s">
        <v>243</v>
      </c>
      <c r="M1998" s="21">
        <v>0.33</v>
      </c>
    </row>
    <row r="1999" spans="1:13" x14ac:dyDescent="0.2">
      <c r="A1999" t="s">
        <v>143</v>
      </c>
      <c r="B1999" t="str">
        <f>VLOOKUP(A1999,MasterTutor!A:E,4,FALSE)</f>
        <v>Distinguished</v>
      </c>
      <c r="C1999" t="str">
        <f>VLOOKUP(A1999,MasterTutor!A:E,3,FALSE)</f>
        <v>Adjunct</v>
      </c>
      <c r="D1999" t="str">
        <f>VLOOKUP(A1999,MasterTutor!A:E,2,FALSE)</f>
        <v>Annelies de Groot</v>
      </c>
      <c r="E1999" t="s">
        <v>383</v>
      </c>
      <c r="F1999" s="2">
        <v>0.77</v>
      </c>
      <c r="G1999" s="2">
        <v>1.28</v>
      </c>
      <c r="H1999" s="2">
        <v>1</v>
      </c>
      <c r="I1999" s="2">
        <v>0.85</v>
      </c>
      <c r="J1999" s="2">
        <v>0.75</v>
      </c>
      <c r="K1999">
        <v>1</v>
      </c>
      <c r="L1999" s="19" t="s">
        <v>219</v>
      </c>
      <c r="M1999" s="21">
        <v>0</v>
      </c>
    </row>
    <row r="2000" spans="1:13" x14ac:dyDescent="0.2">
      <c r="A2000" t="s">
        <v>144</v>
      </c>
      <c r="B2000" t="str">
        <f>VLOOKUP(A2000,MasterTutor!A:E,4,FALSE)</f>
        <v>Distinguished</v>
      </c>
      <c r="C2000" t="str">
        <f>VLOOKUP(A2000,MasterTutor!A:E,3,FALSE)</f>
        <v>Professional</v>
      </c>
      <c r="D2000" t="str">
        <f>VLOOKUP(A2000,MasterTutor!A:E,2,FALSE)</f>
        <v>Annelies de Groot</v>
      </c>
      <c r="E2000" t="s">
        <v>383</v>
      </c>
      <c r="F2000" s="2">
        <v>0.73</v>
      </c>
      <c r="G2000" s="2">
        <v>1.03</v>
      </c>
      <c r="H2000" s="2">
        <v>1</v>
      </c>
      <c r="I2000" s="2">
        <v>0.88</v>
      </c>
      <c r="J2000" s="2">
        <v>0.83</v>
      </c>
      <c r="K2000">
        <v>1</v>
      </c>
      <c r="L2000" s="19" t="s">
        <v>386</v>
      </c>
      <c r="M2000" s="21">
        <v>1</v>
      </c>
    </row>
    <row r="2001" spans="1:13" x14ac:dyDescent="0.2">
      <c r="A2001" t="s">
        <v>145</v>
      </c>
      <c r="B2001" t="str">
        <f>VLOOKUP(A2001,MasterTutor!A:E,4,FALSE)</f>
        <v>Premium</v>
      </c>
      <c r="C2001" t="str">
        <f>VLOOKUP(A2001,MasterTutor!A:E,3,FALSE)</f>
        <v>Professional</v>
      </c>
      <c r="D2001" t="str">
        <f>VLOOKUP(A2001,MasterTutor!A:E,2,FALSE)</f>
        <v>Jessica Milner</v>
      </c>
      <c r="E2001" t="s">
        <v>383</v>
      </c>
      <c r="F2001" s="2">
        <v>1.05</v>
      </c>
      <c r="G2001" s="2">
        <v>1.07</v>
      </c>
      <c r="H2001" s="2">
        <v>0.99</v>
      </c>
      <c r="I2001" s="2">
        <v>0.98</v>
      </c>
      <c r="J2001" s="2">
        <v>1</v>
      </c>
      <c r="K2001">
        <v>6</v>
      </c>
      <c r="L2001" s="20"/>
    </row>
    <row r="2002" spans="1:13" x14ac:dyDescent="0.2">
      <c r="A2002" t="s">
        <v>146</v>
      </c>
      <c r="B2002" t="str">
        <f>VLOOKUP(A2002,MasterTutor!A:E,4,FALSE)</f>
        <v>Distinguished</v>
      </c>
      <c r="C2002" t="str">
        <f>VLOOKUP(A2002,MasterTutor!A:E,3,FALSE)</f>
        <v>Adjunct</v>
      </c>
      <c r="D2002" t="str">
        <f>VLOOKUP(A2002,MasterTutor!A:E,2,FALSE)</f>
        <v>Ian Plamondon</v>
      </c>
      <c r="E2002" t="s">
        <v>383</v>
      </c>
      <c r="F2002" s="2">
        <v>0.81</v>
      </c>
      <c r="G2002" s="2">
        <v>1.04</v>
      </c>
      <c r="H2002" s="2">
        <v>1</v>
      </c>
      <c r="I2002" s="2">
        <v>0.9</v>
      </c>
      <c r="J2002" s="2">
        <v>0.61</v>
      </c>
      <c r="K2002">
        <v>4</v>
      </c>
      <c r="L2002" s="20"/>
    </row>
    <row r="2003" spans="1:13" x14ac:dyDescent="0.2">
      <c r="A2003" t="s">
        <v>147</v>
      </c>
      <c r="B2003" t="str">
        <f>VLOOKUP(A2003,MasterTutor!A:E,4,FALSE)</f>
        <v>Premium</v>
      </c>
      <c r="C2003" t="str">
        <f>VLOOKUP(A2003,MasterTutor!A:E,3,FALSE)</f>
        <v>Adjunct</v>
      </c>
      <c r="D2003" t="str">
        <f>VLOOKUP(A2003,MasterTutor!A:E,2,FALSE)</f>
        <v>Ela Cross</v>
      </c>
      <c r="E2003" t="s">
        <v>383</v>
      </c>
      <c r="F2003" s="2">
        <v>0.78</v>
      </c>
      <c r="G2003" s="2">
        <v>1.17</v>
      </c>
      <c r="H2003" s="2">
        <v>0.98</v>
      </c>
      <c r="I2003" s="2">
        <v>1</v>
      </c>
      <c r="J2003" s="2">
        <v>0.89</v>
      </c>
      <c r="K2003">
        <v>1</v>
      </c>
      <c r="L2003" s="19" t="s">
        <v>219</v>
      </c>
      <c r="M2003" s="21">
        <v>0</v>
      </c>
    </row>
    <row r="2004" spans="1:13" x14ac:dyDescent="0.2">
      <c r="A2004" t="s">
        <v>148</v>
      </c>
      <c r="B2004" t="str">
        <f>VLOOKUP(A2004,MasterTutor!A:E,4,FALSE)</f>
        <v>Advanced</v>
      </c>
      <c r="C2004" t="str">
        <f>VLOOKUP(A2004,MasterTutor!A:E,3,FALSE)</f>
        <v>Adjunct</v>
      </c>
      <c r="D2004" t="str">
        <f>VLOOKUP(A2004,MasterTutor!A:E,2,FALSE)</f>
        <v>Ela Cross</v>
      </c>
      <c r="E2004" t="s">
        <v>383</v>
      </c>
      <c r="F2004" s="2">
        <v>1.17</v>
      </c>
      <c r="G2004" s="2">
        <v>1.07</v>
      </c>
      <c r="H2004" s="2">
        <v>0.98</v>
      </c>
      <c r="I2004" s="2">
        <v>0.94</v>
      </c>
      <c r="J2004" s="2">
        <v>1</v>
      </c>
      <c r="K2004">
        <v>9</v>
      </c>
      <c r="L2004" s="19" t="s">
        <v>215</v>
      </c>
      <c r="M2004" s="21">
        <v>1</v>
      </c>
    </row>
    <row r="2005" spans="1:13" x14ac:dyDescent="0.2">
      <c r="A2005" t="s">
        <v>149</v>
      </c>
      <c r="B2005" t="str">
        <f>VLOOKUP(A2005,MasterTutor!A:E,4,FALSE)</f>
        <v>Distinguished</v>
      </c>
      <c r="C2005" t="str">
        <f>VLOOKUP(A2005,MasterTutor!A:E,3,FALSE)</f>
        <v>Professional</v>
      </c>
      <c r="D2005" t="str">
        <f>VLOOKUP(A2005,MasterTutor!A:E,2,FALSE)</f>
        <v>Ian Plamondon</v>
      </c>
      <c r="E2005" t="s">
        <v>383</v>
      </c>
      <c r="F2005" s="2">
        <v>0.57999999999999996</v>
      </c>
      <c r="G2005" s="2">
        <v>1.2</v>
      </c>
      <c r="H2005" s="2">
        <v>0.91</v>
      </c>
      <c r="I2005" s="2">
        <v>0.71</v>
      </c>
      <c r="J2005" s="2">
        <v>0.85</v>
      </c>
      <c r="K2005">
        <v>2</v>
      </c>
      <c r="L2005" s="19" t="s">
        <v>224</v>
      </c>
      <c r="M2005" s="21">
        <v>0</v>
      </c>
    </row>
    <row r="2006" spans="1:13" x14ac:dyDescent="0.2">
      <c r="A2006" t="s">
        <v>150</v>
      </c>
      <c r="B2006" t="str">
        <f>VLOOKUP(A2006,MasterTutor!A:E,4,FALSE)</f>
        <v>Advanced</v>
      </c>
      <c r="C2006" t="str">
        <f>VLOOKUP(A2006,MasterTutor!A:E,3,FALSE)</f>
        <v>Adjunct</v>
      </c>
      <c r="D2006" t="str">
        <f>VLOOKUP(A2006,MasterTutor!A:E,2,FALSE)</f>
        <v>Ela Cross</v>
      </c>
      <c r="E2006" t="s">
        <v>383</v>
      </c>
      <c r="F2006" s="2">
        <v>0.66</v>
      </c>
      <c r="G2006" s="2">
        <v>1.04</v>
      </c>
      <c r="H2006" s="2">
        <v>0.97</v>
      </c>
      <c r="I2006" s="2">
        <v>0.96</v>
      </c>
      <c r="J2006" s="2">
        <v>0.75</v>
      </c>
      <c r="K2006">
        <v>1</v>
      </c>
      <c r="L2006" s="19" t="s">
        <v>266</v>
      </c>
      <c r="M2006" s="21">
        <v>0</v>
      </c>
    </row>
    <row r="2007" spans="1:13" x14ac:dyDescent="0.2">
      <c r="A2007" t="s">
        <v>295</v>
      </c>
      <c r="B2007" t="str">
        <f>VLOOKUP(A2007,MasterTutor!A:E,4,FALSE)</f>
        <v>Advanced</v>
      </c>
      <c r="C2007" t="str">
        <f>VLOOKUP(A2007,MasterTutor!A:E,3,FALSE)</f>
        <v xml:space="preserve">Professional </v>
      </c>
      <c r="D2007" t="str">
        <f>VLOOKUP(A2007,MasterTutor!A:E,2,FALSE)</f>
        <v>Annelies de Groot</v>
      </c>
      <c r="E2007" t="s">
        <v>383</v>
      </c>
      <c r="F2007" s="2">
        <v>0.28999999999999998</v>
      </c>
      <c r="G2007" s="2">
        <v>0.64</v>
      </c>
      <c r="H2007" s="2">
        <v>0.97</v>
      </c>
      <c r="I2007" s="2">
        <v>0.96</v>
      </c>
      <c r="J2007" s="2">
        <v>0</v>
      </c>
      <c r="K2007">
        <v>2</v>
      </c>
      <c r="L2007" s="19" t="s">
        <v>247</v>
      </c>
      <c r="M2007" s="21">
        <v>0.7</v>
      </c>
    </row>
    <row r="2008" spans="1:13" x14ac:dyDescent="0.2">
      <c r="A2008" t="s">
        <v>151</v>
      </c>
      <c r="B2008" t="e">
        <f>VLOOKUP(A2008,MasterTutor!A:E,4,FALSE)</f>
        <v>#N/A</v>
      </c>
      <c r="C2008" t="e">
        <f>VLOOKUP(A2008,MasterTutor!A:E,3,FALSE)</f>
        <v>#N/A</v>
      </c>
      <c r="D2008" t="e">
        <f>VLOOKUP(A2008,MasterTutor!A:E,2,FALSE)</f>
        <v>#N/A</v>
      </c>
      <c r="E2008" t="s">
        <v>383</v>
      </c>
      <c r="F2008" s="2">
        <v>0.73</v>
      </c>
      <c r="G2008" s="2">
        <v>0.91</v>
      </c>
      <c r="H2008" s="2">
        <v>1</v>
      </c>
      <c r="I2008" s="2">
        <v>1</v>
      </c>
      <c r="J2008" s="2">
        <v>0.88</v>
      </c>
      <c r="K2008">
        <v>4</v>
      </c>
      <c r="L2008" s="19" t="s">
        <v>215</v>
      </c>
      <c r="M2008" s="21">
        <v>1</v>
      </c>
    </row>
    <row r="2009" spans="1:13" x14ac:dyDescent="0.2">
      <c r="A2009" t="s">
        <v>297</v>
      </c>
      <c r="B2009" t="e">
        <f>VLOOKUP(A2009,MasterTutor!A:E,4,FALSE)</f>
        <v>#N/A</v>
      </c>
      <c r="C2009" t="e">
        <f>VLOOKUP(A2009,MasterTutor!A:E,3,FALSE)</f>
        <v>#N/A</v>
      </c>
      <c r="D2009" t="e">
        <f>VLOOKUP(A2009,MasterTutor!A:E,2,FALSE)</f>
        <v>#N/A</v>
      </c>
      <c r="E2009" t="s">
        <v>383</v>
      </c>
      <c r="F2009" s="2">
        <v>0.87</v>
      </c>
      <c r="G2009" s="2">
        <v>0.99</v>
      </c>
      <c r="H2009" s="2">
        <v>0.96</v>
      </c>
      <c r="I2009" s="2">
        <v>0.53</v>
      </c>
      <c r="J2009" s="2">
        <v>0.15</v>
      </c>
      <c r="K2009">
        <v>6</v>
      </c>
      <c r="L2009" s="19" t="s">
        <v>381</v>
      </c>
      <c r="M2009" s="21">
        <v>0</v>
      </c>
    </row>
    <row r="2010" spans="1:13" x14ac:dyDescent="0.2">
      <c r="A2010" t="s">
        <v>152</v>
      </c>
      <c r="B2010" t="str">
        <f>VLOOKUP(A2010,MasterTutor!A:E,4,FALSE)</f>
        <v>Premium</v>
      </c>
      <c r="C2010" t="str">
        <f>VLOOKUP(A2010,MasterTutor!A:E,3,FALSE)</f>
        <v>Professional</v>
      </c>
      <c r="D2010" t="str">
        <f>VLOOKUP(A2010,MasterTutor!A:E,2,FALSE)</f>
        <v>Ian Plamondon</v>
      </c>
      <c r="E2010" t="s">
        <v>383</v>
      </c>
      <c r="F2010" s="2">
        <v>0.84</v>
      </c>
      <c r="G2010" s="2">
        <v>1.46</v>
      </c>
      <c r="H2010" s="2">
        <v>1</v>
      </c>
      <c r="I2010" s="2">
        <v>0.99</v>
      </c>
      <c r="J2010" s="2">
        <v>0.85</v>
      </c>
      <c r="K2010">
        <v>1</v>
      </c>
      <c r="L2010" s="19" t="s">
        <v>244</v>
      </c>
      <c r="M2010" s="21">
        <v>0.8</v>
      </c>
    </row>
    <row r="2011" spans="1:13" x14ac:dyDescent="0.2">
      <c r="A2011" t="s">
        <v>153</v>
      </c>
      <c r="B2011" t="str">
        <f>VLOOKUP(A2011,MasterTutor!A:E,4,FALSE)</f>
        <v>Distinguished</v>
      </c>
      <c r="C2011" t="str">
        <f>VLOOKUP(A2011,MasterTutor!A:E,3,FALSE)</f>
        <v>Professional</v>
      </c>
      <c r="D2011" t="str">
        <f>VLOOKUP(A2011,MasterTutor!A:E,2,FALSE)</f>
        <v>Ian Plamondon</v>
      </c>
      <c r="E2011" t="s">
        <v>383</v>
      </c>
      <c r="F2011" s="2">
        <v>0.55000000000000004</v>
      </c>
      <c r="G2011" s="2">
        <v>1.3</v>
      </c>
      <c r="H2011" s="2">
        <v>1</v>
      </c>
      <c r="I2011" s="2">
        <v>0.98</v>
      </c>
      <c r="J2011" s="2">
        <v>0.67</v>
      </c>
      <c r="K2011">
        <v>1</v>
      </c>
      <c r="L2011" s="19" t="s">
        <v>279</v>
      </c>
      <c r="M2011" s="21">
        <v>0</v>
      </c>
    </row>
    <row r="2012" spans="1:13" x14ac:dyDescent="0.2">
      <c r="A2012" t="s">
        <v>396</v>
      </c>
      <c r="B2012" t="e">
        <f>VLOOKUP(A2012,MasterTutor!A:E,4,FALSE)</f>
        <v>#N/A</v>
      </c>
      <c r="C2012" t="e">
        <f>VLOOKUP(A2012,MasterTutor!A:E,3,FALSE)</f>
        <v>#N/A</v>
      </c>
      <c r="D2012" t="e">
        <f>VLOOKUP(A2012,MasterTutor!A:E,2,FALSE)</f>
        <v>#N/A</v>
      </c>
      <c r="E2012" t="s">
        <v>383</v>
      </c>
      <c r="F2012" s="2">
        <v>0</v>
      </c>
      <c r="G2012" s="2">
        <v>0.12</v>
      </c>
      <c r="H2012" s="2">
        <v>0</v>
      </c>
      <c r="I2012" s="2">
        <v>0</v>
      </c>
      <c r="J2012" s="2">
        <v>0</v>
      </c>
      <c r="K2012">
        <v>0</v>
      </c>
      <c r="L2012" s="20"/>
    </row>
    <row r="2013" spans="1:13" x14ac:dyDescent="0.2">
      <c r="A2013" t="s">
        <v>299</v>
      </c>
      <c r="B2013" t="str">
        <f>VLOOKUP(A2013,MasterTutor!A:E,4,FALSE)</f>
        <v>Advanced</v>
      </c>
      <c r="C2013" t="str">
        <f>VLOOKUP(A2013,MasterTutor!A:E,3,FALSE)</f>
        <v>Professional</v>
      </c>
      <c r="D2013" t="str">
        <f>VLOOKUP(A2013,MasterTutor!A:E,2,FALSE)</f>
        <v>Ela Cross</v>
      </c>
      <c r="E2013" t="s">
        <v>383</v>
      </c>
      <c r="F2013" s="2">
        <v>1.01</v>
      </c>
      <c r="G2013" s="2">
        <v>1.1100000000000001</v>
      </c>
      <c r="H2013" s="2">
        <v>0.99</v>
      </c>
      <c r="I2013" s="2">
        <v>0.88</v>
      </c>
      <c r="J2013" s="2">
        <v>0.81</v>
      </c>
      <c r="K2013">
        <v>8</v>
      </c>
      <c r="L2013" s="19" t="s">
        <v>241</v>
      </c>
      <c r="M2013" s="21">
        <v>0.67</v>
      </c>
    </row>
    <row r="2014" spans="1:13" x14ac:dyDescent="0.2">
      <c r="A2014" t="s">
        <v>155</v>
      </c>
      <c r="B2014" t="str">
        <f>VLOOKUP(A2014,MasterTutor!A:E,4,FALSE)</f>
        <v>Distinguished</v>
      </c>
      <c r="C2014" t="str">
        <f>VLOOKUP(A2014,MasterTutor!A:E,3,FALSE)</f>
        <v>Professional</v>
      </c>
      <c r="D2014" t="str">
        <f>VLOOKUP(A2014,MasterTutor!A:E,2,FALSE)</f>
        <v>Kristin Haase-Alvey</v>
      </c>
      <c r="E2014" t="s">
        <v>383</v>
      </c>
      <c r="F2014" s="2">
        <v>0.78</v>
      </c>
      <c r="G2014" s="2">
        <v>1.1299999999999999</v>
      </c>
      <c r="H2014" s="2">
        <v>0.98</v>
      </c>
      <c r="I2014" s="2">
        <v>0.97</v>
      </c>
      <c r="J2014" s="2">
        <v>0.95</v>
      </c>
      <c r="K2014">
        <v>3</v>
      </c>
      <c r="L2014" s="19" t="s">
        <v>215</v>
      </c>
      <c r="M2014" s="21">
        <v>1</v>
      </c>
    </row>
    <row r="2015" spans="1:13" x14ac:dyDescent="0.2">
      <c r="A2015" t="s">
        <v>301</v>
      </c>
      <c r="B2015" t="str">
        <f>VLOOKUP(A2015,MasterTutor!A:E,4,FALSE)</f>
        <v>Advanced</v>
      </c>
      <c r="C2015" t="str">
        <f>VLOOKUP(A2015,MasterTutor!A:E,3,FALSE)</f>
        <v>Professional</v>
      </c>
      <c r="D2015" t="str">
        <f>VLOOKUP(A2015,MasterTutor!A:E,2,FALSE)</f>
        <v>Kristin Haase-Alvey</v>
      </c>
      <c r="E2015" t="s">
        <v>383</v>
      </c>
      <c r="F2015" s="2">
        <v>0.9</v>
      </c>
      <c r="G2015" s="2">
        <v>1.35</v>
      </c>
      <c r="H2015" s="2">
        <v>0.99</v>
      </c>
      <c r="I2015" s="2">
        <v>0.99</v>
      </c>
      <c r="J2015" s="2">
        <v>0.72</v>
      </c>
      <c r="K2015">
        <v>9</v>
      </c>
      <c r="L2015" s="19" t="s">
        <v>397</v>
      </c>
      <c r="M2015" s="21">
        <v>0.13</v>
      </c>
    </row>
    <row r="2016" spans="1:13" x14ac:dyDescent="0.2">
      <c r="A2016" t="s">
        <v>302</v>
      </c>
      <c r="B2016" t="str">
        <f>VLOOKUP(A2016,MasterTutor!A:E,4,FALSE)</f>
        <v>Advanced</v>
      </c>
      <c r="C2016" t="str">
        <f>VLOOKUP(A2016,MasterTutor!A:E,3,FALSE)</f>
        <v>Professional</v>
      </c>
      <c r="D2016" t="str">
        <f>VLOOKUP(A2016,MasterTutor!A:E,2,FALSE)</f>
        <v>Ela Cross</v>
      </c>
      <c r="E2016" t="s">
        <v>383</v>
      </c>
      <c r="F2016" s="2">
        <v>1.03</v>
      </c>
      <c r="G2016" s="2">
        <v>1.0900000000000001</v>
      </c>
      <c r="H2016" s="2">
        <v>0.99</v>
      </c>
      <c r="I2016" s="2">
        <v>1</v>
      </c>
      <c r="J2016" s="2">
        <v>0.43</v>
      </c>
      <c r="K2016">
        <v>14</v>
      </c>
      <c r="L2016" s="19" t="s">
        <v>219</v>
      </c>
      <c r="M2016" s="21">
        <v>0</v>
      </c>
    </row>
    <row r="2017" spans="1:13" x14ac:dyDescent="0.2">
      <c r="A2017" t="s">
        <v>157</v>
      </c>
      <c r="B2017" t="str">
        <f>VLOOKUP(A2017,MasterTutor!A:E,4,FALSE)</f>
        <v>Advanced</v>
      </c>
      <c r="C2017" t="str">
        <f>VLOOKUP(A2017,MasterTutor!A:E,3,FALSE)</f>
        <v>Adjunct</v>
      </c>
      <c r="D2017" t="str">
        <f>VLOOKUP(A2017,MasterTutor!A:E,2,FALSE)</f>
        <v>Kristin Haase-Alvey</v>
      </c>
      <c r="E2017" t="s">
        <v>383</v>
      </c>
      <c r="F2017" s="2">
        <v>0.93</v>
      </c>
      <c r="G2017" s="2">
        <v>1.08</v>
      </c>
      <c r="H2017" s="2">
        <v>0.93</v>
      </c>
      <c r="I2017" s="2">
        <v>1</v>
      </c>
      <c r="J2017" s="2">
        <v>0.92</v>
      </c>
      <c r="K2017">
        <v>5</v>
      </c>
      <c r="L2017" s="19" t="s">
        <v>227</v>
      </c>
      <c r="M2017" s="21">
        <v>1</v>
      </c>
    </row>
    <row r="2018" spans="1:13" x14ac:dyDescent="0.2">
      <c r="A2018" t="s">
        <v>158</v>
      </c>
      <c r="B2018" t="str">
        <f>VLOOKUP(A2018,MasterTutor!A:E,4,FALSE)</f>
        <v>Advanced</v>
      </c>
      <c r="C2018" t="str">
        <f>VLOOKUP(A2018,MasterTutor!A:E,3,FALSE)</f>
        <v>Adjunct</v>
      </c>
      <c r="D2018" t="str">
        <f>VLOOKUP(A2018,MasterTutor!A:E,2,FALSE)</f>
        <v>Annelies de Groot</v>
      </c>
      <c r="E2018" t="s">
        <v>383</v>
      </c>
      <c r="F2018" s="2">
        <v>0.59</v>
      </c>
      <c r="G2018" s="2">
        <v>0.89</v>
      </c>
      <c r="H2018" s="2">
        <v>1</v>
      </c>
      <c r="I2018" s="2">
        <v>1</v>
      </c>
      <c r="J2018" s="2">
        <v>1</v>
      </c>
      <c r="K2018">
        <v>4</v>
      </c>
      <c r="L2018" s="19" t="s">
        <v>225</v>
      </c>
      <c r="M2018" s="21">
        <v>0.5</v>
      </c>
    </row>
    <row r="2019" spans="1:13" x14ac:dyDescent="0.2">
      <c r="A2019" t="s">
        <v>160</v>
      </c>
      <c r="B2019" t="str">
        <f>VLOOKUP(A2019,MasterTutor!A:E,4,FALSE)</f>
        <v>Distinguished</v>
      </c>
      <c r="C2019" t="str">
        <f>VLOOKUP(A2019,MasterTutor!A:E,3,FALSE)</f>
        <v>Adjunct</v>
      </c>
      <c r="D2019" t="str">
        <f>VLOOKUP(A2019,MasterTutor!A:E,2,FALSE)</f>
        <v>Ela Cross</v>
      </c>
      <c r="E2019" t="s">
        <v>383</v>
      </c>
      <c r="F2019" s="2">
        <v>1.07</v>
      </c>
      <c r="G2019" s="2">
        <v>1.49</v>
      </c>
      <c r="H2019" s="2">
        <v>0.99</v>
      </c>
      <c r="I2019" s="2">
        <v>1</v>
      </c>
      <c r="J2019" s="2">
        <v>0.89</v>
      </c>
      <c r="K2019">
        <v>0</v>
      </c>
      <c r="L2019" s="20"/>
    </row>
    <row r="2020" spans="1:13" x14ac:dyDescent="0.2">
      <c r="A2020" t="s">
        <v>161</v>
      </c>
      <c r="B2020" t="str">
        <f>VLOOKUP(A2020,MasterTutor!A:E,4,FALSE)</f>
        <v>Distinguished</v>
      </c>
      <c r="C2020" t="str">
        <f>VLOOKUP(A2020,MasterTutor!A:E,3,FALSE)</f>
        <v>Professional</v>
      </c>
      <c r="D2020" t="str">
        <f>VLOOKUP(A2020,MasterTutor!A:E,2,FALSE)</f>
        <v>Ian Plamondon</v>
      </c>
      <c r="E2020" t="s">
        <v>383</v>
      </c>
      <c r="F2020" s="2">
        <v>0.89</v>
      </c>
      <c r="G2020" s="2">
        <v>1.28</v>
      </c>
      <c r="H2020" s="2">
        <v>1</v>
      </c>
      <c r="I2020" s="2">
        <v>0.95</v>
      </c>
      <c r="J2020" s="2">
        <v>0.78</v>
      </c>
      <c r="K2020">
        <v>1</v>
      </c>
      <c r="L2020" s="19" t="s">
        <v>215</v>
      </c>
      <c r="M2020" s="21">
        <v>1</v>
      </c>
    </row>
    <row r="2021" spans="1:13" x14ac:dyDescent="0.2">
      <c r="A2021" t="s">
        <v>163</v>
      </c>
      <c r="B2021" t="str">
        <f>VLOOKUP(A2021,MasterTutor!A:E,4,FALSE)</f>
        <v>Premium</v>
      </c>
      <c r="C2021" t="str">
        <f>VLOOKUP(A2021,MasterTutor!A:E,3,FALSE)</f>
        <v>Professional</v>
      </c>
      <c r="D2021" t="str">
        <f>VLOOKUP(A2021,MasterTutor!A:E,2,FALSE)</f>
        <v>Jessica Milner</v>
      </c>
      <c r="E2021" t="s">
        <v>383</v>
      </c>
      <c r="F2021" s="2">
        <v>0.67</v>
      </c>
      <c r="G2021" s="2">
        <v>1.41</v>
      </c>
      <c r="H2021" s="2">
        <v>0.51</v>
      </c>
      <c r="I2021" s="2">
        <v>0.75</v>
      </c>
      <c r="J2021" s="2">
        <v>0</v>
      </c>
      <c r="K2021">
        <v>4</v>
      </c>
      <c r="L2021" s="20"/>
    </row>
    <row r="2022" spans="1:13" x14ac:dyDescent="0.2">
      <c r="A2022" t="s">
        <v>164</v>
      </c>
      <c r="B2022" t="str">
        <f>VLOOKUP(A2022,MasterTutor!A:E,4,FALSE)</f>
        <v>Advanced</v>
      </c>
      <c r="C2022" t="str">
        <f>VLOOKUP(A2022,MasterTutor!A:E,3,FALSE)</f>
        <v>Professional</v>
      </c>
      <c r="D2022" t="str">
        <f>VLOOKUP(A2022,MasterTutor!A:E,2,FALSE)</f>
        <v>Annelies de Groot</v>
      </c>
      <c r="E2022" t="s">
        <v>383</v>
      </c>
      <c r="F2022" s="2">
        <v>1.1100000000000001</v>
      </c>
      <c r="G2022" s="2">
        <v>1.0900000000000001</v>
      </c>
      <c r="H2022" s="2">
        <v>0.89</v>
      </c>
      <c r="I2022" s="2">
        <v>0.75</v>
      </c>
      <c r="J2022" s="2">
        <v>0.16</v>
      </c>
      <c r="K2022">
        <v>5</v>
      </c>
      <c r="L2022" s="19" t="s">
        <v>242</v>
      </c>
      <c r="M2022" s="21">
        <v>0.4</v>
      </c>
    </row>
    <row r="2023" spans="1:13" x14ac:dyDescent="0.2">
      <c r="A2023" t="s">
        <v>165</v>
      </c>
      <c r="B2023" t="str">
        <f>VLOOKUP(A2023,MasterTutor!A:E,4,FALSE)</f>
        <v>Advanced</v>
      </c>
      <c r="C2023" t="str">
        <f>VLOOKUP(A2023,MasterTutor!A:E,3,FALSE)</f>
        <v>Adjunct</v>
      </c>
      <c r="D2023" t="str">
        <f>VLOOKUP(A2023,MasterTutor!A:E,2,FALSE)</f>
        <v>Ela Cross</v>
      </c>
      <c r="E2023" t="s">
        <v>383</v>
      </c>
      <c r="F2023" s="2">
        <v>1.01</v>
      </c>
      <c r="G2023" s="2">
        <v>1.38</v>
      </c>
      <c r="H2023" s="2">
        <v>0.98</v>
      </c>
      <c r="I2023" s="2">
        <v>0.98</v>
      </c>
      <c r="J2023" s="2">
        <v>1</v>
      </c>
      <c r="K2023">
        <v>12</v>
      </c>
      <c r="L2023" s="19" t="s">
        <v>219</v>
      </c>
      <c r="M2023" s="21">
        <v>0</v>
      </c>
    </row>
    <row r="2024" spans="1:13" x14ac:dyDescent="0.2">
      <c r="A2024" t="s">
        <v>166</v>
      </c>
      <c r="B2024" t="str">
        <f>VLOOKUP(A2024,MasterTutor!A:E,4,FALSE)</f>
        <v>Distinguished</v>
      </c>
      <c r="C2024" t="str">
        <f>VLOOKUP(A2024,MasterTutor!A:E,3,FALSE)</f>
        <v>Adjunct</v>
      </c>
      <c r="D2024" t="str">
        <f>VLOOKUP(A2024,MasterTutor!A:E,2,FALSE)</f>
        <v>Annelies de Groot</v>
      </c>
      <c r="E2024" t="s">
        <v>383</v>
      </c>
      <c r="F2024" s="2">
        <v>0.94</v>
      </c>
      <c r="G2024" s="2">
        <v>2.2200000000000002</v>
      </c>
      <c r="H2024" s="2">
        <v>1</v>
      </c>
      <c r="I2024" s="2">
        <v>1</v>
      </c>
      <c r="J2024" s="2">
        <v>0.75</v>
      </c>
      <c r="K2024">
        <v>1</v>
      </c>
      <c r="L2024" s="19" t="s">
        <v>215</v>
      </c>
      <c r="M2024" s="21">
        <v>1</v>
      </c>
    </row>
    <row r="2025" spans="1:13" x14ac:dyDescent="0.2">
      <c r="A2025" t="s">
        <v>167</v>
      </c>
      <c r="B2025" t="str">
        <f>VLOOKUP(A2025,MasterTutor!A:E,4,FALSE)</f>
        <v>Advanced</v>
      </c>
      <c r="C2025" t="str">
        <f>VLOOKUP(A2025,MasterTutor!A:E,3,FALSE)</f>
        <v>Adjunct</v>
      </c>
      <c r="D2025" t="str">
        <f>VLOOKUP(A2025,MasterTutor!A:E,2,FALSE)</f>
        <v>Ela Cross</v>
      </c>
      <c r="E2025" t="s">
        <v>383</v>
      </c>
      <c r="F2025" s="2">
        <v>0.56000000000000005</v>
      </c>
      <c r="G2025" s="2">
        <v>1.01</v>
      </c>
      <c r="H2025" s="2">
        <v>1</v>
      </c>
      <c r="I2025" s="2">
        <v>1</v>
      </c>
      <c r="J2025" s="2">
        <v>1</v>
      </c>
      <c r="K2025">
        <v>4</v>
      </c>
      <c r="L2025" s="19" t="s">
        <v>213</v>
      </c>
      <c r="M2025" s="21">
        <v>0.5</v>
      </c>
    </row>
    <row r="2026" spans="1:13" x14ac:dyDescent="0.2">
      <c r="A2026" t="s">
        <v>168</v>
      </c>
      <c r="B2026" t="str">
        <f>VLOOKUP(A2026,MasterTutor!A:E,4,FALSE)</f>
        <v>Advanced</v>
      </c>
      <c r="C2026" t="str">
        <f>VLOOKUP(A2026,MasterTutor!A:E,3,FALSE)</f>
        <v>Adjunct</v>
      </c>
      <c r="D2026" t="str">
        <f>VLOOKUP(A2026,MasterTutor!A:E,2,FALSE)</f>
        <v>Kristin Haase-Alvey</v>
      </c>
      <c r="E2026" t="s">
        <v>383</v>
      </c>
      <c r="F2026" s="2">
        <v>0.74</v>
      </c>
      <c r="G2026" s="2">
        <v>1</v>
      </c>
      <c r="H2026" s="2">
        <v>1</v>
      </c>
      <c r="I2026" s="2">
        <v>1</v>
      </c>
      <c r="J2026" s="2">
        <v>0.57999999999999996</v>
      </c>
      <c r="K2026">
        <v>7</v>
      </c>
      <c r="L2026" s="19" t="s">
        <v>227</v>
      </c>
      <c r="M2026" s="21">
        <v>1</v>
      </c>
    </row>
    <row r="2027" spans="1:13" x14ac:dyDescent="0.2">
      <c r="A2027" t="s">
        <v>304</v>
      </c>
      <c r="B2027" t="str">
        <f>VLOOKUP(A2027,MasterTutor!A:E,4,FALSE)</f>
        <v>Advanced</v>
      </c>
      <c r="C2027" t="str">
        <f>VLOOKUP(A2027,MasterTutor!A:E,3,FALSE)</f>
        <v>Professional</v>
      </c>
      <c r="D2027" t="str">
        <f>VLOOKUP(A2027,MasterTutor!A:E,2,FALSE)</f>
        <v>Kristin Haase-Alvey</v>
      </c>
      <c r="E2027" t="s">
        <v>383</v>
      </c>
      <c r="F2027" s="2">
        <v>0.65</v>
      </c>
      <c r="G2027" s="2">
        <v>1.08</v>
      </c>
      <c r="H2027" s="2">
        <v>0.95</v>
      </c>
      <c r="I2027" s="2">
        <v>0.98</v>
      </c>
      <c r="J2027" s="2">
        <v>1</v>
      </c>
      <c r="K2027">
        <v>5</v>
      </c>
      <c r="L2027" s="19" t="s">
        <v>244</v>
      </c>
      <c r="M2027" s="21">
        <v>0.8</v>
      </c>
    </row>
    <row r="2028" spans="1:13" x14ac:dyDescent="0.2">
      <c r="A2028" t="s">
        <v>170</v>
      </c>
      <c r="B2028" t="str">
        <f>VLOOKUP(A2028,MasterTutor!A:E,4,FALSE)</f>
        <v>Advanced</v>
      </c>
      <c r="C2028" t="str">
        <f>VLOOKUP(A2028,MasterTutor!A:E,3,FALSE)</f>
        <v>Professional</v>
      </c>
      <c r="D2028" t="str">
        <f>VLOOKUP(A2028,MasterTutor!A:E,2,FALSE)</f>
        <v>Ela Cross</v>
      </c>
      <c r="E2028" t="s">
        <v>383</v>
      </c>
      <c r="F2028" s="2">
        <v>1.04</v>
      </c>
      <c r="G2028" s="2">
        <v>1.21</v>
      </c>
      <c r="H2028" s="2">
        <v>0.96</v>
      </c>
      <c r="I2028" s="2">
        <v>0.94</v>
      </c>
      <c r="J2028" s="2">
        <v>0.85</v>
      </c>
      <c r="K2028">
        <v>19</v>
      </c>
      <c r="L2028" s="19" t="s">
        <v>218</v>
      </c>
      <c r="M2028" s="21">
        <v>0.66</v>
      </c>
    </row>
    <row r="2029" spans="1:13" x14ac:dyDescent="0.2">
      <c r="A2029" t="s">
        <v>305</v>
      </c>
      <c r="B2029" t="str">
        <f>VLOOKUP(A2029,MasterTutor!A:E,4,FALSE)</f>
        <v>Advanced</v>
      </c>
      <c r="C2029" t="str">
        <f>VLOOKUP(A2029,MasterTutor!A:E,3,FALSE)</f>
        <v>Professional</v>
      </c>
      <c r="D2029" t="str">
        <f>VLOOKUP(A2029,MasterTutor!A:E,2,FALSE)</f>
        <v>Ian Plamondon</v>
      </c>
      <c r="E2029" t="s">
        <v>383</v>
      </c>
      <c r="F2029" s="2">
        <v>0.76</v>
      </c>
      <c r="G2029" s="2">
        <v>1.02</v>
      </c>
      <c r="H2029" s="2">
        <v>1</v>
      </c>
      <c r="I2029" s="2">
        <v>0.94</v>
      </c>
      <c r="J2029" s="2">
        <v>0.13</v>
      </c>
      <c r="K2029">
        <v>8</v>
      </c>
      <c r="L2029" s="19" t="s">
        <v>279</v>
      </c>
      <c r="M2029" s="21">
        <v>0</v>
      </c>
    </row>
    <row r="2030" spans="1:13" x14ac:dyDescent="0.2">
      <c r="A2030" t="s">
        <v>171</v>
      </c>
      <c r="B2030" t="str">
        <f>VLOOKUP(A2030,MasterTutor!A:E,4,FALSE)</f>
        <v>Advanced</v>
      </c>
      <c r="C2030" t="str">
        <f>VLOOKUP(A2030,MasterTutor!A:E,3,FALSE)</f>
        <v>Adjunct</v>
      </c>
      <c r="D2030" t="str">
        <f>VLOOKUP(A2030,MasterTutor!A:E,2,FALSE)</f>
        <v>Annelies de Groot</v>
      </c>
      <c r="E2030" t="s">
        <v>383</v>
      </c>
      <c r="F2030" s="2">
        <v>0.22</v>
      </c>
      <c r="G2030" s="2">
        <v>0.97</v>
      </c>
      <c r="H2030" s="2">
        <v>0.93</v>
      </c>
      <c r="I2030" s="2">
        <v>1</v>
      </c>
      <c r="J2030" s="2">
        <v>0.5</v>
      </c>
      <c r="K2030">
        <v>1</v>
      </c>
      <c r="L2030" s="19" t="s">
        <v>215</v>
      </c>
      <c r="M2030" s="21">
        <v>1</v>
      </c>
    </row>
    <row r="2031" spans="1:13" x14ac:dyDescent="0.2">
      <c r="A2031" t="s">
        <v>308</v>
      </c>
      <c r="B2031" t="str">
        <f>VLOOKUP(A2031,MasterTutor!A:E,4,FALSE)</f>
        <v>Advanced</v>
      </c>
      <c r="C2031" t="str">
        <f>VLOOKUP(A2031,MasterTutor!A:E,3,FALSE)</f>
        <v>Professional</v>
      </c>
      <c r="D2031" t="str">
        <f>VLOOKUP(A2031,MasterTutor!A:E,2,FALSE)</f>
        <v>Annelies de Groot</v>
      </c>
      <c r="E2031" t="s">
        <v>383</v>
      </c>
      <c r="F2031" s="2">
        <v>0.8</v>
      </c>
      <c r="G2031" s="2">
        <v>1.08</v>
      </c>
      <c r="H2031" s="2">
        <v>0.95</v>
      </c>
      <c r="I2031" s="2">
        <v>0.96</v>
      </c>
      <c r="J2031" s="2">
        <v>0.69</v>
      </c>
      <c r="K2031">
        <v>6</v>
      </c>
      <c r="L2031" s="19" t="s">
        <v>242</v>
      </c>
      <c r="M2031" s="21">
        <v>0.4</v>
      </c>
    </row>
    <row r="2032" spans="1:13" x14ac:dyDescent="0.2">
      <c r="A2032" t="s">
        <v>310</v>
      </c>
      <c r="B2032" t="str">
        <f>VLOOKUP(A2032,MasterTutor!A:E,4,FALSE)</f>
        <v>Advanced</v>
      </c>
      <c r="C2032" t="str">
        <f>VLOOKUP(A2032,MasterTutor!A:E,3,FALSE)</f>
        <v>Professional</v>
      </c>
      <c r="D2032" t="str">
        <f>VLOOKUP(A2032,MasterTutor!A:E,2,FALSE)</f>
        <v>Ela Cross</v>
      </c>
      <c r="E2032" t="s">
        <v>383</v>
      </c>
      <c r="F2032" s="2">
        <v>0.8</v>
      </c>
      <c r="G2032" s="2">
        <v>1.1599999999999999</v>
      </c>
      <c r="H2032" s="2">
        <v>0.97</v>
      </c>
      <c r="I2032" s="2">
        <v>0.98</v>
      </c>
      <c r="J2032" s="2">
        <v>0.62</v>
      </c>
      <c r="K2032">
        <v>7</v>
      </c>
      <c r="L2032" s="19" t="s">
        <v>242</v>
      </c>
      <c r="M2032" s="21">
        <v>0.4</v>
      </c>
    </row>
    <row r="2033" spans="1:13" x14ac:dyDescent="0.2">
      <c r="A2033" t="s">
        <v>312</v>
      </c>
      <c r="B2033" t="str">
        <f>VLOOKUP(A2033,MasterTutor!A:E,4,FALSE)</f>
        <v>Advanced</v>
      </c>
      <c r="C2033" t="str">
        <f>VLOOKUP(A2033,MasterTutor!A:E,3,FALSE)</f>
        <v>Professional</v>
      </c>
      <c r="D2033" t="str">
        <f>VLOOKUP(A2033,MasterTutor!A:E,2,FALSE)</f>
        <v>Ela Cross</v>
      </c>
      <c r="E2033" t="s">
        <v>383</v>
      </c>
      <c r="F2033" s="2">
        <v>1.1599999999999999</v>
      </c>
      <c r="G2033" s="2">
        <v>1.28</v>
      </c>
      <c r="H2033" s="2">
        <v>1</v>
      </c>
      <c r="I2033" s="2">
        <v>0.97</v>
      </c>
      <c r="J2033" s="2">
        <v>0.56000000000000005</v>
      </c>
      <c r="K2033">
        <v>8</v>
      </c>
      <c r="L2033" s="19" t="s">
        <v>262</v>
      </c>
      <c r="M2033" s="21">
        <v>0.25</v>
      </c>
    </row>
    <row r="2034" spans="1:13" x14ac:dyDescent="0.2">
      <c r="A2034" t="s">
        <v>175</v>
      </c>
      <c r="B2034" t="str">
        <f>VLOOKUP(A2034,MasterTutor!A:E,4,FALSE)</f>
        <v>Distinguished</v>
      </c>
      <c r="C2034" t="str">
        <f>VLOOKUP(A2034,MasterTutor!A:E,3,FALSE)</f>
        <v>Adjunct</v>
      </c>
      <c r="D2034" t="str">
        <f>VLOOKUP(A2034,MasterTutor!A:E,2,FALSE)</f>
        <v>Annelies de Groot</v>
      </c>
      <c r="E2034" t="s">
        <v>383</v>
      </c>
      <c r="F2034" s="2">
        <v>0.33</v>
      </c>
      <c r="G2034" s="2">
        <v>0.73</v>
      </c>
      <c r="H2034" s="2">
        <v>0.75</v>
      </c>
      <c r="I2034" s="2">
        <v>0.54</v>
      </c>
      <c r="J2034" s="2">
        <v>0.5</v>
      </c>
      <c r="K2034">
        <v>2</v>
      </c>
      <c r="L2034" s="19" t="s">
        <v>228</v>
      </c>
      <c r="M2034" s="21">
        <v>0</v>
      </c>
    </row>
    <row r="2035" spans="1:13" x14ac:dyDescent="0.2">
      <c r="A2035" t="s">
        <v>176</v>
      </c>
      <c r="B2035" t="str">
        <f>VLOOKUP(A2035,MasterTutor!A:E,4,FALSE)</f>
        <v>Premium</v>
      </c>
      <c r="C2035" t="str">
        <f>VLOOKUP(A2035,MasterTutor!A:E,3,FALSE)</f>
        <v>Professional</v>
      </c>
      <c r="D2035" t="str">
        <f>VLOOKUP(A2035,MasterTutor!A:E,2,FALSE)</f>
        <v>Ian Plamondon</v>
      </c>
      <c r="E2035" t="s">
        <v>383</v>
      </c>
      <c r="F2035" s="2">
        <v>1.08</v>
      </c>
      <c r="G2035" s="2">
        <v>1.5</v>
      </c>
      <c r="H2035" s="2">
        <v>1</v>
      </c>
      <c r="I2035" s="2">
        <v>0.99</v>
      </c>
      <c r="J2035" s="2">
        <v>1</v>
      </c>
      <c r="K2035">
        <v>4</v>
      </c>
      <c r="L2035" s="19" t="s">
        <v>225</v>
      </c>
      <c r="M2035" s="21">
        <v>0.5</v>
      </c>
    </row>
    <row r="2036" spans="1:13" x14ac:dyDescent="0.2">
      <c r="A2036" t="s">
        <v>362</v>
      </c>
      <c r="B2036" t="e">
        <f>VLOOKUP(A2036,MasterTutor!A:E,4,FALSE)</f>
        <v>#N/A</v>
      </c>
      <c r="C2036" t="e">
        <f>VLOOKUP(A2036,MasterTutor!A:E,3,FALSE)</f>
        <v>#N/A</v>
      </c>
      <c r="D2036" t="e">
        <f>VLOOKUP(A2036,MasterTutor!A:E,2,FALSE)</f>
        <v>#N/A</v>
      </c>
      <c r="E2036" t="s">
        <v>383</v>
      </c>
      <c r="F2036" s="2">
        <v>0.44</v>
      </c>
      <c r="G2036" s="2">
        <v>0.98</v>
      </c>
      <c r="H2036" s="2">
        <v>1</v>
      </c>
      <c r="I2036" s="2">
        <v>0.66</v>
      </c>
      <c r="J2036" s="2">
        <v>0.7</v>
      </c>
      <c r="K2036">
        <v>3</v>
      </c>
      <c r="L2036" s="19" t="s">
        <v>219</v>
      </c>
      <c r="M2036" s="21">
        <v>0</v>
      </c>
    </row>
    <row r="2037" spans="1:13" x14ac:dyDescent="0.2">
      <c r="A2037" t="s">
        <v>313</v>
      </c>
      <c r="B2037" t="str">
        <f>VLOOKUP(A2037,MasterTutor!A:E,4,FALSE)</f>
        <v>Advanced</v>
      </c>
      <c r="C2037" t="str">
        <f>VLOOKUP(A2037,MasterTutor!A:E,3,FALSE)</f>
        <v>Professional</v>
      </c>
      <c r="D2037" t="str">
        <f>VLOOKUP(A2037,MasterTutor!A:E,2,FALSE)</f>
        <v>Kristin Haase-Alvey</v>
      </c>
      <c r="E2037" t="s">
        <v>383</v>
      </c>
      <c r="F2037" s="2">
        <v>0.84</v>
      </c>
      <c r="G2037" s="2">
        <v>0.98</v>
      </c>
      <c r="H2037" s="2">
        <v>0.98</v>
      </c>
      <c r="I2037" s="2">
        <v>1</v>
      </c>
      <c r="J2037" s="2">
        <v>0.86</v>
      </c>
      <c r="K2037">
        <v>10</v>
      </c>
      <c r="L2037" s="19" t="s">
        <v>378</v>
      </c>
      <c r="M2037" s="21">
        <v>0.42</v>
      </c>
    </row>
    <row r="2038" spans="1:13" x14ac:dyDescent="0.2">
      <c r="A2038" t="s">
        <v>314</v>
      </c>
      <c r="B2038" t="str">
        <f>VLOOKUP(A2038,MasterTutor!A:E,4,FALSE)</f>
        <v>Advanced</v>
      </c>
      <c r="C2038" t="str">
        <f>VLOOKUP(A2038,MasterTutor!A:E,3,FALSE)</f>
        <v>Professional</v>
      </c>
      <c r="D2038" t="str">
        <f>VLOOKUP(A2038,MasterTutor!A:E,2,FALSE)</f>
        <v>Ian Plamondon</v>
      </c>
      <c r="E2038" t="s">
        <v>383</v>
      </c>
      <c r="F2038" s="2">
        <v>0.73</v>
      </c>
      <c r="G2038" s="2">
        <v>0.96</v>
      </c>
      <c r="H2038" s="2">
        <v>1</v>
      </c>
      <c r="I2038" s="2">
        <v>1</v>
      </c>
      <c r="J2038" s="2">
        <v>0.77</v>
      </c>
      <c r="K2038">
        <v>9</v>
      </c>
      <c r="L2038" s="19" t="s">
        <v>221</v>
      </c>
      <c r="M2038" s="21">
        <v>1</v>
      </c>
    </row>
    <row r="2039" spans="1:13" x14ac:dyDescent="0.2">
      <c r="A2039" t="s">
        <v>179</v>
      </c>
      <c r="B2039" t="str">
        <f>VLOOKUP(A2039,MasterTutor!A:E,4,FALSE)</f>
        <v>Advanced</v>
      </c>
      <c r="C2039" t="str">
        <f>VLOOKUP(A2039,MasterTutor!A:E,3,FALSE)</f>
        <v>Adjunct</v>
      </c>
      <c r="D2039" t="str">
        <f>VLOOKUP(A2039,MasterTutor!A:E,2,FALSE)</f>
        <v>Ela Cross</v>
      </c>
      <c r="E2039" t="s">
        <v>383</v>
      </c>
      <c r="F2039" s="2">
        <v>0.73</v>
      </c>
      <c r="G2039" s="2">
        <v>1.07</v>
      </c>
      <c r="H2039" s="2">
        <v>0.93</v>
      </c>
      <c r="I2039" s="2">
        <v>1</v>
      </c>
      <c r="J2039" s="2">
        <v>0.8</v>
      </c>
      <c r="K2039">
        <v>0</v>
      </c>
      <c r="L2039" s="19" t="s">
        <v>398</v>
      </c>
      <c r="M2039" s="21">
        <v>0.88</v>
      </c>
    </row>
    <row r="2040" spans="1:13" x14ac:dyDescent="0.2">
      <c r="A2040" t="s">
        <v>180</v>
      </c>
      <c r="B2040" t="str">
        <f>VLOOKUP(A2040,MasterTutor!A:E,4,FALSE)</f>
        <v>Premium</v>
      </c>
      <c r="C2040" t="str">
        <f>VLOOKUP(A2040,MasterTutor!A:E,3,FALSE)</f>
        <v>Adjunct</v>
      </c>
      <c r="D2040" t="str">
        <f>VLOOKUP(A2040,MasterTutor!A:E,2,FALSE)</f>
        <v>Geoff St. Marie</v>
      </c>
      <c r="E2040" t="s">
        <v>383</v>
      </c>
      <c r="F2040" s="2">
        <v>0.71</v>
      </c>
      <c r="G2040" s="2">
        <v>1.26</v>
      </c>
      <c r="H2040" s="2">
        <v>0.97</v>
      </c>
      <c r="I2040" s="2">
        <v>1</v>
      </c>
      <c r="J2040" s="2">
        <v>0.5</v>
      </c>
      <c r="K2040">
        <v>2</v>
      </c>
      <c r="L2040" s="19" t="s">
        <v>219</v>
      </c>
      <c r="M2040" s="21">
        <v>0</v>
      </c>
    </row>
    <row r="2041" spans="1:13" x14ac:dyDescent="0.2">
      <c r="A2041" t="s">
        <v>181</v>
      </c>
      <c r="B2041" t="str">
        <f>VLOOKUP(A2041,MasterTutor!A:E,4,FALSE)</f>
        <v>Advanced</v>
      </c>
      <c r="C2041" t="str">
        <f>VLOOKUP(A2041,MasterTutor!A:E,3,FALSE)</f>
        <v>Professional</v>
      </c>
      <c r="D2041" t="str">
        <f>VLOOKUP(A2041,MasterTutor!A:E,2,FALSE)</f>
        <v>Ela Cross</v>
      </c>
      <c r="E2041" t="s">
        <v>383</v>
      </c>
      <c r="F2041" s="2">
        <v>0.75</v>
      </c>
      <c r="G2041" s="2">
        <v>1.0900000000000001</v>
      </c>
      <c r="H2041" s="2">
        <v>0.87</v>
      </c>
      <c r="I2041" s="2">
        <v>0.97</v>
      </c>
      <c r="J2041" s="2">
        <v>1</v>
      </c>
      <c r="K2041">
        <v>4</v>
      </c>
      <c r="L2041" s="19" t="s">
        <v>216</v>
      </c>
      <c r="M2041" s="21">
        <v>1</v>
      </c>
    </row>
    <row r="2042" spans="1:13" x14ac:dyDescent="0.2">
      <c r="A2042" t="s">
        <v>182</v>
      </c>
      <c r="B2042" t="str">
        <f>VLOOKUP(A2042,MasterTutor!A:E,4,FALSE)</f>
        <v>Premium</v>
      </c>
      <c r="C2042" t="str">
        <f>VLOOKUP(A2042,MasterTutor!A:E,3,FALSE)</f>
        <v>Professional</v>
      </c>
      <c r="D2042" t="str">
        <f>VLOOKUP(A2042,MasterTutor!A:E,2,FALSE)</f>
        <v>Annelies de Groot</v>
      </c>
      <c r="E2042" t="s">
        <v>383</v>
      </c>
      <c r="F2042" s="2">
        <v>1.1000000000000001</v>
      </c>
      <c r="G2042" s="2">
        <v>0.95</v>
      </c>
      <c r="H2042" s="2">
        <v>0.99</v>
      </c>
      <c r="I2042" s="2">
        <v>0.96</v>
      </c>
      <c r="J2042" s="2">
        <v>0.55000000000000004</v>
      </c>
      <c r="K2042">
        <v>1</v>
      </c>
      <c r="L2042" s="19" t="s">
        <v>225</v>
      </c>
      <c r="M2042" s="21">
        <v>0.5</v>
      </c>
    </row>
    <row r="2043" spans="1:13" x14ac:dyDescent="0.2">
      <c r="A2043" t="s">
        <v>315</v>
      </c>
      <c r="B2043" t="str">
        <f>VLOOKUP(A2043,MasterTutor!A:E,4,FALSE)</f>
        <v>Advanced</v>
      </c>
      <c r="C2043" t="str">
        <f>VLOOKUP(A2043,MasterTutor!A:E,3,FALSE)</f>
        <v>Professional</v>
      </c>
      <c r="D2043" t="str">
        <f>VLOOKUP(A2043,MasterTutor!A:E,2,FALSE)</f>
        <v>Ela Cross</v>
      </c>
      <c r="E2043" t="s">
        <v>383</v>
      </c>
      <c r="F2043" s="2">
        <v>1.04</v>
      </c>
      <c r="G2043" s="2">
        <v>1.08</v>
      </c>
      <c r="H2043" s="2">
        <v>0.98</v>
      </c>
      <c r="I2043" s="2">
        <v>0.36</v>
      </c>
      <c r="J2043" s="2">
        <v>0.39</v>
      </c>
      <c r="K2043">
        <v>7</v>
      </c>
      <c r="L2043" s="19" t="s">
        <v>266</v>
      </c>
      <c r="M2043" s="21">
        <v>0</v>
      </c>
    </row>
    <row r="2044" spans="1:13" x14ac:dyDescent="0.2">
      <c r="A2044" t="s">
        <v>183</v>
      </c>
      <c r="B2044" t="str">
        <f>VLOOKUP(A2044,MasterTutor!A:E,4,FALSE)</f>
        <v>Advanced</v>
      </c>
      <c r="C2044" t="str">
        <f>VLOOKUP(A2044,MasterTutor!A:E,3,FALSE)</f>
        <v>Adjunct</v>
      </c>
      <c r="D2044" t="str">
        <f>VLOOKUP(A2044,MasterTutor!A:E,2,FALSE)</f>
        <v>Annelies de Groot</v>
      </c>
      <c r="E2044" t="s">
        <v>383</v>
      </c>
      <c r="F2044" s="2">
        <v>1.38</v>
      </c>
      <c r="G2044" s="2">
        <v>1.52</v>
      </c>
      <c r="H2044" s="2">
        <v>0.97</v>
      </c>
      <c r="I2044" s="2">
        <v>1</v>
      </c>
      <c r="J2044" s="2">
        <v>1</v>
      </c>
      <c r="K2044">
        <v>5</v>
      </c>
      <c r="L2044" s="20"/>
    </row>
    <row r="2045" spans="1:13" x14ac:dyDescent="0.2">
      <c r="A2045" t="s">
        <v>184</v>
      </c>
      <c r="B2045" t="str">
        <f>VLOOKUP(A2045,MasterTutor!A:E,4,FALSE)</f>
        <v>Advanced</v>
      </c>
      <c r="C2045" t="str">
        <f>VLOOKUP(A2045,MasterTutor!A:E,3,FALSE)</f>
        <v>Adjunct</v>
      </c>
      <c r="D2045" t="str">
        <f>VLOOKUP(A2045,MasterTutor!A:E,2,FALSE)</f>
        <v>Kristin Haase-Alvey</v>
      </c>
      <c r="E2045" t="s">
        <v>383</v>
      </c>
      <c r="F2045" s="2">
        <v>0.5</v>
      </c>
      <c r="G2045" s="2">
        <v>1.07</v>
      </c>
      <c r="H2045" s="2">
        <v>0.96</v>
      </c>
      <c r="I2045" s="2">
        <v>0.76</v>
      </c>
      <c r="J2045" s="2">
        <v>1</v>
      </c>
      <c r="K2045">
        <v>3</v>
      </c>
      <c r="L2045" s="19" t="s">
        <v>219</v>
      </c>
      <c r="M2045" s="21">
        <v>0</v>
      </c>
    </row>
    <row r="2046" spans="1:13" x14ac:dyDescent="0.2">
      <c r="A2046" t="s">
        <v>185</v>
      </c>
      <c r="B2046" t="str">
        <f>VLOOKUP(A2046,MasterTutor!A:E,4,FALSE)</f>
        <v>Distinguished</v>
      </c>
      <c r="C2046" t="str">
        <f>VLOOKUP(A2046,MasterTutor!A:E,3,FALSE)</f>
        <v>Professional</v>
      </c>
      <c r="D2046" t="str">
        <f>VLOOKUP(A2046,MasterTutor!A:E,2,FALSE)</f>
        <v>Ian Plamondon</v>
      </c>
      <c r="E2046" t="s">
        <v>383</v>
      </c>
      <c r="F2046" s="2">
        <v>0.64</v>
      </c>
      <c r="G2046" s="2">
        <v>1.01</v>
      </c>
      <c r="H2046" s="2">
        <v>0.94</v>
      </c>
      <c r="I2046" s="2">
        <v>0.98</v>
      </c>
      <c r="J2046" s="2">
        <v>1</v>
      </c>
      <c r="K2046">
        <v>2</v>
      </c>
      <c r="L2046" s="19" t="s">
        <v>228</v>
      </c>
      <c r="M2046" s="21">
        <v>0</v>
      </c>
    </row>
    <row r="2047" spans="1:13" x14ac:dyDescent="0.2">
      <c r="A2047" t="s">
        <v>186</v>
      </c>
      <c r="B2047" t="str">
        <f>VLOOKUP(A2047,MasterTutor!A:E,4,FALSE)</f>
        <v>Premium</v>
      </c>
      <c r="C2047" t="str">
        <f>VLOOKUP(A2047,MasterTutor!A:E,3,FALSE)</f>
        <v>Adjunct</v>
      </c>
      <c r="D2047" t="str">
        <f>VLOOKUP(A2047,MasterTutor!A:E,2,FALSE)</f>
        <v>Ela Cross</v>
      </c>
      <c r="E2047" t="s">
        <v>383</v>
      </c>
      <c r="F2047" s="2">
        <v>1.1399999999999999</v>
      </c>
      <c r="G2047" s="2">
        <v>1.32</v>
      </c>
      <c r="H2047" s="2">
        <v>1</v>
      </c>
      <c r="I2047" s="2">
        <v>0.98</v>
      </c>
      <c r="J2047" s="2">
        <v>0.79</v>
      </c>
      <c r="K2047">
        <v>8</v>
      </c>
      <c r="L2047" s="19" t="s">
        <v>219</v>
      </c>
      <c r="M2047" s="21">
        <v>0</v>
      </c>
    </row>
    <row r="2048" spans="1:13" x14ac:dyDescent="0.2">
      <c r="A2048" t="s">
        <v>316</v>
      </c>
      <c r="B2048" t="str">
        <f>VLOOKUP(A2048,MasterTutor!A:E,4,FALSE)</f>
        <v>Advanced</v>
      </c>
      <c r="C2048" t="str">
        <f>VLOOKUP(A2048,MasterTutor!A:E,3,FALSE)</f>
        <v>Professional</v>
      </c>
      <c r="D2048" t="str">
        <f>VLOOKUP(A2048,MasterTutor!A:E,2,FALSE)</f>
        <v>Annelies de Groot</v>
      </c>
      <c r="E2048" t="s">
        <v>383</v>
      </c>
      <c r="F2048" s="2">
        <v>0.93</v>
      </c>
      <c r="G2048" s="2">
        <v>1.04</v>
      </c>
      <c r="H2048" s="2">
        <v>0.92</v>
      </c>
      <c r="I2048" s="2">
        <v>1</v>
      </c>
      <c r="J2048" s="2">
        <v>0.2</v>
      </c>
      <c r="K2048">
        <v>8</v>
      </c>
      <c r="L2048" s="19" t="s">
        <v>242</v>
      </c>
      <c r="M2048" s="21">
        <v>0.4</v>
      </c>
    </row>
    <row r="2049" spans="1:13" x14ac:dyDescent="0.2">
      <c r="A2049" t="s">
        <v>187</v>
      </c>
      <c r="B2049" t="str">
        <f>VLOOKUP(A2049,MasterTutor!A:E,4,FALSE)</f>
        <v>Distinguished</v>
      </c>
      <c r="C2049" t="str">
        <f>VLOOKUP(A2049,MasterTutor!A:E,3,FALSE)</f>
        <v>Adjunct</v>
      </c>
      <c r="D2049" t="str">
        <f>VLOOKUP(A2049,MasterTutor!A:E,2,FALSE)</f>
        <v>Ela Cross</v>
      </c>
      <c r="E2049" t="s">
        <v>383</v>
      </c>
      <c r="F2049" s="2">
        <v>1.1599999999999999</v>
      </c>
      <c r="G2049" s="2">
        <v>1.36</v>
      </c>
      <c r="H2049" s="2">
        <v>0.98</v>
      </c>
      <c r="I2049" s="2">
        <v>1</v>
      </c>
      <c r="J2049" s="2">
        <v>1</v>
      </c>
      <c r="K2049">
        <v>1</v>
      </c>
      <c r="L2049" s="19" t="s">
        <v>227</v>
      </c>
      <c r="M2049" s="21">
        <v>1</v>
      </c>
    </row>
    <row r="2050" spans="1:13" x14ac:dyDescent="0.2">
      <c r="A2050" t="s">
        <v>188</v>
      </c>
      <c r="B2050" t="str">
        <f>VLOOKUP(A2050,MasterTutor!A:E,4,FALSE)</f>
        <v>Premium</v>
      </c>
      <c r="C2050" t="str">
        <f>VLOOKUP(A2050,MasterTutor!A:E,3,FALSE)</f>
        <v>Professional</v>
      </c>
      <c r="D2050" t="str">
        <f>VLOOKUP(A2050,MasterTutor!A:E,2,FALSE)</f>
        <v>Ian Plamondon</v>
      </c>
      <c r="E2050" t="s">
        <v>383</v>
      </c>
      <c r="F2050" s="2">
        <v>0.45</v>
      </c>
      <c r="G2050" s="2">
        <v>1.1599999999999999</v>
      </c>
      <c r="H2050" s="2">
        <v>0.98</v>
      </c>
      <c r="I2050" s="2">
        <v>0.95</v>
      </c>
      <c r="J2050" s="2">
        <v>0.9</v>
      </c>
      <c r="K2050">
        <v>1</v>
      </c>
      <c r="L2050" s="19" t="s">
        <v>225</v>
      </c>
      <c r="M2050" s="21">
        <v>0.5</v>
      </c>
    </row>
    <row r="2051" spans="1:13" x14ac:dyDescent="0.2">
      <c r="A2051" t="s">
        <v>189</v>
      </c>
      <c r="B2051" t="str">
        <f>VLOOKUP(A2051,MasterTutor!A:E,4,FALSE)</f>
        <v>Advanced</v>
      </c>
      <c r="C2051" t="str">
        <f>VLOOKUP(A2051,MasterTutor!A:E,3,FALSE)</f>
        <v>Adjunct</v>
      </c>
      <c r="D2051" t="str">
        <f>VLOOKUP(A2051,MasterTutor!A:E,2,FALSE)</f>
        <v>Annelies de Groot</v>
      </c>
      <c r="E2051" t="s">
        <v>383</v>
      </c>
      <c r="F2051" s="2">
        <v>1.1299999999999999</v>
      </c>
      <c r="G2051" s="2">
        <v>1.1499999999999999</v>
      </c>
      <c r="H2051" s="2">
        <v>1</v>
      </c>
      <c r="I2051" s="2">
        <v>0.98</v>
      </c>
      <c r="J2051" s="2">
        <v>0.82</v>
      </c>
      <c r="K2051">
        <v>7</v>
      </c>
      <c r="L2051" s="20"/>
    </row>
    <row r="2052" spans="1:13" x14ac:dyDescent="0.2">
      <c r="A2052" t="s">
        <v>318</v>
      </c>
      <c r="B2052" t="str">
        <f>VLOOKUP(A2052,MasterTutor!A:E,4,FALSE)</f>
        <v>Advanced</v>
      </c>
      <c r="C2052" t="str">
        <f>VLOOKUP(A2052,MasterTutor!A:E,3,FALSE)</f>
        <v>Adjunct</v>
      </c>
      <c r="D2052" t="str">
        <f>VLOOKUP(A2052,MasterTutor!A:E,2,FALSE)</f>
        <v>Ela Cross</v>
      </c>
      <c r="E2052" t="s">
        <v>383</v>
      </c>
      <c r="F2052" s="2">
        <v>1.93</v>
      </c>
      <c r="G2052" s="2">
        <v>1.87</v>
      </c>
      <c r="H2052" s="2">
        <v>0.99</v>
      </c>
      <c r="I2052" s="2">
        <v>0.72</v>
      </c>
      <c r="J2052" s="2">
        <v>0.08</v>
      </c>
      <c r="K2052">
        <v>9</v>
      </c>
      <c r="L2052" s="19" t="s">
        <v>213</v>
      </c>
      <c r="M2052" s="21">
        <v>0.5</v>
      </c>
    </row>
    <row r="2053" spans="1:13" x14ac:dyDescent="0.2">
      <c r="A2053" t="s">
        <v>192</v>
      </c>
      <c r="B2053" t="str">
        <f>VLOOKUP(A2053,MasterTutor!A:E,4,FALSE)</f>
        <v>Advanced</v>
      </c>
      <c r="C2053" t="str">
        <f>VLOOKUP(A2053,MasterTutor!A:E,3,FALSE)</f>
        <v>Adjunct</v>
      </c>
      <c r="D2053" t="str">
        <f>VLOOKUP(A2053,MasterTutor!A:E,2,FALSE)</f>
        <v>Ela Cross</v>
      </c>
      <c r="E2053" t="s">
        <v>383</v>
      </c>
      <c r="F2053" s="2">
        <v>1.97</v>
      </c>
      <c r="G2053" s="2">
        <v>1.86</v>
      </c>
      <c r="H2053" s="2">
        <v>1</v>
      </c>
      <c r="I2053" s="2">
        <v>1</v>
      </c>
      <c r="J2053" s="2">
        <v>0.86</v>
      </c>
      <c r="K2053">
        <v>8</v>
      </c>
      <c r="L2053" s="19" t="s">
        <v>243</v>
      </c>
      <c r="M2053" s="21">
        <v>0.33</v>
      </c>
    </row>
    <row r="2054" spans="1:13" x14ac:dyDescent="0.2">
      <c r="A2054" t="s">
        <v>193</v>
      </c>
      <c r="B2054" t="str">
        <f>VLOOKUP(A2054,MasterTutor!A:E,4,FALSE)</f>
        <v>Advanced</v>
      </c>
      <c r="C2054" t="str">
        <f>VLOOKUP(A2054,MasterTutor!A:E,3,FALSE)</f>
        <v>Professional</v>
      </c>
      <c r="D2054" t="str">
        <f>VLOOKUP(A2054,MasterTutor!A:E,2,FALSE)</f>
        <v>Annelies de Groot</v>
      </c>
      <c r="E2054" t="s">
        <v>383</v>
      </c>
      <c r="F2054" s="2">
        <v>0.87</v>
      </c>
      <c r="G2054" s="2">
        <v>1.1299999999999999</v>
      </c>
      <c r="H2054" s="2">
        <v>1</v>
      </c>
      <c r="I2054" s="2">
        <v>0.93</v>
      </c>
      <c r="J2054" s="2">
        <v>0.83</v>
      </c>
      <c r="K2054">
        <v>6</v>
      </c>
      <c r="L2054" s="19" t="s">
        <v>399</v>
      </c>
      <c r="M2054" s="21">
        <v>0.82</v>
      </c>
    </row>
    <row r="2055" spans="1:13" x14ac:dyDescent="0.2">
      <c r="A2055" t="s">
        <v>196</v>
      </c>
      <c r="B2055" t="str">
        <f>VLOOKUP(A2055,MasterTutor!A:E,4,FALSE)</f>
        <v>Advanced</v>
      </c>
      <c r="C2055" t="str">
        <f>VLOOKUP(A2055,MasterTutor!A:E,3,FALSE)</f>
        <v>Adjunct</v>
      </c>
      <c r="D2055" t="str">
        <f>VLOOKUP(A2055,MasterTutor!A:E,2,FALSE)</f>
        <v>Kristin Haase-Alvey</v>
      </c>
      <c r="E2055" t="s">
        <v>383</v>
      </c>
      <c r="F2055" s="2">
        <v>0.97</v>
      </c>
      <c r="G2055" s="2">
        <v>1.1399999999999999</v>
      </c>
      <c r="H2055" s="2">
        <v>0.98</v>
      </c>
      <c r="I2055" s="2">
        <v>0.97</v>
      </c>
      <c r="J2055" s="2">
        <v>0.75</v>
      </c>
      <c r="K2055">
        <v>4</v>
      </c>
      <c r="L2055" s="19" t="s">
        <v>266</v>
      </c>
      <c r="M2055" s="21">
        <v>0</v>
      </c>
    </row>
    <row r="2056" spans="1:13" x14ac:dyDescent="0.2">
      <c r="A2056" t="s">
        <v>197</v>
      </c>
      <c r="B2056" t="str">
        <f>VLOOKUP(A2056,MasterTutor!A:E,4,FALSE)</f>
        <v>Premium</v>
      </c>
      <c r="C2056" t="str">
        <f>VLOOKUP(A2056,MasterTutor!A:E,3,FALSE)</f>
        <v>Professional</v>
      </c>
      <c r="D2056" t="str">
        <f>VLOOKUP(A2056,MasterTutor!A:E,2,FALSE)</f>
        <v>Jessica Milner</v>
      </c>
      <c r="E2056" t="s">
        <v>383</v>
      </c>
      <c r="F2056" s="2">
        <v>0.91</v>
      </c>
      <c r="G2056" s="2">
        <v>1.45</v>
      </c>
      <c r="H2056" s="2">
        <v>1</v>
      </c>
      <c r="I2056" s="2">
        <v>1</v>
      </c>
      <c r="J2056" s="2">
        <v>0.94</v>
      </c>
      <c r="K2056">
        <v>6</v>
      </c>
      <c r="L2056" s="19" t="s">
        <v>216</v>
      </c>
      <c r="M2056" s="21">
        <v>1</v>
      </c>
    </row>
    <row r="2057" spans="1:13" x14ac:dyDescent="0.2">
      <c r="A2057" t="s">
        <v>319</v>
      </c>
      <c r="B2057" t="str">
        <f>VLOOKUP(A2057,MasterTutor!A:E,4,FALSE)</f>
        <v>Advanced</v>
      </c>
      <c r="C2057" t="str">
        <f>VLOOKUP(A2057,MasterTutor!A:E,3,FALSE)</f>
        <v>Adjunct</v>
      </c>
      <c r="D2057" t="str">
        <f>VLOOKUP(A2057,MasterTutor!A:E,2,FALSE)</f>
        <v>Ela Cross</v>
      </c>
      <c r="E2057" t="s">
        <v>383</v>
      </c>
      <c r="F2057" s="2">
        <v>0.79</v>
      </c>
      <c r="G2057" s="2">
        <v>0.99</v>
      </c>
      <c r="H2057" s="2">
        <v>0.98</v>
      </c>
      <c r="I2057" s="2">
        <v>0.75</v>
      </c>
      <c r="J2057" s="2">
        <v>0.88</v>
      </c>
      <c r="K2057">
        <v>3</v>
      </c>
      <c r="L2057" s="20"/>
    </row>
    <row r="2058" spans="1:13" x14ac:dyDescent="0.2">
      <c r="A2058" t="s">
        <v>198</v>
      </c>
      <c r="B2058" t="str">
        <f>VLOOKUP(A2058,MasterTutor!A:E,4,FALSE)</f>
        <v>Distinguished</v>
      </c>
      <c r="C2058" t="str">
        <f>VLOOKUP(A2058,MasterTutor!A:E,3,FALSE)</f>
        <v>Adjunct</v>
      </c>
      <c r="D2058" t="str">
        <f>VLOOKUP(A2058,MasterTutor!A:E,2,FALSE)</f>
        <v>Ian Plamondon</v>
      </c>
      <c r="E2058" t="s">
        <v>383</v>
      </c>
      <c r="F2058" s="2">
        <v>1.36</v>
      </c>
      <c r="G2058" s="2">
        <v>1.27</v>
      </c>
      <c r="H2058" s="2">
        <v>1</v>
      </c>
      <c r="I2058" s="2">
        <v>0.69</v>
      </c>
      <c r="J2058" s="2">
        <v>0.56000000000000005</v>
      </c>
      <c r="K2058">
        <v>2</v>
      </c>
      <c r="L2058" s="19" t="s">
        <v>215</v>
      </c>
      <c r="M2058" s="21">
        <v>1</v>
      </c>
    </row>
    <row r="2059" spans="1:13" x14ac:dyDescent="0.2">
      <c r="A2059" t="s">
        <v>201</v>
      </c>
      <c r="B2059" t="str">
        <f>VLOOKUP(A2059,MasterTutor!A:E,4,FALSE)</f>
        <v>Distinguished</v>
      </c>
      <c r="C2059" t="str">
        <f>VLOOKUP(A2059,MasterTutor!A:E,3,FALSE)</f>
        <v>Professional</v>
      </c>
      <c r="D2059" t="str">
        <f>VLOOKUP(A2059,MasterTutor!A:E,2,FALSE)</f>
        <v>Ian Plamondon</v>
      </c>
      <c r="E2059" t="s">
        <v>383</v>
      </c>
      <c r="F2059" s="2">
        <v>0.69</v>
      </c>
      <c r="G2059" s="2">
        <v>1.1100000000000001</v>
      </c>
      <c r="H2059" s="2">
        <v>1</v>
      </c>
      <c r="I2059" s="2">
        <v>0.94</v>
      </c>
      <c r="J2059" s="2">
        <v>0.8</v>
      </c>
      <c r="K2059">
        <v>5</v>
      </c>
      <c r="L2059" s="19" t="s">
        <v>244</v>
      </c>
      <c r="M2059" s="21">
        <v>0.8</v>
      </c>
    </row>
    <row r="2060" spans="1:13" x14ac:dyDescent="0.2">
      <c r="A2060" t="s">
        <v>320</v>
      </c>
      <c r="B2060" t="str">
        <f>VLOOKUP(A2060,MasterTutor!A:E,4,FALSE)</f>
        <v>Advanced</v>
      </c>
      <c r="C2060" t="str">
        <f>VLOOKUP(A2060,MasterTutor!A:E,3,FALSE)</f>
        <v>Professional</v>
      </c>
      <c r="D2060" t="str">
        <f>VLOOKUP(A2060,MasterTutor!A:E,2,FALSE)</f>
        <v>Kristin Haase-Alvey</v>
      </c>
      <c r="E2060" t="s">
        <v>383</v>
      </c>
      <c r="F2060" s="2">
        <v>0.83</v>
      </c>
      <c r="G2060" s="2">
        <v>1.02</v>
      </c>
      <c r="H2060" s="2">
        <v>0.99</v>
      </c>
      <c r="I2060" s="2">
        <v>0.8</v>
      </c>
      <c r="J2060" s="2">
        <v>1</v>
      </c>
      <c r="K2060">
        <v>5</v>
      </c>
      <c r="L2060" s="19" t="s">
        <v>215</v>
      </c>
      <c r="M2060" s="21">
        <v>1</v>
      </c>
    </row>
    <row r="2061" spans="1:13" x14ac:dyDescent="0.2">
      <c r="A2061" t="s">
        <v>202</v>
      </c>
      <c r="B2061" t="str">
        <f>VLOOKUP(A2061,MasterTutor!A:E,4,FALSE)</f>
        <v>Advanced</v>
      </c>
      <c r="C2061" t="str">
        <f>VLOOKUP(A2061,MasterTutor!A:E,3,FALSE)</f>
        <v>Professional</v>
      </c>
      <c r="D2061" t="str">
        <f>VLOOKUP(A2061,MasterTutor!A:E,2,FALSE)</f>
        <v>Annelies de Groot</v>
      </c>
      <c r="E2061" t="s">
        <v>383</v>
      </c>
      <c r="F2061" s="2">
        <v>1.01</v>
      </c>
      <c r="G2061" s="2">
        <v>1.27</v>
      </c>
      <c r="H2061" s="2">
        <v>0.94</v>
      </c>
      <c r="I2061" s="2">
        <v>1</v>
      </c>
      <c r="J2061" s="2">
        <v>0.88</v>
      </c>
      <c r="K2061">
        <v>6</v>
      </c>
      <c r="L2061" s="19" t="s">
        <v>243</v>
      </c>
      <c r="M2061" s="21">
        <v>0.33</v>
      </c>
    </row>
    <row r="2062" spans="1:13" x14ac:dyDescent="0.2">
      <c r="A2062" t="s">
        <v>323</v>
      </c>
      <c r="B2062" t="str">
        <f>VLOOKUP(A2062,MasterTutor!A:E,4,FALSE)</f>
        <v>Advanced</v>
      </c>
      <c r="C2062" t="str">
        <f>VLOOKUP(A2062,MasterTutor!A:E,3,FALSE)</f>
        <v>Professional</v>
      </c>
      <c r="D2062" t="str">
        <f>VLOOKUP(A2062,MasterTutor!A:E,2,FALSE)</f>
        <v>Kristin Haase-Alvey</v>
      </c>
      <c r="E2062" t="s">
        <v>383</v>
      </c>
      <c r="F2062" s="2">
        <v>0.6</v>
      </c>
      <c r="G2062" s="2">
        <v>0.93</v>
      </c>
      <c r="H2062" s="2">
        <v>1</v>
      </c>
      <c r="I2062" s="2">
        <v>0.93</v>
      </c>
      <c r="J2062" s="2">
        <v>0.5</v>
      </c>
      <c r="K2062">
        <v>5</v>
      </c>
      <c r="L2062" s="19" t="s">
        <v>400</v>
      </c>
      <c r="M2062" s="21">
        <v>0.69</v>
      </c>
    </row>
    <row r="2063" spans="1:13" x14ac:dyDescent="0.2">
      <c r="A2063" t="s">
        <v>203</v>
      </c>
      <c r="B2063" t="str">
        <f>VLOOKUP(A2063,MasterTutor!A:E,4,FALSE)</f>
        <v>Premium</v>
      </c>
      <c r="C2063" t="str">
        <f>VLOOKUP(A2063,MasterTutor!A:E,3,FALSE)</f>
        <v>Professional</v>
      </c>
      <c r="D2063" t="str">
        <f>VLOOKUP(A2063,MasterTutor!A:E,2,FALSE)</f>
        <v>Ian Plamondon</v>
      </c>
      <c r="E2063" t="s">
        <v>383</v>
      </c>
      <c r="F2063" s="2">
        <v>1.1000000000000001</v>
      </c>
      <c r="G2063" s="2">
        <v>1.07</v>
      </c>
      <c r="H2063" s="2">
        <v>0.98</v>
      </c>
      <c r="I2063" s="2">
        <v>1</v>
      </c>
      <c r="J2063" s="2">
        <v>1</v>
      </c>
      <c r="K2063">
        <v>4</v>
      </c>
      <c r="L2063" s="19" t="s">
        <v>219</v>
      </c>
      <c r="M2063" s="21">
        <v>0</v>
      </c>
    </row>
    <row r="2064" spans="1:13" x14ac:dyDescent="0.2">
      <c r="A2064" t="s">
        <v>207</v>
      </c>
      <c r="B2064" t="str">
        <f>VLOOKUP(A2064,MasterTutor!A:E,4,FALSE)</f>
        <v>Advanced</v>
      </c>
      <c r="C2064" t="str">
        <f>VLOOKUP(A2064,MasterTutor!A:E,3,FALSE)</f>
        <v>Adjunct</v>
      </c>
      <c r="D2064" t="str">
        <f>VLOOKUP(A2064,MasterTutor!A:E,2,FALSE)</f>
        <v>Ela Cross</v>
      </c>
      <c r="E2064" t="s">
        <v>383</v>
      </c>
      <c r="F2064" s="2">
        <v>1</v>
      </c>
      <c r="G2064" s="2">
        <v>1.27</v>
      </c>
      <c r="H2064" s="2">
        <v>1</v>
      </c>
      <c r="I2064" s="2">
        <v>0.88</v>
      </c>
      <c r="J2064" s="2">
        <v>0.85</v>
      </c>
      <c r="K2064">
        <v>7</v>
      </c>
      <c r="L2064" s="19" t="s">
        <v>227</v>
      </c>
      <c r="M2064" s="21">
        <v>1</v>
      </c>
    </row>
    <row r="2065" spans="1:13" x14ac:dyDescent="0.2">
      <c r="A2065" t="s">
        <v>325</v>
      </c>
      <c r="B2065" t="str">
        <f>VLOOKUP(A2065,MasterTutor!A:E,4,FALSE)</f>
        <v>Advanced</v>
      </c>
      <c r="C2065" t="str">
        <f>VLOOKUP(A2065,MasterTutor!A:E,3,FALSE)</f>
        <v>Professional</v>
      </c>
      <c r="D2065" t="str">
        <f>VLOOKUP(A2065,MasterTutor!A:E,2,FALSE)</f>
        <v>Ela Cross</v>
      </c>
      <c r="E2065" t="s">
        <v>383</v>
      </c>
      <c r="F2065" s="2">
        <v>0.85</v>
      </c>
      <c r="G2065" s="2">
        <v>1.02</v>
      </c>
      <c r="H2065" s="2">
        <v>1</v>
      </c>
      <c r="I2065" s="2">
        <v>0.62</v>
      </c>
      <c r="J2065" s="2">
        <v>0</v>
      </c>
      <c r="K2065">
        <v>4</v>
      </c>
      <c r="L2065" s="19" t="s">
        <v>282</v>
      </c>
      <c r="M2065" s="21">
        <v>0</v>
      </c>
    </row>
    <row r="2066" spans="1:13" x14ac:dyDescent="0.2">
      <c r="A2066" t="s">
        <v>208</v>
      </c>
      <c r="B2066" t="str">
        <f>VLOOKUP(A2066,MasterTutor!A:E,4,FALSE)</f>
        <v>Distinguished</v>
      </c>
      <c r="C2066" t="str">
        <f>VLOOKUP(A2066,MasterTutor!A:E,3,FALSE)</f>
        <v>Adjunct</v>
      </c>
      <c r="D2066" t="str">
        <f>VLOOKUP(A2066,MasterTutor!A:E,2,FALSE)</f>
        <v>Annelies de Groot</v>
      </c>
      <c r="E2066" t="s">
        <v>383</v>
      </c>
      <c r="F2066" s="2">
        <v>0.25</v>
      </c>
      <c r="G2066" s="2">
        <v>1.05</v>
      </c>
      <c r="H2066" s="2">
        <v>1</v>
      </c>
      <c r="I2066" s="2">
        <v>0.71</v>
      </c>
      <c r="J2066" s="2">
        <v>1</v>
      </c>
      <c r="K2066">
        <v>2</v>
      </c>
      <c r="L2066" s="20"/>
    </row>
    <row r="2067" spans="1:13" x14ac:dyDescent="0.2">
      <c r="A2067" t="s">
        <v>209</v>
      </c>
      <c r="B2067" t="str">
        <f>VLOOKUP(A2067,MasterTutor!A:E,4,FALSE)</f>
        <v>Premium</v>
      </c>
      <c r="C2067" t="str">
        <f>VLOOKUP(A2067,MasterTutor!A:E,3,FALSE)</f>
        <v>Professional</v>
      </c>
      <c r="D2067" t="str">
        <f>VLOOKUP(A2067,MasterTutor!A:E,2,FALSE)</f>
        <v>Jessica Milner</v>
      </c>
      <c r="E2067" t="s">
        <v>383</v>
      </c>
      <c r="F2067" s="2">
        <v>0.94</v>
      </c>
      <c r="G2067" s="2">
        <v>1.04</v>
      </c>
      <c r="H2067" s="2">
        <v>1</v>
      </c>
      <c r="I2067" s="2">
        <v>1</v>
      </c>
      <c r="J2067" s="2">
        <v>1</v>
      </c>
      <c r="K2067">
        <v>9</v>
      </c>
      <c r="L2067" s="19" t="s">
        <v>225</v>
      </c>
      <c r="M2067" s="21">
        <v>0.5</v>
      </c>
    </row>
    <row r="2068" spans="1:13" x14ac:dyDescent="0.2">
      <c r="A2068" t="s">
        <v>210</v>
      </c>
      <c r="B2068" t="str">
        <f>VLOOKUP(A2068,MasterTutor!A:E,4,FALSE)</f>
        <v>Advanced</v>
      </c>
      <c r="C2068" t="str">
        <f>VLOOKUP(A2068,MasterTutor!A:E,3,FALSE)</f>
        <v>Professional</v>
      </c>
      <c r="D2068" t="str">
        <f>VLOOKUP(A2068,MasterTutor!A:E,2,FALSE)</f>
        <v>Kristin Haase-Alvey</v>
      </c>
      <c r="E2068" t="s">
        <v>383</v>
      </c>
      <c r="F2068" s="2">
        <v>0.88</v>
      </c>
      <c r="G2068" s="2">
        <v>0.82</v>
      </c>
      <c r="H2068" s="2">
        <v>0.96</v>
      </c>
      <c r="I2068" s="2">
        <v>0.96</v>
      </c>
      <c r="J2068" s="2">
        <v>0.64</v>
      </c>
      <c r="K2068">
        <v>7</v>
      </c>
      <c r="L2068" s="19" t="s">
        <v>215</v>
      </c>
      <c r="M2068" s="21">
        <v>1</v>
      </c>
    </row>
    <row r="2069" spans="1:13" x14ac:dyDescent="0.2">
      <c r="A2069" t="s">
        <v>211</v>
      </c>
      <c r="B2069" t="str">
        <f>VLOOKUP(A2069,MasterTutor!A:E,4,FALSE)</f>
        <v>Advanced</v>
      </c>
      <c r="C2069" t="str">
        <f>VLOOKUP(A2069,MasterTutor!A:E,3,FALSE)</f>
        <v>Professional</v>
      </c>
      <c r="D2069" t="str">
        <f>VLOOKUP(A2069,MasterTutor!A:E,2,FALSE)</f>
        <v>Kristin Haase-Alvey</v>
      </c>
      <c r="E2069" t="s">
        <v>383</v>
      </c>
      <c r="F2069" s="2">
        <v>0.76</v>
      </c>
      <c r="G2069" s="2">
        <v>1</v>
      </c>
      <c r="H2069" s="2">
        <v>0.99</v>
      </c>
      <c r="I2069" s="2">
        <v>0.95</v>
      </c>
      <c r="J2069" s="2">
        <v>0.62</v>
      </c>
      <c r="K2069">
        <v>6</v>
      </c>
      <c r="L2069" s="19" t="s">
        <v>284</v>
      </c>
      <c r="M2069" s="21">
        <v>0.78</v>
      </c>
    </row>
    <row r="2070" spans="1:13" x14ac:dyDescent="0.2">
      <c r="A2070" t="s">
        <v>327</v>
      </c>
      <c r="B2070" t="str">
        <f>VLOOKUP(A2070,MasterTutor!A:E,4,FALSE)</f>
        <v>Advanced</v>
      </c>
      <c r="C2070" t="str">
        <f>VLOOKUP(A2070,MasterTutor!A:E,3,FALSE)</f>
        <v>Professional</v>
      </c>
      <c r="D2070" t="str">
        <f>VLOOKUP(A2070,MasterTutor!A:E,2,FALSE)</f>
        <v>Ian Plamondon</v>
      </c>
      <c r="E2070" t="s">
        <v>383</v>
      </c>
      <c r="F2070" s="2">
        <v>0.65</v>
      </c>
      <c r="G2070" s="2">
        <v>1.01</v>
      </c>
      <c r="H2070" s="2">
        <v>1</v>
      </c>
      <c r="I2070" s="2">
        <v>0.98</v>
      </c>
      <c r="J2070" s="2">
        <v>0.33</v>
      </c>
      <c r="K2070">
        <v>5</v>
      </c>
      <c r="L2070" s="19" t="s">
        <v>232</v>
      </c>
      <c r="M2070" s="21">
        <v>0.71</v>
      </c>
    </row>
    <row r="2071" spans="1:13" x14ac:dyDescent="0.2">
      <c r="A2071" t="s">
        <v>12</v>
      </c>
      <c r="B2071" t="str">
        <f>VLOOKUP(A2071,MasterTutor!A:E,4,FALSE)</f>
        <v>Advanced</v>
      </c>
      <c r="C2071" t="str">
        <f>VLOOKUP(A2071,MasterTutor!A:E,3,FALSE)</f>
        <v>Adjunct</v>
      </c>
      <c r="D2071" t="str">
        <f>VLOOKUP(A2071,MasterTutor!A:E,2,FALSE)</f>
        <v>Ian Plamondon</v>
      </c>
      <c r="E2071" t="s">
        <v>212</v>
      </c>
      <c r="F2071" s="22">
        <v>1.2812999999999899</v>
      </c>
      <c r="G2071" s="22">
        <v>1.1601999999999999</v>
      </c>
      <c r="H2071" s="22">
        <v>1</v>
      </c>
      <c r="I2071" s="22">
        <v>1</v>
      </c>
      <c r="J2071" s="22">
        <v>0.90909090909090895</v>
      </c>
      <c r="K2071">
        <v>3</v>
      </c>
      <c r="L2071" s="19" t="s">
        <v>213</v>
      </c>
      <c r="M2071" s="21">
        <f>_xlfn.TEXTBEFORE(L2071, "/")/_xlfn.TEXTAFTER(L2071,"/")</f>
        <v>0.5</v>
      </c>
    </row>
    <row r="2072" spans="1:13" x14ac:dyDescent="0.2">
      <c r="A2072" t="s">
        <v>15</v>
      </c>
      <c r="B2072" t="str">
        <f>VLOOKUP(A2072,MasterTutor!A:E,4,FALSE)</f>
        <v>Advanced</v>
      </c>
      <c r="C2072" t="str">
        <f>VLOOKUP(A2072,MasterTutor!A:E,3,FALSE)</f>
        <v>Professional</v>
      </c>
      <c r="D2072" t="str">
        <f>VLOOKUP(A2072,MasterTutor!A:E,2,FALSE)</f>
        <v>Ian Plamondon</v>
      </c>
      <c r="E2072" t="s">
        <v>212</v>
      </c>
      <c r="F2072" s="22">
        <v>1.0916999999999999</v>
      </c>
      <c r="G2072" s="22">
        <v>1.1117999999999999</v>
      </c>
      <c r="H2072" s="22">
        <v>0.99259259259259203</v>
      </c>
      <c r="I2072" s="22">
        <v>0.97916666666666596</v>
      </c>
      <c r="J2072" s="22">
        <v>0.96153846153846101</v>
      </c>
      <c r="K2072">
        <v>14</v>
      </c>
      <c r="L2072" s="19" t="s">
        <v>214</v>
      </c>
      <c r="M2072" s="21">
        <f t="shared" ref="M2072:M2135" si="16">_xlfn.TEXTBEFORE(L2072, "/")/_xlfn.TEXTAFTER(L2072,"/")</f>
        <v>0.6</v>
      </c>
    </row>
    <row r="2073" spans="1:13" x14ac:dyDescent="0.2">
      <c r="A2073" t="s">
        <v>16</v>
      </c>
      <c r="B2073" t="str">
        <f>VLOOKUP(A2073,MasterTutor!A:E,4,FALSE)</f>
        <v>Premium</v>
      </c>
      <c r="C2073" t="str">
        <f>VLOOKUP(A2073,MasterTutor!A:E,3,FALSE)</f>
        <v>Adjunct</v>
      </c>
      <c r="D2073" t="str">
        <f>VLOOKUP(A2073,MasterTutor!A:E,2,FALSE)</f>
        <v>Ela Cross</v>
      </c>
      <c r="E2073" t="s">
        <v>212</v>
      </c>
      <c r="F2073" s="22">
        <v>0.968799999999999</v>
      </c>
      <c r="G2073" s="22">
        <v>1.5156000000000001</v>
      </c>
      <c r="H2073" s="22">
        <v>1</v>
      </c>
      <c r="I2073" s="22">
        <v>1</v>
      </c>
      <c r="J2073" s="22">
        <v>0.5</v>
      </c>
      <c r="K2073">
        <v>3</v>
      </c>
      <c r="L2073" s="19" t="s">
        <v>215</v>
      </c>
      <c r="M2073" s="21">
        <f t="shared" si="16"/>
        <v>1</v>
      </c>
    </row>
    <row r="2074" spans="1:13" x14ac:dyDescent="0.2">
      <c r="A2074" t="s">
        <v>17</v>
      </c>
      <c r="B2074" t="str">
        <f>VLOOKUP(A2074,MasterTutor!A:E,4,FALSE)</f>
        <v>Premium</v>
      </c>
      <c r="C2074" t="str">
        <f>VLOOKUP(A2074,MasterTutor!A:E,3,FALSE)</f>
        <v>Professional</v>
      </c>
      <c r="D2074" t="str">
        <f>VLOOKUP(A2074,MasterTutor!A:E,2,FALSE)</f>
        <v>Ian Plamondon</v>
      </c>
      <c r="E2074" t="s">
        <v>212</v>
      </c>
      <c r="F2074" s="22">
        <v>0.62570000000000003</v>
      </c>
      <c r="G2074" s="22">
        <v>2.2515999999999998</v>
      </c>
      <c r="H2074" s="22">
        <v>0.94029850746268595</v>
      </c>
      <c r="I2074" s="22">
        <v>0.97619047619047605</v>
      </c>
      <c r="J2074" s="22">
        <v>0.75</v>
      </c>
      <c r="K2074">
        <v>1</v>
      </c>
      <c r="L2074" s="19" t="s">
        <v>216</v>
      </c>
      <c r="M2074" s="21">
        <f t="shared" si="16"/>
        <v>1</v>
      </c>
    </row>
    <row r="2075" spans="1:13" x14ac:dyDescent="0.2">
      <c r="A2075" t="s">
        <v>217</v>
      </c>
      <c r="B2075" t="str">
        <f>VLOOKUP(A2075,MasterTutor!A:E,4,FALSE)</f>
        <v>Advanced</v>
      </c>
      <c r="C2075" t="str">
        <f>VLOOKUP(A2075,MasterTutor!A:E,3,FALSE)</f>
        <v>Adjunct</v>
      </c>
      <c r="D2075" t="str">
        <f>VLOOKUP(A2075,MasterTutor!A:E,2,FALSE)</f>
        <v>Kristin Haase-Alvey</v>
      </c>
      <c r="E2075" t="s">
        <v>212</v>
      </c>
      <c r="F2075" s="22">
        <v>1.7343999999999999</v>
      </c>
      <c r="G2075" s="22">
        <v>1.3554999999999999</v>
      </c>
      <c r="H2075" s="22">
        <v>0.98888888888888804</v>
      </c>
      <c r="I2075" s="22">
        <v>0.78125</v>
      </c>
      <c r="J2075" s="22">
        <v>0.70588235294117596</v>
      </c>
      <c r="K2075">
        <v>7</v>
      </c>
      <c r="L2075" s="19" t="s">
        <v>218</v>
      </c>
      <c r="M2075" s="21">
        <f t="shared" si="16"/>
        <v>0.66666666666666663</v>
      </c>
    </row>
    <row r="2076" spans="1:13" x14ac:dyDescent="0.2">
      <c r="A2076" t="s">
        <v>18</v>
      </c>
      <c r="B2076" t="str">
        <f>VLOOKUP(A2076,MasterTutor!A:E,4,FALSE)</f>
        <v>Distinguished</v>
      </c>
      <c r="C2076" t="str">
        <f>VLOOKUP(A2076,MasterTutor!A:E,3,FALSE)</f>
        <v>Professional</v>
      </c>
      <c r="D2076" t="str">
        <f>VLOOKUP(A2076,MasterTutor!A:E,2,FALSE)</f>
        <v>Ian Plamondon</v>
      </c>
      <c r="E2076" t="s">
        <v>212</v>
      </c>
      <c r="F2076" s="22">
        <v>0.7208</v>
      </c>
      <c r="G2076" s="22">
        <v>0.98679999999999901</v>
      </c>
      <c r="H2076" s="22">
        <v>1</v>
      </c>
      <c r="I2076" s="22">
        <v>0.87272727272727202</v>
      </c>
      <c r="J2076" s="22">
        <v>0.95652173913043403</v>
      </c>
      <c r="K2076">
        <v>3</v>
      </c>
      <c r="L2076" s="19" t="s">
        <v>610</v>
      </c>
      <c r="M2076" s="21" t="e">
        <f t="shared" si="16"/>
        <v>#DIV/0!</v>
      </c>
    </row>
    <row r="2077" spans="1:13" x14ac:dyDescent="0.2">
      <c r="A2077" t="s">
        <v>19</v>
      </c>
      <c r="B2077" t="str">
        <f>VLOOKUP(A2077,MasterTutor!A:E,4,FALSE)</f>
        <v>Premium</v>
      </c>
      <c r="C2077" t="str">
        <f>VLOOKUP(A2077,MasterTutor!A:E,3,FALSE)</f>
        <v>Adjunct</v>
      </c>
      <c r="D2077" t="str">
        <f>VLOOKUP(A2077,MasterTutor!A:E,2,FALSE)</f>
        <v>Geoff St. Marie</v>
      </c>
      <c r="E2077" t="s">
        <v>212</v>
      </c>
      <c r="F2077" s="22">
        <v>0.5</v>
      </c>
      <c r="G2077" s="22">
        <v>0.98829999999999996</v>
      </c>
      <c r="H2077" s="22">
        <v>1</v>
      </c>
      <c r="I2077" s="22">
        <v>1</v>
      </c>
      <c r="J2077" s="22">
        <v>1</v>
      </c>
      <c r="K2077">
        <v>2</v>
      </c>
      <c r="L2077" s="19" t="s">
        <v>610</v>
      </c>
      <c r="M2077" s="21" t="e">
        <f t="shared" si="16"/>
        <v>#DIV/0!</v>
      </c>
    </row>
    <row r="2078" spans="1:13" x14ac:dyDescent="0.2">
      <c r="A2078" t="s">
        <v>21</v>
      </c>
      <c r="B2078" t="str">
        <f>VLOOKUP(A2078,MasterTutor!A:E,4,FALSE)</f>
        <v>Distinguished</v>
      </c>
      <c r="C2078" t="str">
        <f>VLOOKUP(A2078,MasterTutor!A:E,3,FALSE)</f>
        <v>Adjunct</v>
      </c>
      <c r="D2078" t="str">
        <f>VLOOKUP(A2078,MasterTutor!A:E,2,FALSE)</f>
        <v>Kristin Haase-Alvey</v>
      </c>
      <c r="E2078" t="s">
        <v>212</v>
      </c>
      <c r="F2078" s="22">
        <v>0.65100000000000002</v>
      </c>
      <c r="G2078" s="22">
        <v>0.98439999999999905</v>
      </c>
      <c r="H2078" s="22">
        <v>1</v>
      </c>
      <c r="I2078" s="22">
        <v>0.94736842105263097</v>
      </c>
      <c r="J2078" s="22">
        <v>0.8</v>
      </c>
      <c r="K2078">
        <v>2</v>
      </c>
      <c r="L2078" s="19" t="s">
        <v>219</v>
      </c>
      <c r="M2078" s="21">
        <f t="shared" si="16"/>
        <v>0</v>
      </c>
    </row>
    <row r="2079" spans="1:13" x14ac:dyDescent="0.2">
      <c r="A2079" t="s">
        <v>22</v>
      </c>
      <c r="B2079" t="str">
        <f>VLOOKUP(A2079,MasterTutor!A:E,4,FALSE)</f>
        <v>Advanced</v>
      </c>
      <c r="C2079" t="str">
        <f>VLOOKUP(A2079,MasterTutor!A:E,3,FALSE)</f>
        <v>Professional</v>
      </c>
      <c r="D2079" t="str">
        <f>VLOOKUP(A2079,MasterTutor!A:E,2,FALSE)</f>
        <v>Annelies de Groot</v>
      </c>
      <c r="E2079" t="s">
        <v>212</v>
      </c>
      <c r="F2079" s="22">
        <v>0.9</v>
      </c>
      <c r="G2079" s="22">
        <v>1.1727000000000001</v>
      </c>
      <c r="H2079" s="22">
        <v>0.85714285714285698</v>
      </c>
      <c r="I2079" s="22">
        <v>0.90140845070422504</v>
      </c>
      <c r="J2079" s="22">
        <v>0.90909090909090895</v>
      </c>
      <c r="K2079">
        <v>11</v>
      </c>
      <c r="L2079" s="19" t="s">
        <v>220</v>
      </c>
      <c r="M2079" s="21">
        <f t="shared" si="16"/>
        <v>0.8571428571428571</v>
      </c>
    </row>
    <row r="2080" spans="1:13" x14ac:dyDescent="0.2">
      <c r="A2080" t="s">
        <v>23</v>
      </c>
      <c r="B2080" t="str">
        <f>VLOOKUP(A2080,MasterTutor!A:E,4,FALSE)</f>
        <v>Premium</v>
      </c>
      <c r="C2080" t="str">
        <f>VLOOKUP(A2080,MasterTutor!A:E,3,FALSE)</f>
        <v>Professional</v>
      </c>
      <c r="D2080" t="str">
        <f>VLOOKUP(A2080,MasterTutor!A:E,2,FALSE)</f>
        <v>Jessica Milner</v>
      </c>
      <c r="E2080" t="s">
        <v>212</v>
      </c>
      <c r="F2080" s="22">
        <v>0.32079999999999997</v>
      </c>
      <c r="G2080" s="22">
        <v>1.0876999999999999</v>
      </c>
      <c r="H2080" s="22">
        <v>1</v>
      </c>
      <c r="I2080" s="22">
        <v>0.82608695652173902</v>
      </c>
      <c r="J2080" s="22">
        <v>0.14285714285714199</v>
      </c>
      <c r="K2080">
        <v>1</v>
      </c>
      <c r="L2080" s="19" t="s">
        <v>219</v>
      </c>
      <c r="M2080" s="21">
        <f t="shared" si="16"/>
        <v>0</v>
      </c>
    </row>
    <row r="2081" spans="1:13" x14ac:dyDescent="0.2">
      <c r="A2081" t="s">
        <v>24</v>
      </c>
      <c r="B2081" t="str">
        <f>VLOOKUP(A2081,MasterTutor!A:E,4,FALSE)</f>
        <v>Distinguished</v>
      </c>
      <c r="C2081" t="str">
        <f>VLOOKUP(A2081,MasterTutor!A:E,3,FALSE)</f>
        <v>Professional</v>
      </c>
      <c r="D2081" t="str">
        <f>VLOOKUP(A2081,MasterTutor!A:E,2,FALSE)</f>
        <v>Kristin Haase-Alvey</v>
      </c>
      <c r="E2081" t="s">
        <v>212</v>
      </c>
      <c r="F2081" s="22">
        <v>0.5958</v>
      </c>
      <c r="G2081" s="22">
        <v>1.1349</v>
      </c>
      <c r="H2081" s="22">
        <v>0.97142857142857097</v>
      </c>
      <c r="I2081" s="22">
        <v>0.69565217391304301</v>
      </c>
      <c r="J2081" s="22">
        <v>1</v>
      </c>
      <c r="K2081">
        <v>0</v>
      </c>
      <c r="L2081" s="19" t="s">
        <v>221</v>
      </c>
      <c r="M2081" s="21">
        <f t="shared" si="16"/>
        <v>1</v>
      </c>
    </row>
    <row r="2082" spans="1:13" x14ac:dyDescent="0.2">
      <c r="A2082" t="s">
        <v>222</v>
      </c>
      <c r="B2082" t="str">
        <f>VLOOKUP(A2082,MasterTutor!A:E,4,FALSE)</f>
        <v>Advanced</v>
      </c>
      <c r="C2082" t="str">
        <f>VLOOKUP(A2082,MasterTutor!A:E,3,FALSE)</f>
        <v>Professional</v>
      </c>
      <c r="D2082" t="str">
        <f>VLOOKUP(A2082,MasterTutor!A:E,2,FALSE)</f>
        <v>Ian Plamondon</v>
      </c>
      <c r="E2082" t="s">
        <v>212</v>
      </c>
      <c r="F2082" s="22">
        <v>1.0791999999999999</v>
      </c>
      <c r="G2082" s="22">
        <v>1.0821999999999901</v>
      </c>
      <c r="H2082" s="22">
        <v>0.986928104575163</v>
      </c>
      <c r="I2082" s="22">
        <v>0.934782608695652</v>
      </c>
      <c r="J2082" s="22">
        <v>0.266666666666666</v>
      </c>
      <c r="K2082">
        <v>12</v>
      </c>
      <c r="L2082" s="19" t="s">
        <v>223</v>
      </c>
      <c r="M2082" s="21">
        <f t="shared" si="16"/>
        <v>0.1</v>
      </c>
    </row>
    <row r="2083" spans="1:13" x14ac:dyDescent="0.2">
      <c r="A2083" t="s">
        <v>26</v>
      </c>
      <c r="B2083" t="str">
        <f>VLOOKUP(A2083,MasterTutor!A:E,4,FALSE)</f>
        <v>Distinguished</v>
      </c>
      <c r="C2083" t="str">
        <f>VLOOKUP(A2083,MasterTutor!A:E,3,FALSE)</f>
        <v>Professional</v>
      </c>
      <c r="D2083" t="str">
        <f>VLOOKUP(A2083,MasterTutor!A:E,2,FALSE)</f>
        <v>Ian Plamondon</v>
      </c>
      <c r="E2083" t="s">
        <v>212</v>
      </c>
      <c r="F2083" s="22">
        <v>0.85419999999999996</v>
      </c>
      <c r="G2083" s="22">
        <v>1.4242999999999999</v>
      </c>
      <c r="H2083" s="22">
        <v>0.97701149425287304</v>
      </c>
      <c r="I2083" s="22">
        <v>0.92857142857142805</v>
      </c>
      <c r="J2083" s="22">
        <v>0.68</v>
      </c>
      <c r="K2083">
        <v>2</v>
      </c>
      <c r="L2083" s="19" t="s">
        <v>224</v>
      </c>
      <c r="M2083" s="21">
        <f t="shared" si="16"/>
        <v>0</v>
      </c>
    </row>
    <row r="2084" spans="1:13" x14ac:dyDescent="0.2">
      <c r="A2084" t="s">
        <v>27</v>
      </c>
      <c r="B2084" t="str">
        <f>VLOOKUP(A2084,MasterTutor!A:E,4,FALSE)</f>
        <v>Premium</v>
      </c>
      <c r="C2084" t="str">
        <f>VLOOKUP(A2084,MasterTutor!A:E,3,FALSE)</f>
        <v>Professional</v>
      </c>
      <c r="D2084" t="str">
        <f>VLOOKUP(A2084,MasterTutor!A:E,2,FALSE)</f>
        <v>Jessica Milner</v>
      </c>
      <c r="E2084" t="s">
        <v>212</v>
      </c>
      <c r="F2084" s="22">
        <v>0.6</v>
      </c>
      <c r="G2084" s="22">
        <v>1.0920999999999901</v>
      </c>
      <c r="H2084" s="22">
        <v>0.92647058823529405</v>
      </c>
      <c r="I2084" s="22">
        <v>0.84090909090909005</v>
      </c>
      <c r="J2084" s="22">
        <v>0.9375</v>
      </c>
      <c r="K2084">
        <v>4</v>
      </c>
      <c r="L2084" s="19" t="s">
        <v>225</v>
      </c>
      <c r="M2084" s="21">
        <f t="shared" si="16"/>
        <v>0.5</v>
      </c>
    </row>
    <row r="2085" spans="1:13" x14ac:dyDescent="0.2">
      <c r="A2085" t="s">
        <v>29</v>
      </c>
      <c r="B2085" t="str">
        <f>VLOOKUP(A2085,MasterTutor!A:E,4,FALSE)</f>
        <v>Distinguished</v>
      </c>
      <c r="C2085" t="str">
        <f>VLOOKUP(A2085,MasterTutor!A:E,3,FALSE)</f>
        <v>Adjunct</v>
      </c>
      <c r="D2085" t="str">
        <f>VLOOKUP(A2085,MasterTutor!A:E,2,FALSE)</f>
        <v>Kristin Haase-Alvey</v>
      </c>
      <c r="E2085" t="s">
        <v>212</v>
      </c>
      <c r="F2085" s="22">
        <v>0.625</v>
      </c>
      <c r="G2085" s="22">
        <v>1.0039</v>
      </c>
      <c r="H2085" s="22">
        <v>1</v>
      </c>
      <c r="I2085" s="22">
        <v>1</v>
      </c>
      <c r="J2085" s="22">
        <v>0.66666666666666596</v>
      </c>
      <c r="K2085">
        <v>0</v>
      </c>
      <c r="L2085" s="19" t="s">
        <v>215</v>
      </c>
      <c r="M2085" s="21">
        <f t="shared" si="16"/>
        <v>1</v>
      </c>
    </row>
    <row r="2086" spans="1:13" x14ac:dyDescent="0.2">
      <c r="A2086" t="s">
        <v>30</v>
      </c>
      <c r="B2086" t="str">
        <f>VLOOKUP(A2086,MasterTutor!A:E,4,FALSE)</f>
        <v>Distinguished</v>
      </c>
      <c r="C2086" t="str">
        <f>VLOOKUP(A2086,MasterTutor!A:E,3,FALSE)</f>
        <v>Professional</v>
      </c>
      <c r="D2086" t="str">
        <f>VLOOKUP(A2086,MasterTutor!A:E,2,FALSE)</f>
        <v>Ian Plamondon</v>
      </c>
      <c r="E2086" t="s">
        <v>212</v>
      </c>
      <c r="F2086" s="22">
        <v>0.66469999999999996</v>
      </c>
      <c r="G2086" s="22">
        <v>1.7071999999999901</v>
      </c>
      <c r="H2086" s="22">
        <v>0.98684210526315697</v>
      </c>
      <c r="I2086" s="22">
        <v>1</v>
      </c>
      <c r="J2086" s="22">
        <v>0.9375</v>
      </c>
      <c r="K2086">
        <v>3</v>
      </c>
      <c r="L2086" s="19" t="s">
        <v>226</v>
      </c>
      <c r="M2086" s="21">
        <f t="shared" si="16"/>
        <v>0.75</v>
      </c>
    </row>
    <row r="2087" spans="1:13" x14ac:dyDescent="0.2">
      <c r="A2087" t="s">
        <v>31</v>
      </c>
      <c r="B2087" t="str">
        <f>VLOOKUP(A2087,MasterTutor!A:E,4,FALSE)</f>
        <v>Premium</v>
      </c>
      <c r="C2087" t="str">
        <f>VLOOKUP(A2087,MasterTutor!A:E,3,FALSE)</f>
        <v>Adjunct</v>
      </c>
      <c r="D2087" t="str">
        <f>VLOOKUP(A2087,MasterTutor!A:E,2,FALSE)</f>
        <v>Kristin Haase-Alvey</v>
      </c>
      <c r="E2087" t="s">
        <v>212</v>
      </c>
      <c r="F2087" s="22">
        <v>0.69379999999999997</v>
      </c>
      <c r="G2087" s="22">
        <v>0.97399999999999998</v>
      </c>
      <c r="H2087" s="22">
        <v>1</v>
      </c>
      <c r="I2087" s="22">
        <v>1</v>
      </c>
      <c r="J2087" s="22">
        <v>0.8</v>
      </c>
      <c r="K2087">
        <v>1</v>
      </c>
      <c r="L2087" s="19" t="s">
        <v>227</v>
      </c>
      <c r="M2087" s="21">
        <f t="shared" si="16"/>
        <v>1</v>
      </c>
    </row>
    <row r="2088" spans="1:13" x14ac:dyDescent="0.2">
      <c r="A2088" t="s">
        <v>32</v>
      </c>
      <c r="B2088" t="e">
        <f>VLOOKUP(A2088,MasterTutor!A:E,4,FALSE)</f>
        <v>#N/A</v>
      </c>
      <c r="C2088" t="e">
        <f>VLOOKUP(A2088,MasterTutor!A:E,3,FALSE)</f>
        <v>#N/A</v>
      </c>
      <c r="D2088" t="e">
        <f>VLOOKUP(A2088,MasterTutor!A:E,2,FALSE)</f>
        <v>#N/A</v>
      </c>
      <c r="E2088" t="s">
        <v>212</v>
      </c>
      <c r="F2088" s="22">
        <v>0.78749999999999998</v>
      </c>
      <c r="G2088" s="22">
        <v>0.89139999999999997</v>
      </c>
      <c r="H2088" s="22">
        <v>0.98412698412698396</v>
      </c>
      <c r="I2088" s="22">
        <v>0.835443037974683</v>
      </c>
      <c r="J2088" s="22">
        <v>0.33333333333333298</v>
      </c>
      <c r="K2088">
        <v>12</v>
      </c>
      <c r="L2088" s="19" t="s">
        <v>228</v>
      </c>
      <c r="M2088" s="21">
        <f t="shared" si="16"/>
        <v>0</v>
      </c>
    </row>
    <row r="2089" spans="1:13" x14ac:dyDescent="0.2">
      <c r="A2089" t="s">
        <v>33</v>
      </c>
      <c r="B2089" t="str">
        <f>VLOOKUP(A2089,MasterTutor!A:E,4,FALSE)</f>
        <v>Premium</v>
      </c>
      <c r="C2089" t="str">
        <f>VLOOKUP(A2089,MasterTutor!A:E,3,FALSE)</f>
        <v>Professional</v>
      </c>
      <c r="D2089" t="str">
        <f>VLOOKUP(A2089,MasterTutor!A:E,2,FALSE)</f>
        <v>Geoff St. Marie</v>
      </c>
      <c r="E2089" t="s">
        <v>212</v>
      </c>
      <c r="F2089" s="22">
        <v>1.1195999999999999</v>
      </c>
      <c r="G2089" s="22">
        <v>1.516</v>
      </c>
      <c r="H2089" s="22">
        <v>0.91666666666666596</v>
      </c>
      <c r="I2089" s="22">
        <v>0.96551724137931005</v>
      </c>
      <c r="J2089" s="22">
        <v>0.875</v>
      </c>
      <c r="K2089">
        <v>7</v>
      </c>
      <c r="L2089" s="19" t="s">
        <v>229</v>
      </c>
      <c r="M2089" s="21">
        <f t="shared" si="16"/>
        <v>0.6</v>
      </c>
    </row>
    <row r="2090" spans="1:13" x14ac:dyDescent="0.2">
      <c r="A2090" t="s">
        <v>35</v>
      </c>
      <c r="B2090" t="str">
        <f>VLOOKUP(A2090,MasterTutor!A:E,4,FALSE)</f>
        <v>Advanced</v>
      </c>
      <c r="C2090" t="str">
        <f>VLOOKUP(A2090,MasterTutor!A:E,3,FALSE)</f>
        <v>Adjunct</v>
      </c>
      <c r="D2090" t="str">
        <f>VLOOKUP(A2090,MasterTutor!A:E,2,FALSE)</f>
        <v>Annelies de Groot</v>
      </c>
      <c r="E2090" t="s">
        <v>212</v>
      </c>
      <c r="F2090" s="22">
        <v>1.3697999999999999</v>
      </c>
      <c r="G2090" s="22">
        <v>1.8280999999999901</v>
      </c>
      <c r="H2090" s="22">
        <v>0.91935483870967705</v>
      </c>
      <c r="I2090" s="22">
        <v>1</v>
      </c>
      <c r="J2090" s="22">
        <v>0.5</v>
      </c>
      <c r="K2090">
        <v>5</v>
      </c>
      <c r="L2090" s="19" t="s">
        <v>230</v>
      </c>
      <c r="M2090" s="21">
        <f t="shared" si="16"/>
        <v>0.5</v>
      </c>
    </row>
    <row r="2091" spans="1:13" x14ac:dyDescent="0.2">
      <c r="A2091" t="s">
        <v>36</v>
      </c>
      <c r="B2091" t="str">
        <f>VLOOKUP(A2091,MasterTutor!A:E,4,FALSE)</f>
        <v>Premium</v>
      </c>
      <c r="C2091" t="str">
        <f>VLOOKUP(A2091,MasterTutor!A:E,3,FALSE)</f>
        <v>Professional</v>
      </c>
      <c r="D2091" t="str">
        <f>VLOOKUP(A2091,MasterTutor!A:E,2,FALSE)</f>
        <v>Jessica Milner</v>
      </c>
      <c r="E2091" t="s">
        <v>212</v>
      </c>
      <c r="F2091" s="22">
        <v>0.58129999999999904</v>
      </c>
      <c r="G2091" s="22">
        <v>1.0591999999999999</v>
      </c>
      <c r="H2091" s="22">
        <v>1</v>
      </c>
      <c r="I2091" s="22">
        <v>1</v>
      </c>
      <c r="J2091" s="22">
        <v>1</v>
      </c>
      <c r="K2091">
        <v>2</v>
      </c>
      <c r="L2091" s="19" t="s">
        <v>227</v>
      </c>
      <c r="M2091" s="21">
        <f t="shared" si="16"/>
        <v>1</v>
      </c>
    </row>
    <row r="2092" spans="1:13" x14ac:dyDescent="0.2">
      <c r="A2092" t="s">
        <v>231</v>
      </c>
      <c r="B2092" t="str">
        <f>VLOOKUP(A2092,MasterTutor!A:E,4,FALSE)</f>
        <v>Advanced</v>
      </c>
      <c r="C2092" t="str">
        <f>VLOOKUP(A2092,MasterTutor!A:E,3,FALSE)</f>
        <v>Professional</v>
      </c>
      <c r="D2092" t="str">
        <f>VLOOKUP(A2092,MasterTutor!A:E,2,FALSE)</f>
        <v>Annelies de Groot</v>
      </c>
      <c r="E2092" t="s">
        <v>212</v>
      </c>
      <c r="F2092" s="22">
        <v>0.97499999999999998</v>
      </c>
      <c r="G2092" s="22">
        <v>1.0290999999999999</v>
      </c>
      <c r="H2092" s="22">
        <v>1</v>
      </c>
      <c r="I2092" s="22">
        <v>1</v>
      </c>
      <c r="J2092" s="22">
        <v>0.41666666666666602</v>
      </c>
      <c r="K2092">
        <v>13</v>
      </c>
      <c r="L2092" s="19" t="s">
        <v>232</v>
      </c>
      <c r="M2092" s="21">
        <f t="shared" si="16"/>
        <v>0.7142857142857143</v>
      </c>
    </row>
    <row r="2093" spans="1:13" x14ac:dyDescent="0.2">
      <c r="A2093" t="s">
        <v>233</v>
      </c>
      <c r="B2093" t="str">
        <f>VLOOKUP(A2093,MasterTutor!A:E,4,FALSE)</f>
        <v>Advanced</v>
      </c>
      <c r="C2093" t="str">
        <f>VLOOKUP(A2093,MasterTutor!A:E,3,FALSE)</f>
        <v>Professional</v>
      </c>
      <c r="D2093" t="str">
        <f>VLOOKUP(A2093,MasterTutor!A:E,2,FALSE)</f>
        <v>Annelies de Groot</v>
      </c>
      <c r="E2093" t="s">
        <v>212</v>
      </c>
      <c r="F2093" s="22">
        <v>0.105599999999999</v>
      </c>
      <c r="G2093" s="22">
        <v>0.96709999999999996</v>
      </c>
      <c r="H2093" s="22">
        <v>1</v>
      </c>
      <c r="I2093" s="22">
        <v>1</v>
      </c>
      <c r="J2093" s="22">
        <v>0</v>
      </c>
      <c r="K2093">
        <v>0</v>
      </c>
      <c r="L2093" s="19" t="s">
        <v>229</v>
      </c>
      <c r="M2093" s="21">
        <f t="shared" si="16"/>
        <v>0.6</v>
      </c>
    </row>
    <row r="2094" spans="1:13" x14ac:dyDescent="0.2">
      <c r="A2094" t="s">
        <v>38</v>
      </c>
      <c r="B2094" t="str">
        <f>VLOOKUP(A2094,MasterTutor!A:E,4,FALSE)</f>
        <v>Advanced</v>
      </c>
      <c r="C2094" t="str">
        <f>VLOOKUP(A2094,MasterTutor!A:E,3,FALSE)</f>
        <v>Adjunct</v>
      </c>
      <c r="D2094" t="str">
        <f>VLOOKUP(A2094,MasterTutor!A:E,2,FALSE)</f>
        <v>Annelies de Groot</v>
      </c>
      <c r="E2094" t="s">
        <v>212</v>
      </c>
      <c r="F2094" s="22">
        <v>1.1562999999999899</v>
      </c>
      <c r="G2094" s="22">
        <v>1.1445000000000001</v>
      </c>
      <c r="H2094" s="22">
        <v>1</v>
      </c>
      <c r="I2094" s="22">
        <v>1</v>
      </c>
      <c r="J2094" s="22">
        <v>0.69230769230769196</v>
      </c>
      <c r="K2094">
        <v>7</v>
      </c>
      <c r="L2094" s="19" t="s">
        <v>229</v>
      </c>
      <c r="M2094" s="21">
        <f t="shared" si="16"/>
        <v>0.6</v>
      </c>
    </row>
    <row r="2095" spans="1:13" x14ac:dyDescent="0.2">
      <c r="A2095" t="s">
        <v>39</v>
      </c>
      <c r="B2095" t="str">
        <f>VLOOKUP(A2095,MasterTutor!A:E,4,FALSE)</f>
        <v>Premium</v>
      </c>
      <c r="C2095" t="str">
        <f>VLOOKUP(A2095,MasterTutor!A:E,3,FALSE)</f>
        <v>Adjunct</v>
      </c>
      <c r="D2095" t="str">
        <f>VLOOKUP(A2095,MasterTutor!A:E,2,FALSE)</f>
        <v>Jessica Milner</v>
      </c>
      <c r="E2095" t="s">
        <v>212</v>
      </c>
      <c r="F2095" s="22">
        <v>0.8125</v>
      </c>
      <c r="G2095" s="22">
        <v>1.2147999999999901</v>
      </c>
      <c r="H2095" s="22">
        <v>0.97222222222222199</v>
      </c>
      <c r="I2095" s="22">
        <v>1</v>
      </c>
      <c r="J2095" s="22">
        <v>1</v>
      </c>
      <c r="K2095">
        <v>0</v>
      </c>
      <c r="L2095" s="19" t="s">
        <v>234</v>
      </c>
      <c r="M2095" s="21">
        <f t="shared" si="16"/>
        <v>1</v>
      </c>
    </row>
    <row r="2096" spans="1:13" x14ac:dyDescent="0.2">
      <c r="A2096" t="s">
        <v>40</v>
      </c>
      <c r="B2096" t="str">
        <f>VLOOKUP(A2096,MasterTutor!A:E,4,FALSE)</f>
        <v>Advanced</v>
      </c>
      <c r="C2096" t="str">
        <f>VLOOKUP(A2096,MasterTutor!A:E,3,FALSE)</f>
        <v>Professional</v>
      </c>
      <c r="D2096" t="str">
        <f>VLOOKUP(A2096,MasterTutor!A:E,2,FALSE)</f>
        <v>Annelies de Groot</v>
      </c>
      <c r="E2096" t="s">
        <v>212</v>
      </c>
      <c r="F2096" s="22">
        <v>1.3416999999999999</v>
      </c>
      <c r="G2096" s="22">
        <v>1.1102000000000001</v>
      </c>
      <c r="H2096" s="22">
        <v>1</v>
      </c>
      <c r="I2096" s="22">
        <v>0.98979591836734604</v>
      </c>
      <c r="J2096" s="22">
        <v>0.81578947368420995</v>
      </c>
      <c r="K2096">
        <v>22</v>
      </c>
      <c r="L2096" s="19" t="s">
        <v>610</v>
      </c>
      <c r="M2096" s="21" t="e">
        <f t="shared" si="16"/>
        <v>#DIV/0!</v>
      </c>
    </row>
    <row r="2097" spans="1:13" x14ac:dyDescent="0.2">
      <c r="A2097" t="s">
        <v>41</v>
      </c>
      <c r="B2097" t="str">
        <f>VLOOKUP(A2097,MasterTutor!A:E,4,FALSE)</f>
        <v>Premium</v>
      </c>
      <c r="C2097" t="str">
        <f>VLOOKUP(A2097,MasterTutor!A:E,3,FALSE)</f>
        <v>Professional</v>
      </c>
      <c r="D2097" t="str">
        <f>VLOOKUP(A2097,MasterTutor!A:E,2,FALSE)</f>
        <v>Jessica Milner</v>
      </c>
      <c r="E2097" t="s">
        <v>212</v>
      </c>
      <c r="F2097" s="22">
        <v>0.75</v>
      </c>
      <c r="G2097" s="22">
        <v>0.97370000000000001</v>
      </c>
      <c r="H2097" s="22">
        <v>0.98765432098765404</v>
      </c>
      <c r="I2097" s="22">
        <v>0.80851063829787195</v>
      </c>
      <c r="J2097" s="22">
        <v>0.86666666666666603</v>
      </c>
      <c r="K2097">
        <v>3</v>
      </c>
      <c r="L2097" s="19" t="s">
        <v>234</v>
      </c>
      <c r="M2097" s="21">
        <f t="shared" si="16"/>
        <v>1</v>
      </c>
    </row>
    <row r="2098" spans="1:13" x14ac:dyDescent="0.2">
      <c r="A2098" t="s">
        <v>42</v>
      </c>
      <c r="B2098" t="str">
        <f>VLOOKUP(A2098,MasterTutor!A:E,4,FALSE)</f>
        <v>Premium</v>
      </c>
      <c r="C2098" t="str">
        <f>VLOOKUP(A2098,MasterTutor!A:E,3,FALSE)</f>
        <v>Adjunct</v>
      </c>
      <c r="D2098" t="str">
        <f>VLOOKUP(A2098,MasterTutor!A:E,2,FALSE)</f>
        <v>Ela Cross</v>
      </c>
      <c r="E2098" t="s">
        <v>212</v>
      </c>
      <c r="F2098" s="22">
        <v>6.25E-2</v>
      </c>
      <c r="G2098" s="22">
        <v>1.0429999999999999</v>
      </c>
      <c r="H2098" s="22">
        <v>1</v>
      </c>
      <c r="I2098" s="22">
        <v>1</v>
      </c>
      <c r="J2098" s="22">
        <v>1</v>
      </c>
      <c r="K2098">
        <v>0</v>
      </c>
      <c r="L2098" s="19" t="s">
        <v>215</v>
      </c>
      <c r="M2098" s="21">
        <f t="shared" si="16"/>
        <v>1</v>
      </c>
    </row>
    <row r="2099" spans="1:13" x14ac:dyDescent="0.2">
      <c r="A2099" t="s">
        <v>235</v>
      </c>
      <c r="B2099" t="str">
        <f>VLOOKUP(A2099,MasterTutor!A:E,4,FALSE)</f>
        <v>Advanced</v>
      </c>
      <c r="C2099" t="str">
        <f>VLOOKUP(A2099,MasterTutor!A:E,3,FALSE)</f>
        <v>Adjunct- BUC</v>
      </c>
      <c r="D2099" t="str">
        <f>VLOOKUP(A2099,MasterTutor!A:E,2,FALSE)</f>
        <v>Geoff St. Marie</v>
      </c>
      <c r="E2099" t="s">
        <v>212</v>
      </c>
      <c r="F2099" s="22">
        <v>0</v>
      </c>
      <c r="G2099" s="22">
        <v>0.44790000000000002</v>
      </c>
      <c r="H2099" s="22">
        <v>0</v>
      </c>
      <c r="I2099" s="22">
        <v>0</v>
      </c>
      <c r="J2099" s="22">
        <v>0</v>
      </c>
      <c r="K2099">
        <v>0</v>
      </c>
      <c r="L2099" s="19" t="s">
        <v>610</v>
      </c>
      <c r="M2099" s="21" t="e">
        <f t="shared" si="16"/>
        <v>#DIV/0!</v>
      </c>
    </row>
    <row r="2100" spans="1:13" x14ac:dyDescent="0.2">
      <c r="A2100" t="s">
        <v>45</v>
      </c>
      <c r="B2100" t="str">
        <f>VLOOKUP(A2100,MasterTutor!A:E,4,FALSE)</f>
        <v>Distinguished</v>
      </c>
      <c r="C2100" t="str">
        <f>VLOOKUP(A2100,MasterTutor!A:E,3,FALSE)</f>
        <v>Adjunct</v>
      </c>
      <c r="D2100" t="str">
        <f>VLOOKUP(A2100,MasterTutor!A:E,2,FALSE)</f>
        <v>Kristin Haase-Alvey</v>
      </c>
      <c r="E2100" t="s">
        <v>212</v>
      </c>
      <c r="F2100" s="22">
        <v>0.9375</v>
      </c>
      <c r="G2100" s="22">
        <v>1.3476999999999999</v>
      </c>
      <c r="H2100" s="22">
        <v>1</v>
      </c>
      <c r="I2100" s="22">
        <v>1</v>
      </c>
      <c r="J2100" s="22">
        <v>0.8</v>
      </c>
      <c r="K2100">
        <v>0</v>
      </c>
      <c r="L2100" s="19" t="s">
        <v>215</v>
      </c>
      <c r="M2100" s="21">
        <f t="shared" si="16"/>
        <v>1</v>
      </c>
    </row>
    <row r="2101" spans="1:13" x14ac:dyDescent="0.2">
      <c r="A2101" t="s">
        <v>46</v>
      </c>
      <c r="B2101" t="str">
        <f>VLOOKUP(A2101,MasterTutor!A:E,4,FALSE)</f>
        <v>Distinguished</v>
      </c>
      <c r="C2101" t="str">
        <f>VLOOKUP(A2101,MasterTutor!A:E,3,FALSE)</f>
        <v>Professional</v>
      </c>
      <c r="D2101" t="str">
        <f>VLOOKUP(A2101,MasterTutor!A:E,2,FALSE)</f>
        <v>Ian Plamondon</v>
      </c>
      <c r="E2101" t="s">
        <v>212</v>
      </c>
      <c r="F2101" s="22">
        <v>0.80830000000000002</v>
      </c>
      <c r="G2101" s="22">
        <v>1.1644999999999901</v>
      </c>
      <c r="H2101" s="22">
        <v>0.98969072164948402</v>
      </c>
      <c r="I2101" s="22">
        <v>1</v>
      </c>
      <c r="J2101" s="22">
        <v>0.875</v>
      </c>
      <c r="K2101">
        <v>0</v>
      </c>
      <c r="L2101" s="19" t="s">
        <v>215</v>
      </c>
      <c r="M2101" s="21">
        <f t="shared" si="16"/>
        <v>1</v>
      </c>
    </row>
    <row r="2102" spans="1:13" x14ac:dyDescent="0.2">
      <c r="A2102" t="s">
        <v>236</v>
      </c>
      <c r="B2102" t="str">
        <f>VLOOKUP(A2102,MasterTutor!A:E,4,FALSE)</f>
        <v>Advanced</v>
      </c>
      <c r="C2102" t="str">
        <f>VLOOKUP(A2102,MasterTutor!A:E,3,FALSE)</f>
        <v xml:space="preserve">Professional </v>
      </c>
      <c r="D2102" t="str">
        <f>VLOOKUP(A2102,MasterTutor!A:E,2,FALSE)</f>
        <v>Kristin Haase-Alvey</v>
      </c>
      <c r="E2102" t="s">
        <v>212</v>
      </c>
      <c r="F2102" s="22">
        <v>1.05</v>
      </c>
      <c r="G2102" s="22">
        <v>1.0082</v>
      </c>
      <c r="H2102" s="22">
        <v>0.984615384615384</v>
      </c>
      <c r="I2102" s="22">
        <v>0.96250000000000002</v>
      </c>
      <c r="J2102" s="22">
        <v>0.72222222222222199</v>
      </c>
      <c r="K2102">
        <v>12</v>
      </c>
      <c r="L2102" s="19" t="s">
        <v>237</v>
      </c>
      <c r="M2102" s="21">
        <f t="shared" si="16"/>
        <v>0.5</v>
      </c>
    </row>
    <row r="2103" spans="1:13" x14ac:dyDescent="0.2">
      <c r="A2103" t="s">
        <v>238</v>
      </c>
      <c r="B2103" t="str">
        <f>VLOOKUP(A2103,MasterTutor!A:E,4,FALSE)</f>
        <v>Advanced</v>
      </c>
      <c r="C2103" t="str">
        <f>VLOOKUP(A2103,MasterTutor!A:E,3,FALSE)</f>
        <v>Professional</v>
      </c>
      <c r="D2103" t="str">
        <f>VLOOKUP(A2103,MasterTutor!A:E,2,FALSE)</f>
        <v>Ela Cross</v>
      </c>
      <c r="E2103" t="s">
        <v>212</v>
      </c>
      <c r="F2103" s="22">
        <v>0.9536</v>
      </c>
      <c r="G2103" s="22">
        <v>1.0828</v>
      </c>
      <c r="H2103" s="22">
        <v>0.98192771084337305</v>
      </c>
      <c r="I2103" s="22">
        <v>1</v>
      </c>
      <c r="J2103" s="22">
        <v>0.92</v>
      </c>
      <c r="K2103">
        <v>16</v>
      </c>
      <c r="L2103" s="19" t="s">
        <v>232</v>
      </c>
      <c r="M2103" s="21">
        <f t="shared" si="16"/>
        <v>0.7142857142857143</v>
      </c>
    </row>
    <row r="2104" spans="1:13" x14ac:dyDescent="0.2">
      <c r="A2104" t="s">
        <v>239</v>
      </c>
      <c r="B2104" t="str">
        <f>VLOOKUP(A2104,MasterTutor!A:E,4,FALSE)</f>
        <v>Advanced</v>
      </c>
      <c r="C2104" t="str">
        <f>VLOOKUP(A2104,MasterTutor!A:E,3,FALSE)</f>
        <v>Professional</v>
      </c>
      <c r="D2104" t="str">
        <f>VLOOKUP(A2104,MasterTutor!A:E,2,FALSE)</f>
        <v>Ela Cross</v>
      </c>
      <c r="E2104" t="s">
        <v>212</v>
      </c>
      <c r="F2104" s="22">
        <v>0.92079999999999995</v>
      </c>
      <c r="G2104" s="22">
        <v>1.1298999999999999</v>
      </c>
      <c r="H2104" s="22">
        <v>1</v>
      </c>
      <c r="I2104" s="22">
        <v>0.96250000000000002</v>
      </c>
      <c r="J2104" s="22">
        <v>0.77777777777777701</v>
      </c>
      <c r="K2104">
        <v>14</v>
      </c>
      <c r="L2104" s="19" t="s">
        <v>240</v>
      </c>
      <c r="M2104" s="21">
        <f t="shared" si="16"/>
        <v>0.8</v>
      </c>
    </row>
    <row r="2105" spans="1:13" x14ac:dyDescent="0.2">
      <c r="A2105" t="s">
        <v>48</v>
      </c>
      <c r="B2105" t="str">
        <f>VLOOKUP(A2105,MasterTutor!A:E,4,FALSE)</f>
        <v>Advanced</v>
      </c>
      <c r="C2105" t="str">
        <f>VLOOKUP(A2105,MasterTutor!A:E,3,FALSE)</f>
        <v>Professional</v>
      </c>
      <c r="D2105" t="str">
        <f>VLOOKUP(A2105,MasterTutor!A:E,2,FALSE)</f>
        <v>Annelies de Groot</v>
      </c>
      <c r="E2105" t="s">
        <v>212</v>
      </c>
      <c r="F2105" s="22">
        <v>0.97499999999999998</v>
      </c>
      <c r="G2105" s="22">
        <v>0.9375</v>
      </c>
      <c r="H2105" s="22">
        <v>1</v>
      </c>
      <c r="I2105" s="22">
        <v>1</v>
      </c>
      <c r="J2105" s="22">
        <v>0.60714285714285698</v>
      </c>
      <c r="K2105">
        <v>11</v>
      </c>
      <c r="L2105" s="19" t="s">
        <v>241</v>
      </c>
      <c r="M2105" s="21">
        <f t="shared" si="16"/>
        <v>0.66666666666666663</v>
      </c>
    </row>
    <row r="2106" spans="1:13" x14ac:dyDescent="0.2">
      <c r="A2106" t="s">
        <v>49</v>
      </c>
      <c r="B2106" t="str">
        <f>VLOOKUP(A2106,MasterTutor!A:E,4,FALSE)</f>
        <v>Advanced</v>
      </c>
      <c r="C2106" t="str">
        <f>VLOOKUP(A2106,MasterTutor!A:E,3,FALSE)</f>
        <v>Professional</v>
      </c>
      <c r="D2106" t="str">
        <f>VLOOKUP(A2106,MasterTutor!A:E,2,FALSE)</f>
        <v>Ian Plamondon</v>
      </c>
      <c r="E2106" t="s">
        <v>212</v>
      </c>
      <c r="F2106" s="22">
        <v>0.75</v>
      </c>
      <c r="G2106" s="22">
        <v>0.99009999999999998</v>
      </c>
      <c r="H2106" s="22">
        <v>0.94318181818181801</v>
      </c>
      <c r="I2106" s="22">
        <v>0.45614035087719201</v>
      </c>
      <c r="J2106" s="22">
        <v>0.76923076923076905</v>
      </c>
      <c r="K2106">
        <v>10</v>
      </c>
      <c r="L2106" s="19" t="s">
        <v>242</v>
      </c>
      <c r="M2106" s="21">
        <f t="shared" si="16"/>
        <v>0.4</v>
      </c>
    </row>
    <row r="2107" spans="1:13" x14ac:dyDescent="0.2">
      <c r="A2107" t="s">
        <v>50</v>
      </c>
      <c r="B2107" t="str">
        <f>VLOOKUP(A2107,MasterTutor!A:E,4,FALSE)</f>
        <v>Premium</v>
      </c>
      <c r="C2107" t="str">
        <f>VLOOKUP(A2107,MasterTutor!A:E,3,FALSE)</f>
        <v>Adjunct</v>
      </c>
      <c r="D2107" t="str">
        <f>VLOOKUP(A2107,MasterTutor!A:E,2,FALSE)</f>
        <v>Kristin Haase-Alvey</v>
      </c>
      <c r="E2107" t="s">
        <v>212</v>
      </c>
      <c r="F2107" s="22">
        <v>0</v>
      </c>
      <c r="G2107" s="22">
        <v>0</v>
      </c>
      <c r="H2107" s="22">
        <v>0</v>
      </c>
      <c r="I2107" s="22">
        <v>0</v>
      </c>
      <c r="J2107" s="22">
        <v>0</v>
      </c>
      <c r="K2107">
        <v>0</v>
      </c>
      <c r="L2107" s="19" t="s">
        <v>610</v>
      </c>
      <c r="M2107" s="21" t="e">
        <f t="shared" si="16"/>
        <v>#DIV/0!</v>
      </c>
    </row>
    <row r="2108" spans="1:13" x14ac:dyDescent="0.2">
      <c r="A2108" t="s">
        <v>51</v>
      </c>
      <c r="B2108" t="str">
        <f>VLOOKUP(A2108,MasterTutor!A:E,4,FALSE)</f>
        <v>Premium</v>
      </c>
      <c r="C2108" t="str">
        <f>VLOOKUP(A2108,MasterTutor!A:E,3,FALSE)</f>
        <v>Adjunct</v>
      </c>
      <c r="D2108" t="str">
        <f>VLOOKUP(A2108,MasterTutor!A:E,2,FALSE)</f>
        <v>Annelies de Groot</v>
      </c>
      <c r="E2108" t="s">
        <v>212</v>
      </c>
      <c r="F2108" s="22">
        <v>0.61979999999999902</v>
      </c>
      <c r="G2108" s="22">
        <v>1.026</v>
      </c>
      <c r="H2108" s="22">
        <v>0.95555555555555505</v>
      </c>
      <c r="I2108" s="22">
        <v>1</v>
      </c>
      <c r="J2108" s="22">
        <v>1</v>
      </c>
      <c r="K2108">
        <v>3</v>
      </c>
      <c r="L2108" s="19" t="s">
        <v>243</v>
      </c>
      <c r="M2108" s="21">
        <f t="shared" si="16"/>
        <v>0.33333333333333331</v>
      </c>
    </row>
    <row r="2109" spans="1:13" x14ac:dyDescent="0.2">
      <c r="A2109" t="s">
        <v>52</v>
      </c>
      <c r="B2109" t="str">
        <f>VLOOKUP(A2109,MasterTutor!A:E,4,FALSE)</f>
        <v>Premium</v>
      </c>
      <c r="C2109" t="str">
        <f>VLOOKUP(A2109,MasterTutor!A:E,3,FALSE)</f>
        <v>Professional</v>
      </c>
      <c r="D2109" t="str">
        <f>VLOOKUP(A2109,MasterTutor!A:E,2,FALSE)</f>
        <v>Jessica Milner</v>
      </c>
      <c r="E2109" t="s">
        <v>212</v>
      </c>
      <c r="F2109" s="22">
        <v>1.1333</v>
      </c>
      <c r="G2109" s="22">
        <v>1.3240000000000001</v>
      </c>
      <c r="H2109" s="22">
        <v>0.98360655737704905</v>
      </c>
      <c r="I2109" s="22">
        <v>1</v>
      </c>
      <c r="J2109" s="22">
        <v>0.88888888888888795</v>
      </c>
      <c r="K2109">
        <v>2</v>
      </c>
      <c r="L2109" s="19" t="s">
        <v>227</v>
      </c>
      <c r="M2109" s="21">
        <f t="shared" si="16"/>
        <v>1</v>
      </c>
    </row>
    <row r="2110" spans="1:13" x14ac:dyDescent="0.2">
      <c r="A2110" t="s">
        <v>53</v>
      </c>
      <c r="B2110" t="str">
        <f>VLOOKUP(A2110,MasterTutor!A:E,4,FALSE)</f>
        <v>Advanced</v>
      </c>
      <c r="C2110" t="str">
        <f>VLOOKUP(A2110,MasterTutor!A:E,3,FALSE)</f>
        <v>Professional</v>
      </c>
      <c r="D2110" t="str">
        <f>VLOOKUP(A2110,MasterTutor!A:E,2,FALSE)</f>
        <v>Kristin Haase-Alvey</v>
      </c>
      <c r="E2110" t="s">
        <v>212</v>
      </c>
      <c r="F2110" s="22">
        <v>1.0083</v>
      </c>
      <c r="G2110" s="22">
        <v>1.0410999999999899</v>
      </c>
      <c r="H2110" s="22">
        <v>0.93220338983050799</v>
      </c>
      <c r="I2110" s="22">
        <v>0.91764705882352904</v>
      </c>
      <c r="J2110" s="22">
        <v>0.75</v>
      </c>
      <c r="K2110">
        <v>8</v>
      </c>
      <c r="L2110" s="19" t="s">
        <v>244</v>
      </c>
      <c r="M2110" s="21">
        <f t="shared" si="16"/>
        <v>0.8</v>
      </c>
    </row>
    <row r="2111" spans="1:13" x14ac:dyDescent="0.2">
      <c r="A2111" t="s">
        <v>54</v>
      </c>
      <c r="B2111" t="str">
        <f>VLOOKUP(A2111,MasterTutor!A:E,4,FALSE)</f>
        <v>Premium</v>
      </c>
      <c r="C2111" t="str">
        <f>VLOOKUP(A2111,MasterTutor!A:E,3,FALSE)</f>
        <v>Professional</v>
      </c>
      <c r="D2111" t="str">
        <f>VLOOKUP(A2111,MasterTutor!A:E,2,FALSE)</f>
        <v>Jessica Milner</v>
      </c>
      <c r="E2111" t="s">
        <v>212</v>
      </c>
      <c r="F2111" s="22">
        <v>0.4375</v>
      </c>
      <c r="G2111" s="22">
        <v>1.0965</v>
      </c>
      <c r="H2111" s="22">
        <v>1</v>
      </c>
      <c r="I2111" s="22">
        <v>0.94285714285714195</v>
      </c>
      <c r="J2111" s="22">
        <v>0.5</v>
      </c>
      <c r="K2111">
        <v>4</v>
      </c>
      <c r="L2111" s="19" t="s">
        <v>215</v>
      </c>
      <c r="M2111" s="21">
        <f t="shared" si="16"/>
        <v>1</v>
      </c>
    </row>
    <row r="2112" spans="1:13" x14ac:dyDescent="0.2">
      <c r="A2112" t="s">
        <v>55</v>
      </c>
      <c r="B2112" t="str">
        <f>VLOOKUP(A2112,MasterTutor!A:E,4,FALSE)</f>
        <v>Premium</v>
      </c>
      <c r="C2112" t="str">
        <f>VLOOKUP(A2112,MasterTutor!A:E,3,FALSE)</f>
        <v>Adjunct</v>
      </c>
      <c r="D2112" t="str">
        <f>VLOOKUP(A2112,MasterTutor!A:E,2,FALSE)</f>
        <v>Ela Cross</v>
      </c>
      <c r="E2112" t="s">
        <v>212</v>
      </c>
      <c r="F2112" s="22">
        <v>0.83330000000000004</v>
      </c>
      <c r="G2112" s="22">
        <v>1.4804999999999999</v>
      </c>
      <c r="H2112" s="22">
        <v>0.94285714285714195</v>
      </c>
      <c r="I2112" s="22">
        <v>0.91666666666666596</v>
      </c>
      <c r="J2112" s="22">
        <v>0.4</v>
      </c>
      <c r="K2112">
        <v>1</v>
      </c>
      <c r="L2112" s="19" t="s">
        <v>610</v>
      </c>
      <c r="M2112" s="21" t="e">
        <f t="shared" si="16"/>
        <v>#DIV/0!</v>
      </c>
    </row>
    <row r="2113" spans="1:13" x14ac:dyDescent="0.2">
      <c r="A2113" t="s">
        <v>56</v>
      </c>
      <c r="B2113" t="str">
        <f>VLOOKUP(A2113,MasterTutor!A:E,4,FALSE)</f>
        <v>Advanced</v>
      </c>
      <c r="C2113" t="str">
        <f>VLOOKUP(A2113,MasterTutor!A:E,3,FALSE)</f>
        <v>Professional</v>
      </c>
      <c r="D2113" t="str">
        <f>VLOOKUP(A2113,MasterTutor!A:E,2,FALSE)</f>
        <v>Ela Cross</v>
      </c>
      <c r="E2113" t="s">
        <v>212</v>
      </c>
      <c r="F2113" s="22">
        <v>1.0042</v>
      </c>
      <c r="G2113" s="22">
        <v>1.0444</v>
      </c>
      <c r="H2113" s="22">
        <v>0.96350364963503599</v>
      </c>
      <c r="I2113" s="22">
        <v>0.86666666666666603</v>
      </c>
      <c r="J2113" s="22">
        <v>0.65217391304347805</v>
      </c>
      <c r="K2113">
        <v>17</v>
      </c>
      <c r="L2113" s="19" t="s">
        <v>244</v>
      </c>
      <c r="M2113" s="21">
        <f t="shared" si="16"/>
        <v>0.8</v>
      </c>
    </row>
    <row r="2114" spans="1:13" x14ac:dyDescent="0.2">
      <c r="A2114" t="s">
        <v>245</v>
      </c>
      <c r="B2114" t="str">
        <f>VLOOKUP(A2114,MasterTutor!A:E,4,FALSE)</f>
        <v>Advanced</v>
      </c>
      <c r="C2114" t="str">
        <f>VLOOKUP(A2114,MasterTutor!A:E,3,FALSE)</f>
        <v>Professional</v>
      </c>
      <c r="D2114" t="str">
        <f>VLOOKUP(A2114,MasterTutor!A:E,2,FALSE)</f>
        <v>Ela Cross</v>
      </c>
      <c r="E2114" t="s">
        <v>212</v>
      </c>
      <c r="F2114" s="22">
        <v>1.0207999999999999</v>
      </c>
      <c r="G2114" s="22">
        <v>1.1513</v>
      </c>
      <c r="H2114" s="22">
        <v>0.87248322147651003</v>
      </c>
      <c r="I2114" s="22">
        <v>1</v>
      </c>
      <c r="J2114" s="22">
        <v>1</v>
      </c>
      <c r="K2114">
        <v>9</v>
      </c>
      <c r="L2114" s="19" t="s">
        <v>246</v>
      </c>
      <c r="M2114" s="21">
        <f t="shared" si="16"/>
        <v>0.125</v>
      </c>
    </row>
    <row r="2115" spans="1:13" x14ac:dyDescent="0.2">
      <c r="A2115" t="s">
        <v>57</v>
      </c>
      <c r="B2115" t="str">
        <f>VLOOKUP(A2115,MasterTutor!A:E,4,FALSE)</f>
        <v>Advanced</v>
      </c>
      <c r="C2115" t="str">
        <f>VLOOKUP(A2115,MasterTutor!A:E,3,FALSE)</f>
        <v>Professional</v>
      </c>
      <c r="D2115" t="str">
        <f>VLOOKUP(A2115,MasterTutor!A:E,2,FALSE)</f>
        <v>Ian Plamondon</v>
      </c>
      <c r="E2115" t="s">
        <v>212</v>
      </c>
      <c r="F2115" s="22">
        <v>1.0042</v>
      </c>
      <c r="G2115" s="22">
        <v>1.0673999999999999</v>
      </c>
      <c r="H2115" s="22">
        <v>0.99159663865546199</v>
      </c>
      <c r="I2115" s="22">
        <v>0.98837209302325502</v>
      </c>
      <c r="J2115" s="22">
        <v>0.61111111111111105</v>
      </c>
      <c r="K2115">
        <v>9</v>
      </c>
      <c r="L2115" s="19" t="s">
        <v>247</v>
      </c>
      <c r="M2115" s="21">
        <f t="shared" si="16"/>
        <v>0.7</v>
      </c>
    </row>
    <row r="2116" spans="1:13" x14ac:dyDescent="0.2">
      <c r="A2116" t="s">
        <v>248</v>
      </c>
      <c r="B2116" t="e">
        <f>VLOOKUP(A2116,MasterTutor!A:E,4,FALSE)</f>
        <v>#N/A</v>
      </c>
      <c r="C2116" t="e">
        <f>VLOOKUP(A2116,MasterTutor!A:E,3,FALSE)</f>
        <v>#N/A</v>
      </c>
      <c r="D2116" t="e">
        <f>VLOOKUP(A2116,MasterTutor!A:E,2,FALSE)</f>
        <v>#N/A</v>
      </c>
      <c r="E2116" t="s">
        <v>212</v>
      </c>
      <c r="F2116" s="22">
        <v>0.98750000000000004</v>
      </c>
      <c r="G2116" s="22">
        <v>1</v>
      </c>
      <c r="H2116" s="22">
        <v>1</v>
      </c>
      <c r="I2116" s="22">
        <v>0.98850574712643602</v>
      </c>
      <c r="J2116" s="22">
        <v>0.5</v>
      </c>
      <c r="K2116">
        <v>7</v>
      </c>
      <c r="L2116" s="19" t="s">
        <v>223</v>
      </c>
      <c r="M2116" s="21">
        <f t="shared" si="16"/>
        <v>0.1</v>
      </c>
    </row>
    <row r="2117" spans="1:13" x14ac:dyDescent="0.2">
      <c r="A2117" t="s">
        <v>249</v>
      </c>
      <c r="B2117" t="str">
        <f>VLOOKUP(A2117,MasterTutor!A:E,4,FALSE)</f>
        <v>Advanced</v>
      </c>
      <c r="C2117" t="str">
        <f>VLOOKUP(A2117,MasterTutor!A:E,3,FALSE)</f>
        <v>Adjunct</v>
      </c>
      <c r="D2117" t="str">
        <f>VLOOKUP(A2117,MasterTutor!A:E,2,FALSE)</f>
        <v>Annelies de Groot</v>
      </c>
      <c r="E2117" t="s">
        <v>212</v>
      </c>
      <c r="F2117" s="22">
        <v>0.95629999999999904</v>
      </c>
      <c r="G2117" s="22">
        <v>0.98180000000000001</v>
      </c>
      <c r="H2117" s="22">
        <v>1</v>
      </c>
      <c r="I2117" s="22">
        <v>1</v>
      </c>
      <c r="J2117" s="22">
        <v>0.266666666666666</v>
      </c>
      <c r="K2117">
        <v>6</v>
      </c>
      <c r="L2117" s="19" t="s">
        <v>228</v>
      </c>
      <c r="M2117" s="21">
        <f t="shared" si="16"/>
        <v>0</v>
      </c>
    </row>
    <row r="2118" spans="1:13" x14ac:dyDescent="0.2">
      <c r="A2118" t="s">
        <v>250</v>
      </c>
      <c r="B2118" t="str">
        <f>VLOOKUP(A2118,MasterTutor!A:E,4,FALSE)</f>
        <v>Advanced</v>
      </c>
      <c r="C2118" t="str">
        <f>VLOOKUP(A2118,MasterTutor!A:E,3,FALSE)</f>
        <v>Professional</v>
      </c>
      <c r="D2118" t="str">
        <f>VLOOKUP(A2118,MasterTutor!A:E,2,FALSE)</f>
        <v>Annelies de Groot</v>
      </c>
      <c r="E2118" t="s">
        <v>212</v>
      </c>
      <c r="F2118" s="22">
        <v>1.0667</v>
      </c>
      <c r="G2118" s="22">
        <v>1.1759999999999999</v>
      </c>
      <c r="H2118" s="22">
        <v>1</v>
      </c>
      <c r="I2118" s="22">
        <v>0.5</v>
      </c>
      <c r="J2118" s="22">
        <v>0.11764705882352899</v>
      </c>
      <c r="K2118">
        <v>9</v>
      </c>
      <c r="L2118" s="19" t="s">
        <v>251</v>
      </c>
      <c r="M2118" s="21">
        <f t="shared" si="16"/>
        <v>0.11764705882352941</v>
      </c>
    </row>
    <row r="2119" spans="1:13" x14ac:dyDescent="0.2">
      <c r="A2119" t="s">
        <v>58</v>
      </c>
      <c r="B2119" t="str">
        <f>VLOOKUP(A2119,MasterTutor!A:E,4,FALSE)</f>
        <v>Premium</v>
      </c>
      <c r="C2119" t="str">
        <f>VLOOKUP(A2119,MasterTutor!A:E,3,FALSE)</f>
        <v>Professional</v>
      </c>
      <c r="D2119" t="str">
        <f>VLOOKUP(A2119,MasterTutor!A:E,2,FALSE)</f>
        <v>Jessica Milner</v>
      </c>
      <c r="E2119" t="s">
        <v>212</v>
      </c>
      <c r="F2119" s="22">
        <v>0.70709999999999995</v>
      </c>
      <c r="G2119" s="22">
        <v>1.46949999999999</v>
      </c>
      <c r="H2119" s="22">
        <v>0.98823529411764699</v>
      </c>
      <c r="I2119" s="22">
        <v>0.98113207547169801</v>
      </c>
      <c r="J2119" s="22">
        <v>0.72</v>
      </c>
      <c r="K2119">
        <v>3</v>
      </c>
      <c r="L2119" s="19" t="s">
        <v>244</v>
      </c>
      <c r="M2119" s="21">
        <f t="shared" si="16"/>
        <v>0.8</v>
      </c>
    </row>
    <row r="2120" spans="1:13" x14ac:dyDescent="0.2">
      <c r="A2120" t="s">
        <v>59</v>
      </c>
      <c r="B2120" t="str">
        <f>VLOOKUP(A2120,MasterTutor!A:E,4,FALSE)</f>
        <v>Distinguished</v>
      </c>
      <c r="C2120" t="str">
        <f>VLOOKUP(A2120,MasterTutor!A:E,3,FALSE)</f>
        <v>Professional</v>
      </c>
      <c r="D2120" t="str">
        <f>VLOOKUP(A2120,MasterTutor!A:E,2,FALSE)</f>
        <v>Ela Cross</v>
      </c>
      <c r="E2120" t="s">
        <v>212</v>
      </c>
      <c r="F2120" s="22">
        <v>0.53749999999999998</v>
      </c>
      <c r="G2120" s="22">
        <v>1.0164</v>
      </c>
      <c r="H2120" s="22">
        <v>1</v>
      </c>
      <c r="I2120" s="22">
        <v>0.75675675675675602</v>
      </c>
      <c r="J2120" s="22">
        <v>0.4</v>
      </c>
      <c r="K2120">
        <v>3</v>
      </c>
      <c r="L2120" s="19" t="s">
        <v>226</v>
      </c>
      <c r="M2120" s="21">
        <f t="shared" si="16"/>
        <v>0.75</v>
      </c>
    </row>
    <row r="2121" spans="1:13" x14ac:dyDescent="0.2">
      <c r="A2121" t="s">
        <v>60</v>
      </c>
      <c r="B2121" t="str">
        <f>VLOOKUP(A2121,MasterTutor!A:E,4,FALSE)</f>
        <v>Advanced</v>
      </c>
      <c r="C2121" t="str">
        <f>VLOOKUP(A2121,MasterTutor!A:E,3,FALSE)</f>
        <v>Adjunct</v>
      </c>
      <c r="D2121" t="str">
        <f>VLOOKUP(A2121,MasterTutor!A:E,2,FALSE)</f>
        <v>Kristin Haase-Alvey</v>
      </c>
      <c r="E2121" t="s">
        <v>212</v>
      </c>
      <c r="F2121" s="22">
        <v>1.3332999999999999</v>
      </c>
      <c r="G2121" s="22">
        <v>1.2030999999999901</v>
      </c>
      <c r="H2121" s="22">
        <v>0.94</v>
      </c>
      <c r="I2121" s="22">
        <v>0.82499999999999996</v>
      </c>
      <c r="J2121" s="22">
        <v>0.33333333333333298</v>
      </c>
      <c r="K2121">
        <v>2</v>
      </c>
      <c r="L2121" s="19" t="s">
        <v>219</v>
      </c>
      <c r="M2121" s="21">
        <f t="shared" si="16"/>
        <v>0</v>
      </c>
    </row>
    <row r="2122" spans="1:13" x14ac:dyDescent="0.2">
      <c r="A2122" t="s">
        <v>61</v>
      </c>
      <c r="B2122" t="str">
        <f>VLOOKUP(A2122,MasterTutor!A:E,4,FALSE)</f>
        <v>Advanced</v>
      </c>
      <c r="C2122" t="str">
        <f>VLOOKUP(A2122,MasterTutor!A:E,3,FALSE)</f>
        <v>Adjunct</v>
      </c>
      <c r="D2122" t="str">
        <f>VLOOKUP(A2122,MasterTutor!A:E,2,FALSE)</f>
        <v>Ela Cross</v>
      </c>
      <c r="E2122" t="s">
        <v>212</v>
      </c>
      <c r="F2122" s="22">
        <v>0.8125</v>
      </c>
      <c r="G2122" s="22">
        <v>1.4375</v>
      </c>
      <c r="H2122" s="22">
        <v>0.95918367346938704</v>
      </c>
      <c r="I2122" s="22">
        <v>1</v>
      </c>
      <c r="J2122" s="22">
        <v>0.91666666666666596</v>
      </c>
      <c r="K2122">
        <v>8</v>
      </c>
      <c r="L2122" s="19" t="s">
        <v>610</v>
      </c>
      <c r="M2122" s="21" t="e">
        <f t="shared" si="16"/>
        <v>#DIV/0!</v>
      </c>
    </row>
    <row r="2123" spans="1:13" x14ac:dyDescent="0.2">
      <c r="A2123" t="s">
        <v>252</v>
      </c>
      <c r="B2123" t="str">
        <f>VLOOKUP(A2123,MasterTutor!A:E,4,FALSE)</f>
        <v>Advanced</v>
      </c>
      <c r="C2123" t="str">
        <f>VLOOKUP(A2123,MasterTutor!A:E,3,FALSE)</f>
        <v>Adjunct- BUC</v>
      </c>
      <c r="D2123" t="str">
        <f>VLOOKUP(A2123,MasterTutor!A:E,2,FALSE)</f>
        <v>Geoff St. Marie</v>
      </c>
      <c r="E2123" t="s">
        <v>212</v>
      </c>
      <c r="F2123" s="22">
        <v>0</v>
      </c>
      <c r="G2123" s="22">
        <v>0.70309999999999995</v>
      </c>
      <c r="H2123" s="22">
        <v>0</v>
      </c>
      <c r="I2123" s="22">
        <v>0</v>
      </c>
      <c r="J2123" s="22">
        <v>0</v>
      </c>
      <c r="K2123">
        <v>0</v>
      </c>
      <c r="L2123" s="19" t="s">
        <v>610</v>
      </c>
      <c r="M2123" s="21" t="e">
        <f t="shared" si="16"/>
        <v>#DIV/0!</v>
      </c>
    </row>
    <row r="2124" spans="1:13" x14ac:dyDescent="0.2">
      <c r="A2124" t="s">
        <v>63</v>
      </c>
      <c r="B2124" t="str">
        <f>VLOOKUP(A2124,MasterTutor!A:E,4,FALSE)</f>
        <v>Advanced</v>
      </c>
      <c r="C2124" t="str">
        <f>VLOOKUP(A2124,MasterTutor!A:E,3,FALSE)</f>
        <v>Adjunct</v>
      </c>
      <c r="D2124" t="str">
        <f>VLOOKUP(A2124,MasterTutor!A:E,2,FALSE)</f>
        <v>Kristin Haase-Alvey</v>
      </c>
      <c r="E2124" t="s">
        <v>212</v>
      </c>
      <c r="F2124" s="22">
        <v>0.86460000000000004</v>
      </c>
      <c r="G2124" s="22">
        <v>1.1953</v>
      </c>
      <c r="H2124" s="22">
        <v>0.96153846153846101</v>
      </c>
      <c r="I2124" s="22">
        <v>0.9</v>
      </c>
      <c r="J2124" s="22">
        <v>0.72727272727272696</v>
      </c>
      <c r="K2124">
        <v>8</v>
      </c>
      <c r="L2124" s="19" t="s">
        <v>610</v>
      </c>
      <c r="M2124" s="21" t="e">
        <f t="shared" si="16"/>
        <v>#DIV/0!</v>
      </c>
    </row>
    <row r="2125" spans="1:13" x14ac:dyDescent="0.2">
      <c r="A2125" t="s">
        <v>64</v>
      </c>
      <c r="B2125" t="str">
        <f>VLOOKUP(A2125,MasterTutor!A:E,4,FALSE)</f>
        <v>Distinguished</v>
      </c>
      <c r="C2125" t="str">
        <f>VLOOKUP(A2125,MasterTutor!A:E,3,FALSE)</f>
        <v>Professional</v>
      </c>
      <c r="D2125" t="str">
        <f>VLOOKUP(A2125,MasterTutor!A:E,2,FALSE)</f>
        <v>Ian Plamondon</v>
      </c>
      <c r="E2125" t="s">
        <v>212</v>
      </c>
      <c r="F2125" s="22">
        <v>0.62859999999999905</v>
      </c>
      <c r="G2125" s="22">
        <v>1.1991000000000001</v>
      </c>
      <c r="H2125" s="22">
        <v>0.987341772151898</v>
      </c>
      <c r="I2125" s="22">
        <v>1</v>
      </c>
      <c r="J2125" s="22">
        <v>1</v>
      </c>
      <c r="K2125">
        <v>2</v>
      </c>
      <c r="L2125" s="19" t="s">
        <v>253</v>
      </c>
      <c r="M2125" s="21">
        <f t="shared" si="16"/>
        <v>1</v>
      </c>
    </row>
    <row r="2126" spans="1:13" x14ac:dyDescent="0.2">
      <c r="A2126" t="s">
        <v>65</v>
      </c>
      <c r="B2126" t="str">
        <f>VLOOKUP(A2126,MasterTutor!A:E,4,FALSE)</f>
        <v>Premium</v>
      </c>
      <c r="C2126" t="str">
        <f>VLOOKUP(A2126,MasterTutor!A:E,3,FALSE)</f>
        <v>Professional</v>
      </c>
      <c r="D2126" t="str">
        <f>VLOOKUP(A2126,MasterTutor!A:E,2,FALSE)</f>
        <v>Ian Plamondon</v>
      </c>
      <c r="E2126" t="s">
        <v>212</v>
      </c>
      <c r="F2126" s="22">
        <v>0</v>
      </c>
      <c r="G2126" s="22">
        <v>2.63E-2</v>
      </c>
      <c r="H2126" s="22">
        <v>0</v>
      </c>
      <c r="I2126" s="22">
        <v>0</v>
      </c>
      <c r="J2126" s="22">
        <v>0</v>
      </c>
      <c r="K2126">
        <v>0</v>
      </c>
      <c r="L2126" s="19" t="s">
        <v>610</v>
      </c>
      <c r="M2126" s="21" t="e">
        <f t="shared" si="16"/>
        <v>#DIV/0!</v>
      </c>
    </row>
    <row r="2127" spans="1:13" x14ac:dyDescent="0.2">
      <c r="A2127" t="s">
        <v>254</v>
      </c>
      <c r="B2127" t="str">
        <f>VLOOKUP(A2127,MasterTutor!A:E,4,FALSE)</f>
        <v>Advanced</v>
      </c>
      <c r="C2127" t="str">
        <f>VLOOKUP(A2127,MasterTutor!A:E,3,FALSE)</f>
        <v>Professional</v>
      </c>
      <c r="D2127" t="str">
        <f>VLOOKUP(A2127,MasterTutor!A:E,2,FALSE)</f>
        <v>Annelies de Groot</v>
      </c>
      <c r="E2127" t="s">
        <v>212</v>
      </c>
      <c r="F2127" s="22">
        <v>0.99109999999999998</v>
      </c>
      <c r="G2127" s="22">
        <v>0.96509999999999996</v>
      </c>
      <c r="H2127" s="22">
        <v>0.90298507462686495</v>
      </c>
      <c r="I2127" s="22">
        <v>0.83333333333333304</v>
      </c>
      <c r="J2127" s="22">
        <v>0.66666666666666596</v>
      </c>
      <c r="K2127">
        <v>5</v>
      </c>
      <c r="L2127" s="19" t="s">
        <v>255</v>
      </c>
      <c r="M2127" s="21">
        <f t="shared" si="16"/>
        <v>0.15789473684210525</v>
      </c>
    </row>
    <row r="2128" spans="1:13" x14ac:dyDescent="0.2">
      <c r="A2128" t="s">
        <v>67</v>
      </c>
      <c r="B2128" t="str">
        <f>VLOOKUP(A2128,MasterTutor!A:E,4,FALSE)</f>
        <v>Distinguished</v>
      </c>
      <c r="C2128" t="str">
        <f>VLOOKUP(A2128,MasterTutor!A:E,3,FALSE)</f>
        <v>Professional</v>
      </c>
      <c r="D2128" t="str">
        <f>VLOOKUP(A2128,MasterTutor!A:E,2,FALSE)</f>
        <v>Ian Plamondon</v>
      </c>
      <c r="E2128" t="s">
        <v>212</v>
      </c>
      <c r="F2128" s="22">
        <v>0.83750000000000002</v>
      </c>
      <c r="G2128" s="22">
        <v>1.1875</v>
      </c>
      <c r="H2128" s="22">
        <v>1</v>
      </c>
      <c r="I2128" s="22">
        <v>0.98245614035087703</v>
      </c>
      <c r="J2128" s="22">
        <v>0.72</v>
      </c>
      <c r="K2128">
        <v>0</v>
      </c>
      <c r="L2128" s="19" t="s">
        <v>256</v>
      </c>
      <c r="M2128" s="21">
        <f t="shared" si="16"/>
        <v>0.83333333333333337</v>
      </c>
    </row>
    <row r="2129" spans="1:13" x14ac:dyDescent="0.2">
      <c r="A2129" t="s">
        <v>68</v>
      </c>
      <c r="B2129" t="str">
        <f>VLOOKUP(A2129,MasterTutor!A:E,4,FALSE)</f>
        <v>Advanced</v>
      </c>
      <c r="C2129" t="str">
        <f>VLOOKUP(A2129,MasterTutor!A:E,3,FALSE)</f>
        <v>Professional</v>
      </c>
      <c r="D2129" t="str">
        <f>VLOOKUP(A2129,MasterTutor!A:E,2,FALSE)</f>
        <v>Ian Plamondon</v>
      </c>
      <c r="E2129" t="s">
        <v>212</v>
      </c>
      <c r="F2129" s="22">
        <v>0.8125</v>
      </c>
      <c r="G2129" s="22">
        <v>0.9375</v>
      </c>
      <c r="H2129" s="22">
        <v>0.959595959595959</v>
      </c>
      <c r="I2129" s="22">
        <v>0.828125</v>
      </c>
      <c r="J2129" s="22">
        <v>0.86363636363636298</v>
      </c>
      <c r="K2129">
        <v>7</v>
      </c>
      <c r="L2129" s="19" t="s">
        <v>257</v>
      </c>
      <c r="M2129" s="21">
        <f t="shared" si="16"/>
        <v>0.16666666666666666</v>
      </c>
    </row>
    <row r="2130" spans="1:13" x14ac:dyDescent="0.2">
      <c r="A2130" t="s">
        <v>69</v>
      </c>
      <c r="B2130" t="str">
        <f>VLOOKUP(A2130,MasterTutor!A:E,4,FALSE)</f>
        <v>Advanced</v>
      </c>
      <c r="C2130" t="str">
        <f>VLOOKUP(A2130,MasterTutor!A:E,3,FALSE)</f>
        <v>Adjunct</v>
      </c>
      <c r="D2130" t="str">
        <f>VLOOKUP(A2130,MasterTutor!A:E,2,FALSE)</f>
        <v>Ela Cross</v>
      </c>
      <c r="E2130" t="s">
        <v>212</v>
      </c>
      <c r="F2130" s="22">
        <v>1.2187999999999899</v>
      </c>
      <c r="G2130" s="22">
        <v>1.1015999999999999</v>
      </c>
      <c r="H2130" s="22">
        <v>0.98360655737704905</v>
      </c>
      <c r="I2130" s="22">
        <v>0.97727272727272696</v>
      </c>
      <c r="J2130" s="22">
        <v>1</v>
      </c>
      <c r="K2130">
        <v>2</v>
      </c>
      <c r="L2130" s="19" t="s">
        <v>215</v>
      </c>
      <c r="M2130" s="21">
        <f t="shared" si="16"/>
        <v>1</v>
      </c>
    </row>
    <row r="2131" spans="1:13" x14ac:dyDescent="0.2">
      <c r="A2131" t="s">
        <v>70</v>
      </c>
      <c r="B2131" t="str">
        <f>VLOOKUP(A2131,MasterTutor!A:E,4,FALSE)</f>
        <v>Distinguished</v>
      </c>
      <c r="C2131" t="str">
        <f>VLOOKUP(A2131,MasterTutor!A:E,3,FALSE)</f>
        <v>Professional</v>
      </c>
      <c r="D2131" t="str">
        <f>VLOOKUP(A2131,MasterTutor!A:E,2,FALSE)</f>
        <v>Ela Cross</v>
      </c>
      <c r="E2131" t="s">
        <v>212</v>
      </c>
      <c r="F2131" s="22">
        <v>0.82079999999999997</v>
      </c>
      <c r="G2131" s="22">
        <v>1.1200999999999901</v>
      </c>
      <c r="H2131" s="22">
        <v>0.98901098901098905</v>
      </c>
      <c r="I2131" s="22">
        <v>1</v>
      </c>
      <c r="J2131" s="22">
        <v>0.65</v>
      </c>
      <c r="K2131">
        <v>1</v>
      </c>
      <c r="L2131" s="19" t="s">
        <v>610</v>
      </c>
      <c r="M2131" s="21" t="e">
        <f t="shared" si="16"/>
        <v>#DIV/0!</v>
      </c>
    </row>
    <row r="2132" spans="1:13" x14ac:dyDescent="0.2">
      <c r="A2132" t="s">
        <v>71</v>
      </c>
      <c r="B2132" t="str">
        <f>VLOOKUP(A2132,MasterTutor!A:E,4,FALSE)</f>
        <v>Premium</v>
      </c>
      <c r="C2132" t="str">
        <f>VLOOKUP(A2132,MasterTutor!A:E,3,FALSE)</f>
        <v>Professional</v>
      </c>
      <c r="D2132" t="str">
        <f>VLOOKUP(A2132,MasterTutor!A:E,2,FALSE)</f>
        <v>Ian Plamondon</v>
      </c>
      <c r="E2132" t="s">
        <v>212</v>
      </c>
      <c r="F2132" s="22">
        <v>0.81459999999999999</v>
      </c>
      <c r="G2132" s="22">
        <v>1.0905</v>
      </c>
      <c r="H2132" s="22">
        <v>1</v>
      </c>
      <c r="I2132" s="22">
        <v>1</v>
      </c>
      <c r="J2132" s="22">
        <v>0.92</v>
      </c>
      <c r="K2132">
        <v>2</v>
      </c>
      <c r="L2132" s="19" t="s">
        <v>610</v>
      </c>
      <c r="M2132" s="21" t="e">
        <f t="shared" si="16"/>
        <v>#DIV/0!</v>
      </c>
    </row>
    <row r="2133" spans="1:13" x14ac:dyDescent="0.2">
      <c r="A2133" t="s">
        <v>258</v>
      </c>
      <c r="B2133" t="str">
        <f>VLOOKUP(A2133,MasterTutor!A:E,4,FALSE)</f>
        <v>Advanced</v>
      </c>
      <c r="C2133" t="str">
        <f>VLOOKUP(A2133,MasterTutor!A:E,3,FALSE)</f>
        <v>Adjunct</v>
      </c>
      <c r="D2133" t="str">
        <f>VLOOKUP(A2133,MasterTutor!A:E,2,FALSE)</f>
        <v>Kristin Haase-Alvey</v>
      </c>
      <c r="E2133" t="s">
        <v>212</v>
      </c>
      <c r="F2133" s="22">
        <v>1.1875</v>
      </c>
      <c r="G2133" s="22">
        <v>1.3437999999999899</v>
      </c>
      <c r="H2133" s="22">
        <v>0.98214285714285698</v>
      </c>
      <c r="I2133" s="22">
        <v>0.40540540540540498</v>
      </c>
      <c r="J2133" s="22">
        <v>9.0909090909090898E-2</v>
      </c>
      <c r="K2133">
        <v>3</v>
      </c>
      <c r="L2133" s="19" t="s">
        <v>228</v>
      </c>
      <c r="M2133" s="21">
        <f t="shared" si="16"/>
        <v>0</v>
      </c>
    </row>
    <row r="2134" spans="1:13" x14ac:dyDescent="0.2">
      <c r="A2134" t="s">
        <v>259</v>
      </c>
      <c r="B2134" t="str">
        <f>VLOOKUP(A2134,MasterTutor!A:E,4,FALSE)</f>
        <v>Advanced</v>
      </c>
      <c r="C2134" t="str">
        <f>VLOOKUP(A2134,MasterTutor!A:E,3,FALSE)</f>
        <v>Professional</v>
      </c>
      <c r="D2134" t="str">
        <f>VLOOKUP(A2134,MasterTutor!A:E,2,FALSE)</f>
        <v>Annelies de Groot</v>
      </c>
      <c r="E2134" t="s">
        <v>212</v>
      </c>
      <c r="F2134" s="22">
        <v>0.95830000000000004</v>
      </c>
      <c r="G2134" s="22">
        <v>1.1035999999999899</v>
      </c>
      <c r="H2134" s="22">
        <v>0.99047619047618995</v>
      </c>
      <c r="I2134" s="22">
        <v>0.95652173913043403</v>
      </c>
      <c r="J2134" s="22">
        <v>0.5625</v>
      </c>
      <c r="K2134">
        <v>6</v>
      </c>
      <c r="L2134" s="19" t="s">
        <v>260</v>
      </c>
      <c r="M2134" s="21">
        <f t="shared" si="16"/>
        <v>0.16666666666666666</v>
      </c>
    </row>
    <row r="2135" spans="1:13" x14ac:dyDescent="0.2">
      <c r="A2135" t="s">
        <v>72</v>
      </c>
      <c r="B2135" t="str">
        <f>VLOOKUP(A2135,MasterTutor!A:E,4,FALSE)</f>
        <v>Premium</v>
      </c>
      <c r="C2135" t="str">
        <f>VLOOKUP(A2135,MasterTutor!A:E,3,FALSE)</f>
        <v>Adjunct</v>
      </c>
      <c r="D2135" t="str">
        <f>VLOOKUP(A2135,MasterTutor!A:E,2,FALSE)</f>
        <v>Annelies de Groot</v>
      </c>
      <c r="E2135" t="s">
        <v>212</v>
      </c>
      <c r="F2135" s="22">
        <v>1.2812999999999899</v>
      </c>
      <c r="G2135" s="22">
        <v>1.0234000000000001</v>
      </c>
      <c r="H2135" s="22">
        <v>1</v>
      </c>
      <c r="I2135" s="22">
        <v>1</v>
      </c>
      <c r="J2135" s="22">
        <v>0.94444444444444398</v>
      </c>
      <c r="K2135">
        <v>1</v>
      </c>
      <c r="L2135" s="19" t="s">
        <v>219</v>
      </c>
      <c r="M2135" s="21">
        <f t="shared" si="16"/>
        <v>0</v>
      </c>
    </row>
    <row r="2136" spans="1:13" x14ac:dyDescent="0.2">
      <c r="A2136" t="s">
        <v>261</v>
      </c>
      <c r="B2136" t="str">
        <f>VLOOKUP(A2136,MasterTutor!A:E,4,FALSE)</f>
        <v>Advanced</v>
      </c>
      <c r="C2136" t="str">
        <f>VLOOKUP(A2136,MasterTutor!A:E,3,FALSE)</f>
        <v xml:space="preserve">Professional </v>
      </c>
      <c r="D2136" t="str">
        <f>VLOOKUP(A2136,MasterTutor!A:E,2,FALSE)</f>
        <v>Kristin Haase-Alvey</v>
      </c>
      <c r="E2136" t="s">
        <v>212</v>
      </c>
      <c r="F2136" s="22">
        <v>0.83929999999999905</v>
      </c>
      <c r="G2136" s="22">
        <v>0.9869</v>
      </c>
      <c r="H2136" s="22">
        <v>0.97580645161290303</v>
      </c>
      <c r="I2136" s="22">
        <v>0.98876404494381998</v>
      </c>
      <c r="J2136" s="22">
        <v>0.375</v>
      </c>
      <c r="K2136">
        <v>12</v>
      </c>
      <c r="L2136" s="19" t="s">
        <v>262</v>
      </c>
      <c r="M2136" s="21">
        <f t="shared" ref="M2136:M2199" si="17">_xlfn.TEXTBEFORE(L2136, "/")/_xlfn.TEXTAFTER(L2136,"/")</f>
        <v>0.25</v>
      </c>
    </row>
    <row r="2137" spans="1:13" x14ac:dyDescent="0.2">
      <c r="A2137" t="s">
        <v>73</v>
      </c>
      <c r="B2137" t="str">
        <f>VLOOKUP(A2137,MasterTutor!A:E,4,FALSE)</f>
        <v>Advanced</v>
      </c>
      <c r="C2137" t="str">
        <f>VLOOKUP(A2137,MasterTutor!A:E,3,FALSE)</f>
        <v>Adjunct</v>
      </c>
      <c r="D2137" t="str">
        <f>VLOOKUP(A2137,MasterTutor!A:E,2,FALSE)</f>
        <v>Geoff St. Marie</v>
      </c>
      <c r="E2137" t="s">
        <v>212</v>
      </c>
      <c r="F2137" s="22">
        <v>0.48959999999999998</v>
      </c>
      <c r="G2137" s="22">
        <v>1.0390999999999999</v>
      </c>
      <c r="H2137" s="22">
        <v>1</v>
      </c>
      <c r="I2137" s="22">
        <v>0.88235294117647001</v>
      </c>
      <c r="J2137" s="22">
        <v>1</v>
      </c>
      <c r="K2137">
        <v>3</v>
      </c>
      <c r="L2137" s="19" t="s">
        <v>219</v>
      </c>
      <c r="M2137" s="21">
        <f t="shared" si="17"/>
        <v>0</v>
      </c>
    </row>
    <row r="2138" spans="1:13" x14ac:dyDescent="0.2">
      <c r="A2138" t="s">
        <v>263</v>
      </c>
      <c r="B2138" t="str">
        <f>VLOOKUP(A2138,MasterTutor!A:E,4,FALSE)</f>
        <v>Advanced</v>
      </c>
      <c r="C2138" t="str">
        <f>VLOOKUP(A2138,MasterTutor!A:E,3,FALSE)</f>
        <v>Professional</v>
      </c>
      <c r="D2138" t="str">
        <f>VLOOKUP(A2138,MasterTutor!A:E,2,FALSE)</f>
        <v>Annelies de Groot</v>
      </c>
      <c r="E2138" t="s">
        <v>212</v>
      </c>
      <c r="F2138" s="22">
        <v>0.9708</v>
      </c>
      <c r="G2138" s="22">
        <v>1.0229999999999999</v>
      </c>
      <c r="H2138" s="22">
        <v>0.963963963963963</v>
      </c>
      <c r="I2138" s="22">
        <v>0.97530864197530798</v>
      </c>
      <c r="J2138" s="22">
        <v>0.72727272727272696</v>
      </c>
      <c r="K2138">
        <v>11</v>
      </c>
      <c r="L2138" s="19" t="s">
        <v>229</v>
      </c>
      <c r="M2138" s="21">
        <f t="shared" si="17"/>
        <v>0.6</v>
      </c>
    </row>
    <row r="2139" spans="1:13" x14ac:dyDescent="0.2">
      <c r="A2139" t="s">
        <v>74</v>
      </c>
      <c r="B2139" t="str">
        <f>VLOOKUP(A2139,MasterTutor!A:E,4,FALSE)</f>
        <v>Distinguished</v>
      </c>
      <c r="C2139" t="str">
        <f>VLOOKUP(A2139,MasterTutor!A:E,3,FALSE)</f>
        <v>Adjunct</v>
      </c>
      <c r="D2139" t="str">
        <f>VLOOKUP(A2139,MasterTutor!A:E,2,FALSE)</f>
        <v>Ela Cross</v>
      </c>
      <c r="E2139" t="s">
        <v>212</v>
      </c>
      <c r="F2139" s="22">
        <v>0.83330000000000004</v>
      </c>
      <c r="G2139" s="22">
        <v>0.89059999999999995</v>
      </c>
      <c r="H2139" s="22">
        <v>0.96969696969696895</v>
      </c>
      <c r="I2139" s="22">
        <v>0.67857142857142805</v>
      </c>
      <c r="J2139" s="22">
        <v>0</v>
      </c>
      <c r="K2139">
        <v>3</v>
      </c>
      <c r="L2139" s="19" t="s">
        <v>215</v>
      </c>
      <c r="M2139" s="21">
        <f t="shared" si="17"/>
        <v>1</v>
      </c>
    </row>
    <row r="2140" spans="1:13" x14ac:dyDescent="0.2">
      <c r="A2140" t="s">
        <v>75</v>
      </c>
      <c r="B2140" t="str">
        <f>VLOOKUP(A2140,MasterTutor!A:E,4,FALSE)</f>
        <v>Advanced</v>
      </c>
      <c r="C2140" t="str">
        <f>VLOOKUP(A2140,MasterTutor!A:E,3,FALSE)</f>
        <v>Professional</v>
      </c>
      <c r="D2140" t="str">
        <f>VLOOKUP(A2140,MasterTutor!A:E,2,FALSE)</f>
        <v>Geoff St. Marie</v>
      </c>
      <c r="E2140" t="s">
        <v>212</v>
      </c>
      <c r="F2140" s="22">
        <v>1.5417000000000001</v>
      </c>
      <c r="G2140" s="22">
        <v>1.2927999999999999</v>
      </c>
      <c r="H2140" s="22">
        <v>1</v>
      </c>
      <c r="I2140" s="22">
        <v>0.96330275229357698</v>
      </c>
      <c r="J2140" s="22">
        <v>0.34482758620689602</v>
      </c>
      <c r="K2140">
        <v>14</v>
      </c>
      <c r="L2140" s="19" t="s">
        <v>264</v>
      </c>
      <c r="M2140" s="21">
        <f t="shared" si="17"/>
        <v>0.3888888888888889</v>
      </c>
    </row>
    <row r="2141" spans="1:13" x14ac:dyDescent="0.2">
      <c r="A2141" t="s">
        <v>265</v>
      </c>
      <c r="B2141" t="str">
        <f>VLOOKUP(A2141,MasterTutor!A:E,4,FALSE)</f>
        <v>Advanced</v>
      </c>
      <c r="C2141" t="str">
        <f>VLOOKUP(A2141,MasterTutor!A:E,3,FALSE)</f>
        <v>Adjunct</v>
      </c>
      <c r="D2141" t="str">
        <f>VLOOKUP(A2141,MasterTutor!A:E,2,FALSE)</f>
        <v>Kristin Haase-Alvey</v>
      </c>
      <c r="E2141" t="s">
        <v>212</v>
      </c>
      <c r="F2141" s="22">
        <v>1.0207999999999999</v>
      </c>
      <c r="G2141" s="22">
        <v>1.1289</v>
      </c>
      <c r="H2141" s="22">
        <v>1</v>
      </c>
      <c r="I2141" s="22">
        <v>0.92682926829268197</v>
      </c>
      <c r="J2141" s="22">
        <v>1</v>
      </c>
      <c r="K2141">
        <v>3</v>
      </c>
      <c r="L2141" s="19" t="s">
        <v>218</v>
      </c>
      <c r="M2141" s="21">
        <f t="shared" si="17"/>
        <v>0.66666666666666663</v>
      </c>
    </row>
    <row r="2142" spans="1:13" x14ac:dyDescent="0.2">
      <c r="A2142" t="s">
        <v>77</v>
      </c>
      <c r="B2142" t="str">
        <f>VLOOKUP(A2142,MasterTutor!A:E,4,FALSE)</f>
        <v>Distinguished</v>
      </c>
      <c r="C2142" t="str">
        <f>VLOOKUP(A2142,MasterTutor!A:E,3,FALSE)</f>
        <v>Professional</v>
      </c>
      <c r="D2142" t="str">
        <f>VLOOKUP(A2142,MasterTutor!A:E,2,FALSE)</f>
        <v>Ian Plamondon</v>
      </c>
      <c r="E2142" t="s">
        <v>212</v>
      </c>
      <c r="F2142" s="22">
        <v>0.7833</v>
      </c>
      <c r="G2142" s="22">
        <v>1.0032999999999901</v>
      </c>
      <c r="H2142" s="22">
        <v>0.96551724137931005</v>
      </c>
      <c r="I2142" s="22">
        <v>1</v>
      </c>
      <c r="J2142" s="22">
        <v>1</v>
      </c>
      <c r="K2142">
        <v>2</v>
      </c>
      <c r="L2142" s="19" t="s">
        <v>266</v>
      </c>
      <c r="M2142" s="21">
        <f t="shared" si="17"/>
        <v>0</v>
      </c>
    </row>
    <row r="2143" spans="1:13" x14ac:dyDescent="0.2">
      <c r="A2143" t="s">
        <v>78</v>
      </c>
      <c r="B2143" t="str">
        <f>VLOOKUP(A2143,MasterTutor!A:E,4,FALSE)</f>
        <v>Distinguished</v>
      </c>
      <c r="C2143" t="str">
        <f>VLOOKUP(A2143,MasterTutor!A:E,3,FALSE)</f>
        <v>Adjunct</v>
      </c>
      <c r="D2143" t="str">
        <f>VLOOKUP(A2143,MasterTutor!A:E,2,FALSE)</f>
        <v>Geoff St. Marie</v>
      </c>
      <c r="E2143" t="s">
        <v>212</v>
      </c>
      <c r="F2143" s="22">
        <v>0.76039999999999996</v>
      </c>
      <c r="G2143" s="22">
        <v>1.1601999999999999</v>
      </c>
      <c r="H2143" s="22">
        <v>1</v>
      </c>
      <c r="I2143" s="22">
        <v>0.96428571428571397</v>
      </c>
      <c r="J2143" s="22">
        <v>1</v>
      </c>
      <c r="K2143">
        <v>0</v>
      </c>
      <c r="L2143" s="19" t="s">
        <v>225</v>
      </c>
      <c r="M2143" s="21">
        <f t="shared" si="17"/>
        <v>0.5</v>
      </c>
    </row>
    <row r="2144" spans="1:13" x14ac:dyDescent="0.2">
      <c r="A2144" t="s">
        <v>79</v>
      </c>
      <c r="B2144" t="str">
        <f>VLOOKUP(A2144,MasterTutor!A:E,4,FALSE)</f>
        <v>Premium</v>
      </c>
      <c r="C2144" t="str">
        <f>VLOOKUP(A2144,MasterTutor!A:E,3,FALSE)</f>
        <v>Professional</v>
      </c>
      <c r="D2144" t="str">
        <f>VLOOKUP(A2144,MasterTutor!A:E,2,FALSE)</f>
        <v>Ian Plamondon</v>
      </c>
      <c r="E2144" t="s">
        <v>212</v>
      </c>
      <c r="F2144" s="22">
        <v>0.82499999999999996</v>
      </c>
      <c r="G2144" s="22">
        <v>1.3009999999999999</v>
      </c>
      <c r="H2144" s="22">
        <v>0.98989898989898895</v>
      </c>
      <c r="I2144" s="22">
        <v>0.97101449275362295</v>
      </c>
      <c r="J2144" s="22">
        <v>0.90476190476190399</v>
      </c>
      <c r="K2144">
        <v>2</v>
      </c>
      <c r="L2144" s="19" t="s">
        <v>224</v>
      </c>
      <c r="M2144" s="21">
        <f t="shared" si="17"/>
        <v>0</v>
      </c>
    </row>
    <row r="2145" spans="1:13" x14ac:dyDescent="0.2">
      <c r="A2145" t="s">
        <v>81</v>
      </c>
      <c r="B2145" t="str">
        <f>VLOOKUP(A2145,MasterTutor!A:E,4,FALSE)</f>
        <v>Distinguished</v>
      </c>
      <c r="C2145" t="str">
        <f>VLOOKUP(A2145,MasterTutor!A:E,3,FALSE)</f>
        <v>Professional</v>
      </c>
      <c r="D2145" t="str">
        <f>VLOOKUP(A2145,MasterTutor!A:E,2,FALSE)</f>
        <v>Ian Plamondon</v>
      </c>
      <c r="E2145" t="s">
        <v>212</v>
      </c>
      <c r="F2145" s="22">
        <v>0.9738</v>
      </c>
      <c r="G2145" s="22">
        <v>1.2466999999999999</v>
      </c>
      <c r="H2145" s="22">
        <v>0.99145299145299104</v>
      </c>
      <c r="I2145" s="22">
        <v>0.95890410958904104</v>
      </c>
      <c r="J2145" s="22">
        <v>0.72727272727272696</v>
      </c>
      <c r="K2145">
        <v>0</v>
      </c>
      <c r="L2145" s="19" t="s">
        <v>267</v>
      </c>
      <c r="M2145" s="21">
        <f t="shared" si="17"/>
        <v>0</v>
      </c>
    </row>
    <row r="2146" spans="1:13" x14ac:dyDescent="0.2">
      <c r="A2146" t="s">
        <v>268</v>
      </c>
      <c r="B2146" t="str">
        <f>VLOOKUP(A2146,MasterTutor!A:E,4,FALSE)</f>
        <v>Advanced</v>
      </c>
      <c r="C2146" t="str">
        <f>VLOOKUP(A2146,MasterTutor!A:E,3,FALSE)</f>
        <v xml:space="preserve">Adjunct </v>
      </c>
      <c r="D2146" t="str">
        <f>VLOOKUP(A2146,MasterTutor!A:E,2,FALSE)</f>
        <v>Kristin Haase-Alvey</v>
      </c>
      <c r="E2146" t="s">
        <v>212</v>
      </c>
      <c r="F2146" s="22">
        <v>1.3374999999999999</v>
      </c>
      <c r="G2146" s="22">
        <v>1.3515999999999999</v>
      </c>
      <c r="H2146" s="22">
        <v>1</v>
      </c>
      <c r="I2146" s="22">
        <v>0.98876404494381998</v>
      </c>
      <c r="J2146" s="22">
        <v>0.89655172413793105</v>
      </c>
      <c r="K2146">
        <v>16</v>
      </c>
      <c r="L2146" s="19" t="s">
        <v>269</v>
      </c>
      <c r="M2146" s="21">
        <f t="shared" si="17"/>
        <v>0.33333333333333331</v>
      </c>
    </row>
    <row r="2147" spans="1:13" x14ac:dyDescent="0.2">
      <c r="A2147" t="s">
        <v>270</v>
      </c>
      <c r="B2147" t="e">
        <f>VLOOKUP(A2147,MasterTutor!A:E,4,FALSE)</f>
        <v>#N/A</v>
      </c>
      <c r="C2147" t="e">
        <f>VLOOKUP(A2147,MasterTutor!A:E,3,FALSE)</f>
        <v>#N/A</v>
      </c>
      <c r="D2147" t="e">
        <f>VLOOKUP(A2147,MasterTutor!A:E,2,FALSE)</f>
        <v>#N/A</v>
      </c>
      <c r="E2147" t="s">
        <v>212</v>
      </c>
      <c r="F2147" s="22">
        <v>1.0913999999999999</v>
      </c>
      <c r="G2147" s="22">
        <v>0.93420000000000003</v>
      </c>
      <c r="H2147" s="22">
        <v>0.75423728813559299</v>
      </c>
      <c r="I2147" s="22">
        <v>0.51041666666666596</v>
      </c>
      <c r="J2147" s="22">
        <v>0.38461538461538403</v>
      </c>
      <c r="K2147">
        <v>9</v>
      </c>
      <c r="L2147" s="19" t="s">
        <v>225</v>
      </c>
      <c r="M2147" s="21">
        <f t="shared" si="17"/>
        <v>0.5</v>
      </c>
    </row>
    <row r="2148" spans="1:13" x14ac:dyDescent="0.2">
      <c r="A2148" t="s">
        <v>271</v>
      </c>
      <c r="B2148" t="e">
        <f>VLOOKUP(A2148,MasterTutor!A:E,4,FALSE)</f>
        <v>#N/A</v>
      </c>
      <c r="C2148" t="e">
        <f>VLOOKUP(A2148,MasterTutor!A:E,3,FALSE)</f>
        <v>#N/A</v>
      </c>
      <c r="D2148" t="e">
        <f>VLOOKUP(A2148,MasterTutor!A:E,2,FALSE)</f>
        <v>#N/A</v>
      </c>
      <c r="E2148" t="s">
        <v>212</v>
      </c>
      <c r="F2148" s="22">
        <v>0</v>
      </c>
      <c r="G2148" s="22">
        <v>0</v>
      </c>
      <c r="H2148" s="22">
        <v>0</v>
      </c>
      <c r="I2148" s="22">
        <v>0</v>
      </c>
      <c r="J2148" s="22">
        <v>0</v>
      </c>
      <c r="K2148">
        <v>0</v>
      </c>
      <c r="L2148" s="19" t="s">
        <v>610</v>
      </c>
      <c r="M2148" s="21" t="e">
        <f t="shared" si="17"/>
        <v>#DIV/0!</v>
      </c>
    </row>
    <row r="2149" spans="1:13" x14ac:dyDescent="0.2">
      <c r="A2149" t="s">
        <v>82</v>
      </c>
      <c r="B2149" t="str">
        <f>VLOOKUP(A2149,MasterTutor!A:E,4,FALSE)</f>
        <v>Premium</v>
      </c>
      <c r="C2149" t="str">
        <f>VLOOKUP(A2149,MasterTutor!A:E,3,FALSE)</f>
        <v>Adjunct</v>
      </c>
      <c r="D2149" t="str">
        <f>VLOOKUP(A2149,MasterTutor!A:E,2,FALSE)</f>
        <v>Jessica Milner</v>
      </c>
      <c r="E2149" t="s">
        <v>212</v>
      </c>
      <c r="F2149" s="22">
        <v>0.63539999999999996</v>
      </c>
      <c r="G2149" s="22">
        <v>1.1758</v>
      </c>
      <c r="H2149" s="22">
        <v>1</v>
      </c>
      <c r="I2149" s="22">
        <v>1</v>
      </c>
      <c r="J2149" s="22">
        <v>1</v>
      </c>
      <c r="K2149">
        <v>1</v>
      </c>
      <c r="L2149" s="19" t="s">
        <v>215</v>
      </c>
      <c r="M2149" s="21">
        <f t="shared" si="17"/>
        <v>1</v>
      </c>
    </row>
    <row r="2150" spans="1:13" x14ac:dyDescent="0.2">
      <c r="A2150" t="s">
        <v>83</v>
      </c>
      <c r="B2150" t="str">
        <f>VLOOKUP(A2150,MasterTutor!A:E,4,FALSE)</f>
        <v>Premium</v>
      </c>
      <c r="C2150" t="str">
        <f>VLOOKUP(A2150,MasterTutor!A:E,3,FALSE)</f>
        <v>Professional</v>
      </c>
      <c r="D2150" t="str">
        <f>VLOOKUP(A2150,MasterTutor!A:E,2,FALSE)</f>
        <v>Jessica Milner</v>
      </c>
      <c r="E2150" t="s">
        <v>212</v>
      </c>
      <c r="F2150" s="22">
        <v>1.0519000000000001</v>
      </c>
      <c r="G2150" s="22">
        <v>1.4474</v>
      </c>
      <c r="H2150" s="22">
        <v>1</v>
      </c>
      <c r="I2150" s="22">
        <v>0.98630136986301298</v>
      </c>
      <c r="J2150" s="22">
        <v>0.78571428571428503</v>
      </c>
      <c r="K2150">
        <v>6</v>
      </c>
      <c r="L2150" s="19" t="s">
        <v>610</v>
      </c>
      <c r="M2150" s="21" t="e">
        <f t="shared" si="17"/>
        <v>#DIV/0!</v>
      </c>
    </row>
    <row r="2151" spans="1:13" x14ac:dyDescent="0.2">
      <c r="A2151" t="s">
        <v>84</v>
      </c>
      <c r="B2151" t="str">
        <f>VLOOKUP(A2151,MasterTutor!A:E,4,FALSE)</f>
        <v>Advanced</v>
      </c>
      <c r="C2151" t="str">
        <f>VLOOKUP(A2151,MasterTutor!A:E,3,FALSE)</f>
        <v>Professional</v>
      </c>
      <c r="D2151" t="str">
        <f>VLOOKUP(A2151,MasterTutor!A:E,2,FALSE)</f>
        <v>Kristin Haase-Alvey</v>
      </c>
      <c r="E2151" t="s">
        <v>212</v>
      </c>
      <c r="F2151" s="22">
        <v>0.85</v>
      </c>
      <c r="G2151" s="22">
        <v>1</v>
      </c>
      <c r="H2151" s="22">
        <v>1</v>
      </c>
      <c r="I2151" s="22">
        <v>1</v>
      </c>
      <c r="J2151" s="22">
        <v>1</v>
      </c>
      <c r="K2151">
        <v>9</v>
      </c>
      <c r="L2151" s="19" t="s">
        <v>215</v>
      </c>
      <c r="M2151" s="21">
        <f t="shared" si="17"/>
        <v>1</v>
      </c>
    </row>
    <row r="2152" spans="1:13" x14ac:dyDescent="0.2">
      <c r="A2152" t="s">
        <v>85</v>
      </c>
      <c r="B2152" t="str">
        <f>VLOOKUP(A2152,MasterTutor!A:E,4,FALSE)</f>
        <v>Premium</v>
      </c>
      <c r="C2152" t="str">
        <f>VLOOKUP(A2152,MasterTutor!A:E,3,FALSE)</f>
        <v>Professional</v>
      </c>
      <c r="D2152" t="str">
        <f>VLOOKUP(A2152,MasterTutor!A:E,2,FALSE)</f>
        <v>Ian Plamondon</v>
      </c>
      <c r="E2152" t="s">
        <v>212</v>
      </c>
      <c r="F2152" s="22">
        <v>1.0958000000000001</v>
      </c>
      <c r="G2152" s="22">
        <v>1.4785999999999899</v>
      </c>
      <c r="H2152" s="22">
        <v>0.9921875</v>
      </c>
      <c r="I2152" s="22">
        <v>0.96153846153846101</v>
      </c>
      <c r="J2152" s="22">
        <v>0.91304347826086896</v>
      </c>
      <c r="K2152">
        <v>1</v>
      </c>
      <c r="L2152" s="19" t="s">
        <v>213</v>
      </c>
      <c r="M2152" s="21">
        <f t="shared" si="17"/>
        <v>0.5</v>
      </c>
    </row>
    <row r="2153" spans="1:13" x14ac:dyDescent="0.2">
      <c r="A2153" t="s">
        <v>87</v>
      </c>
      <c r="B2153" t="str">
        <f>VLOOKUP(A2153,MasterTutor!A:E,4,FALSE)</f>
        <v>Advanced</v>
      </c>
      <c r="C2153" t="str">
        <f>VLOOKUP(A2153,MasterTutor!A:E,3,FALSE)</f>
        <v>Adjunct</v>
      </c>
      <c r="D2153" t="str">
        <f>VLOOKUP(A2153,MasterTutor!A:E,2,FALSE)</f>
        <v>Ela Cross</v>
      </c>
      <c r="E2153" t="s">
        <v>212</v>
      </c>
      <c r="F2153" s="22">
        <v>1.5625</v>
      </c>
      <c r="G2153" s="22">
        <v>1.3633</v>
      </c>
      <c r="H2153" s="22">
        <v>0.98888888888888804</v>
      </c>
      <c r="I2153" s="22">
        <v>0.929824561403508</v>
      </c>
      <c r="J2153" s="22">
        <v>0.72727272727272696</v>
      </c>
      <c r="K2153">
        <v>7</v>
      </c>
      <c r="L2153" s="19" t="s">
        <v>219</v>
      </c>
      <c r="M2153" s="21">
        <f t="shared" si="17"/>
        <v>0</v>
      </c>
    </row>
    <row r="2154" spans="1:13" x14ac:dyDescent="0.2">
      <c r="A2154" t="s">
        <v>88</v>
      </c>
      <c r="B2154" t="str">
        <f>VLOOKUP(A2154,MasterTutor!A:E,4,FALSE)</f>
        <v>Distinguished</v>
      </c>
      <c r="C2154" t="str">
        <f>VLOOKUP(A2154,MasterTutor!A:E,3,FALSE)</f>
        <v>Professional</v>
      </c>
      <c r="D2154" t="str">
        <f>VLOOKUP(A2154,MasterTutor!A:E,2,FALSE)</f>
        <v>Ian Plamondon</v>
      </c>
      <c r="E2154" t="s">
        <v>212</v>
      </c>
      <c r="F2154" s="22">
        <v>0.87450000000000006</v>
      </c>
      <c r="G2154" s="22">
        <v>1.1583999999999901</v>
      </c>
      <c r="H2154" s="22">
        <v>0.99145299145299104</v>
      </c>
      <c r="I2154" s="22">
        <v>0.934782608695652</v>
      </c>
      <c r="J2154" s="22">
        <v>0.71428571428571397</v>
      </c>
      <c r="K2154">
        <v>1</v>
      </c>
      <c r="L2154" s="19" t="s">
        <v>243</v>
      </c>
      <c r="M2154" s="21">
        <f t="shared" si="17"/>
        <v>0.33333333333333331</v>
      </c>
    </row>
    <row r="2155" spans="1:13" x14ac:dyDescent="0.2">
      <c r="A2155" t="s">
        <v>272</v>
      </c>
      <c r="B2155" t="str">
        <f>VLOOKUP(A2155,MasterTutor!A:E,4,FALSE)</f>
        <v>Advanced</v>
      </c>
      <c r="C2155" t="str">
        <f>VLOOKUP(A2155,MasterTutor!A:E,3,FALSE)</f>
        <v xml:space="preserve">Professional </v>
      </c>
      <c r="D2155" t="str">
        <f>VLOOKUP(A2155,MasterTutor!A:E,2,FALSE)</f>
        <v>Ian Plamondon</v>
      </c>
      <c r="E2155" t="s">
        <v>212</v>
      </c>
      <c r="F2155" s="22">
        <v>1.0249999999999999</v>
      </c>
      <c r="G2155" s="22">
        <v>1.1432</v>
      </c>
      <c r="H2155" s="22">
        <v>0.971830985915492</v>
      </c>
      <c r="I2155" s="22">
        <v>0.96363636363636296</v>
      </c>
      <c r="J2155" s="22">
        <v>0.47058823529411697</v>
      </c>
      <c r="K2155">
        <v>6</v>
      </c>
      <c r="L2155" s="19" t="s">
        <v>234</v>
      </c>
      <c r="M2155" s="21">
        <f t="shared" si="17"/>
        <v>1</v>
      </c>
    </row>
    <row r="2156" spans="1:13" x14ac:dyDescent="0.2">
      <c r="A2156" t="s">
        <v>90</v>
      </c>
      <c r="B2156" t="str">
        <f>VLOOKUP(A2156,MasterTutor!A:E,4,FALSE)</f>
        <v>Advanced</v>
      </c>
      <c r="C2156" t="str">
        <f>VLOOKUP(A2156,MasterTutor!A:E,3,FALSE)</f>
        <v>Adjunct</v>
      </c>
      <c r="D2156" t="str">
        <f>VLOOKUP(A2156,MasterTutor!A:E,2,FALSE)</f>
        <v>Ela Cross</v>
      </c>
      <c r="E2156" t="s">
        <v>212</v>
      </c>
      <c r="F2156" s="22">
        <v>0.95830000000000004</v>
      </c>
      <c r="G2156" s="22">
        <v>1.0156000000000001</v>
      </c>
      <c r="H2156" s="22">
        <v>0.97674418604651103</v>
      </c>
      <c r="I2156" s="22">
        <v>1</v>
      </c>
      <c r="J2156" s="22">
        <v>0.73333333333333295</v>
      </c>
      <c r="K2156">
        <v>3</v>
      </c>
      <c r="L2156" s="19" t="s">
        <v>610</v>
      </c>
      <c r="M2156" s="21" t="e">
        <f t="shared" si="17"/>
        <v>#DIV/0!</v>
      </c>
    </row>
    <row r="2157" spans="1:13" x14ac:dyDescent="0.2">
      <c r="A2157" t="s">
        <v>92</v>
      </c>
      <c r="B2157" t="str">
        <f>VLOOKUP(A2157,MasterTutor!A:E,4,FALSE)</f>
        <v>Premium</v>
      </c>
      <c r="C2157" t="str">
        <f>VLOOKUP(A2157,MasterTutor!A:E,3,FALSE)</f>
        <v>Professional</v>
      </c>
      <c r="D2157" t="str">
        <f>VLOOKUP(A2157,MasterTutor!A:E,2,FALSE)</f>
        <v>Ian Plamondon</v>
      </c>
      <c r="E2157" t="s">
        <v>212</v>
      </c>
      <c r="F2157" s="22">
        <v>0.68810000000000004</v>
      </c>
      <c r="G2157" s="22">
        <v>1.2426999999999999</v>
      </c>
      <c r="H2157" s="22">
        <v>1</v>
      </c>
      <c r="I2157" s="22">
        <v>0.95</v>
      </c>
      <c r="J2157" s="22">
        <v>1</v>
      </c>
      <c r="K2157">
        <v>0</v>
      </c>
      <c r="L2157" s="19" t="s">
        <v>215</v>
      </c>
      <c r="M2157" s="21">
        <f t="shared" si="17"/>
        <v>1</v>
      </c>
    </row>
    <row r="2158" spans="1:13" x14ac:dyDescent="0.2">
      <c r="A2158" t="s">
        <v>93</v>
      </c>
      <c r="B2158" t="str">
        <f>VLOOKUP(A2158,MasterTutor!A:E,4,FALSE)</f>
        <v>Advanced</v>
      </c>
      <c r="C2158" t="str">
        <f>VLOOKUP(A2158,MasterTutor!A:E,3,FALSE)</f>
        <v>Professional</v>
      </c>
      <c r="D2158" t="str">
        <f>VLOOKUP(A2158,MasterTutor!A:E,2,FALSE)</f>
        <v>Ian Plamondon</v>
      </c>
      <c r="E2158" t="s">
        <v>212</v>
      </c>
      <c r="F2158" s="22">
        <v>0.9214</v>
      </c>
      <c r="G2158" s="22">
        <v>1.0333999999999901</v>
      </c>
      <c r="H2158" s="22">
        <v>0.99224806201550297</v>
      </c>
      <c r="I2158" s="22">
        <v>0.97</v>
      </c>
      <c r="J2158" s="22">
        <v>0.9375</v>
      </c>
      <c r="K2158">
        <v>14</v>
      </c>
      <c r="L2158" s="19" t="s">
        <v>273</v>
      </c>
      <c r="M2158" s="21">
        <f t="shared" si="17"/>
        <v>0.5714285714285714</v>
      </c>
    </row>
    <row r="2159" spans="1:13" x14ac:dyDescent="0.2">
      <c r="A2159" t="s">
        <v>94</v>
      </c>
      <c r="B2159" t="str">
        <f>VLOOKUP(A2159,MasterTutor!A:E,4,FALSE)</f>
        <v>Premium</v>
      </c>
      <c r="C2159" t="str">
        <f>VLOOKUP(A2159,MasterTutor!A:E,3,FALSE)</f>
        <v>Professional</v>
      </c>
      <c r="D2159" t="str">
        <f>VLOOKUP(A2159,MasterTutor!A:E,2,FALSE)</f>
        <v>Jessica Milner</v>
      </c>
      <c r="E2159" t="s">
        <v>212</v>
      </c>
      <c r="F2159" s="22">
        <v>0.77500000000000002</v>
      </c>
      <c r="G2159" s="22">
        <v>1.1117999999999999</v>
      </c>
      <c r="H2159" s="22">
        <v>0.98795180722891496</v>
      </c>
      <c r="I2159" s="22">
        <v>0.98245614035087703</v>
      </c>
      <c r="J2159" s="22">
        <v>0.47826086956521702</v>
      </c>
      <c r="K2159">
        <v>1</v>
      </c>
      <c r="L2159" s="19" t="s">
        <v>610</v>
      </c>
      <c r="M2159" s="21" t="e">
        <f t="shared" si="17"/>
        <v>#DIV/0!</v>
      </c>
    </row>
    <row r="2160" spans="1:13" x14ac:dyDescent="0.2">
      <c r="A2160" t="s">
        <v>95</v>
      </c>
      <c r="B2160" t="str">
        <f>VLOOKUP(A2160,MasterTutor!A:E,4,FALSE)</f>
        <v>Advanced</v>
      </c>
      <c r="C2160" t="str">
        <f>VLOOKUP(A2160,MasterTutor!A:E,3,FALSE)</f>
        <v>Professional</v>
      </c>
      <c r="D2160" t="str">
        <f>VLOOKUP(A2160,MasterTutor!A:E,2,FALSE)</f>
        <v>Kristin Haase-Alvey</v>
      </c>
      <c r="E2160" t="s">
        <v>212</v>
      </c>
      <c r="F2160" s="22">
        <v>0.875</v>
      </c>
      <c r="G2160" s="22">
        <v>0.99179999999999902</v>
      </c>
      <c r="H2160" s="22">
        <v>0.91869918699186903</v>
      </c>
      <c r="I2160" s="22">
        <v>0.96250000000000002</v>
      </c>
      <c r="J2160" s="22">
        <v>0.952380952380952</v>
      </c>
      <c r="K2160">
        <v>14</v>
      </c>
      <c r="L2160" s="19" t="s">
        <v>228</v>
      </c>
      <c r="M2160" s="21">
        <f t="shared" si="17"/>
        <v>0</v>
      </c>
    </row>
    <row r="2161" spans="1:13" x14ac:dyDescent="0.2">
      <c r="A2161" t="s">
        <v>274</v>
      </c>
      <c r="B2161" t="str">
        <f>VLOOKUP(A2161,MasterTutor!A:E,4,FALSE)</f>
        <v>Advanced</v>
      </c>
      <c r="C2161" t="str">
        <f>VLOOKUP(A2161,MasterTutor!A:E,3,FALSE)</f>
        <v>Adjunct- BUC</v>
      </c>
      <c r="D2161" t="str">
        <f>VLOOKUP(A2161,MasterTutor!A:E,2,FALSE)</f>
        <v>Ela Cross</v>
      </c>
      <c r="E2161" t="s">
        <v>212</v>
      </c>
      <c r="F2161" s="22">
        <v>1.05209999999999</v>
      </c>
      <c r="G2161" s="22">
        <v>1.5194999999999901</v>
      </c>
      <c r="H2161" s="22">
        <v>0.79245283018867896</v>
      </c>
      <c r="I2161" s="22">
        <v>0.6875</v>
      </c>
      <c r="J2161" s="22">
        <v>0.55555555555555503</v>
      </c>
      <c r="K2161">
        <v>2</v>
      </c>
      <c r="L2161" s="19" t="s">
        <v>219</v>
      </c>
      <c r="M2161" s="21">
        <f t="shared" si="17"/>
        <v>0</v>
      </c>
    </row>
    <row r="2162" spans="1:13" x14ac:dyDescent="0.2">
      <c r="A2162" t="s">
        <v>96</v>
      </c>
      <c r="B2162" t="str">
        <f>VLOOKUP(A2162,MasterTutor!A:E,4,FALSE)</f>
        <v>Distinguished</v>
      </c>
      <c r="C2162" t="str">
        <f>VLOOKUP(A2162,MasterTutor!A:E,3,FALSE)</f>
        <v>Adjunct</v>
      </c>
      <c r="D2162" t="str">
        <f>VLOOKUP(A2162,MasterTutor!A:E,2,FALSE)</f>
        <v>Kristin Haase-Alvey</v>
      </c>
      <c r="E2162" t="s">
        <v>212</v>
      </c>
      <c r="F2162" s="22">
        <v>0.71879999999999999</v>
      </c>
      <c r="G2162" s="22">
        <v>1.0754999999999999</v>
      </c>
      <c r="H2162" s="22">
        <v>0.98275862068965503</v>
      </c>
      <c r="I2162" s="22">
        <v>0.97560975609755995</v>
      </c>
      <c r="J2162" s="22">
        <v>1</v>
      </c>
      <c r="K2162">
        <v>3</v>
      </c>
      <c r="L2162" s="19" t="s">
        <v>234</v>
      </c>
      <c r="M2162" s="21">
        <f t="shared" si="17"/>
        <v>1</v>
      </c>
    </row>
    <row r="2163" spans="1:13" x14ac:dyDescent="0.2">
      <c r="A2163" t="s">
        <v>97</v>
      </c>
      <c r="B2163" t="str">
        <f>VLOOKUP(A2163,MasterTutor!A:E,4,FALSE)</f>
        <v>Advanced</v>
      </c>
      <c r="C2163" t="str">
        <f>VLOOKUP(A2163,MasterTutor!A:E,3,FALSE)</f>
        <v>Professional</v>
      </c>
      <c r="D2163" t="str">
        <f>VLOOKUP(A2163,MasterTutor!A:E,2,FALSE)</f>
        <v>Kristin Haase-Alvey</v>
      </c>
      <c r="E2163" t="s">
        <v>212</v>
      </c>
      <c r="F2163" s="22">
        <v>0.92920000000000003</v>
      </c>
      <c r="G2163" s="22">
        <v>0.95889999999999997</v>
      </c>
      <c r="H2163" s="22">
        <v>1</v>
      </c>
      <c r="I2163" s="22">
        <v>0.96341463414634099</v>
      </c>
      <c r="J2163" s="22">
        <v>0.68</v>
      </c>
      <c r="K2163">
        <v>6</v>
      </c>
      <c r="L2163" s="19" t="s">
        <v>227</v>
      </c>
      <c r="M2163" s="21">
        <f t="shared" si="17"/>
        <v>1</v>
      </c>
    </row>
    <row r="2164" spans="1:13" x14ac:dyDescent="0.2">
      <c r="A2164" t="s">
        <v>98</v>
      </c>
      <c r="B2164" t="str">
        <f>VLOOKUP(A2164,MasterTutor!A:E,4,FALSE)</f>
        <v>Premium</v>
      </c>
      <c r="C2164" t="str">
        <f>VLOOKUP(A2164,MasterTutor!A:E,3,FALSE)</f>
        <v>Adjunct</v>
      </c>
      <c r="D2164" t="str">
        <f>VLOOKUP(A2164,MasterTutor!A:E,2,FALSE)</f>
        <v>Ela Cross</v>
      </c>
      <c r="E2164" t="s">
        <v>212</v>
      </c>
      <c r="F2164" s="22">
        <v>0.82289999999999996</v>
      </c>
      <c r="G2164" s="22">
        <v>1.3789</v>
      </c>
      <c r="H2164" s="22">
        <v>0.97297297297297203</v>
      </c>
      <c r="I2164" s="22">
        <v>1</v>
      </c>
      <c r="J2164" s="22">
        <v>1</v>
      </c>
      <c r="K2164">
        <v>2</v>
      </c>
      <c r="L2164" s="19" t="s">
        <v>225</v>
      </c>
      <c r="M2164" s="21">
        <f t="shared" si="17"/>
        <v>0.5</v>
      </c>
    </row>
    <row r="2165" spans="1:13" x14ac:dyDescent="0.2">
      <c r="A2165" t="s">
        <v>100</v>
      </c>
      <c r="B2165" t="str">
        <f>VLOOKUP(A2165,MasterTutor!A:E,4,FALSE)</f>
        <v>Premium</v>
      </c>
      <c r="C2165" t="str">
        <f>VLOOKUP(A2165,MasterTutor!A:E,3,FALSE)</f>
        <v>Adjunct</v>
      </c>
      <c r="D2165" t="str">
        <f>VLOOKUP(A2165,MasterTutor!A:E,2,FALSE)</f>
        <v>Annelies de Groot</v>
      </c>
      <c r="E2165" t="s">
        <v>212</v>
      </c>
      <c r="F2165" s="22">
        <v>0</v>
      </c>
      <c r="G2165" s="22">
        <v>0</v>
      </c>
      <c r="H2165" s="22">
        <v>0</v>
      </c>
      <c r="I2165" s="22">
        <v>0</v>
      </c>
      <c r="J2165" s="22">
        <v>0</v>
      </c>
      <c r="K2165">
        <v>2</v>
      </c>
      <c r="L2165" s="19" t="s">
        <v>610</v>
      </c>
      <c r="M2165" s="21" t="e">
        <f t="shared" si="17"/>
        <v>#DIV/0!</v>
      </c>
    </row>
    <row r="2166" spans="1:13" x14ac:dyDescent="0.2">
      <c r="A2166" t="s">
        <v>101</v>
      </c>
      <c r="B2166" t="str">
        <f>VLOOKUP(A2166,MasterTutor!A:E,4,FALSE)</f>
        <v>Advanced</v>
      </c>
      <c r="C2166" t="str">
        <f>VLOOKUP(A2166,MasterTutor!A:E,3,FALSE)</f>
        <v>Professional</v>
      </c>
      <c r="D2166" t="str">
        <f>VLOOKUP(A2166,MasterTutor!A:E,2,FALSE)</f>
        <v>Kristin Haase-Alvey</v>
      </c>
      <c r="E2166" t="s">
        <v>212</v>
      </c>
      <c r="F2166" s="22">
        <v>0.94169999999999998</v>
      </c>
      <c r="G2166" s="22">
        <v>1.0263</v>
      </c>
      <c r="H2166" s="22">
        <v>0.977099236641221</v>
      </c>
      <c r="I2166" s="22">
        <v>0.98529411764705799</v>
      </c>
      <c r="J2166" s="22">
        <v>0.8</v>
      </c>
      <c r="K2166">
        <v>12</v>
      </c>
      <c r="L2166" s="19" t="s">
        <v>215</v>
      </c>
      <c r="M2166" s="21">
        <f t="shared" si="17"/>
        <v>1</v>
      </c>
    </row>
    <row r="2167" spans="1:13" x14ac:dyDescent="0.2">
      <c r="A2167" t="s">
        <v>103</v>
      </c>
      <c r="B2167" t="str">
        <f>VLOOKUP(A2167,MasterTutor!A:E,4,FALSE)</f>
        <v>Distinguished</v>
      </c>
      <c r="C2167" t="str">
        <f>VLOOKUP(A2167,MasterTutor!A:E,3,FALSE)</f>
        <v>Adjunct</v>
      </c>
      <c r="D2167" t="str">
        <f>VLOOKUP(A2167,MasterTutor!A:E,2,FALSE)</f>
        <v>Kristin Haase-Alvey</v>
      </c>
      <c r="E2167" t="s">
        <v>212</v>
      </c>
      <c r="F2167" s="22">
        <v>0.6875</v>
      </c>
      <c r="G2167" s="22">
        <v>1.1302000000000001</v>
      </c>
      <c r="H2167" s="22">
        <v>0.98181818181818103</v>
      </c>
      <c r="I2167" s="22">
        <v>0.91176470588235203</v>
      </c>
      <c r="J2167" s="22">
        <v>0.75</v>
      </c>
      <c r="K2167">
        <v>0</v>
      </c>
      <c r="L2167" s="19" t="s">
        <v>215</v>
      </c>
      <c r="M2167" s="21">
        <f t="shared" si="17"/>
        <v>1</v>
      </c>
    </row>
    <row r="2168" spans="1:13" x14ac:dyDescent="0.2">
      <c r="A2168" t="s">
        <v>104</v>
      </c>
      <c r="B2168" t="e">
        <f>VLOOKUP(A2168,MasterTutor!A:E,4,FALSE)</f>
        <v>#N/A</v>
      </c>
      <c r="C2168" t="e">
        <f>VLOOKUP(A2168,MasterTutor!A:E,3,FALSE)</f>
        <v>#N/A</v>
      </c>
      <c r="D2168" t="e">
        <f>VLOOKUP(A2168,MasterTutor!A:E,2,FALSE)</f>
        <v>#N/A</v>
      </c>
      <c r="E2168" t="s">
        <v>212</v>
      </c>
      <c r="F2168" s="22">
        <v>1.2447999999999999</v>
      </c>
      <c r="G2168" s="22">
        <v>1.1992</v>
      </c>
      <c r="H2168" s="22">
        <v>0.90769230769230702</v>
      </c>
      <c r="I2168" s="22">
        <v>0.25</v>
      </c>
      <c r="J2168" s="22">
        <v>0.7</v>
      </c>
      <c r="K2168">
        <v>5</v>
      </c>
      <c r="L2168" s="19" t="s">
        <v>275</v>
      </c>
      <c r="M2168" s="21">
        <f t="shared" si="17"/>
        <v>0.2</v>
      </c>
    </row>
    <row r="2169" spans="1:13" x14ac:dyDescent="0.2">
      <c r="A2169" t="s">
        <v>105</v>
      </c>
      <c r="B2169" t="str">
        <f>VLOOKUP(A2169,MasterTutor!A:E,4,FALSE)</f>
        <v>Advanced</v>
      </c>
      <c r="C2169" t="str">
        <f>VLOOKUP(A2169,MasterTutor!A:E,3,FALSE)</f>
        <v>Adjunct</v>
      </c>
      <c r="D2169" t="str">
        <f>VLOOKUP(A2169,MasterTutor!A:E,2,FALSE)</f>
        <v>Annelies de Groot</v>
      </c>
      <c r="E2169" t="s">
        <v>212</v>
      </c>
      <c r="F2169" s="22">
        <v>0.78129999999999999</v>
      </c>
      <c r="G2169" s="22">
        <v>1.1522999999999901</v>
      </c>
      <c r="H2169" s="22">
        <v>0.91836734693877498</v>
      </c>
      <c r="I2169" s="22">
        <v>0.94285714285714195</v>
      </c>
      <c r="J2169" s="22">
        <v>1</v>
      </c>
      <c r="K2169">
        <v>4</v>
      </c>
      <c r="L2169" s="19" t="s">
        <v>260</v>
      </c>
      <c r="M2169" s="21">
        <f t="shared" si="17"/>
        <v>0.16666666666666666</v>
      </c>
    </row>
    <row r="2170" spans="1:13" x14ac:dyDescent="0.2">
      <c r="A2170" t="s">
        <v>276</v>
      </c>
      <c r="B2170" t="str">
        <f>VLOOKUP(A2170,MasterTutor!A:E,4,FALSE)</f>
        <v>Advanced</v>
      </c>
      <c r="C2170" t="str">
        <f>VLOOKUP(A2170,MasterTutor!A:E,3,FALSE)</f>
        <v xml:space="preserve">Professional </v>
      </c>
      <c r="D2170" t="str">
        <f>VLOOKUP(A2170,MasterTutor!A:E,2,FALSE)</f>
        <v>Ian Plamondon</v>
      </c>
      <c r="E2170" t="s">
        <v>212</v>
      </c>
      <c r="F2170" s="22">
        <v>0.91669999999999996</v>
      </c>
      <c r="G2170" s="22">
        <v>1.0229999999999999</v>
      </c>
      <c r="H2170" s="22">
        <v>1</v>
      </c>
      <c r="I2170" s="22">
        <v>1</v>
      </c>
      <c r="J2170" s="22">
        <v>0</v>
      </c>
      <c r="K2170">
        <v>9</v>
      </c>
      <c r="L2170" s="19" t="s">
        <v>277</v>
      </c>
      <c r="M2170" s="21">
        <f t="shared" si="17"/>
        <v>0.375</v>
      </c>
    </row>
    <row r="2171" spans="1:13" x14ac:dyDescent="0.2">
      <c r="A2171" t="s">
        <v>278</v>
      </c>
      <c r="B2171" t="str">
        <f>VLOOKUP(A2171,MasterTutor!A:E,4,FALSE)</f>
        <v>Advanced</v>
      </c>
      <c r="C2171" t="str">
        <f>VLOOKUP(A2171,MasterTutor!A:E,3,FALSE)</f>
        <v xml:space="preserve">Professional </v>
      </c>
      <c r="D2171" t="str">
        <f>VLOOKUP(A2171,MasterTutor!A:E,2,FALSE)</f>
        <v>Geoff St. Marie</v>
      </c>
      <c r="E2171" t="s">
        <v>212</v>
      </c>
      <c r="F2171" s="22">
        <v>0.98329999999999995</v>
      </c>
      <c r="G2171" s="22">
        <v>1.0690999999999999</v>
      </c>
      <c r="H2171" s="22">
        <v>1</v>
      </c>
      <c r="I2171" s="22">
        <v>0.97530864197530798</v>
      </c>
      <c r="J2171" s="22">
        <v>0.64285714285714202</v>
      </c>
      <c r="K2171">
        <v>8</v>
      </c>
      <c r="L2171" s="19" t="s">
        <v>279</v>
      </c>
      <c r="M2171" s="21">
        <f t="shared" si="17"/>
        <v>0</v>
      </c>
    </row>
    <row r="2172" spans="1:13" x14ac:dyDescent="0.2">
      <c r="A2172" t="s">
        <v>107</v>
      </c>
      <c r="B2172" t="str">
        <f>VLOOKUP(A2172,MasterTutor!A:E,4,FALSE)</f>
        <v>Distinguished</v>
      </c>
      <c r="C2172" t="str">
        <f>VLOOKUP(A2172,MasterTutor!A:E,3,FALSE)</f>
        <v>Professional</v>
      </c>
      <c r="D2172" t="str">
        <f>VLOOKUP(A2172,MasterTutor!A:E,2,FALSE)</f>
        <v>Ian Plamondon</v>
      </c>
      <c r="E2172" t="s">
        <v>212</v>
      </c>
      <c r="F2172" s="22">
        <v>0.78749999999999998</v>
      </c>
      <c r="G2172" s="22">
        <v>1.3321999999999901</v>
      </c>
      <c r="H2172" s="22">
        <v>1</v>
      </c>
      <c r="I2172" s="22">
        <v>1</v>
      </c>
      <c r="J2172" s="22">
        <v>0.94117647058823495</v>
      </c>
      <c r="K2172">
        <v>1</v>
      </c>
      <c r="L2172" s="19" t="s">
        <v>243</v>
      </c>
      <c r="M2172" s="21">
        <f t="shared" si="17"/>
        <v>0.33333333333333331</v>
      </c>
    </row>
    <row r="2173" spans="1:13" x14ac:dyDescent="0.2">
      <c r="A2173" t="s">
        <v>108</v>
      </c>
      <c r="B2173" t="str">
        <f>VLOOKUP(A2173,MasterTutor!A:E,4,FALSE)</f>
        <v>Advanced</v>
      </c>
      <c r="C2173" t="str">
        <f>VLOOKUP(A2173,MasterTutor!A:E,3,FALSE)</f>
        <v>Professional</v>
      </c>
      <c r="D2173" t="str">
        <f>VLOOKUP(A2173,MasterTutor!A:E,2,FALSE)</f>
        <v>Geoff St. Marie</v>
      </c>
      <c r="E2173" t="s">
        <v>212</v>
      </c>
      <c r="F2173" s="22">
        <v>0.97859999999999903</v>
      </c>
      <c r="G2173" s="22">
        <v>1.093</v>
      </c>
      <c r="H2173" s="22">
        <v>1</v>
      </c>
      <c r="I2173" s="22">
        <v>0.95384615384615301</v>
      </c>
      <c r="J2173" s="22">
        <v>0.92307692307692302</v>
      </c>
      <c r="K2173">
        <v>8</v>
      </c>
      <c r="L2173" s="19" t="s">
        <v>280</v>
      </c>
      <c r="M2173" s="21">
        <f t="shared" si="17"/>
        <v>0.83333333333333337</v>
      </c>
    </row>
    <row r="2174" spans="1:13" x14ac:dyDescent="0.2">
      <c r="A2174" t="s">
        <v>111</v>
      </c>
      <c r="B2174" t="str">
        <f>VLOOKUP(A2174,MasterTutor!A:E,4,FALSE)</f>
        <v>Premium</v>
      </c>
      <c r="C2174" t="str">
        <f>VLOOKUP(A2174,MasterTutor!A:E,3,FALSE)</f>
        <v>Adjunct</v>
      </c>
      <c r="D2174" t="str">
        <f>VLOOKUP(A2174,MasterTutor!A:E,2,FALSE)</f>
        <v>Kristin Haase-Alvey</v>
      </c>
      <c r="E2174" t="s">
        <v>212</v>
      </c>
      <c r="F2174" s="22">
        <v>0.66669999999999996</v>
      </c>
      <c r="G2174" s="22">
        <v>1.3397999999999901</v>
      </c>
      <c r="H2174" s="22">
        <v>1</v>
      </c>
      <c r="I2174" s="22">
        <v>1</v>
      </c>
      <c r="J2174" s="22">
        <v>1</v>
      </c>
      <c r="K2174">
        <v>0</v>
      </c>
      <c r="L2174" s="19" t="s">
        <v>215</v>
      </c>
      <c r="M2174" s="21">
        <f t="shared" si="17"/>
        <v>1</v>
      </c>
    </row>
    <row r="2175" spans="1:13" x14ac:dyDescent="0.2">
      <c r="A2175" t="s">
        <v>281</v>
      </c>
      <c r="B2175" t="str">
        <f>VLOOKUP(A2175,MasterTutor!A:E,4,FALSE)</f>
        <v>Advanced</v>
      </c>
      <c r="C2175" t="str">
        <f>VLOOKUP(A2175,MasterTutor!A:E,3,FALSE)</f>
        <v>Professional</v>
      </c>
      <c r="D2175" t="str">
        <f>VLOOKUP(A2175,MasterTutor!A:E,2,FALSE)</f>
        <v>Annelies de Groot</v>
      </c>
      <c r="E2175" t="s">
        <v>212</v>
      </c>
      <c r="F2175" s="22">
        <v>0.88929999999999898</v>
      </c>
      <c r="G2175" s="22">
        <v>0.97970000000000002</v>
      </c>
      <c r="H2175" s="22">
        <v>0.99315068493150604</v>
      </c>
      <c r="I2175" s="22">
        <v>0.96039603960396003</v>
      </c>
      <c r="J2175" s="22">
        <v>0.46153846153846101</v>
      </c>
      <c r="K2175">
        <v>14</v>
      </c>
      <c r="L2175" s="19" t="s">
        <v>282</v>
      </c>
      <c r="M2175" s="21">
        <f t="shared" si="17"/>
        <v>0</v>
      </c>
    </row>
    <row r="2176" spans="1:13" x14ac:dyDescent="0.2">
      <c r="A2176" t="s">
        <v>115</v>
      </c>
      <c r="B2176" t="str">
        <f>VLOOKUP(A2176,MasterTutor!A:E,4,FALSE)</f>
        <v>Advanced</v>
      </c>
      <c r="C2176" t="str">
        <f>VLOOKUP(A2176,MasterTutor!A:E,3,FALSE)</f>
        <v>Adjunct</v>
      </c>
      <c r="D2176" t="str">
        <f>VLOOKUP(A2176,MasterTutor!A:E,2,FALSE)</f>
        <v>Kristin Haase-Alvey</v>
      </c>
      <c r="E2176" t="s">
        <v>212</v>
      </c>
      <c r="F2176" s="22">
        <v>1.1943999999999999</v>
      </c>
      <c r="G2176" s="22">
        <v>1.1679999999999999</v>
      </c>
      <c r="H2176" s="22">
        <v>1</v>
      </c>
      <c r="I2176" s="22">
        <v>0.97499999999999998</v>
      </c>
      <c r="J2176" s="22">
        <v>1</v>
      </c>
      <c r="K2176">
        <v>6</v>
      </c>
      <c r="L2176" s="19" t="s">
        <v>226</v>
      </c>
      <c r="M2176" s="21">
        <f t="shared" si="17"/>
        <v>0.75</v>
      </c>
    </row>
    <row r="2177" spans="1:13" x14ac:dyDescent="0.2">
      <c r="A2177" t="s">
        <v>283</v>
      </c>
      <c r="B2177" t="str">
        <f>VLOOKUP(A2177,MasterTutor!A:E,4,FALSE)</f>
        <v>Advanced</v>
      </c>
      <c r="C2177" t="str">
        <f>VLOOKUP(A2177,MasterTutor!A:E,3,FALSE)</f>
        <v>Adjunct- BUC</v>
      </c>
      <c r="D2177" t="str">
        <f>VLOOKUP(A2177,MasterTutor!A:E,2,FALSE)</f>
        <v>Geoff St. Marie</v>
      </c>
      <c r="E2177" t="s">
        <v>212</v>
      </c>
      <c r="F2177" s="22">
        <v>1.175</v>
      </c>
      <c r="G2177" s="22">
        <v>1.46609999999999</v>
      </c>
      <c r="H2177" s="22">
        <v>1</v>
      </c>
      <c r="I2177" s="22">
        <v>1</v>
      </c>
      <c r="J2177" s="22">
        <v>0.5</v>
      </c>
      <c r="K2177">
        <v>8</v>
      </c>
      <c r="L2177" s="19" t="s">
        <v>284</v>
      </c>
      <c r="M2177" s="21">
        <f t="shared" si="17"/>
        <v>0.77777777777777779</v>
      </c>
    </row>
    <row r="2178" spans="1:13" x14ac:dyDescent="0.2">
      <c r="A2178" t="s">
        <v>285</v>
      </c>
      <c r="B2178" t="str">
        <f>VLOOKUP(A2178,MasterTutor!A:E,4,FALSE)</f>
        <v>Advanced</v>
      </c>
      <c r="C2178" t="str">
        <f>VLOOKUP(A2178,MasterTutor!A:E,3,FALSE)</f>
        <v>Professional</v>
      </c>
      <c r="D2178" t="str">
        <f>VLOOKUP(A2178,MasterTutor!A:E,2,FALSE)</f>
        <v>Ela Cross</v>
      </c>
      <c r="E2178" t="s">
        <v>212</v>
      </c>
      <c r="F2178" s="22">
        <v>1.0542</v>
      </c>
      <c r="G2178" s="22">
        <v>1.1578999999999999</v>
      </c>
      <c r="H2178" s="22">
        <v>1</v>
      </c>
      <c r="I2178" s="22">
        <v>0.84615384615384603</v>
      </c>
      <c r="J2178" s="22">
        <v>0.16666666666666599</v>
      </c>
      <c r="K2178">
        <v>9</v>
      </c>
      <c r="L2178" s="19" t="s">
        <v>279</v>
      </c>
      <c r="M2178" s="21">
        <f t="shared" si="17"/>
        <v>0</v>
      </c>
    </row>
    <row r="2179" spans="1:13" x14ac:dyDescent="0.2">
      <c r="A2179" t="s">
        <v>116</v>
      </c>
      <c r="B2179" t="str">
        <f>VLOOKUP(A2179,MasterTutor!A:E,4,FALSE)</f>
        <v>Premium</v>
      </c>
      <c r="C2179" t="str">
        <f>VLOOKUP(A2179,MasterTutor!A:E,3,FALSE)</f>
        <v>Professional</v>
      </c>
      <c r="D2179" t="str">
        <f>VLOOKUP(A2179,MasterTutor!A:E,2,FALSE)</f>
        <v>Jessica Milner</v>
      </c>
      <c r="E2179" t="s">
        <v>212</v>
      </c>
      <c r="F2179" s="22">
        <v>0.906299999999999</v>
      </c>
      <c r="G2179" s="22">
        <v>1.0657999999999901</v>
      </c>
      <c r="H2179" s="22">
        <v>1</v>
      </c>
      <c r="I2179" s="22">
        <v>1</v>
      </c>
      <c r="J2179" s="22">
        <v>0.86363636363636298</v>
      </c>
      <c r="K2179">
        <v>3</v>
      </c>
      <c r="L2179" s="19" t="s">
        <v>225</v>
      </c>
      <c r="M2179" s="21">
        <f t="shared" si="17"/>
        <v>0.5</v>
      </c>
    </row>
    <row r="2180" spans="1:13" x14ac:dyDescent="0.2">
      <c r="A2180" t="s">
        <v>117</v>
      </c>
      <c r="B2180" t="str">
        <f>VLOOKUP(A2180,MasterTutor!A:E,4,FALSE)</f>
        <v>Advanced</v>
      </c>
      <c r="C2180" t="str">
        <f>VLOOKUP(A2180,MasterTutor!A:E,3,FALSE)</f>
        <v>Professional</v>
      </c>
      <c r="D2180" t="str">
        <f>VLOOKUP(A2180,MasterTutor!A:E,2,FALSE)</f>
        <v>Kristin Haase-Alvey</v>
      </c>
      <c r="E2180" t="s">
        <v>212</v>
      </c>
      <c r="F2180" s="22">
        <v>1.05</v>
      </c>
      <c r="G2180" s="22">
        <v>1.0246999999999999</v>
      </c>
      <c r="H2180" s="22">
        <v>1</v>
      </c>
      <c r="I2180" s="22">
        <v>0.85714285714285698</v>
      </c>
      <c r="J2180" s="22">
        <v>0.73913043478260798</v>
      </c>
      <c r="K2180">
        <v>8</v>
      </c>
      <c r="L2180" s="19" t="s">
        <v>286</v>
      </c>
      <c r="M2180" s="21">
        <f t="shared" si="17"/>
        <v>0.66666666666666663</v>
      </c>
    </row>
    <row r="2181" spans="1:13" x14ac:dyDescent="0.2">
      <c r="A2181" t="s">
        <v>119</v>
      </c>
      <c r="B2181" t="str">
        <f>VLOOKUP(A2181,MasterTutor!A:E,4,FALSE)</f>
        <v>Distinguished</v>
      </c>
      <c r="C2181" t="str">
        <f>VLOOKUP(A2181,MasterTutor!A:E,3,FALSE)</f>
        <v>Professional</v>
      </c>
      <c r="D2181" t="str">
        <f>VLOOKUP(A2181,MasterTutor!A:E,2,FALSE)</f>
        <v>Kristin Haase-Alvey</v>
      </c>
      <c r="E2181" t="s">
        <v>212</v>
      </c>
      <c r="F2181" s="22">
        <v>0.68330000000000002</v>
      </c>
      <c r="G2181" s="22">
        <v>1.0099</v>
      </c>
      <c r="H2181" s="22">
        <v>1</v>
      </c>
      <c r="I2181" s="22">
        <v>0.96666666666666601</v>
      </c>
      <c r="J2181" s="22">
        <v>0.90909090909090895</v>
      </c>
      <c r="K2181">
        <v>0</v>
      </c>
      <c r="L2181" s="19" t="s">
        <v>219</v>
      </c>
      <c r="M2181" s="21">
        <f t="shared" si="17"/>
        <v>0</v>
      </c>
    </row>
    <row r="2182" spans="1:13" x14ac:dyDescent="0.2">
      <c r="A2182" t="s">
        <v>120</v>
      </c>
      <c r="B2182" t="str">
        <f>VLOOKUP(A2182,MasterTutor!A:E,4,FALSE)</f>
        <v>Premium</v>
      </c>
      <c r="C2182" t="str">
        <f>VLOOKUP(A2182,MasterTutor!A:E,3,FALSE)</f>
        <v>Professional</v>
      </c>
      <c r="D2182" t="str">
        <f>VLOOKUP(A2182,MasterTutor!A:E,2,FALSE)</f>
        <v>Jessica Milner</v>
      </c>
      <c r="E2182" t="s">
        <v>212</v>
      </c>
      <c r="F2182" s="22">
        <v>0.51790000000000003</v>
      </c>
      <c r="G2182" s="22">
        <v>1.0044</v>
      </c>
      <c r="H2182" s="22">
        <v>0.984375</v>
      </c>
      <c r="I2182" s="22">
        <v>0.93617021276595702</v>
      </c>
      <c r="J2182" s="22">
        <v>0.26086956521739102</v>
      </c>
      <c r="K2182">
        <v>1</v>
      </c>
      <c r="L2182" s="19" t="s">
        <v>267</v>
      </c>
      <c r="M2182" s="21">
        <f t="shared" si="17"/>
        <v>0</v>
      </c>
    </row>
    <row r="2183" spans="1:13" x14ac:dyDescent="0.2">
      <c r="A2183" t="s">
        <v>121</v>
      </c>
      <c r="B2183" t="str">
        <f>VLOOKUP(A2183,MasterTutor!A:E,4,FALSE)</f>
        <v>Advanced</v>
      </c>
      <c r="C2183" t="str">
        <f>VLOOKUP(A2183,MasterTutor!A:E,3,FALSE)</f>
        <v>Adjunct</v>
      </c>
      <c r="D2183" t="str">
        <f>VLOOKUP(A2183,MasterTutor!A:E,2,FALSE)</f>
        <v>Annelies de Groot</v>
      </c>
      <c r="E2183" t="s">
        <v>212</v>
      </c>
      <c r="F2183" s="22">
        <v>0.38540000000000002</v>
      </c>
      <c r="G2183" s="22">
        <v>1.2812999999999899</v>
      </c>
      <c r="H2183" s="22">
        <v>1</v>
      </c>
      <c r="I2183" s="22">
        <v>1</v>
      </c>
      <c r="J2183" s="22">
        <v>0.54545454545454497</v>
      </c>
      <c r="K2183">
        <v>0</v>
      </c>
      <c r="L2183" s="19" t="s">
        <v>215</v>
      </c>
      <c r="M2183" s="21">
        <f t="shared" si="17"/>
        <v>1</v>
      </c>
    </row>
    <row r="2184" spans="1:13" x14ac:dyDescent="0.2">
      <c r="A2184" t="s">
        <v>123</v>
      </c>
      <c r="B2184" t="str">
        <f>VLOOKUP(A2184,MasterTutor!A:E,4,FALSE)</f>
        <v>Premium</v>
      </c>
      <c r="C2184" t="str">
        <f>VLOOKUP(A2184,MasterTutor!A:E,3,FALSE)</f>
        <v xml:space="preserve">Professional </v>
      </c>
      <c r="D2184" t="str">
        <f>VLOOKUP(A2184,MasterTutor!A:E,2,FALSE)</f>
        <v>Ela Cross</v>
      </c>
      <c r="E2184" t="s">
        <v>212</v>
      </c>
      <c r="F2184" s="22">
        <v>0.87919999999999998</v>
      </c>
      <c r="G2184" s="22">
        <v>1.1776</v>
      </c>
      <c r="H2184" s="22">
        <v>1</v>
      </c>
      <c r="I2184" s="22">
        <v>0.971830985915492</v>
      </c>
      <c r="J2184" s="22">
        <v>0.74074074074074003</v>
      </c>
      <c r="K2184">
        <v>4</v>
      </c>
      <c r="L2184" s="19" t="s">
        <v>227</v>
      </c>
      <c r="M2184" s="21">
        <f t="shared" si="17"/>
        <v>1</v>
      </c>
    </row>
    <row r="2185" spans="1:13" x14ac:dyDescent="0.2">
      <c r="A2185" t="s">
        <v>125</v>
      </c>
      <c r="B2185" t="str">
        <f>VLOOKUP(A2185,MasterTutor!A:E,4,FALSE)</f>
        <v>Advanced</v>
      </c>
      <c r="C2185" t="str">
        <f>VLOOKUP(A2185,MasterTutor!A:E,3,FALSE)</f>
        <v>Professional</v>
      </c>
      <c r="D2185" t="str">
        <f>VLOOKUP(A2185,MasterTutor!A:E,2,FALSE)</f>
        <v>Kristin Haase-Alvey</v>
      </c>
      <c r="E2185" t="s">
        <v>212</v>
      </c>
      <c r="F2185" s="22">
        <v>0.62919999999999998</v>
      </c>
      <c r="G2185" s="22">
        <v>0.67429999999999901</v>
      </c>
      <c r="H2185" s="22">
        <v>0.92307692307692302</v>
      </c>
      <c r="I2185" s="22">
        <v>0.90476190476190399</v>
      </c>
      <c r="J2185" s="22">
        <v>0.90909090909090895</v>
      </c>
      <c r="K2185">
        <v>8</v>
      </c>
      <c r="L2185" s="19" t="s">
        <v>287</v>
      </c>
      <c r="M2185" s="21">
        <f t="shared" si="17"/>
        <v>0.5</v>
      </c>
    </row>
    <row r="2186" spans="1:13" x14ac:dyDescent="0.2">
      <c r="A2186" t="s">
        <v>126</v>
      </c>
      <c r="B2186" t="str">
        <f>VLOOKUP(A2186,MasterTutor!A:E,4,FALSE)</f>
        <v>Distinguished</v>
      </c>
      <c r="C2186" t="str">
        <f>VLOOKUP(A2186,MasterTutor!A:E,3,FALSE)</f>
        <v>Professional</v>
      </c>
      <c r="D2186" t="str">
        <f>VLOOKUP(A2186,MasterTutor!A:E,2,FALSE)</f>
        <v>Ian Plamondon</v>
      </c>
      <c r="E2186" t="s">
        <v>212</v>
      </c>
      <c r="F2186" s="22">
        <v>0.4</v>
      </c>
      <c r="G2186" s="22">
        <v>1.2170999999999901</v>
      </c>
      <c r="H2186" s="22">
        <v>0.97777777777777697</v>
      </c>
      <c r="I2186" s="22">
        <v>1</v>
      </c>
      <c r="J2186" s="22">
        <v>0.875</v>
      </c>
      <c r="K2186">
        <v>1</v>
      </c>
      <c r="L2186" s="19" t="s">
        <v>219</v>
      </c>
      <c r="M2186" s="21">
        <f t="shared" si="17"/>
        <v>0</v>
      </c>
    </row>
    <row r="2187" spans="1:13" x14ac:dyDescent="0.2">
      <c r="A2187" t="s">
        <v>288</v>
      </c>
      <c r="B2187" t="str">
        <f>VLOOKUP(A2187,MasterTutor!A:E,4,FALSE)</f>
        <v>Advanced</v>
      </c>
      <c r="C2187" t="str">
        <f>VLOOKUP(A2187,MasterTutor!A:E,3,FALSE)</f>
        <v>Adjunct- BUC</v>
      </c>
      <c r="D2187" t="str">
        <f>VLOOKUP(A2187,MasterTutor!A:E,2,FALSE)</f>
        <v>Geoff St. Marie</v>
      </c>
      <c r="E2187" t="s">
        <v>212</v>
      </c>
      <c r="F2187" s="22">
        <v>0</v>
      </c>
      <c r="G2187" s="22">
        <v>0.73960000000000004</v>
      </c>
      <c r="H2187" s="22">
        <v>0</v>
      </c>
      <c r="I2187" s="22">
        <v>0</v>
      </c>
      <c r="J2187" s="22">
        <v>0</v>
      </c>
      <c r="K2187">
        <v>0</v>
      </c>
      <c r="L2187" s="19" t="s">
        <v>610</v>
      </c>
      <c r="M2187" s="21" t="e">
        <f t="shared" si="17"/>
        <v>#DIV/0!</v>
      </c>
    </row>
    <row r="2188" spans="1:13" x14ac:dyDescent="0.2">
      <c r="A2188" t="s">
        <v>127</v>
      </c>
      <c r="B2188" t="str">
        <f>VLOOKUP(A2188,MasterTutor!A:E,4,FALSE)</f>
        <v>Premium</v>
      </c>
      <c r="C2188" t="str">
        <f>VLOOKUP(A2188,MasterTutor!A:E,3,FALSE)</f>
        <v>Professional</v>
      </c>
      <c r="D2188" t="str">
        <f>VLOOKUP(A2188,MasterTutor!A:E,2,FALSE)</f>
        <v>Jessica Milner</v>
      </c>
      <c r="E2188" t="s">
        <v>212</v>
      </c>
      <c r="F2188" s="22">
        <v>0.5917</v>
      </c>
      <c r="G2188" s="22">
        <v>0.77959999999999996</v>
      </c>
      <c r="H2188" s="22">
        <v>0.97014925373134298</v>
      </c>
      <c r="I2188" s="22">
        <v>1</v>
      </c>
      <c r="J2188" s="22">
        <v>0.31578947368421001</v>
      </c>
      <c r="K2188">
        <v>1</v>
      </c>
      <c r="L2188" s="19" t="s">
        <v>226</v>
      </c>
      <c r="M2188" s="21">
        <f t="shared" si="17"/>
        <v>0.75</v>
      </c>
    </row>
    <row r="2189" spans="1:13" x14ac:dyDescent="0.2">
      <c r="A2189" t="s">
        <v>128</v>
      </c>
      <c r="B2189" t="str">
        <f>VLOOKUP(A2189,MasterTutor!A:E,4,FALSE)</f>
        <v>Distinguished</v>
      </c>
      <c r="C2189" t="str">
        <f>VLOOKUP(A2189,MasterTutor!A:E,3,FALSE)</f>
        <v>Professional</v>
      </c>
      <c r="D2189" t="str">
        <f>VLOOKUP(A2189,MasterTutor!A:E,2,FALSE)</f>
        <v>Ian Plamondon</v>
      </c>
      <c r="E2189" t="s">
        <v>212</v>
      </c>
      <c r="F2189" s="22">
        <v>0.87919999999999998</v>
      </c>
      <c r="G2189" s="22">
        <v>1.7845</v>
      </c>
      <c r="H2189" s="22">
        <v>0.97058823529411697</v>
      </c>
      <c r="I2189" s="22">
        <v>1</v>
      </c>
      <c r="J2189" s="22">
        <v>1</v>
      </c>
      <c r="K2189">
        <v>2</v>
      </c>
      <c r="L2189" s="19" t="s">
        <v>253</v>
      </c>
      <c r="M2189" s="21">
        <f t="shared" si="17"/>
        <v>1</v>
      </c>
    </row>
    <row r="2190" spans="1:13" x14ac:dyDescent="0.2">
      <c r="A2190" t="s">
        <v>129</v>
      </c>
      <c r="B2190" t="str">
        <f>VLOOKUP(A2190,MasterTutor!A:E,4,FALSE)</f>
        <v>Premium</v>
      </c>
      <c r="C2190" t="str">
        <f>VLOOKUP(A2190,MasterTutor!A:E,3,FALSE)</f>
        <v>Adjunct</v>
      </c>
      <c r="D2190" t="str">
        <f>VLOOKUP(A2190,MasterTutor!A:E,2,FALSE)</f>
        <v>Annelies de Groot</v>
      </c>
      <c r="E2190" t="s">
        <v>212</v>
      </c>
      <c r="F2190" s="22">
        <v>0.92710000000000004</v>
      </c>
      <c r="G2190" s="22">
        <v>1.2226999999999999</v>
      </c>
      <c r="H2190" s="22">
        <v>0.9375</v>
      </c>
      <c r="I2190" s="22">
        <v>0.88888888888888795</v>
      </c>
      <c r="J2190" s="22">
        <v>0.91666666666666596</v>
      </c>
      <c r="K2190">
        <v>3</v>
      </c>
      <c r="L2190" s="19" t="s">
        <v>228</v>
      </c>
      <c r="M2190" s="21">
        <f t="shared" si="17"/>
        <v>0</v>
      </c>
    </row>
    <row r="2191" spans="1:13" x14ac:dyDescent="0.2">
      <c r="A2191" t="s">
        <v>130</v>
      </c>
      <c r="B2191" t="str">
        <f>VLOOKUP(A2191,MasterTutor!A:E,4,FALSE)</f>
        <v>Premium</v>
      </c>
      <c r="C2191" t="str">
        <f>VLOOKUP(A2191,MasterTutor!A:E,3,FALSE)</f>
        <v>Adjunct</v>
      </c>
      <c r="D2191" t="str">
        <f>VLOOKUP(A2191,MasterTutor!A:E,2,FALSE)</f>
        <v>Ela Cross</v>
      </c>
      <c r="E2191" t="s">
        <v>212</v>
      </c>
      <c r="F2191" s="22">
        <v>0.7</v>
      </c>
      <c r="G2191" s="22">
        <v>1.3072999999999999</v>
      </c>
      <c r="H2191" s="22">
        <v>1</v>
      </c>
      <c r="I2191" s="22">
        <v>1</v>
      </c>
      <c r="J2191" s="22">
        <v>1</v>
      </c>
      <c r="K2191">
        <v>2</v>
      </c>
      <c r="L2191" s="19" t="s">
        <v>227</v>
      </c>
      <c r="M2191" s="21">
        <f t="shared" si="17"/>
        <v>1</v>
      </c>
    </row>
    <row r="2192" spans="1:13" x14ac:dyDescent="0.2">
      <c r="A2192" t="s">
        <v>131</v>
      </c>
      <c r="B2192" t="str">
        <f>VLOOKUP(A2192,MasterTutor!A:E,4,FALSE)</f>
        <v>Advanced</v>
      </c>
      <c r="C2192" t="str">
        <f>VLOOKUP(A2192,MasterTutor!A:E,3,FALSE)</f>
        <v>Professional</v>
      </c>
      <c r="D2192" t="str">
        <f>VLOOKUP(A2192,MasterTutor!A:E,2,FALSE)</f>
        <v>Ian Plamondon</v>
      </c>
      <c r="E2192" t="s">
        <v>212</v>
      </c>
      <c r="F2192" s="22">
        <v>0.82499999999999996</v>
      </c>
      <c r="G2192" s="22">
        <v>1.2039</v>
      </c>
      <c r="H2192" s="22">
        <v>0.93333333333333302</v>
      </c>
      <c r="I2192" s="22">
        <v>0.98305084745762705</v>
      </c>
      <c r="J2192" s="22">
        <v>0.76470588235294101</v>
      </c>
      <c r="K2192">
        <v>5</v>
      </c>
      <c r="L2192" s="19" t="s">
        <v>225</v>
      </c>
      <c r="M2192" s="21">
        <f t="shared" si="17"/>
        <v>0.5</v>
      </c>
    </row>
    <row r="2193" spans="1:13" x14ac:dyDescent="0.2">
      <c r="A2193" t="s">
        <v>132</v>
      </c>
      <c r="B2193" t="str">
        <f>VLOOKUP(A2193,MasterTutor!A:E,4,FALSE)</f>
        <v>Distinguished</v>
      </c>
      <c r="C2193" t="str">
        <f>VLOOKUP(A2193,MasterTutor!A:E,3,FALSE)</f>
        <v>Professional</v>
      </c>
      <c r="D2193" t="str">
        <f>VLOOKUP(A2193,MasterTutor!A:E,2,FALSE)</f>
        <v>Kristin Haase-Alvey</v>
      </c>
      <c r="E2193" t="s">
        <v>212</v>
      </c>
      <c r="F2193" s="22">
        <v>0.81069999999999998</v>
      </c>
      <c r="G2193" s="22">
        <v>1.3503000000000001</v>
      </c>
      <c r="H2193" s="22">
        <v>1</v>
      </c>
      <c r="I2193" s="22">
        <v>0.75409836065573699</v>
      </c>
      <c r="J2193" s="22">
        <v>1</v>
      </c>
      <c r="K2193">
        <v>4</v>
      </c>
      <c r="L2193" s="19" t="s">
        <v>234</v>
      </c>
      <c r="M2193" s="21">
        <f t="shared" si="17"/>
        <v>1</v>
      </c>
    </row>
    <row r="2194" spans="1:13" x14ac:dyDescent="0.2">
      <c r="A2194" t="s">
        <v>133</v>
      </c>
      <c r="B2194" t="e">
        <f>VLOOKUP(A2194,MasterTutor!A:E,4,FALSE)</f>
        <v>#N/A</v>
      </c>
      <c r="C2194" t="e">
        <f>VLOOKUP(A2194,MasterTutor!A:E,3,FALSE)</f>
        <v>#N/A</v>
      </c>
      <c r="D2194" t="e">
        <f>VLOOKUP(A2194,MasterTutor!A:E,2,FALSE)</f>
        <v>#N/A</v>
      </c>
      <c r="E2194" t="s">
        <v>212</v>
      </c>
      <c r="F2194" s="22">
        <v>0.8125</v>
      </c>
      <c r="G2194" s="22">
        <v>0.89059999999999995</v>
      </c>
      <c r="H2194" s="22">
        <v>0.78571428571428503</v>
      </c>
      <c r="I2194" s="22">
        <v>0.36842105263157798</v>
      </c>
      <c r="J2194" s="22">
        <v>0.33333333333333298</v>
      </c>
      <c r="K2194">
        <v>1</v>
      </c>
      <c r="L2194" s="19" t="s">
        <v>219</v>
      </c>
      <c r="M2194" s="21">
        <f t="shared" si="17"/>
        <v>0</v>
      </c>
    </row>
    <row r="2195" spans="1:13" x14ac:dyDescent="0.2">
      <c r="A2195" t="s">
        <v>289</v>
      </c>
      <c r="B2195" t="str">
        <f>VLOOKUP(A2195,MasterTutor!A:E,4,FALSE)</f>
        <v>Advanced</v>
      </c>
      <c r="C2195" t="str">
        <f>VLOOKUP(A2195,MasterTutor!A:E,3,FALSE)</f>
        <v xml:space="preserve">Professional </v>
      </c>
      <c r="D2195" t="str">
        <f>VLOOKUP(A2195,MasterTutor!A:E,2,FALSE)</f>
        <v>Annelies de Groot</v>
      </c>
      <c r="E2195" t="s">
        <v>212</v>
      </c>
      <c r="F2195" s="22">
        <v>0.87919999999999998</v>
      </c>
      <c r="G2195" s="22">
        <v>1.0806</v>
      </c>
      <c r="H2195" s="22">
        <v>0.98947368421052595</v>
      </c>
      <c r="I2195" s="22">
        <v>0.93442622950819598</v>
      </c>
      <c r="J2195" s="22">
        <v>0</v>
      </c>
      <c r="K2195">
        <v>5</v>
      </c>
      <c r="L2195" s="19" t="s">
        <v>290</v>
      </c>
      <c r="M2195" s="21">
        <f t="shared" si="17"/>
        <v>0.6470588235294118</v>
      </c>
    </row>
    <row r="2196" spans="1:13" x14ac:dyDescent="0.2">
      <c r="A2196" t="s">
        <v>134</v>
      </c>
      <c r="B2196" t="str">
        <f>VLOOKUP(A2196,MasterTutor!A:E,4,FALSE)</f>
        <v>Distinguished</v>
      </c>
      <c r="C2196" t="str">
        <f>VLOOKUP(A2196,MasterTutor!A:E,3,FALSE)</f>
        <v>Professional</v>
      </c>
      <c r="D2196" t="str">
        <f>VLOOKUP(A2196,MasterTutor!A:E,2,FALSE)</f>
        <v>Annelies de Groot</v>
      </c>
      <c r="E2196" t="s">
        <v>212</v>
      </c>
      <c r="F2196" s="22">
        <v>0.7792</v>
      </c>
      <c r="G2196" s="22">
        <v>1.0920999999999901</v>
      </c>
      <c r="H2196" s="22">
        <v>1</v>
      </c>
      <c r="I2196" s="22">
        <v>0.90322580645161199</v>
      </c>
      <c r="J2196" s="22">
        <v>0.4</v>
      </c>
      <c r="K2196">
        <v>3</v>
      </c>
      <c r="L2196" s="19" t="s">
        <v>256</v>
      </c>
      <c r="M2196" s="21">
        <f t="shared" si="17"/>
        <v>0.83333333333333337</v>
      </c>
    </row>
    <row r="2197" spans="1:13" x14ac:dyDescent="0.2">
      <c r="A2197" t="s">
        <v>291</v>
      </c>
      <c r="B2197" t="e">
        <f>VLOOKUP(A2197,MasterTutor!A:E,4,FALSE)</f>
        <v>#N/A</v>
      </c>
      <c r="C2197" t="e">
        <f>VLOOKUP(A2197,MasterTutor!A:E,3,FALSE)</f>
        <v>#N/A</v>
      </c>
      <c r="D2197" t="e">
        <f>VLOOKUP(A2197,MasterTutor!A:E,2,FALSE)</f>
        <v>#N/A</v>
      </c>
      <c r="E2197" t="s">
        <v>212</v>
      </c>
      <c r="F2197" s="22">
        <v>0</v>
      </c>
      <c r="G2197" s="22">
        <v>0</v>
      </c>
      <c r="H2197" s="22">
        <v>0</v>
      </c>
      <c r="I2197" s="22">
        <v>0</v>
      </c>
      <c r="J2197" s="22">
        <v>0</v>
      </c>
      <c r="K2197">
        <v>0</v>
      </c>
      <c r="L2197" s="19" t="s">
        <v>610</v>
      </c>
      <c r="M2197" s="21" t="e">
        <f t="shared" si="17"/>
        <v>#DIV/0!</v>
      </c>
    </row>
    <row r="2198" spans="1:13" x14ac:dyDescent="0.2">
      <c r="A2198" t="s">
        <v>135</v>
      </c>
      <c r="B2198" t="str">
        <f>VLOOKUP(A2198,MasterTutor!A:E,4,FALSE)</f>
        <v>Distinguished</v>
      </c>
      <c r="C2198" t="str">
        <f>VLOOKUP(A2198,MasterTutor!A:E,3,FALSE)</f>
        <v>Adjunct</v>
      </c>
      <c r="D2198" t="str">
        <f>VLOOKUP(A2198,MasterTutor!A:E,2,FALSE)</f>
        <v>Annelies de Groot</v>
      </c>
      <c r="E2198" t="s">
        <v>212</v>
      </c>
      <c r="F2198" s="22">
        <v>1.1354</v>
      </c>
      <c r="G2198" s="22">
        <v>1.62109999999999</v>
      </c>
      <c r="H2198" s="22">
        <v>1</v>
      </c>
      <c r="I2198" s="22">
        <v>0.85714285714285698</v>
      </c>
      <c r="J2198" s="22">
        <v>0.66666666666666596</v>
      </c>
      <c r="K2198">
        <v>0</v>
      </c>
      <c r="L2198" s="19" t="s">
        <v>219</v>
      </c>
      <c r="M2198" s="21">
        <f t="shared" si="17"/>
        <v>0</v>
      </c>
    </row>
    <row r="2199" spans="1:13" x14ac:dyDescent="0.2">
      <c r="A2199" t="s">
        <v>292</v>
      </c>
      <c r="B2199" t="str">
        <f>VLOOKUP(A2199,MasterTutor!A:E,4,FALSE)</f>
        <v>Advanced</v>
      </c>
      <c r="C2199" t="str">
        <f>VLOOKUP(A2199,MasterTutor!A:E,3,FALSE)</f>
        <v xml:space="preserve">Professional </v>
      </c>
      <c r="D2199" t="str">
        <f>VLOOKUP(A2199,MasterTutor!A:E,2,FALSE)</f>
        <v>Kristin Haase-Alvey</v>
      </c>
      <c r="E2199" t="s">
        <v>212</v>
      </c>
      <c r="F2199" s="22">
        <v>1</v>
      </c>
      <c r="G2199" s="22">
        <v>0.8256</v>
      </c>
      <c r="H2199" s="22">
        <v>0.98795180722891496</v>
      </c>
      <c r="I2199" s="22">
        <v>0.98181818181818103</v>
      </c>
      <c r="J2199" s="22">
        <v>0.94444444444444398</v>
      </c>
      <c r="K2199">
        <v>11</v>
      </c>
      <c r="L2199" s="19" t="s">
        <v>293</v>
      </c>
      <c r="M2199" s="21">
        <f t="shared" si="17"/>
        <v>1</v>
      </c>
    </row>
    <row r="2200" spans="1:13" x14ac:dyDescent="0.2">
      <c r="A2200" t="s">
        <v>294</v>
      </c>
      <c r="B2200" t="str">
        <f>VLOOKUP(A2200,MasterTutor!A:E,4,FALSE)</f>
        <v>Advanced</v>
      </c>
      <c r="C2200" t="str">
        <f>VLOOKUP(A2200,MasterTutor!A:E,3,FALSE)</f>
        <v>Adjunct</v>
      </c>
      <c r="D2200" t="str">
        <f>VLOOKUP(A2200,MasterTutor!A:E,2,FALSE)</f>
        <v>Kristin Haase-Alvey</v>
      </c>
      <c r="E2200" t="s">
        <v>212</v>
      </c>
      <c r="F2200" s="22">
        <v>0.89580000000000004</v>
      </c>
      <c r="G2200" s="22">
        <v>1.1093999999999999</v>
      </c>
      <c r="H2200" s="22">
        <v>0.83333333333333304</v>
      </c>
      <c r="I2200" s="22">
        <v>0.96296296296296202</v>
      </c>
      <c r="J2200" s="22">
        <v>1</v>
      </c>
      <c r="K2200">
        <v>2</v>
      </c>
      <c r="L2200" s="19" t="s">
        <v>219</v>
      </c>
      <c r="M2200" s="21">
        <f t="shared" ref="M2200:M2263" si="18">_xlfn.TEXTBEFORE(L2200, "/")/_xlfn.TEXTAFTER(L2200,"/")</f>
        <v>0</v>
      </c>
    </row>
    <row r="2201" spans="1:13" x14ac:dyDescent="0.2">
      <c r="A2201" t="s">
        <v>137</v>
      </c>
      <c r="B2201" t="str">
        <f>VLOOKUP(A2201,MasterTutor!A:E,4,FALSE)</f>
        <v>Premium</v>
      </c>
      <c r="C2201" t="str">
        <f>VLOOKUP(A2201,MasterTutor!A:E,3,FALSE)</f>
        <v>Professional</v>
      </c>
      <c r="D2201" t="str">
        <f>VLOOKUP(A2201,MasterTutor!A:E,2,FALSE)</f>
        <v>Jessica Milner</v>
      </c>
      <c r="E2201" t="s">
        <v>212</v>
      </c>
      <c r="F2201" s="22">
        <v>0.88329999999999997</v>
      </c>
      <c r="G2201" s="22">
        <v>1.2647999999999999</v>
      </c>
      <c r="H2201" s="22">
        <v>0.98969072164948402</v>
      </c>
      <c r="I2201" s="22">
        <v>1</v>
      </c>
      <c r="J2201" s="22">
        <v>0.86956521739130399</v>
      </c>
      <c r="K2201">
        <v>6</v>
      </c>
      <c r="L2201" s="19" t="s">
        <v>225</v>
      </c>
      <c r="M2201" s="21">
        <f t="shared" si="18"/>
        <v>0.5</v>
      </c>
    </row>
    <row r="2202" spans="1:13" x14ac:dyDescent="0.2">
      <c r="A2202" t="s">
        <v>138</v>
      </c>
      <c r="B2202" t="str">
        <f>VLOOKUP(A2202,MasterTutor!A:E,4,FALSE)</f>
        <v>Advanced</v>
      </c>
      <c r="C2202" t="str">
        <f>VLOOKUP(A2202,MasterTutor!A:E,3,FALSE)</f>
        <v>Professional</v>
      </c>
      <c r="D2202" t="str">
        <f>VLOOKUP(A2202,MasterTutor!A:E,2,FALSE)</f>
        <v>Ela Cross</v>
      </c>
      <c r="E2202" t="s">
        <v>212</v>
      </c>
      <c r="F2202" s="22">
        <v>0.85419999999999996</v>
      </c>
      <c r="G2202" s="22">
        <v>1.0575999999999901</v>
      </c>
      <c r="H2202" s="22">
        <v>1</v>
      </c>
      <c r="I2202" s="22">
        <v>0.96153846153846101</v>
      </c>
      <c r="J2202" s="22">
        <v>0.83333333333333304</v>
      </c>
      <c r="K2202">
        <v>18</v>
      </c>
      <c r="L2202" s="19" t="s">
        <v>226</v>
      </c>
      <c r="M2202" s="21">
        <f t="shared" si="18"/>
        <v>0.75</v>
      </c>
    </row>
    <row r="2203" spans="1:13" x14ac:dyDescent="0.2">
      <c r="A2203" t="s">
        <v>139</v>
      </c>
      <c r="B2203" t="str">
        <f>VLOOKUP(A2203,MasterTutor!A:E,4,FALSE)</f>
        <v>Distinguished</v>
      </c>
      <c r="C2203" t="str">
        <f>VLOOKUP(A2203,MasterTutor!A:E,3,FALSE)</f>
        <v>Professional</v>
      </c>
      <c r="D2203" t="str">
        <f>VLOOKUP(A2203,MasterTutor!A:E,2,FALSE)</f>
        <v>Ian Plamondon</v>
      </c>
      <c r="E2203" t="s">
        <v>212</v>
      </c>
      <c r="F2203" s="22">
        <v>0</v>
      </c>
      <c r="G2203" s="22">
        <v>2.63E-2</v>
      </c>
      <c r="H2203" s="22">
        <v>0</v>
      </c>
      <c r="I2203" s="22">
        <v>0</v>
      </c>
      <c r="J2203" s="22">
        <v>0.66666666666666596</v>
      </c>
      <c r="K2203">
        <v>0</v>
      </c>
      <c r="L2203" s="19" t="s">
        <v>610</v>
      </c>
      <c r="M2203" s="21" t="e">
        <f t="shared" si="18"/>
        <v>#DIV/0!</v>
      </c>
    </row>
    <row r="2204" spans="1:13" x14ac:dyDescent="0.2">
      <c r="A2204" t="s">
        <v>140</v>
      </c>
      <c r="B2204" t="str">
        <f>VLOOKUP(A2204,MasterTutor!A:E,4,FALSE)</f>
        <v>Advanced</v>
      </c>
      <c r="C2204" t="str">
        <f>VLOOKUP(A2204,MasterTutor!A:E,3,FALSE)</f>
        <v>Adjunct</v>
      </c>
      <c r="D2204" t="str">
        <f>VLOOKUP(A2204,MasterTutor!A:E,2,FALSE)</f>
        <v>Annelies de Groot</v>
      </c>
      <c r="E2204" t="s">
        <v>212</v>
      </c>
      <c r="F2204" s="22">
        <v>0.74380000000000002</v>
      </c>
      <c r="G2204" s="22">
        <v>1.0025999999999999</v>
      </c>
      <c r="H2204" s="22">
        <v>0.921875</v>
      </c>
      <c r="I2204" s="22">
        <v>0.8125</v>
      </c>
      <c r="J2204" s="22">
        <v>0.84615384615384603</v>
      </c>
      <c r="K2204">
        <v>10</v>
      </c>
      <c r="L2204" s="19" t="s">
        <v>219</v>
      </c>
      <c r="M2204" s="21">
        <f t="shared" si="18"/>
        <v>0</v>
      </c>
    </row>
    <row r="2205" spans="1:13" x14ac:dyDescent="0.2">
      <c r="A2205" t="s">
        <v>141</v>
      </c>
      <c r="B2205" t="str">
        <f>VLOOKUP(A2205,MasterTutor!A:E,4,FALSE)</f>
        <v>Distinguished</v>
      </c>
      <c r="C2205" t="str">
        <f>VLOOKUP(A2205,MasterTutor!A:E,3,FALSE)</f>
        <v>Adjunct</v>
      </c>
      <c r="D2205" t="str">
        <f>VLOOKUP(A2205,MasterTutor!A:E,2,FALSE)</f>
        <v>Annelies de Groot</v>
      </c>
      <c r="E2205" t="s">
        <v>212</v>
      </c>
      <c r="F2205" s="22">
        <v>0.125</v>
      </c>
      <c r="G2205" s="22">
        <v>0.70699999999999996</v>
      </c>
      <c r="H2205" s="22">
        <v>1</v>
      </c>
      <c r="I2205" s="22">
        <v>1</v>
      </c>
      <c r="J2205" s="22">
        <v>0</v>
      </c>
      <c r="K2205">
        <v>3</v>
      </c>
      <c r="L2205" s="19" t="s">
        <v>610</v>
      </c>
      <c r="M2205" s="21" t="e">
        <f t="shared" si="18"/>
        <v>#DIV/0!</v>
      </c>
    </row>
    <row r="2206" spans="1:13" x14ac:dyDescent="0.2">
      <c r="A2206" t="s">
        <v>142</v>
      </c>
      <c r="B2206" t="str">
        <f>VLOOKUP(A2206,MasterTutor!A:E,4,FALSE)</f>
        <v>Advanced</v>
      </c>
      <c r="C2206" t="str">
        <f>VLOOKUP(A2206,MasterTutor!A:E,3,FALSE)</f>
        <v>Professional</v>
      </c>
      <c r="D2206" t="str">
        <f>VLOOKUP(A2206,MasterTutor!A:E,2,FALSE)</f>
        <v>Ian Plamondon</v>
      </c>
      <c r="E2206" t="s">
        <v>212</v>
      </c>
      <c r="F2206" s="22">
        <v>1.0319</v>
      </c>
      <c r="G2206" s="22">
        <v>1.0772999999999999</v>
      </c>
      <c r="H2206" s="22">
        <v>0.96402877697841705</v>
      </c>
      <c r="I2206" s="22">
        <v>0.77419354838709598</v>
      </c>
      <c r="J2206" s="22">
        <v>0.24137931034482701</v>
      </c>
      <c r="K2206">
        <v>12</v>
      </c>
      <c r="L2206" s="19" t="s">
        <v>287</v>
      </c>
      <c r="M2206" s="21">
        <f t="shared" si="18"/>
        <v>0.5</v>
      </c>
    </row>
    <row r="2207" spans="1:13" x14ac:dyDescent="0.2">
      <c r="A2207" t="s">
        <v>143</v>
      </c>
      <c r="B2207" t="str">
        <f>VLOOKUP(A2207,MasterTutor!A:E,4,FALSE)</f>
        <v>Distinguished</v>
      </c>
      <c r="C2207" t="str">
        <f>VLOOKUP(A2207,MasterTutor!A:E,3,FALSE)</f>
        <v>Adjunct</v>
      </c>
      <c r="D2207" t="str">
        <f>VLOOKUP(A2207,MasterTutor!A:E,2,FALSE)</f>
        <v>Annelies de Groot</v>
      </c>
      <c r="E2207" t="s">
        <v>212</v>
      </c>
      <c r="F2207" s="22">
        <v>0.5625</v>
      </c>
      <c r="G2207" s="22">
        <v>1.1601999999999999</v>
      </c>
      <c r="H2207" s="22">
        <v>1</v>
      </c>
      <c r="I2207" s="22">
        <v>1</v>
      </c>
      <c r="J2207" s="22">
        <v>0.66666666666666596</v>
      </c>
      <c r="K2207">
        <v>0</v>
      </c>
      <c r="L2207" s="19" t="s">
        <v>610</v>
      </c>
      <c r="M2207" s="21" t="e">
        <f t="shared" si="18"/>
        <v>#DIV/0!</v>
      </c>
    </row>
    <row r="2208" spans="1:13" x14ac:dyDescent="0.2">
      <c r="A2208" t="s">
        <v>144</v>
      </c>
      <c r="B2208" t="str">
        <f>VLOOKUP(A2208,MasterTutor!A:E,4,FALSE)</f>
        <v>Distinguished</v>
      </c>
      <c r="C2208" t="str">
        <f>VLOOKUP(A2208,MasterTutor!A:E,3,FALSE)</f>
        <v>Professional</v>
      </c>
      <c r="D2208" t="str">
        <f>VLOOKUP(A2208,MasterTutor!A:E,2,FALSE)</f>
        <v>Annelies de Groot</v>
      </c>
      <c r="E2208" t="s">
        <v>212</v>
      </c>
      <c r="F2208" s="22">
        <v>0.68330000000000002</v>
      </c>
      <c r="G2208" s="22">
        <v>1.0575999999999901</v>
      </c>
      <c r="H2208" s="22">
        <v>1</v>
      </c>
      <c r="I2208" s="22">
        <v>0.98214285714285698</v>
      </c>
      <c r="J2208" s="22">
        <v>0.85714285714285698</v>
      </c>
      <c r="K2208">
        <v>0</v>
      </c>
      <c r="L2208" s="19" t="s">
        <v>215</v>
      </c>
      <c r="M2208" s="21">
        <f t="shared" si="18"/>
        <v>1</v>
      </c>
    </row>
    <row r="2209" spans="1:13" x14ac:dyDescent="0.2">
      <c r="A2209" t="s">
        <v>145</v>
      </c>
      <c r="B2209" t="str">
        <f>VLOOKUP(A2209,MasterTutor!A:E,4,FALSE)</f>
        <v>Premium</v>
      </c>
      <c r="C2209" t="str">
        <f>VLOOKUP(A2209,MasterTutor!A:E,3,FALSE)</f>
        <v>Professional</v>
      </c>
      <c r="D2209" t="str">
        <f>VLOOKUP(A2209,MasterTutor!A:E,2,FALSE)</f>
        <v>Jessica Milner</v>
      </c>
      <c r="E2209" t="s">
        <v>212</v>
      </c>
      <c r="F2209" s="22">
        <v>0.8135</v>
      </c>
      <c r="G2209" s="22">
        <v>1.1349</v>
      </c>
      <c r="H2209" s="22">
        <v>1</v>
      </c>
      <c r="I2209" s="22">
        <v>1</v>
      </c>
      <c r="J2209" s="22">
        <v>1</v>
      </c>
      <c r="K2209">
        <v>1</v>
      </c>
      <c r="L2209" s="19" t="s">
        <v>610</v>
      </c>
      <c r="M2209" s="21" t="e">
        <f t="shared" si="18"/>
        <v>#DIV/0!</v>
      </c>
    </row>
    <row r="2210" spans="1:13" x14ac:dyDescent="0.2">
      <c r="A2210" t="s">
        <v>146</v>
      </c>
      <c r="B2210" t="str">
        <f>VLOOKUP(A2210,MasterTutor!A:E,4,FALSE)</f>
        <v>Distinguished</v>
      </c>
      <c r="C2210" t="str">
        <f>VLOOKUP(A2210,MasterTutor!A:E,3,FALSE)</f>
        <v>Adjunct</v>
      </c>
      <c r="D2210" t="str">
        <f>VLOOKUP(A2210,MasterTutor!A:E,2,FALSE)</f>
        <v>Ian Plamondon</v>
      </c>
      <c r="E2210" t="s">
        <v>212</v>
      </c>
      <c r="F2210" s="22">
        <v>0.89379999999999904</v>
      </c>
      <c r="G2210" s="22">
        <v>1.1589</v>
      </c>
      <c r="H2210" s="22">
        <v>1</v>
      </c>
      <c r="I2210" s="22">
        <v>0.90566037735849003</v>
      </c>
      <c r="J2210" s="22">
        <v>0.85</v>
      </c>
      <c r="K2210">
        <v>3</v>
      </c>
      <c r="L2210" s="19" t="s">
        <v>610</v>
      </c>
      <c r="M2210" s="21" t="e">
        <f t="shared" si="18"/>
        <v>#DIV/0!</v>
      </c>
    </row>
    <row r="2211" spans="1:13" x14ac:dyDescent="0.2">
      <c r="A2211" t="s">
        <v>147</v>
      </c>
      <c r="B2211" t="str">
        <f>VLOOKUP(A2211,MasterTutor!A:E,4,FALSE)</f>
        <v>Premium</v>
      </c>
      <c r="C2211" t="str">
        <f>VLOOKUP(A2211,MasterTutor!A:E,3,FALSE)</f>
        <v>Adjunct</v>
      </c>
      <c r="D2211" t="str">
        <f>VLOOKUP(A2211,MasterTutor!A:E,2,FALSE)</f>
        <v>Ela Cross</v>
      </c>
      <c r="E2211" t="s">
        <v>212</v>
      </c>
      <c r="F2211" s="22">
        <v>0.55630000000000002</v>
      </c>
      <c r="G2211" s="22">
        <v>1.15359999999999</v>
      </c>
      <c r="H2211" s="22">
        <v>0.97560975609755995</v>
      </c>
      <c r="I2211" s="22">
        <v>0.96774193548387</v>
      </c>
      <c r="J2211" s="22">
        <v>0.90909090909090895</v>
      </c>
      <c r="K2211">
        <v>2</v>
      </c>
      <c r="L2211" s="19" t="s">
        <v>610</v>
      </c>
      <c r="M2211" s="21" t="e">
        <f t="shared" si="18"/>
        <v>#DIV/0!</v>
      </c>
    </row>
    <row r="2212" spans="1:13" x14ac:dyDescent="0.2">
      <c r="A2212" t="s">
        <v>148</v>
      </c>
      <c r="B2212" t="str">
        <f>VLOOKUP(A2212,MasterTutor!A:E,4,FALSE)</f>
        <v>Advanced</v>
      </c>
      <c r="C2212" t="str">
        <f>VLOOKUP(A2212,MasterTutor!A:E,3,FALSE)</f>
        <v>Adjunct</v>
      </c>
      <c r="D2212" t="str">
        <f>VLOOKUP(A2212,MasterTutor!A:E,2,FALSE)</f>
        <v>Ela Cross</v>
      </c>
      <c r="E2212" t="s">
        <v>212</v>
      </c>
      <c r="F2212" s="22">
        <v>1.1615</v>
      </c>
      <c r="G2212" s="22">
        <v>1.0351999999999999</v>
      </c>
      <c r="H2212" s="22">
        <v>0.96551724137931005</v>
      </c>
      <c r="I2212" s="22">
        <v>1</v>
      </c>
      <c r="J2212" s="22">
        <v>1</v>
      </c>
      <c r="K2212">
        <v>14</v>
      </c>
      <c r="L2212" s="19" t="s">
        <v>610</v>
      </c>
      <c r="M2212" s="21" t="e">
        <f t="shared" si="18"/>
        <v>#DIV/0!</v>
      </c>
    </row>
    <row r="2213" spans="1:13" x14ac:dyDescent="0.2">
      <c r="A2213" t="s">
        <v>149</v>
      </c>
      <c r="B2213" t="str">
        <f>VLOOKUP(A2213,MasterTutor!A:E,4,FALSE)</f>
        <v>Distinguished</v>
      </c>
      <c r="C2213" t="str">
        <f>VLOOKUP(A2213,MasterTutor!A:E,3,FALSE)</f>
        <v>Professional</v>
      </c>
      <c r="D2213" t="str">
        <f>VLOOKUP(A2213,MasterTutor!A:E,2,FALSE)</f>
        <v>Ian Plamondon</v>
      </c>
      <c r="E2213" t="s">
        <v>212</v>
      </c>
      <c r="F2213" s="22">
        <v>0.7792</v>
      </c>
      <c r="G2213" s="22">
        <v>1.3272999999999999</v>
      </c>
      <c r="H2213" s="22">
        <v>0.90243902439024304</v>
      </c>
      <c r="I2213" s="22">
        <v>0.83673469387755095</v>
      </c>
      <c r="J2213" s="22">
        <v>0.77777777777777701</v>
      </c>
      <c r="K2213">
        <v>0</v>
      </c>
      <c r="L2213" s="19" t="s">
        <v>218</v>
      </c>
      <c r="M2213" s="21">
        <f t="shared" si="18"/>
        <v>0.66666666666666663</v>
      </c>
    </row>
    <row r="2214" spans="1:13" x14ac:dyDescent="0.2">
      <c r="A2214" t="s">
        <v>150</v>
      </c>
      <c r="B2214" t="str">
        <f>VLOOKUP(A2214,MasterTutor!A:E,4,FALSE)</f>
        <v>Advanced</v>
      </c>
      <c r="C2214" t="str">
        <f>VLOOKUP(A2214,MasterTutor!A:E,3,FALSE)</f>
        <v>Adjunct</v>
      </c>
      <c r="D2214" t="str">
        <f>VLOOKUP(A2214,MasterTutor!A:E,2,FALSE)</f>
        <v>Ela Cross</v>
      </c>
      <c r="E2214" t="s">
        <v>212</v>
      </c>
      <c r="F2214" s="22">
        <v>0.71879999999999999</v>
      </c>
      <c r="G2214" s="22">
        <v>1.1015999999999999</v>
      </c>
      <c r="H2214" s="22">
        <v>0.97727272727272696</v>
      </c>
      <c r="I2214" s="22">
        <v>0.78260869565217295</v>
      </c>
      <c r="J2214" s="22">
        <v>1</v>
      </c>
      <c r="K2214">
        <v>1</v>
      </c>
      <c r="L2214" s="19" t="s">
        <v>219</v>
      </c>
      <c r="M2214" s="21">
        <f t="shared" si="18"/>
        <v>0</v>
      </c>
    </row>
    <row r="2215" spans="1:13" x14ac:dyDescent="0.2">
      <c r="A2215" t="s">
        <v>295</v>
      </c>
      <c r="B2215" t="str">
        <f>VLOOKUP(A2215,MasterTutor!A:E,4,FALSE)</f>
        <v>Advanced</v>
      </c>
      <c r="C2215" t="str">
        <f>VLOOKUP(A2215,MasterTutor!A:E,3,FALSE)</f>
        <v xml:space="preserve">Professional </v>
      </c>
      <c r="D2215" t="str">
        <f>VLOOKUP(A2215,MasterTutor!A:E,2,FALSE)</f>
        <v>Annelies de Groot</v>
      </c>
      <c r="E2215" t="s">
        <v>212</v>
      </c>
      <c r="F2215" s="22">
        <v>0.87080000000000002</v>
      </c>
      <c r="G2215" s="22">
        <v>1.0345</v>
      </c>
      <c r="H2215" s="22">
        <v>0.98611111111111105</v>
      </c>
      <c r="I2215" s="22">
        <v>0.96428571428571397</v>
      </c>
      <c r="J2215" s="22">
        <v>0</v>
      </c>
      <c r="K2215">
        <v>13</v>
      </c>
      <c r="L2215" s="19" t="s">
        <v>296</v>
      </c>
      <c r="M2215" s="21">
        <f t="shared" si="18"/>
        <v>0.7142857142857143</v>
      </c>
    </row>
    <row r="2216" spans="1:13" x14ac:dyDescent="0.2">
      <c r="A2216" t="s">
        <v>297</v>
      </c>
      <c r="B2216" t="e">
        <f>VLOOKUP(A2216,MasterTutor!A:E,4,FALSE)</f>
        <v>#N/A</v>
      </c>
      <c r="C2216" t="e">
        <f>VLOOKUP(A2216,MasterTutor!A:E,3,FALSE)</f>
        <v>#N/A</v>
      </c>
      <c r="D2216" t="e">
        <f>VLOOKUP(A2216,MasterTutor!A:E,2,FALSE)</f>
        <v>#N/A</v>
      </c>
      <c r="E2216" t="s">
        <v>212</v>
      </c>
      <c r="F2216" s="22">
        <v>0.80420000000000003</v>
      </c>
      <c r="G2216" s="22">
        <v>0.96050000000000002</v>
      </c>
      <c r="H2216" s="22">
        <v>0.96739130434782605</v>
      </c>
      <c r="I2216" s="22">
        <v>0.83582089552238803</v>
      </c>
      <c r="J2216" s="22">
        <v>0.42857142857142799</v>
      </c>
      <c r="K2216">
        <v>6</v>
      </c>
      <c r="L2216" s="19" t="s">
        <v>298</v>
      </c>
      <c r="M2216" s="21">
        <f t="shared" si="18"/>
        <v>0.5</v>
      </c>
    </row>
    <row r="2217" spans="1:13" x14ac:dyDescent="0.2">
      <c r="A2217" t="s">
        <v>152</v>
      </c>
      <c r="B2217" t="str">
        <f>VLOOKUP(A2217,MasterTutor!A:E,4,FALSE)</f>
        <v>Premium</v>
      </c>
      <c r="C2217" t="str">
        <f>VLOOKUP(A2217,MasterTutor!A:E,3,FALSE)</f>
        <v>Professional</v>
      </c>
      <c r="D2217" t="str">
        <f>VLOOKUP(A2217,MasterTutor!A:E,2,FALSE)</f>
        <v>Ian Plamondon</v>
      </c>
      <c r="E2217" t="s">
        <v>212</v>
      </c>
      <c r="F2217" s="22">
        <v>0.79169999999999996</v>
      </c>
      <c r="G2217" s="22">
        <v>1.4638</v>
      </c>
      <c r="H2217" s="22">
        <v>0.98850574712643602</v>
      </c>
      <c r="I2217" s="22">
        <v>1</v>
      </c>
      <c r="J2217" s="22">
        <v>0.84615384615384603</v>
      </c>
      <c r="K2217">
        <v>2</v>
      </c>
      <c r="L2217" s="19" t="s">
        <v>215</v>
      </c>
      <c r="M2217" s="21">
        <f t="shared" si="18"/>
        <v>1</v>
      </c>
    </row>
    <row r="2218" spans="1:13" x14ac:dyDescent="0.2">
      <c r="A2218" t="s">
        <v>153</v>
      </c>
      <c r="B2218" t="str">
        <f>VLOOKUP(A2218,MasterTutor!A:E,4,FALSE)</f>
        <v>Distinguished</v>
      </c>
      <c r="C2218" t="str">
        <f>VLOOKUP(A2218,MasterTutor!A:E,3,FALSE)</f>
        <v>Professional</v>
      </c>
      <c r="D2218" t="str">
        <f>VLOOKUP(A2218,MasterTutor!A:E,2,FALSE)</f>
        <v>Ian Plamondon</v>
      </c>
      <c r="E2218" t="s">
        <v>212</v>
      </c>
      <c r="F2218" s="22">
        <v>0.4929</v>
      </c>
      <c r="G2218" s="22">
        <v>1.3313999999999999</v>
      </c>
      <c r="H2218" s="22">
        <v>1</v>
      </c>
      <c r="I2218" s="22">
        <v>0.95833333333333304</v>
      </c>
      <c r="J2218" s="22">
        <v>0.875</v>
      </c>
      <c r="K2218">
        <v>3</v>
      </c>
      <c r="L2218" s="19" t="s">
        <v>219</v>
      </c>
      <c r="M2218" s="21">
        <f t="shared" si="18"/>
        <v>0</v>
      </c>
    </row>
    <row r="2219" spans="1:13" x14ac:dyDescent="0.2">
      <c r="A2219" t="s">
        <v>299</v>
      </c>
      <c r="B2219" t="str">
        <f>VLOOKUP(A2219,MasterTutor!A:E,4,FALSE)</f>
        <v>Advanced</v>
      </c>
      <c r="C2219" t="str">
        <f>VLOOKUP(A2219,MasterTutor!A:E,3,FALSE)</f>
        <v>Professional</v>
      </c>
      <c r="D2219" t="str">
        <f>VLOOKUP(A2219,MasterTutor!A:E,2,FALSE)</f>
        <v>Ela Cross</v>
      </c>
      <c r="E2219" t="s">
        <v>212</v>
      </c>
      <c r="F2219" s="22">
        <v>1</v>
      </c>
      <c r="G2219" s="22">
        <v>1.1134999999999999</v>
      </c>
      <c r="H2219" s="22">
        <v>1</v>
      </c>
      <c r="I2219" s="22">
        <v>0.956989247311827</v>
      </c>
      <c r="J2219" s="22">
        <v>0.69565217391304301</v>
      </c>
      <c r="K2219">
        <v>19</v>
      </c>
      <c r="L2219" s="19" t="s">
        <v>244</v>
      </c>
      <c r="M2219" s="21">
        <f t="shared" si="18"/>
        <v>0.8</v>
      </c>
    </row>
    <row r="2220" spans="1:13" x14ac:dyDescent="0.2">
      <c r="A2220" t="s">
        <v>155</v>
      </c>
      <c r="B2220" t="str">
        <f>VLOOKUP(A2220,MasterTutor!A:E,4,FALSE)</f>
        <v>Distinguished</v>
      </c>
      <c r="C2220" t="str">
        <f>VLOOKUP(A2220,MasterTutor!A:E,3,FALSE)</f>
        <v>Professional</v>
      </c>
      <c r="D2220" t="str">
        <f>VLOOKUP(A2220,MasterTutor!A:E,2,FALSE)</f>
        <v>Kristin Haase-Alvey</v>
      </c>
      <c r="E2220" t="s">
        <v>212</v>
      </c>
      <c r="F2220" s="22">
        <v>0.79579999999999995</v>
      </c>
      <c r="G2220" s="22">
        <v>1.04609999999999</v>
      </c>
      <c r="H2220" s="22">
        <v>1</v>
      </c>
      <c r="I2220" s="22">
        <v>1</v>
      </c>
      <c r="J2220" s="22">
        <v>0.91666666666666596</v>
      </c>
      <c r="K2220">
        <v>3</v>
      </c>
      <c r="L2220" s="19" t="s">
        <v>227</v>
      </c>
      <c r="M2220" s="21">
        <f t="shared" si="18"/>
        <v>1</v>
      </c>
    </row>
    <row r="2221" spans="1:13" x14ac:dyDescent="0.2">
      <c r="A2221" t="s">
        <v>300</v>
      </c>
      <c r="B2221" t="e">
        <f>VLOOKUP(A2221,MasterTutor!A:E,4,FALSE)</f>
        <v>#N/A</v>
      </c>
      <c r="C2221" t="e">
        <f>VLOOKUP(A2221,MasterTutor!A:E,3,FALSE)</f>
        <v>#N/A</v>
      </c>
      <c r="D2221" t="e">
        <f>VLOOKUP(A2221,MasterTutor!A:E,2,FALSE)</f>
        <v>#N/A</v>
      </c>
      <c r="E2221" t="s">
        <v>212</v>
      </c>
      <c r="F2221" s="22">
        <v>0</v>
      </c>
      <c r="G2221" s="22">
        <v>0.44739999999999902</v>
      </c>
      <c r="H2221" s="22">
        <v>0</v>
      </c>
      <c r="I2221" s="22">
        <v>0</v>
      </c>
      <c r="J2221" s="22">
        <v>0</v>
      </c>
      <c r="K2221">
        <v>0</v>
      </c>
      <c r="L2221" s="19" t="s">
        <v>610</v>
      </c>
      <c r="M2221" s="21" t="e">
        <f t="shared" si="18"/>
        <v>#DIV/0!</v>
      </c>
    </row>
    <row r="2222" spans="1:13" x14ac:dyDescent="0.2">
      <c r="A2222" t="s">
        <v>301</v>
      </c>
      <c r="B2222" t="str">
        <f>VLOOKUP(A2222,MasterTutor!A:E,4,FALSE)</f>
        <v>Advanced</v>
      </c>
      <c r="C2222" t="str">
        <f>VLOOKUP(A2222,MasterTutor!A:E,3,FALSE)</f>
        <v>Professional</v>
      </c>
      <c r="D2222" t="str">
        <f>VLOOKUP(A2222,MasterTutor!A:E,2,FALSE)</f>
        <v>Kristin Haase-Alvey</v>
      </c>
      <c r="E2222" t="s">
        <v>212</v>
      </c>
      <c r="F2222" s="22">
        <v>1.2</v>
      </c>
      <c r="G2222" s="22">
        <v>1.3982999999999901</v>
      </c>
      <c r="H2222" s="22">
        <v>1</v>
      </c>
      <c r="I2222" s="22">
        <v>0.99193548387096697</v>
      </c>
      <c r="J2222" s="22">
        <v>0.86666666666666603</v>
      </c>
      <c r="K2222">
        <v>14</v>
      </c>
      <c r="L2222" s="19" t="s">
        <v>230</v>
      </c>
      <c r="M2222" s="21">
        <f t="shared" si="18"/>
        <v>0.5</v>
      </c>
    </row>
    <row r="2223" spans="1:13" x14ac:dyDescent="0.2">
      <c r="A2223" t="s">
        <v>302</v>
      </c>
      <c r="B2223" t="str">
        <f>VLOOKUP(A2223,MasterTutor!A:E,4,FALSE)</f>
        <v>Advanced</v>
      </c>
      <c r="C2223" t="str">
        <f>VLOOKUP(A2223,MasterTutor!A:E,3,FALSE)</f>
        <v>Professional</v>
      </c>
      <c r="D2223" t="str">
        <f>VLOOKUP(A2223,MasterTutor!A:E,2,FALSE)</f>
        <v>Ela Cross</v>
      </c>
      <c r="E2223" t="s">
        <v>212</v>
      </c>
      <c r="F2223" s="22">
        <v>1.1416999999999999</v>
      </c>
      <c r="G2223" s="22">
        <v>1.1479999999999999</v>
      </c>
      <c r="H2223" s="22">
        <v>0.94512195121951204</v>
      </c>
      <c r="I2223" s="22">
        <v>0.98230088495575196</v>
      </c>
      <c r="J2223" s="22">
        <v>0.53125</v>
      </c>
      <c r="K2223">
        <v>10</v>
      </c>
      <c r="L2223" s="19" t="s">
        <v>267</v>
      </c>
      <c r="M2223" s="21">
        <f t="shared" si="18"/>
        <v>0</v>
      </c>
    </row>
    <row r="2224" spans="1:13" x14ac:dyDescent="0.2">
      <c r="A2224" t="s">
        <v>157</v>
      </c>
      <c r="B2224" t="str">
        <f>VLOOKUP(A2224,MasterTutor!A:E,4,FALSE)</f>
        <v>Advanced</v>
      </c>
      <c r="C2224" t="str">
        <f>VLOOKUP(A2224,MasterTutor!A:E,3,FALSE)</f>
        <v>Adjunct</v>
      </c>
      <c r="D2224" t="str">
        <f>VLOOKUP(A2224,MasterTutor!A:E,2,FALSE)</f>
        <v>Kristin Haase-Alvey</v>
      </c>
      <c r="E2224" t="s">
        <v>212</v>
      </c>
      <c r="F2224" s="22">
        <v>1.1437999999999999</v>
      </c>
      <c r="G2224" s="22">
        <v>1.0207999999999999</v>
      </c>
      <c r="H2224" s="22">
        <v>0.95402298850574696</v>
      </c>
      <c r="I2224" s="22">
        <v>1</v>
      </c>
      <c r="J2224" s="22">
        <v>0.70588235294117596</v>
      </c>
      <c r="K2224">
        <v>6</v>
      </c>
      <c r="L2224" s="19" t="s">
        <v>275</v>
      </c>
      <c r="M2224" s="21">
        <f t="shared" si="18"/>
        <v>0.2</v>
      </c>
    </row>
    <row r="2225" spans="1:13" x14ac:dyDescent="0.2">
      <c r="A2225" t="s">
        <v>158</v>
      </c>
      <c r="B2225" t="str">
        <f>VLOOKUP(A2225,MasterTutor!A:E,4,FALSE)</f>
        <v>Advanced</v>
      </c>
      <c r="C2225" t="str">
        <f>VLOOKUP(A2225,MasterTutor!A:E,3,FALSE)</f>
        <v>Adjunct</v>
      </c>
      <c r="D2225" t="str">
        <f>VLOOKUP(A2225,MasterTutor!A:E,2,FALSE)</f>
        <v>Annelies de Groot</v>
      </c>
      <c r="E2225" t="s">
        <v>212</v>
      </c>
      <c r="F2225" s="22">
        <v>0.63129999999999997</v>
      </c>
      <c r="G2225" s="22">
        <v>0.70309999999999995</v>
      </c>
      <c r="H2225" s="22">
        <v>1</v>
      </c>
      <c r="I2225" s="22">
        <v>0.97297297297297203</v>
      </c>
      <c r="J2225" s="22">
        <v>0.72727272727272696</v>
      </c>
      <c r="K2225">
        <v>5</v>
      </c>
      <c r="L2225" s="19" t="s">
        <v>216</v>
      </c>
      <c r="M2225" s="21">
        <f t="shared" si="18"/>
        <v>1</v>
      </c>
    </row>
    <row r="2226" spans="1:13" x14ac:dyDescent="0.2">
      <c r="A2226" t="s">
        <v>160</v>
      </c>
      <c r="B2226" t="str">
        <f>VLOOKUP(A2226,MasterTutor!A:E,4,FALSE)</f>
        <v>Distinguished</v>
      </c>
      <c r="C2226" t="str">
        <f>VLOOKUP(A2226,MasterTutor!A:E,3,FALSE)</f>
        <v>Adjunct</v>
      </c>
      <c r="D2226" t="str">
        <f>VLOOKUP(A2226,MasterTutor!A:E,2,FALSE)</f>
        <v>Ela Cross</v>
      </c>
      <c r="E2226" t="s">
        <v>212</v>
      </c>
      <c r="F2226" s="22">
        <v>1.1344000000000001</v>
      </c>
      <c r="G2226" s="22">
        <v>1.3047</v>
      </c>
      <c r="H2226" s="22">
        <v>0.98888888888888804</v>
      </c>
      <c r="I2226" s="22">
        <v>0.65454545454545399</v>
      </c>
      <c r="J2226" s="22">
        <v>0.88888888888888795</v>
      </c>
      <c r="K2226">
        <v>2</v>
      </c>
      <c r="L2226" s="19" t="s">
        <v>610</v>
      </c>
      <c r="M2226" s="21" t="e">
        <f t="shared" si="18"/>
        <v>#DIV/0!</v>
      </c>
    </row>
    <row r="2227" spans="1:13" x14ac:dyDescent="0.2">
      <c r="A2227" t="s">
        <v>161</v>
      </c>
      <c r="B2227" t="str">
        <f>VLOOKUP(A2227,MasterTutor!A:E,4,FALSE)</f>
        <v>Distinguished</v>
      </c>
      <c r="C2227" t="str">
        <f>VLOOKUP(A2227,MasterTutor!A:E,3,FALSE)</f>
        <v>Professional</v>
      </c>
      <c r="D2227" t="str">
        <f>VLOOKUP(A2227,MasterTutor!A:E,2,FALSE)</f>
        <v>Ian Plamondon</v>
      </c>
      <c r="E2227" t="s">
        <v>212</v>
      </c>
      <c r="F2227" s="22">
        <v>0.20419999999999999</v>
      </c>
      <c r="G2227" s="22">
        <v>0.59870000000000001</v>
      </c>
      <c r="H2227" s="22">
        <v>1</v>
      </c>
      <c r="I2227" s="22">
        <v>1</v>
      </c>
      <c r="J2227" s="22">
        <v>0.75</v>
      </c>
      <c r="K2227">
        <v>0</v>
      </c>
      <c r="L2227" s="19" t="s">
        <v>610</v>
      </c>
      <c r="M2227" s="21" t="e">
        <f t="shared" si="18"/>
        <v>#DIV/0!</v>
      </c>
    </row>
    <row r="2228" spans="1:13" x14ac:dyDescent="0.2">
      <c r="A2228" t="s">
        <v>303</v>
      </c>
      <c r="B2228" t="str">
        <f>VLOOKUP(A2228,MasterTutor!A:E,4,FALSE)</f>
        <v>Advanced</v>
      </c>
      <c r="C2228" t="str">
        <f>VLOOKUP(A2228,MasterTutor!A:E,3,FALSE)</f>
        <v xml:space="preserve">Professional </v>
      </c>
      <c r="D2228" t="str">
        <f>VLOOKUP(A2228,MasterTutor!A:E,2,FALSE)</f>
        <v>Ian Plamondon</v>
      </c>
      <c r="E2228" t="s">
        <v>212</v>
      </c>
      <c r="F2228" s="22">
        <v>0</v>
      </c>
      <c r="G2228" s="22">
        <v>0.34210000000000002</v>
      </c>
      <c r="H2228" s="22">
        <v>0</v>
      </c>
      <c r="I2228" s="22">
        <v>0</v>
      </c>
      <c r="J2228" s="22">
        <v>0</v>
      </c>
      <c r="K2228">
        <v>0</v>
      </c>
      <c r="L2228" s="19" t="s">
        <v>610</v>
      </c>
      <c r="M2228" s="21" t="e">
        <f t="shared" si="18"/>
        <v>#DIV/0!</v>
      </c>
    </row>
    <row r="2229" spans="1:13" x14ac:dyDescent="0.2">
      <c r="A2229" t="s">
        <v>163</v>
      </c>
      <c r="B2229" t="str">
        <f>VLOOKUP(A2229,MasterTutor!A:E,4,FALSE)</f>
        <v>Premium</v>
      </c>
      <c r="C2229" t="str">
        <f>VLOOKUP(A2229,MasterTutor!A:E,3,FALSE)</f>
        <v>Professional</v>
      </c>
      <c r="D2229" t="str">
        <f>VLOOKUP(A2229,MasterTutor!A:E,2,FALSE)</f>
        <v>Jessica Milner</v>
      </c>
      <c r="E2229" t="s">
        <v>212</v>
      </c>
      <c r="F2229" s="22">
        <v>0.71250000000000002</v>
      </c>
      <c r="G2229" s="22">
        <v>1.3996999999999999</v>
      </c>
      <c r="H2229" s="22">
        <v>0.72368421052631504</v>
      </c>
      <c r="I2229" s="22">
        <v>0.90909090909090895</v>
      </c>
      <c r="J2229" s="22">
        <v>0</v>
      </c>
      <c r="K2229">
        <v>1</v>
      </c>
      <c r="L2229" s="19" t="s">
        <v>246</v>
      </c>
      <c r="M2229" s="21">
        <f t="shared" si="18"/>
        <v>0.125</v>
      </c>
    </row>
    <row r="2230" spans="1:13" x14ac:dyDescent="0.2">
      <c r="A2230" t="s">
        <v>164</v>
      </c>
      <c r="B2230" t="str">
        <f>VLOOKUP(A2230,MasterTutor!A:E,4,FALSE)</f>
        <v>Advanced</v>
      </c>
      <c r="C2230" t="str">
        <f>VLOOKUP(A2230,MasterTutor!A:E,3,FALSE)</f>
        <v>Professional</v>
      </c>
      <c r="D2230" t="str">
        <f>VLOOKUP(A2230,MasterTutor!A:E,2,FALSE)</f>
        <v>Annelies de Groot</v>
      </c>
      <c r="E2230" t="s">
        <v>212</v>
      </c>
      <c r="F2230" s="22">
        <v>0.95</v>
      </c>
      <c r="G2230" s="22">
        <v>0.94079999999999997</v>
      </c>
      <c r="H2230" s="22">
        <v>0.88785046728971895</v>
      </c>
      <c r="I2230" s="22">
        <v>0.76712328767123195</v>
      </c>
      <c r="J2230" s="22">
        <v>0.44444444444444398</v>
      </c>
      <c r="K2230">
        <v>7</v>
      </c>
      <c r="L2230" s="19" t="s">
        <v>246</v>
      </c>
      <c r="M2230" s="21">
        <f t="shared" si="18"/>
        <v>0.125</v>
      </c>
    </row>
    <row r="2231" spans="1:13" x14ac:dyDescent="0.2">
      <c r="A2231" t="s">
        <v>165</v>
      </c>
      <c r="B2231" t="str">
        <f>VLOOKUP(A2231,MasterTutor!A:E,4,FALSE)</f>
        <v>Advanced</v>
      </c>
      <c r="C2231" t="str">
        <f>VLOOKUP(A2231,MasterTutor!A:E,3,FALSE)</f>
        <v>Adjunct</v>
      </c>
      <c r="D2231" t="str">
        <f>VLOOKUP(A2231,MasterTutor!A:E,2,FALSE)</f>
        <v>Ela Cross</v>
      </c>
      <c r="E2231" t="s">
        <v>212</v>
      </c>
      <c r="F2231" s="22">
        <v>1.1687999999999901</v>
      </c>
      <c r="G2231" s="22">
        <v>1.17709999999999</v>
      </c>
      <c r="H2231" s="22">
        <v>0.98113207547169801</v>
      </c>
      <c r="I2231" s="22">
        <v>0.97826086956521696</v>
      </c>
      <c r="J2231" s="22">
        <v>0.96</v>
      </c>
      <c r="K2231">
        <v>12</v>
      </c>
      <c r="L2231" s="19" t="s">
        <v>215</v>
      </c>
      <c r="M2231" s="21">
        <f t="shared" si="18"/>
        <v>1</v>
      </c>
    </row>
    <row r="2232" spans="1:13" x14ac:dyDescent="0.2">
      <c r="A2232" t="s">
        <v>166</v>
      </c>
      <c r="B2232" t="str">
        <f>VLOOKUP(A2232,MasterTutor!A:E,4,FALSE)</f>
        <v>Distinguished</v>
      </c>
      <c r="C2232" t="str">
        <f>VLOOKUP(A2232,MasterTutor!A:E,3,FALSE)</f>
        <v>Adjunct</v>
      </c>
      <c r="D2232" t="str">
        <f>VLOOKUP(A2232,MasterTutor!A:E,2,FALSE)</f>
        <v>Annelies de Groot</v>
      </c>
      <c r="E2232" t="s">
        <v>212</v>
      </c>
      <c r="F2232" s="22">
        <v>0.95309999999999995</v>
      </c>
      <c r="G2232" s="22">
        <v>1.4922</v>
      </c>
      <c r="H2232" s="22">
        <v>0.97959183673469297</v>
      </c>
      <c r="I2232" s="22">
        <v>0.92857142857142805</v>
      </c>
      <c r="J2232" s="22">
        <v>0.57142857142857095</v>
      </c>
      <c r="K2232">
        <v>0</v>
      </c>
      <c r="L2232" s="19" t="s">
        <v>215</v>
      </c>
      <c r="M2232" s="21">
        <f t="shared" si="18"/>
        <v>1</v>
      </c>
    </row>
    <row r="2233" spans="1:13" x14ac:dyDescent="0.2">
      <c r="A2233" t="s">
        <v>167</v>
      </c>
      <c r="B2233" t="str">
        <f>VLOOKUP(A2233,MasterTutor!A:E,4,FALSE)</f>
        <v>Advanced</v>
      </c>
      <c r="C2233" t="str">
        <f>VLOOKUP(A2233,MasterTutor!A:E,3,FALSE)</f>
        <v>Adjunct</v>
      </c>
      <c r="D2233" t="str">
        <f>VLOOKUP(A2233,MasterTutor!A:E,2,FALSE)</f>
        <v>Ela Cross</v>
      </c>
      <c r="E2233" t="s">
        <v>212</v>
      </c>
      <c r="F2233" s="22">
        <v>0.6875</v>
      </c>
      <c r="G2233" s="22">
        <v>1.0207999999999999</v>
      </c>
      <c r="H2233" s="22">
        <v>1</v>
      </c>
      <c r="I2233" s="22">
        <v>0.97674418604651103</v>
      </c>
      <c r="J2233" s="22">
        <v>0.69230769230769196</v>
      </c>
      <c r="K2233">
        <v>5</v>
      </c>
      <c r="L2233" s="19" t="s">
        <v>610</v>
      </c>
      <c r="M2233" s="21" t="e">
        <f t="shared" si="18"/>
        <v>#DIV/0!</v>
      </c>
    </row>
    <row r="2234" spans="1:13" x14ac:dyDescent="0.2">
      <c r="A2234" t="s">
        <v>168</v>
      </c>
      <c r="B2234" t="str">
        <f>VLOOKUP(A2234,MasterTutor!A:E,4,FALSE)</f>
        <v>Advanced</v>
      </c>
      <c r="C2234" t="str">
        <f>VLOOKUP(A2234,MasterTutor!A:E,3,FALSE)</f>
        <v>Adjunct</v>
      </c>
      <c r="D2234" t="str">
        <f>VLOOKUP(A2234,MasterTutor!A:E,2,FALSE)</f>
        <v>Kristin Haase-Alvey</v>
      </c>
      <c r="E2234" t="s">
        <v>212</v>
      </c>
      <c r="F2234" s="22">
        <v>0.96250000000000002</v>
      </c>
      <c r="G2234" s="22">
        <v>1.0129999999999999</v>
      </c>
      <c r="H2234" s="22">
        <v>0.98936170212765895</v>
      </c>
      <c r="I2234" s="22">
        <v>1</v>
      </c>
      <c r="J2234" s="22">
        <v>0.8</v>
      </c>
      <c r="K2234">
        <v>9</v>
      </c>
      <c r="L2234" s="19" t="s">
        <v>226</v>
      </c>
      <c r="M2234" s="21">
        <f t="shared" si="18"/>
        <v>0.75</v>
      </c>
    </row>
    <row r="2235" spans="1:13" x14ac:dyDescent="0.2">
      <c r="A2235" t="s">
        <v>304</v>
      </c>
      <c r="B2235" t="str">
        <f>VLOOKUP(A2235,MasterTutor!A:E,4,FALSE)</f>
        <v>Advanced</v>
      </c>
      <c r="C2235" t="str">
        <f>VLOOKUP(A2235,MasterTutor!A:E,3,FALSE)</f>
        <v>Professional</v>
      </c>
      <c r="D2235" t="str">
        <f>VLOOKUP(A2235,MasterTutor!A:E,2,FALSE)</f>
        <v>Kristin Haase-Alvey</v>
      </c>
      <c r="E2235" t="s">
        <v>212</v>
      </c>
      <c r="F2235" s="22">
        <v>0.7208</v>
      </c>
      <c r="G2235" s="22">
        <v>0.95719999999999905</v>
      </c>
      <c r="H2235" s="22">
        <v>0.88505747126436696</v>
      </c>
      <c r="I2235" s="22">
        <v>0.96875</v>
      </c>
      <c r="J2235" s="22">
        <v>0.58333333333333304</v>
      </c>
      <c r="K2235">
        <v>7</v>
      </c>
      <c r="L2235" s="19" t="s">
        <v>229</v>
      </c>
      <c r="M2235" s="21">
        <f t="shared" si="18"/>
        <v>0.6</v>
      </c>
    </row>
    <row r="2236" spans="1:13" x14ac:dyDescent="0.2">
      <c r="A2236" t="s">
        <v>170</v>
      </c>
      <c r="B2236" t="str">
        <f>VLOOKUP(A2236,MasterTutor!A:E,4,FALSE)</f>
        <v>Advanced</v>
      </c>
      <c r="C2236" t="str">
        <f>VLOOKUP(A2236,MasterTutor!A:E,3,FALSE)</f>
        <v>Professional</v>
      </c>
      <c r="D2236" t="str">
        <f>VLOOKUP(A2236,MasterTutor!A:E,2,FALSE)</f>
        <v>Ela Cross</v>
      </c>
      <c r="E2236" t="s">
        <v>212</v>
      </c>
      <c r="F2236" s="22">
        <v>1.0874999999999999</v>
      </c>
      <c r="G2236" s="22">
        <v>1.0575999999999901</v>
      </c>
      <c r="H2236" s="22">
        <v>0.96178343949044498</v>
      </c>
      <c r="I2236" s="22">
        <v>0.91463414634146301</v>
      </c>
      <c r="J2236" s="22">
        <v>0.91666666666666596</v>
      </c>
      <c r="K2236">
        <v>10</v>
      </c>
      <c r="L2236" s="19" t="s">
        <v>219</v>
      </c>
      <c r="M2236" s="21">
        <f t="shared" si="18"/>
        <v>0</v>
      </c>
    </row>
    <row r="2237" spans="1:13" x14ac:dyDescent="0.2">
      <c r="A2237" t="s">
        <v>305</v>
      </c>
      <c r="B2237" t="str">
        <f>VLOOKUP(A2237,MasterTutor!A:E,4,FALSE)</f>
        <v>Advanced</v>
      </c>
      <c r="C2237" t="str">
        <f>VLOOKUP(A2237,MasterTutor!A:E,3,FALSE)</f>
        <v>Professional</v>
      </c>
      <c r="D2237" t="str">
        <f>VLOOKUP(A2237,MasterTutor!A:E,2,FALSE)</f>
        <v>Ian Plamondon</v>
      </c>
      <c r="E2237" t="s">
        <v>212</v>
      </c>
      <c r="F2237" s="22">
        <v>0.87859999999999905</v>
      </c>
      <c r="G2237" s="22">
        <v>1.0276000000000001</v>
      </c>
      <c r="H2237" s="22">
        <v>1</v>
      </c>
      <c r="I2237" s="22">
        <v>0.98876404494381998</v>
      </c>
      <c r="J2237" s="22">
        <v>0.105263157894736</v>
      </c>
      <c r="K2237">
        <v>10</v>
      </c>
      <c r="L2237" s="19" t="s">
        <v>306</v>
      </c>
      <c r="M2237" s="21">
        <f t="shared" si="18"/>
        <v>0</v>
      </c>
    </row>
    <row r="2238" spans="1:13" x14ac:dyDescent="0.2">
      <c r="A2238" t="s">
        <v>171</v>
      </c>
      <c r="B2238" t="str">
        <f>VLOOKUP(A2238,MasterTutor!A:E,4,FALSE)</f>
        <v>Advanced</v>
      </c>
      <c r="C2238" t="str">
        <f>VLOOKUP(A2238,MasterTutor!A:E,3,FALSE)</f>
        <v>Adjunct</v>
      </c>
      <c r="D2238" t="str">
        <f>VLOOKUP(A2238,MasterTutor!A:E,2,FALSE)</f>
        <v>Annelies de Groot</v>
      </c>
      <c r="E2238" t="s">
        <v>212</v>
      </c>
      <c r="F2238" s="22">
        <v>0.80210000000000004</v>
      </c>
      <c r="G2238" s="22">
        <v>1.1992</v>
      </c>
      <c r="H2238" s="22">
        <v>0.93181818181818099</v>
      </c>
      <c r="I2238" s="22">
        <v>0.97368421052631504</v>
      </c>
      <c r="J2238" s="22">
        <v>0.33333333333333298</v>
      </c>
      <c r="K2238">
        <v>8</v>
      </c>
      <c r="L2238" s="19" t="s">
        <v>307</v>
      </c>
      <c r="M2238" s="21">
        <f t="shared" si="18"/>
        <v>0.2857142857142857</v>
      </c>
    </row>
    <row r="2239" spans="1:13" x14ac:dyDescent="0.2">
      <c r="A2239" t="s">
        <v>308</v>
      </c>
      <c r="B2239" t="str">
        <f>VLOOKUP(A2239,MasterTutor!A:E,4,FALSE)</f>
        <v>Advanced</v>
      </c>
      <c r="C2239" t="str">
        <f>VLOOKUP(A2239,MasterTutor!A:E,3,FALSE)</f>
        <v>Professional</v>
      </c>
      <c r="D2239" t="str">
        <f>VLOOKUP(A2239,MasterTutor!A:E,2,FALSE)</f>
        <v>Annelies de Groot</v>
      </c>
      <c r="E2239" t="s">
        <v>212</v>
      </c>
      <c r="F2239" s="22">
        <v>0.8417</v>
      </c>
      <c r="G2239" s="22">
        <v>1.1151</v>
      </c>
      <c r="H2239" s="22">
        <v>0.91011235955056102</v>
      </c>
      <c r="I2239" s="22">
        <v>0.98333333333333295</v>
      </c>
      <c r="J2239" s="22">
        <v>0.75</v>
      </c>
      <c r="K2239">
        <v>2</v>
      </c>
      <c r="L2239" s="19" t="s">
        <v>309</v>
      </c>
      <c r="M2239" s="21">
        <f t="shared" si="18"/>
        <v>1</v>
      </c>
    </row>
    <row r="2240" spans="1:13" x14ac:dyDescent="0.2">
      <c r="A2240" t="s">
        <v>310</v>
      </c>
      <c r="B2240" t="str">
        <f>VLOOKUP(A2240,MasterTutor!A:E,4,FALSE)</f>
        <v>Advanced</v>
      </c>
      <c r="C2240" t="str">
        <f>VLOOKUP(A2240,MasterTutor!A:E,3,FALSE)</f>
        <v>Professional</v>
      </c>
      <c r="D2240" t="str">
        <f>VLOOKUP(A2240,MasterTutor!A:E,2,FALSE)</f>
        <v>Ela Cross</v>
      </c>
      <c r="E2240" t="s">
        <v>212</v>
      </c>
      <c r="F2240" s="22">
        <v>0.89580000000000004</v>
      </c>
      <c r="G2240" s="22">
        <v>1.1069</v>
      </c>
      <c r="H2240" s="22">
        <v>0.94680851063829696</v>
      </c>
      <c r="I2240" s="22">
        <v>1</v>
      </c>
      <c r="J2240" s="22">
        <v>0.94117647058823495</v>
      </c>
      <c r="K2240">
        <v>4</v>
      </c>
      <c r="L2240" s="19" t="s">
        <v>311</v>
      </c>
      <c r="M2240" s="21">
        <f t="shared" si="18"/>
        <v>0.33333333333333331</v>
      </c>
    </row>
    <row r="2241" spans="1:13" x14ac:dyDescent="0.2">
      <c r="A2241" t="s">
        <v>312</v>
      </c>
      <c r="B2241" t="str">
        <f>VLOOKUP(A2241,MasterTutor!A:E,4,FALSE)</f>
        <v>Advanced</v>
      </c>
      <c r="C2241" t="str">
        <f>VLOOKUP(A2241,MasterTutor!A:E,3,FALSE)</f>
        <v>Professional</v>
      </c>
      <c r="D2241" t="str">
        <f>VLOOKUP(A2241,MasterTutor!A:E,2,FALSE)</f>
        <v>Ela Cross</v>
      </c>
      <c r="E2241" t="s">
        <v>212</v>
      </c>
      <c r="F2241" s="22">
        <v>0.875</v>
      </c>
      <c r="G2241" s="22">
        <v>1.0407</v>
      </c>
      <c r="H2241" s="22">
        <v>1</v>
      </c>
      <c r="I2241" s="22">
        <v>0.89772727272727204</v>
      </c>
      <c r="J2241" s="22">
        <v>0.66666666666666596</v>
      </c>
      <c r="K2241">
        <v>9</v>
      </c>
      <c r="L2241" s="19" t="s">
        <v>224</v>
      </c>
      <c r="M2241" s="21">
        <f t="shared" si="18"/>
        <v>0</v>
      </c>
    </row>
    <row r="2242" spans="1:13" x14ac:dyDescent="0.2">
      <c r="A2242" t="s">
        <v>175</v>
      </c>
      <c r="B2242" t="str">
        <f>VLOOKUP(A2242,MasterTutor!A:E,4,FALSE)</f>
        <v>Distinguished</v>
      </c>
      <c r="C2242" t="str">
        <f>VLOOKUP(A2242,MasterTutor!A:E,3,FALSE)</f>
        <v>Adjunct</v>
      </c>
      <c r="D2242" t="str">
        <f>VLOOKUP(A2242,MasterTutor!A:E,2,FALSE)</f>
        <v>Annelies de Groot</v>
      </c>
      <c r="E2242" t="s">
        <v>212</v>
      </c>
      <c r="F2242" s="22">
        <v>0.62149999999999905</v>
      </c>
      <c r="G2242" s="22">
        <v>0.88670000000000004</v>
      </c>
      <c r="H2242" s="22">
        <v>0.8</v>
      </c>
      <c r="I2242" s="22">
        <v>0.45</v>
      </c>
      <c r="J2242" s="22">
        <v>0.5</v>
      </c>
      <c r="K2242">
        <v>1</v>
      </c>
      <c r="L2242" s="19" t="s">
        <v>215</v>
      </c>
      <c r="M2242" s="21">
        <f t="shared" si="18"/>
        <v>1</v>
      </c>
    </row>
    <row r="2243" spans="1:13" x14ac:dyDescent="0.2">
      <c r="A2243" t="s">
        <v>176</v>
      </c>
      <c r="B2243" t="str">
        <f>VLOOKUP(A2243,MasterTutor!A:E,4,FALSE)</f>
        <v>Premium</v>
      </c>
      <c r="C2243" t="str">
        <f>VLOOKUP(A2243,MasterTutor!A:E,3,FALSE)</f>
        <v>Professional</v>
      </c>
      <c r="D2243" t="str">
        <f>VLOOKUP(A2243,MasterTutor!A:E,2,FALSE)</f>
        <v>Ian Plamondon</v>
      </c>
      <c r="E2243" t="s">
        <v>212</v>
      </c>
      <c r="F2243" s="22">
        <v>1.1025</v>
      </c>
      <c r="G2243" s="22">
        <v>1.4522999999999999</v>
      </c>
      <c r="H2243" s="22">
        <v>0.99224806201550297</v>
      </c>
      <c r="I2243" s="22">
        <v>0.98837209302325502</v>
      </c>
      <c r="J2243" s="22">
        <v>0.96875</v>
      </c>
      <c r="K2243">
        <v>4</v>
      </c>
      <c r="L2243" s="19" t="s">
        <v>225</v>
      </c>
      <c r="M2243" s="21">
        <f t="shared" si="18"/>
        <v>0.5</v>
      </c>
    </row>
    <row r="2244" spans="1:13" x14ac:dyDescent="0.2">
      <c r="A2244" t="s">
        <v>313</v>
      </c>
      <c r="B2244" t="str">
        <f>VLOOKUP(A2244,MasterTutor!A:E,4,FALSE)</f>
        <v>Advanced</v>
      </c>
      <c r="C2244" t="str">
        <f>VLOOKUP(A2244,MasterTutor!A:E,3,FALSE)</f>
        <v>Professional</v>
      </c>
      <c r="D2244" t="str">
        <f>VLOOKUP(A2244,MasterTutor!A:E,2,FALSE)</f>
        <v>Kristin Haase-Alvey</v>
      </c>
      <c r="E2244" t="s">
        <v>212</v>
      </c>
      <c r="F2244" s="22">
        <v>1.0036</v>
      </c>
      <c r="G2244" s="22">
        <v>0.95779999999999998</v>
      </c>
      <c r="H2244" s="22">
        <v>0.97986577181208001</v>
      </c>
      <c r="I2244" s="22">
        <v>0.97142857142857097</v>
      </c>
      <c r="J2244" s="22">
        <v>0.8125</v>
      </c>
      <c r="K2244">
        <v>20</v>
      </c>
      <c r="L2244" s="19" t="s">
        <v>232</v>
      </c>
      <c r="M2244" s="21">
        <f t="shared" si="18"/>
        <v>0.7142857142857143</v>
      </c>
    </row>
    <row r="2245" spans="1:13" x14ac:dyDescent="0.2">
      <c r="A2245" t="s">
        <v>314</v>
      </c>
      <c r="B2245" t="str">
        <f>VLOOKUP(A2245,MasterTutor!A:E,4,FALSE)</f>
        <v>Advanced</v>
      </c>
      <c r="C2245" t="str">
        <f>VLOOKUP(A2245,MasterTutor!A:E,3,FALSE)</f>
        <v>Professional</v>
      </c>
      <c r="D2245" t="str">
        <f>VLOOKUP(A2245,MasterTutor!A:E,2,FALSE)</f>
        <v>Ian Plamondon</v>
      </c>
      <c r="E2245" t="s">
        <v>212</v>
      </c>
      <c r="F2245" s="22">
        <v>0.83960000000000001</v>
      </c>
      <c r="G2245" s="22">
        <v>0.90949999999999998</v>
      </c>
      <c r="H2245" s="22">
        <v>1</v>
      </c>
      <c r="I2245" s="22">
        <v>1</v>
      </c>
      <c r="J2245" s="22">
        <v>0.66666666666666596</v>
      </c>
      <c r="K2245">
        <v>4</v>
      </c>
      <c r="L2245" s="19" t="s">
        <v>256</v>
      </c>
      <c r="M2245" s="21">
        <f t="shared" si="18"/>
        <v>0.83333333333333337</v>
      </c>
    </row>
    <row r="2246" spans="1:13" x14ac:dyDescent="0.2">
      <c r="A2246" t="s">
        <v>179</v>
      </c>
      <c r="B2246" t="str">
        <f>VLOOKUP(A2246,MasterTutor!A:E,4,FALSE)</f>
        <v>Advanced</v>
      </c>
      <c r="C2246" t="str">
        <f>VLOOKUP(A2246,MasterTutor!A:E,3,FALSE)</f>
        <v>Adjunct</v>
      </c>
      <c r="D2246" t="str">
        <f>VLOOKUP(A2246,MasterTutor!A:E,2,FALSE)</f>
        <v>Ela Cross</v>
      </c>
      <c r="E2246" t="s">
        <v>212</v>
      </c>
      <c r="F2246" s="22">
        <v>1.0312999999999899</v>
      </c>
      <c r="G2246" s="22">
        <v>1.1172</v>
      </c>
      <c r="H2246" s="22">
        <v>0.98181818181818103</v>
      </c>
      <c r="I2246" s="22">
        <v>0.97499999999999998</v>
      </c>
      <c r="J2246" s="22">
        <v>0.9</v>
      </c>
      <c r="K2246">
        <v>4</v>
      </c>
      <c r="L2246" s="19" t="s">
        <v>220</v>
      </c>
      <c r="M2246" s="21">
        <f t="shared" si="18"/>
        <v>0.8571428571428571</v>
      </c>
    </row>
    <row r="2247" spans="1:13" x14ac:dyDescent="0.2">
      <c r="A2247" t="s">
        <v>180</v>
      </c>
      <c r="B2247" t="str">
        <f>VLOOKUP(A2247,MasterTutor!A:E,4,FALSE)</f>
        <v>Premium</v>
      </c>
      <c r="C2247" t="str">
        <f>VLOOKUP(A2247,MasterTutor!A:E,3,FALSE)</f>
        <v>Adjunct</v>
      </c>
      <c r="D2247" t="str">
        <f>VLOOKUP(A2247,MasterTutor!A:E,2,FALSE)</f>
        <v>Geoff St. Marie</v>
      </c>
      <c r="E2247" t="s">
        <v>212</v>
      </c>
      <c r="F2247" s="22">
        <v>0.843799999999999</v>
      </c>
      <c r="G2247" s="22">
        <v>1.2734000000000001</v>
      </c>
      <c r="H2247" s="22">
        <v>1</v>
      </c>
      <c r="I2247" s="22">
        <v>0.96153846153846101</v>
      </c>
      <c r="J2247" s="22">
        <v>0.88888888888888795</v>
      </c>
      <c r="K2247">
        <v>5</v>
      </c>
      <c r="L2247" s="19" t="s">
        <v>610</v>
      </c>
      <c r="M2247" s="21" t="e">
        <f t="shared" si="18"/>
        <v>#DIV/0!</v>
      </c>
    </row>
    <row r="2248" spans="1:13" x14ac:dyDescent="0.2">
      <c r="A2248" t="s">
        <v>181</v>
      </c>
      <c r="B2248" t="str">
        <f>VLOOKUP(A2248,MasterTutor!A:E,4,FALSE)</f>
        <v>Advanced</v>
      </c>
      <c r="C2248" t="str">
        <f>VLOOKUP(A2248,MasterTutor!A:E,3,FALSE)</f>
        <v>Professional</v>
      </c>
      <c r="D2248" t="str">
        <f>VLOOKUP(A2248,MasterTutor!A:E,2,FALSE)</f>
        <v>Ela Cross</v>
      </c>
      <c r="E2248" t="s">
        <v>212</v>
      </c>
      <c r="F2248" s="22">
        <v>0.86250000000000004</v>
      </c>
      <c r="G2248" s="22">
        <v>0.97859999999999903</v>
      </c>
      <c r="H2248" s="22">
        <v>0.93277310924369705</v>
      </c>
      <c r="I2248" s="22">
        <v>0.94871794871794801</v>
      </c>
      <c r="J2248" s="22">
        <v>0.9375</v>
      </c>
      <c r="K2248">
        <v>6</v>
      </c>
      <c r="L2248" s="19" t="s">
        <v>214</v>
      </c>
      <c r="M2248" s="21">
        <f t="shared" si="18"/>
        <v>0.6</v>
      </c>
    </row>
    <row r="2249" spans="1:13" x14ac:dyDescent="0.2">
      <c r="A2249" t="s">
        <v>182</v>
      </c>
      <c r="B2249" t="str">
        <f>VLOOKUP(A2249,MasterTutor!A:E,4,FALSE)</f>
        <v>Premium</v>
      </c>
      <c r="C2249" t="str">
        <f>VLOOKUP(A2249,MasterTutor!A:E,3,FALSE)</f>
        <v>Professional</v>
      </c>
      <c r="D2249" t="str">
        <f>VLOOKUP(A2249,MasterTutor!A:E,2,FALSE)</f>
        <v>Annelies de Groot</v>
      </c>
      <c r="E2249" t="s">
        <v>212</v>
      </c>
      <c r="F2249" s="22">
        <v>1.0414000000000001</v>
      </c>
      <c r="G2249" s="22">
        <v>1.1513</v>
      </c>
      <c r="H2249" s="22">
        <v>1</v>
      </c>
      <c r="I2249" s="22">
        <v>0.98571428571428499</v>
      </c>
      <c r="J2249" s="22">
        <v>0.92857142857142805</v>
      </c>
      <c r="K2249">
        <v>3</v>
      </c>
      <c r="L2249" s="19" t="s">
        <v>227</v>
      </c>
      <c r="M2249" s="21">
        <f t="shared" si="18"/>
        <v>1</v>
      </c>
    </row>
    <row r="2250" spans="1:13" x14ac:dyDescent="0.2">
      <c r="A2250" t="s">
        <v>315</v>
      </c>
      <c r="B2250" t="str">
        <f>VLOOKUP(A2250,MasterTutor!A:E,4,FALSE)</f>
        <v>Advanced</v>
      </c>
      <c r="C2250" t="str">
        <f>VLOOKUP(A2250,MasterTutor!A:E,3,FALSE)</f>
        <v>Professional</v>
      </c>
      <c r="D2250" t="str">
        <f>VLOOKUP(A2250,MasterTutor!A:E,2,FALSE)</f>
        <v>Ela Cross</v>
      </c>
      <c r="E2250" t="s">
        <v>212</v>
      </c>
      <c r="F2250" s="22">
        <v>1.0354000000000001</v>
      </c>
      <c r="G2250" s="22">
        <v>1.0690999999999999</v>
      </c>
      <c r="H2250" s="22">
        <v>1</v>
      </c>
      <c r="I2250" s="22">
        <v>0.91578947368421004</v>
      </c>
      <c r="J2250" s="22">
        <v>0.44444444444444398</v>
      </c>
      <c r="K2250">
        <v>10</v>
      </c>
      <c r="L2250" s="19" t="s">
        <v>260</v>
      </c>
      <c r="M2250" s="21">
        <f t="shared" si="18"/>
        <v>0.16666666666666666</v>
      </c>
    </row>
    <row r="2251" spans="1:13" x14ac:dyDescent="0.2">
      <c r="A2251" t="s">
        <v>183</v>
      </c>
      <c r="B2251" t="str">
        <f>VLOOKUP(A2251,MasterTutor!A:E,4,FALSE)</f>
        <v>Advanced</v>
      </c>
      <c r="C2251" t="str">
        <f>VLOOKUP(A2251,MasterTutor!A:E,3,FALSE)</f>
        <v>Adjunct</v>
      </c>
      <c r="D2251" t="str">
        <f>VLOOKUP(A2251,MasterTutor!A:E,2,FALSE)</f>
        <v>Annelies de Groot</v>
      </c>
      <c r="E2251" t="s">
        <v>212</v>
      </c>
      <c r="F2251" s="22">
        <v>1.2707999999999999</v>
      </c>
      <c r="G2251" s="22">
        <v>1.3125</v>
      </c>
      <c r="H2251" s="22">
        <v>0.96666666666666601</v>
      </c>
      <c r="I2251" s="22">
        <v>1</v>
      </c>
      <c r="J2251" s="22">
        <v>1</v>
      </c>
      <c r="K2251">
        <v>7</v>
      </c>
      <c r="L2251" s="19" t="s">
        <v>219</v>
      </c>
      <c r="M2251" s="21">
        <f t="shared" si="18"/>
        <v>0</v>
      </c>
    </row>
    <row r="2252" spans="1:13" x14ac:dyDescent="0.2">
      <c r="A2252" t="s">
        <v>184</v>
      </c>
      <c r="B2252" t="str">
        <f>VLOOKUP(A2252,MasterTutor!A:E,4,FALSE)</f>
        <v>Advanced</v>
      </c>
      <c r="C2252" t="str">
        <f>VLOOKUP(A2252,MasterTutor!A:E,3,FALSE)</f>
        <v>Adjunct</v>
      </c>
      <c r="D2252" t="str">
        <f>VLOOKUP(A2252,MasterTutor!A:E,2,FALSE)</f>
        <v>Kristin Haase-Alvey</v>
      </c>
      <c r="E2252" t="s">
        <v>212</v>
      </c>
      <c r="F2252" s="22">
        <v>0.80210000000000004</v>
      </c>
      <c r="G2252" s="22">
        <v>1.0664</v>
      </c>
      <c r="H2252" s="22">
        <v>0.97727272727272696</v>
      </c>
      <c r="I2252" s="22">
        <v>0.94285714285714195</v>
      </c>
      <c r="J2252" s="22">
        <v>0.75</v>
      </c>
      <c r="K2252">
        <v>2</v>
      </c>
      <c r="L2252" s="19" t="s">
        <v>215</v>
      </c>
      <c r="M2252" s="21">
        <f t="shared" si="18"/>
        <v>1</v>
      </c>
    </row>
    <row r="2253" spans="1:13" x14ac:dyDescent="0.2">
      <c r="A2253" t="s">
        <v>185</v>
      </c>
      <c r="B2253" t="str">
        <f>VLOOKUP(A2253,MasterTutor!A:E,4,FALSE)</f>
        <v>Distinguished</v>
      </c>
      <c r="C2253" t="str">
        <f>VLOOKUP(A2253,MasterTutor!A:E,3,FALSE)</f>
        <v>Professional</v>
      </c>
      <c r="D2253" t="str">
        <f>VLOOKUP(A2253,MasterTutor!A:E,2,FALSE)</f>
        <v>Ian Plamondon</v>
      </c>
      <c r="E2253" t="s">
        <v>212</v>
      </c>
      <c r="F2253" s="22">
        <v>0.60829999999999995</v>
      </c>
      <c r="G2253" s="22">
        <v>1.0263</v>
      </c>
      <c r="H2253" s="22">
        <v>0.971830985915492</v>
      </c>
      <c r="I2253" s="22">
        <v>0.97959183673469297</v>
      </c>
      <c r="J2253" s="22">
        <v>0.44444444444444398</v>
      </c>
      <c r="K2253">
        <v>3</v>
      </c>
      <c r="L2253" s="19" t="s">
        <v>266</v>
      </c>
      <c r="M2253" s="21">
        <f t="shared" si="18"/>
        <v>0</v>
      </c>
    </row>
    <row r="2254" spans="1:13" x14ac:dyDescent="0.2">
      <c r="A2254" t="s">
        <v>186</v>
      </c>
      <c r="B2254" t="str">
        <f>VLOOKUP(A2254,MasterTutor!A:E,4,FALSE)</f>
        <v>Premium</v>
      </c>
      <c r="C2254" t="str">
        <f>VLOOKUP(A2254,MasterTutor!A:E,3,FALSE)</f>
        <v>Adjunct</v>
      </c>
      <c r="D2254" t="str">
        <f>VLOOKUP(A2254,MasterTutor!A:E,2,FALSE)</f>
        <v>Ela Cross</v>
      </c>
      <c r="E2254" t="s">
        <v>212</v>
      </c>
      <c r="F2254" s="22">
        <v>1.1031</v>
      </c>
      <c r="G2254" s="22">
        <v>1.27859999999999</v>
      </c>
      <c r="H2254" s="22">
        <v>1</v>
      </c>
      <c r="I2254" s="22">
        <v>0.94736842105263097</v>
      </c>
      <c r="J2254" s="22">
        <v>0.875</v>
      </c>
      <c r="K2254">
        <v>2</v>
      </c>
      <c r="L2254" s="19" t="s">
        <v>610</v>
      </c>
      <c r="M2254" s="21" t="e">
        <f t="shared" si="18"/>
        <v>#DIV/0!</v>
      </c>
    </row>
    <row r="2255" spans="1:13" x14ac:dyDescent="0.2">
      <c r="A2255" t="s">
        <v>316</v>
      </c>
      <c r="B2255" t="str">
        <f>VLOOKUP(A2255,MasterTutor!A:E,4,FALSE)</f>
        <v>Advanced</v>
      </c>
      <c r="C2255" t="str">
        <f>VLOOKUP(A2255,MasterTutor!A:E,3,FALSE)</f>
        <v>Professional</v>
      </c>
      <c r="D2255" t="str">
        <f>VLOOKUP(A2255,MasterTutor!A:E,2,FALSE)</f>
        <v>Annelies de Groot</v>
      </c>
      <c r="E2255" t="s">
        <v>212</v>
      </c>
      <c r="F2255" s="22">
        <v>0.85</v>
      </c>
      <c r="G2255" s="22">
        <v>1.1545999999999901</v>
      </c>
      <c r="H2255" s="22">
        <v>0.934579439252336</v>
      </c>
      <c r="I2255" s="22">
        <v>0.91780821917808197</v>
      </c>
      <c r="J2255" s="22">
        <v>0.4</v>
      </c>
      <c r="K2255">
        <v>6</v>
      </c>
      <c r="L2255" s="19" t="s">
        <v>317</v>
      </c>
      <c r="M2255" s="21">
        <f t="shared" si="18"/>
        <v>0.55555555555555558</v>
      </c>
    </row>
    <row r="2256" spans="1:13" x14ac:dyDescent="0.2">
      <c r="A2256" t="s">
        <v>187</v>
      </c>
      <c r="B2256" t="str">
        <f>VLOOKUP(A2256,MasterTutor!A:E,4,FALSE)</f>
        <v>Distinguished</v>
      </c>
      <c r="C2256" t="str">
        <f>VLOOKUP(A2256,MasterTutor!A:E,3,FALSE)</f>
        <v>Adjunct</v>
      </c>
      <c r="D2256" t="str">
        <f>VLOOKUP(A2256,MasterTutor!A:E,2,FALSE)</f>
        <v>Ela Cross</v>
      </c>
      <c r="E2256" t="s">
        <v>212</v>
      </c>
      <c r="F2256" s="22">
        <v>1.0660000000000001</v>
      </c>
      <c r="G2256" s="22">
        <v>1.2812999999999899</v>
      </c>
      <c r="H2256" s="22">
        <v>1</v>
      </c>
      <c r="I2256" s="22">
        <v>0.97142857142857097</v>
      </c>
      <c r="J2256" s="22">
        <v>0.81818181818181801</v>
      </c>
      <c r="K2256">
        <v>3</v>
      </c>
      <c r="L2256" s="19" t="s">
        <v>227</v>
      </c>
      <c r="M2256" s="21">
        <f t="shared" si="18"/>
        <v>1</v>
      </c>
    </row>
    <row r="2257" spans="1:13" x14ac:dyDescent="0.2">
      <c r="A2257" t="s">
        <v>188</v>
      </c>
      <c r="B2257" t="str">
        <f>VLOOKUP(A2257,MasterTutor!A:E,4,FALSE)</f>
        <v>Premium</v>
      </c>
      <c r="C2257" t="str">
        <f>VLOOKUP(A2257,MasterTutor!A:E,3,FALSE)</f>
        <v>Professional</v>
      </c>
      <c r="D2257" t="str">
        <f>VLOOKUP(A2257,MasterTutor!A:E,2,FALSE)</f>
        <v>Ian Plamondon</v>
      </c>
      <c r="E2257" t="s">
        <v>212</v>
      </c>
      <c r="F2257" s="22">
        <v>0.4375</v>
      </c>
      <c r="G2257" s="22">
        <v>1.1397999999999999</v>
      </c>
      <c r="H2257" s="22">
        <v>1</v>
      </c>
      <c r="I2257" s="22">
        <v>0.95</v>
      </c>
      <c r="J2257" s="22">
        <v>0.78571428571428503</v>
      </c>
      <c r="K2257">
        <v>3</v>
      </c>
      <c r="L2257" s="19" t="s">
        <v>267</v>
      </c>
      <c r="M2257" s="21">
        <f t="shared" si="18"/>
        <v>0</v>
      </c>
    </row>
    <row r="2258" spans="1:13" x14ac:dyDescent="0.2">
      <c r="A2258" t="s">
        <v>189</v>
      </c>
      <c r="B2258" t="str">
        <f>VLOOKUP(A2258,MasterTutor!A:E,4,FALSE)</f>
        <v>Advanced</v>
      </c>
      <c r="C2258" t="str">
        <f>VLOOKUP(A2258,MasterTutor!A:E,3,FALSE)</f>
        <v>Adjunct</v>
      </c>
      <c r="D2258" t="str">
        <f>VLOOKUP(A2258,MasterTutor!A:E,2,FALSE)</f>
        <v>Annelies de Groot</v>
      </c>
      <c r="E2258" t="s">
        <v>212</v>
      </c>
      <c r="F2258" s="22">
        <v>1.11459999999999</v>
      </c>
      <c r="G2258" s="22">
        <v>1.1484000000000001</v>
      </c>
      <c r="H2258" s="22">
        <v>0.95588235294117596</v>
      </c>
      <c r="I2258" s="22">
        <v>1</v>
      </c>
      <c r="J2258" s="22">
        <v>0.46153846153846101</v>
      </c>
      <c r="K2258">
        <v>9</v>
      </c>
      <c r="L2258" s="19" t="s">
        <v>219</v>
      </c>
      <c r="M2258" s="21">
        <f t="shared" si="18"/>
        <v>0</v>
      </c>
    </row>
    <row r="2259" spans="1:13" x14ac:dyDescent="0.2">
      <c r="A2259" t="s">
        <v>318</v>
      </c>
      <c r="B2259" t="str">
        <f>VLOOKUP(A2259,MasterTutor!A:E,4,FALSE)</f>
        <v>Advanced</v>
      </c>
      <c r="C2259" t="str">
        <f>VLOOKUP(A2259,MasterTutor!A:E,3,FALSE)</f>
        <v>Adjunct</v>
      </c>
      <c r="D2259" t="str">
        <f>VLOOKUP(A2259,MasterTutor!A:E,2,FALSE)</f>
        <v>Ela Cross</v>
      </c>
      <c r="E2259" t="s">
        <v>212</v>
      </c>
      <c r="F2259" s="22">
        <v>1.5417000000000001</v>
      </c>
      <c r="G2259" s="22">
        <v>1.7772999999999901</v>
      </c>
      <c r="H2259" s="22">
        <v>0.98750000000000004</v>
      </c>
      <c r="I2259" s="22">
        <v>1</v>
      </c>
      <c r="J2259" s="22">
        <v>0.52941176470588203</v>
      </c>
      <c r="K2259">
        <v>8</v>
      </c>
      <c r="L2259" s="19" t="s">
        <v>219</v>
      </c>
      <c r="M2259" s="21">
        <f t="shared" si="18"/>
        <v>0</v>
      </c>
    </row>
    <row r="2260" spans="1:13" x14ac:dyDescent="0.2">
      <c r="A2260" t="s">
        <v>192</v>
      </c>
      <c r="B2260" t="str">
        <f>VLOOKUP(A2260,MasterTutor!A:E,4,FALSE)</f>
        <v>Advanced</v>
      </c>
      <c r="C2260" t="str">
        <f>VLOOKUP(A2260,MasterTutor!A:E,3,FALSE)</f>
        <v>Adjunct</v>
      </c>
      <c r="D2260" t="str">
        <f>VLOOKUP(A2260,MasterTutor!A:E,2,FALSE)</f>
        <v>Ela Cross</v>
      </c>
      <c r="E2260" t="s">
        <v>212</v>
      </c>
      <c r="F2260" s="22">
        <v>1.8229</v>
      </c>
      <c r="G2260" s="22">
        <v>1.8984000000000001</v>
      </c>
      <c r="H2260" s="22">
        <v>1</v>
      </c>
      <c r="I2260" s="22">
        <v>1</v>
      </c>
      <c r="J2260" s="22">
        <v>1</v>
      </c>
      <c r="K2260">
        <v>1</v>
      </c>
      <c r="L2260" s="19" t="s">
        <v>610</v>
      </c>
      <c r="M2260" s="21" t="e">
        <f t="shared" si="18"/>
        <v>#DIV/0!</v>
      </c>
    </row>
    <row r="2261" spans="1:13" x14ac:dyDescent="0.2">
      <c r="A2261" t="s">
        <v>193</v>
      </c>
      <c r="B2261" t="str">
        <f>VLOOKUP(A2261,MasterTutor!A:E,4,FALSE)</f>
        <v>Advanced</v>
      </c>
      <c r="C2261" t="str">
        <f>VLOOKUP(A2261,MasterTutor!A:E,3,FALSE)</f>
        <v>Professional</v>
      </c>
      <c r="D2261" t="str">
        <f>VLOOKUP(A2261,MasterTutor!A:E,2,FALSE)</f>
        <v>Annelies de Groot</v>
      </c>
      <c r="E2261" t="s">
        <v>212</v>
      </c>
      <c r="F2261" s="22">
        <v>0.85829999999999995</v>
      </c>
      <c r="G2261" s="22">
        <v>1.0937999999999899</v>
      </c>
      <c r="H2261" s="22">
        <v>1</v>
      </c>
      <c r="I2261" s="22">
        <v>0.98484848484848397</v>
      </c>
      <c r="J2261" s="22">
        <v>0.8</v>
      </c>
      <c r="K2261">
        <v>7</v>
      </c>
      <c r="L2261" s="19" t="s">
        <v>220</v>
      </c>
      <c r="M2261" s="21">
        <f t="shared" si="18"/>
        <v>0.8571428571428571</v>
      </c>
    </row>
    <row r="2262" spans="1:13" x14ac:dyDescent="0.2">
      <c r="A2262" t="s">
        <v>196</v>
      </c>
      <c r="B2262" t="str">
        <f>VLOOKUP(A2262,MasterTutor!A:E,4,FALSE)</f>
        <v>Advanced</v>
      </c>
      <c r="C2262" t="str">
        <f>VLOOKUP(A2262,MasterTutor!A:E,3,FALSE)</f>
        <v>Adjunct</v>
      </c>
      <c r="D2262" t="str">
        <f>VLOOKUP(A2262,MasterTutor!A:E,2,FALSE)</f>
        <v>Kristin Haase-Alvey</v>
      </c>
      <c r="E2262" t="s">
        <v>212</v>
      </c>
      <c r="F2262" s="22">
        <v>1.0625</v>
      </c>
      <c r="G2262" s="22">
        <v>1.0703</v>
      </c>
      <c r="H2262" s="22">
        <v>0.97826086956521696</v>
      </c>
      <c r="I2262" s="22">
        <v>1</v>
      </c>
      <c r="J2262" s="22">
        <v>0.81818181818181801</v>
      </c>
      <c r="K2262">
        <v>0</v>
      </c>
      <c r="L2262" s="19" t="s">
        <v>266</v>
      </c>
      <c r="M2262" s="21">
        <f t="shared" si="18"/>
        <v>0</v>
      </c>
    </row>
    <row r="2263" spans="1:13" x14ac:dyDescent="0.2">
      <c r="A2263" t="s">
        <v>197</v>
      </c>
      <c r="B2263" t="str">
        <f>VLOOKUP(A2263,MasterTutor!A:E,4,FALSE)</f>
        <v>Premium</v>
      </c>
      <c r="C2263" t="str">
        <f>VLOOKUP(A2263,MasterTutor!A:E,3,FALSE)</f>
        <v>Professional</v>
      </c>
      <c r="D2263" t="str">
        <f>VLOOKUP(A2263,MasterTutor!A:E,2,FALSE)</f>
        <v>Jessica Milner</v>
      </c>
      <c r="E2263" t="s">
        <v>212</v>
      </c>
      <c r="F2263" s="22">
        <v>0.77710000000000001</v>
      </c>
      <c r="G2263" s="22">
        <v>1.5099</v>
      </c>
      <c r="H2263" s="22">
        <v>1</v>
      </c>
      <c r="I2263" s="22">
        <v>0.984375</v>
      </c>
      <c r="J2263" s="22">
        <v>0.95833333333333304</v>
      </c>
      <c r="K2263">
        <v>4</v>
      </c>
      <c r="L2263" s="19" t="s">
        <v>215</v>
      </c>
      <c r="M2263" s="21">
        <f t="shared" si="18"/>
        <v>1</v>
      </c>
    </row>
    <row r="2264" spans="1:13" x14ac:dyDescent="0.2">
      <c r="A2264" t="s">
        <v>319</v>
      </c>
      <c r="B2264" t="str">
        <f>VLOOKUP(A2264,MasterTutor!A:E,4,FALSE)</f>
        <v>Advanced</v>
      </c>
      <c r="C2264" t="str">
        <f>VLOOKUP(A2264,MasterTutor!A:E,3,FALSE)</f>
        <v>Adjunct</v>
      </c>
      <c r="D2264" t="str">
        <f>VLOOKUP(A2264,MasterTutor!A:E,2,FALSE)</f>
        <v>Ela Cross</v>
      </c>
      <c r="E2264" t="s">
        <v>212</v>
      </c>
      <c r="F2264" s="22">
        <v>0.906299999999999</v>
      </c>
      <c r="G2264" s="22">
        <v>0.99479999999999902</v>
      </c>
      <c r="H2264" s="22">
        <v>1</v>
      </c>
      <c r="I2264" s="22">
        <v>0.71698113207547098</v>
      </c>
      <c r="J2264" s="22">
        <v>0.5</v>
      </c>
      <c r="K2264">
        <v>3</v>
      </c>
      <c r="L2264" s="19" t="s">
        <v>241</v>
      </c>
      <c r="M2264" s="21">
        <f t="shared" ref="M2264:M2278" si="19">_xlfn.TEXTBEFORE(L2264, "/")/_xlfn.TEXTAFTER(L2264,"/")</f>
        <v>0.66666666666666663</v>
      </c>
    </row>
    <row r="2265" spans="1:13" x14ac:dyDescent="0.2">
      <c r="A2265" t="s">
        <v>198</v>
      </c>
      <c r="B2265" t="str">
        <f>VLOOKUP(A2265,MasterTutor!A:E,4,FALSE)</f>
        <v>Distinguished</v>
      </c>
      <c r="C2265" t="str">
        <f>VLOOKUP(A2265,MasterTutor!A:E,3,FALSE)</f>
        <v>Adjunct</v>
      </c>
      <c r="D2265" t="str">
        <f>VLOOKUP(A2265,MasterTutor!A:E,2,FALSE)</f>
        <v>Ian Plamondon</v>
      </c>
      <c r="E2265" t="s">
        <v>212</v>
      </c>
      <c r="F2265" s="22">
        <v>1.0589999999999999</v>
      </c>
      <c r="G2265" s="22">
        <v>1.4883</v>
      </c>
      <c r="H2265" s="22">
        <v>0.97959183673469297</v>
      </c>
      <c r="I2265" s="22">
        <v>1</v>
      </c>
      <c r="J2265" s="22">
        <v>0.61538461538461497</v>
      </c>
      <c r="K2265">
        <v>0</v>
      </c>
      <c r="L2265" s="19" t="s">
        <v>225</v>
      </c>
      <c r="M2265" s="21">
        <f t="shared" si="19"/>
        <v>0.5</v>
      </c>
    </row>
    <row r="2266" spans="1:13" x14ac:dyDescent="0.2">
      <c r="A2266" t="s">
        <v>201</v>
      </c>
      <c r="B2266" t="str">
        <f>VLOOKUP(A2266,MasterTutor!A:E,4,FALSE)</f>
        <v>Distinguished</v>
      </c>
      <c r="C2266" t="str">
        <f>VLOOKUP(A2266,MasterTutor!A:E,3,FALSE)</f>
        <v>Professional</v>
      </c>
      <c r="D2266" t="str">
        <f>VLOOKUP(A2266,MasterTutor!A:E,2,FALSE)</f>
        <v>Ian Plamondon</v>
      </c>
      <c r="E2266" t="s">
        <v>212</v>
      </c>
      <c r="F2266" s="22">
        <v>1.0354000000000001</v>
      </c>
      <c r="G2266" s="22">
        <v>1.2647999999999999</v>
      </c>
      <c r="H2266" s="22">
        <v>1</v>
      </c>
      <c r="I2266" s="22">
        <v>0.97499999999999998</v>
      </c>
      <c r="J2266" s="22">
        <v>0.80952380952380898</v>
      </c>
      <c r="K2266">
        <v>4</v>
      </c>
      <c r="L2266" s="19" t="s">
        <v>243</v>
      </c>
      <c r="M2266" s="21">
        <f t="shared" si="19"/>
        <v>0.33333333333333331</v>
      </c>
    </row>
    <row r="2267" spans="1:13" x14ac:dyDescent="0.2">
      <c r="A2267" t="s">
        <v>320</v>
      </c>
      <c r="B2267" t="str">
        <f>VLOOKUP(A2267,MasterTutor!A:E,4,FALSE)</f>
        <v>Advanced</v>
      </c>
      <c r="C2267" t="str">
        <f>VLOOKUP(A2267,MasterTutor!A:E,3,FALSE)</f>
        <v>Professional</v>
      </c>
      <c r="D2267" t="str">
        <f>VLOOKUP(A2267,MasterTutor!A:E,2,FALSE)</f>
        <v>Kristin Haase-Alvey</v>
      </c>
      <c r="E2267" t="s">
        <v>212</v>
      </c>
      <c r="F2267" s="22">
        <v>0.94579999999999997</v>
      </c>
      <c r="G2267" s="22">
        <v>0.85029999999999994</v>
      </c>
      <c r="H2267" s="22">
        <v>0.99130434782608601</v>
      </c>
      <c r="I2267" s="22">
        <v>0.8125</v>
      </c>
      <c r="J2267" s="22">
        <v>0.952380952380952</v>
      </c>
      <c r="K2267">
        <v>5</v>
      </c>
      <c r="L2267" s="19" t="s">
        <v>321</v>
      </c>
      <c r="M2267" s="21">
        <f t="shared" si="19"/>
        <v>0.33333333333333331</v>
      </c>
    </row>
    <row r="2268" spans="1:13" x14ac:dyDescent="0.2">
      <c r="A2268" t="s">
        <v>202</v>
      </c>
      <c r="B2268" t="str">
        <f>VLOOKUP(A2268,MasterTutor!A:E,4,FALSE)</f>
        <v>Advanced</v>
      </c>
      <c r="C2268" t="str">
        <f>VLOOKUP(A2268,MasterTutor!A:E,3,FALSE)</f>
        <v>Professional</v>
      </c>
      <c r="D2268" t="str">
        <f>VLOOKUP(A2268,MasterTutor!A:E,2,FALSE)</f>
        <v>Annelies de Groot</v>
      </c>
      <c r="E2268" t="s">
        <v>212</v>
      </c>
      <c r="F2268" s="22">
        <v>1.0916999999999999</v>
      </c>
      <c r="G2268" s="22">
        <v>1.1875</v>
      </c>
      <c r="H2268" s="22">
        <v>0.91666666666666596</v>
      </c>
      <c r="I2268" s="22">
        <v>0.95890410958904104</v>
      </c>
      <c r="J2268" s="22">
        <v>0.63636363636363602</v>
      </c>
      <c r="K2268">
        <v>12</v>
      </c>
      <c r="L2268" s="19" t="s">
        <v>322</v>
      </c>
      <c r="M2268" s="21">
        <f t="shared" si="19"/>
        <v>0.58333333333333337</v>
      </c>
    </row>
    <row r="2269" spans="1:13" x14ac:dyDescent="0.2">
      <c r="A2269" t="s">
        <v>323</v>
      </c>
      <c r="B2269" t="str">
        <f>VLOOKUP(A2269,MasterTutor!A:E,4,FALSE)</f>
        <v>Advanced</v>
      </c>
      <c r="C2269" t="str">
        <f>VLOOKUP(A2269,MasterTutor!A:E,3,FALSE)</f>
        <v>Professional</v>
      </c>
      <c r="D2269" t="str">
        <f>VLOOKUP(A2269,MasterTutor!A:E,2,FALSE)</f>
        <v>Kristin Haase-Alvey</v>
      </c>
      <c r="E2269" t="s">
        <v>212</v>
      </c>
      <c r="F2269" s="22">
        <v>0.89379999999999904</v>
      </c>
      <c r="G2269" s="22">
        <v>1.0905</v>
      </c>
      <c r="H2269" s="22">
        <v>1</v>
      </c>
      <c r="I2269" s="22">
        <v>0.95774647887323905</v>
      </c>
      <c r="J2269" s="22">
        <v>1</v>
      </c>
      <c r="K2269">
        <v>7</v>
      </c>
      <c r="L2269" s="19" t="s">
        <v>324</v>
      </c>
      <c r="M2269" s="21">
        <f t="shared" si="19"/>
        <v>0.4</v>
      </c>
    </row>
    <row r="2270" spans="1:13" x14ac:dyDescent="0.2">
      <c r="A2270" t="s">
        <v>203</v>
      </c>
      <c r="B2270" t="str">
        <f>VLOOKUP(A2270,MasterTutor!A:E,4,FALSE)</f>
        <v>Premium</v>
      </c>
      <c r="C2270" t="str">
        <f>VLOOKUP(A2270,MasterTutor!A:E,3,FALSE)</f>
        <v>Professional</v>
      </c>
      <c r="D2270" t="str">
        <f>VLOOKUP(A2270,MasterTutor!A:E,2,FALSE)</f>
        <v>Ian Plamondon</v>
      </c>
      <c r="E2270" t="s">
        <v>212</v>
      </c>
      <c r="F2270" s="22">
        <v>0.99379999999999902</v>
      </c>
      <c r="G2270" s="22">
        <v>1.0147999999999999</v>
      </c>
      <c r="H2270" s="22">
        <v>0.98305084745762705</v>
      </c>
      <c r="I2270" s="22">
        <v>1</v>
      </c>
      <c r="J2270" s="22">
        <v>1</v>
      </c>
      <c r="K2270">
        <v>4</v>
      </c>
      <c r="L2270" s="19" t="s">
        <v>610</v>
      </c>
      <c r="M2270" s="21" t="e">
        <f t="shared" si="19"/>
        <v>#DIV/0!</v>
      </c>
    </row>
    <row r="2271" spans="1:13" x14ac:dyDescent="0.2">
      <c r="A2271" t="s">
        <v>204</v>
      </c>
      <c r="B2271" t="str">
        <f>VLOOKUP(A2271,MasterTutor!A:E,4,FALSE)</f>
        <v>Advanced</v>
      </c>
      <c r="C2271" t="str">
        <f>VLOOKUP(A2271,MasterTutor!A:E,3,FALSE)</f>
        <v>Professional</v>
      </c>
      <c r="D2271" t="str">
        <f>VLOOKUP(A2271,MasterTutor!A:E,2,FALSE)</f>
        <v>Ela Cross</v>
      </c>
      <c r="E2271" t="s">
        <v>212</v>
      </c>
      <c r="F2271" s="22">
        <v>0</v>
      </c>
      <c r="G2271" s="22">
        <v>0.73439999999999905</v>
      </c>
      <c r="H2271" s="22">
        <v>0</v>
      </c>
      <c r="I2271" s="22">
        <v>0</v>
      </c>
      <c r="J2271" s="22">
        <v>0</v>
      </c>
      <c r="K2271">
        <v>2</v>
      </c>
      <c r="L2271" s="19" t="s">
        <v>610</v>
      </c>
      <c r="M2271" s="21" t="e">
        <f t="shared" si="19"/>
        <v>#DIV/0!</v>
      </c>
    </row>
    <row r="2272" spans="1:13" x14ac:dyDescent="0.2">
      <c r="A2272" t="s">
        <v>207</v>
      </c>
      <c r="B2272" t="str">
        <f>VLOOKUP(A2272,MasterTutor!A:E,4,FALSE)</f>
        <v>Advanced</v>
      </c>
      <c r="C2272" t="str">
        <f>VLOOKUP(A2272,MasterTutor!A:E,3,FALSE)</f>
        <v>Adjunct</v>
      </c>
      <c r="D2272" t="str">
        <f>VLOOKUP(A2272,MasterTutor!A:E,2,FALSE)</f>
        <v>Ela Cross</v>
      </c>
      <c r="E2272" t="s">
        <v>212</v>
      </c>
      <c r="F2272" s="22">
        <v>1.0688</v>
      </c>
      <c r="G2272" s="22">
        <v>1.2004999999999999</v>
      </c>
      <c r="H2272" s="22">
        <v>0.96296296296296202</v>
      </c>
      <c r="I2272" s="22">
        <v>0.92857142857142805</v>
      </c>
      <c r="J2272" s="22">
        <v>0.86666666666666603</v>
      </c>
      <c r="K2272">
        <v>6</v>
      </c>
      <c r="L2272" s="19" t="s">
        <v>215</v>
      </c>
      <c r="M2272" s="21">
        <f t="shared" si="19"/>
        <v>1</v>
      </c>
    </row>
    <row r="2273" spans="1:13" x14ac:dyDescent="0.2">
      <c r="A2273" t="s">
        <v>325</v>
      </c>
      <c r="B2273" t="str">
        <f>VLOOKUP(A2273,MasterTutor!A:E,4,FALSE)</f>
        <v>Advanced</v>
      </c>
      <c r="C2273" t="str">
        <f>VLOOKUP(A2273,MasterTutor!A:E,3,FALSE)</f>
        <v>Professional</v>
      </c>
      <c r="D2273" t="str">
        <f>VLOOKUP(A2273,MasterTutor!A:E,2,FALSE)</f>
        <v>Ela Cross</v>
      </c>
      <c r="E2273" t="s">
        <v>212</v>
      </c>
      <c r="F2273" s="22">
        <v>0.75</v>
      </c>
      <c r="G2273" s="22">
        <v>0.91449999999999998</v>
      </c>
      <c r="H2273" s="22">
        <v>1</v>
      </c>
      <c r="I2273" s="22">
        <v>0.80327868852458995</v>
      </c>
      <c r="J2273" s="22">
        <v>0.36842105263157798</v>
      </c>
      <c r="K2273">
        <v>8</v>
      </c>
      <c r="L2273" s="19" t="s">
        <v>282</v>
      </c>
      <c r="M2273" s="21">
        <f t="shared" si="19"/>
        <v>0</v>
      </c>
    </row>
    <row r="2274" spans="1:13" x14ac:dyDescent="0.2">
      <c r="A2274" t="s">
        <v>208</v>
      </c>
      <c r="B2274" t="str">
        <f>VLOOKUP(A2274,MasterTutor!A:E,4,FALSE)</f>
        <v>Distinguished</v>
      </c>
      <c r="C2274" t="str">
        <f>VLOOKUP(A2274,MasterTutor!A:E,3,FALSE)</f>
        <v>Adjunct</v>
      </c>
      <c r="D2274" t="str">
        <f>VLOOKUP(A2274,MasterTutor!A:E,2,FALSE)</f>
        <v>Annelies de Groot</v>
      </c>
      <c r="E2274" t="s">
        <v>212</v>
      </c>
      <c r="F2274" s="22">
        <v>0.52080000000000004</v>
      </c>
      <c r="G2274" s="22">
        <v>1.0897999999999901</v>
      </c>
      <c r="H2274" s="22">
        <v>0.2</v>
      </c>
      <c r="I2274" s="22">
        <v>1</v>
      </c>
      <c r="J2274" s="22">
        <v>1</v>
      </c>
      <c r="K2274">
        <v>1</v>
      </c>
      <c r="L2274" s="19" t="s">
        <v>219</v>
      </c>
      <c r="M2274" s="21">
        <f t="shared" si="19"/>
        <v>0</v>
      </c>
    </row>
    <row r="2275" spans="1:13" x14ac:dyDescent="0.2">
      <c r="A2275" t="s">
        <v>209</v>
      </c>
      <c r="B2275" t="str">
        <f>VLOOKUP(A2275,MasterTutor!A:E,4,FALSE)</f>
        <v>Premium</v>
      </c>
      <c r="C2275" t="str">
        <f>VLOOKUP(A2275,MasterTutor!A:E,3,FALSE)</f>
        <v>Professional</v>
      </c>
      <c r="D2275" t="str">
        <f>VLOOKUP(A2275,MasterTutor!A:E,2,FALSE)</f>
        <v>Jessica Milner</v>
      </c>
      <c r="E2275" t="s">
        <v>212</v>
      </c>
      <c r="F2275" s="22">
        <v>0.62149999999999905</v>
      </c>
      <c r="G2275" s="22">
        <v>0.72970000000000002</v>
      </c>
      <c r="H2275" s="22">
        <v>1</v>
      </c>
      <c r="I2275" s="22">
        <v>0.98181818181818103</v>
      </c>
      <c r="J2275" s="22">
        <v>0.95833333333333304</v>
      </c>
      <c r="K2275">
        <v>1</v>
      </c>
      <c r="L2275" s="19" t="s">
        <v>215</v>
      </c>
      <c r="M2275" s="21">
        <f t="shared" si="19"/>
        <v>1</v>
      </c>
    </row>
    <row r="2276" spans="1:13" x14ac:dyDescent="0.2">
      <c r="A2276" t="s">
        <v>210</v>
      </c>
      <c r="B2276" t="str">
        <f>VLOOKUP(A2276,MasterTutor!A:E,4,FALSE)</f>
        <v>Advanced</v>
      </c>
      <c r="C2276" t="str">
        <f>VLOOKUP(A2276,MasterTutor!A:E,3,FALSE)</f>
        <v>Professional</v>
      </c>
      <c r="D2276" t="str">
        <f>VLOOKUP(A2276,MasterTutor!A:E,2,FALSE)</f>
        <v>Kristin Haase-Alvey</v>
      </c>
      <c r="E2276" t="s">
        <v>212</v>
      </c>
      <c r="F2276" s="22">
        <v>0.9375</v>
      </c>
      <c r="G2276" s="22">
        <v>0.82399999999999995</v>
      </c>
      <c r="H2276" s="22">
        <v>0.96666666666666601</v>
      </c>
      <c r="I2276" s="22">
        <v>0.98765432098765404</v>
      </c>
      <c r="J2276" s="22">
        <v>0.65384615384615297</v>
      </c>
      <c r="K2276">
        <v>10</v>
      </c>
      <c r="L2276" s="19" t="s">
        <v>326</v>
      </c>
      <c r="M2276" s="21">
        <f t="shared" si="19"/>
        <v>0.625</v>
      </c>
    </row>
    <row r="2277" spans="1:13" x14ac:dyDescent="0.2">
      <c r="A2277" t="s">
        <v>211</v>
      </c>
      <c r="B2277" t="str">
        <f>VLOOKUP(A2277,MasterTutor!A:E,4,FALSE)</f>
        <v>Advanced</v>
      </c>
      <c r="C2277" t="str">
        <f>VLOOKUP(A2277,MasterTutor!A:E,3,FALSE)</f>
        <v>Professional</v>
      </c>
      <c r="D2277" t="str">
        <f>VLOOKUP(A2277,MasterTutor!A:E,2,FALSE)</f>
        <v>Kristin Haase-Alvey</v>
      </c>
      <c r="E2277" t="s">
        <v>212</v>
      </c>
      <c r="F2277" s="22">
        <v>0.87080000000000002</v>
      </c>
      <c r="G2277" s="22">
        <v>1.125</v>
      </c>
      <c r="H2277" s="22">
        <v>0.98</v>
      </c>
      <c r="I2277" s="22">
        <v>0.98591549295774605</v>
      </c>
      <c r="J2277" s="22">
        <v>0.66666666666666596</v>
      </c>
      <c r="K2277">
        <v>4</v>
      </c>
      <c r="L2277" s="19" t="s">
        <v>221</v>
      </c>
      <c r="M2277" s="21">
        <f t="shared" si="19"/>
        <v>1</v>
      </c>
    </row>
    <row r="2278" spans="1:13" x14ac:dyDescent="0.2">
      <c r="A2278" t="s">
        <v>327</v>
      </c>
      <c r="B2278" t="str">
        <f>VLOOKUP(A2278,MasterTutor!A:E,4,FALSE)</f>
        <v>Advanced</v>
      </c>
      <c r="C2278" t="str">
        <f>VLOOKUP(A2278,MasterTutor!A:E,3,FALSE)</f>
        <v>Professional</v>
      </c>
      <c r="D2278" t="str">
        <f>VLOOKUP(A2278,MasterTutor!A:E,2,FALSE)</f>
        <v>Ian Plamondon</v>
      </c>
      <c r="E2278" t="s">
        <v>212</v>
      </c>
      <c r="F2278" s="22">
        <v>0.92500000000000004</v>
      </c>
      <c r="G2278" s="22">
        <v>1.0328999999999999</v>
      </c>
      <c r="H2278" s="22">
        <v>0.99145299145299104</v>
      </c>
      <c r="I2278" s="22">
        <v>0.971830985915492</v>
      </c>
      <c r="J2278" s="22">
        <v>0.5</v>
      </c>
      <c r="K2278">
        <v>8</v>
      </c>
      <c r="L2278" s="19" t="s">
        <v>262</v>
      </c>
      <c r="M2278" s="21">
        <f t="shared" si="19"/>
        <v>0.25</v>
      </c>
    </row>
    <row r="2279" spans="1:13" x14ac:dyDescent="0.2">
      <c r="A2279" t="s">
        <v>12</v>
      </c>
      <c r="B2279" t="s">
        <v>405</v>
      </c>
      <c r="C2279" t="s">
        <v>404</v>
      </c>
      <c r="D2279" t="s">
        <v>340</v>
      </c>
      <c r="E2279" t="s">
        <v>638</v>
      </c>
      <c r="F2279" s="22">
        <v>0.76</v>
      </c>
      <c r="G2279" s="22">
        <v>0.78</v>
      </c>
      <c r="H2279" s="22">
        <v>1</v>
      </c>
      <c r="I2279" s="22">
        <v>1</v>
      </c>
      <c r="J2279" s="22">
        <v>0.91</v>
      </c>
      <c r="K2279">
        <v>1</v>
      </c>
      <c r="L2279" s="20"/>
      <c r="M2279" s="21"/>
    </row>
    <row r="2280" spans="1:13" x14ac:dyDescent="0.2">
      <c r="A2280" t="s">
        <v>15</v>
      </c>
      <c r="B2280" t="s">
        <v>405</v>
      </c>
      <c r="C2280" t="s">
        <v>407</v>
      </c>
      <c r="D2280" t="s">
        <v>340</v>
      </c>
      <c r="E2280" t="s">
        <v>638</v>
      </c>
      <c r="F2280" s="22">
        <v>0.93</v>
      </c>
      <c r="G2280" s="22">
        <v>0.96</v>
      </c>
      <c r="H2280" s="22">
        <v>0.99</v>
      </c>
      <c r="I2280" s="22">
        <v>0.97</v>
      </c>
      <c r="J2280" s="22">
        <v>0.76</v>
      </c>
      <c r="K2280">
        <v>11</v>
      </c>
      <c r="L2280" s="20">
        <v>45664</v>
      </c>
      <c r="M2280" s="21">
        <v>1.4285714285714286E-3</v>
      </c>
    </row>
    <row r="2281" spans="1:13" x14ac:dyDescent="0.2">
      <c r="A2281" t="s">
        <v>16</v>
      </c>
      <c r="B2281" t="s">
        <v>409</v>
      </c>
      <c r="C2281" t="s">
        <v>404</v>
      </c>
      <c r="D2281" t="s">
        <v>339</v>
      </c>
      <c r="E2281" t="s">
        <v>638</v>
      </c>
      <c r="F2281" s="22">
        <v>0.8</v>
      </c>
      <c r="G2281" s="22">
        <v>1.54</v>
      </c>
      <c r="H2281" s="22">
        <v>1</v>
      </c>
      <c r="I2281" s="22">
        <v>0.9</v>
      </c>
      <c r="J2281" s="22">
        <v>0.88</v>
      </c>
      <c r="K2281">
        <v>2</v>
      </c>
      <c r="L2281" s="20"/>
      <c r="M2281" s="21"/>
    </row>
    <row r="2282" spans="1:13" x14ac:dyDescent="0.2">
      <c r="A2282" t="s">
        <v>17</v>
      </c>
      <c r="B2282" t="s">
        <v>409</v>
      </c>
      <c r="C2282" t="s">
        <v>407</v>
      </c>
      <c r="D2282" t="s">
        <v>340</v>
      </c>
      <c r="E2282" t="s">
        <v>638</v>
      </c>
      <c r="F2282" s="22">
        <v>0.7</v>
      </c>
      <c r="G2282" s="22">
        <v>1.99</v>
      </c>
      <c r="H2282" s="22">
        <v>0.97</v>
      </c>
      <c r="I2282" s="22">
        <v>1</v>
      </c>
      <c r="J2282" s="22">
        <v>0.71</v>
      </c>
      <c r="K2282">
        <v>5</v>
      </c>
      <c r="L2282" s="20">
        <v>45691</v>
      </c>
      <c r="M2282" s="21">
        <v>6.6666666666666662E-3</v>
      </c>
    </row>
    <row r="2283" spans="1:13" x14ac:dyDescent="0.2">
      <c r="A2283" t="s">
        <v>217</v>
      </c>
      <c r="B2283" t="s">
        <v>405</v>
      </c>
      <c r="C2283" t="s">
        <v>404</v>
      </c>
      <c r="D2283" t="s">
        <v>342</v>
      </c>
      <c r="E2283" t="s">
        <v>638</v>
      </c>
      <c r="F2283" s="22">
        <v>1.67</v>
      </c>
      <c r="G2283" s="22">
        <v>1.38</v>
      </c>
      <c r="H2283" s="22">
        <v>1</v>
      </c>
      <c r="I2283" s="22">
        <v>0.47</v>
      </c>
      <c r="J2283" s="22">
        <v>0.81</v>
      </c>
      <c r="K2283">
        <v>11</v>
      </c>
      <c r="L2283" s="20" t="s">
        <v>224</v>
      </c>
      <c r="M2283" s="21">
        <v>0</v>
      </c>
    </row>
    <row r="2284" spans="1:13" x14ac:dyDescent="0.2">
      <c r="A2284" t="s">
        <v>18</v>
      </c>
      <c r="B2284" t="s">
        <v>410</v>
      </c>
      <c r="C2284" t="s">
        <v>407</v>
      </c>
      <c r="D2284" t="s">
        <v>340</v>
      </c>
      <c r="E2284" t="s">
        <v>638</v>
      </c>
      <c r="F2284" s="22">
        <v>0.5</v>
      </c>
      <c r="G2284" s="22">
        <v>0.9</v>
      </c>
      <c r="H2284" s="22">
        <v>1</v>
      </c>
      <c r="I2284" s="22">
        <v>0.82</v>
      </c>
      <c r="J2284" s="22">
        <v>0.93</v>
      </c>
      <c r="K2284">
        <v>2</v>
      </c>
      <c r="L2284" s="20">
        <v>45658</v>
      </c>
      <c r="M2284" s="21">
        <v>1</v>
      </c>
    </row>
    <row r="2285" spans="1:13" x14ac:dyDescent="0.2">
      <c r="A2285" t="s">
        <v>19</v>
      </c>
      <c r="B2285" t="s">
        <v>409</v>
      </c>
      <c r="C2285" t="s">
        <v>404</v>
      </c>
      <c r="D2285" t="s">
        <v>80</v>
      </c>
      <c r="E2285" t="s">
        <v>638</v>
      </c>
      <c r="F2285" s="22">
        <v>0.41</v>
      </c>
      <c r="G2285" s="22">
        <v>0.9</v>
      </c>
      <c r="H2285" s="22">
        <v>0.94</v>
      </c>
      <c r="I2285" s="22">
        <v>1</v>
      </c>
      <c r="J2285" s="22">
        <v>1</v>
      </c>
      <c r="K2285">
        <v>0</v>
      </c>
      <c r="L2285" s="20"/>
      <c r="M2285" s="21"/>
    </row>
    <row r="2286" spans="1:13" x14ac:dyDescent="0.2">
      <c r="A2286" t="s">
        <v>21</v>
      </c>
      <c r="B2286" t="s">
        <v>410</v>
      </c>
      <c r="C2286" t="s">
        <v>404</v>
      </c>
      <c r="D2286" t="s">
        <v>342</v>
      </c>
      <c r="E2286" t="s">
        <v>638</v>
      </c>
      <c r="F2286" s="22">
        <v>0.65</v>
      </c>
      <c r="G2286" s="22">
        <v>1.05</v>
      </c>
      <c r="H2286" s="22">
        <v>0.97</v>
      </c>
      <c r="I2286" s="22">
        <v>1</v>
      </c>
      <c r="J2286" s="22">
        <v>1</v>
      </c>
      <c r="K2286">
        <v>2</v>
      </c>
      <c r="L2286" s="20"/>
      <c r="M2286" s="21"/>
    </row>
    <row r="2287" spans="1:13" x14ac:dyDescent="0.2">
      <c r="A2287" t="s">
        <v>22</v>
      </c>
      <c r="B2287" t="s">
        <v>405</v>
      </c>
      <c r="C2287" t="s">
        <v>407</v>
      </c>
      <c r="D2287" t="s">
        <v>333</v>
      </c>
      <c r="E2287" t="s">
        <v>638</v>
      </c>
      <c r="F2287" s="22">
        <v>0.66</v>
      </c>
      <c r="G2287" s="22">
        <v>0.95</v>
      </c>
      <c r="H2287" s="22">
        <v>0.88</v>
      </c>
      <c r="I2287" s="22">
        <v>0.88</v>
      </c>
      <c r="J2287" s="22">
        <v>1</v>
      </c>
      <c r="K2287">
        <v>2</v>
      </c>
      <c r="L2287" s="20">
        <v>45692</v>
      </c>
      <c r="M2287" s="21">
        <v>0.5</v>
      </c>
    </row>
    <row r="2288" spans="1:13" x14ac:dyDescent="0.2">
      <c r="A2288" t="s">
        <v>23</v>
      </c>
      <c r="B2288" t="s">
        <v>409</v>
      </c>
      <c r="C2288" t="s">
        <v>407</v>
      </c>
      <c r="D2288" t="s">
        <v>99</v>
      </c>
      <c r="E2288" t="s">
        <v>638</v>
      </c>
      <c r="F2288" s="22">
        <v>0.49</v>
      </c>
      <c r="G2288" s="22">
        <v>1.18</v>
      </c>
      <c r="H2288" s="22">
        <v>1</v>
      </c>
      <c r="I2288" s="22">
        <v>1</v>
      </c>
      <c r="J2288" s="22">
        <v>0.33</v>
      </c>
      <c r="K2288">
        <v>1</v>
      </c>
      <c r="L2288" s="20" t="s">
        <v>228</v>
      </c>
      <c r="M2288" s="21">
        <v>0</v>
      </c>
    </row>
    <row r="2289" spans="1:13" x14ac:dyDescent="0.2">
      <c r="A2289" t="s">
        <v>24</v>
      </c>
      <c r="B2289" t="s">
        <v>410</v>
      </c>
      <c r="C2289" t="s">
        <v>407</v>
      </c>
      <c r="D2289" t="s">
        <v>342</v>
      </c>
      <c r="E2289" t="s">
        <v>638</v>
      </c>
      <c r="F2289" s="22">
        <v>0.56000000000000005</v>
      </c>
      <c r="G2289" s="22">
        <v>1.01</v>
      </c>
      <c r="H2289" s="22">
        <v>1</v>
      </c>
      <c r="I2289" s="22">
        <v>0.84</v>
      </c>
      <c r="J2289" s="22">
        <v>0.89</v>
      </c>
      <c r="K2289">
        <v>2</v>
      </c>
      <c r="L2289" s="20">
        <v>45690</v>
      </c>
      <c r="M2289" s="21">
        <v>1</v>
      </c>
    </row>
    <row r="2290" spans="1:13" x14ac:dyDescent="0.2">
      <c r="A2290" t="s">
        <v>222</v>
      </c>
      <c r="B2290" t="s">
        <v>405</v>
      </c>
      <c r="C2290" t="s">
        <v>407</v>
      </c>
      <c r="D2290" t="s">
        <v>340</v>
      </c>
      <c r="E2290" t="s">
        <v>638</v>
      </c>
      <c r="F2290" s="22">
        <v>1.03</v>
      </c>
      <c r="G2290" s="22">
        <v>0.98</v>
      </c>
      <c r="H2290" s="22">
        <v>0.99</v>
      </c>
      <c r="I2290" s="22">
        <v>0.97</v>
      </c>
      <c r="J2290" s="22">
        <v>0.16</v>
      </c>
      <c r="K2290">
        <v>17</v>
      </c>
      <c r="L2290" s="20" t="s">
        <v>219</v>
      </c>
      <c r="M2290" s="21">
        <v>0</v>
      </c>
    </row>
    <row r="2291" spans="1:13" x14ac:dyDescent="0.2">
      <c r="A2291" t="s">
        <v>26</v>
      </c>
      <c r="B2291" t="s">
        <v>410</v>
      </c>
      <c r="C2291" t="s">
        <v>407</v>
      </c>
      <c r="D2291" t="s">
        <v>340</v>
      </c>
      <c r="E2291" t="s">
        <v>638</v>
      </c>
      <c r="F2291" s="22">
        <v>0.87</v>
      </c>
      <c r="G2291" s="22">
        <v>1.41</v>
      </c>
      <c r="H2291" s="22">
        <v>0.99</v>
      </c>
      <c r="I2291" s="22">
        <v>0.9</v>
      </c>
      <c r="J2291" s="22">
        <v>0.67</v>
      </c>
      <c r="K2291">
        <v>6</v>
      </c>
      <c r="L2291" s="20">
        <v>45690</v>
      </c>
      <c r="M2291" s="21">
        <v>1</v>
      </c>
    </row>
    <row r="2292" spans="1:13" x14ac:dyDescent="0.2">
      <c r="A2292" t="s">
        <v>27</v>
      </c>
      <c r="B2292" t="s">
        <v>409</v>
      </c>
      <c r="C2292" t="s">
        <v>407</v>
      </c>
      <c r="D2292" t="s">
        <v>99</v>
      </c>
      <c r="E2292" t="s">
        <v>638</v>
      </c>
      <c r="F2292" s="22">
        <v>0.48</v>
      </c>
      <c r="G2292" s="22">
        <v>0.89</v>
      </c>
      <c r="H2292" s="22">
        <v>0.94</v>
      </c>
      <c r="I2292" s="22">
        <v>0.97</v>
      </c>
      <c r="J2292" s="22">
        <v>0.79</v>
      </c>
      <c r="K2292">
        <v>3</v>
      </c>
      <c r="L2292" s="20">
        <v>45658</v>
      </c>
      <c r="M2292" s="21">
        <v>1</v>
      </c>
    </row>
    <row r="2293" spans="1:13" x14ac:dyDescent="0.2">
      <c r="A2293" t="s">
        <v>29</v>
      </c>
      <c r="B2293" t="s">
        <v>410</v>
      </c>
      <c r="C2293" t="s">
        <v>404</v>
      </c>
      <c r="D2293" t="s">
        <v>342</v>
      </c>
      <c r="E2293" t="s">
        <v>638</v>
      </c>
      <c r="F2293" s="22">
        <v>0.46</v>
      </c>
      <c r="G2293" s="22">
        <v>0.88</v>
      </c>
      <c r="H2293" s="22">
        <v>1</v>
      </c>
      <c r="I2293" s="22">
        <v>1</v>
      </c>
      <c r="J2293" s="22">
        <v>1</v>
      </c>
      <c r="K2293">
        <v>1</v>
      </c>
      <c r="L2293" s="20">
        <v>45658</v>
      </c>
      <c r="M2293" s="21">
        <v>1</v>
      </c>
    </row>
    <row r="2294" spans="1:13" x14ac:dyDescent="0.2">
      <c r="A2294" t="s">
        <v>30</v>
      </c>
      <c r="B2294" t="s">
        <v>410</v>
      </c>
      <c r="C2294" t="s">
        <v>407</v>
      </c>
      <c r="D2294" t="s">
        <v>340</v>
      </c>
      <c r="E2294" t="s">
        <v>638</v>
      </c>
      <c r="F2294" s="22">
        <v>0.82</v>
      </c>
      <c r="G2294" s="22">
        <v>1.62</v>
      </c>
      <c r="H2294" s="22">
        <v>0.96</v>
      </c>
      <c r="I2294" s="22">
        <v>1</v>
      </c>
      <c r="J2294" s="22">
        <v>0.87</v>
      </c>
      <c r="K2294">
        <v>5</v>
      </c>
      <c r="L2294" s="20">
        <v>45845</v>
      </c>
      <c r="M2294" s="21">
        <v>1</v>
      </c>
    </row>
    <row r="2295" spans="1:13" x14ac:dyDescent="0.2">
      <c r="A2295" t="s">
        <v>31</v>
      </c>
      <c r="B2295" t="s">
        <v>409</v>
      </c>
      <c r="C2295" t="s">
        <v>404</v>
      </c>
      <c r="D2295" t="s">
        <v>342</v>
      </c>
      <c r="E2295" t="s">
        <v>638</v>
      </c>
      <c r="F2295" s="22">
        <v>0.69</v>
      </c>
      <c r="G2295" s="22">
        <v>0.93</v>
      </c>
      <c r="H2295" s="22">
        <v>1</v>
      </c>
      <c r="I2295" s="22">
        <v>1</v>
      </c>
      <c r="J2295" s="22">
        <v>0.36</v>
      </c>
      <c r="K2295">
        <v>3</v>
      </c>
      <c r="L2295" s="20"/>
      <c r="M2295" s="21"/>
    </row>
    <row r="2296" spans="1:13" x14ac:dyDescent="0.2">
      <c r="A2296" t="s">
        <v>32</v>
      </c>
      <c r="B2296" t="s">
        <v>405</v>
      </c>
      <c r="C2296" t="s">
        <v>407</v>
      </c>
      <c r="D2296" t="s">
        <v>339</v>
      </c>
      <c r="E2296" t="s">
        <v>638</v>
      </c>
      <c r="F2296" s="22">
        <v>0.96</v>
      </c>
      <c r="G2296" s="22">
        <v>1.02</v>
      </c>
      <c r="H2296" s="22">
        <v>0.99</v>
      </c>
      <c r="I2296" s="22">
        <v>1</v>
      </c>
      <c r="J2296" s="22">
        <v>0.28999999999999998</v>
      </c>
      <c r="K2296">
        <v>8</v>
      </c>
      <c r="L2296" s="20"/>
      <c r="M2296" s="21"/>
    </row>
    <row r="2297" spans="1:13" x14ac:dyDescent="0.2">
      <c r="A2297" t="s">
        <v>33</v>
      </c>
      <c r="B2297" t="s">
        <v>409</v>
      </c>
      <c r="C2297" t="s">
        <v>407</v>
      </c>
      <c r="D2297" t="s">
        <v>80</v>
      </c>
      <c r="E2297" t="s">
        <v>638</v>
      </c>
      <c r="F2297" s="22">
        <v>0.8</v>
      </c>
      <c r="G2297" s="22">
        <v>1.24</v>
      </c>
      <c r="H2297" s="22">
        <v>0.91</v>
      </c>
      <c r="I2297" s="22">
        <v>0.89</v>
      </c>
      <c r="J2297" s="22">
        <v>0.96</v>
      </c>
      <c r="K2297">
        <v>14</v>
      </c>
      <c r="L2297" s="20">
        <v>45691</v>
      </c>
      <c r="M2297" s="21">
        <v>0.67</v>
      </c>
    </row>
    <row r="2298" spans="1:13" x14ac:dyDescent="0.2">
      <c r="A2298" t="s">
        <v>35</v>
      </c>
      <c r="B2298" t="s">
        <v>405</v>
      </c>
      <c r="C2298" t="s">
        <v>404</v>
      </c>
      <c r="D2298" t="s">
        <v>333</v>
      </c>
      <c r="E2298" t="s">
        <v>638</v>
      </c>
      <c r="F2298" s="22">
        <v>1.51</v>
      </c>
      <c r="G2298" s="22">
        <v>2.13</v>
      </c>
      <c r="H2298" s="22">
        <v>0.9</v>
      </c>
      <c r="I2298" s="22">
        <v>0.86</v>
      </c>
      <c r="J2298" s="22">
        <v>0.6</v>
      </c>
      <c r="K2298">
        <v>5</v>
      </c>
      <c r="L2298" s="20">
        <v>45721</v>
      </c>
      <c r="M2298" s="21">
        <v>0.6</v>
      </c>
    </row>
    <row r="2299" spans="1:13" x14ac:dyDescent="0.2">
      <c r="A2299" t="s">
        <v>613</v>
      </c>
      <c r="B2299" t="e">
        <v>#N/A</v>
      </c>
      <c r="C2299" t="e">
        <v>#N/A</v>
      </c>
      <c r="D2299" t="e">
        <v>#N/A</v>
      </c>
      <c r="E2299" t="s">
        <v>638</v>
      </c>
      <c r="F2299" s="22">
        <v>0.18</v>
      </c>
      <c r="G2299" s="22">
        <v>0.68</v>
      </c>
      <c r="H2299" s="22">
        <v>0.96</v>
      </c>
      <c r="I2299" s="22">
        <v>0.77</v>
      </c>
      <c r="J2299" s="22">
        <v>0</v>
      </c>
      <c r="K2299">
        <v>0</v>
      </c>
      <c r="L2299" s="20">
        <v>45753</v>
      </c>
      <c r="M2299" s="21">
        <v>0.67</v>
      </c>
    </row>
    <row r="2300" spans="1:13" x14ac:dyDescent="0.2">
      <c r="A2300" t="s">
        <v>36</v>
      </c>
      <c r="B2300" t="s">
        <v>409</v>
      </c>
      <c r="C2300" t="s">
        <v>407</v>
      </c>
      <c r="D2300" t="s">
        <v>99</v>
      </c>
      <c r="E2300" t="s">
        <v>638</v>
      </c>
      <c r="F2300" s="22">
        <v>0.5</v>
      </c>
      <c r="G2300" s="22">
        <v>1.06</v>
      </c>
      <c r="H2300" s="22">
        <v>1</v>
      </c>
      <c r="I2300" s="22">
        <v>1</v>
      </c>
      <c r="J2300" s="22">
        <v>1</v>
      </c>
      <c r="K2300">
        <v>3</v>
      </c>
      <c r="L2300" s="20"/>
    </row>
    <row r="2301" spans="1:13" x14ac:dyDescent="0.2">
      <c r="A2301" t="s">
        <v>231</v>
      </c>
      <c r="B2301" t="s">
        <v>405</v>
      </c>
      <c r="C2301" t="s">
        <v>407</v>
      </c>
      <c r="D2301" t="s">
        <v>333</v>
      </c>
      <c r="E2301" t="s">
        <v>638</v>
      </c>
      <c r="F2301" s="22">
        <v>0.64</v>
      </c>
      <c r="G2301" s="22">
        <v>1.08</v>
      </c>
      <c r="H2301" s="22">
        <v>0.99</v>
      </c>
      <c r="I2301" s="22">
        <v>0.97</v>
      </c>
      <c r="J2301" s="22">
        <v>0.33</v>
      </c>
      <c r="K2301">
        <v>8</v>
      </c>
      <c r="L2301" s="20" t="s">
        <v>219</v>
      </c>
      <c r="M2301" s="21">
        <v>0</v>
      </c>
    </row>
    <row r="2302" spans="1:13" x14ac:dyDescent="0.2">
      <c r="A2302" t="s">
        <v>233</v>
      </c>
      <c r="B2302" t="s">
        <v>405</v>
      </c>
      <c r="C2302" t="s">
        <v>407</v>
      </c>
      <c r="D2302" t="s">
        <v>333</v>
      </c>
      <c r="E2302" t="s">
        <v>638</v>
      </c>
      <c r="F2302" s="22">
        <v>0.82</v>
      </c>
      <c r="G2302" s="22">
        <v>1.0900000000000001</v>
      </c>
      <c r="H2302" s="22">
        <v>0.99</v>
      </c>
      <c r="I2302" s="22">
        <v>0.98</v>
      </c>
      <c r="J2302" s="22">
        <v>0.33</v>
      </c>
      <c r="K2302">
        <v>0</v>
      </c>
      <c r="L2302" s="20">
        <v>45757</v>
      </c>
      <c r="M2302" s="21">
        <v>0.4</v>
      </c>
    </row>
    <row r="2303" spans="1:13" x14ac:dyDescent="0.2">
      <c r="A2303" t="s">
        <v>38</v>
      </c>
      <c r="B2303" t="s">
        <v>405</v>
      </c>
      <c r="C2303" t="s">
        <v>404</v>
      </c>
      <c r="D2303" t="s">
        <v>333</v>
      </c>
      <c r="E2303" t="s">
        <v>638</v>
      </c>
      <c r="F2303" s="22">
        <v>1.26</v>
      </c>
      <c r="G2303" s="22">
        <v>1.21</v>
      </c>
      <c r="H2303" s="22">
        <v>1</v>
      </c>
      <c r="I2303" s="22">
        <v>1</v>
      </c>
      <c r="J2303" s="22">
        <v>0.79</v>
      </c>
      <c r="K2303">
        <v>4</v>
      </c>
      <c r="L2303" s="20">
        <v>45690</v>
      </c>
      <c r="M2303" s="21">
        <v>1</v>
      </c>
    </row>
    <row r="2304" spans="1:13" x14ac:dyDescent="0.2">
      <c r="A2304" t="s">
        <v>39</v>
      </c>
      <c r="B2304" t="s">
        <v>409</v>
      </c>
      <c r="C2304" t="s">
        <v>404</v>
      </c>
      <c r="D2304" t="s">
        <v>99</v>
      </c>
      <c r="E2304" t="s">
        <v>638</v>
      </c>
      <c r="F2304" s="22">
        <v>0.53</v>
      </c>
      <c r="G2304" s="22">
        <v>1.03</v>
      </c>
      <c r="H2304" s="22">
        <v>1</v>
      </c>
      <c r="I2304" s="22">
        <v>0.95</v>
      </c>
      <c r="J2304" s="22">
        <v>1</v>
      </c>
      <c r="K2304">
        <v>2</v>
      </c>
      <c r="L2304" s="20"/>
    </row>
    <row r="2305" spans="1:13" x14ac:dyDescent="0.2">
      <c r="A2305" t="s">
        <v>40</v>
      </c>
      <c r="B2305" t="s">
        <v>405</v>
      </c>
      <c r="C2305" t="s">
        <v>407</v>
      </c>
      <c r="D2305" t="s">
        <v>333</v>
      </c>
      <c r="E2305" t="s">
        <v>638</v>
      </c>
      <c r="F2305" s="22">
        <v>1.28</v>
      </c>
      <c r="G2305" s="22">
        <v>1.1000000000000001</v>
      </c>
      <c r="H2305" s="22">
        <v>0.99</v>
      </c>
      <c r="I2305" s="22">
        <v>0.98</v>
      </c>
      <c r="J2305" s="22">
        <v>0.81</v>
      </c>
      <c r="K2305">
        <v>13</v>
      </c>
      <c r="L2305" s="20">
        <v>45658</v>
      </c>
      <c r="M2305" s="21">
        <v>1</v>
      </c>
    </row>
    <row r="2306" spans="1:13" x14ac:dyDescent="0.2">
      <c r="A2306" t="s">
        <v>634</v>
      </c>
      <c r="B2306" t="e">
        <v>#N/A</v>
      </c>
      <c r="C2306" t="e">
        <v>#N/A</v>
      </c>
      <c r="D2306" t="e">
        <v>#N/A</v>
      </c>
      <c r="E2306" t="s">
        <v>638</v>
      </c>
      <c r="F2306" s="22">
        <v>0</v>
      </c>
      <c r="G2306" s="22">
        <v>0</v>
      </c>
      <c r="H2306" s="22">
        <v>0</v>
      </c>
      <c r="I2306" s="22">
        <v>0</v>
      </c>
      <c r="J2306" s="22">
        <v>0</v>
      </c>
      <c r="K2306">
        <v>0</v>
      </c>
      <c r="L2306" s="20"/>
    </row>
    <row r="2307" spans="1:13" x14ac:dyDescent="0.2">
      <c r="A2307" t="s">
        <v>41</v>
      </c>
      <c r="B2307" t="s">
        <v>409</v>
      </c>
      <c r="C2307" t="s">
        <v>407</v>
      </c>
      <c r="D2307" t="s">
        <v>99</v>
      </c>
      <c r="E2307" t="s">
        <v>638</v>
      </c>
      <c r="F2307" s="22">
        <v>0.75</v>
      </c>
      <c r="G2307" s="22">
        <v>0.95</v>
      </c>
      <c r="H2307" s="22">
        <v>0.94</v>
      </c>
      <c r="I2307" s="22">
        <v>0.87</v>
      </c>
      <c r="J2307" s="22">
        <v>0.71</v>
      </c>
      <c r="K2307">
        <v>0</v>
      </c>
      <c r="L2307" s="20">
        <v>45692</v>
      </c>
      <c r="M2307" s="21">
        <v>0.5</v>
      </c>
    </row>
    <row r="2308" spans="1:13" x14ac:dyDescent="0.2">
      <c r="A2308" t="s">
        <v>42</v>
      </c>
      <c r="B2308" t="s">
        <v>409</v>
      </c>
      <c r="C2308" t="s">
        <v>404</v>
      </c>
      <c r="D2308" t="s">
        <v>339</v>
      </c>
      <c r="E2308" t="s">
        <v>638</v>
      </c>
      <c r="F2308" s="22">
        <v>0.42</v>
      </c>
      <c r="G2308" s="22">
        <v>1.03</v>
      </c>
      <c r="H2308" s="22">
        <v>1</v>
      </c>
      <c r="I2308" s="22">
        <v>1</v>
      </c>
      <c r="J2308" s="22">
        <v>1</v>
      </c>
      <c r="K2308">
        <v>0</v>
      </c>
      <c r="L2308" s="20">
        <v>45658</v>
      </c>
      <c r="M2308" s="21">
        <v>1</v>
      </c>
    </row>
    <row r="2309" spans="1:13" x14ac:dyDescent="0.2">
      <c r="A2309" t="s">
        <v>235</v>
      </c>
      <c r="B2309" t="s">
        <v>405</v>
      </c>
      <c r="C2309" t="s">
        <v>414</v>
      </c>
      <c r="D2309" t="s">
        <v>80</v>
      </c>
      <c r="E2309" t="s">
        <v>638</v>
      </c>
      <c r="F2309" s="22">
        <v>0.43</v>
      </c>
      <c r="G2309" s="22">
        <v>0.95</v>
      </c>
      <c r="H2309" s="22">
        <v>1</v>
      </c>
      <c r="I2309" s="22">
        <v>0.95</v>
      </c>
      <c r="J2309" s="22">
        <v>0</v>
      </c>
      <c r="K2309">
        <v>3</v>
      </c>
      <c r="L2309" s="20">
        <v>45940</v>
      </c>
      <c r="M2309" s="21">
        <v>1</v>
      </c>
    </row>
    <row r="2310" spans="1:13" x14ac:dyDescent="0.2">
      <c r="A2310" t="s">
        <v>45</v>
      </c>
      <c r="B2310" t="s">
        <v>410</v>
      </c>
      <c r="C2310" t="s">
        <v>404</v>
      </c>
      <c r="D2310" t="s">
        <v>342</v>
      </c>
      <c r="E2310" t="s">
        <v>638</v>
      </c>
      <c r="F2310" s="22">
        <v>0.85</v>
      </c>
      <c r="G2310" s="22">
        <v>1.19</v>
      </c>
      <c r="H2310" s="22">
        <v>1</v>
      </c>
      <c r="I2310" s="22">
        <v>1</v>
      </c>
      <c r="J2310" s="22">
        <v>1</v>
      </c>
      <c r="K2310">
        <v>6</v>
      </c>
      <c r="L2310" s="20"/>
    </row>
    <row r="2311" spans="1:13" x14ac:dyDescent="0.2">
      <c r="A2311" t="s">
        <v>46</v>
      </c>
      <c r="B2311" t="s">
        <v>410</v>
      </c>
      <c r="C2311" t="s">
        <v>407</v>
      </c>
      <c r="D2311" t="s">
        <v>340</v>
      </c>
      <c r="E2311" t="s">
        <v>638</v>
      </c>
      <c r="F2311" s="22">
        <v>0.73</v>
      </c>
      <c r="G2311" s="22">
        <v>1.17</v>
      </c>
      <c r="H2311" s="22">
        <v>0.87</v>
      </c>
      <c r="I2311" s="22">
        <v>1</v>
      </c>
      <c r="J2311" s="22">
        <v>1</v>
      </c>
      <c r="K2311">
        <v>4</v>
      </c>
      <c r="L2311" s="20">
        <v>45664</v>
      </c>
      <c r="M2311" s="21">
        <v>0.14000000000000001</v>
      </c>
    </row>
    <row r="2312" spans="1:13" x14ac:dyDescent="0.2">
      <c r="A2312" t="s">
        <v>236</v>
      </c>
      <c r="B2312" t="s">
        <v>405</v>
      </c>
      <c r="C2312" t="s">
        <v>412</v>
      </c>
      <c r="D2312" t="s">
        <v>342</v>
      </c>
      <c r="E2312" t="s">
        <v>638</v>
      </c>
      <c r="F2312" s="22">
        <v>1.05</v>
      </c>
      <c r="G2312" s="22">
        <v>0.97</v>
      </c>
      <c r="H2312" s="22">
        <v>0.95</v>
      </c>
      <c r="I2312" s="22">
        <v>0.98</v>
      </c>
      <c r="J2312" s="22">
        <v>0.7</v>
      </c>
      <c r="K2312">
        <v>6</v>
      </c>
      <c r="L2312" s="20">
        <v>45751</v>
      </c>
      <c r="M2312" s="21">
        <v>1</v>
      </c>
    </row>
    <row r="2313" spans="1:13" x14ac:dyDescent="0.2">
      <c r="A2313" t="s">
        <v>238</v>
      </c>
      <c r="B2313" t="s">
        <v>405</v>
      </c>
      <c r="C2313" t="s">
        <v>407</v>
      </c>
      <c r="D2313" t="s">
        <v>339</v>
      </c>
      <c r="E2313" t="s">
        <v>638</v>
      </c>
      <c r="F2313" s="22">
        <v>0.88</v>
      </c>
      <c r="G2313" s="22">
        <v>0.9</v>
      </c>
      <c r="H2313" s="22">
        <v>0.99</v>
      </c>
      <c r="I2313" s="22">
        <v>0.98</v>
      </c>
      <c r="J2313" s="22">
        <v>1</v>
      </c>
      <c r="K2313">
        <v>14</v>
      </c>
      <c r="L2313" s="20">
        <v>45721</v>
      </c>
      <c r="M2313" s="21">
        <v>0.6</v>
      </c>
    </row>
    <row r="2314" spans="1:13" x14ac:dyDescent="0.2">
      <c r="A2314" t="s">
        <v>635</v>
      </c>
      <c r="B2314" t="e">
        <v>#N/A</v>
      </c>
      <c r="C2314" t="e">
        <v>#N/A</v>
      </c>
      <c r="D2314" t="e">
        <v>#N/A</v>
      </c>
      <c r="E2314" t="s">
        <v>638</v>
      </c>
      <c r="F2314" s="22">
        <v>0</v>
      </c>
      <c r="G2314" s="22">
        <v>0</v>
      </c>
      <c r="H2314" s="22">
        <v>0</v>
      </c>
      <c r="I2314" s="22">
        <v>0</v>
      </c>
      <c r="J2314" s="22">
        <v>0</v>
      </c>
      <c r="K2314">
        <v>0</v>
      </c>
      <c r="L2314" s="20"/>
    </row>
    <row r="2315" spans="1:13" x14ac:dyDescent="0.2">
      <c r="A2315" t="s">
        <v>239</v>
      </c>
      <c r="B2315" t="s">
        <v>405</v>
      </c>
      <c r="C2315" t="s">
        <v>407</v>
      </c>
      <c r="D2315" t="s">
        <v>339</v>
      </c>
      <c r="E2315" t="s">
        <v>638</v>
      </c>
      <c r="F2315" s="22">
        <v>1.06</v>
      </c>
      <c r="G2315" s="22">
        <v>1.1200000000000001</v>
      </c>
      <c r="H2315" s="22">
        <v>0.99</v>
      </c>
      <c r="I2315" s="22">
        <v>0.97</v>
      </c>
      <c r="J2315" s="22">
        <v>0.93</v>
      </c>
      <c r="K2315">
        <v>10</v>
      </c>
      <c r="L2315" s="20">
        <v>45972</v>
      </c>
      <c r="M2315" s="21">
        <v>1</v>
      </c>
    </row>
    <row r="2316" spans="1:13" x14ac:dyDescent="0.2">
      <c r="A2316" t="s">
        <v>48</v>
      </c>
      <c r="B2316" t="s">
        <v>405</v>
      </c>
      <c r="C2316" t="s">
        <v>407</v>
      </c>
      <c r="D2316" t="s">
        <v>333</v>
      </c>
      <c r="E2316" t="s">
        <v>638</v>
      </c>
      <c r="F2316" s="22">
        <v>1.18</v>
      </c>
      <c r="G2316" s="22">
        <v>1.07</v>
      </c>
      <c r="H2316" s="22">
        <v>0.98</v>
      </c>
      <c r="I2316" s="22">
        <v>1</v>
      </c>
      <c r="J2316" s="22">
        <v>0.96</v>
      </c>
      <c r="K2316">
        <v>14</v>
      </c>
      <c r="L2316" s="20">
        <v>45814</v>
      </c>
      <c r="M2316" s="21">
        <v>1</v>
      </c>
    </row>
    <row r="2317" spans="1:13" x14ac:dyDescent="0.2">
      <c r="A2317" t="s">
        <v>49</v>
      </c>
      <c r="B2317" t="s">
        <v>405</v>
      </c>
      <c r="C2317" t="s">
        <v>407</v>
      </c>
      <c r="D2317" t="s">
        <v>340</v>
      </c>
      <c r="E2317" t="s">
        <v>638</v>
      </c>
      <c r="F2317" s="22">
        <v>0.89</v>
      </c>
      <c r="G2317" s="22">
        <v>0.95</v>
      </c>
      <c r="H2317" s="22">
        <v>0.86</v>
      </c>
      <c r="I2317" s="22">
        <v>0.92</v>
      </c>
      <c r="J2317" s="22">
        <v>0.67</v>
      </c>
      <c r="K2317">
        <v>9</v>
      </c>
      <c r="L2317" s="20" t="s">
        <v>224</v>
      </c>
      <c r="M2317" s="21">
        <v>0</v>
      </c>
    </row>
    <row r="2318" spans="1:13" x14ac:dyDescent="0.2">
      <c r="A2318" t="s">
        <v>50</v>
      </c>
      <c r="B2318" t="s">
        <v>409</v>
      </c>
      <c r="C2318" t="s">
        <v>404</v>
      </c>
      <c r="D2318" t="s">
        <v>342</v>
      </c>
      <c r="E2318" t="s">
        <v>638</v>
      </c>
      <c r="F2318" s="22">
        <v>0</v>
      </c>
      <c r="G2318" s="22">
        <v>0</v>
      </c>
      <c r="H2318" s="22">
        <v>0</v>
      </c>
      <c r="I2318" s="22">
        <v>0</v>
      </c>
      <c r="J2318" s="22">
        <v>0</v>
      </c>
      <c r="K2318">
        <v>0</v>
      </c>
      <c r="L2318" s="20"/>
    </row>
    <row r="2319" spans="1:13" x14ac:dyDescent="0.2">
      <c r="A2319" t="s">
        <v>51</v>
      </c>
      <c r="B2319" t="s">
        <v>409</v>
      </c>
      <c r="C2319" t="s">
        <v>404</v>
      </c>
      <c r="D2319" t="s">
        <v>333</v>
      </c>
      <c r="E2319" t="s">
        <v>638</v>
      </c>
      <c r="F2319" s="22">
        <v>0.57999999999999996</v>
      </c>
      <c r="G2319" s="22">
        <v>1.06</v>
      </c>
      <c r="H2319" s="22">
        <v>1</v>
      </c>
      <c r="I2319" s="22">
        <v>0.97</v>
      </c>
      <c r="J2319" s="22">
        <v>1</v>
      </c>
      <c r="K2319">
        <v>1</v>
      </c>
      <c r="L2319" s="20" t="s">
        <v>219</v>
      </c>
      <c r="M2319" s="21">
        <v>0</v>
      </c>
    </row>
    <row r="2320" spans="1:13" x14ac:dyDescent="0.2">
      <c r="A2320" t="s">
        <v>636</v>
      </c>
      <c r="B2320" t="e">
        <v>#N/A</v>
      </c>
      <c r="C2320" t="e">
        <v>#N/A</v>
      </c>
      <c r="D2320" t="e">
        <v>#N/A</v>
      </c>
      <c r="E2320" t="s">
        <v>638</v>
      </c>
      <c r="F2320" s="22">
        <v>0</v>
      </c>
      <c r="G2320" s="22">
        <v>0.3</v>
      </c>
      <c r="H2320" s="22">
        <v>0</v>
      </c>
      <c r="I2320" s="22">
        <v>0</v>
      </c>
      <c r="J2320" s="22">
        <v>0</v>
      </c>
      <c r="K2320">
        <v>0</v>
      </c>
      <c r="L2320" s="20"/>
    </row>
    <row r="2321" spans="1:13" x14ac:dyDescent="0.2">
      <c r="A2321" t="s">
        <v>52</v>
      </c>
      <c r="B2321" t="s">
        <v>409</v>
      </c>
      <c r="C2321" t="s">
        <v>407</v>
      </c>
      <c r="D2321" t="s">
        <v>99</v>
      </c>
      <c r="E2321" t="s">
        <v>638</v>
      </c>
      <c r="F2321" s="22">
        <v>0.9</v>
      </c>
      <c r="G2321" s="22">
        <v>1.17</v>
      </c>
      <c r="H2321" s="22">
        <v>0.99</v>
      </c>
      <c r="I2321" s="22">
        <v>0.97</v>
      </c>
      <c r="J2321" s="22">
        <v>0.95</v>
      </c>
      <c r="K2321">
        <v>5</v>
      </c>
      <c r="L2321" s="20">
        <v>45719</v>
      </c>
      <c r="M2321" s="21">
        <v>1</v>
      </c>
    </row>
    <row r="2322" spans="1:13" x14ac:dyDescent="0.2">
      <c r="A2322" t="s">
        <v>53</v>
      </c>
      <c r="B2322" t="s">
        <v>405</v>
      </c>
      <c r="C2322" t="s">
        <v>407</v>
      </c>
      <c r="D2322" t="s">
        <v>342</v>
      </c>
      <c r="E2322" t="s">
        <v>638</v>
      </c>
      <c r="F2322" s="22">
        <v>0.97</v>
      </c>
      <c r="G2322" s="22">
        <v>0.99</v>
      </c>
      <c r="H2322" s="22">
        <v>0.95</v>
      </c>
      <c r="I2322" s="22">
        <v>0.94</v>
      </c>
      <c r="J2322" s="22">
        <v>0.63</v>
      </c>
      <c r="K2322">
        <v>11</v>
      </c>
      <c r="L2322" s="20">
        <v>45658</v>
      </c>
      <c r="M2322" s="21">
        <v>1</v>
      </c>
    </row>
    <row r="2323" spans="1:13" x14ac:dyDescent="0.2">
      <c r="A2323" t="s">
        <v>54</v>
      </c>
      <c r="B2323" t="s">
        <v>409</v>
      </c>
      <c r="C2323" t="s">
        <v>407</v>
      </c>
      <c r="D2323" t="s">
        <v>99</v>
      </c>
      <c r="E2323" t="s">
        <v>638</v>
      </c>
      <c r="F2323" s="22">
        <v>0.43</v>
      </c>
      <c r="G2323" s="22">
        <v>0.97</v>
      </c>
      <c r="H2323" s="22">
        <v>1</v>
      </c>
      <c r="I2323" s="22">
        <v>0.91</v>
      </c>
      <c r="J2323" s="22">
        <v>0.54</v>
      </c>
      <c r="K2323">
        <v>5</v>
      </c>
      <c r="L2323" s="20"/>
    </row>
    <row r="2324" spans="1:13" x14ac:dyDescent="0.2">
      <c r="A2324" t="s">
        <v>55</v>
      </c>
      <c r="B2324" t="s">
        <v>409</v>
      </c>
      <c r="C2324" t="s">
        <v>404</v>
      </c>
      <c r="D2324" t="s">
        <v>339</v>
      </c>
      <c r="E2324" t="s">
        <v>638</v>
      </c>
      <c r="F2324" s="22">
        <v>0.83</v>
      </c>
      <c r="G2324" s="22">
        <v>1.41</v>
      </c>
      <c r="H2324" s="22">
        <v>0.86</v>
      </c>
      <c r="I2324" s="22">
        <v>0.96</v>
      </c>
      <c r="J2324" s="22">
        <v>0.63</v>
      </c>
      <c r="K2324">
        <v>3</v>
      </c>
      <c r="L2324" s="20">
        <v>45658</v>
      </c>
      <c r="M2324" s="21">
        <v>1</v>
      </c>
    </row>
    <row r="2325" spans="1:13" x14ac:dyDescent="0.2">
      <c r="A2325" t="s">
        <v>56</v>
      </c>
      <c r="B2325" t="s">
        <v>405</v>
      </c>
      <c r="C2325" t="s">
        <v>407</v>
      </c>
      <c r="D2325" t="s">
        <v>339</v>
      </c>
      <c r="E2325" t="s">
        <v>638</v>
      </c>
      <c r="F2325" s="22">
        <v>0.67</v>
      </c>
      <c r="G2325" s="22">
        <v>0.74</v>
      </c>
      <c r="H2325" s="22">
        <v>0.96</v>
      </c>
      <c r="I2325" s="22">
        <v>0.62</v>
      </c>
      <c r="J2325" s="22">
        <v>0.75</v>
      </c>
      <c r="K2325">
        <v>16</v>
      </c>
      <c r="L2325" s="20">
        <v>45720</v>
      </c>
      <c r="M2325" s="21">
        <v>0.75</v>
      </c>
    </row>
    <row r="2326" spans="1:13" x14ac:dyDescent="0.2">
      <c r="A2326" t="s">
        <v>245</v>
      </c>
      <c r="B2326" t="s">
        <v>405</v>
      </c>
      <c r="C2326" t="s">
        <v>407</v>
      </c>
      <c r="D2326" t="s">
        <v>339</v>
      </c>
      <c r="E2326" t="s">
        <v>638</v>
      </c>
      <c r="F2326" s="22">
        <v>1.07</v>
      </c>
      <c r="G2326" s="22">
        <v>1.1399999999999999</v>
      </c>
      <c r="H2326" s="22">
        <v>0.91</v>
      </c>
      <c r="I2326" s="22">
        <v>0.98</v>
      </c>
      <c r="J2326" s="22">
        <v>1</v>
      </c>
      <c r="K2326">
        <v>9</v>
      </c>
      <c r="L2326" s="20" t="s">
        <v>282</v>
      </c>
      <c r="M2326" s="21">
        <v>0</v>
      </c>
    </row>
    <row r="2327" spans="1:13" x14ac:dyDescent="0.2">
      <c r="A2327" t="s">
        <v>57</v>
      </c>
      <c r="B2327" t="s">
        <v>405</v>
      </c>
      <c r="C2327" t="s">
        <v>407</v>
      </c>
      <c r="D2327" t="s">
        <v>340</v>
      </c>
      <c r="E2327" t="s">
        <v>638</v>
      </c>
      <c r="F2327" s="22">
        <v>1.03</v>
      </c>
      <c r="G2327" s="22">
        <v>0.98</v>
      </c>
      <c r="H2327" s="22">
        <v>0.98</v>
      </c>
      <c r="I2327" s="22">
        <v>0.94</v>
      </c>
      <c r="J2327" s="22">
        <v>0.95</v>
      </c>
      <c r="K2327">
        <v>11</v>
      </c>
      <c r="L2327" s="20">
        <v>45784</v>
      </c>
      <c r="M2327" s="21">
        <v>0.71</v>
      </c>
    </row>
    <row r="2328" spans="1:13" x14ac:dyDescent="0.2">
      <c r="A2328" t="s">
        <v>249</v>
      </c>
      <c r="B2328" t="s">
        <v>405</v>
      </c>
      <c r="C2328" t="s">
        <v>404</v>
      </c>
      <c r="D2328" t="s">
        <v>333</v>
      </c>
      <c r="E2328" t="s">
        <v>638</v>
      </c>
      <c r="F2328" s="22">
        <v>1.08</v>
      </c>
      <c r="G2328" s="22">
        <v>1.1399999999999999</v>
      </c>
      <c r="H2328" s="22">
        <v>0.99</v>
      </c>
      <c r="I2328" s="22">
        <v>1</v>
      </c>
      <c r="J2328" s="22">
        <v>0.31</v>
      </c>
      <c r="K2328">
        <v>11</v>
      </c>
      <c r="L2328" s="20">
        <v>45751</v>
      </c>
      <c r="M2328" s="21">
        <v>1</v>
      </c>
    </row>
    <row r="2329" spans="1:13" x14ac:dyDescent="0.2">
      <c r="A2329" t="s">
        <v>250</v>
      </c>
      <c r="B2329" t="s">
        <v>405</v>
      </c>
      <c r="C2329" t="s">
        <v>407</v>
      </c>
      <c r="D2329" t="s">
        <v>333</v>
      </c>
      <c r="E2329" t="s">
        <v>638</v>
      </c>
      <c r="F2329" s="22">
        <v>1.06</v>
      </c>
      <c r="G2329" s="22">
        <v>1.03</v>
      </c>
      <c r="H2329" s="22">
        <v>0.99</v>
      </c>
      <c r="I2329" s="22">
        <v>1</v>
      </c>
      <c r="J2329" s="22">
        <v>0</v>
      </c>
      <c r="K2329">
        <v>9</v>
      </c>
      <c r="L2329" s="20">
        <v>45665</v>
      </c>
      <c r="M2329" s="21">
        <v>0.13</v>
      </c>
    </row>
    <row r="2330" spans="1:13" x14ac:dyDescent="0.2">
      <c r="A2330" t="s">
        <v>58</v>
      </c>
      <c r="B2330" t="s">
        <v>409</v>
      </c>
      <c r="C2330" t="s">
        <v>407</v>
      </c>
      <c r="D2330" t="s">
        <v>99</v>
      </c>
      <c r="E2330" t="s">
        <v>638</v>
      </c>
      <c r="F2330" s="22">
        <v>0.65</v>
      </c>
      <c r="G2330" s="22">
        <v>1.35</v>
      </c>
      <c r="H2330" s="22">
        <v>1</v>
      </c>
      <c r="I2330" s="22">
        <v>1</v>
      </c>
      <c r="J2330" s="22">
        <v>0.69</v>
      </c>
      <c r="K2330">
        <v>2</v>
      </c>
      <c r="L2330" s="20">
        <v>45661</v>
      </c>
      <c r="M2330" s="21">
        <v>0.25</v>
      </c>
    </row>
    <row r="2331" spans="1:13" x14ac:dyDescent="0.2">
      <c r="A2331" t="s">
        <v>59</v>
      </c>
      <c r="B2331" t="s">
        <v>410</v>
      </c>
      <c r="C2331" t="s">
        <v>407</v>
      </c>
      <c r="D2331" t="s">
        <v>339</v>
      </c>
      <c r="E2331" t="s">
        <v>638</v>
      </c>
      <c r="F2331" s="22">
        <v>0.56999999999999995</v>
      </c>
      <c r="G2331" s="22">
        <v>0.99</v>
      </c>
      <c r="H2331" s="22">
        <v>1</v>
      </c>
      <c r="I2331" s="22">
        <v>0.97</v>
      </c>
      <c r="J2331" s="22">
        <v>0.33</v>
      </c>
      <c r="K2331">
        <v>4</v>
      </c>
      <c r="L2331" s="20">
        <v>45719</v>
      </c>
      <c r="M2331" s="21">
        <v>1</v>
      </c>
    </row>
    <row r="2332" spans="1:13" x14ac:dyDescent="0.2">
      <c r="A2332" t="s">
        <v>60</v>
      </c>
      <c r="B2332" t="s">
        <v>405</v>
      </c>
      <c r="C2332" t="s">
        <v>404</v>
      </c>
      <c r="D2332" t="s">
        <v>342</v>
      </c>
      <c r="E2332" t="s">
        <v>638</v>
      </c>
      <c r="F2332" s="22">
        <v>1.1599999999999999</v>
      </c>
      <c r="G2332" s="22">
        <v>1.1000000000000001</v>
      </c>
      <c r="H2332" s="22">
        <v>0.78</v>
      </c>
      <c r="I2332" s="22">
        <v>0.91</v>
      </c>
      <c r="J2332" s="22">
        <v>0.44</v>
      </c>
      <c r="K2332">
        <v>3</v>
      </c>
      <c r="L2332" s="20">
        <v>45660</v>
      </c>
      <c r="M2332" s="21">
        <v>0.33333333333333331</v>
      </c>
    </row>
    <row r="2333" spans="1:13" x14ac:dyDescent="0.2">
      <c r="A2333" t="s">
        <v>61</v>
      </c>
      <c r="B2333" t="s">
        <v>405</v>
      </c>
      <c r="C2333" t="s">
        <v>404</v>
      </c>
      <c r="D2333" t="s">
        <v>339</v>
      </c>
      <c r="E2333" t="s">
        <v>638</v>
      </c>
      <c r="F2333" s="22">
        <v>0.87</v>
      </c>
      <c r="G2333" s="22">
        <v>1.32</v>
      </c>
      <c r="H2333" s="22">
        <v>0.98</v>
      </c>
      <c r="I2333" s="22">
        <v>1</v>
      </c>
      <c r="J2333" s="22">
        <v>1</v>
      </c>
      <c r="K2333">
        <v>2</v>
      </c>
      <c r="L2333" s="20" t="s">
        <v>228</v>
      </c>
      <c r="M2333" s="21">
        <v>0</v>
      </c>
    </row>
    <row r="2334" spans="1:13" x14ac:dyDescent="0.2">
      <c r="A2334" t="s">
        <v>252</v>
      </c>
      <c r="B2334" t="s">
        <v>405</v>
      </c>
      <c r="C2334" t="s">
        <v>414</v>
      </c>
      <c r="D2334" t="s">
        <v>80</v>
      </c>
      <c r="E2334" t="s">
        <v>638</v>
      </c>
      <c r="F2334" s="22">
        <v>0.55000000000000004</v>
      </c>
      <c r="G2334" s="22">
        <v>0.89</v>
      </c>
      <c r="H2334" s="22">
        <v>1</v>
      </c>
      <c r="I2334" s="22">
        <v>1</v>
      </c>
      <c r="J2334" s="22">
        <v>0</v>
      </c>
      <c r="K2334">
        <v>2</v>
      </c>
      <c r="L2334" s="20">
        <v>45753</v>
      </c>
      <c r="M2334" s="21">
        <v>0.67</v>
      </c>
    </row>
    <row r="2335" spans="1:13" x14ac:dyDescent="0.2">
      <c r="A2335" t="s">
        <v>63</v>
      </c>
      <c r="B2335" t="s">
        <v>405</v>
      </c>
      <c r="C2335" t="s">
        <v>404</v>
      </c>
      <c r="D2335" t="s">
        <v>342</v>
      </c>
      <c r="E2335" t="s">
        <v>638</v>
      </c>
      <c r="F2335" s="22">
        <v>0.66</v>
      </c>
      <c r="G2335" s="22">
        <v>1.0900000000000001</v>
      </c>
      <c r="H2335" s="22">
        <v>0.98</v>
      </c>
      <c r="I2335" s="22">
        <v>0.87</v>
      </c>
      <c r="J2335" s="22">
        <v>0.82</v>
      </c>
      <c r="K2335">
        <v>6</v>
      </c>
      <c r="L2335" s="20">
        <v>45659</v>
      </c>
      <c r="M2335" s="21">
        <v>0.5</v>
      </c>
    </row>
    <row r="2336" spans="1:13" x14ac:dyDescent="0.2">
      <c r="A2336" t="s">
        <v>64</v>
      </c>
      <c r="B2336" t="s">
        <v>410</v>
      </c>
      <c r="C2336" t="s">
        <v>407</v>
      </c>
      <c r="D2336" t="s">
        <v>340</v>
      </c>
      <c r="E2336" t="s">
        <v>638</v>
      </c>
      <c r="F2336" s="22">
        <v>0.72</v>
      </c>
      <c r="G2336" s="22">
        <v>1.1399999999999999</v>
      </c>
      <c r="H2336" s="22">
        <v>0.95</v>
      </c>
      <c r="I2336" s="22">
        <v>1</v>
      </c>
      <c r="J2336" s="22">
        <v>1</v>
      </c>
      <c r="K2336">
        <v>1</v>
      </c>
      <c r="L2336" s="20"/>
    </row>
    <row r="2337" spans="1:13" x14ac:dyDescent="0.2">
      <c r="A2337" t="s">
        <v>65</v>
      </c>
      <c r="B2337" t="s">
        <v>409</v>
      </c>
      <c r="C2337" t="s">
        <v>407</v>
      </c>
      <c r="D2337" t="s">
        <v>340</v>
      </c>
      <c r="E2337" t="s">
        <v>638</v>
      </c>
      <c r="F2337" s="22">
        <v>0</v>
      </c>
      <c r="G2337" s="22">
        <v>0.03</v>
      </c>
      <c r="H2337" s="22">
        <v>0</v>
      </c>
      <c r="I2337" s="22">
        <v>0</v>
      </c>
      <c r="J2337" s="22">
        <v>0</v>
      </c>
      <c r="K2337">
        <v>0</v>
      </c>
      <c r="L2337" s="20"/>
    </row>
    <row r="2338" spans="1:13" x14ac:dyDescent="0.2">
      <c r="A2338" t="s">
        <v>254</v>
      </c>
      <c r="B2338" t="s">
        <v>405</v>
      </c>
      <c r="C2338" t="s">
        <v>407</v>
      </c>
      <c r="D2338" t="s">
        <v>333</v>
      </c>
      <c r="E2338" t="s">
        <v>638</v>
      </c>
      <c r="F2338" s="22">
        <v>0.89</v>
      </c>
      <c r="G2338" s="22">
        <v>0.85</v>
      </c>
      <c r="H2338" s="22">
        <v>0.93</v>
      </c>
      <c r="I2338" s="22">
        <v>0.92</v>
      </c>
      <c r="J2338" s="22">
        <v>0.87</v>
      </c>
      <c r="K2338">
        <v>12</v>
      </c>
      <c r="L2338" s="20" t="s">
        <v>381</v>
      </c>
      <c r="M2338" s="21">
        <v>0</v>
      </c>
    </row>
    <row r="2339" spans="1:13" x14ac:dyDescent="0.2">
      <c r="A2339" t="s">
        <v>67</v>
      </c>
      <c r="B2339" t="s">
        <v>410</v>
      </c>
      <c r="C2339" t="s">
        <v>407</v>
      </c>
      <c r="D2339" t="s">
        <v>340</v>
      </c>
      <c r="E2339" t="s">
        <v>638</v>
      </c>
      <c r="F2339" s="22">
        <v>0.65</v>
      </c>
      <c r="G2339" s="22">
        <v>1.02</v>
      </c>
      <c r="H2339" s="22">
        <v>1</v>
      </c>
      <c r="I2339" s="22">
        <v>1</v>
      </c>
      <c r="J2339" s="22">
        <v>0.64</v>
      </c>
      <c r="K2339">
        <v>1</v>
      </c>
      <c r="L2339" s="20">
        <v>45690</v>
      </c>
      <c r="M2339" s="21">
        <v>1</v>
      </c>
    </row>
    <row r="2340" spans="1:13" x14ac:dyDescent="0.2">
      <c r="A2340" t="s">
        <v>68</v>
      </c>
      <c r="B2340" t="s">
        <v>405</v>
      </c>
      <c r="C2340" t="s">
        <v>407</v>
      </c>
      <c r="D2340" t="s">
        <v>340</v>
      </c>
      <c r="E2340" t="s">
        <v>638</v>
      </c>
      <c r="F2340" s="22">
        <v>0.81</v>
      </c>
      <c r="G2340" s="22">
        <v>0.93</v>
      </c>
      <c r="H2340" s="22">
        <v>0.97</v>
      </c>
      <c r="I2340" s="22">
        <v>1</v>
      </c>
      <c r="J2340" s="22">
        <v>0.81</v>
      </c>
      <c r="K2340">
        <v>9</v>
      </c>
      <c r="L2340" s="20">
        <v>45660</v>
      </c>
      <c r="M2340" s="21">
        <v>0.33333333333333331</v>
      </c>
    </row>
    <row r="2341" spans="1:13" x14ac:dyDescent="0.2">
      <c r="A2341" t="s">
        <v>69</v>
      </c>
      <c r="B2341" t="s">
        <v>405</v>
      </c>
      <c r="C2341" t="s">
        <v>404</v>
      </c>
      <c r="D2341" t="s">
        <v>339</v>
      </c>
      <c r="E2341" t="s">
        <v>638</v>
      </c>
      <c r="F2341" s="22">
        <v>0.91</v>
      </c>
      <c r="G2341" s="22">
        <v>1.07</v>
      </c>
      <c r="H2341" s="22">
        <v>1</v>
      </c>
      <c r="I2341" s="22">
        <v>1</v>
      </c>
      <c r="J2341" s="22">
        <v>0.91</v>
      </c>
      <c r="K2341">
        <v>2</v>
      </c>
      <c r="L2341" s="20">
        <v>45659</v>
      </c>
      <c r="M2341" s="21">
        <v>0.5</v>
      </c>
    </row>
    <row r="2342" spans="1:13" x14ac:dyDescent="0.2">
      <c r="A2342" t="s">
        <v>70</v>
      </c>
      <c r="B2342" t="s">
        <v>410</v>
      </c>
      <c r="C2342" t="s">
        <v>407</v>
      </c>
      <c r="D2342" t="s">
        <v>339</v>
      </c>
      <c r="E2342" t="s">
        <v>638</v>
      </c>
      <c r="F2342" s="22">
        <v>0.8</v>
      </c>
      <c r="G2342" s="22">
        <v>1.19</v>
      </c>
      <c r="H2342" s="22">
        <v>1</v>
      </c>
      <c r="I2342" s="22">
        <v>0.94</v>
      </c>
      <c r="J2342" s="22">
        <v>0.78</v>
      </c>
      <c r="K2342">
        <v>11</v>
      </c>
      <c r="L2342" s="20">
        <v>45690</v>
      </c>
      <c r="M2342" s="21">
        <v>1</v>
      </c>
    </row>
    <row r="2343" spans="1:13" x14ac:dyDescent="0.2">
      <c r="A2343" t="s">
        <v>71</v>
      </c>
      <c r="B2343" t="s">
        <v>409</v>
      </c>
      <c r="C2343" t="s">
        <v>407</v>
      </c>
      <c r="D2343" t="s">
        <v>340</v>
      </c>
      <c r="E2343" t="s">
        <v>638</v>
      </c>
      <c r="F2343" s="22">
        <v>0.67</v>
      </c>
      <c r="G2343" s="22">
        <v>1.07</v>
      </c>
      <c r="H2343" s="22">
        <v>0.97</v>
      </c>
      <c r="I2343" s="22">
        <v>0.98</v>
      </c>
      <c r="J2343" s="22">
        <v>1</v>
      </c>
      <c r="K2343">
        <v>3</v>
      </c>
      <c r="L2343" s="20">
        <v>45658</v>
      </c>
      <c r="M2343" s="21">
        <v>1</v>
      </c>
    </row>
    <row r="2344" spans="1:13" x14ac:dyDescent="0.2">
      <c r="A2344" t="s">
        <v>258</v>
      </c>
      <c r="B2344" t="s">
        <v>405</v>
      </c>
      <c r="C2344" t="s">
        <v>404</v>
      </c>
      <c r="D2344" t="s">
        <v>342</v>
      </c>
      <c r="E2344" t="s">
        <v>638</v>
      </c>
      <c r="F2344" s="22">
        <v>1.39</v>
      </c>
      <c r="G2344" s="22">
        <v>1.32</v>
      </c>
      <c r="H2344" s="22">
        <v>0.98</v>
      </c>
      <c r="I2344" s="22">
        <v>1</v>
      </c>
      <c r="J2344" s="22">
        <v>0.78</v>
      </c>
      <c r="K2344">
        <v>3</v>
      </c>
      <c r="L2344" s="20">
        <v>45663</v>
      </c>
      <c r="M2344" s="21">
        <v>0.17</v>
      </c>
    </row>
    <row r="2345" spans="1:13" x14ac:dyDescent="0.2">
      <c r="A2345" t="s">
        <v>259</v>
      </c>
      <c r="B2345" t="s">
        <v>405</v>
      </c>
      <c r="C2345" t="s">
        <v>407</v>
      </c>
      <c r="D2345" t="s">
        <v>333</v>
      </c>
      <c r="E2345" t="s">
        <v>638</v>
      </c>
      <c r="F2345" s="22">
        <v>1</v>
      </c>
      <c r="G2345" s="22">
        <v>0.99</v>
      </c>
      <c r="H2345" s="22">
        <v>0.99</v>
      </c>
      <c r="I2345" s="22">
        <v>0.99</v>
      </c>
      <c r="J2345" s="22">
        <v>0.82</v>
      </c>
      <c r="K2345">
        <v>7</v>
      </c>
      <c r="L2345" s="20">
        <v>45879</v>
      </c>
      <c r="M2345" s="21">
        <v>0.8</v>
      </c>
    </row>
    <row r="2346" spans="1:13" x14ac:dyDescent="0.2">
      <c r="A2346" t="s">
        <v>72</v>
      </c>
      <c r="B2346" t="s">
        <v>409</v>
      </c>
      <c r="C2346" t="s">
        <v>404</v>
      </c>
      <c r="D2346" t="s">
        <v>333</v>
      </c>
      <c r="E2346" t="s">
        <v>638</v>
      </c>
      <c r="F2346" s="22">
        <v>1.1100000000000001</v>
      </c>
      <c r="G2346" s="22">
        <v>1</v>
      </c>
      <c r="H2346" s="22">
        <v>0.96</v>
      </c>
      <c r="I2346" s="22">
        <v>0.94</v>
      </c>
      <c r="J2346" s="22">
        <v>0.75</v>
      </c>
      <c r="K2346">
        <v>0</v>
      </c>
      <c r="L2346" s="20" t="s">
        <v>219</v>
      </c>
      <c r="M2346" s="21">
        <v>0</v>
      </c>
    </row>
    <row r="2347" spans="1:13" x14ac:dyDescent="0.2">
      <c r="A2347" t="s">
        <v>261</v>
      </c>
      <c r="B2347" t="s">
        <v>405</v>
      </c>
      <c r="C2347" t="s">
        <v>412</v>
      </c>
      <c r="D2347" t="s">
        <v>342</v>
      </c>
      <c r="E2347" t="s">
        <v>638</v>
      </c>
      <c r="F2347" s="22">
        <v>0.96</v>
      </c>
      <c r="G2347" s="22">
        <v>0.97</v>
      </c>
      <c r="H2347" s="22">
        <v>0.99</v>
      </c>
      <c r="I2347" s="22">
        <v>1</v>
      </c>
      <c r="J2347" s="22">
        <v>0.09</v>
      </c>
      <c r="K2347">
        <v>12</v>
      </c>
      <c r="L2347" s="20">
        <v>45662</v>
      </c>
      <c r="M2347" s="21">
        <v>0.2</v>
      </c>
    </row>
    <row r="2348" spans="1:13" x14ac:dyDescent="0.2">
      <c r="A2348" t="s">
        <v>73</v>
      </c>
      <c r="B2348" t="s">
        <v>405</v>
      </c>
      <c r="C2348" t="s">
        <v>404</v>
      </c>
      <c r="D2348" t="s">
        <v>80</v>
      </c>
      <c r="E2348" t="s">
        <v>638</v>
      </c>
      <c r="F2348" s="22">
        <v>0.49</v>
      </c>
      <c r="G2348" s="22">
        <v>1.05</v>
      </c>
      <c r="H2348" s="22">
        <v>1</v>
      </c>
      <c r="I2348" s="22">
        <v>1</v>
      </c>
      <c r="J2348" s="22">
        <v>1</v>
      </c>
      <c r="K2348">
        <v>1</v>
      </c>
      <c r="L2348" s="20"/>
    </row>
    <row r="2349" spans="1:13" x14ac:dyDescent="0.2">
      <c r="A2349" t="s">
        <v>263</v>
      </c>
      <c r="B2349" t="s">
        <v>405</v>
      </c>
      <c r="C2349" t="s">
        <v>407</v>
      </c>
      <c r="D2349" t="s">
        <v>333</v>
      </c>
      <c r="E2349" t="s">
        <v>638</v>
      </c>
      <c r="F2349" s="22">
        <v>0.91</v>
      </c>
      <c r="G2349" s="22">
        <v>0.88</v>
      </c>
      <c r="H2349" s="22">
        <v>0.94</v>
      </c>
      <c r="I2349" s="22">
        <v>0.99</v>
      </c>
      <c r="J2349" s="22">
        <v>0.35</v>
      </c>
      <c r="K2349">
        <v>21</v>
      </c>
      <c r="L2349" s="20">
        <v>45695</v>
      </c>
      <c r="M2349" s="21">
        <v>0.28999999999999998</v>
      </c>
    </row>
    <row r="2350" spans="1:13" x14ac:dyDescent="0.2">
      <c r="A2350" t="s">
        <v>74</v>
      </c>
      <c r="B2350" t="s">
        <v>410</v>
      </c>
      <c r="C2350" t="s">
        <v>404</v>
      </c>
      <c r="D2350" t="s">
        <v>339</v>
      </c>
      <c r="E2350" t="s">
        <v>638</v>
      </c>
      <c r="F2350" s="22">
        <v>0.78</v>
      </c>
      <c r="G2350" s="22">
        <v>0.98</v>
      </c>
      <c r="H2350" s="22">
        <v>1</v>
      </c>
      <c r="I2350" s="22">
        <v>0.63</v>
      </c>
      <c r="J2350" s="22">
        <v>0.78</v>
      </c>
      <c r="K2350">
        <v>1</v>
      </c>
      <c r="L2350" s="20"/>
    </row>
    <row r="2351" spans="1:13" x14ac:dyDescent="0.2">
      <c r="A2351" t="s">
        <v>75</v>
      </c>
      <c r="B2351" t="s">
        <v>405</v>
      </c>
      <c r="C2351" t="s">
        <v>407</v>
      </c>
      <c r="D2351" t="s">
        <v>80</v>
      </c>
      <c r="E2351" t="s">
        <v>638</v>
      </c>
      <c r="F2351" s="22">
        <v>1.42</v>
      </c>
      <c r="G2351" s="22">
        <v>1.22</v>
      </c>
      <c r="H2351" s="22">
        <v>0.99</v>
      </c>
      <c r="I2351" s="22">
        <v>0.96</v>
      </c>
      <c r="J2351" s="22">
        <v>0.85</v>
      </c>
      <c r="K2351">
        <v>7</v>
      </c>
      <c r="L2351" s="20">
        <v>45668</v>
      </c>
      <c r="M2351" s="21">
        <v>0.09</v>
      </c>
    </row>
    <row r="2352" spans="1:13" x14ac:dyDescent="0.2">
      <c r="A2352" t="s">
        <v>265</v>
      </c>
      <c r="B2352" t="s">
        <v>405</v>
      </c>
      <c r="C2352" t="s">
        <v>404</v>
      </c>
      <c r="D2352" t="s">
        <v>342</v>
      </c>
      <c r="E2352" t="s">
        <v>638</v>
      </c>
      <c r="F2352" s="22">
        <v>0.7</v>
      </c>
      <c r="G2352" s="22">
        <v>0.71</v>
      </c>
      <c r="H2352" s="22">
        <v>1</v>
      </c>
      <c r="I2352" s="22">
        <v>0.96</v>
      </c>
      <c r="J2352" s="22">
        <v>0.67</v>
      </c>
      <c r="K2352">
        <v>0</v>
      </c>
      <c r="L2352" s="20"/>
    </row>
    <row r="2353" spans="1:13" x14ac:dyDescent="0.2">
      <c r="A2353" t="s">
        <v>77</v>
      </c>
      <c r="B2353" t="s">
        <v>410</v>
      </c>
      <c r="C2353" t="s">
        <v>407</v>
      </c>
      <c r="D2353" t="s">
        <v>340</v>
      </c>
      <c r="E2353" t="s">
        <v>638</v>
      </c>
      <c r="F2353" s="22">
        <v>0.72</v>
      </c>
      <c r="G2353" s="22">
        <v>0.91</v>
      </c>
      <c r="H2353" s="22">
        <v>0.96</v>
      </c>
      <c r="I2353" s="22">
        <v>0.98</v>
      </c>
      <c r="J2353" s="22">
        <v>1</v>
      </c>
      <c r="K2353">
        <v>0</v>
      </c>
      <c r="L2353" s="20">
        <v>45658</v>
      </c>
      <c r="M2353" s="21">
        <v>1</v>
      </c>
    </row>
    <row r="2354" spans="1:13" x14ac:dyDescent="0.2">
      <c r="A2354" t="s">
        <v>78</v>
      </c>
      <c r="B2354" t="s">
        <v>410</v>
      </c>
      <c r="C2354" t="s">
        <v>404</v>
      </c>
      <c r="D2354" t="s">
        <v>80</v>
      </c>
      <c r="E2354" t="s">
        <v>638</v>
      </c>
      <c r="F2354" s="22">
        <v>0.67</v>
      </c>
      <c r="G2354" s="22">
        <v>1.1499999999999999</v>
      </c>
      <c r="H2354" s="22">
        <v>1</v>
      </c>
      <c r="I2354" s="22">
        <v>1</v>
      </c>
      <c r="J2354" s="22">
        <v>0.71</v>
      </c>
      <c r="K2354">
        <v>1</v>
      </c>
      <c r="L2354" s="20">
        <v>45658</v>
      </c>
      <c r="M2354" s="21">
        <v>1</v>
      </c>
    </row>
    <row r="2355" spans="1:13" x14ac:dyDescent="0.2">
      <c r="A2355" t="s">
        <v>79</v>
      </c>
      <c r="B2355" t="s">
        <v>409</v>
      </c>
      <c r="C2355" t="s">
        <v>407</v>
      </c>
      <c r="D2355" t="s">
        <v>340</v>
      </c>
      <c r="E2355" t="s">
        <v>638</v>
      </c>
      <c r="F2355" s="22">
        <v>0.74</v>
      </c>
      <c r="G2355" s="22">
        <v>1.29</v>
      </c>
      <c r="H2355" s="22">
        <v>1</v>
      </c>
      <c r="I2355" s="22">
        <v>0.95</v>
      </c>
      <c r="J2355" s="22">
        <v>0.81</v>
      </c>
      <c r="K2355">
        <v>2</v>
      </c>
      <c r="L2355" s="20" t="s">
        <v>266</v>
      </c>
      <c r="M2355" s="21">
        <v>0</v>
      </c>
    </row>
    <row r="2356" spans="1:13" x14ac:dyDescent="0.2">
      <c r="A2356" t="s">
        <v>81</v>
      </c>
      <c r="B2356" t="s">
        <v>410</v>
      </c>
      <c r="C2356" t="s">
        <v>407</v>
      </c>
      <c r="D2356" t="s">
        <v>340</v>
      </c>
      <c r="E2356" t="s">
        <v>638</v>
      </c>
      <c r="F2356" s="22">
        <v>0.84</v>
      </c>
      <c r="G2356" s="22">
        <v>1.01</v>
      </c>
      <c r="H2356" s="22">
        <v>0.96</v>
      </c>
      <c r="I2356" s="22">
        <v>0.98</v>
      </c>
      <c r="J2356" s="22">
        <v>0.44</v>
      </c>
      <c r="K2356">
        <v>2</v>
      </c>
      <c r="L2356" s="20">
        <v>45658</v>
      </c>
      <c r="M2356" s="21">
        <v>1</v>
      </c>
    </row>
    <row r="2357" spans="1:13" x14ac:dyDescent="0.2">
      <c r="A2357" t="s">
        <v>268</v>
      </c>
      <c r="B2357" t="s">
        <v>405</v>
      </c>
      <c r="C2357" t="s">
        <v>413</v>
      </c>
      <c r="D2357" t="s">
        <v>342</v>
      </c>
      <c r="E2357" t="s">
        <v>638</v>
      </c>
      <c r="F2357" s="22">
        <v>1.1100000000000001</v>
      </c>
      <c r="G2357" s="22">
        <v>1</v>
      </c>
      <c r="H2357" s="22">
        <v>0.98</v>
      </c>
      <c r="I2357" s="22">
        <v>1</v>
      </c>
      <c r="J2357" s="22">
        <v>0.86</v>
      </c>
      <c r="K2357">
        <v>13</v>
      </c>
      <c r="L2357" s="20" t="s">
        <v>228</v>
      </c>
      <c r="M2357" s="21">
        <v>0</v>
      </c>
    </row>
    <row r="2358" spans="1:13" x14ac:dyDescent="0.2">
      <c r="A2358" t="s">
        <v>271</v>
      </c>
      <c r="B2358" t="e">
        <v>#N/A</v>
      </c>
      <c r="C2358" t="e">
        <v>#N/A</v>
      </c>
      <c r="D2358" t="e">
        <v>#N/A</v>
      </c>
      <c r="E2358" t="s">
        <v>638</v>
      </c>
      <c r="F2358" s="22">
        <v>0.13</v>
      </c>
      <c r="G2358" s="22">
        <v>0.84</v>
      </c>
      <c r="H2358" s="22">
        <v>1</v>
      </c>
      <c r="I2358" s="22">
        <v>0.5</v>
      </c>
      <c r="J2358" s="22">
        <v>0</v>
      </c>
      <c r="K2358">
        <v>0</v>
      </c>
      <c r="L2358" s="20" t="s">
        <v>219</v>
      </c>
      <c r="M2358" s="21">
        <v>0</v>
      </c>
    </row>
    <row r="2359" spans="1:13" x14ac:dyDescent="0.2">
      <c r="A2359" t="s">
        <v>82</v>
      </c>
      <c r="B2359" t="s">
        <v>409</v>
      </c>
      <c r="C2359" t="s">
        <v>404</v>
      </c>
      <c r="D2359" t="s">
        <v>99</v>
      </c>
      <c r="E2359" t="s">
        <v>638</v>
      </c>
      <c r="F2359" s="22">
        <v>0.5</v>
      </c>
      <c r="G2359" s="22">
        <v>1.03</v>
      </c>
      <c r="H2359" s="22">
        <v>1</v>
      </c>
      <c r="I2359" s="22">
        <v>1</v>
      </c>
      <c r="J2359" s="22">
        <v>1</v>
      </c>
      <c r="K2359">
        <v>1</v>
      </c>
      <c r="L2359" s="20"/>
    </row>
    <row r="2360" spans="1:13" x14ac:dyDescent="0.2">
      <c r="A2360" t="s">
        <v>83</v>
      </c>
      <c r="B2360" t="s">
        <v>409</v>
      </c>
      <c r="C2360" t="s">
        <v>407</v>
      </c>
      <c r="D2360" t="s">
        <v>99</v>
      </c>
      <c r="E2360" t="s">
        <v>638</v>
      </c>
      <c r="F2360" s="22">
        <v>0.95</v>
      </c>
      <c r="G2360" s="22">
        <v>1.28</v>
      </c>
      <c r="H2360" s="22">
        <v>0.99</v>
      </c>
      <c r="I2360" s="22">
        <v>0.95</v>
      </c>
      <c r="J2360" s="22">
        <v>0.81</v>
      </c>
      <c r="K2360">
        <v>4</v>
      </c>
      <c r="L2360" s="20"/>
    </row>
    <row r="2361" spans="1:13" x14ac:dyDescent="0.2">
      <c r="A2361" t="s">
        <v>84</v>
      </c>
      <c r="B2361" t="s">
        <v>405</v>
      </c>
      <c r="C2361" t="s">
        <v>407</v>
      </c>
      <c r="D2361" t="s">
        <v>342</v>
      </c>
      <c r="E2361" t="s">
        <v>638</v>
      </c>
      <c r="F2361" s="22">
        <v>0.85</v>
      </c>
      <c r="G2361" s="22">
        <v>1</v>
      </c>
      <c r="H2361" s="22">
        <v>1</v>
      </c>
      <c r="I2361" s="22">
        <v>0.97</v>
      </c>
      <c r="J2361" s="22">
        <v>0.96</v>
      </c>
      <c r="K2361">
        <v>14</v>
      </c>
      <c r="L2361" s="20" t="s">
        <v>266</v>
      </c>
      <c r="M2361" s="21">
        <v>0</v>
      </c>
    </row>
    <row r="2362" spans="1:13" x14ac:dyDescent="0.2">
      <c r="A2362" t="s">
        <v>85</v>
      </c>
      <c r="B2362" t="s">
        <v>409</v>
      </c>
      <c r="C2362" t="s">
        <v>407</v>
      </c>
      <c r="D2362" t="s">
        <v>340</v>
      </c>
      <c r="E2362" t="s">
        <v>638</v>
      </c>
      <c r="F2362" s="22">
        <v>0.93</v>
      </c>
      <c r="G2362" s="22">
        <v>1.1499999999999999</v>
      </c>
      <c r="H2362" s="22">
        <v>0.99</v>
      </c>
      <c r="I2362" s="22">
        <v>0.96</v>
      </c>
      <c r="J2362" s="22">
        <v>1</v>
      </c>
      <c r="K2362">
        <v>3</v>
      </c>
      <c r="L2362" s="20">
        <v>45719</v>
      </c>
      <c r="M2362" s="21">
        <v>1</v>
      </c>
    </row>
    <row r="2363" spans="1:13" x14ac:dyDescent="0.2">
      <c r="A2363" t="s">
        <v>87</v>
      </c>
      <c r="B2363" t="s">
        <v>405</v>
      </c>
      <c r="C2363" t="s">
        <v>404</v>
      </c>
      <c r="D2363" t="s">
        <v>339</v>
      </c>
      <c r="E2363" t="s">
        <v>638</v>
      </c>
      <c r="F2363" s="22">
        <v>1.27</v>
      </c>
      <c r="G2363" s="22">
        <v>1.1200000000000001</v>
      </c>
      <c r="H2363" s="22">
        <v>1</v>
      </c>
      <c r="I2363" s="22">
        <v>0.95</v>
      </c>
      <c r="J2363" s="22">
        <v>0.81</v>
      </c>
      <c r="K2363">
        <v>12</v>
      </c>
      <c r="L2363" s="20"/>
    </row>
    <row r="2364" spans="1:13" x14ac:dyDescent="0.2">
      <c r="A2364" t="s">
        <v>88</v>
      </c>
      <c r="B2364" t="s">
        <v>410</v>
      </c>
      <c r="C2364" t="s">
        <v>407</v>
      </c>
      <c r="D2364" t="s">
        <v>340</v>
      </c>
      <c r="E2364" t="s">
        <v>638</v>
      </c>
      <c r="F2364" s="22">
        <v>0.91</v>
      </c>
      <c r="G2364" s="22">
        <v>1.31</v>
      </c>
      <c r="H2364" s="22">
        <v>1</v>
      </c>
      <c r="I2364" s="22">
        <v>0.89</v>
      </c>
      <c r="J2364" s="22">
        <v>1</v>
      </c>
      <c r="K2364">
        <v>3</v>
      </c>
      <c r="L2364" s="20" t="s">
        <v>228</v>
      </c>
      <c r="M2364" s="21">
        <v>0</v>
      </c>
    </row>
    <row r="2365" spans="1:13" x14ac:dyDescent="0.2">
      <c r="A2365" t="s">
        <v>272</v>
      </c>
      <c r="B2365" t="s">
        <v>405</v>
      </c>
      <c r="C2365" t="s">
        <v>412</v>
      </c>
      <c r="D2365" t="s">
        <v>340</v>
      </c>
      <c r="E2365" t="s">
        <v>638</v>
      </c>
      <c r="F2365" s="22">
        <v>0.63</v>
      </c>
      <c r="G2365" s="22">
        <v>0.62</v>
      </c>
      <c r="H2365" s="22">
        <v>1</v>
      </c>
      <c r="I2365" s="22">
        <v>1</v>
      </c>
      <c r="J2365" s="22">
        <v>0.36</v>
      </c>
      <c r="K2365">
        <v>9</v>
      </c>
      <c r="L2365" s="20">
        <v>45691</v>
      </c>
      <c r="M2365" s="21">
        <v>0.67</v>
      </c>
    </row>
    <row r="2366" spans="1:13" x14ac:dyDescent="0.2">
      <c r="A2366" t="s">
        <v>90</v>
      </c>
      <c r="B2366" t="s">
        <v>405</v>
      </c>
      <c r="C2366" t="s">
        <v>404</v>
      </c>
      <c r="D2366" t="s">
        <v>339</v>
      </c>
      <c r="E2366" t="s">
        <v>638</v>
      </c>
      <c r="F2366" s="22">
        <v>0.09</v>
      </c>
      <c r="G2366" s="22">
        <v>0.31</v>
      </c>
      <c r="H2366" s="22">
        <v>1</v>
      </c>
      <c r="I2366" s="22">
        <v>0</v>
      </c>
      <c r="J2366" s="22">
        <v>0.5</v>
      </c>
      <c r="K2366">
        <v>3</v>
      </c>
      <c r="L2366" s="20"/>
    </row>
    <row r="2367" spans="1:13" x14ac:dyDescent="0.2">
      <c r="A2367" t="s">
        <v>92</v>
      </c>
      <c r="B2367" t="s">
        <v>409</v>
      </c>
      <c r="C2367" t="s">
        <v>407</v>
      </c>
      <c r="D2367" t="s">
        <v>340</v>
      </c>
      <c r="E2367" t="s">
        <v>638</v>
      </c>
      <c r="F2367" s="22">
        <v>0.54</v>
      </c>
      <c r="G2367" s="22">
        <v>1.22</v>
      </c>
      <c r="H2367" s="22">
        <v>1</v>
      </c>
      <c r="I2367" s="22">
        <v>0.93</v>
      </c>
      <c r="J2367" s="22">
        <v>1</v>
      </c>
      <c r="K2367">
        <v>0</v>
      </c>
      <c r="L2367" s="20"/>
    </row>
    <row r="2368" spans="1:13" x14ac:dyDescent="0.2">
      <c r="A2368" t="s">
        <v>93</v>
      </c>
      <c r="B2368" t="s">
        <v>405</v>
      </c>
      <c r="C2368" t="s">
        <v>407</v>
      </c>
      <c r="D2368" t="s">
        <v>340</v>
      </c>
      <c r="E2368" t="s">
        <v>638</v>
      </c>
      <c r="F2368" s="22">
        <v>0.91</v>
      </c>
      <c r="G2368" s="22">
        <v>1.02</v>
      </c>
      <c r="H2368" s="22">
        <v>0.98</v>
      </c>
      <c r="I2368" s="22">
        <v>0.96</v>
      </c>
      <c r="J2368" s="22">
        <v>0.96</v>
      </c>
      <c r="K2368">
        <v>11</v>
      </c>
      <c r="L2368" s="20">
        <v>45751</v>
      </c>
      <c r="M2368" s="21">
        <v>1</v>
      </c>
    </row>
    <row r="2369" spans="1:13" x14ac:dyDescent="0.2">
      <c r="A2369" t="s">
        <v>94</v>
      </c>
      <c r="B2369" t="s">
        <v>409</v>
      </c>
      <c r="C2369" t="s">
        <v>407</v>
      </c>
      <c r="D2369" t="s">
        <v>99</v>
      </c>
      <c r="E2369" t="s">
        <v>638</v>
      </c>
      <c r="F2369" s="22">
        <v>0.33</v>
      </c>
      <c r="G2369" s="22">
        <v>0.92</v>
      </c>
      <c r="H2369" s="22">
        <v>1</v>
      </c>
      <c r="I2369" s="22">
        <v>1</v>
      </c>
      <c r="J2369" s="22">
        <v>0.42</v>
      </c>
      <c r="K2369">
        <v>0</v>
      </c>
      <c r="L2369" s="20" t="s">
        <v>219</v>
      </c>
      <c r="M2369" s="21">
        <v>0</v>
      </c>
    </row>
    <row r="2370" spans="1:13" x14ac:dyDescent="0.2">
      <c r="A2370" t="s">
        <v>95</v>
      </c>
      <c r="B2370" t="s">
        <v>405</v>
      </c>
      <c r="C2370" t="s">
        <v>407</v>
      </c>
      <c r="D2370" t="s">
        <v>342</v>
      </c>
      <c r="E2370" t="s">
        <v>638</v>
      </c>
      <c r="F2370" s="22">
        <v>0.87</v>
      </c>
      <c r="G2370" s="22">
        <v>0.93</v>
      </c>
      <c r="H2370" s="22">
        <v>0.92</v>
      </c>
      <c r="I2370" s="22">
        <v>0.96</v>
      </c>
      <c r="J2370" s="22">
        <v>0.9</v>
      </c>
      <c r="K2370">
        <v>8</v>
      </c>
      <c r="L2370" s="20">
        <v>45755</v>
      </c>
      <c r="M2370" s="21">
        <v>0.5</v>
      </c>
    </row>
    <row r="2371" spans="1:13" x14ac:dyDescent="0.2">
      <c r="A2371" t="s">
        <v>274</v>
      </c>
      <c r="B2371" t="s">
        <v>405</v>
      </c>
      <c r="C2371" t="s">
        <v>414</v>
      </c>
      <c r="D2371" t="s">
        <v>339</v>
      </c>
      <c r="E2371" t="s">
        <v>638</v>
      </c>
      <c r="F2371" s="22">
        <v>1.03</v>
      </c>
      <c r="G2371" s="22">
        <v>1.54</v>
      </c>
      <c r="H2371" s="22">
        <v>0.92</v>
      </c>
      <c r="I2371" s="22">
        <v>0.96</v>
      </c>
      <c r="J2371" s="22">
        <v>1</v>
      </c>
      <c r="K2371">
        <v>2</v>
      </c>
      <c r="L2371" s="20">
        <v>45691</v>
      </c>
      <c r="M2371" s="21">
        <v>0.67</v>
      </c>
    </row>
    <row r="2372" spans="1:13" x14ac:dyDescent="0.2">
      <c r="A2372" t="s">
        <v>96</v>
      </c>
      <c r="B2372" t="s">
        <v>410</v>
      </c>
      <c r="C2372" t="s">
        <v>404</v>
      </c>
      <c r="D2372" t="s">
        <v>342</v>
      </c>
      <c r="E2372" t="s">
        <v>638</v>
      </c>
      <c r="F2372" s="22">
        <v>0.74</v>
      </c>
      <c r="G2372" s="22">
        <v>1.1000000000000001</v>
      </c>
      <c r="H2372" s="22">
        <v>1</v>
      </c>
      <c r="I2372" s="22">
        <v>0.97</v>
      </c>
      <c r="J2372" s="22">
        <v>1</v>
      </c>
      <c r="K2372">
        <v>3</v>
      </c>
      <c r="L2372" s="20"/>
    </row>
    <row r="2373" spans="1:13" x14ac:dyDescent="0.2">
      <c r="A2373" t="s">
        <v>97</v>
      </c>
      <c r="B2373" t="s">
        <v>405</v>
      </c>
      <c r="C2373" t="s">
        <v>407</v>
      </c>
      <c r="D2373" t="s">
        <v>342</v>
      </c>
      <c r="E2373" t="s">
        <v>638</v>
      </c>
      <c r="F2373" s="22">
        <v>0.83</v>
      </c>
      <c r="G2373" s="22">
        <v>0.91</v>
      </c>
      <c r="H2373" s="22">
        <v>1</v>
      </c>
      <c r="I2373" s="22">
        <v>0.99</v>
      </c>
      <c r="J2373" s="22">
        <v>0.83</v>
      </c>
      <c r="K2373">
        <v>3</v>
      </c>
      <c r="L2373" s="20">
        <v>45660</v>
      </c>
      <c r="M2373" s="21">
        <v>0.33333333333333331</v>
      </c>
    </row>
    <row r="2374" spans="1:13" x14ac:dyDescent="0.2">
      <c r="A2374" t="s">
        <v>98</v>
      </c>
      <c r="B2374" t="s">
        <v>409</v>
      </c>
      <c r="C2374" t="s">
        <v>404</v>
      </c>
      <c r="D2374" t="s">
        <v>339</v>
      </c>
      <c r="E2374" t="s">
        <v>638</v>
      </c>
      <c r="F2374" s="22">
        <v>0.83</v>
      </c>
      <c r="G2374" s="22">
        <v>1.31</v>
      </c>
      <c r="H2374" s="22">
        <v>1</v>
      </c>
      <c r="I2374" s="22">
        <v>0.96</v>
      </c>
      <c r="J2374" s="22">
        <v>1</v>
      </c>
      <c r="K2374">
        <v>2</v>
      </c>
      <c r="L2374" s="20"/>
    </row>
    <row r="2375" spans="1:13" x14ac:dyDescent="0.2">
      <c r="A2375" t="s">
        <v>100</v>
      </c>
      <c r="B2375" t="s">
        <v>409</v>
      </c>
      <c r="C2375" t="s">
        <v>404</v>
      </c>
      <c r="D2375" t="s">
        <v>333</v>
      </c>
      <c r="E2375" t="s">
        <v>638</v>
      </c>
      <c r="F2375" s="22">
        <v>0.23</v>
      </c>
      <c r="G2375" s="22">
        <v>1.33</v>
      </c>
      <c r="H2375" s="22">
        <v>1</v>
      </c>
      <c r="I2375" s="22">
        <v>1</v>
      </c>
      <c r="J2375" s="22">
        <v>0</v>
      </c>
      <c r="K2375">
        <v>0</v>
      </c>
      <c r="L2375" s="20">
        <v>45658</v>
      </c>
      <c r="M2375" s="21">
        <v>1</v>
      </c>
    </row>
    <row r="2376" spans="1:13" x14ac:dyDescent="0.2">
      <c r="A2376" t="s">
        <v>101</v>
      </c>
      <c r="B2376" t="s">
        <v>405</v>
      </c>
      <c r="C2376" t="s">
        <v>407</v>
      </c>
      <c r="D2376" t="s">
        <v>342</v>
      </c>
      <c r="E2376" t="s">
        <v>638</v>
      </c>
      <c r="F2376" s="22">
        <v>0.87</v>
      </c>
      <c r="G2376" s="22">
        <v>1</v>
      </c>
      <c r="H2376" s="22">
        <v>1</v>
      </c>
      <c r="I2376" s="22">
        <v>1</v>
      </c>
      <c r="J2376" s="22">
        <v>0.53</v>
      </c>
      <c r="K2376">
        <v>11</v>
      </c>
      <c r="L2376" s="20">
        <v>45784</v>
      </c>
      <c r="M2376" s="21">
        <v>0.71</v>
      </c>
    </row>
    <row r="2377" spans="1:13" x14ac:dyDescent="0.2">
      <c r="A2377" t="s">
        <v>614</v>
      </c>
      <c r="B2377" t="e">
        <v>#N/A</v>
      </c>
      <c r="C2377" t="e">
        <v>#N/A</v>
      </c>
      <c r="D2377" t="e">
        <v>#N/A</v>
      </c>
      <c r="E2377" t="s">
        <v>638</v>
      </c>
      <c r="F2377" s="22">
        <v>0.08</v>
      </c>
      <c r="G2377" s="22">
        <v>0.38</v>
      </c>
      <c r="H2377" s="22">
        <v>0.9</v>
      </c>
      <c r="I2377" s="22">
        <v>0.88</v>
      </c>
      <c r="J2377" s="22">
        <v>0</v>
      </c>
      <c r="K2377">
        <v>0</v>
      </c>
      <c r="L2377" s="20" t="s">
        <v>228</v>
      </c>
      <c r="M2377" s="21">
        <v>0</v>
      </c>
    </row>
    <row r="2378" spans="1:13" x14ac:dyDescent="0.2">
      <c r="A2378" t="s">
        <v>103</v>
      </c>
      <c r="B2378" t="s">
        <v>410</v>
      </c>
      <c r="C2378" t="s">
        <v>404</v>
      </c>
      <c r="D2378" t="s">
        <v>342</v>
      </c>
      <c r="E2378" t="s">
        <v>638</v>
      </c>
      <c r="F2378" s="22">
        <v>0.63</v>
      </c>
      <c r="G2378" s="22">
        <v>1.07</v>
      </c>
      <c r="H2378" s="22">
        <v>1</v>
      </c>
      <c r="I2378" s="22">
        <v>1</v>
      </c>
      <c r="J2378" s="22">
        <v>0.8</v>
      </c>
      <c r="K2378">
        <v>0</v>
      </c>
      <c r="L2378" s="20" t="s">
        <v>228</v>
      </c>
      <c r="M2378" s="21">
        <v>0</v>
      </c>
    </row>
    <row r="2379" spans="1:13" x14ac:dyDescent="0.2">
      <c r="A2379" t="s">
        <v>105</v>
      </c>
      <c r="B2379" t="s">
        <v>405</v>
      </c>
      <c r="C2379" t="s">
        <v>404</v>
      </c>
      <c r="D2379" t="s">
        <v>333</v>
      </c>
      <c r="E2379" t="s">
        <v>638</v>
      </c>
      <c r="F2379" s="22">
        <v>0.95</v>
      </c>
      <c r="G2379" s="22">
        <v>1.18</v>
      </c>
      <c r="H2379" s="22">
        <v>0.79</v>
      </c>
      <c r="I2379" s="22">
        <v>0.92</v>
      </c>
      <c r="J2379" s="22">
        <v>0</v>
      </c>
      <c r="K2379">
        <v>5</v>
      </c>
      <c r="L2379" s="20" t="s">
        <v>306</v>
      </c>
      <c r="M2379" s="21">
        <v>0</v>
      </c>
    </row>
    <row r="2380" spans="1:13" x14ac:dyDescent="0.2">
      <c r="A2380" t="s">
        <v>276</v>
      </c>
      <c r="B2380" t="s">
        <v>405</v>
      </c>
      <c r="C2380" t="s">
        <v>412</v>
      </c>
      <c r="D2380" t="s">
        <v>340</v>
      </c>
      <c r="E2380" t="s">
        <v>638</v>
      </c>
      <c r="F2380" s="22">
        <v>0.93</v>
      </c>
      <c r="G2380" s="22">
        <v>0.98</v>
      </c>
      <c r="H2380" s="22">
        <v>0.98</v>
      </c>
      <c r="I2380" s="22">
        <v>0.99</v>
      </c>
      <c r="J2380" s="22">
        <v>0.67</v>
      </c>
      <c r="K2380">
        <v>11</v>
      </c>
      <c r="L2380" s="20" t="s">
        <v>266</v>
      </c>
      <c r="M2380" s="21">
        <v>0</v>
      </c>
    </row>
    <row r="2381" spans="1:13" x14ac:dyDescent="0.2">
      <c r="A2381" t="s">
        <v>278</v>
      </c>
      <c r="B2381" t="s">
        <v>405</v>
      </c>
      <c r="C2381" t="s">
        <v>412</v>
      </c>
      <c r="D2381" t="s">
        <v>80</v>
      </c>
      <c r="E2381" t="s">
        <v>638</v>
      </c>
      <c r="F2381" s="22">
        <v>0.75</v>
      </c>
      <c r="G2381" s="22">
        <v>1.08</v>
      </c>
      <c r="H2381" s="22">
        <v>1</v>
      </c>
      <c r="I2381" s="22">
        <v>0.96</v>
      </c>
      <c r="J2381" s="22">
        <v>0.85</v>
      </c>
      <c r="K2381">
        <v>7</v>
      </c>
      <c r="L2381" s="20">
        <v>45724</v>
      </c>
      <c r="M2381" s="21">
        <v>0.38</v>
      </c>
    </row>
    <row r="2382" spans="1:13" x14ac:dyDescent="0.2">
      <c r="A2382" t="s">
        <v>107</v>
      </c>
      <c r="B2382" t="s">
        <v>410</v>
      </c>
      <c r="C2382" t="s">
        <v>407</v>
      </c>
      <c r="D2382" t="s">
        <v>340</v>
      </c>
      <c r="E2382" t="s">
        <v>638</v>
      </c>
      <c r="F2382" s="22">
        <v>0.65</v>
      </c>
      <c r="G2382" s="22">
        <v>1.32</v>
      </c>
      <c r="H2382" s="22">
        <v>1</v>
      </c>
      <c r="I2382" s="22">
        <v>0.7</v>
      </c>
      <c r="J2382" s="22">
        <v>1</v>
      </c>
      <c r="K2382">
        <v>1</v>
      </c>
      <c r="L2382" s="20">
        <v>45658</v>
      </c>
      <c r="M2382" s="21">
        <v>1</v>
      </c>
    </row>
    <row r="2383" spans="1:13" x14ac:dyDescent="0.2">
      <c r="A2383" t="s">
        <v>108</v>
      </c>
      <c r="B2383" t="s">
        <v>405</v>
      </c>
      <c r="C2383" t="s">
        <v>407</v>
      </c>
      <c r="D2383" t="s">
        <v>80</v>
      </c>
      <c r="E2383" t="s">
        <v>638</v>
      </c>
      <c r="F2383" s="22">
        <v>0.96</v>
      </c>
      <c r="G2383" s="22">
        <v>1.08</v>
      </c>
      <c r="H2383" s="22">
        <v>0.98</v>
      </c>
      <c r="I2383" s="22">
        <v>0.93</v>
      </c>
      <c r="J2383" s="22">
        <v>0.72</v>
      </c>
      <c r="K2383">
        <v>5</v>
      </c>
      <c r="L2383" s="20">
        <v>45846</v>
      </c>
      <c r="M2383" s="21">
        <v>0.88</v>
      </c>
    </row>
    <row r="2384" spans="1:13" x14ac:dyDescent="0.2">
      <c r="A2384" t="s">
        <v>111</v>
      </c>
      <c r="B2384" t="s">
        <v>409</v>
      </c>
      <c r="C2384" t="s">
        <v>404</v>
      </c>
      <c r="D2384" t="s">
        <v>342</v>
      </c>
      <c r="E2384" t="s">
        <v>638</v>
      </c>
      <c r="F2384" s="22">
        <v>0.56999999999999995</v>
      </c>
      <c r="G2384" s="22">
        <v>1.29</v>
      </c>
      <c r="H2384" s="22">
        <v>1</v>
      </c>
      <c r="I2384" s="22">
        <v>1</v>
      </c>
      <c r="J2384" s="22">
        <v>1</v>
      </c>
      <c r="K2384">
        <v>1</v>
      </c>
      <c r="L2384" s="20"/>
    </row>
    <row r="2385" spans="1:13" x14ac:dyDescent="0.2">
      <c r="A2385" t="s">
        <v>281</v>
      </c>
      <c r="B2385" t="s">
        <v>405</v>
      </c>
      <c r="C2385" t="s">
        <v>407</v>
      </c>
      <c r="D2385" t="s">
        <v>333</v>
      </c>
      <c r="E2385" t="s">
        <v>638</v>
      </c>
      <c r="F2385" s="22">
        <v>0.9</v>
      </c>
      <c r="G2385" s="22">
        <v>0.97</v>
      </c>
      <c r="H2385" s="22">
        <v>0.99</v>
      </c>
      <c r="I2385" s="22">
        <v>0.99</v>
      </c>
      <c r="J2385" s="22">
        <v>0.59</v>
      </c>
      <c r="K2385">
        <v>12</v>
      </c>
      <c r="L2385" s="20">
        <v>45722</v>
      </c>
      <c r="M2385" s="21">
        <v>0.5</v>
      </c>
    </row>
    <row r="2386" spans="1:13" x14ac:dyDescent="0.2">
      <c r="A2386" t="s">
        <v>115</v>
      </c>
      <c r="B2386" t="s">
        <v>405</v>
      </c>
      <c r="C2386" t="s">
        <v>404</v>
      </c>
      <c r="D2386" t="s">
        <v>342</v>
      </c>
      <c r="E2386" t="s">
        <v>638</v>
      </c>
      <c r="F2386" s="22">
        <v>1.36</v>
      </c>
      <c r="G2386" s="22">
        <v>1.26</v>
      </c>
      <c r="H2386" s="22">
        <v>1</v>
      </c>
      <c r="I2386" s="22">
        <v>0.96</v>
      </c>
      <c r="J2386" s="22">
        <v>1</v>
      </c>
      <c r="K2386">
        <v>6</v>
      </c>
      <c r="L2386" s="20">
        <v>45692</v>
      </c>
      <c r="M2386" s="21">
        <v>0.5</v>
      </c>
    </row>
    <row r="2387" spans="1:13" x14ac:dyDescent="0.2">
      <c r="A2387" t="s">
        <v>283</v>
      </c>
      <c r="B2387" t="s">
        <v>405</v>
      </c>
      <c r="C2387" t="s">
        <v>414</v>
      </c>
      <c r="D2387" t="s">
        <v>80</v>
      </c>
      <c r="E2387" t="s">
        <v>638</v>
      </c>
      <c r="F2387" s="22">
        <v>1.26</v>
      </c>
      <c r="G2387" s="22">
        <v>1.32</v>
      </c>
      <c r="H2387" s="22">
        <v>0.99</v>
      </c>
      <c r="I2387" s="22">
        <v>1</v>
      </c>
      <c r="J2387" s="22">
        <v>0.53</v>
      </c>
      <c r="K2387">
        <v>14</v>
      </c>
      <c r="L2387" s="20">
        <v>45753</v>
      </c>
      <c r="M2387" s="21">
        <v>0.67</v>
      </c>
    </row>
    <row r="2388" spans="1:13" x14ac:dyDescent="0.2">
      <c r="A2388" t="s">
        <v>285</v>
      </c>
      <c r="B2388" t="s">
        <v>405</v>
      </c>
      <c r="C2388" t="s">
        <v>407</v>
      </c>
      <c r="D2388" t="s">
        <v>339</v>
      </c>
      <c r="E2388" t="s">
        <v>638</v>
      </c>
      <c r="F2388" s="22">
        <v>0.68</v>
      </c>
      <c r="G2388" s="22">
        <v>0.89</v>
      </c>
      <c r="H2388" s="22">
        <v>0.97</v>
      </c>
      <c r="I2388" s="22">
        <v>0.82</v>
      </c>
      <c r="J2388" s="22">
        <v>0.7</v>
      </c>
      <c r="K2388">
        <v>4</v>
      </c>
      <c r="L2388" s="20" t="s">
        <v>224</v>
      </c>
      <c r="M2388" s="21">
        <v>0</v>
      </c>
    </row>
    <row r="2389" spans="1:13" x14ac:dyDescent="0.2">
      <c r="A2389" t="s">
        <v>116</v>
      </c>
      <c r="B2389" t="s">
        <v>409</v>
      </c>
      <c r="C2389" t="s">
        <v>407</v>
      </c>
      <c r="D2389" t="s">
        <v>99</v>
      </c>
      <c r="E2389" t="s">
        <v>638</v>
      </c>
      <c r="F2389" s="22">
        <v>0.82</v>
      </c>
      <c r="G2389" s="22">
        <v>0.99</v>
      </c>
      <c r="H2389" s="22">
        <v>1</v>
      </c>
      <c r="I2389" s="22">
        <v>1</v>
      </c>
      <c r="J2389" s="22">
        <v>1</v>
      </c>
      <c r="K2389">
        <v>5</v>
      </c>
      <c r="L2389" s="20">
        <v>45690</v>
      </c>
      <c r="M2389" s="21">
        <v>1</v>
      </c>
    </row>
    <row r="2390" spans="1:13" x14ac:dyDescent="0.2">
      <c r="A2390" t="s">
        <v>117</v>
      </c>
      <c r="B2390" t="s">
        <v>405</v>
      </c>
      <c r="C2390" t="s">
        <v>407</v>
      </c>
      <c r="D2390" t="s">
        <v>342</v>
      </c>
      <c r="E2390" t="s">
        <v>638</v>
      </c>
      <c r="F2390" s="22">
        <v>1.01</v>
      </c>
      <c r="G2390" s="22">
        <v>0.99</v>
      </c>
      <c r="H2390" s="22">
        <v>1</v>
      </c>
      <c r="I2390" s="22">
        <v>0.81</v>
      </c>
      <c r="J2390" s="22">
        <v>0.95</v>
      </c>
      <c r="K2390">
        <v>8</v>
      </c>
      <c r="L2390" s="20">
        <v>45695</v>
      </c>
      <c r="M2390" s="21">
        <v>0.28999999999999998</v>
      </c>
    </row>
    <row r="2391" spans="1:13" x14ac:dyDescent="0.2">
      <c r="A2391" t="s">
        <v>119</v>
      </c>
      <c r="B2391" t="s">
        <v>410</v>
      </c>
      <c r="C2391" t="s">
        <v>407</v>
      </c>
      <c r="D2391" t="s">
        <v>342</v>
      </c>
      <c r="E2391" t="s">
        <v>638</v>
      </c>
      <c r="F2391" s="22">
        <v>0.4</v>
      </c>
      <c r="G2391" s="22">
        <v>1.1399999999999999</v>
      </c>
      <c r="H2391" s="22">
        <v>1</v>
      </c>
      <c r="I2391" s="22">
        <v>0.92</v>
      </c>
      <c r="J2391" s="22">
        <v>1</v>
      </c>
      <c r="K2391">
        <v>1</v>
      </c>
      <c r="L2391" s="20">
        <v>45691</v>
      </c>
      <c r="M2391" s="21">
        <v>0.67</v>
      </c>
    </row>
    <row r="2392" spans="1:13" x14ac:dyDescent="0.2">
      <c r="A2392" t="s">
        <v>120</v>
      </c>
      <c r="B2392" t="s">
        <v>409</v>
      </c>
      <c r="C2392" t="s">
        <v>407</v>
      </c>
      <c r="D2392" t="s">
        <v>99</v>
      </c>
      <c r="E2392" t="s">
        <v>638</v>
      </c>
      <c r="F2392" s="22">
        <v>0.78</v>
      </c>
      <c r="G2392" s="22">
        <v>1.3</v>
      </c>
      <c r="H2392" s="22">
        <v>1</v>
      </c>
      <c r="I2392" s="22">
        <v>0.92</v>
      </c>
      <c r="J2392" s="22">
        <v>0.32</v>
      </c>
      <c r="K2392">
        <v>2</v>
      </c>
      <c r="L2392" s="20">
        <v>45662</v>
      </c>
      <c r="M2392" s="21">
        <v>0.2</v>
      </c>
    </row>
    <row r="2393" spans="1:13" x14ac:dyDescent="0.2">
      <c r="A2393" t="s">
        <v>121</v>
      </c>
      <c r="B2393" t="s">
        <v>405</v>
      </c>
      <c r="C2393" t="s">
        <v>404</v>
      </c>
      <c r="D2393" t="s">
        <v>333</v>
      </c>
      <c r="E2393" t="s">
        <v>638</v>
      </c>
      <c r="F2393" s="22">
        <v>0.25</v>
      </c>
      <c r="G2393" s="22">
        <v>0.86</v>
      </c>
      <c r="H2393" s="22">
        <v>1</v>
      </c>
      <c r="I2393" s="22">
        <v>1</v>
      </c>
      <c r="J2393" s="22">
        <v>0.5</v>
      </c>
      <c r="K2393">
        <v>0</v>
      </c>
      <c r="L2393" s="20">
        <v>45658</v>
      </c>
      <c r="M2393" s="21">
        <v>1</v>
      </c>
    </row>
    <row r="2394" spans="1:13" x14ac:dyDescent="0.2">
      <c r="A2394" t="s">
        <v>123</v>
      </c>
      <c r="B2394" t="s">
        <v>409</v>
      </c>
      <c r="C2394" t="s">
        <v>412</v>
      </c>
      <c r="D2394" t="s">
        <v>339</v>
      </c>
      <c r="E2394" t="s">
        <v>638</v>
      </c>
      <c r="F2394" s="22">
        <v>0.76</v>
      </c>
      <c r="G2394" s="22">
        <v>1.18</v>
      </c>
      <c r="H2394" s="22">
        <v>0.99</v>
      </c>
      <c r="I2394" s="22">
        <v>0.98</v>
      </c>
      <c r="J2394" s="22">
        <v>0.94</v>
      </c>
      <c r="K2394">
        <v>6</v>
      </c>
      <c r="L2394" s="20">
        <v>45658</v>
      </c>
      <c r="M2394" s="21">
        <v>1</v>
      </c>
    </row>
    <row r="2395" spans="1:13" x14ac:dyDescent="0.2">
      <c r="A2395" t="s">
        <v>125</v>
      </c>
      <c r="B2395" t="s">
        <v>405</v>
      </c>
      <c r="C2395" t="s">
        <v>407</v>
      </c>
      <c r="D2395" t="s">
        <v>342</v>
      </c>
      <c r="E2395" t="s">
        <v>638</v>
      </c>
      <c r="F2395" s="22">
        <v>0.87</v>
      </c>
      <c r="G2395" s="22">
        <v>0.97</v>
      </c>
      <c r="H2395" s="22">
        <v>0.85</v>
      </c>
      <c r="I2395" s="22">
        <v>0.93</v>
      </c>
      <c r="J2395" s="22">
        <v>0.9</v>
      </c>
      <c r="K2395">
        <v>16</v>
      </c>
      <c r="L2395" s="20">
        <v>45659</v>
      </c>
      <c r="M2395" s="21">
        <v>0.5</v>
      </c>
    </row>
    <row r="2396" spans="1:13" x14ac:dyDescent="0.2">
      <c r="A2396" t="s">
        <v>126</v>
      </c>
      <c r="B2396" t="s">
        <v>410</v>
      </c>
      <c r="C2396" t="s">
        <v>407</v>
      </c>
      <c r="D2396" t="s">
        <v>340</v>
      </c>
      <c r="E2396" t="s">
        <v>638</v>
      </c>
      <c r="F2396" s="22">
        <v>0.45</v>
      </c>
      <c r="G2396" s="22">
        <v>1.02</v>
      </c>
      <c r="H2396" s="22">
        <v>1</v>
      </c>
      <c r="I2396" s="22">
        <v>0.84</v>
      </c>
      <c r="J2396" s="22">
        <v>0.5</v>
      </c>
      <c r="K2396">
        <v>1</v>
      </c>
      <c r="L2396" s="20">
        <v>45659</v>
      </c>
      <c r="M2396" s="21">
        <v>0.5</v>
      </c>
    </row>
    <row r="2397" spans="1:13" x14ac:dyDescent="0.2">
      <c r="A2397" t="s">
        <v>288</v>
      </c>
      <c r="B2397" t="s">
        <v>405</v>
      </c>
      <c r="C2397" t="s">
        <v>414</v>
      </c>
      <c r="D2397" t="s">
        <v>80</v>
      </c>
      <c r="E2397" t="s">
        <v>638</v>
      </c>
      <c r="F2397" s="22">
        <v>0.42</v>
      </c>
      <c r="G2397" s="22">
        <v>0.79</v>
      </c>
      <c r="H2397" s="22">
        <v>1</v>
      </c>
      <c r="I2397" s="22">
        <v>0.96</v>
      </c>
      <c r="J2397" s="22">
        <v>0</v>
      </c>
      <c r="K2397">
        <v>2</v>
      </c>
      <c r="L2397" s="20">
        <v>45974</v>
      </c>
      <c r="M2397" s="21">
        <v>0.85</v>
      </c>
    </row>
    <row r="2398" spans="1:13" x14ac:dyDescent="0.2">
      <c r="A2398" t="s">
        <v>615</v>
      </c>
      <c r="B2398" t="e">
        <v>#N/A</v>
      </c>
      <c r="C2398" t="e">
        <v>#N/A</v>
      </c>
      <c r="D2398" t="e">
        <v>#N/A</v>
      </c>
      <c r="E2398" t="s">
        <v>638</v>
      </c>
      <c r="F2398" s="22">
        <v>0</v>
      </c>
      <c r="G2398" s="22">
        <v>0.68</v>
      </c>
      <c r="H2398" s="22">
        <v>0</v>
      </c>
      <c r="I2398" s="22">
        <v>0</v>
      </c>
      <c r="J2398" s="22">
        <v>0</v>
      </c>
      <c r="K2398">
        <v>0</v>
      </c>
      <c r="L2398" s="20"/>
    </row>
    <row r="2399" spans="1:13" x14ac:dyDescent="0.2">
      <c r="A2399" t="s">
        <v>127</v>
      </c>
      <c r="B2399" t="s">
        <v>409</v>
      </c>
      <c r="C2399" t="s">
        <v>407</v>
      </c>
      <c r="D2399" t="s">
        <v>99</v>
      </c>
      <c r="E2399" t="s">
        <v>638</v>
      </c>
      <c r="F2399" s="22">
        <v>0.51</v>
      </c>
      <c r="G2399" s="22">
        <v>0.76</v>
      </c>
      <c r="H2399" s="22">
        <v>0.98</v>
      </c>
      <c r="I2399" s="22">
        <v>0.85</v>
      </c>
      <c r="J2399" s="22">
        <v>1</v>
      </c>
      <c r="K2399">
        <v>1</v>
      </c>
      <c r="L2399" s="20">
        <v>45658</v>
      </c>
      <c r="M2399" s="21">
        <v>1</v>
      </c>
    </row>
    <row r="2400" spans="1:13" x14ac:dyDescent="0.2">
      <c r="A2400" t="s">
        <v>128</v>
      </c>
      <c r="B2400" t="s">
        <v>410</v>
      </c>
      <c r="C2400" t="s">
        <v>407</v>
      </c>
      <c r="D2400" t="s">
        <v>340</v>
      </c>
      <c r="E2400" t="s">
        <v>638</v>
      </c>
      <c r="F2400" s="22">
        <v>0.9</v>
      </c>
      <c r="G2400" s="22">
        <v>1.7</v>
      </c>
      <c r="H2400" s="22">
        <v>0.93</v>
      </c>
      <c r="I2400" s="22">
        <v>0.98</v>
      </c>
      <c r="J2400" s="22">
        <v>0.95</v>
      </c>
      <c r="K2400">
        <v>5</v>
      </c>
      <c r="L2400" s="20">
        <v>45720</v>
      </c>
      <c r="M2400" s="21">
        <v>0.75</v>
      </c>
    </row>
    <row r="2401" spans="1:13" x14ac:dyDescent="0.2">
      <c r="A2401" t="s">
        <v>129</v>
      </c>
      <c r="B2401" t="s">
        <v>409</v>
      </c>
      <c r="C2401" t="s">
        <v>404</v>
      </c>
      <c r="D2401" t="s">
        <v>333</v>
      </c>
      <c r="E2401" t="s">
        <v>638</v>
      </c>
      <c r="F2401" s="22">
        <v>0.72</v>
      </c>
      <c r="G2401" s="22">
        <v>1.25</v>
      </c>
      <c r="H2401" s="22">
        <v>1</v>
      </c>
      <c r="I2401" s="22">
        <v>1</v>
      </c>
      <c r="J2401" s="22">
        <v>0.86</v>
      </c>
      <c r="K2401">
        <v>2</v>
      </c>
      <c r="L2401" s="20" t="s">
        <v>266</v>
      </c>
      <c r="M2401" s="21">
        <v>0</v>
      </c>
    </row>
    <row r="2402" spans="1:13" x14ac:dyDescent="0.2">
      <c r="A2402" t="s">
        <v>130</v>
      </c>
      <c r="B2402" t="s">
        <v>409</v>
      </c>
      <c r="C2402" t="s">
        <v>404</v>
      </c>
      <c r="D2402" t="s">
        <v>339</v>
      </c>
      <c r="E2402" t="s">
        <v>638</v>
      </c>
      <c r="F2402" s="22">
        <v>0.53</v>
      </c>
      <c r="G2402" s="22">
        <v>1.07</v>
      </c>
      <c r="H2402" s="22">
        <v>1</v>
      </c>
      <c r="I2402" s="22">
        <v>1</v>
      </c>
      <c r="J2402" s="22">
        <v>0.8</v>
      </c>
      <c r="K2402">
        <v>1</v>
      </c>
      <c r="L2402" s="20">
        <v>45658</v>
      </c>
      <c r="M2402" s="21">
        <v>1</v>
      </c>
    </row>
    <row r="2403" spans="1:13" x14ac:dyDescent="0.2">
      <c r="A2403" t="s">
        <v>131</v>
      </c>
      <c r="B2403" t="s">
        <v>405</v>
      </c>
      <c r="C2403" t="s">
        <v>407</v>
      </c>
      <c r="D2403" t="s">
        <v>340</v>
      </c>
      <c r="E2403" t="s">
        <v>638</v>
      </c>
      <c r="F2403" s="22">
        <v>0.96</v>
      </c>
      <c r="G2403" s="22">
        <v>1.1299999999999999</v>
      </c>
      <c r="H2403" s="22">
        <v>0.98</v>
      </c>
      <c r="I2403" s="22">
        <v>0.99</v>
      </c>
      <c r="J2403" s="22">
        <v>0.25</v>
      </c>
      <c r="K2403">
        <v>7</v>
      </c>
      <c r="L2403" s="20">
        <v>45783</v>
      </c>
      <c r="M2403" s="21">
        <v>0.83</v>
      </c>
    </row>
    <row r="2404" spans="1:13" x14ac:dyDescent="0.2">
      <c r="A2404" t="s">
        <v>132</v>
      </c>
      <c r="B2404" t="s">
        <v>410</v>
      </c>
      <c r="C2404" t="s">
        <v>407</v>
      </c>
      <c r="D2404" t="s">
        <v>342</v>
      </c>
      <c r="E2404" t="s">
        <v>638</v>
      </c>
      <c r="F2404" s="22">
        <v>0.91</v>
      </c>
      <c r="G2404" s="22">
        <v>1.24</v>
      </c>
      <c r="H2404" s="22">
        <v>1</v>
      </c>
      <c r="I2404" s="22">
        <v>1</v>
      </c>
      <c r="J2404" s="22">
        <v>1</v>
      </c>
      <c r="K2404">
        <v>5</v>
      </c>
      <c r="L2404" s="20">
        <v>45719</v>
      </c>
      <c r="M2404" s="21">
        <v>1</v>
      </c>
    </row>
    <row r="2405" spans="1:13" x14ac:dyDescent="0.2">
      <c r="A2405" t="s">
        <v>289</v>
      </c>
      <c r="B2405" t="s">
        <v>405</v>
      </c>
      <c r="C2405" t="s">
        <v>412</v>
      </c>
      <c r="D2405" t="s">
        <v>333</v>
      </c>
      <c r="E2405" t="s">
        <v>638</v>
      </c>
      <c r="F2405" s="22">
        <v>1.1200000000000001</v>
      </c>
      <c r="G2405" s="22">
        <v>1.0900000000000001</v>
      </c>
      <c r="H2405" s="22">
        <v>1</v>
      </c>
      <c r="I2405" s="22">
        <v>0.83</v>
      </c>
      <c r="J2405" s="22">
        <v>0.27</v>
      </c>
      <c r="K2405">
        <v>14</v>
      </c>
      <c r="L2405" s="20">
        <v>45973</v>
      </c>
      <c r="M2405" s="21">
        <v>0.92</v>
      </c>
    </row>
    <row r="2406" spans="1:13" x14ac:dyDescent="0.2">
      <c r="A2406" t="s">
        <v>134</v>
      </c>
      <c r="B2406" t="s">
        <v>410</v>
      </c>
      <c r="C2406" t="s">
        <v>407</v>
      </c>
      <c r="D2406" t="s">
        <v>333</v>
      </c>
      <c r="E2406" t="s">
        <v>638</v>
      </c>
      <c r="F2406" s="22">
        <v>0.63</v>
      </c>
      <c r="G2406" s="22">
        <v>1.1200000000000001</v>
      </c>
      <c r="H2406" s="22">
        <v>0.99</v>
      </c>
      <c r="I2406" s="22">
        <v>1</v>
      </c>
      <c r="J2406" s="22">
        <v>0.38</v>
      </c>
      <c r="K2406">
        <v>1</v>
      </c>
      <c r="L2406" s="20" t="s">
        <v>267</v>
      </c>
      <c r="M2406" s="21">
        <v>0</v>
      </c>
    </row>
    <row r="2407" spans="1:13" x14ac:dyDescent="0.2">
      <c r="A2407" t="s">
        <v>291</v>
      </c>
      <c r="B2407" t="e">
        <v>#N/A</v>
      </c>
      <c r="C2407" t="e">
        <v>#N/A</v>
      </c>
      <c r="D2407" t="e">
        <v>#N/A</v>
      </c>
      <c r="E2407" t="s">
        <v>638</v>
      </c>
      <c r="F2407" s="22">
        <v>0.39</v>
      </c>
      <c r="G2407" s="22">
        <v>1.23</v>
      </c>
      <c r="H2407" s="22">
        <v>1</v>
      </c>
      <c r="I2407" s="22">
        <v>0.73</v>
      </c>
      <c r="J2407" s="22">
        <v>0</v>
      </c>
      <c r="K2407">
        <v>3</v>
      </c>
      <c r="L2407" s="20">
        <v>45879</v>
      </c>
      <c r="M2407" s="21">
        <v>0.8</v>
      </c>
    </row>
    <row r="2408" spans="1:13" x14ac:dyDescent="0.2">
      <c r="A2408" t="s">
        <v>135</v>
      </c>
      <c r="B2408" t="s">
        <v>410</v>
      </c>
      <c r="C2408" t="s">
        <v>404</v>
      </c>
      <c r="D2408" t="s">
        <v>333</v>
      </c>
      <c r="E2408" t="s">
        <v>638</v>
      </c>
      <c r="F2408" s="2">
        <v>1.1599999999999999</v>
      </c>
      <c r="G2408" s="2">
        <v>1.38</v>
      </c>
      <c r="H2408" s="2">
        <v>1</v>
      </c>
      <c r="I2408" s="2">
        <v>0.97</v>
      </c>
      <c r="J2408" s="2">
        <v>0.91</v>
      </c>
      <c r="K2408">
        <v>3</v>
      </c>
      <c r="L2408" s="20"/>
    </row>
    <row r="2409" spans="1:13" x14ac:dyDescent="0.2">
      <c r="A2409" t="s">
        <v>292</v>
      </c>
      <c r="B2409" t="s">
        <v>405</v>
      </c>
      <c r="C2409" t="s">
        <v>412</v>
      </c>
      <c r="D2409" t="s">
        <v>342</v>
      </c>
      <c r="E2409" t="s">
        <v>638</v>
      </c>
      <c r="F2409" s="2">
        <v>0.99</v>
      </c>
      <c r="G2409" s="2">
        <v>0.84</v>
      </c>
      <c r="H2409" s="2">
        <v>1</v>
      </c>
      <c r="I2409" s="2">
        <v>0.99</v>
      </c>
      <c r="J2409" s="2">
        <v>1</v>
      </c>
      <c r="K2409">
        <v>15</v>
      </c>
      <c r="L2409" s="20">
        <v>45751</v>
      </c>
      <c r="M2409" s="21">
        <v>1</v>
      </c>
    </row>
    <row r="2410" spans="1:13" x14ac:dyDescent="0.2">
      <c r="A2410" t="s">
        <v>294</v>
      </c>
      <c r="B2410" t="s">
        <v>405</v>
      </c>
      <c r="C2410" t="s">
        <v>404</v>
      </c>
      <c r="D2410" t="s">
        <v>342</v>
      </c>
      <c r="E2410" t="s">
        <v>638</v>
      </c>
      <c r="F2410" s="2">
        <v>0.56999999999999995</v>
      </c>
      <c r="G2410" s="2">
        <v>1</v>
      </c>
      <c r="H2410" s="2">
        <v>0.97</v>
      </c>
      <c r="I2410" s="2">
        <v>1</v>
      </c>
      <c r="J2410" s="2">
        <v>1</v>
      </c>
      <c r="K2410">
        <v>2</v>
      </c>
      <c r="L2410" s="20" t="s">
        <v>266</v>
      </c>
      <c r="M2410" s="21">
        <v>0</v>
      </c>
    </row>
    <row r="2411" spans="1:13" x14ac:dyDescent="0.2">
      <c r="A2411" t="s">
        <v>137</v>
      </c>
      <c r="B2411" t="s">
        <v>409</v>
      </c>
      <c r="C2411" t="s">
        <v>407</v>
      </c>
      <c r="D2411" t="s">
        <v>99</v>
      </c>
      <c r="E2411" t="s">
        <v>638</v>
      </c>
      <c r="F2411" s="2">
        <v>1.05</v>
      </c>
      <c r="G2411" s="2">
        <v>1.21</v>
      </c>
      <c r="H2411" s="2">
        <v>0.99</v>
      </c>
      <c r="I2411" s="2">
        <v>0.98</v>
      </c>
      <c r="J2411" s="2">
        <v>0.81</v>
      </c>
      <c r="K2411">
        <v>16</v>
      </c>
      <c r="L2411" s="20" t="s">
        <v>219</v>
      </c>
      <c r="M2411" s="21">
        <v>0</v>
      </c>
    </row>
    <row r="2412" spans="1:13" x14ac:dyDescent="0.2">
      <c r="A2412" t="s">
        <v>138</v>
      </c>
      <c r="B2412" t="s">
        <v>405</v>
      </c>
      <c r="C2412" t="s">
        <v>407</v>
      </c>
      <c r="D2412" t="s">
        <v>339</v>
      </c>
      <c r="E2412" t="s">
        <v>638</v>
      </c>
      <c r="F2412" s="2">
        <v>1.0900000000000001</v>
      </c>
      <c r="G2412" s="2">
        <v>1.08</v>
      </c>
      <c r="H2412" s="2">
        <v>1</v>
      </c>
      <c r="I2412" s="2">
        <v>0.98</v>
      </c>
      <c r="J2412" s="2">
        <v>0.85</v>
      </c>
      <c r="K2412">
        <v>12</v>
      </c>
      <c r="L2412" s="20">
        <v>45816</v>
      </c>
      <c r="M2412" s="21">
        <v>0.75</v>
      </c>
    </row>
    <row r="2413" spans="1:13" x14ac:dyDescent="0.2">
      <c r="A2413" t="s">
        <v>139</v>
      </c>
      <c r="B2413" t="s">
        <v>410</v>
      </c>
      <c r="C2413" t="s">
        <v>407</v>
      </c>
      <c r="D2413" t="s">
        <v>340</v>
      </c>
      <c r="E2413" t="s">
        <v>638</v>
      </c>
      <c r="F2413" s="2">
        <v>0.23</v>
      </c>
      <c r="G2413" s="2">
        <v>0.7</v>
      </c>
      <c r="H2413" s="2">
        <v>1</v>
      </c>
      <c r="I2413" s="2">
        <v>0.94</v>
      </c>
      <c r="J2413" s="2">
        <v>0.5</v>
      </c>
      <c r="K2413">
        <v>1</v>
      </c>
      <c r="L2413" s="20">
        <v>45691</v>
      </c>
      <c r="M2413" s="21">
        <v>0.67</v>
      </c>
    </row>
    <row r="2414" spans="1:13" x14ac:dyDescent="0.2">
      <c r="A2414" t="s">
        <v>140</v>
      </c>
      <c r="B2414" t="s">
        <v>405</v>
      </c>
      <c r="C2414" t="s">
        <v>404</v>
      </c>
      <c r="D2414" t="s">
        <v>333</v>
      </c>
      <c r="E2414" t="s">
        <v>638</v>
      </c>
      <c r="F2414" s="2">
        <v>0.81</v>
      </c>
      <c r="G2414" s="2">
        <v>0.93</v>
      </c>
      <c r="H2414" s="2">
        <v>0.95</v>
      </c>
      <c r="I2414" s="2">
        <v>0.85</v>
      </c>
      <c r="J2414" s="2">
        <v>0.92</v>
      </c>
      <c r="K2414">
        <v>4</v>
      </c>
      <c r="L2414" s="20">
        <v>45661</v>
      </c>
      <c r="M2414" s="21">
        <v>0.25</v>
      </c>
    </row>
    <row r="2415" spans="1:13" x14ac:dyDescent="0.2">
      <c r="A2415" t="s">
        <v>141</v>
      </c>
      <c r="B2415" t="s">
        <v>410</v>
      </c>
      <c r="C2415" t="s">
        <v>404</v>
      </c>
      <c r="D2415" t="s">
        <v>333</v>
      </c>
      <c r="E2415" t="s">
        <v>638</v>
      </c>
      <c r="F2415" s="2">
        <v>0.13</v>
      </c>
      <c r="G2415" s="2">
        <v>0.53</v>
      </c>
      <c r="H2415" s="2">
        <v>1</v>
      </c>
      <c r="I2415" s="2">
        <v>1</v>
      </c>
      <c r="J2415" s="2">
        <v>1</v>
      </c>
      <c r="K2415">
        <v>0</v>
      </c>
      <c r="L2415" s="20"/>
    </row>
    <row r="2416" spans="1:13" x14ac:dyDescent="0.2">
      <c r="A2416" t="s">
        <v>142</v>
      </c>
      <c r="B2416" t="s">
        <v>405</v>
      </c>
      <c r="C2416" t="s">
        <v>407</v>
      </c>
      <c r="D2416" t="s">
        <v>340</v>
      </c>
      <c r="E2416" t="s">
        <v>638</v>
      </c>
      <c r="F2416" s="2">
        <v>0.96</v>
      </c>
      <c r="G2416" s="2">
        <v>1.0900000000000001</v>
      </c>
      <c r="H2416" s="2">
        <v>0.99</v>
      </c>
      <c r="I2416" s="2">
        <v>0.99</v>
      </c>
      <c r="J2416" s="2">
        <v>0.15</v>
      </c>
      <c r="K2416">
        <v>15</v>
      </c>
      <c r="L2416" s="20">
        <v>45661</v>
      </c>
      <c r="M2416" s="21">
        <v>0.25</v>
      </c>
    </row>
    <row r="2417" spans="1:13" x14ac:dyDescent="0.2">
      <c r="A2417" t="s">
        <v>143</v>
      </c>
      <c r="B2417" t="s">
        <v>410</v>
      </c>
      <c r="C2417" t="s">
        <v>404</v>
      </c>
      <c r="D2417" t="s">
        <v>333</v>
      </c>
      <c r="E2417" t="s">
        <v>638</v>
      </c>
      <c r="F2417" s="2">
        <v>0.48</v>
      </c>
      <c r="G2417" s="2">
        <v>1.1399999999999999</v>
      </c>
      <c r="H2417" s="2">
        <v>0.95</v>
      </c>
      <c r="I2417" s="2">
        <v>1</v>
      </c>
      <c r="J2417" s="2">
        <v>1</v>
      </c>
      <c r="K2417">
        <v>0</v>
      </c>
      <c r="L2417" s="20">
        <v>45659</v>
      </c>
      <c r="M2417" s="21">
        <v>0.5</v>
      </c>
    </row>
    <row r="2418" spans="1:13" x14ac:dyDescent="0.2">
      <c r="A2418" t="s">
        <v>144</v>
      </c>
      <c r="B2418" t="s">
        <v>410</v>
      </c>
      <c r="C2418" t="s">
        <v>407</v>
      </c>
      <c r="D2418" t="s">
        <v>333</v>
      </c>
      <c r="E2418" t="s">
        <v>638</v>
      </c>
      <c r="F2418" s="2">
        <v>0.63</v>
      </c>
      <c r="G2418" s="2">
        <v>1.04</v>
      </c>
      <c r="H2418" s="2">
        <v>1</v>
      </c>
      <c r="I2418" s="2">
        <v>1</v>
      </c>
      <c r="J2418" s="2">
        <v>0.93</v>
      </c>
      <c r="K2418">
        <v>1</v>
      </c>
      <c r="L2418" s="20">
        <v>45658</v>
      </c>
      <c r="M2418" s="21">
        <v>1</v>
      </c>
    </row>
    <row r="2419" spans="1:13" x14ac:dyDescent="0.2">
      <c r="A2419" t="s">
        <v>145</v>
      </c>
      <c r="B2419" t="s">
        <v>409</v>
      </c>
      <c r="C2419" t="s">
        <v>407</v>
      </c>
      <c r="D2419" t="s">
        <v>99</v>
      </c>
      <c r="E2419" t="s">
        <v>638</v>
      </c>
      <c r="F2419" s="2">
        <v>0.55000000000000004</v>
      </c>
      <c r="G2419" s="2">
        <v>0.95</v>
      </c>
      <c r="H2419" s="2">
        <v>1</v>
      </c>
      <c r="I2419" s="2">
        <v>1</v>
      </c>
      <c r="J2419" s="2">
        <v>1</v>
      </c>
      <c r="K2419">
        <v>6</v>
      </c>
      <c r="L2419" s="20"/>
    </row>
    <row r="2420" spans="1:13" x14ac:dyDescent="0.2">
      <c r="A2420" t="s">
        <v>146</v>
      </c>
      <c r="B2420" t="s">
        <v>410</v>
      </c>
      <c r="C2420" t="s">
        <v>404</v>
      </c>
      <c r="D2420" t="s">
        <v>340</v>
      </c>
      <c r="E2420" t="s">
        <v>638</v>
      </c>
      <c r="F2420" s="2">
        <v>0.63</v>
      </c>
      <c r="G2420" s="2">
        <v>1.02</v>
      </c>
      <c r="H2420" s="2">
        <v>1</v>
      </c>
      <c r="I2420" s="2">
        <v>0.95</v>
      </c>
      <c r="J2420" s="2">
        <v>0.86</v>
      </c>
      <c r="K2420">
        <v>0</v>
      </c>
      <c r="L2420" s="20">
        <v>45659</v>
      </c>
      <c r="M2420" s="21">
        <v>0.5</v>
      </c>
    </row>
    <row r="2421" spans="1:13" x14ac:dyDescent="0.2">
      <c r="A2421" t="s">
        <v>147</v>
      </c>
      <c r="B2421" t="s">
        <v>409</v>
      </c>
      <c r="C2421" t="s">
        <v>404</v>
      </c>
      <c r="D2421" t="s">
        <v>339</v>
      </c>
      <c r="E2421" t="s">
        <v>638</v>
      </c>
      <c r="F2421" s="2">
        <v>0.42</v>
      </c>
      <c r="G2421" s="2">
        <v>1.1499999999999999</v>
      </c>
      <c r="H2421" s="2">
        <v>1</v>
      </c>
      <c r="I2421" s="2">
        <v>1</v>
      </c>
      <c r="J2421" s="2">
        <v>1</v>
      </c>
      <c r="K2421">
        <v>2</v>
      </c>
      <c r="L2421" s="20">
        <v>45659</v>
      </c>
      <c r="M2421" s="21">
        <v>0.5</v>
      </c>
    </row>
    <row r="2422" spans="1:13" x14ac:dyDescent="0.2">
      <c r="A2422" t="s">
        <v>148</v>
      </c>
      <c r="B2422" t="s">
        <v>405</v>
      </c>
      <c r="C2422" t="s">
        <v>404</v>
      </c>
      <c r="D2422" t="s">
        <v>339</v>
      </c>
      <c r="E2422" t="s">
        <v>638</v>
      </c>
      <c r="F2422" s="2">
        <v>1.08</v>
      </c>
      <c r="G2422" s="2">
        <v>1</v>
      </c>
      <c r="H2422" s="2">
        <v>0.99</v>
      </c>
      <c r="I2422" s="2">
        <v>0.93</v>
      </c>
      <c r="J2422" s="2">
        <v>1</v>
      </c>
      <c r="K2422">
        <v>6</v>
      </c>
      <c r="L2422" s="20" t="s">
        <v>219</v>
      </c>
      <c r="M2422" s="21">
        <v>0</v>
      </c>
    </row>
    <row r="2423" spans="1:13" x14ac:dyDescent="0.2">
      <c r="A2423" t="s">
        <v>149</v>
      </c>
      <c r="B2423" t="s">
        <v>410</v>
      </c>
      <c r="C2423" t="s">
        <v>407</v>
      </c>
      <c r="D2423" t="s">
        <v>340</v>
      </c>
      <c r="E2423" t="s">
        <v>638</v>
      </c>
      <c r="F2423" s="2">
        <v>0.56000000000000005</v>
      </c>
      <c r="G2423" s="2">
        <v>1.1599999999999999</v>
      </c>
      <c r="H2423" s="2">
        <v>0.94</v>
      </c>
      <c r="I2423" s="2">
        <v>0.73</v>
      </c>
      <c r="J2423" s="2">
        <v>0.92</v>
      </c>
      <c r="K2423">
        <v>0</v>
      </c>
      <c r="L2423" s="20" t="s">
        <v>266</v>
      </c>
      <c r="M2423" s="21">
        <v>0</v>
      </c>
    </row>
    <row r="2424" spans="1:13" x14ac:dyDescent="0.2">
      <c r="A2424" t="s">
        <v>150</v>
      </c>
      <c r="B2424" t="s">
        <v>405</v>
      </c>
      <c r="C2424" t="s">
        <v>404</v>
      </c>
      <c r="D2424" t="s">
        <v>339</v>
      </c>
      <c r="E2424" t="s">
        <v>638</v>
      </c>
      <c r="F2424" s="2">
        <v>0.65</v>
      </c>
      <c r="G2424" s="2">
        <v>1.34</v>
      </c>
      <c r="H2424" s="2">
        <v>0.97</v>
      </c>
      <c r="I2424" s="2">
        <v>0.86</v>
      </c>
      <c r="J2424" s="2">
        <v>1</v>
      </c>
      <c r="K2424">
        <v>0</v>
      </c>
      <c r="L2424" s="20">
        <v>45691</v>
      </c>
      <c r="M2424" s="21">
        <v>0.67</v>
      </c>
    </row>
    <row r="2425" spans="1:13" x14ac:dyDescent="0.2">
      <c r="A2425" t="s">
        <v>295</v>
      </c>
      <c r="B2425" t="s">
        <v>405</v>
      </c>
      <c r="C2425" t="s">
        <v>412</v>
      </c>
      <c r="D2425" t="s">
        <v>333</v>
      </c>
      <c r="E2425" t="s">
        <v>638</v>
      </c>
      <c r="F2425" s="2">
        <v>0.89</v>
      </c>
      <c r="G2425" s="2">
        <v>1.05</v>
      </c>
      <c r="H2425" s="2">
        <v>0.99</v>
      </c>
      <c r="I2425" s="2">
        <v>0.98</v>
      </c>
      <c r="J2425" s="2">
        <v>0.36</v>
      </c>
      <c r="K2425">
        <v>12</v>
      </c>
      <c r="L2425" s="20">
        <v>45783</v>
      </c>
      <c r="M2425" s="21">
        <v>0.83</v>
      </c>
    </row>
    <row r="2426" spans="1:13" x14ac:dyDescent="0.2">
      <c r="A2426" t="s">
        <v>152</v>
      </c>
      <c r="B2426" t="s">
        <v>409</v>
      </c>
      <c r="C2426" t="s">
        <v>407</v>
      </c>
      <c r="D2426" t="s">
        <v>340</v>
      </c>
      <c r="E2426" t="s">
        <v>638</v>
      </c>
      <c r="F2426" s="2">
        <v>0.67</v>
      </c>
      <c r="G2426" s="2">
        <v>1.49</v>
      </c>
      <c r="H2426" s="2">
        <v>1</v>
      </c>
      <c r="I2426" s="2">
        <v>0.96</v>
      </c>
      <c r="J2426" s="2">
        <v>0.95</v>
      </c>
      <c r="K2426">
        <v>3</v>
      </c>
      <c r="L2426" s="20">
        <v>45660</v>
      </c>
      <c r="M2426" s="21">
        <v>0.33333333333333331</v>
      </c>
    </row>
    <row r="2427" spans="1:13" x14ac:dyDescent="0.2">
      <c r="A2427" t="s">
        <v>153</v>
      </c>
      <c r="B2427" t="s">
        <v>410</v>
      </c>
      <c r="C2427" t="s">
        <v>407</v>
      </c>
      <c r="D2427" t="s">
        <v>340</v>
      </c>
      <c r="E2427" t="s">
        <v>638</v>
      </c>
      <c r="F2427" s="2">
        <v>0.72</v>
      </c>
      <c r="G2427" s="2">
        <v>1.29</v>
      </c>
      <c r="H2427" s="2">
        <v>0.99</v>
      </c>
      <c r="I2427" s="2">
        <v>0.96</v>
      </c>
      <c r="J2427" s="2">
        <v>0.76</v>
      </c>
      <c r="K2427">
        <v>0</v>
      </c>
      <c r="L2427" s="20" t="s">
        <v>266</v>
      </c>
      <c r="M2427" s="21">
        <v>0</v>
      </c>
    </row>
    <row r="2428" spans="1:13" x14ac:dyDescent="0.2">
      <c r="A2428" t="s">
        <v>299</v>
      </c>
      <c r="B2428" t="s">
        <v>405</v>
      </c>
      <c r="C2428" t="s">
        <v>407</v>
      </c>
      <c r="D2428" t="s">
        <v>339</v>
      </c>
      <c r="E2428" t="s">
        <v>638</v>
      </c>
      <c r="F2428" s="2">
        <v>1.1399999999999999</v>
      </c>
      <c r="G2428" s="2">
        <v>0.97</v>
      </c>
      <c r="H2428" s="2">
        <v>1</v>
      </c>
      <c r="I2428" s="2">
        <v>0.93</v>
      </c>
      <c r="J2428" s="2">
        <v>0.91</v>
      </c>
      <c r="K2428">
        <v>16</v>
      </c>
      <c r="L2428" s="20">
        <v>45692</v>
      </c>
      <c r="M2428" s="21">
        <v>0.5</v>
      </c>
    </row>
    <row r="2429" spans="1:13" x14ac:dyDescent="0.2">
      <c r="A2429" t="s">
        <v>155</v>
      </c>
      <c r="B2429" t="s">
        <v>410</v>
      </c>
      <c r="C2429" t="s">
        <v>407</v>
      </c>
      <c r="D2429" t="s">
        <v>342</v>
      </c>
      <c r="E2429" t="s">
        <v>638</v>
      </c>
      <c r="F2429" s="2">
        <v>0.81</v>
      </c>
      <c r="G2429" s="2">
        <v>1.1499999999999999</v>
      </c>
      <c r="H2429" s="2">
        <v>0.99</v>
      </c>
      <c r="I2429" s="2">
        <v>0.98</v>
      </c>
      <c r="J2429" s="2">
        <v>0.9</v>
      </c>
      <c r="K2429">
        <v>2</v>
      </c>
      <c r="L2429" s="20"/>
    </row>
    <row r="2430" spans="1:13" x14ac:dyDescent="0.2">
      <c r="A2430" t="s">
        <v>300</v>
      </c>
      <c r="B2430" t="e">
        <v>#N/A</v>
      </c>
      <c r="C2430" t="e">
        <v>#N/A</v>
      </c>
      <c r="D2430" t="e">
        <v>#N/A</v>
      </c>
      <c r="E2430" t="s">
        <v>638</v>
      </c>
      <c r="F2430" s="2">
        <v>0.4</v>
      </c>
      <c r="G2430" s="2">
        <v>0.83</v>
      </c>
      <c r="H2430" s="2">
        <v>0.98</v>
      </c>
      <c r="I2430" s="2">
        <v>0.96</v>
      </c>
      <c r="J2430" s="2">
        <v>0</v>
      </c>
      <c r="K2430">
        <v>0</v>
      </c>
      <c r="L2430" s="20">
        <v>45974</v>
      </c>
      <c r="M2430" s="21">
        <v>0.85</v>
      </c>
    </row>
    <row r="2431" spans="1:13" x14ac:dyDescent="0.2">
      <c r="A2431" t="s">
        <v>301</v>
      </c>
      <c r="B2431" t="s">
        <v>405</v>
      </c>
      <c r="C2431" t="s">
        <v>407</v>
      </c>
      <c r="D2431" t="s">
        <v>342</v>
      </c>
      <c r="E2431" t="s">
        <v>638</v>
      </c>
      <c r="F2431" s="2">
        <v>1.1599999999999999</v>
      </c>
      <c r="G2431" s="2">
        <v>1.33</v>
      </c>
      <c r="H2431" s="2">
        <v>1</v>
      </c>
      <c r="I2431" s="2">
        <v>0.97</v>
      </c>
      <c r="J2431" s="2">
        <v>0.82</v>
      </c>
      <c r="K2431">
        <v>16</v>
      </c>
      <c r="L2431" s="20">
        <v>45883</v>
      </c>
      <c r="M2431" s="21">
        <v>0.56999999999999995</v>
      </c>
    </row>
    <row r="2432" spans="1:13" x14ac:dyDescent="0.2">
      <c r="A2432" t="s">
        <v>302</v>
      </c>
      <c r="B2432" t="s">
        <v>405</v>
      </c>
      <c r="C2432" t="s">
        <v>407</v>
      </c>
      <c r="D2432" t="s">
        <v>339</v>
      </c>
      <c r="E2432" t="s">
        <v>638</v>
      </c>
      <c r="F2432" s="2">
        <v>1.02</v>
      </c>
      <c r="G2432" s="2">
        <v>1.1000000000000001</v>
      </c>
      <c r="H2432" s="2">
        <v>0.94</v>
      </c>
      <c r="I2432" s="2">
        <v>0.98</v>
      </c>
      <c r="J2432" s="2">
        <v>0.46</v>
      </c>
      <c r="K2432">
        <v>12</v>
      </c>
      <c r="L2432" s="20">
        <v>45662</v>
      </c>
      <c r="M2432" s="21">
        <v>0.2</v>
      </c>
    </row>
    <row r="2433" spans="1:13" x14ac:dyDescent="0.2">
      <c r="A2433" t="s">
        <v>157</v>
      </c>
      <c r="B2433" t="s">
        <v>405</v>
      </c>
      <c r="C2433" t="s">
        <v>404</v>
      </c>
      <c r="D2433" t="s">
        <v>342</v>
      </c>
      <c r="E2433" t="s">
        <v>638</v>
      </c>
      <c r="F2433" s="2">
        <v>1.1100000000000001</v>
      </c>
      <c r="G2433" s="2">
        <v>1.02</v>
      </c>
      <c r="H2433" s="2">
        <v>0.92</v>
      </c>
      <c r="I2433" s="2">
        <v>0.98</v>
      </c>
      <c r="J2433" s="2">
        <v>0.71</v>
      </c>
      <c r="K2433">
        <v>9</v>
      </c>
      <c r="L2433" s="20">
        <v>45662</v>
      </c>
      <c r="M2433" s="21">
        <v>0.2</v>
      </c>
    </row>
    <row r="2434" spans="1:13" x14ac:dyDescent="0.2">
      <c r="A2434" t="s">
        <v>158</v>
      </c>
      <c r="B2434" t="s">
        <v>405</v>
      </c>
      <c r="C2434" t="s">
        <v>404</v>
      </c>
      <c r="D2434" t="s">
        <v>333</v>
      </c>
      <c r="E2434" t="s">
        <v>638</v>
      </c>
      <c r="F2434" s="2">
        <v>0.81</v>
      </c>
      <c r="G2434" s="2">
        <v>0.69</v>
      </c>
      <c r="H2434" s="2">
        <v>1</v>
      </c>
      <c r="I2434" s="2">
        <v>0.96</v>
      </c>
      <c r="J2434" s="2">
        <v>0.56000000000000005</v>
      </c>
      <c r="K2434">
        <v>5</v>
      </c>
      <c r="L2434" s="20">
        <v>45691</v>
      </c>
      <c r="M2434" s="21">
        <v>0.67</v>
      </c>
    </row>
    <row r="2435" spans="1:13" x14ac:dyDescent="0.2">
      <c r="A2435" t="s">
        <v>160</v>
      </c>
      <c r="B2435" t="s">
        <v>410</v>
      </c>
      <c r="C2435" t="s">
        <v>404</v>
      </c>
      <c r="D2435" t="s">
        <v>339</v>
      </c>
      <c r="E2435" t="s">
        <v>638</v>
      </c>
      <c r="F2435" s="2">
        <v>0.87</v>
      </c>
      <c r="G2435" s="2">
        <v>1.02</v>
      </c>
      <c r="H2435" s="2">
        <v>0.85</v>
      </c>
      <c r="I2435" s="2">
        <v>0.98</v>
      </c>
      <c r="J2435" s="2">
        <v>1</v>
      </c>
      <c r="K2435">
        <v>0</v>
      </c>
      <c r="L2435" s="20"/>
    </row>
    <row r="2436" spans="1:13" x14ac:dyDescent="0.2">
      <c r="A2436" t="s">
        <v>161</v>
      </c>
      <c r="B2436" t="s">
        <v>410</v>
      </c>
      <c r="C2436" t="s">
        <v>407</v>
      </c>
      <c r="D2436" t="s">
        <v>340</v>
      </c>
      <c r="E2436" t="s">
        <v>638</v>
      </c>
      <c r="F2436" s="2">
        <v>0.48</v>
      </c>
      <c r="G2436" s="2">
        <v>1.02</v>
      </c>
      <c r="H2436" s="2">
        <v>1</v>
      </c>
      <c r="I2436" s="2">
        <v>1</v>
      </c>
      <c r="J2436" s="2">
        <v>0.73</v>
      </c>
      <c r="K2436">
        <v>1</v>
      </c>
      <c r="L2436" s="20">
        <v>45751</v>
      </c>
      <c r="M2436" s="21">
        <v>1</v>
      </c>
    </row>
    <row r="2437" spans="1:13" x14ac:dyDescent="0.2">
      <c r="A2437" t="s">
        <v>303</v>
      </c>
      <c r="B2437" t="s">
        <v>405</v>
      </c>
      <c r="C2437" t="s">
        <v>412</v>
      </c>
      <c r="D2437" t="s">
        <v>340</v>
      </c>
      <c r="E2437" t="s">
        <v>638</v>
      </c>
      <c r="F2437" s="2">
        <v>0.77</v>
      </c>
      <c r="G2437" s="2">
        <v>1.1599999999999999</v>
      </c>
      <c r="H2437" s="2">
        <v>1</v>
      </c>
      <c r="I2437" s="2">
        <v>0.77</v>
      </c>
      <c r="J2437" s="2">
        <v>0</v>
      </c>
      <c r="K2437">
        <v>0</v>
      </c>
      <c r="L2437" s="20">
        <v>45705</v>
      </c>
      <c r="M2437" s="21">
        <v>0.12</v>
      </c>
    </row>
    <row r="2438" spans="1:13" x14ac:dyDescent="0.2">
      <c r="A2438" t="s">
        <v>163</v>
      </c>
      <c r="B2438" t="s">
        <v>409</v>
      </c>
      <c r="C2438" t="s">
        <v>407</v>
      </c>
      <c r="D2438" t="s">
        <v>99</v>
      </c>
      <c r="E2438" t="s">
        <v>638</v>
      </c>
      <c r="F2438" s="2">
        <v>0.8</v>
      </c>
      <c r="G2438" s="2">
        <v>1.34</v>
      </c>
      <c r="H2438" s="2">
        <v>0.5</v>
      </c>
      <c r="I2438" s="2">
        <v>0.98</v>
      </c>
      <c r="J2438" s="2">
        <v>0.4</v>
      </c>
      <c r="K2438">
        <v>2</v>
      </c>
      <c r="L2438" s="20" t="s">
        <v>266</v>
      </c>
      <c r="M2438" s="21">
        <v>0</v>
      </c>
    </row>
    <row r="2439" spans="1:13" x14ac:dyDescent="0.2">
      <c r="A2439" t="s">
        <v>164</v>
      </c>
      <c r="B2439" t="s">
        <v>405</v>
      </c>
      <c r="C2439" t="s">
        <v>407</v>
      </c>
      <c r="D2439" t="s">
        <v>333</v>
      </c>
      <c r="E2439" t="s">
        <v>638</v>
      </c>
      <c r="F2439" s="2">
        <v>1.03</v>
      </c>
      <c r="G2439" s="2">
        <v>1</v>
      </c>
      <c r="H2439" s="2">
        <v>0.94</v>
      </c>
      <c r="I2439" s="2">
        <v>0.83</v>
      </c>
      <c r="J2439" s="2">
        <v>0.9</v>
      </c>
      <c r="K2439">
        <v>5</v>
      </c>
      <c r="L2439" s="20" t="s">
        <v>306</v>
      </c>
      <c r="M2439" s="21">
        <v>0</v>
      </c>
    </row>
    <row r="2440" spans="1:13" x14ac:dyDescent="0.2">
      <c r="A2440" t="s">
        <v>165</v>
      </c>
      <c r="B2440" t="s">
        <v>405</v>
      </c>
      <c r="C2440" t="s">
        <v>404</v>
      </c>
      <c r="D2440" t="s">
        <v>339</v>
      </c>
      <c r="E2440" t="s">
        <v>638</v>
      </c>
      <c r="F2440" s="2">
        <v>1.0900000000000001</v>
      </c>
      <c r="G2440" s="2">
        <v>1.1000000000000001</v>
      </c>
      <c r="H2440" s="2">
        <v>0.96</v>
      </c>
      <c r="I2440" s="2">
        <v>0.95</v>
      </c>
      <c r="J2440" s="2">
        <v>0.96</v>
      </c>
      <c r="K2440">
        <v>14</v>
      </c>
      <c r="L2440" s="20"/>
    </row>
    <row r="2441" spans="1:13" x14ac:dyDescent="0.2">
      <c r="A2441" t="s">
        <v>166</v>
      </c>
      <c r="B2441" t="s">
        <v>410</v>
      </c>
      <c r="C2441" t="s">
        <v>404</v>
      </c>
      <c r="D2441" t="s">
        <v>333</v>
      </c>
      <c r="E2441" t="s">
        <v>638</v>
      </c>
      <c r="F2441" s="2">
        <v>0.39</v>
      </c>
      <c r="G2441" s="2">
        <v>1.75</v>
      </c>
      <c r="H2441" s="2">
        <v>1</v>
      </c>
      <c r="I2441" s="2">
        <v>1</v>
      </c>
      <c r="J2441" s="2">
        <v>0.25</v>
      </c>
      <c r="K2441">
        <v>2</v>
      </c>
      <c r="L2441" s="20">
        <v>45658</v>
      </c>
      <c r="M2441" s="21">
        <v>1</v>
      </c>
    </row>
    <row r="2442" spans="1:13" x14ac:dyDescent="0.2">
      <c r="A2442" t="s">
        <v>167</v>
      </c>
      <c r="B2442" t="s">
        <v>405</v>
      </c>
      <c r="C2442" t="s">
        <v>404</v>
      </c>
      <c r="D2442" t="s">
        <v>339</v>
      </c>
      <c r="E2442" t="s">
        <v>638</v>
      </c>
      <c r="F2442" s="2">
        <v>0.8</v>
      </c>
      <c r="G2442" s="2">
        <v>1.01</v>
      </c>
      <c r="H2442" s="2">
        <v>0.99</v>
      </c>
      <c r="I2442" s="2">
        <v>0.98</v>
      </c>
      <c r="J2442" s="2">
        <v>0.88</v>
      </c>
      <c r="K2442">
        <v>5</v>
      </c>
      <c r="L2442" s="20">
        <v>45666</v>
      </c>
      <c r="M2442" s="21">
        <v>0.11</v>
      </c>
    </row>
    <row r="2443" spans="1:13" x14ac:dyDescent="0.2">
      <c r="A2443" t="s">
        <v>168</v>
      </c>
      <c r="B2443" t="s">
        <v>405</v>
      </c>
      <c r="C2443" t="s">
        <v>404</v>
      </c>
      <c r="D2443" t="s">
        <v>342</v>
      </c>
      <c r="E2443" t="s">
        <v>638</v>
      </c>
      <c r="F2443" s="2">
        <v>0.83</v>
      </c>
      <c r="G2443" s="2">
        <v>0.86</v>
      </c>
      <c r="H2443" s="2">
        <v>1</v>
      </c>
      <c r="I2443" s="2">
        <v>1</v>
      </c>
      <c r="J2443" s="2">
        <v>0.93</v>
      </c>
      <c r="K2443">
        <v>8</v>
      </c>
      <c r="L2443" s="20">
        <v>45691</v>
      </c>
      <c r="M2443" s="21">
        <v>0.67</v>
      </c>
    </row>
    <row r="2444" spans="1:13" x14ac:dyDescent="0.2">
      <c r="A2444" t="s">
        <v>304</v>
      </c>
      <c r="B2444" t="s">
        <v>405</v>
      </c>
      <c r="C2444" t="s">
        <v>407</v>
      </c>
      <c r="D2444" t="s">
        <v>342</v>
      </c>
      <c r="E2444" t="s">
        <v>638</v>
      </c>
      <c r="F2444" s="2">
        <v>0.92</v>
      </c>
      <c r="G2444" s="2">
        <v>0.93</v>
      </c>
      <c r="H2444" s="2">
        <v>0.89</v>
      </c>
      <c r="I2444" s="2">
        <v>0.99</v>
      </c>
      <c r="J2444" s="2">
        <v>0.5</v>
      </c>
      <c r="K2444">
        <v>15</v>
      </c>
      <c r="L2444" s="20">
        <v>45722</v>
      </c>
      <c r="M2444" s="21">
        <v>0.5</v>
      </c>
    </row>
    <row r="2445" spans="1:13" x14ac:dyDescent="0.2">
      <c r="A2445" t="s">
        <v>170</v>
      </c>
      <c r="B2445" t="s">
        <v>405</v>
      </c>
      <c r="C2445" t="s">
        <v>407</v>
      </c>
      <c r="D2445" t="s">
        <v>339</v>
      </c>
      <c r="E2445" t="s">
        <v>638</v>
      </c>
      <c r="F2445" s="2">
        <v>0.74</v>
      </c>
      <c r="G2445" s="2">
        <v>1.1299999999999999</v>
      </c>
      <c r="H2445" s="2">
        <v>0.96</v>
      </c>
      <c r="I2445" s="2">
        <v>0.92</v>
      </c>
      <c r="J2445" s="2">
        <v>1</v>
      </c>
      <c r="K2445">
        <v>11</v>
      </c>
      <c r="L2445" s="20">
        <v>45690</v>
      </c>
      <c r="M2445" s="21">
        <v>1</v>
      </c>
    </row>
    <row r="2446" spans="1:13" x14ac:dyDescent="0.2">
      <c r="A2446" t="s">
        <v>305</v>
      </c>
      <c r="B2446" t="s">
        <v>405</v>
      </c>
      <c r="C2446" t="s">
        <v>407</v>
      </c>
      <c r="D2446" t="s">
        <v>340</v>
      </c>
      <c r="E2446" t="s">
        <v>638</v>
      </c>
      <c r="F2446" s="2">
        <v>0.9</v>
      </c>
      <c r="G2446" s="2">
        <v>0.93</v>
      </c>
      <c r="H2446" s="2">
        <v>0.99</v>
      </c>
      <c r="I2446" s="2">
        <v>0.98</v>
      </c>
      <c r="J2446" s="2">
        <v>0.67</v>
      </c>
      <c r="K2446">
        <v>13</v>
      </c>
      <c r="L2446" s="20">
        <v>45664</v>
      </c>
      <c r="M2446" s="21">
        <v>0.14000000000000001</v>
      </c>
    </row>
    <row r="2447" spans="1:13" x14ac:dyDescent="0.2">
      <c r="A2447" t="s">
        <v>171</v>
      </c>
      <c r="B2447" t="s">
        <v>405</v>
      </c>
      <c r="C2447" t="s">
        <v>404</v>
      </c>
      <c r="D2447" t="s">
        <v>333</v>
      </c>
      <c r="E2447" t="s">
        <v>638</v>
      </c>
      <c r="F2447" s="2">
        <v>1.07</v>
      </c>
      <c r="G2447" s="2">
        <v>1.23</v>
      </c>
      <c r="H2447" s="2">
        <v>0.94</v>
      </c>
      <c r="I2447" s="2">
        <v>1</v>
      </c>
      <c r="J2447" s="2">
        <v>0.28999999999999998</v>
      </c>
      <c r="K2447">
        <v>3</v>
      </c>
      <c r="L2447" s="20" t="s">
        <v>266</v>
      </c>
      <c r="M2447" s="21">
        <v>0</v>
      </c>
    </row>
    <row r="2448" spans="1:13" x14ac:dyDescent="0.2">
      <c r="A2448" t="s">
        <v>308</v>
      </c>
      <c r="B2448" t="s">
        <v>405</v>
      </c>
      <c r="C2448" t="s">
        <v>407</v>
      </c>
      <c r="D2448" t="s">
        <v>333</v>
      </c>
      <c r="E2448" t="s">
        <v>638</v>
      </c>
      <c r="F2448" s="2">
        <v>0.88</v>
      </c>
      <c r="G2448" s="2">
        <v>1.1000000000000001</v>
      </c>
      <c r="H2448" s="2">
        <v>0.96</v>
      </c>
      <c r="I2448" s="2">
        <v>0.92</v>
      </c>
      <c r="J2448" s="2">
        <v>0.41</v>
      </c>
      <c r="K2448">
        <v>9</v>
      </c>
      <c r="L2448" s="20">
        <v>45877</v>
      </c>
      <c r="M2448" s="21">
        <v>1</v>
      </c>
    </row>
    <row r="2449" spans="1:13" x14ac:dyDescent="0.2">
      <c r="A2449" t="s">
        <v>310</v>
      </c>
      <c r="B2449" t="s">
        <v>405</v>
      </c>
      <c r="C2449" t="s">
        <v>407</v>
      </c>
      <c r="D2449" t="s">
        <v>339</v>
      </c>
      <c r="E2449" t="s">
        <v>638</v>
      </c>
      <c r="F2449" s="2">
        <v>0.99</v>
      </c>
      <c r="G2449" s="2">
        <v>1.1200000000000001</v>
      </c>
      <c r="H2449" s="2">
        <v>0.98</v>
      </c>
      <c r="I2449" s="2">
        <v>1</v>
      </c>
      <c r="J2449" s="2">
        <v>0.73</v>
      </c>
      <c r="K2449">
        <v>6</v>
      </c>
      <c r="L2449" s="20">
        <v>45699</v>
      </c>
      <c r="M2449" s="21">
        <v>0.18</v>
      </c>
    </row>
    <row r="2450" spans="1:13" x14ac:dyDescent="0.2">
      <c r="A2450" t="s">
        <v>312</v>
      </c>
      <c r="B2450" t="s">
        <v>405</v>
      </c>
      <c r="C2450" t="s">
        <v>407</v>
      </c>
      <c r="D2450" t="s">
        <v>339</v>
      </c>
      <c r="E2450" t="s">
        <v>638</v>
      </c>
      <c r="F2450" s="2">
        <v>1.01</v>
      </c>
      <c r="G2450" s="2">
        <v>0.99</v>
      </c>
      <c r="H2450" s="2">
        <v>0.99</v>
      </c>
      <c r="I2450" s="2">
        <v>0.97</v>
      </c>
      <c r="J2450" s="2">
        <v>0.33</v>
      </c>
      <c r="K2450">
        <v>9</v>
      </c>
      <c r="L2450" s="20" t="s">
        <v>639</v>
      </c>
      <c r="M2450" s="21">
        <v>0</v>
      </c>
    </row>
    <row r="2451" spans="1:13" x14ac:dyDescent="0.2">
      <c r="A2451" t="s">
        <v>175</v>
      </c>
      <c r="B2451" t="s">
        <v>410</v>
      </c>
      <c r="C2451" t="s">
        <v>404</v>
      </c>
      <c r="D2451" t="s">
        <v>333</v>
      </c>
      <c r="E2451" t="s">
        <v>638</v>
      </c>
      <c r="F2451" s="2">
        <v>0.67</v>
      </c>
      <c r="G2451" s="2">
        <v>1.05</v>
      </c>
      <c r="H2451" s="2">
        <v>0.81</v>
      </c>
      <c r="I2451" s="2">
        <v>0.87</v>
      </c>
      <c r="J2451" s="2">
        <v>0.86</v>
      </c>
      <c r="K2451">
        <v>1</v>
      </c>
      <c r="L2451" s="20"/>
    </row>
    <row r="2452" spans="1:13" x14ac:dyDescent="0.2">
      <c r="A2452" t="s">
        <v>176</v>
      </c>
      <c r="B2452" t="s">
        <v>409</v>
      </c>
      <c r="C2452" t="s">
        <v>407</v>
      </c>
      <c r="D2452" t="s">
        <v>340</v>
      </c>
      <c r="E2452" t="s">
        <v>638</v>
      </c>
      <c r="F2452" s="2">
        <v>0.81</v>
      </c>
      <c r="G2452" s="2">
        <v>1.21</v>
      </c>
      <c r="H2452" s="2">
        <v>1</v>
      </c>
      <c r="I2452" s="2">
        <v>1</v>
      </c>
      <c r="J2452" s="2">
        <v>0.91</v>
      </c>
      <c r="K2452">
        <v>1</v>
      </c>
      <c r="L2452" s="20">
        <v>45690</v>
      </c>
      <c r="M2452" s="21">
        <v>1</v>
      </c>
    </row>
    <row r="2453" spans="1:13" x14ac:dyDescent="0.2">
      <c r="A2453" t="s">
        <v>313</v>
      </c>
      <c r="B2453" t="s">
        <v>405</v>
      </c>
      <c r="C2453" t="s">
        <v>407</v>
      </c>
      <c r="D2453" t="s">
        <v>342</v>
      </c>
      <c r="E2453" t="s">
        <v>638</v>
      </c>
      <c r="F2453" s="2">
        <v>0.93</v>
      </c>
      <c r="G2453" s="2">
        <v>0.87</v>
      </c>
      <c r="H2453" s="2">
        <v>0.96</v>
      </c>
      <c r="I2453" s="2">
        <v>0.97</v>
      </c>
      <c r="J2453" s="2">
        <v>0.83</v>
      </c>
      <c r="K2453">
        <v>11</v>
      </c>
      <c r="L2453" s="20">
        <v>45659</v>
      </c>
      <c r="M2453" s="21">
        <v>0.5</v>
      </c>
    </row>
    <row r="2454" spans="1:13" x14ac:dyDescent="0.2">
      <c r="A2454" t="s">
        <v>314</v>
      </c>
      <c r="B2454" t="s">
        <v>405</v>
      </c>
      <c r="C2454" t="s">
        <v>407</v>
      </c>
      <c r="D2454" t="s">
        <v>340</v>
      </c>
      <c r="E2454" t="s">
        <v>638</v>
      </c>
      <c r="F2454" s="2">
        <v>0.68</v>
      </c>
      <c r="G2454" s="2">
        <v>0.78</v>
      </c>
      <c r="H2454" s="2">
        <v>0.99</v>
      </c>
      <c r="I2454" s="2">
        <v>1</v>
      </c>
      <c r="J2454" s="2">
        <v>0.65</v>
      </c>
      <c r="K2454">
        <v>5</v>
      </c>
      <c r="L2454" s="20">
        <v>45719</v>
      </c>
      <c r="M2454" s="21">
        <v>1</v>
      </c>
    </row>
    <row r="2455" spans="1:13" x14ac:dyDescent="0.2">
      <c r="A2455" t="s">
        <v>179</v>
      </c>
      <c r="B2455" t="s">
        <v>405</v>
      </c>
      <c r="C2455" t="s">
        <v>404</v>
      </c>
      <c r="D2455" t="s">
        <v>339</v>
      </c>
      <c r="E2455" t="s">
        <v>638</v>
      </c>
      <c r="F2455" s="2">
        <v>0.99</v>
      </c>
      <c r="G2455" s="2">
        <v>1.04</v>
      </c>
      <c r="H2455" s="2">
        <v>0.98</v>
      </c>
      <c r="I2455" s="2">
        <v>1</v>
      </c>
      <c r="J2455" s="2">
        <v>0.67</v>
      </c>
      <c r="K2455">
        <v>2</v>
      </c>
      <c r="L2455" s="20">
        <v>45661</v>
      </c>
      <c r="M2455" s="21">
        <v>0.25</v>
      </c>
    </row>
    <row r="2456" spans="1:13" x14ac:dyDescent="0.2">
      <c r="A2456" t="s">
        <v>180</v>
      </c>
      <c r="B2456" t="s">
        <v>409</v>
      </c>
      <c r="C2456" t="s">
        <v>404</v>
      </c>
      <c r="D2456" t="s">
        <v>80</v>
      </c>
      <c r="E2456" t="s">
        <v>638</v>
      </c>
      <c r="F2456" s="2">
        <v>0.65</v>
      </c>
      <c r="G2456" s="2">
        <v>1.3</v>
      </c>
      <c r="H2456" s="2">
        <v>0.97</v>
      </c>
      <c r="I2456" s="2">
        <v>0.73</v>
      </c>
      <c r="J2456" s="2">
        <v>1</v>
      </c>
      <c r="K2456">
        <v>3</v>
      </c>
      <c r="L2456" s="20">
        <v>45658</v>
      </c>
      <c r="M2456" s="21">
        <v>1</v>
      </c>
    </row>
    <row r="2457" spans="1:13" x14ac:dyDescent="0.2">
      <c r="A2457" t="s">
        <v>181</v>
      </c>
      <c r="B2457" t="s">
        <v>405</v>
      </c>
      <c r="C2457" t="s">
        <v>407</v>
      </c>
      <c r="D2457" t="s">
        <v>339</v>
      </c>
      <c r="E2457" t="s">
        <v>638</v>
      </c>
      <c r="F2457" s="2">
        <v>0.88</v>
      </c>
      <c r="G2457" s="2">
        <v>0.98</v>
      </c>
      <c r="H2457" s="2">
        <v>0.95</v>
      </c>
      <c r="I2457" s="2">
        <v>0.98</v>
      </c>
      <c r="J2457" s="2">
        <v>0.5</v>
      </c>
      <c r="K2457">
        <v>17</v>
      </c>
      <c r="L2457" s="20">
        <v>45697</v>
      </c>
      <c r="M2457" s="21">
        <v>0.22</v>
      </c>
    </row>
    <row r="2458" spans="1:13" x14ac:dyDescent="0.2">
      <c r="A2458" t="s">
        <v>182</v>
      </c>
      <c r="B2458" t="s">
        <v>409</v>
      </c>
      <c r="C2458" t="s">
        <v>407</v>
      </c>
      <c r="D2458" t="s">
        <v>333</v>
      </c>
      <c r="E2458" t="s">
        <v>638</v>
      </c>
      <c r="F2458" s="2">
        <v>0.99</v>
      </c>
      <c r="G2458" s="2">
        <v>1.07</v>
      </c>
      <c r="H2458" s="2">
        <v>1</v>
      </c>
      <c r="I2458" s="2">
        <v>0.96</v>
      </c>
      <c r="J2458" s="2">
        <v>0.9</v>
      </c>
      <c r="K2458">
        <v>3</v>
      </c>
      <c r="L2458" s="20">
        <v>45659</v>
      </c>
      <c r="M2458" s="21">
        <v>0.5</v>
      </c>
    </row>
    <row r="2459" spans="1:13" x14ac:dyDescent="0.2">
      <c r="A2459" t="s">
        <v>315</v>
      </c>
      <c r="B2459" t="s">
        <v>405</v>
      </c>
      <c r="C2459" t="s">
        <v>407</v>
      </c>
      <c r="D2459" t="s">
        <v>339</v>
      </c>
      <c r="E2459" t="s">
        <v>638</v>
      </c>
      <c r="F2459" s="2">
        <v>0.86</v>
      </c>
      <c r="G2459" s="2">
        <v>0.83</v>
      </c>
      <c r="H2459" s="2">
        <v>0.96</v>
      </c>
      <c r="I2459" s="2">
        <v>0.48</v>
      </c>
      <c r="J2459" s="2">
        <v>0.22</v>
      </c>
      <c r="K2459">
        <v>12</v>
      </c>
      <c r="L2459" s="20" t="s">
        <v>219</v>
      </c>
      <c r="M2459" s="21">
        <v>0</v>
      </c>
    </row>
    <row r="2460" spans="1:13" x14ac:dyDescent="0.2">
      <c r="A2460" t="s">
        <v>183</v>
      </c>
      <c r="B2460" t="s">
        <v>405</v>
      </c>
      <c r="C2460" t="s">
        <v>404</v>
      </c>
      <c r="D2460" t="s">
        <v>333</v>
      </c>
      <c r="E2460" t="s">
        <v>638</v>
      </c>
      <c r="F2460" s="2">
        <v>1.33</v>
      </c>
      <c r="G2460" s="2">
        <v>1.38</v>
      </c>
      <c r="H2460" s="2">
        <v>0.98</v>
      </c>
      <c r="I2460" s="2">
        <v>1</v>
      </c>
      <c r="J2460" s="2">
        <v>1</v>
      </c>
      <c r="K2460">
        <v>5</v>
      </c>
      <c r="L2460" s="20"/>
    </row>
    <row r="2461" spans="1:13" x14ac:dyDescent="0.2">
      <c r="A2461" t="s">
        <v>184</v>
      </c>
      <c r="B2461" t="s">
        <v>405</v>
      </c>
      <c r="C2461" t="s">
        <v>404</v>
      </c>
      <c r="D2461" t="s">
        <v>342</v>
      </c>
      <c r="E2461" t="s">
        <v>638</v>
      </c>
      <c r="F2461" s="2">
        <v>0.86</v>
      </c>
      <c r="G2461" s="2">
        <v>0.96</v>
      </c>
      <c r="H2461" s="2">
        <v>0.93</v>
      </c>
      <c r="I2461" s="2">
        <v>0.83</v>
      </c>
      <c r="J2461" s="2">
        <v>1</v>
      </c>
      <c r="K2461">
        <v>11</v>
      </c>
      <c r="L2461" s="20">
        <v>45720</v>
      </c>
      <c r="M2461" s="21">
        <v>0.75</v>
      </c>
    </row>
    <row r="2462" spans="1:13" x14ac:dyDescent="0.2">
      <c r="A2462" t="s">
        <v>185</v>
      </c>
      <c r="B2462" t="s">
        <v>410</v>
      </c>
      <c r="C2462" t="s">
        <v>407</v>
      </c>
      <c r="D2462" t="s">
        <v>340</v>
      </c>
      <c r="E2462" t="s">
        <v>638</v>
      </c>
      <c r="F2462" s="2">
        <v>0.42</v>
      </c>
      <c r="G2462" s="2">
        <v>0.7</v>
      </c>
      <c r="H2462" s="2">
        <v>0.96</v>
      </c>
      <c r="I2462" s="2">
        <v>0.97</v>
      </c>
      <c r="J2462" s="2">
        <v>0.92</v>
      </c>
      <c r="K2462">
        <v>1</v>
      </c>
      <c r="L2462" s="20" t="s">
        <v>219</v>
      </c>
      <c r="M2462" s="21">
        <v>0</v>
      </c>
    </row>
    <row r="2463" spans="1:13" x14ac:dyDescent="0.2">
      <c r="A2463" t="s">
        <v>186</v>
      </c>
      <c r="B2463" t="s">
        <v>409</v>
      </c>
      <c r="C2463" t="s">
        <v>404</v>
      </c>
      <c r="D2463" t="s">
        <v>339</v>
      </c>
      <c r="E2463" t="s">
        <v>638</v>
      </c>
      <c r="F2463" s="2">
        <v>0.79</v>
      </c>
      <c r="G2463" s="2">
        <v>1.2</v>
      </c>
      <c r="H2463" s="2">
        <v>1</v>
      </c>
      <c r="I2463" s="2">
        <v>0.88</v>
      </c>
      <c r="J2463" s="2">
        <v>0.7</v>
      </c>
      <c r="K2463">
        <v>3</v>
      </c>
      <c r="L2463" s="20" t="s">
        <v>228</v>
      </c>
      <c r="M2463" s="21">
        <v>0</v>
      </c>
    </row>
    <row r="2464" spans="1:13" x14ac:dyDescent="0.2">
      <c r="A2464" t="s">
        <v>616</v>
      </c>
      <c r="B2464" t="e">
        <v>#N/A</v>
      </c>
      <c r="C2464" t="e">
        <v>#N/A</v>
      </c>
      <c r="D2464" t="e">
        <v>#N/A</v>
      </c>
      <c r="E2464" t="s">
        <v>638</v>
      </c>
      <c r="F2464" s="2">
        <v>7.0000000000000007E-2</v>
      </c>
      <c r="G2464" s="2">
        <v>0.78</v>
      </c>
      <c r="H2464" s="2">
        <v>1</v>
      </c>
      <c r="I2464" s="2">
        <v>1</v>
      </c>
      <c r="J2464" s="2">
        <v>0</v>
      </c>
      <c r="K2464">
        <v>0</v>
      </c>
      <c r="L2464" s="20">
        <v>45690</v>
      </c>
      <c r="M2464" s="21">
        <v>1</v>
      </c>
    </row>
    <row r="2465" spans="1:13" x14ac:dyDescent="0.2">
      <c r="A2465" t="s">
        <v>316</v>
      </c>
      <c r="B2465" t="s">
        <v>405</v>
      </c>
      <c r="C2465" t="s">
        <v>407</v>
      </c>
      <c r="D2465" t="s">
        <v>333</v>
      </c>
      <c r="E2465" t="s">
        <v>638</v>
      </c>
      <c r="F2465" s="2">
        <v>1.01</v>
      </c>
      <c r="G2465" s="2">
        <v>0.98</v>
      </c>
      <c r="H2465" s="2">
        <v>0.93</v>
      </c>
      <c r="I2465" s="2">
        <v>0.94</v>
      </c>
      <c r="J2465" s="2">
        <v>0.27</v>
      </c>
      <c r="K2465">
        <v>6</v>
      </c>
      <c r="L2465" s="20">
        <v>45693</v>
      </c>
      <c r="M2465" s="21">
        <v>0.4</v>
      </c>
    </row>
    <row r="2466" spans="1:13" x14ac:dyDescent="0.2">
      <c r="A2466" t="s">
        <v>187</v>
      </c>
      <c r="B2466" t="s">
        <v>410</v>
      </c>
      <c r="C2466" t="s">
        <v>404</v>
      </c>
      <c r="D2466" t="s">
        <v>339</v>
      </c>
      <c r="E2466" t="s">
        <v>638</v>
      </c>
      <c r="F2466" s="2">
        <v>1.0900000000000001</v>
      </c>
      <c r="G2466" s="2">
        <v>1.3</v>
      </c>
      <c r="H2466" s="2">
        <v>1</v>
      </c>
      <c r="I2466" s="2">
        <v>0.94</v>
      </c>
      <c r="J2466" s="2">
        <v>0.83</v>
      </c>
      <c r="K2466">
        <v>2</v>
      </c>
      <c r="L2466" s="20"/>
    </row>
    <row r="2467" spans="1:13" x14ac:dyDescent="0.2">
      <c r="A2467" t="s">
        <v>188</v>
      </c>
      <c r="B2467" t="s">
        <v>409</v>
      </c>
      <c r="C2467" t="s">
        <v>407</v>
      </c>
      <c r="D2467" t="s">
        <v>340</v>
      </c>
      <c r="E2467" t="s">
        <v>638</v>
      </c>
      <c r="F2467" s="2">
        <v>0.45</v>
      </c>
      <c r="G2467" s="2">
        <v>1.19</v>
      </c>
      <c r="H2467" s="2">
        <v>1</v>
      </c>
      <c r="I2467" s="2">
        <v>1</v>
      </c>
      <c r="J2467" s="2">
        <v>0.75</v>
      </c>
      <c r="K2467">
        <v>5</v>
      </c>
      <c r="L2467" s="20" t="s">
        <v>219</v>
      </c>
      <c r="M2467" s="21">
        <v>0</v>
      </c>
    </row>
    <row r="2468" spans="1:13" x14ac:dyDescent="0.2">
      <c r="A2468" t="s">
        <v>189</v>
      </c>
      <c r="B2468" t="s">
        <v>405</v>
      </c>
      <c r="C2468" t="s">
        <v>404</v>
      </c>
      <c r="D2468" t="s">
        <v>333</v>
      </c>
      <c r="E2468" t="s">
        <v>638</v>
      </c>
      <c r="F2468" s="2">
        <v>1.0900000000000001</v>
      </c>
      <c r="G2468" s="2">
        <v>1.07</v>
      </c>
      <c r="H2468" s="2">
        <v>0.97</v>
      </c>
      <c r="I2468" s="2">
        <v>0.96</v>
      </c>
      <c r="J2468" s="2">
        <v>0.63</v>
      </c>
      <c r="K2468">
        <v>8</v>
      </c>
      <c r="L2468" s="20" t="s">
        <v>219</v>
      </c>
      <c r="M2468" s="21">
        <v>0</v>
      </c>
    </row>
    <row r="2469" spans="1:13" x14ac:dyDescent="0.2">
      <c r="A2469" t="s">
        <v>318</v>
      </c>
      <c r="B2469" t="s">
        <v>405</v>
      </c>
      <c r="C2469" t="s">
        <v>404</v>
      </c>
      <c r="D2469" t="s">
        <v>339</v>
      </c>
      <c r="E2469" t="s">
        <v>638</v>
      </c>
      <c r="F2469" s="2">
        <v>1.53</v>
      </c>
      <c r="G2469" s="2">
        <v>1.6</v>
      </c>
      <c r="H2469" s="2">
        <v>0.98</v>
      </c>
      <c r="I2469" s="2">
        <v>1</v>
      </c>
      <c r="J2469" s="2">
        <v>0.56999999999999995</v>
      </c>
      <c r="K2469">
        <v>4</v>
      </c>
      <c r="L2469" s="20"/>
    </row>
    <row r="2470" spans="1:13" x14ac:dyDescent="0.2">
      <c r="A2470" t="s">
        <v>192</v>
      </c>
      <c r="B2470" t="s">
        <v>405</v>
      </c>
      <c r="C2470" t="s">
        <v>404</v>
      </c>
      <c r="D2470" t="s">
        <v>339</v>
      </c>
      <c r="E2470" t="s">
        <v>638</v>
      </c>
      <c r="F2470" s="2">
        <v>0.61</v>
      </c>
      <c r="G2470" s="2">
        <v>0.74</v>
      </c>
      <c r="H2470" s="2">
        <v>1</v>
      </c>
      <c r="I2470" s="2">
        <v>0.72</v>
      </c>
      <c r="J2470" s="2">
        <v>0.75</v>
      </c>
      <c r="K2470">
        <v>2</v>
      </c>
      <c r="L2470" s="20"/>
    </row>
    <row r="2471" spans="1:13" x14ac:dyDescent="0.2">
      <c r="A2471" t="s">
        <v>193</v>
      </c>
      <c r="B2471" t="s">
        <v>405</v>
      </c>
      <c r="C2471" t="s">
        <v>407</v>
      </c>
      <c r="D2471" t="s">
        <v>333</v>
      </c>
      <c r="E2471" t="s">
        <v>638</v>
      </c>
      <c r="F2471" s="2">
        <v>0.83</v>
      </c>
      <c r="G2471" s="2">
        <v>0.96</v>
      </c>
      <c r="H2471" s="2">
        <v>1</v>
      </c>
      <c r="I2471" s="2">
        <v>0.99</v>
      </c>
      <c r="J2471" s="2">
        <v>0.94</v>
      </c>
      <c r="K2471">
        <v>4</v>
      </c>
      <c r="L2471" s="20">
        <v>45878</v>
      </c>
      <c r="M2471" s="21">
        <v>0.89</v>
      </c>
    </row>
    <row r="2472" spans="1:13" x14ac:dyDescent="0.2">
      <c r="A2472" t="s">
        <v>196</v>
      </c>
      <c r="B2472" t="s">
        <v>405</v>
      </c>
      <c r="C2472" t="s">
        <v>404</v>
      </c>
      <c r="D2472" t="s">
        <v>342</v>
      </c>
      <c r="E2472" t="s">
        <v>638</v>
      </c>
      <c r="F2472" s="2">
        <v>1.04</v>
      </c>
      <c r="G2472" s="2">
        <v>1.01</v>
      </c>
      <c r="H2472" s="2">
        <v>1</v>
      </c>
      <c r="I2472" s="2">
        <v>1</v>
      </c>
      <c r="J2472" s="2">
        <v>0.86</v>
      </c>
      <c r="K2472">
        <v>4</v>
      </c>
      <c r="L2472" s="20" t="s">
        <v>228</v>
      </c>
      <c r="M2472" s="21">
        <v>0</v>
      </c>
    </row>
    <row r="2473" spans="1:13" x14ac:dyDescent="0.2">
      <c r="A2473" t="s">
        <v>197</v>
      </c>
      <c r="B2473" t="s">
        <v>409</v>
      </c>
      <c r="C2473" t="s">
        <v>407</v>
      </c>
      <c r="D2473" t="s">
        <v>99</v>
      </c>
      <c r="E2473" t="s">
        <v>638</v>
      </c>
      <c r="F2473" s="2">
        <v>0.74</v>
      </c>
      <c r="G2473" s="2">
        <v>1.47</v>
      </c>
      <c r="H2473" s="2">
        <v>1</v>
      </c>
      <c r="I2473" s="2">
        <v>0.98</v>
      </c>
      <c r="J2473" s="2">
        <v>1</v>
      </c>
      <c r="K2473">
        <v>3</v>
      </c>
      <c r="L2473" s="20" t="s">
        <v>219</v>
      </c>
      <c r="M2473" s="21">
        <v>0</v>
      </c>
    </row>
    <row r="2474" spans="1:13" x14ac:dyDescent="0.2">
      <c r="A2474" t="s">
        <v>319</v>
      </c>
      <c r="B2474" t="s">
        <v>405</v>
      </c>
      <c r="C2474" t="s">
        <v>404</v>
      </c>
      <c r="D2474" t="s">
        <v>339</v>
      </c>
      <c r="E2474" t="s">
        <v>638</v>
      </c>
      <c r="F2474" s="2">
        <v>0.71</v>
      </c>
      <c r="G2474" s="2">
        <v>0.78</v>
      </c>
      <c r="H2474" s="2">
        <v>1</v>
      </c>
      <c r="I2474" s="2">
        <v>0.74</v>
      </c>
      <c r="J2474" s="2">
        <v>0.64</v>
      </c>
      <c r="K2474">
        <v>8</v>
      </c>
      <c r="L2474" s="20" t="s">
        <v>228</v>
      </c>
      <c r="M2474" s="21">
        <v>0</v>
      </c>
    </row>
    <row r="2475" spans="1:13" x14ac:dyDescent="0.2">
      <c r="A2475" t="s">
        <v>198</v>
      </c>
      <c r="B2475" t="s">
        <v>410</v>
      </c>
      <c r="C2475" t="s">
        <v>404</v>
      </c>
      <c r="D2475" t="s">
        <v>340</v>
      </c>
      <c r="E2475" t="s">
        <v>638</v>
      </c>
      <c r="F2475" s="2">
        <v>0.81</v>
      </c>
      <c r="G2475" s="2">
        <v>1.61</v>
      </c>
      <c r="H2475" s="2">
        <v>1</v>
      </c>
      <c r="I2475" s="2">
        <v>0.93</v>
      </c>
      <c r="J2475" s="2">
        <v>0.57999999999999996</v>
      </c>
      <c r="K2475">
        <v>2</v>
      </c>
      <c r="L2475" s="20"/>
    </row>
    <row r="2476" spans="1:13" x14ac:dyDescent="0.2">
      <c r="A2476" t="s">
        <v>201</v>
      </c>
      <c r="B2476" t="s">
        <v>410</v>
      </c>
      <c r="C2476" t="s">
        <v>407</v>
      </c>
      <c r="D2476" t="s">
        <v>340</v>
      </c>
      <c r="E2476" t="s">
        <v>638</v>
      </c>
      <c r="F2476" s="2">
        <v>0.84</v>
      </c>
      <c r="G2476" s="2">
        <v>1.26</v>
      </c>
      <c r="H2476" s="2">
        <v>1</v>
      </c>
      <c r="I2476" s="2">
        <v>1</v>
      </c>
      <c r="J2476" s="2">
        <v>0.57999999999999996</v>
      </c>
      <c r="K2476">
        <v>4</v>
      </c>
      <c r="L2476" s="20">
        <v>45659</v>
      </c>
      <c r="M2476" s="21">
        <v>0.5</v>
      </c>
    </row>
    <row r="2477" spans="1:13" x14ac:dyDescent="0.2">
      <c r="A2477" t="s">
        <v>320</v>
      </c>
      <c r="B2477" t="s">
        <v>405</v>
      </c>
      <c r="C2477" t="s">
        <v>407</v>
      </c>
      <c r="D2477" t="s">
        <v>342</v>
      </c>
      <c r="E2477" t="s">
        <v>638</v>
      </c>
      <c r="F2477" s="2">
        <v>0.73</v>
      </c>
      <c r="G2477" s="2">
        <v>0.68</v>
      </c>
      <c r="H2477" s="2">
        <v>0.99</v>
      </c>
      <c r="I2477" s="2">
        <v>0.98</v>
      </c>
      <c r="J2477" s="2">
        <v>1</v>
      </c>
      <c r="K2477">
        <v>10</v>
      </c>
      <c r="L2477" s="20">
        <v>45785</v>
      </c>
      <c r="M2477" s="21">
        <v>0.63</v>
      </c>
    </row>
    <row r="2478" spans="1:13" x14ac:dyDescent="0.2">
      <c r="A2478" t="s">
        <v>202</v>
      </c>
      <c r="B2478" t="s">
        <v>405</v>
      </c>
      <c r="C2478" t="s">
        <v>407</v>
      </c>
      <c r="D2478" t="s">
        <v>333</v>
      </c>
      <c r="E2478" t="s">
        <v>638</v>
      </c>
      <c r="F2478" s="2">
        <v>1.1100000000000001</v>
      </c>
      <c r="G2478" s="2">
        <v>1.26</v>
      </c>
      <c r="H2478" s="2">
        <v>0.94</v>
      </c>
      <c r="I2478" s="2">
        <v>1</v>
      </c>
      <c r="J2478" s="2">
        <v>0.74</v>
      </c>
      <c r="K2478">
        <v>7</v>
      </c>
      <c r="L2478" s="20">
        <v>45972</v>
      </c>
      <c r="M2478" s="21">
        <v>1</v>
      </c>
    </row>
    <row r="2479" spans="1:13" x14ac:dyDescent="0.2">
      <c r="A2479" t="s">
        <v>323</v>
      </c>
      <c r="B2479" t="s">
        <v>405</v>
      </c>
      <c r="C2479" t="s">
        <v>407</v>
      </c>
      <c r="D2479" t="s">
        <v>342</v>
      </c>
      <c r="E2479" t="s">
        <v>638</v>
      </c>
      <c r="F2479" s="2">
        <v>0.93</v>
      </c>
      <c r="G2479" s="2">
        <v>0.98</v>
      </c>
      <c r="H2479" s="2">
        <v>0.99</v>
      </c>
      <c r="I2479" s="2">
        <v>0.9</v>
      </c>
      <c r="J2479" s="2">
        <v>0.56999999999999995</v>
      </c>
      <c r="K2479">
        <v>7</v>
      </c>
      <c r="L2479" s="20">
        <v>45661</v>
      </c>
      <c r="M2479" s="21">
        <v>0.25</v>
      </c>
    </row>
    <row r="2480" spans="1:13" x14ac:dyDescent="0.2">
      <c r="A2480" t="s">
        <v>203</v>
      </c>
      <c r="B2480" t="s">
        <v>409</v>
      </c>
      <c r="C2480" t="s">
        <v>407</v>
      </c>
      <c r="D2480" t="s">
        <v>340</v>
      </c>
      <c r="E2480" t="s">
        <v>638</v>
      </c>
      <c r="F2480" s="2">
        <v>0.71</v>
      </c>
      <c r="G2480" s="2">
        <v>1.07</v>
      </c>
      <c r="H2480" s="2">
        <v>0.98</v>
      </c>
      <c r="I2480" s="2">
        <v>0.98</v>
      </c>
      <c r="J2480" s="2">
        <v>1</v>
      </c>
      <c r="K2480">
        <v>2</v>
      </c>
      <c r="L2480" s="20">
        <v>45720</v>
      </c>
      <c r="M2480" s="21">
        <v>0.75</v>
      </c>
    </row>
    <row r="2481" spans="1:13" x14ac:dyDescent="0.2">
      <c r="A2481" t="s">
        <v>204</v>
      </c>
      <c r="B2481" t="s">
        <v>405</v>
      </c>
      <c r="C2481" t="s">
        <v>407</v>
      </c>
      <c r="D2481" t="s">
        <v>339</v>
      </c>
      <c r="E2481" t="s">
        <v>638</v>
      </c>
      <c r="F2481" s="2">
        <v>1.05</v>
      </c>
      <c r="G2481" s="2">
        <v>1.21</v>
      </c>
      <c r="H2481" s="2">
        <v>0.99</v>
      </c>
      <c r="I2481" s="2">
        <v>0.88</v>
      </c>
      <c r="J2481" s="2">
        <v>0</v>
      </c>
      <c r="K2481">
        <v>7</v>
      </c>
      <c r="L2481" s="20" t="s">
        <v>640</v>
      </c>
      <c r="M2481" s="21">
        <v>0</v>
      </c>
    </row>
    <row r="2482" spans="1:13" x14ac:dyDescent="0.2">
      <c r="A2482" t="s">
        <v>207</v>
      </c>
      <c r="B2482" t="s">
        <v>405</v>
      </c>
      <c r="C2482" t="s">
        <v>404</v>
      </c>
      <c r="D2482" t="s">
        <v>339</v>
      </c>
      <c r="E2482" t="s">
        <v>638</v>
      </c>
      <c r="F2482" s="2">
        <v>0.46</v>
      </c>
      <c r="G2482" s="2">
        <v>0.98</v>
      </c>
      <c r="H2482" s="2">
        <v>1</v>
      </c>
      <c r="I2482" s="2">
        <v>0.93</v>
      </c>
      <c r="J2482" s="2">
        <v>0.67</v>
      </c>
      <c r="K2482">
        <v>4</v>
      </c>
      <c r="L2482" s="20"/>
    </row>
    <row r="2483" spans="1:13" x14ac:dyDescent="0.2">
      <c r="A2483" t="s">
        <v>325</v>
      </c>
      <c r="B2483" t="s">
        <v>405</v>
      </c>
      <c r="C2483" t="s">
        <v>407</v>
      </c>
      <c r="D2483" t="s">
        <v>339</v>
      </c>
      <c r="E2483" t="s">
        <v>638</v>
      </c>
      <c r="F2483" s="2">
        <v>0.71</v>
      </c>
      <c r="G2483" s="2">
        <v>0.69</v>
      </c>
      <c r="H2483" s="2">
        <v>0.94</v>
      </c>
      <c r="I2483" s="2">
        <v>0.71</v>
      </c>
      <c r="J2483" s="2">
        <v>0.32</v>
      </c>
      <c r="K2483">
        <v>7</v>
      </c>
      <c r="L2483" s="20" t="s">
        <v>266</v>
      </c>
      <c r="M2483" s="21">
        <v>0</v>
      </c>
    </row>
    <row r="2484" spans="1:13" x14ac:dyDescent="0.2">
      <c r="A2484" t="s">
        <v>208</v>
      </c>
      <c r="B2484" t="s">
        <v>410</v>
      </c>
      <c r="C2484" t="s">
        <v>404</v>
      </c>
      <c r="D2484" t="s">
        <v>333</v>
      </c>
      <c r="E2484" t="s">
        <v>638</v>
      </c>
      <c r="F2484" s="2">
        <v>0.67</v>
      </c>
      <c r="G2484" s="2">
        <v>1.31</v>
      </c>
      <c r="H2484" s="2">
        <v>0.83</v>
      </c>
      <c r="I2484" s="2">
        <v>1</v>
      </c>
      <c r="J2484" s="2">
        <v>0.75</v>
      </c>
      <c r="K2484">
        <v>0</v>
      </c>
      <c r="L2484" s="20">
        <v>45658</v>
      </c>
      <c r="M2484" s="21">
        <v>1</v>
      </c>
    </row>
    <row r="2485" spans="1:13" x14ac:dyDescent="0.2">
      <c r="A2485" t="s">
        <v>637</v>
      </c>
      <c r="B2485" t="e">
        <v>#N/A</v>
      </c>
      <c r="C2485" t="e">
        <v>#N/A</v>
      </c>
      <c r="D2485" t="e">
        <v>#N/A</v>
      </c>
      <c r="E2485" t="s">
        <v>638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>
        <v>0</v>
      </c>
      <c r="L2485" s="20"/>
    </row>
    <row r="2486" spans="1:13" x14ac:dyDescent="0.2">
      <c r="A2486" t="s">
        <v>209</v>
      </c>
      <c r="B2486" t="s">
        <v>409</v>
      </c>
      <c r="C2486" t="s">
        <v>407</v>
      </c>
      <c r="D2486" t="s">
        <v>99</v>
      </c>
      <c r="E2486" t="s">
        <v>638</v>
      </c>
      <c r="F2486" s="2">
        <v>0.73</v>
      </c>
      <c r="G2486" s="2">
        <v>1.06</v>
      </c>
      <c r="H2486" s="2">
        <v>1</v>
      </c>
      <c r="I2486" s="2">
        <v>0.98</v>
      </c>
      <c r="J2486" s="2">
        <v>1</v>
      </c>
      <c r="K2486">
        <v>4</v>
      </c>
      <c r="L2486" s="20">
        <v>45690</v>
      </c>
      <c r="M2486" s="21">
        <v>1</v>
      </c>
    </row>
    <row r="2487" spans="1:13" x14ac:dyDescent="0.2">
      <c r="A2487" t="s">
        <v>210</v>
      </c>
      <c r="B2487" t="s">
        <v>405</v>
      </c>
      <c r="C2487" t="s">
        <v>407</v>
      </c>
      <c r="D2487" t="s">
        <v>342</v>
      </c>
      <c r="E2487" t="s">
        <v>638</v>
      </c>
      <c r="F2487" s="2">
        <v>0.9</v>
      </c>
      <c r="G2487" s="2">
        <v>0.8</v>
      </c>
      <c r="H2487" s="2">
        <v>0.96</v>
      </c>
      <c r="I2487" s="2">
        <v>0.88</v>
      </c>
      <c r="J2487" s="2">
        <v>0.41</v>
      </c>
      <c r="K2487">
        <v>12</v>
      </c>
      <c r="L2487" s="20">
        <v>45659</v>
      </c>
      <c r="M2487" s="21">
        <v>0.5</v>
      </c>
    </row>
    <row r="2488" spans="1:13" x14ac:dyDescent="0.2">
      <c r="A2488" t="s">
        <v>211</v>
      </c>
      <c r="B2488" t="s">
        <v>405</v>
      </c>
      <c r="C2488" t="s">
        <v>407</v>
      </c>
      <c r="D2488" t="s">
        <v>342</v>
      </c>
      <c r="E2488" t="s">
        <v>638</v>
      </c>
      <c r="F2488" s="2">
        <v>0.9</v>
      </c>
      <c r="G2488" s="2">
        <v>1.03</v>
      </c>
      <c r="H2488" s="2">
        <v>1</v>
      </c>
      <c r="I2488" s="2">
        <v>0.99</v>
      </c>
      <c r="J2488" s="2">
        <v>0.78</v>
      </c>
      <c r="K2488">
        <v>3</v>
      </c>
      <c r="L2488" s="20">
        <v>45658</v>
      </c>
      <c r="M2488" s="21">
        <v>1</v>
      </c>
    </row>
    <row r="2489" spans="1:13" x14ac:dyDescent="0.2">
      <c r="A2489" t="s">
        <v>327</v>
      </c>
      <c r="B2489" t="s">
        <v>405</v>
      </c>
      <c r="C2489" t="s">
        <v>407</v>
      </c>
      <c r="D2489" t="s">
        <v>340</v>
      </c>
      <c r="E2489" t="s">
        <v>638</v>
      </c>
      <c r="F2489" s="2">
        <v>0.95</v>
      </c>
      <c r="G2489" s="2">
        <v>0.91</v>
      </c>
      <c r="H2489" s="2">
        <v>0.99</v>
      </c>
      <c r="I2489" s="2">
        <v>0.99</v>
      </c>
      <c r="J2489" s="2">
        <v>0.56999999999999995</v>
      </c>
      <c r="K2489">
        <v>11</v>
      </c>
      <c r="L2489" s="20">
        <v>45720</v>
      </c>
      <c r="M2489" s="21">
        <v>0.75</v>
      </c>
    </row>
  </sheetData>
  <autoFilter ref="A1:M2278" xr:uid="{00000000-0001-0000-0000-000000000000}">
    <sortState xmlns:xlrd2="http://schemas.microsoft.com/office/spreadsheetml/2017/richdata2" ref="A2:M2070">
      <sortCondition ref="E1:E207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2775-386A-2547-8A5F-7537C71ED479}">
  <dimension ref="A1:V212"/>
  <sheetViews>
    <sheetView workbookViewId="0">
      <selection activeCell="W8" sqref="W8"/>
    </sheetView>
  </sheetViews>
  <sheetFormatPr baseColWidth="10" defaultRowHeight="15" x14ac:dyDescent="0.2"/>
  <sheetData>
    <row r="1" spans="1:22" ht="80" x14ac:dyDescent="0.2">
      <c r="A1" s="25" t="s">
        <v>0</v>
      </c>
      <c r="B1" s="26" t="s">
        <v>619</v>
      </c>
      <c r="C1" s="26" t="s">
        <v>620</v>
      </c>
      <c r="D1" s="26" t="s">
        <v>621</v>
      </c>
      <c r="E1" s="27" t="s">
        <v>622</v>
      </c>
      <c r="F1" s="27" t="s">
        <v>623</v>
      </c>
      <c r="G1" s="26" t="s">
        <v>5</v>
      </c>
      <c r="H1" s="26" t="s">
        <v>624</v>
      </c>
      <c r="I1" s="26" t="s">
        <v>625</v>
      </c>
      <c r="J1" s="26" t="s">
        <v>6</v>
      </c>
      <c r="K1" s="26" t="s">
        <v>626</v>
      </c>
      <c r="L1" s="26" t="s">
        <v>8</v>
      </c>
      <c r="M1" s="26" t="s">
        <v>7</v>
      </c>
      <c r="N1" s="28" t="s">
        <v>11</v>
      </c>
      <c r="O1" s="26" t="s">
        <v>627</v>
      </c>
      <c r="P1" s="26" t="s">
        <v>628</v>
      </c>
      <c r="Q1" s="26" t="s">
        <v>629</v>
      </c>
      <c r="R1" s="26" t="s">
        <v>10</v>
      </c>
      <c r="S1" s="25" t="s">
        <v>630</v>
      </c>
      <c r="T1" s="26" t="s">
        <v>631</v>
      </c>
      <c r="U1" s="26" t="s">
        <v>632</v>
      </c>
      <c r="V1" s="26" t="s">
        <v>633</v>
      </c>
    </row>
    <row r="2" spans="1:22" ht="32" x14ac:dyDescent="0.2">
      <c r="A2" s="29" t="s">
        <v>12</v>
      </c>
      <c r="B2" s="30" t="s">
        <v>405</v>
      </c>
      <c r="C2" s="30" t="s">
        <v>340</v>
      </c>
      <c r="D2" s="31">
        <v>45524</v>
      </c>
      <c r="E2" s="30">
        <v>12</v>
      </c>
      <c r="F2" s="30">
        <v>9.1299999999999901</v>
      </c>
      <c r="G2" s="32">
        <v>0.76039999999999996</v>
      </c>
      <c r="H2" s="25">
        <v>16</v>
      </c>
      <c r="I2" s="25">
        <v>12.44</v>
      </c>
      <c r="J2" s="32">
        <v>0.77729999999999899</v>
      </c>
      <c r="K2" s="33">
        <v>0.29370000000000002</v>
      </c>
      <c r="L2" s="32">
        <v>1</v>
      </c>
      <c r="M2" s="32">
        <v>1</v>
      </c>
      <c r="N2" s="34"/>
      <c r="O2" s="33">
        <v>0.90909090909090895</v>
      </c>
      <c r="P2" s="25"/>
      <c r="Q2" s="25"/>
      <c r="R2" s="25">
        <v>1</v>
      </c>
      <c r="S2" s="25"/>
      <c r="T2" s="25">
        <v>0</v>
      </c>
      <c r="U2" s="25">
        <v>13</v>
      </c>
      <c r="V2" s="35">
        <v>4.4000000000000004</v>
      </c>
    </row>
    <row r="3" spans="1:22" ht="32" x14ac:dyDescent="0.2">
      <c r="A3" s="29" t="s">
        <v>15</v>
      </c>
      <c r="B3" s="30" t="s">
        <v>405</v>
      </c>
      <c r="C3" s="30" t="s">
        <v>340</v>
      </c>
      <c r="D3" s="31">
        <v>45519</v>
      </c>
      <c r="E3" s="30">
        <v>30</v>
      </c>
      <c r="F3" s="30">
        <v>27.75</v>
      </c>
      <c r="G3" s="32">
        <v>0.92500000000000004</v>
      </c>
      <c r="H3" s="25">
        <v>38</v>
      </c>
      <c r="I3" s="25">
        <v>36.630000000000003</v>
      </c>
      <c r="J3" s="32">
        <v>0.96379999999999999</v>
      </c>
      <c r="K3" s="33">
        <v>0.29139999999999999</v>
      </c>
      <c r="L3" s="32">
        <v>0.97435897435897401</v>
      </c>
      <c r="M3" s="32">
        <v>0.99193548387096697</v>
      </c>
      <c r="N3" s="34" t="s">
        <v>393</v>
      </c>
      <c r="O3" s="33">
        <v>0.76470588235294101</v>
      </c>
      <c r="P3" s="25">
        <v>1</v>
      </c>
      <c r="Q3" s="25">
        <v>10</v>
      </c>
      <c r="R3" s="25">
        <v>11</v>
      </c>
      <c r="S3" s="25"/>
      <c r="T3" s="25">
        <v>15</v>
      </c>
      <c r="U3" s="25">
        <v>42</v>
      </c>
      <c r="V3" s="35"/>
    </row>
    <row r="4" spans="1:22" ht="16" x14ac:dyDescent="0.2">
      <c r="A4" s="29" t="s">
        <v>16</v>
      </c>
      <c r="B4" s="30" t="s">
        <v>409</v>
      </c>
      <c r="C4" s="30" t="s">
        <v>339</v>
      </c>
      <c r="D4" s="31">
        <v>43907</v>
      </c>
      <c r="E4" s="30">
        <v>12</v>
      </c>
      <c r="F4" s="30">
        <v>9.6299999999999901</v>
      </c>
      <c r="G4" s="32">
        <v>0.80210000000000004</v>
      </c>
      <c r="H4" s="25">
        <v>16</v>
      </c>
      <c r="I4" s="25">
        <v>24.56</v>
      </c>
      <c r="J4" s="32">
        <v>1.5351999999999999</v>
      </c>
      <c r="K4" s="33">
        <v>0.63819999999999999</v>
      </c>
      <c r="L4" s="32">
        <v>0.9</v>
      </c>
      <c r="M4" s="32">
        <v>1</v>
      </c>
      <c r="N4" s="34"/>
      <c r="O4" s="33">
        <v>0.875</v>
      </c>
      <c r="P4" s="25"/>
      <c r="Q4" s="25"/>
      <c r="R4" s="25">
        <v>2</v>
      </c>
      <c r="S4" s="25"/>
      <c r="T4" s="25">
        <v>1</v>
      </c>
      <c r="U4" s="25">
        <v>11</v>
      </c>
      <c r="V4" s="35" t="e">
        <v>#N/A</v>
      </c>
    </row>
    <row r="5" spans="1:22" ht="16" x14ac:dyDescent="0.2">
      <c r="A5" s="29" t="s">
        <v>17</v>
      </c>
      <c r="B5" s="30" t="s">
        <v>409</v>
      </c>
      <c r="C5" s="30" t="s">
        <v>340</v>
      </c>
      <c r="D5" s="31">
        <v>43812</v>
      </c>
      <c r="E5" s="30">
        <v>30</v>
      </c>
      <c r="F5" s="30">
        <v>21.04</v>
      </c>
      <c r="G5" s="32">
        <v>0.70140000000000002</v>
      </c>
      <c r="H5" s="25">
        <v>38</v>
      </c>
      <c r="I5" s="25">
        <v>75.75</v>
      </c>
      <c r="J5" s="32">
        <v>1.9934000000000001</v>
      </c>
      <c r="K5" s="33">
        <v>3.6900000000000002E-2</v>
      </c>
      <c r="L5" s="32">
        <v>1</v>
      </c>
      <c r="M5" s="32">
        <v>0.97101449275362295</v>
      </c>
      <c r="N5" s="34" t="s">
        <v>218</v>
      </c>
      <c r="O5" s="33">
        <v>0.71428571428571397</v>
      </c>
      <c r="P5" s="25"/>
      <c r="Q5" s="25"/>
      <c r="R5" s="25">
        <v>5</v>
      </c>
      <c r="S5" s="25"/>
      <c r="T5" s="25">
        <v>5</v>
      </c>
      <c r="U5" s="25">
        <v>17</v>
      </c>
      <c r="V5" s="35">
        <v>4</v>
      </c>
    </row>
    <row r="6" spans="1:22" ht="32" x14ac:dyDescent="0.2">
      <c r="A6" s="29" t="s">
        <v>217</v>
      </c>
      <c r="B6" s="30" t="s">
        <v>405</v>
      </c>
      <c r="C6" s="30" t="s">
        <v>342</v>
      </c>
      <c r="D6" s="31">
        <v>45755</v>
      </c>
      <c r="E6" s="30">
        <v>12</v>
      </c>
      <c r="F6" s="30">
        <v>20.059999999999999</v>
      </c>
      <c r="G6" s="32">
        <v>1.6718999999999999</v>
      </c>
      <c r="H6" s="25">
        <v>16</v>
      </c>
      <c r="I6" s="25">
        <v>22</v>
      </c>
      <c r="J6" s="32">
        <v>1.375</v>
      </c>
      <c r="K6" s="33">
        <v>8.0799999999999997E-2</v>
      </c>
      <c r="L6" s="32">
        <v>0.469696969696969</v>
      </c>
      <c r="M6" s="32">
        <v>1</v>
      </c>
      <c r="N6" s="34" t="s">
        <v>224</v>
      </c>
      <c r="O6" s="33">
        <v>0.8125</v>
      </c>
      <c r="P6" s="25">
        <v>1</v>
      </c>
      <c r="Q6" s="25">
        <v>1</v>
      </c>
      <c r="R6" s="25">
        <v>11</v>
      </c>
      <c r="S6" s="25">
        <v>19</v>
      </c>
      <c r="T6" s="25">
        <v>10</v>
      </c>
      <c r="U6" s="25">
        <v>31</v>
      </c>
      <c r="V6" s="35" t="e">
        <v>#N/A</v>
      </c>
    </row>
    <row r="7" spans="1:22" ht="32" x14ac:dyDescent="0.2">
      <c r="A7" s="29" t="s">
        <v>18</v>
      </c>
      <c r="B7" s="30" t="s">
        <v>410</v>
      </c>
      <c r="C7" s="30" t="s">
        <v>340</v>
      </c>
      <c r="D7" s="31">
        <v>43749</v>
      </c>
      <c r="E7" s="30">
        <v>30</v>
      </c>
      <c r="F7" s="30">
        <v>15.13</v>
      </c>
      <c r="G7" s="32">
        <v>0.50419999999999998</v>
      </c>
      <c r="H7" s="25">
        <v>38</v>
      </c>
      <c r="I7" s="25">
        <v>34.25</v>
      </c>
      <c r="J7" s="32">
        <v>0.90129999999999999</v>
      </c>
      <c r="K7" s="33">
        <v>6.4100000000000004E-2</v>
      </c>
      <c r="L7" s="32">
        <v>0.81818181818181801</v>
      </c>
      <c r="M7" s="32">
        <v>1</v>
      </c>
      <c r="N7" s="34" t="s">
        <v>215</v>
      </c>
      <c r="O7" s="33">
        <v>0.92857142857142805</v>
      </c>
      <c r="P7" s="25">
        <v>1</v>
      </c>
      <c r="Q7" s="25">
        <v>10</v>
      </c>
      <c r="R7" s="25">
        <v>2</v>
      </c>
      <c r="S7" s="25"/>
      <c r="T7" s="25">
        <v>2</v>
      </c>
      <c r="U7" s="25">
        <v>17</v>
      </c>
      <c r="V7" s="35"/>
    </row>
    <row r="8" spans="1:22" ht="32" x14ac:dyDescent="0.2">
      <c r="A8" s="29" t="s">
        <v>19</v>
      </c>
      <c r="B8" s="30" t="s">
        <v>409</v>
      </c>
      <c r="C8" s="30" t="s">
        <v>80</v>
      </c>
      <c r="D8" s="31">
        <v>39309</v>
      </c>
      <c r="E8" s="30">
        <v>12</v>
      </c>
      <c r="F8" s="30">
        <v>4.88</v>
      </c>
      <c r="G8" s="32">
        <v>0.40629999999999999</v>
      </c>
      <c r="H8" s="25">
        <v>16</v>
      </c>
      <c r="I8" s="25">
        <v>14.44</v>
      </c>
      <c r="J8" s="32">
        <v>0.90229999999999999</v>
      </c>
      <c r="K8" s="33">
        <v>5.3999999999999999E-2</v>
      </c>
      <c r="L8" s="32">
        <v>1</v>
      </c>
      <c r="M8" s="32">
        <v>0.94444444444444398</v>
      </c>
      <c r="N8" s="34"/>
      <c r="O8" s="33">
        <v>1</v>
      </c>
      <c r="P8" s="25"/>
      <c r="Q8" s="25"/>
      <c r="R8" s="25"/>
      <c r="S8" s="25"/>
      <c r="T8" s="25">
        <v>1</v>
      </c>
      <c r="U8" s="25">
        <v>7</v>
      </c>
      <c r="V8" s="35">
        <v>3</v>
      </c>
    </row>
    <row r="9" spans="1:22" ht="16" x14ac:dyDescent="0.2">
      <c r="A9" s="29" t="s">
        <v>21</v>
      </c>
      <c r="B9" s="30" t="s">
        <v>410</v>
      </c>
      <c r="C9" s="30" t="s">
        <v>342</v>
      </c>
      <c r="D9" s="31">
        <v>45223</v>
      </c>
      <c r="E9" s="30">
        <v>12</v>
      </c>
      <c r="F9" s="30">
        <v>7.75</v>
      </c>
      <c r="G9" s="32">
        <v>0.64580000000000004</v>
      </c>
      <c r="H9" s="25">
        <v>16</v>
      </c>
      <c r="I9" s="25">
        <v>16.88</v>
      </c>
      <c r="J9" s="32">
        <v>1.0547</v>
      </c>
      <c r="K9" s="33">
        <v>0.19159999999999999</v>
      </c>
      <c r="L9" s="32">
        <v>1</v>
      </c>
      <c r="M9" s="32">
        <v>0.96666666666666601</v>
      </c>
      <c r="N9" s="34"/>
      <c r="O9" s="33">
        <v>1</v>
      </c>
      <c r="P9" s="25"/>
      <c r="Q9" s="25"/>
      <c r="R9" s="25">
        <v>2</v>
      </c>
      <c r="S9" s="25"/>
      <c r="T9" s="25">
        <v>0</v>
      </c>
      <c r="U9" s="25">
        <v>5</v>
      </c>
      <c r="V9" s="35" t="e">
        <v>#N/A</v>
      </c>
    </row>
    <row r="10" spans="1:22" ht="32" x14ac:dyDescent="0.2">
      <c r="A10" s="29" t="s">
        <v>22</v>
      </c>
      <c r="B10" s="30" t="s">
        <v>405</v>
      </c>
      <c r="C10" s="30" t="s">
        <v>333</v>
      </c>
      <c r="D10" s="31">
        <v>45683</v>
      </c>
      <c r="E10" s="30">
        <v>30</v>
      </c>
      <c r="F10" s="30">
        <v>19.75</v>
      </c>
      <c r="G10" s="32">
        <v>0.6583</v>
      </c>
      <c r="H10" s="25">
        <v>38</v>
      </c>
      <c r="I10" s="25">
        <v>35.94</v>
      </c>
      <c r="J10" s="32">
        <v>0.94569999999999999</v>
      </c>
      <c r="K10" s="33">
        <v>0.39860000000000001</v>
      </c>
      <c r="L10" s="32">
        <v>0.875</v>
      </c>
      <c r="M10" s="32">
        <v>0.87878787878787801</v>
      </c>
      <c r="N10" s="34" t="s">
        <v>213</v>
      </c>
      <c r="O10" s="33">
        <v>1</v>
      </c>
      <c r="P10" s="25">
        <v>1</v>
      </c>
      <c r="Q10" s="25">
        <v>10</v>
      </c>
      <c r="R10" s="25">
        <v>2</v>
      </c>
      <c r="S10" s="25"/>
      <c r="T10" s="25">
        <v>4</v>
      </c>
      <c r="U10" s="25">
        <v>23</v>
      </c>
      <c r="V10" s="35" t="e">
        <v>#N/A</v>
      </c>
    </row>
    <row r="11" spans="1:22" ht="16" x14ac:dyDescent="0.2">
      <c r="A11" s="29" t="s">
        <v>23</v>
      </c>
      <c r="B11" s="30" t="s">
        <v>409</v>
      </c>
      <c r="C11" s="30" t="s">
        <v>99</v>
      </c>
      <c r="D11" s="31">
        <v>43479</v>
      </c>
      <c r="E11" s="30">
        <v>30</v>
      </c>
      <c r="F11" s="30">
        <v>14.75</v>
      </c>
      <c r="G11" s="32">
        <v>0.49169999999999903</v>
      </c>
      <c r="H11" s="25">
        <v>38</v>
      </c>
      <c r="I11" s="25">
        <v>45</v>
      </c>
      <c r="J11" s="32">
        <v>1.1841999999999999</v>
      </c>
      <c r="K11" s="33">
        <v>0.123</v>
      </c>
      <c r="L11" s="32">
        <v>1</v>
      </c>
      <c r="M11" s="32">
        <v>1</v>
      </c>
      <c r="N11" s="34" t="s">
        <v>228</v>
      </c>
      <c r="O11" s="33">
        <v>0.33333333333333298</v>
      </c>
      <c r="P11" s="25"/>
      <c r="Q11" s="25"/>
      <c r="R11" s="25">
        <v>1</v>
      </c>
      <c r="S11" s="25"/>
      <c r="T11" s="25">
        <v>3</v>
      </c>
      <c r="U11" s="25">
        <v>11</v>
      </c>
      <c r="V11" s="35" t="e">
        <v>#N/A</v>
      </c>
    </row>
    <row r="12" spans="1:22" ht="16" x14ac:dyDescent="0.2">
      <c r="A12" s="29" t="s">
        <v>24</v>
      </c>
      <c r="B12" s="30" t="s">
        <v>410</v>
      </c>
      <c r="C12" s="30" t="s">
        <v>342</v>
      </c>
      <c r="D12" s="31">
        <v>45538</v>
      </c>
      <c r="E12" s="30">
        <v>30</v>
      </c>
      <c r="F12" s="30">
        <v>16.88</v>
      </c>
      <c r="G12" s="32">
        <v>0.5625</v>
      </c>
      <c r="H12" s="25">
        <v>38</v>
      </c>
      <c r="I12" s="25">
        <v>38.31</v>
      </c>
      <c r="J12" s="32">
        <v>1.0082</v>
      </c>
      <c r="K12" s="33">
        <v>0.15970000000000001</v>
      </c>
      <c r="L12" s="32">
        <v>0.84210526315789402</v>
      </c>
      <c r="M12" s="32">
        <v>1</v>
      </c>
      <c r="N12" s="34" t="s">
        <v>227</v>
      </c>
      <c r="O12" s="33">
        <v>0.88888888888888795</v>
      </c>
      <c r="P12" s="25"/>
      <c r="Q12" s="25"/>
      <c r="R12" s="25">
        <v>2</v>
      </c>
      <c r="S12" s="25">
        <v>1</v>
      </c>
      <c r="T12" s="25">
        <v>2</v>
      </c>
      <c r="U12" s="25">
        <v>13</v>
      </c>
      <c r="V12" s="35" t="e">
        <v>#N/A</v>
      </c>
    </row>
    <row r="13" spans="1:22" ht="32" x14ac:dyDescent="0.2">
      <c r="A13" s="29" t="s">
        <v>222</v>
      </c>
      <c r="B13" s="30" t="s">
        <v>405</v>
      </c>
      <c r="C13" s="30" t="s">
        <v>340</v>
      </c>
      <c r="D13" s="31">
        <v>45876</v>
      </c>
      <c r="E13" s="30">
        <v>30</v>
      </c>
      <c r="F13" s="30">
        <v>30.88</v>
      </c>
      <c r="G13" s="32">
        <v>1.0291999999999999</v>
      </c>
      <c r="H13" s="25">
        <v>38</v>
      </c>
      <c r="I13" s="25">
        <v>37.25</v>
      </c>
      <c r="J13" s="32">
        <v>0.98029999999999995</v>
      </c>
      <c r="K13" s="33">
        <v>0.23499999999999999</v>
      </c>
      <c r="L13" s="32">
        <v>0.97435897435897401</v>
      </c>
      <c r="M13" s="32">
        <v>0.98666666666666603</v>
      </c>
      <c r="N13" s="34" t="s">
        <v>219</v>
      </c>
      <c r="O13" s="33">
        <v>0.157894736842105</v>
      </c>
      <c r="P13" s="25">
        <v>2</v>
      </c>
      <c r="Q13" s="25">
        <v>9.5</v>
      </c>
      <c r="R13" s="25">
        <v>17</v>
      </c>
      <c r="S13" s="25"/>
      <c r="T13" s="25">
        <v>4</v>
      </c>
      <c r="U13" s="25">
        <v>34</v>
      </c>
      <c r="V13" s="35"/>
    </row>
    <row r="14" spans="1:22" ht="32" x14ac:dyDescent="0.2">
      <c r="A14" s="29" t="s">
        <v>26</v>
      </c>
      <c r="B14" s="30" t="s">
        <v>410</v>
      </c>
      <c r="C14" s="30" t="s">
        <v>340</v>
      </c>
      <c r="D14" s="31">
        <v>44218</v>
      </c>
      <c r="E14" s="30">
        <v>30</v>
      </c>
      <c r="F14" s="30">
        <v>26.13</v>
      </c>
      <c r="G14" s="32">
        <v>0.87080000000000002</v>
      </c>
      <c r="H14" s="25">
        <v>38</v>
      </c>
      <c r="I14" s="25">
        <v>53.5</v>
      </c>
      <c r="J14" s="32">
        <v>1.4078999999999999</v>
      </c>
      <c r="K14" s="33">
        <v>0.1173</v>
      </c>
      <c r="L14" s="32">
        <v>0.89830508474576198</v>
      </c>
      <c r="M14" s="32">
        <v>0.989247311827956</v>
      </c>
      <c r="N14" s="34" t="s">
        <v>227</v>
      </c>
      <c r="O14" s="33">
        <v>0.66666666666666596</v>
      </c>
      <c r="P14" s="25"/>
      <c r="Q14" s="25"/>
      <c r="R14" s="25">
        <v>6</v>
      </c>
      <c r="S14" s="25"/>
      <c r="T14" s="25">
        <v>5</v>
      </c>
      <c r="U14" s="25">
        <v>25</v>
      </c>
      <c r="V14" s="35">
        <v>4</v>
      </c>
    </row>
    <row r="15" spans="1:22" ht="32" x14ac:dyDescent="0.2">
      <c r="A15" s="29" t="s">
        <v>27</v>
      </c>
      <c r="B15" s="30" t="s">
        <v>409</v>
      </c>
      <c r="C15" s="30" t="s">
        <v>99</v>
      </c>
      <c r="D15" s="31">
        <v>42825</v>
      </c>
      <c r="E15" s="30">
        <v>30</v>
      </c>
      <c r="F15" s="30">
        <v>14.25</v>
      </c>
      <c r="G15" s="32">
        <v>0.47499999999999998</v>
      </c>
      <c r="H15" s="25">
        <v>38</v>
      </c>
      <c r="I15" s="25">
        <v>33.880000000000003</v>
      </c>
      <c r="J15" s="32">
        <v>0.89139999999999997</v>
      </c>
      <c r="K15" s="33">
        <v>0.2666</v>
      </c>
      <c r="L15" s="32">
        <v>0.96875</v>
      </c>
      <c r="M15" s="32">
        <v>0.94230769230769196</v>
      </c>
      <c r="N15" s="34" t="s">
        <v>215</v>
      </c>
      <c r="O15" s="33">
        <v>0.78571428571428503</v>
      </c>
      <c r="P15" s="25"/>
      <c r="Q15" s="25"/>
      <c r="R15" s="25">
        <v>3</v>
      </c>
      <c r="S15" s="25">
        <v>11</v>
      </c>
      <c r="T15" s="25">
        <v>1</v>
      </c>
      <c r="U15" s="25">
        <v>16</v>
      </c>
      <c r="V15" s="35" t="e">
        <v>#N/A</v>
      </c>
    </row>
    <row r="16" spans="1:22" ht="16" x14ac:dyDescent="0.2">
      <c r="A16" s="29" t="s">
        <v>29</v>
      </c>
      <c r="B16" s="30" t="s">
        <v>410</v>
      </c>
      <c r="C16" s="30" t="s">
        <v>342</v>
      </c>
      <c r="D16" s="31">
        <v>45294</v>
      </c>
      <c r="E16" s="30">
        <v>12</v>
      </c>
      <c r="F16" s="30">
        <v>5.5</v>
      </c>
      <c r="G16" s="32">
        <v>0.45829999999999999</v>
      </c>
      <c r="H16" s="25">
        <v>16</v>
      </c>
      <c r="I16" s="25">
        <v>14</v>
      </c>
      <c r="J16" s="32">
        <v>0.875</v>
      </c>
      <c r="K16" s="33">
        <v>4.7600000000000003E-2</v>
      </c>
      <c r="L16" s="32">
        <v>1</v>
      </c>
      <c r="M16" s="32">
        <v>1</v>
      </c>
      <c r="N16" s="34" t="s">
        <v>215</v>
      </c>
      <c r="O16" s="33">
        <v>1</v>
      </c>
      <c r="P16" s="25"/>
      <c r="Q16" s="25"/>
      <c r="R16" s="25">
        <v>1</v>
      </c>
      <c r="S16" s="25"/>
      <c r="T16" s="25">
        <v>1</v>
      </c>
      <c r="U16" s="25">
        <v>7</v>
      </c>
      <c r="V16" s="35" t="e">
        <v>#N/A</v>
      </c>
    </row>
    <row r="17" spans="1:22" ht="32" x14ac:dyDescent="0.2">
      <c r="A17" s="29" t="s">
        <v>30</v>
      </c>
      <c r="B17" s="30" t="s">
        <v>410</v>
      </c>
      <c r="C17" s="30" t="s">
        <v>340</v>
      </c>
      <c r="D17" s="31">
        <v>44015</v>
      </c>
      <c r="E17" s="30">
        <v>30</v>
      </c>
      <c r="F17" s="30">
        <v>24.63</v>
      </c>
      <c r="G17" s="32">
        <v>0.82079999999999997</v>
      </c>
      <c r="H17" s="25">
        <v>38</v>
      </c>
      <c r="I17" s="25">
        <v>61.44</v>
      </c>
      <c r="J17" s="32">
        <v>1.6168</v>
      </c>
      <c r="K17" s="33">
        <v>0.16750000000000001</v>
      </c>
      <c r="L17" s="32">
        <v>1</v>
      </c>
      <c r="M17" s="32">
        <v>0.956989247311827</v>
      </c>
      <c r="N17" s="34" t="s">
        <v>386</v>
      </c>
      <c r="O17" s="33">
        <v>0.86666666666666603</v>
      </c>
      <c r="P17" s="25"/>
      <c r="Q17" s="25"/>
      <c r="R17" s="25">
        <v>5</v>
      </c>
      <c r="S17" s="25"/>
      <c r="T17" s="25">
        <v>8</v>
      </c>
      <c r="U17" s="25">
        <v>22</v>
      </c>
      <c r="V17" s="35">
        <v>4.4000000000000004</v>
      </c>
    </row>
    <row r="18" spans="1:22" ht="32" x14ac:dyDescent="0.2">
      <c r="A18" s="29" t="s">
        <v>31</v>
      </c>
      <c r="B18" s="30" t="s">
        <v>409</v>
      </c>
      <c r="C18" s="30" t="s">
        <v>342</v>
      </c>
      <c r="D18" s="31">
        <v>44260</v>
      </c>
      <c r="E18" s="30">
        <v>20</v>
      </c>
      <c r="F18" s="30">
        <v>13.75</v>
      </c>
      <c r="G18" s="32">
        <v>0.6875</v>
      </c>
      <c r="H18" s="25">
        <v>24</v>
      </c>
      <c r="I18" s="25">
        <v>22.38</v>
      </c>
      <c r="J18" s="32">
        <v>0.93229999999999902</v>
      </c>
      <c r="K18" s="33">
        <v>2.8000000000000001E-2</v>
      </c>
      <c r="L18" s="32">
        <v>1</v>
      </c>
      <c r="M18" s="32">
        <v>1</v>
      </c>
      <c r="N18" s="34"/>
      <c r="O18" s="33">
        <v>0.36363636363636298</v>
      </c>
      <c r="P18" s="25"/>
      <c r="Q18" s="25"/>
      <c r="R18" s="25">
        <v>3</v>
      </c>
      <c r="S18" s="25"/>
      <c r="T18" s="25">
        <v>1</v>
      </c>
      <c r="U18" s="25">
        <v>11</v>
      </c>
      <c r="V18" s="35" t="e">
        <v>#N/A</v>
      </c>
    </row>
    <row r="19" spans="1:22" ht="16" x14ac:dyDescent="0.2">
      <c r="A19" s="29" t="s">
        <v>32</v>
      </c>
      <c r="B19" s="30" t="s">
        <v>405</v>
      </c>
      <c r="C19" s="30" t="s">
        <v>339</v>
      </c>
      <c r="D19" s="31">
        <v>45261</v>
      </c>
      <c r="E19" s="30">
        <v>30</v>
      </c>
      <c r="F19" s="30">
        <v>28.75</v>
      </c>
      <c r="G19" s="32">
        <v>0.95830000000000004</v>
      </c>
      <c r="H19" s="25">
        <v>38</v>
      </c>
      <c r="I19" s="25">
        <v>38.880000000000003</v>
      </c>
      <c r="J19" s="32">
        <v>1.0229999999999999</v>
      </c>
      <c r="K19" s="33">
        <v>0.14660000000000001</v>
      </c>
      <c r="L19" s="32">
        <v>1</v>
      </c>
      <c r="M19" s="32">
        <v>0.98666666666666603</v>
      </c>
      <c r="N19" s="34"/>
      <c r="O19" s="33">
        <v>0.28571428571428498</v>
      </c>
      <c r="P19" s="25">
        <v>2</v>
      </c>
      <c r="Q19" s="25">
        <v>5.5</v>
      </c>
      <c r="R19" s="25">
        <v>8</v>
      </c>
      <c r="S19" s="25"/>
      <c r="T19" s="25">
        <v>0</v>
      </c>
      <c r="U19" s="25">
        <v>26</v>
      </c>
      <c r="V19" s="35"/>
    </row>
    <row r="20" spans="1:22" ht="32" x14ac:dyDescent="0.2">
      <c r="A20" s="29" t="s">
        <v>33</v>
      </c>
      <c r="B20" s="30" t="s">
        <v>409</v>
      </c>
      <c r="C20" s="30" t="s">
        <v>80</v>
      </c>
      <c r="D20" s="31">
        <v>42909</v>
      </c>
      <c r="E20" s="30">
        <v>35</v>
      </c>
      <c r="F20" s="30">
        <v>28.13</v>
      </c>
      <c r="G20" s="32">
        <v>0.80359999999999998</v>
      </c>
      <c r="H20" s="25">
        <v>43</v>
      </c>
      <c r="I20" s="25">
        <v>53.129999999999903</v>
      </c>
      <c r="J20" s="32">
        <v>1.2355</v>
      </c>
      <c r="K20" s="33">
        <v>0.1479</v>
      </c>
      <c r="L20" s="32">
        <v>0.890625</v>
      </c>
      <c r="M20" s="32">
        <v>0.91463414634146301</v>
      </c>
      <c r="N20" s="34" t="s">
        <v>218</v>
      </c>
      <c r="O20" s="33">
        <v>0.96</v>
      </c>
      <c r="P20" s="25">
        <v>1</v>
      </c>
      <c r="Q20" s="25">
        <v>10</v>
      </c>
      <c r="R20" s="25">
        <v>14</v>
      </c>
      <c r="S20" s="25">
        <v>1</v>
      </c>
      <c r="T20" s="25">
        <v>4</v>
      </c>
      <c r="U20" s="25">
        <v>29</v>
      </c>
      <c r="V20" s="35">
        <v>3.1538461538461537</v>
      </c>
    </row>
    <row r="21" spans="1:22" ht="32" x14ac:dyDescent="0.2">
      <c r="A21" s="29" t="s">
        <v>35</v>
      </c>
      <c r="B21" s="30" t="s">
        <v>405</v>
      </c>
      <c r="C21" s="30" t="s">
        <v>333</v>
      </c>
      <c r="D21" s="31">
        <v>45225</v>
      </c>
      <c r="E21" s="30">
        <v>12</v>
      </c>
      <c r="F21" s="30">
        <v>18.13</v>
      </c>
      <c r="G21" s="32">
        <v>1.5104</v>
      </c>
      <c r="H21" s="25">
        <v>16</v>
      </c>
      <c r="I21" s="25">
        <v>34.06</v>
      </c>
      <c r="J21" s="32">
        <v>2.1288999999999998</v>
      </c>
      <c r="K21" s="33">
        <v>0.43980000000000002</v>
      </c>
      <c r="L21" s="32">
        <v>0.85714285714285698</v>
      </c>
      <c r="M21" s="32">
        <v>0.90140845070422504</v>
      </c>
      <c r="N21" s="34" t="s">
        <v>229</v>
      </c>
      <c r="O21" s="33">
        <v>0.6</v>
      </c>
      <c r="P21" s="25"/>
      <c r="Q21" s="25"/>
      <c r="R21" s="25">
        <v>5</v>
      </c>
      <c r="S21" s="25"/>
      <c r="T21" s="25">
        <v>6</v>
      </c>
      <c r="U21" s="25">
        <v>18</v>
      </c>
      <c r="V21" s="35" t="e">
        <v>#N/A</v>
      </c>
    </row>
    <row r="22" spans="1:22" ht="32" x14ac:dyDescent="0.2">
      <c r="A22" s="29" t="s">
        <v>613</v>
      </c>
      <c r="B22" s="30" t="s">
        <v>405</v>
      </c>
      <c r="C22" s="30" t="s">
        <v>429</v>
      </c>
      <c r="D22" s="31">
        <v>45967</v>
      </c>
      <c r="E22" s="30">
        <v>35</v>
      </c>
      <c r="F22" s="30">
        <v>6.13</v>
      </c>
      <c r="G22" s="32">
        <v>0.17499999999999999</v>
      </c>
      <c r="H22" s="25">
        <v>43</v>
      </c>
      <c r="I22" s="25">
        <v>29.38</v>
      </c>
      <c r="J22" s="32">
        <v>0.68310000000000004</v>
      </c>
      <c r="K22" s="33">
        <v>0.44180000000000003</v>
      </c>
      <c r="L22" s="32">
        <v>0.76923076923076905</v>
      </c>
      <c r="M22" s="32">
        <v>0.95833333333333304</v>
      </c>
      <c r="N22" s="34" t="s">
        <v>241</v>
      </c>
      <c r="O22" s="33"/>
      <c r="P22" s="25"/>
      <c r="Q22" s="25"/>
      <c r="R22" s="25"/>
      <c r="S22" s="25"/>
      <c r="T22" s="25">
        <v>11</v>
      </c>
      <c r="U22" s="25">
        <v>11</v>
      </c>
      <c r="V22" s="35"/>
    </row>
    <row r="23" spans="1:22" ht="16" x14ac:dyDescent="0.2">
      <c r="A23" s="29" t="s">
        <v>36</v>
      </c>
      <c r="B23" s="30" t="s">
        <v>409</v>
      </c>
      <c r="C23" s="30" t="s">
        <v>99</v>
      </c>
      <c r="D23" s="31">
        <v>44281</v>
      </c>
      <c r="E23" s="30">
        <v>30</v>
      </c>
      <c r="F23" s="30">
        <v>15.059999999999899</v>
      </c>
      <c r="G23" s="32">
        <v>0.50209999999999999</v>
      </c>
      <c r="H23" s="25">
        <v>38</v>
      </c>
      <c r="I23" s="25">
        <v>40.19</v>
      </c>
      <c r="J23" s="32">
        <v>1.0575999999999901</v>
      </c>
      <c r="K23" s="33">
        <v>0.1236</v>
      </c>
      <c r="L23" s="32">
        <v>1</v>
      </c>
      <c r="M23" s="32">
        <v>1</v>
      </c>
      <c r="N23" s="34"/>
      <c r="O23" s="33">
        <v>1</v>
      </c>
      <c r="P23" s="25"/>
      <c r="Q23" s="25"/>
      <c r="R23" s="25">
        <v>3</v>
      </c>
      <c r="S23" s="25"/>
      <c r="T23" s="25">
        <v>0</v>
      </c>
      <c r="U23" s="25">
        <v>13</v>
      </c>
      <c r="V23" s="35" t="e">
        <v>#N/A</v>
      </c>
    </row>
    <row r="24" spans="1:22" ht="32" x14ac:dyDescent="0.2">
      <c r="A24" s="29" t="s">
        <v>231</v>
      </c>
      <c r="B24" s="30" t="s">
        <v>405</v>
      </c>
      <c r="C24" s="30" t="s">
        <v>333</v>
      </c>
      <c r="D24" s="31">
        <v>45853</v>
      </c>
      <c r="E24" s="30">
        <v>35</v>
      </c>
      <c r="F24" s="30">
        <v>22.25</v>
      </c>
      <c r="G24" s="32">
        <v>0.63570000000000004</v>
      </c>
      <c r="H24" s="25">
        <v>43</v>
      </c>
      <c r="I24" s="25">
        <v>46.42</v>
      </c>
      <c r="J24" s="32">
        <v>1.0794999999999999</v>
      </c>
      <c r="K24" s="33">
        <v>0.29360000000000003</v>
      </c>
      <c r="L24" s="32">
        <v>0.96610169491525399</v>
      </c>
      <c r="M24" s="32">
        <v>0.98809523809523803</v>
      </c>
      <c r="N24" s="34" t="s">
        <v>219</v>
      </c>
      <c r="O24" s="33">
        <v>0.33333333333333298</v>
      </c>
      <c r="P24" s="25">
        <v>2</v>
      </c>
      <c r="Q24" s="25">
        <v>10</v>
      </c>
      <c r="R24" s="25">
        <v>8</v>
      </c>
      <c r="S24" s="25"/>
      <c r="T24" s="25">
        <v>1</v>
      </c>
      <c r="U24" s="25">
        <v>30</v>
      </c>
      <c r="V24" s="35" t="e">
        <v>#N/A</v>
      </c>
    </row>
    <row r="25" spans="1:22" ht="32" x14ac:dyDescent="0.2">
      <c r="A25" s="29" t="s">
        <v>233</v>
      </c>
      <c r="B25" s="30" t="s">
        <v>405</v>
      </c>
      <c r="C25" s="30" t="s">
        <v>333</v>
      </c>
      <c r="D25" s="31">
        <v>45944</v>
      </c>
      <c r="E25" s="30">
        <v>30</v>
      </c>
      <c r="F25" s="30">
        <v>24.5</v>
      </c>
      <c r="G25" s="32">
        <v>0.81669999999999998</v>
      </c>
      <c r="H25" s="25">
        <v>38</v>
      </c>
      <c r="I25" s="25">
        <v>41.56</v>
      </c>
      <c r="J25" s="32">
        <v>1.0937999999999899</v>
      </c>
      <c r="K25" s="33">
        <v>0.188</v>
      </c>
      <c r="L25" s="32">
        <v>0.98387096774193505</v>
      </c>
      <c r="M25" s="32">
        <v>0.989247311827956</v>
      </c>
      <c r="N25" s="34" t="s">
        <v>324</v>
      </c>
      <c r="O25" s="33">
        <v>0.33333333333333298</v>
      </c>
      <c r="P25" s="25"/>
      <c r="Q25" s="25"/>
      <c r="R25" s="25">
        <v>0</v>
      </c>
      <c r="S25" s="25"/>
      <c r="T25" s="25">
        <v>20</v>
      </c>
      <c r="U25" s="25">
        <v>25</v>
      </c>
      <c r="V25" s="35" t="e">
        <v>#N/A</v>
      </c>
    </row>
    <row r="26" spans="1:22" ht="32" x14ac:dyDescent="0.2">
      <c r="A26" s="29" t="s">
        <v>38</v>
      </c>
      <c r="B26" s="30" t="s">
        <v>405</v>
      </c>
      <c r="C26" s="30" t="s">
        <v>333</v>
      </c>
      <c r="D26" s="31">
        <v>45194</v>
      </c>
      <c r="E26" s="30">
        <v>12</v>
      </c>
      <c r="F26" s="30">
        <v>15.13</v>
      </c>
      <c r="G26" s="32">
        <v>1.2604</v>
      </c>
      <c r="H26" s="25">
        <v>16</v>
      </c>
      <c r="I26" s="25">
        <v>19.309999999999999</v>
      </c>
      <c r="J26" s="32">
        <v>1.2070000000000001</v>
      </c>
      <c r="K26" s="33">
        <v>0.24540000000000001</v>
      </c>
      <c r="L26" s="32">
        <v>1</v>
      </c>
      <c r="M26" s="32">
        <v>1</v>
      </c>
      <c r="N26" s="34" t="s">
        <v>227</v>
      </c>
      <c r="O26" s="33">
        <v>0.78571428571428503</v>
      </c>
      <c r="P26" s="25">
        <v>3</v>
      </c>
      <c r="Q26" s="25">
        <v>10</v>
      </c>
      <c r="R26" s="25">
        <v>4</v>
      </c>
      <c r="S26" s="25"/>
      <c r="T26" s="25">
        <v>3</v>
      </c>
      <c r="U26" s="25">
        <v>20</v>
      </c>
      <c r="V26" s="35" t="e">
        <v>#N/A</v>
      </c>
    </row>
    <row r="27" spans="1:22" ht="16" x14ac:dyDescent="0.2">
      <c r="A27" s="29" t="s">
        <v>39</v>
      </c>
      <c r="B27" s="30" t="s">
        <v>409</v>
      </c>
      <c r="C27" s="30" t="s">
        <v>99</v>
      </c>
      <c r="D27" s="31">
        <v>43536</v>
      </c>
      <c r="E27" s="30">
        <v>12</v>
      </c>
      <c r="F27" s="30">
        <v>6.38</v>
      </c>
      <c r="G27" s="32">
        <v>0.53129999999999999</v>
      </c>
      <c r="H27" s="25">
        <v>16</v>
      </c>
      <c r="I27" s="25">
        <v>16.440000000000001</v>
      </c>
      <c r="J27" s="32">
        <v>1.0272999999999901</v>
      </c>
      <c r="K27" s="33">
        <v>0.17369999999999999</v>
      </c>
      <c r="L27" s="32">
        <v>0.95</v>
      </c>
      <c r="M27" s="32">
        <v>1</v>
      </c>
      <c r="N27" s="34"/>
      <c r="O27" s="33">
        <v>1</v>
      </c>
      <c r="P27" s="25"/>
      <c r="Q27" s="25"/>
      <c r="R27" s="25">
        <v>2</v>
      </c>
      <c r="S27" s="25"/>
      <c r="T27" s="25">
        <v>1</v>
      </c>
      <c r="U27" s="25">
        <v>9</v>
      </c>
      <c r="V27" s="35" t="e">
        <v>#N/A</v>
      </c>
    </row>
    <row r="28" spans="1:22" ht="16" x14ac:dyDescent="0.2">
      <c r="A28" s="29" t="s">
        <v>40</v>
      </c>
      <c r="B28" s="30" t="s">
        <v>405</v>
      </c>
      <c r="C28" s="30" t="s">
        <v>333</v>
      </c>
      <c r="D28" s="31">
        <v>45264</v>
      </c>
      <c r="E28" s="30">
        <v>30</v>
      </c>
      <c r="F28" s="30">
        <v>38.5</v>
      </c>
      <c r="G28" s="32">
        <v>1.2832999999999899</v>
      </c>
      <c r="H28" s="25">
        <v>38</v>
      </c>
      <c r="I28" s="25">
        <v>41.88</v>
      </c>
      <c r="J28" s="32">
        <v>1.1019999999999901</v>
      </c>
      <c r="K28" s="33">
        <v>0.1449</v>
      </c>
      <c r="L28" s="32">
        <v>0.98019801980197996</v>
      </c>
      <c r="M28" s="32">
        <v>0.98816568047337205</v>
      </c>
      <c r="N28" s="34" t="s">
        <v>215</v>
      </c>
      <c r="O28" s="33">
        <v>0.80645161290322498</v>
      </c>
      <c r="P28" s="25">
        <v>2</v>
      </c>
      <c r="Q28" s="25">
        <v>10</v>
      </c>
      <c r="R28" s="25">
        <v>13</v>
      </c>
      <c r="S28" s="25">
        <v>3</v>
      </c>
      <c r="T28" s="25">
        <v>6</v>
      </c>
      <c r="U28" s="25">
        <v>38</v>
      </c>
      <c r="V28" s="35" t="e">
        <v>#N/A</v>
      </c>
    </row>
    <row r="29" spans="1:22" ht="16" x14ac:dyDescent="0.2">
      <c r="A29" s="29" t="s">
        <v>634</v>
      </c>
      <c r="B29" s="30" t="s">
        <v>405</v>
      </c>
      <c r="C29" s="30" t="s">
        <v>429</v>
      </c>
      <c r="D29" s="31">
        <v>45992</v>
      </c>
      <c r="E29" s="30">
        <v>35</v>
      </c>
      <c r="F29" s="30"/>
      <c r="G29" s="32"/>
      <c r="H29" s="25">
        <v>43</v>
      </c>
      <c r="I29" s="25"/>
      <c r="J29" s="32"/>
      <c r="K29" s="33"/>
      <c r="L29" s="32"/>
      <c r="M29" s="32"/>
      <c r="N29" s="34"/>
      <c r="O29" s="33"/>
      <c r="P29" s="25"/>
      <c r="Q29" s="25"/>
      <c r="R29" s="25"/>
      <c r="S29" s="25"/>
      <c r="T29" s="25">
        <v>0</v>
      </c>
      <c r="U29" s="25">
        <v>0</v>
      </c>
      <c r="V29" s="35"/>
    </row>
    <row r="30" spans="1:22" ht="32" x14ac:dyDescent="0.2">
      <c r="A30" s="29" t="s">
        <v>41</v>
      </c>
      <c r="B30" s="30" t="s">
        <v>409</v>
      </c>
      <c r="C30" s="30" t="s">
        <v>99</v>
      </c>
      <c r="D30" s="31">
        <v>43363</v>
      </c>
      <c r="E30" s="30">
        <v>30</v>
      </c>
      <c r="F30" s="30">
        <v>22.5</v>
      </c>
      <c r="G30" s="32">
        <v>0.75</v>
      </c>
      <c r="H30" s="25">
        <v>38</v>
      </c>
      <c r="I30" s="25">
        <v>36</v>
      </c>
      <c r="J30" s="32">
        <v>0.94740000000000002</v>
      </c>
      <c r="K30" s="33">
        <v>0.2185</v>
      </c>
      <c r="L30" s="32">
        <v>0.87234042553191404</v>
      </c>
      <c r="M30" s="32">
        <v>0.94047619047619002</v>
      </c>
      <c r="N30" s="34" t="s">
        <v>213</v>
      </c>
      <c r="O30" s="33">
        <v>0.71428571428571397</v>
      </c>
      <c r="P30" s="25">
        <v>1</v>
      </c>
      <c r="Q30" s="25">
        <v>5</v>
      </c>
      <c r="R30" s="25">
        <v>0</v>
      </c>
      <c r="S30" s="25">
        <v>4</v>
      </c>
      <c r="T30" s="25">
        <v>6</v>
      </c>
      <c r="U30" s="25">
        <v>19</v>
      </c>
      <c r="V30" s="35" t="e">
        <v>#N/A</v>
      </c>
    </row>
    <row r="31" spans="1:22" ht="16" x14ac:dyDescent="0.2">
      <c r="A31" s="29" t="s">
        <v>42</v>
      </c>
      <c r="B31" s="30" t="s">
        <v>409</v>
      </c>
      <c r="C31" s="30" t="s">
        <v>339</v>
      </c>
      <c r="D31" s="31">
        <v>43903</v>
      </c>
      <c r="E31" s="30">
        <v>12</v>
      </c>
      <c r="F31" s="30">
        <v>5</v>
      </c>
      <c r="G31" s="32">
        <v>0.41669999999999902</v>
      </c>
      <c r="H31" s="25">
        <v>16</v>
      </c>
      <c r="I31" s="25">
        <v>16.5</v>
      </c>
      <c r="J31" s="32">
        <v>1.0312999999999899</v>
      </c>
      <c r="K31" s="33"/>
      <c r="L31" s="32">
        <v>1</v>
      </c>
      <c r="M31" s="32">
        <v>1</v>
      </c>
      <c r="N31" s="34" t="s">
        <v>215</v>
      </c>
      <c r="O31" s="33">
        <v>1</v>
      </c>
      <c r="P31" s="25"/>
      <c r="Q31" s="25"/>
      <c r="R31" s="25"/>
      <c r="S31" s="25"/>
      <c r="T31" s="25">
        <v>1</v>
      </c>
      <c r="U31" s="25">
        <v>3</v>
      </c>
      <c r="V31" s="35" t="e">
        <v>#N/A</v>
      </c>
    </row>
    <row r="32" spans="1:22" ht="32" x14ac:dyDescent="0.2">
      <c r="A32" s="29" t="s">
        <v>235</v>
      </c>
      <c r="B32" s="30" t="s">
        <v>405</v>
      </c>
      <c r="C32" s="30" t="s">
        <v>430</v>
      </c>
      <c r="D32" s="31">
        <v>45958</v>
      </c>
      <c r="E32" s="30">
        <v>20</v>
      </c>
      <c r="F32" s="30">
        <v>8.6299999999999901</v>
      </c>
      <c r="G32" s="32">
        <v>0.43130000000000002</v>
      </c>
      <c r="H32" s="25">
        <v>24</v>
      </c>
      <c r="I32" s="25">
        <v>22.88</v>
      </c>
      <c r="J32" s="32">
        <v>0.95309999999999995</v>
      </c>
      <c r="K32" s="33">
        <v>0.92179999999999995</v>
      </c>
      <c r="L32" s="32">
        <v>0.95454545454545403</v>
      </c>
      <c r="M32" s="32">
        <v>1</v>
      </c>
      <c r="N32" s="34" t="s">
        <v>293</v>
      </c>
      <c r="O32" s="33"/>
      <c r="P32" s="25"/>
      <c r="Q32" s="25"/>
      <c r="R32" s="25">
        <v>3</v>
      </c>
      <c r="S32" s="25">
        <v>2</v>
      </c>
      <c r="T32" s="25">
        <v>14</v>
      </c>
      <c r="U32" s="25">
        <v>14</v>
      </c>
      <c r="V32" s="35"/>
    </row>
    <row r="33" spans="1:22" ht="16" x14ac:dyDescent="0.2">
      <c r="A33" s="29" t="s">
        <v>45</v>
      </c>
      <c r="B33" s="30" t="s">
        <v>410</v>
      </c>
      <c r="C33" s="30" t="s">
        <v>342</v>
      </c>
      <c r="D33" s="31">
        <v>45261</v>
      </c>
      <c r="E33" s="30">
        <v>12</v>
      </c>
      <c r="F33" s="30">
        <v>10.25</v>
      </c>
      <c r="G33" s="32">
        <v>0.85419999999999996</v>
      </c>
      <c r="H33" s="25">
        <v>16</v>
      </c>
      <c r="I33" s="25">
        <v>19.059999999999999</v>
      </c>
      <c r="J33" s="32">
        <v>1.1914</v>
      </c>
      <c r="K33" s="33">
        <v>0.1111</v>
      </c>
      <c r="L33" s="32">
        <v>1</v>
      </c>
      <c r="M33" s="32">
        <v>1</v>
      </c>
      <c r="N33" s="34"/>
      <c r="O33" s="33">
        <v>1</v>
      </c>
      <c r="P33" s="25"/>
      <c r="Q33" s="25"/>
      <c r="R33" s="25">
        <v>6</v>
      </c>
      <c r="S33" s="25"/>
      <c r="T33" s="25">
        <v>0</v>
      </c>
      <c r="U33" s="25">
        <v>10</v>
      </c>
      <c r="V33" s="35" t="e">
        <v>#N/A</v>
      </c>
    </row>
    <row r="34" spans="1:22" ht="32" x14ac:dyDescent="0.2">
      <c r="A34" s="29" t="s">
        <v>46</v>
      </c>
      <c r="B34" s="30" t="s">
        <v>410</v>
      </c>
      <c r="C34" s="30" t="s">
        <v>340</v>
      </c>
      <c r="D34" s="31">
        <v>45197</v>
      </c>
      <c r="E34" s="30">
        <v>30</v>
      </c>
      <c r="F34" s="30">
        <v>22</v>
      </c>
      <c r="G34" s="32">
        <v>0.73329999999999995</v>
      </c>
      <c r="H34" s="25">
        <v>38</v>
      </c>
      <c r="I34" s="25">
        <v>44.31</v>
      </c>
      <c r="J34" s="32">
        <v>1.1660999999999899</v>
      </c>
      <c r="K34" s="33">
        <v>0.315</v>
      </c>
      <c r="L34" s="32">
        <v>1</v>
      </c>
      <c r="M34" s="32">
        <v>0.87209302325581295</v>
      </c>
      <c r="N34" s="34" t="s">
        <v>393</v>
      </c>
      <c r="O34" s="33">
        <v>1</v>
      </c>
      <c r="P34" s="25"/>
      <c r="Q34" s="25"/>
      <c r="R34" s="25">
        <v>4</v>
      </c>
      <c r="S34" s="25"/>
      <c r="T34" s="25">
        <v>13</v>
      </c>
      <c r="U34" s="25">
        <v>32</v>
      </c>
      <c r="V34" s="35">
        <v>5</v>
      </c>
    </row>
    <row r="35" spans="1:22" ht="32" x14ac:dyDescent="0.2">
      <c r="A35" s="29" t="s">
        <v>236</v>
      </c>
      <c r="B35" s="30" t="s">
        <v>405</v>
      </c>
      <c r="C35" s="30" t="s">
        <v>342</v>
      </c>
      <c r="D35" s="31">
        <v>45757</v>
      </c>
      <c r="E35" s="30">
        <v>30</v>
      </c>
      <c r="F35" s="30">
        <v>31.5</v>
      </c>
      <c r="G35" s="32">
        <v>1.05</v>
      </c>
      <c r="H35" s="25">
        <v>38</v>
      </c>
      <c r="I35" s="25">
        <v>36.69</v>
      </c>
      <c r="J35" s="32">
        <v>0.96549999999999903</v>
      </c>
      <c r="K35" s="33">
        <v>0.1351</v>
      </c>
      <c r="L35" s="32">
        <v>0.97590361445783103</v>
      </c>
      <c r="M35" s="32">
        <v>0.952380952380952</v>
      </c>
      <c r="N35" s="34" t="s">
        <v>216</v>
      </c>
      <c r="O35" s="33">
        <v>0.7</v>
      </c>
      <c r="P35" s="25">
        <v>1</v>
      </c>
      <c r="Q35" s="25">
        <v>10</v>
      </c>
      <c r="R35" s="25">
        <v>6</v>
      </c>
      <c r="S35" s="25"/>
      <c r="T35" s="25">
        <v>6</v>
      </c>
      <c r="U35" s="25">
        <v>35</v>
      </c>
      <c r="V35" s="35" t="e">
        <v>#N/A</v>
      </c>
    </row>
    <row r="36" spans="1:22" ht="16" x14ac:dyDescent="0.2">
      <c r="A36" s="29" t="s">
        <v>238</v>
      </c>
      <c r="B36" s="30" t="s">
        <v>405</v>
      </c>
      <c r="C36" s="30" t="s">
        <v>339</v>
      </c>
      <c r="D36" s="31">
        <v>45786</v>
      </c>
      <c r="E36" s="30">
        <v>35</v>
      </c>
      <c r="F36" s="30">
        <v>30.88</v>
      </c>
      <c r="G36" s="32">
        <v>0.8821</v>
      </c>
      <c r="H36" s="25">
        <v>43</v>
      </c>
      <c r="I36" s="25">
        <v>38.5</v>
      </c>
      <c r="J36" s="32">
        <v>0.89529999999999998</v>
      </c>
      <c r="K36" s="33">
        <v>0.15720000000000001</v>
      </c>
      <c r="L36" s="32">
        <v>0.98039215686274495</v>
      </c>
      <c r="M36" s="32">
        <v>0.98780487804878003</v>
      </c>
      <c r="N36" s="34" t="s">
        <v>229</v>
      </c>
      <c r="O36" s="33">
        <v>1</v>
      </c>
      <c r="P36" s="25"/>
      <c r="Q36" s="25"/>
      <c r="R36" s="25">
        <v>14</v>
      </c>
      <c r="S36" s="25"/>
      <c r="T36" s="25">
        <v>6</v>
      </c>
      <c r="U36" s="25">
        <v>43</v>
      </c>
      <c r="V36" s="35" t="e">
        <v>#N/A</v>
      </c>
    </row>
    <row r="37" spans="1:22" ht="32" x14ac:dyDescent="0.2">
      <c r="A37" s="29" t="s">
        <v>635</v>
      </c>
      <c r="B37" s="30" t="s">
        <v>405</v>
      </c>
      <c r="C37" s="30" t="s">
        <v>430</v>
      </c>
      <c r="D37" s="31">
        <v>45992</v>
      </c>
      <c r="E37" s="30">
        <v>35</v>
      </c>
      <c r="F37" s="30"/>
      <c r="G37" s="32"/>
      <c r="H37" s="25">
        <v>43</v>
      </c>
      <c r="I37" s="25"/>
      <c r="J37" s="32"/>
      <c r="K37" s="33"/>
      <c r="L37" s="32"/>
      <c r="M37" s="32"/>
      <c r="N37" s="34"/>
      <c r="O37" s="33"/>
      <c r="P37" s="25"/>
      <c r="Q37" s="25"/>
      <c r="R37" s="25"/>
      <c r="S37" s="25"/>
      <c r="T37" s="25">
        <v>0</v>
      </c>
      <c r="U37" s="25">
        <v>0</v>
      </c>
      <c r="V37" s="35"/>
    </row>
    <row r="38" spans="1:22" ht="32" x14ac:dyDescent="0.2">
      <c r="A38" s="29" t="s">
        <v>239</v>
      </c>
      <c r="B38" s="30" t="s">
        <v>405</v>
      </c>
      <c r="C38" s="30" t="s">
        <v>339</v>
      </c>
      <c r="D38" s="31">
        <v>45902</v>
      </c>
      <c r="E38" s="30">
        <v>30</v>
      </c>
      <c r="F38" s="30">
        <v>31.88</v>
      </c>
      <c r="G38" s="32">
        <v>1.0625</v>
      </c>
      <c r="H38" s="25">
        <v>38</v>
      </c>
      <c r="I38" s="25">
        <v>42.38</v>
      </c>
      <c r="J38" s="32">
        <v>1.1151</v>
      </c>
      <c r="K38" s="33">
        <v>0.34860000000000002</v>
      </c>
      <c r="L38" s="32">
        <v>0.96969696969696895</v>
      </c>
      <c r="M38" s="32">
        <v>0.99236641221374</v>
      </c>
      <c r="N38" s="34" t="s">
        <v>394</v>
      </c>
      <c r="O38" s="33">
        <v>0.92857142857142805</v>
      </c>
      <c r="P38" s="25"/>
      <c r="Q38" s="25"/>
      <c r="R38" s="25">
        <v>10</v>
      </c>
      <c r="S38" s="25"/>
      <c r="T38" s="25">
        <v>27</v>
      </c>
      <c r="U38" s="25">
        <v>49</v>
      </c>
      <c r="V38" s="35" t="e">
        <v>#N/A</v>
      </c>
    </row>
    <row r="39" spans="1:22" ht="32" x14ac:dyDescent="0.2">
      <c r="A39" s="29" t="s">
        <v>48</v>
      </c>
      <c r="B39" s="30" t="s">
        <v>405</v>
      </c>
      <c r="C39" s="30" t="s">
        <v>333</v>
      </c>
      <c r="D39" s="31">
        <v>45684</v>
      </c>
      <c r="E39" s="30">
        <v>30</v>
      </c>
      <c r="F39" s="30">
        <v>35.380000000000003</v>
      </c>
      <c r="G39" s="32">
        <v>1.1792</v>
      </c>
      <c r="H39" s="25">
        <v>38</v>
      </c>
      <c r="I39" s="25">
        <v>40.69</v>
      </c>
      <c r="J39" s="32">
        <v>1.0707</v>
      </c>
      <c r="K39" s="33">
        <v>0.2412</v>
      </c>
      <c r="L39" s="32">
        <v>1</v>
      </c>
      <c r="M39" s="32">
        <v>0.984615384615384</v>
      </c>
      <c r="N39" s="34" t="s">
        <v>221</v>
      </c>
      <c r="O39" s="33">
        <v>0.96296296296296202</v>
      </c>
      <c r="P39" s="25"/>
      <c r="Q39" s="25"/>
      <c r="R39" s="25">
        <v>14</v>
      </c>
      <c r="S39" s="25"/>
      <c r="T39" s="25">
        <v>10</v>
      </c>
      <c r="U39" s="25">
        <v>39</v>
      </c>
      <c r="V39" s="35" t="e">
        <v>#N/A</v>
      </c>
    </row>
    <row r="40" spans="1:22" ht="32" x14ac:dyDescent="0.2">
      <c r="A40" s="29" t="s">
        <v>49</v>
      </c>
      <c r="B40" s="30" t="s">
        <v>405</v>
      </c>
      <c r="C40" s="30" t="s">
        <v>340</v>
      </c>
      <c r="D40" s="31">
        <v>45666</v>
      </c>
      <c r="E40" s="30">
        <v>30</v>
      </c>
      <c r="F40" s="30">
        <v>26.75</v>
      </c>
      <c r="G40" s="32">
        <v>0.89169999999999905</v>
      </c>
      <c r="H40" s="25">
        <v>38</v>
      </c>
      <c r="I40" s="25">
        <v>36</v>
      </c>
      <c r="J40" s="32">
        <v>0.94740000000000002</v>
      </c>
      <c r="K40" s="33">
        <v>0.2339</v>
      </c>
      <c r="L40" s="32">
        <v>0.91549295774647799</v>
      </c>
      <c r="M40" s="32">
        <v>0.85981308411214896</v>
      </c>
      <c r="N40" s="34" t="s">
        <v>224</v>
      </c>
      <c r="O40" s="33">
        <v>0.66666666666666596</v>
      </c>
      <c r="P40" s="25">
        <v>1</v>
      </c>
      <c r="Q40" s="25">
        <v>10</v>
      </c>
      <c r="R40" s="25">
        <v>9</v>
      </c>
      <c r="S40" s="25"/>
      <c r="T40" s="25">
        <v>5</v>
      </c>
      <c r="U40" s="25">
        <v>23</v>
      </c>
      <c r="V40" s="35">
        <v>4</v>
      </c>
    </row>
    <row r="41" spans="1:22" ht="32" x14ac:dyDescent="0.2">
      <c r="A41" s="29" t="s">
        <v>50</v>
      </c>
      <c r="B41" s="30" t="s">
        <v>409</v>
      </c>
      <c r="C41" s="30" t="s">
        <v>342</v>
      </c>
      <c r="D41" s="31">
        <v>41246</v>
      </c>
      <c r="E41" s="30">
        <v>12</v>
      </c>
      <c r="F41" s="30">
        <v>0</v>
      </c>
      <c r="G41" s="32">
        <v>0</v>
      </c>
      <c r="H41" s="25">
        <v>16</v>
      </c>
      <c r="I41" s="25"/>
      <c r="J41" s="32"/>
      <c r="K41" s="33"/>
      <c r="L41" s="32"/>
      <c r="M41" s="32"/>
      <c r="N41" s="34"/>
      <c r="O41" s="33"/>
      <c r="P41" s="25"/>
      <c r="Q41" s="25"/>
      <c r="R41" s="25"/>
      <c r="S41" s="25"/>
      <c r="T41" s="25">
        <v>0</v>
      </c>
      <c r="U41" s="25">
        <v>0</v>
      </c>
      <c r="V41" s="35"/>
    </row>
    <row r="42" spans="1:22" ht="16" x14ac:dyDescent="0.2">
      <c r="A42" s="29" t="s">
        <v>51</v>
      </c>
      <c r="B42" s="30" t="s">
        <v>409</v>
      </c>
      <c r="C42" s="30" t="s">
        <v>333</v>
      </c>
      <c r="D42" s="31">
        <v>43903</v>
      </c>
      <c r="E42" s="30">
        <v>20</v>
      </c>
      <c r="F42" s="30">
        <v>11.5</v>
      </c>
      <c r="G42" s="32">
        <v>0.57499999999999996</v>
      </c>
      <c r="H42" s="25">
        <v>24</v>
      </c>
      <c r="I42" s="25">
        <v>25.38</v>
      </c>
      <c r="J42" s="32">
        <v>1.0572999999999999</v>
      </c>
      <c r="K42" s="33">
        <v>0.28649999999999998</v>
      </c>
      <c r="L42" s="32">
        <v>0.96875</v>
      </c>
      <c r="M42" s="32">
        <v>1</v>
      </c>
      <c r="N42" s="34" t="s">
        <v>219</v>
      </c>
      <c r="O42" s="33">
        <v>1</v>
      </c>
      <c r="P42" s="25"/>
      <c r="Q42" s="25"/>
      <c r="R42" s="25">
        <v>1</v>
      </c>
      <c r="S42" s="25"/>
      <c r="T42" s="25">
        <v>1</v>
      </c>
      <c r="U42" s="25">
        <v>12</v>
      </c>
      <c r="V42" s="35" t="e">
        <v>#N/A</v>
      </c>
    </row>
    <row r="43" spans="1:22" ht="32" x14ac:dyDescent="0.2">
      <c r="A43" s="29" t="s">
        <v>636</v>
      </c>
      <c r="B43" s="30" t="s">
        <v>405</v>
      </c>
      <c r="C43" s="30" t="s">
        <v>430</v>
      </c>
      <c r="D43" s="31">
        <v>45978</v>
      </c>
      <c r="E43" s="30">
        <v>35</v>
      </c>
      <c r="F43" s="30">
        <v>0</v>
      </c>
      <c r="G43" s="32">
        <v>0</v>
      </c>
      <c r="H43" s="25">
        <v>43</v>
      </c>
      <c r="I43" s="25">
        <v>12.75</v>
      </c>
      <c r="J43" s="32">
        <v>0.29649999999999999</v>
      </c>
      <c r="K43" s="33"/>
      <c r="L43" s="32"/>
      <c r="M43" s="32"/>
      <c r="N43" s="34"/>
      <c r="O43" s="33"/>
      <c r="P43" s="25"/>
      <c r="Q43" s="25"/>
      <c r="R43" s="25"/>
      <c r="S43" s="25"/>
      <c r="T43" s="25">
        <v>0</v>
      </c>
      <c r="U43" s="25">
        <v>0</v>
      </c>
      <c r="V43" s="35"/>
    </row>
    <row r="44" spans="1:22" ht="32" x14ac:dyDescent="0.2">
      <c r="A44" s="29" t="s">
        <v>52</v>
      </c>
      <c r="B44" s="30" t="s">
        <v>409</v>
      </c>
      <c r="C44" s="30" t="s">
        <v>99</v>
      </c>
      <c r="D44" s="31">
        <v>43479</v>
      </c>
      <c r="E44" s="30">
        <v>30</v>
      </c>
      <c r="F44" s="30">
        <v>26.88</v>
      </c>
      <c r="G44" s="32">
        <v>0.89580000000000004</v>
      </c>
      <c r="H44" s="25">
        <v>38</v>
      </c>
      <c r="I44" s="25">
        <v>44.56</v>
      </c>
      <c r="J44" s="32">
        <v>1.1727000000000001</v>
      </c>
      <c r="K44" s="33">
        <v>8.5699999999999998E-2</v>
      </c>
      <c r="L44" s="32">
        <v>0.971830985915492</v>
      </c>
      <c r="M44" s="32">
        <v>0.99009900990098998</v>
      </c>
      <c r="N44" s="34" t="s">
        <v>234</v>
      </c>
      <c r="O44" s="33">
        <v>0.95454545454545403</v>
      </c>
      <c r="P44" s="25"/>
      <c r="Q44" s="25"/>
      <c r="R44" s="25">
        <v>5</v>
      </c>
      <c r="S44" s="25">
        <v>1</v>
      </c>
      <c r="T44" s="25">
        <v>3</v>
      </c>
      <c r="U44" s="25">
        <v>25</v>
      </c>
      <c r="V44" s="35" t="e">
        <v>#N/A</v>
      </c>
    </row>
    <row r="45" spans="1:22" ht="32" x14ac:dyDescent="0.2">
      <c r="A45" s="29" t="s">
        <v>53</v>
      </c>
      <c r="B45" s="30" t="s">
        <v>405</v>
      </c>
      <c r="C45" s="30" t="s">
        <v>342</v>
      </c>
      <c r="D45" s="31">
        <v>45282</v>
      </c>
      <c r="E45" s="30">
        <v>30</v>
      </c>
      <c r="F45" s="30">
        <v>29.04</v>
      </c>
      <c r="G45" s="32">
        <v>0.96809999999999996</v>
      </c>
      <c r="H45" s="25">
        <v>38</v>
      </c>
      <c r="I45" s="25">
        <v>37.69</v>
      </c>
      <c r="J45" s="32">
        <v>0.99179999999999902</v>
      </c>
      <c r="K45" s="33">
        <v>0.2452</v>
      </c>
      <c r="L45" s="32">
        <v>0.9375</v>
      </c>
      <c r="M45" s="32">
        <v>0.94642857142857095</v>
      </c>
      <c r="N45" s="34" t="s">
        <v>215</v>
      </c>
      <c r="O45" s="33">
        <v>0.63157894736842102</v>
      </c>
      <c r="P45" s="25">
        <v>1</v>
      </c>
      <c r="Q45" s="25">
        <v>10</v>
      </c>
      <c r="R45" s="25">
        <v>11</v>
      </c>
      <c r="S45" s="25">
        <v>1</v>
      </c>
      <c r="T45" s="25">
        <v>8</v>
      </c>
      <c r="U45" s="25">
        <v>40</v>
      </c>
      <c r="V45" s="35" t="e">
        <v>#N/A</v>
      </c>
    </row>
    <row r="46" spans="1:22" ht="32" x14ac:dyDescent="0.2">
      <c r="A46" s="29" t="s">
        <v>54</v>
      </c>
      <c r="B46" s="30" t="s">
        <v>409</v>
      </c>
      <c r="C46" s="30" t="s">
        <v>99</v>
      </c>
      <c r="D46" s="31">
        <v>42576</v>
      </c>
      <c r="E46" s="30">
        <v>30</v>
      </c>
      <c r="F46" s="30">
        <v>12.88</v>
      </c>
      <c r="G46" s="32">
        <v>0.42919999999999903</v>
      </c>
      <c r="H46" s="25">
        <v>38</v>
      </c>
      <c r="I46" s="25">
        <v>36.81</v>
      </c>
      <c r="J46" s="32">
        <v>0.968799999999999</v>
      </c>
      <c r="K46" s="33">
        <v>9.5699999999999993E-2</v>
      </c>
      <c r="L46" s="32">
        <v>0.91176470588235203</v>
      </c>
      <c r="M46" s="32">
        <v>1</v>
      </c>
      <c r="N46" s="34"/>
      <c r="O46" s="33">
        <v>0.53846153846153799</v>
      </c>
      <c r="P46" s="25">
        <v>2</v>
      </c>
      <c r="Q46" s="25">
        <v>9</v>
      </c>
      <c r="R46" s="25">
        <v>5</v>
      </c>
      <c r="S46" s="25"/>
      <c r="T46" s="25">
        <v>0</v>
      </c>
      <c r="U46" s="25">
        <v>14</v>
      </c>
      <c r="V46" s="35" t="e">
        <v>#N/A</v>
      </c>
    </row>
    <row r="47" spans="1:22" ht="32" x14ac:dyDescent="0.2">
      <c r="A47" s="29" t="s">
        <v>55</v>
      </c>
      <c r="B47" s="30" t="s">
        <v>409</v>
      </c>
      <c r="C47" s="30" t="s">
        <v>339</v>
      </c>
      <c r="D47" s="31">
        <v>43441</v>
      </c>
      <c r="E47" s="30">
        <v>12</v>
      </c>
      <c r="F47" s="30">
        <v>10</v>
      </c>
      <c r="G47" s="32">
        <v>0.83330000000000004</v>
      </c>
      <c r="H47" s="25">
        <v>16</v>
      </c>
      <c r="I47" s="25">
        <v>22.56</v>
      </c>
      <c r="J47" s="32">
        <v>1.4101999999999999</v>
      </c>
      <c r="K47" s="33">
        <v>0.15090000000000001</v>
      </c>
      <c r="L47" s="32">
        <v>0.96153846153846101</v>
      </c>
      <c r="M47" s="32">
        <v>0.86111111111111105</v>
      </c>
      <c r="N47" s="34" t="s">
        <v>215</v>
      </c>
      <c r="O47" s="33">
        <v>0.625</v>
      </c>
      <c r="P47" s="25"/>
      <c r="Q47" s="25"/>
      <c r="R47" s="25">
        <v>3</v>
      </c>
      <c r="S47" s="25">
        <v>27</v>
      </c>
      <c r="T47" s="25">
        <v>2</v>
      </c>
      <c r="U47" s="25">
        <v>10</v>
      </c>
      <c r="V47" s="35" t="e">
        <v>#N/A</v>
      </c>
    </row>
    <row r="48" spans="1:22" ht="32" x14ac:dyDescent="0.2">
      <c r="A48" s="29" t="s">
        <v>56</v>
      </c>
      <c r="B48" s="30" t="s">
        <v>405</v>
      </c>
      <c r="C48" s="30" t="s">
        <v>339</v>
      </c>
      <c r="D48" s="31">
        <v>45289</v>
      </c>
      <c r="E48" s="30">
        <v>30</v>
      </c>
      <c r="F48" s="30">
        <v>20.190000000000001</v>
      </c>
      <c r="G48" s="32">
        <v>0.67289999999999905</v>
      </c>
      <c r="H48" s="25">
        <v>38</v>
      </c>
      <c r="I48" s="25">
        <v>28.06</v>
      </c>
      <c r="J48" s="32">
        <v>0.73849999999999905</v>
      </c>
      <c r="K48" s="33">
        <v>0.122</v>
      </c>
      <c r="L48" s="32">
        <v>0.61538461538461497</v>
      </c>
      <c r="M48" s="32">
        <v>0.95652173913043403</v>
      </c>
      <c r="N48" s="34" t="s">
        <v>226</v>
      </c>
      <c r="O48" s="33">
        <v>0.75</v>
      </c>
      <c r="P48" s="25"/>
      <c r="Q48" s="25"/>
      <c r="R48" s="25">
        <v>16</v>
      </c>
      <c r="S48" s="25"/>
      <c r="T48" s="25">
        <v>12</v>
      </c>
      <c r="U48" s="25">
        <v>41</v>
      </c>
      <c r="V48" s="35" t="e">
        <v>#N/A</v>
      </c>
    </row>
    <row r="49" spans="1:22" ht="16" x14ac:dyDescent="0.2">
      <c r="A49" s="29" t="s">
        <v>245</v>
      </c>
      <c r="B49" s="30" t="s">
        <v>405</v>
      </c>
      <c r="C49" s="30" t="s">
        <v>339</v>
      </c>
      <c r="D49" s="31">
        <v>45750</v>
      </c>
      <c r="E49" s="30">
        <v>30</v>
      </c>
      <c r="F49" s="30">
        <v>32</v>
      </c>
      <c r="G49" s="32">
        <v>1.0667</v>
      </c>
      <c r="H49" s="25">
        <v>38</v>
      </c>
      <c r="I49" s="25">
        <v>43.19</v>
      </c>
      <c r="J49" s="32">
        <v>1.1365000000000001</v>
      </c>
      <c r="K49" s="33">
        <v>0.3851</v>
      </c>
      <c r="L49" s="32">
        <v>0.97959183673469297</v>
      </c>
      <c r="M49" s="32">
        <v>0.911392405063291</v>
      </c>
      <c r="N49" s="34" t="s">
        <v>282</v>
      </c>
      <c r="O49" s="33">
        <v>1</v>
      </c>
      <c r="P49" s="25"/>
      <c r="Q49" s="25"/>
      <c r="R49" s="25">
        <v>9</v>
      </c>
      <c r="S49" s="25"/>
      <c r="T49" s="25">
        <v>11</v>
      </c>
      <c r="U49" s="25">
        <v>38</v>
      </c>
      <c r="V49" s="35" t="e">
        <v>#N/A</v>
      </c>
    </row>
    <row r="50" spans="1:22" ht="48" x14ac:dyDescent="0.2">
      <c r="A50" s="29" t="s">
        <v>57</v>
      </c>
      <c r="B50" s="30" t="s">
        <v>405</v>
      </c>
      <c r="C50" s="30" t="s">
        <v>340</v>
      </c>
      <c r="D50" s="31">
        <v>45702</v>
      </c>
      <c r="E50" s="30">
        <v>30</v>
      </c>
      <c r="F50" s="30">
        <v>30.88</v>
      </c>
      <c r="G50" s="32">
        <v>1.0291999999999999</v>
      </c>
      <c r="H50" s="25">
        <v>38</v>
      </c>
      <c r="I50" s="25">
        <v>37.130000000000003</v>
      </c>
      <c r="J50" s="32">
        <v>0.97699999999999998</v>
      </c>
      <c r="K50" s="33">
        <v>0.27510000000000001</v>
      </c>
      <c r="L50" s="32">
        <v>0.938271604938271</v>
      </c>
      <c r="M50" s="32">
        <v>0.98373983739837301</v>
      </c>
      <c r="N50" s="34" t="s">
        <v>232</v>
      </c>
      <c r="O50" s="33">
        <v>0.95</v>
      </c>
      <c r="P50" s="25">
        <v>1</v>
      </c>
      <c r="Q50" s="25">
        <v>2</v>
      </c>
      <c r="R50" s="25">
        <v>11</v>
      </c>
      <c r="S50" s="25"/>
      <c r="T50" s="25">
        <v>17</v>
      </c>
      <c r="U50" s="25">
        <v>44</v>
      </c>
      <c r="V50" s="35">
        <v>3.7692307692307692</v>
      </c>
    </row>
    <row r="51" spans="1:22" ht="48" x14ac:dyDescent="0.2">
      <c r="A51" s="29" t="s">
        <v>249</v>
      </c>
      <c r="B51" s="30" t="s">
        <v>405</v>
      </c>
      <c r="C51" s="30" t="s">
        <v>333</v>
      </c>
      <c r="D51" s="31">
        <v>45756</v>
      </c>
      <c r="E51" s="30">
        <v>20</v>
      </c>
      <c r="F51" s="30">
        <v>21.63</v>
      </c>
      <c r="G51" s="32">
        <v>1.0812999999999999</v>
      </c>
      <c r="H51" s="25">
        <v>24</v>
      </c>
      <c r="I51" s="25">
        <v>27.439999999999898</v>
      </c>
      <c r="J51" s="32">
        <v>1.1432</v>
      </c>
      <c r="K51" s="33">
        <v>0.27050000000000002</v>
      </c>
      <c r="L51" s="32">
        <v>1</v>
      </c>
      <c r="M51" s="32">
        <v>0.98780487804878003</v>
      </c>
      <c r="N51" s="34" t="s">
        <v>216</v>
      </c>
      <c r="O51" s="33">
        <v>0.3125</v>
      </c>
      <c r="P51" s="25"/>
      <c r="Q51" s="25"/>
      <c r="R51" s="25">
        <v>11</v>
      </c>
      <c r="S51" s="25"/>
      <c r="T51" s="25">
        <v>6</v>
      </c>
      <c r="U51" s="25">
        <v>24</v>
      </c>
      <c r="V51" s="35" t="e">
        <v>#N/A</v>
      </c>
    </row>
    <row r="52" spans="1:22" ht="16" x14ac:dyDescent="0.2">
      <c r="A52" s="29" t="s">
        <v>250</v>
      </c>
      <c r="B52" s="30" t="s">
        <v>405</v>
      </c>
      <c r="C52" s="30" t="s">
        <v>333</v>
      </c>
      <c r="D52" s="31">
        <v>45875</v>
      </c>
      <c r="E52" s="30">
        <v>30</v>
      </c>
      <c r="F52" s="30">
        <v>31.88</v>
      </c>
      <c r="G52" s="32">
        <v>1.0625</v>
      </c>
      <c r="H52" s="25">
        <v>38</v>
      </c>
      <c r="I52" s="25">
        <v>39</v>
      </c>
      <c r="J52" s="32">
        <v>1.0263</v>
      </c>
      <c r="K52" s="33">
        <v>0.2099</v>
      </c>
      <c r="L52" s="32">
        <v>1</v>
      </c>
      <c r="M52" s="32">
        <v>0.9921875</v>
      </c>
      <c r="N52" s="34" t="s">
        <v>246</v>
      </c>
      <c r="O52" s="33">
        <v>0</v>
      </c>
      <c r="P52" s="25"/>
      <c r="Q52" s="25"/>
      <c r="R52" s="25">
        <v>9</v>
      </c>
      <c r="S52" s="25"/>
      <c r="T52" s="25">
        <v>14</v>
      </c>
      <c r="U52" s="25">
        <v>38</v>
      </c>
      <c r="V52" s="35"/>
    </row>
    <row r="53" spans="1:22" ht="32" x14ac:dyDescent="0.2">
      <c r="A53" s="29" t="s">
        <v>58</v>
      </c>
      <c r="B53" s="30" t="s">
        <v>409</v>
      </c>
      <c r="C53" s="30" t="s">
        <v>99</v>
      </c>
      <c r="D53" s="31">
        <v>43322</v>
      </c>
      <c r="E53" s="30">
        <v>35</v>
      </c>
      <c r="F53" s="30">
        <v>22.88</v>
      </c>
      <c r="G53" s="32">
        <v>0.65359999999999996</v>
      </c>
      <c r="H53" s="25">
        <v>43</v>
      </c>
      <c r="I53" s="25">
        <v>57.879999999999903</v>
      </c>
      <c r="J53" s="32">
        <v>1.3458999999999901</v>
      </c>
      <c r="K53" s="33">
        <v>0.14380000000000001</v>
      </c>
      <c r="L53" s="32">
        <v>1</v>
      </c>
      <c r="M53" s="32">
        <v>1</v>
      </c>
      <c r="N53" s="34" t="s">
        <v>262</v>
      </c>
      <c r="O53" s="33">
        <v>0.69230769230769196</v>
      </c>
      <c r="P53" s="25"/>
      <c r="Q53" s="25"/>
      <c r="R53" s="25">
        <v>2</v>
      </c>
      <c r="S53" s="25"/>
      <c r="T53" s="25">
        <v>7</v>
      </c>
      <c r="U53" s="25">
        <v>19</v>
      </c>
      <c r="V53" s="35" t="e">
        <v>#N/A</v>
      </c>
    </row>
    <row r="54" spans="1:22" ht="32" x14ac:dyDescent="0.2">
      <c r="A54" s="29" t="s">
        <v>59</v>
      </c>
      <c r="B54" s="30" t="s">
        <v>410</v>
      </c>
      <c r="C54" s="30" t="s">
        <v>339</v>
      </c>
      <c r="D54" s="31">
        <v>45191</v>
      </c>
      <c r="E54" s="30">
        <v>30</v>
      </c>
      <c r="F54" s="30">
        <v>17</v>
      </c>
      <c r="G54" s="32">
        <v>0.56669999999999998</v>
      </c>
      <c r="H54" s="25">
        <v>38</v>
      </c>
      <c r="I54" s="25">
        <v>37.69</v>
      </c>
      <c r="J54" s="32">
        <v>0.99179999999999902</v>
      </c>
      <c r="K54" s="33">
        <v>7.9299999999999995E-2</v>
      </c>
      <c r="L54" s="32">
        <v>0.97368421052631504</v>
      </c>
      <c r="M54" s="32">
        <v>1</v>
      </c>
      <c r="N54" s="34" t="s">
        <v>234</v>
      </c>
      <c r="O54" s="33">
        <v>0.33333333333333298</v>
      </c>
      <c r="P54" s="25"/>
      <c r="Q54" s="25"/>
      <c r="R54" s="25">
        <v>4</v>
      </c>
      <c r="S54" s="25"/>
      <c r="T54" s="25">
        <v>6</v>
      </c>
      <c r="U54" s="25">
        <v>15</v>
      </c>
      <c r="V54" s="35" t="e">
        <v>#N/A</v>
      </c>
    </row>
    <row r="55" spans="1:22" ht="16" x14ac:dyDescent="0.2">
      <c r="A55" s="29" t="s">
        <v>60</v>
      </c>
      <c r="B55" s="30" t="s">
        <v>405</v>
      </c>
      <c r="C55" s="30" t="s">
        <v>342</v>
      </c>
      <c r="D55" s="31">
        <v>45212</v>
      </c>
      <c r="E55" s="30">
        <v>12</v>
      </c>
      <c r="F55" s="30">
        <v>13.88</v>
      </c>
      <c r="G55" s="32">
        <v>1.1562999999999899</v>
      </c>
      <c r="H55" s="25">
        <v>16</v>
      </c>
      <c r="I55" s="25">
        <v>17.63</v>
      </c>
      <c r="J55" s="32">
        <v>1.1015999999999999</v>
      </c>
      <c r="K55" s="33">
        <v>0.14560000000000001</v>
      </c>
      <c r="L55" s="32">
        <v>0.91428571428571404</v>
      </c>
      <c r="M55" s="32">
        <v>0.78260869565217295</v>
      </c>
      <c r="N55" s="34" t="s">
        <v>243</v>
      </c>
      <c r="O55" s="33">
        <v>0.44444444444444398</v>
      </c>
      <c r="P55" s="25"/>
      <c r="Q55" s="25"/>
      <c r="R55" s="25">
        <v>3</v>
      </c>
      <c r="S55" s="25">
        <v>10</v>
      </c>
      <c r="T55" s="25">
        <v>4</v>
      </c>
      <c r="U55" s="25">
        <v>17</v>
      </c>
      <c r="V55" s="35" t="e">
        <v>#N/A</v>
      </c>
    </row>
    <row r="56" spans="1:22" ht="32" x14ac:dyDescent="0.2">
      <c r="A56" s="29" t="s">
        <v>61</v>
      </c>
      <c r="B56" s="30" t="s">
        <v>405</v>
      </c>
      <c r="C56" s="30" t="s">
        <v>339</v>
      </c>
      <c r="D56" s="31">
        <v>45196</v>
      </c>
      <c r="E56" s="30">
        <v>12</v>
      </c>
      <c r="F56" s="30">
        <v>10.44</v>
      </c>
      <c r="G56" s="32">
        <v>0.86979999999999902</v>
      </c>
      <c r="H56" s="25">
        <v>16</v>
      </c>
      <c r="I56" s="25">
        <v>21.06</v>
      </c>
      <c r="J56" s="32">
        <v>1.3164</v>
      </c>
      <c r="K56" s="33">
        <v>0.2077</v>
      </c>
      <c r="L56" s="32">
        <v>1</v>
      </c>
      <c r="M56" s="32">
        <v>0.97959183673469297</v>
      </c>
      <c r="N56" s="34" t="s">
        <v>228</v>
      </c>
      <c r="O56" s="33">
        <v>1</v>
      </c>
      <c r="P56" s="25"/>
      <c r="Q56" s="25"/>
      <c r="R56" s="25">
        <v>2</v>
      </c>
      <c r="S56" s="25"/>
      <c r="T56" s="25">
        <v>3</v>
      </c>
      <c r="U56" s="25">
        <v>12</v>
      </c>
      <c r="V56" s="35"/>
    </row>
    <row r="57" spans="1:22" ht="32" x14ac:dyDescent="0.2">
      <c r="A57" s="29" t="s">
        <v>252</v>
      </c>
      <c r="B57" s="30" t="s">
        <v>405</v>
      </c>
      <c r="C57" s="30" t="s">
        <v>430</v>
      </c>
      <c r="D57" s="31">
        <v>45947</v>
      </c>
      <c r="E57" s="30">
        <v>12</v>
      </c>
      <c r="F57" s="30">
        <v>6.63</v>
      </c>
      <c r="G57" s="32">
        <v>0.55210000000000004</v>
      </c>
      <c r="H57" s="25">
        <v>16</v>
      </c>
      <c r="I57" s="25">
        <v>14.19</v>
      </c>
      <c r="J57" s="32">
        <v>0.88670000000000004</v>
      </c>
      <c r="K57" s="33">
        <v>0.6764</v>
      </c>
      <c r="L57" s="32">
        <v>1</v>
      </c>
      <c r="M57" s="32">
        <v>1</v>
      </c>
      <c r="N57" s="34" t="s">
        <v>241</v>
      </c>
      <c r="O57" s="33"/>
      <c r="P57" s="25"/>
      <c r="Q57" s="25"/>
      <c r="R57" s="25">
        <v>2</v>
      </c>
      <c r="S57" s="25"/>
      <c r="T57" s="25">
        <v>14</v>
      </c>
      <c r="U57" s="25">
        <v>14</v>
      </c>
      <c r="V57" s="35"/>
    </row>
    <row r="58" spans="1:22" ht="32" x14ac:dyDescent="0.2">
      <c r="A58" s="29" t="s">
        <v>63</v>
      </c>
      <c r="B58" s="30" t="s">
        <v>405</v>
      </c>
      <c r="C58" s="30" t="s">
        <v>342</v>
      </c>
      <c r="D58" s="31">
        <v>44015</v>
      </c>
      <c r="E58" s="30">
        <v>12</v>
      </c>
      <c r="F58" s="30">
        <v>7.88</v>
      </c>
      <c r="G58" s="32">
        <v>0.65629999999999999</v>
      </c>
      <c r="H58" s="25">
        <v>16</v>
      </c>
      <c r="I58" s="25">
        <v>17.5</v>
      </c>
      <c r="J58" s="32">
        <v>1.0937999999999899</v>
      </c>
      <c r="K58" s="33">
        <v>0.45090000000000002</v>
      </c>
      <c r="L58" s="32">
        <v>0.87096774193548299</v>
      </c>
      <c r="M58" s="32">
        <v>0.98039215686274495</v>
      </c>
      <c r="N58" s="34" t="s">
        <v>225</v>
      </c>
      <c r="O58" s="33">
        <v>0.81818181818181801</v>
      </c>
      <c r="P58" s="25"/>
      <c r="Q58" s="25"/>
      <c r="R58" s="25">
        <v>6</v>
      </c>
      <c r="S58" s="25"/>
      <c r="T58" s="25">
        <v>3</v>
      </c>
      <c r="U58" s="25">
        <v>15</v>
      </c>
      <c r="V58" s="35" t="e">
        <v>#N/A</v>
      </c>
    </row>
    <row r="59" spans="1:22" ht="16" x14ac:dyDescent="0.2">
      <c r="A59" s="29" t="s">
        <v>64</v>
      </c>
      <c r="B59" s="30" t="s">
        <v>410</v>
      </c>
      <c r="C59" s="30" t="s">
        <v>340</v>
      </c>
      <c r="D59" s="31">
        <v>44281</v>
      </c>
      <c r="E59" s="30">
        <v>35</v>
      </c>
      <c r="F59" s="30">
        <v>25.13</v>
      </c>
      <c r="G59" s="32">
        <v>0.71789999999999998</v>
      </c>
      <c r="H59" s="25">
        <v>43</v>
      </c>
      <c r="I59" s="25">
        <v>49</v>
      </c>
      <c r="J59" s="32">
        <v>1.1395</v>
      </c>
      <c r="K59" s="33">
        <v>0.16919999999999999</v>
      </c>
      <c r="L59" s="32">
        <v>1</v>
      </c>
      <c r="M59" s="32">
        <v>0.94565217391304301</v>
      </c>
      <c r="N59" s="34"/>
      <c r="O59" s="33">
        <v>1</v>
      </c>
      <c r="P59" s="25">
        <v>1</v>
      </c>
      <c r="Q59" s="25">
        <v>9</v>
      </c>
      <c r="R59" s="25">
        <v>1</v>
      </c>
      <c r="S59" s="25"/>
      <c r="T59" s="25">
        <v>1</v>
      </c>
      <c r="U59" s="25">
        <v>20</v>
      </c>
      <c r="V59" s="35">
        <v>4.4444444444444446</v>
      </c>
    </row>
    <row r="60" spans="1:22" ht="32" x14ac:dyDescent="0.2">
      <c r="A60" s="29" t="s">
        <v>65</v>
      </c>
      <c r="B60" s="30" t="s">
        <v>409</v>
      </c>
      <c r="C60" s="30" t="s">
        <v>340</v>
      </c>
      <c r="D60" s="31">
        <v>44613</v>
      </c>
      <c r="E60" s="30">
        <v>30</v>
      </c>
      <c r="F60" s="30">
        <v>0</v>
      </c>
      <c r="G60" s="32">
        <v>0</v>
      </c>
      <c r="H60" s="25">
        <v>38</v>
      </c>
      <c r="I60" s="25">
        <v>1</v>
      </c>
      <c r="J60" s="32">
        <v>2.63E-2</v>
      </c>
      <c r="K60" s="33"/>
      <c r="L60" s="32"/>
      <c r="M60" s="32"/>
      <c r="N60" s="34"/>
      <c r="O60" s="33"/>
      <c r="P60" s="25"/>
      <c r="Q60" s="25"/>
      <c r="R60" s="25"/>
      <c r="S60" s="25"/>
      <c r="T60" s="25">
        <v>0</v>
      </c>
      <c r="U60" s="25">
        <v>2</v>
      </c>
      <c r="V60" s="35"/>
    </row>
    <row r="61" spans="1:22" ht="16" x14ac:dyDescent="0.2">
      <c r="A61" s="29" t="s">
        <v>254</v>
      </c>
      <c r="B61" s="30" t="s">
        <v>405</v>
      </c>
      <c r="C61" s="30" t="s">
        <v>333</v>
      </c>
      <c r="D61" s="31">
        <v>45717</v>
      </c>
      <c r="E61" s="30">
        <v>35</v>
      </c>
      <c r="F61" s="30">
        <v>31.13</v>
      </c>
      <c r="G61" s="32">
        <v>0.88929999999999898</v>
      </c>
      <c r="H61" s="25">
        <v>43</v>
      </c>
      <c r="I61" s="25">
        <v>36.5</v>
      </c>
      <c r="J61" s="32">
        <v>0.8488</v>
      </c>
      <c r="K61" s="33">
        <v>0.1762</v>
      </c>
      <c r="L61" s="32">
        <v>0.92307692307692302</v>
      </c>
      <c r="M61" s="32">
        <v>0.92857142857142805</v>
      </c>
      <c r="N61" s="34" t="s">
        <v>381</v>
      </c>
      <c r="O61" s="33">
        <v>0.86666666666666603</v>
      </c>
      <c r="P61" s="25">
        <v>1</v>
      </c>
      <c r="Q61" s="25">
        <v>10</v>
      </c>
      <c r="R61" s="25">
        <v>12</v>
      </c>
      <c r="S61" s="25"/>
      <c r="T61" s="25">
        <v>15</v>
      </c>
      <c r="U61" s="25">
        <v>41</v>
      </c>
      <c r="V61" s="35" t="e">
        <v>#N/A</v>
      </c>
    </row>
    <row r="62" spans="1:22" ht="32" x14ac:dyDescent="0.2">
      <c r="A62" s="29" t="s">
        <v>67</v>
      </c>
      <c r="B62" s="30" t="s">
        <v>410</v>
      </c>
      <c r="C62" s="30" t="s">
        <v>340</v>
      </c>
      <c r="D62" s="31">
        <v>45206</v>
      </c>
      <c r="E62" s="30">
        <v>30</v>
      </c>
      <c r="F62" s="30">
        <v>19.5</v>
      </c>
      <c r="G62" s="32">
        <v>0.65</v>
      </c>
      <c r="H62" s="25">
        <v>38</v>
      </c>
      <c r="I62" s="25">
        <v>38.69</v>
      </c>
      <c r="J62" s="32">
        <v>1.0181</v>
      </c>
      <c r="K62" s="33">
        <v>0.18160000000000001</v>
      </c>
      <c r="L62" s="32">
        <v>1</v>
      </c>
      <c r="M62" s="32">
        <v>1</v>
      </c>
      <c r="N62" s="34" t="s">
        <v>227</v>
      </c>
      <c r="O62" s="33">
        <v>0.64285714285714202</v>
      </c>
      <c r="P62" s="25"/>
      <c r="Q62" s="25"/>
      <c r="R62" s="25">
        <v>1</v>
      </c>
      <c r="S62" s="25"/>
      <c r="T62" s="25">
        <v>4</v>
      </c>
      <c r="U62" s="25">
        <v>20</v>
      </c>
      <c r="V62" s="35">
        <v>4.4000000000000004</v>
      </c>
    </row>
    <row r="63" spans="1:22" ht="32" x14ac:dyDescent="0.2">
      <c r="A63" s="29" t="s">
        <v>68</v>
      </c>
      <c r="B63" s="30" t="s">
        <v>405</v>
      </c>
      <c r="C63" s="30" t="s">
        <v>340</v>
      </c>
      <c r="D63" s="31">
        <v>44330</v>
      </c>
      <c r="E63" s="30">
        <v>30</v>
      </c>
      <c r="F63" s="30">
        <v>24.25</v>
      </c>
      <c r="G63" s="32">
        <v>0.80830000000000002</v>
      </c>
      <c r="H63" s="25">
        <v>38</v>
      </c>
      <c r="I63" s="25">
        <v>35.31</v>
      </c>
      <c r="J63" s="32">
        <v>0.92929999999999902</v>
      </c>
      <c r="K63" s="33">
        <v>0.21560000000000001</v>
      </c>
      <c r="L63" s="32">
        <v>1</v>
      </c>
      <c r="M63" s="32">
        <v>0.97029702970297005</v>
      </c>
      <c r="N63" s="34" t="s">
        <v>243</v>
      </c>
      <c r="O63" s="33">
        <v>0.80952380952380898</v>
      </c>
      <c r="P63" s="25"/>
      <c r="Q63" s="25"/>
      <c r="R63" s="25">
        <v>9</v>
      </c>
      <c r="S63" s="25"/>
      <c r="T63" s="25">
        <v>6</v>
      </c>
      <c r="U63" s="25">
        <v>31</v>
      </c>
      <c r="V63" s="35">
        <v>3.9285714285714284</v>
      </c>
    </row>
    <row r="64" spans="1:22" ht="16" x14ac:dyDescent="0.2">
      <c r="A64" s="29" t="s">
        <v>69</v>
      </c>
      <c r="B64" s="30" t="s">
        <v>405</v>
      </c>
      <c r="C64" s="30" t="s">
        <v>339</v>
      </c>
      <c r="D64" s="31">
        <v>45264</v>
      </c>
      <c r="E64" s="30">
        <v>12</v>
      </c>
      <c r="F64" s="30">
        <v>10.8799999999999</v>
      </c>
      <c r="G64" s="32">
        <v>0.906299999999999</v>
      </c>
      <c r="H64" s="25">
        <v>16</v>
      </c>
      <c r="I64" s="25">
        <v>17.169999999999899</v>
      </c>
      <c r="J64" s="32">
        <v>1.0729</v>
      </c>
      <c r="K64" s="33">
        <v>8.8300000000000003E-2</v>
      </c>
      <c r="L64" s="32">
        <v>1</v>
      </c>
      <c r="M64" s="32">
        <v>1</v>
      </c>
      <c r="N64" s="34" t="s">
        <v>225</v>
      </c>
      <c r="O64" s="33">
        <v>0.90909090909090895</v>
      </c>
      <c r="P64" s="25"/>
      <c r="Q64" s="25"/>
      <c r="R64" s="25">
        <v>2</v>
      </c>
      <c r="S64" s="25"/>
      <c r="T64" s="25">
        <v>2</v>
      </c>
      <c r="U64" s="25">
        <v>15</v>
      </c>
      <c r="V64" s="35" t="e">
        <v>#N/A</v>
      </c>
    </row>
    <row r="65" spans="1:22" ht="16" x14ac:dyDescent="0.2">
      <c r="A65" s="29" t="s">
        <v>70</v>
      </c>
      <c r="B65" s="30" t="s">
        <v>410</v>
      </c>
      <c r="C65" s="30" t="s">
        <v>339</v>
      </c>
      <c r="D65" s="31">
        <v>45516</v>
      </c>
      <c r="E65" s="30">
        <v>30</v>
      </c>
      <c r="F65" s="30">
        <v>24</v>
      </c>
      <c r="G65" s="32">
        <v>0.8</v>
      </c>
      <c r="H65" s="25">
        <v>38</v>
      </c>
      <c r="I65" s="25">
        <v>45.31</v>
      </c>
      <c r="J65" s="32">
        <v>1.1923999999999999</v>
      </c>
      <c r="K65" s="33">
        <v>0.2208</v>
      </c>
      <c r="L65" s="32">
        <v>0.94117647058823495</v>
      </c>
      <c r="M65" s="32">
        <v>1</v>
      </c>
      <c r="N65" s="34" t="s">
        <v>227</v>
      </c>
      <c r="O65" s="33">
        <v>0.77777777777777701</v>
      </c>
      <c r="P65" s="25">
        <v>1</v>
      </c>
      <c r="Q65" s="25">
        <v>10</v>
      </c>
      <c r="R65" s="25">
        <v>11</v>
      </c>
      <c r="S65" s="25"/>
      <c r="T65" s="25">
        <v>4</v>
      </c>
      <c r="U65" s="25">
        <v>26</v>
      </c>
      <c r="V65" s="35" t="e">
        <v>#N/A</v>
      </c>
    </row>
    <row r="66" spans="1:22" ht="32" x14ac:dyDescent="0.2">
      <c r="A66" s="29" t="s">
        <v>71</v>
      </c>
      <c r="B66" s="30" t="s">
        <v>409</v>
      </c>
      <c r="C66" s="30" t="s">
        <v>340</v>
      </c>
      <c r="D66" s="31">
        <v>44240</v>
      </c>
      <c r="E66" s="30">
        <v>30</v>
      </c>
      <c r="F66" s="30">
        <v>20</v>
      </c>
      <c r="G66" s="32">
        <v>0.66669999999999996</v>
      </c>
      <c r="H66" s="25">
        <v>38</v>
      </c>
      <c r="I66" s="25">
        <v>40.630000000000003</v>
      </c>
      <c r="J66" s="32">
        <v>1.0690999999999999</v>
      </c>
      <c r="K66" s="33">
        <v>0.23400000000000001</v>
      </c>
      <c r="L66" s="32">
        <v>0.97727272727272696</v>
      </c>
      <c r="M66" s="32">
        <v>0.97142857142857097</v>
      </c>
      <c r="N66" s="34" t="s">
        <v>215</v>
      </c>
      <c r="O66" s="33">
        <v>1</v>
      </c>
      <c r="P66" s="25"/>
      <c r="Q66" s="25"/>
      <c r="R66" s="25">
        <v>3</v>
      </c>
      <c r="S66" s="25"/>
      <c r="T66" s="25">
        <v>1</v>
      </c>
      <c r="U66" s="25">
        <v>16</v>
      </c>
      <c r="V66" s="35">
        <v>2.5</v>
      </c>
    </row>
    <row r="67" spans="1:22" ht="32" x14ac:dyDescent="0.2">
      <c r="A67" s="29" t="s">
        <v>258</v>
      </c>
      <c r="B67" s="30" t="s">
        <v>405</v>
      </c>
      <c r="C67" s="30" t="s">
        <v>342</v>
      </c>
      <c r="D67" s="31">
        <v>45741</v>
      </c>
      <c r="E67" s="30">
        <v>12</v>
      </c>
      <c r="F67" s="30">
        <v>16.63</v>
      </c>
      <c r="G67" s="32">
        <v>1.3854</v>
      </c>
      <c r="H67" s="25">
        <v>16</v>
      </c>
      <c r="I67" s="25">
        <v>21.06</v>
      </c>
      <c r="J67" s="32">
        <v>1.3164</v>
      </c>
      <c r="K67" s="33">
        <v>0.21510000000000001</v>
      </c>
      <c r="L67" s="32">
        <v>1</v>
      </c>
      <c r="M67" s="32">
        <v>0.98412698412698396</v>
      </c>
      <c r="N67" s="34" t="s">
        <v>260</v>
      </c>
      <c r="O67" s="33">
        <v>0.77777777777777701</v>
      </c>
      <c r="P67" s="25"/>
      <c r="Q67" s="25"/>
      <c r="R67" s="25">
        <v>3</v>
      </c>
      <c r="S67" s="25"/>
      <c r="T67" s="25">
        <v>7</v>
      </c>
      <c r="U67" s="25">
        <v>21</v>
      </c>
      <c r="V67" s="35" t="e">
        <v>#N/A</v>
      </c>
    </row>
    <row r="68" spans="1:22" ht="32" x14ac:dyDescent="0.2">
      <c r="A68" s="29" t="s">
        <v>259</v>
      </c>
      <c r="B68" s="30" t="s">
        <v>405</v>
      </c>
      <c r="C68" s="30" t="s">
        <v>333</v>
      </c>
      <c r="D68" s="31">
        <v>45859</v>
      </c>
      <c r="E68" s="30">
        <v>30</v>
      </c>
      <c r="F68" s="30">
        <v>30.13</v>
      </c>
      <c r="G68" s="32">
        <v>1.0042</v>
      </c>
      <c r="H68" s="25">
        <v>38</v>
      </c>
      <c r="I68" s="25">
        <v>37.69</v>
      </c>
      <c r="J68" s="32">
        <v>0.99179999999999902</v>
      </c>
      <c r="K68" s="33">
        <v>9.7299999999999998E-2</v>
      </c>
      <c r="L68" s="32">
        <v>0.98666666666666603</v>
      </c>
      <c r="M68" s="32">
        <v>0.99122807017543801</v>
      </c>
      <c r="N68" s="34" t="s">
        <v>240</v>
      </c>
      <c r="O68" s="33">
        <v>0.82352941176470495</v>
      </c>
      <c r="P68" s="25">
        <v>4</v>
      </c>
      <c r="Q68" s="25">
        <v>6.75</v>
      </c>
      <c r="R68" s="25">
        <v>7</v>
      </c>
      <c r="S68" s="25"/>
      <c r="T68" s="25">
        <v>20</v>
      </c>
      <c r="U68" s="25">
        <v>41</v>
      </c>
      <c r="V68" s="35" t="e">
        <v>#N/A</v>
      </c>
    </row>
    <row r="69" spans="1:22" ht="32" x14ac:dyDescent="0.2">
      <c r="A69" s="29" t="s">
        <v>72</v>
      </c>
      <c r="B69" s="30" t="s">
        <v>409</v>
      </c>
      <c r="C69" s="30" t="s">
        <v>333</v>
      </c>
      <c r="D69" s="31">
        <v>43535</v>
      </c>
      <c r="E69" s="30">
        <v>12</v>
      </c>
      <c r="F69" s="30">
        <v>13.38</v>
      </c>
      <c r="G69" s="32">
        <v>1.11459999999999</v>
      </c>
      <c r="H69" s="25">
        <v>16</v>
      </c>
      <c r="I69" s="25">
        <v>16</v>
      </c>
      <c r="J69" s="32">
        <v>1</v>
      </c>
      <c r="K69" s="33">
        <v>0.27379999999999999</v>
      </c>
      <c r="L69" s="32">
        <v>0.939393939393939</v>
      </c>
      <c r="M69" s="32">
        <v>0.95652173913043403</v>
      </c>
      <c r="N69" s="34" t="s">
        <v>219</v>
      </c>
      <c r="O69" s="33">
        <v>0.75</v>
      </c>
      <c r="P69" s="25">
        <v>1</v>
      </c>
      <c r="Q69" s="25">
        <v>10</v>
      </c>
      <c r="R69" s="25"/>
      <c r="S69" s="25">
        <v>1</v>
      </c>
      <c r="T69" s="25">
        <v>1</v>
      </c>
      <c r="U69" s="25">
        <v>14</v>
      </c>
      <c r="V69" s="35"/>
    </row>
    <row r="70" spans="1:22" ht="32" x14ac:dyDescent="0.2">
      <c r="A70" s="29" t="s">
        <v>261</v>
      </c>
      <c r="B70" s="30" t="s">
        <v>405</v>
      </c>
      <c r="C70" s="30" t="s">
        <v>342</v>
      </c>
      <c r="D70" s="31">
        <v>45838</v>
      </c>
      <c r="E70" s="30">
        <v>35</v>
      </c>
      <c r="F70" s="30">
        <v>33.630000000000003</v>
      </c>
      <c r="G70" s="32">
        <v>0.9607</v>
      </c>
      <c r="H70" s="25">
        <v>43</v>
      </c>
      <c r="I70" s="25">
        <v>41.88</v>
      </c>
      <c r="J70" s="32">
        <v>0.9738</v>
      </c>
      <c r="K70" s="33">
        <v>0.26769999999999999</v>
      </c>
      <c r="L70" s="32">
        <v>1</v>
      </c>
      <c r="M70" s="32">
        <v>0.98601398601398604</v>
      </c>
      <c r="N70" s="34" t="s">
        <v>275</v>
      </c>
      <c r="O70" s="33">
        <v>9.0909090909090898E-2</v>
      </c>
      <c r="P70" s="25"/>
      <c r="Q70" s="25"/>
      <c r="R70" s="25">
        <v>12</v>
      </c>
      <c r="S70" s="25">
        <v>6</v>
      </c>
      <c r="T70" s="25">
        <v>11</v>
      </c>
      <c r="U70" s="25">
        <v>41</v>
      </c>
      <c r="V70" s="35"/>
    </row>
    <row r="71" spans="1:22" ht="32" x14ac:dyDescent="0.2">
      <c r="A71" s="29" t="s">
        <v>73</v>
      </c>
      <c r="B71" s="30" t="s">
        <v>410</v>
      </c>
      <c r="C71" s="30" t="s">
        <v>80</v>
      </c>
      <c r="D71" s="31">
        <v>45299</v>
      </c>
      <c r="E71" s="30">
        <v>12</v>
      </c>
      <c r="F71" s="30">
        <v>5.88</v>
      </c>
      <c r="G71" s="32">
        <v>0.48959999999999998</v>
      </c>
      <c r="H71" s="25">
        <v>16</v>
      </c>
      <c r="I71" s="25">
        <v>16.809999999999999</v>
      </c>
      <c r="J71" s="32">
        <v>1.0508</v>
      </c>
      <c r="K71" s="33">
        <v>9.2999999999999999E-2</v>
      </c>
      <c r="L71" s="32">
        <v>1</v>
      </c>
      <c r="M71" s="32">
        <v>1</v>
      </c>
      <c r="N71" s="34"/>
      <c r="O71" s="33">
        <v>1</v>
      </c>
      <c r="P71" s="25"/>
      <c r="Q71" s="25"/>
      <c r="R71" s="25">
        <v>1</v>
      </c>
      <c r="S71" s="25"/>
      <c r="T71" s="25">
        <v>0</v>
      </c>
      <c r="U71" s="25">
        <v>6</v>
      </c>
      <c r="V71" s="35">
        <v>5</v>
      </c>
    </row>
    <row r="72" spans="1:22" ht="16" x14ac:dyDescent="0.2">
      <c r="A72" s="29" t="s">
        <v>263</v>
      </c>
      <c r="B72" s="30" t="s">
        <v>405</v>
      </c>
      <c r="C72" s="30" t="s">
        <v>333</v>
      </c>
      <c r="D72" s="31">
        <v>45768</v>
      </c>
      <c r="E72" s="30">
        <v>30</v>
      </c>
      <c r="F72" s="30">
        <v>27.38</v>
      </c>
      <c r="G72" s="32">
        <v>0.91249999999999998</v>
      </c>
      <c r="H72" s="25">
        <v>38</v>
      </c>
      <c r="I72" s="25">
        <v>33.5</v>
      </c>
      <c r="J72" s="32">
        <v>0.88159999999999905</v>
      </c>
      <c r="K72" s="33">
        <v>8.6900000000000005E-2</v>
      </c>
      <c r="L72" s="32">
        <v>0.98780487804878003</v>
      </c>
      <c r="M72" s="32">
        <v>0.94392523364485903</v>
      </c>
      <c r="N72" s="34" t="s">
        <v>307</v>
      </c>
      <c r="O72" s="33">
        <v>0.35294117647058798</v>
      </c>
      <c r="P72" s="25"/>
      <c r="Q72" s="25"/>
      <c r="R72" s="25">
        <v>21</v>
      </c>
      <c r="S72" s="25">
        <v>1</v>
      </c>
      <c r="T72" s="25">
        <v>13</v>
      </c>
      <c r="U72" s="25">
        <v>36</v>
      </c>
      <c r="V72" s="35" t="e">
        <v>#N/A</v>
      </c>
    </row>
    <row r="73" spans="1:22" ht="32" x14ac:dyDescent="0.2">
      <c r="A73" s="29" t="s">
        <v>74</v>
      </c>
      <c r="B73" s="30" t="s">
        <v>410</v>
      </c>
      <c r="C73" s="30" t="s">
        <v>339</v>
      </c>
      <c r="D73" s="31">
        <v>45225</v>
      </c>
      <c r="E73" s="30">
        <v>12</v>
      </c>
      <c r="F73" s="30">
        <v>9.3799999999999901</v>
      </c>
      <c r="G73" s="32">
        <v>0.78129999999999999</v>
      </c>
      <c r="H73" s="25">
        <v>16</v>
      </c>
      <c r="I73" s="25">
        <v>15.75</v>
      </c>
      <c r="J73" s="32">
        <v>0.98439999999999905</v>
      </c>
      <c r="K73" s="33">
        <v>0.1111</v>
      </c>
      <c r="L73" s="32">
        <v>0.625</v>
      </c>
      <c r="M73" s="32">
        <v>1</v>
      </c>
      <c r="N73" s="34"/>
      <c r="O73" s="33">
        <v>0.77777777777777701</v>
      </c>
      <c r="P73" s="25"/>
      <c r="Q73" s="25"/>
      <c r="R73" s="25">
        <v>1</v>
      </c>
      <c r="S73" s="25">
        <v>2</v>
      </c>
      <c r="T73" s="25">
        <v>1</v>
      </c>
      <c r="U73" s="25">
        <v>12</v>
      </c>
      <c r="V73" s="35" t="e">
        <v>#N/A</v>
      </c>
    </row>
    <row r="74" spans="1:22" ht="16" x14ac:dyDescent="0.2">
      <c r="A74" s="29" t="s">
        <v>75</v>
      </c>
      <c r="B74" s="30" t="s">
        <v>405</v>
      </c>
      <c r="C74" s="30" t="s">
        <v>80</v>
      </c>
      <c r="D74" s="31">
        <v>45695</v>
      </c>
      <c r="E74" s="30">
        <v>30</v>
      </c>
      <c r="F74" s="30">
        <v>42.5</v>
      </c>
      <c r="G74" s="32">
        <v>1.4167000000000001</v>
      </c>
      <c r="H74" s="25">
        <v>38</v>
      </c>
      <c r="I74" s="25">
        <v>46.25</v>
      </c>
      <c r="J74" s="32">
        <v>1.2170999999999901</v>
      </c>
      <c r="K74" s="33">
        <v>0.14680000000000001</v>
      </c>
      <c r="L74" s="32">
        <v>0.96428571428571397</v>
      </c>
      <c r="M74" s="32">
        <v>0.99438202247190999</v>
      </c>
      <c r="N74" s="34" t="s">
        <v>641</v>
      </c>
      <c r="O74" s="33">
        <v>0.85</v>
      </c>
      <c r="P74" s="25"/>
      <c r="Q74" s="25"/>
      <c r="R74" s="25">
        <v>7</v>
      </c>
      <c r="S74" s="25"/>
      <c r="T74" s="25">
        <v>24</v>
      </c>
      <c r="U74" s="25">
        <v>53</v>
      </c>
      <c r="V74" s="35">
        <v>2.8421052631578947</v>
      </c>
    </row>
    <row r="75" spans="1:22" ht="16" x14ac:dyDescent="0.2">
      <c r="A75" s="29" t="s">
        <v>265</v>
      </c>
      <c r="B75" s="30" t="s">
        <v>405</v>
      </c>
      <c r="C75" s="30" t="s">
        <v>342</v>
      </c>
      <c r="D75" s="31">
        <v>45748</v>
      </c>
      <c r="E75" s="30">
        <v>12</v>
      </c>
      <c r="F75" s="30">
        <v>8.3799999999999901</v>
      </c>
      <c r="G75" s="32">
        <v>0.69789999999999996</v>
      </c>
      <c r="H75" s="25">
        <v>16</v>
      </c>
      <c r="I75" s="25">
        <v>11.309999999999899</v>
      </c>
      <c r="J75" s="32">
        <v>0.70699999999999996</v>
      </c>
      <c r="K75" s="33">
        <v>0.2049</v>
      </c>
      <c r="L75" s="32">
        <v>0.96153846153846101</v>
      </c>
      <c r="M75" s="32">
        <v>1</v>
      </c>
      <c r="N75" s="34"/>
      <c r="O75" s="33">
        <v>0.66666666666666596</v>
      </c>
      <c r="P75" s="25"/>
      <c r="Q75" s="25"/>
      <c r="R75" s="25"/>
      <c r="S75" s="25"/>
      <c r="T75" s="25">
        <v>0</v>
      </c>
      <c r="U75" s="25">
        <v>10</v>
      </c>
      <c r="V75" s="35"/>
    </row>
    <row r="76" spans="1:22" ht="16" x14ac:dyDescent="0.2">
      <c r="A76" s="29" t="s">
        <v>77</v>
      </c>
      <c r="B76" s="30" t="s">
        <v>410</v>
      </c>
      <c r="C76" s="30" t="s">
        <v>340</v>
      </c>
      <c r="D76" s="31">
        <v>44330</v>
      </c>
      <c r="E76" s="30">
        <v>30</v>
      </c>
      <c r="F76" s="30">
        <v>21.5</v>
      </c>
      <c r="G76" s="32">
        <v>0.7167</v>
      </c>
      <c r="H76" s="25">
        <v>38</v>
      </c>
      <c r="I76" s="25">
        <v>34.75</v>
      </c>
      <c r="J76" s="32">
        <v>0.91449999999999998</v>
      </c>
      <c r="K76" s="33">
        <v>6.1699999999999998E-2</v>
      </c>
      <c r="L76" s="32">
        <v>0.98039215686274495</v>
      </c>
      <c r="M76" s="32">
        <v>0.96</v>
      </c>
      <c r="N76" s="34" t="s">
        <v>215</v>
      </c>
      <c r="O76" s="33">
        <v>1</v>
      </c>
      <c r="P76" s="25"/>
      <c r="Q76" s="25"/>
      <c r="R76" s="25"/>
      <c r="S76" s="25"/>
      <c r="T76" s="25">
        <v>2</v>
      </c>
      <c r="U76" s="25">
        <v>19</v>
      </c>
      <c r="V76" s="35">
        <v>3</v>
      </c>
    </row>
    <row r="77" spans="1:22" ht="32" x14ac:dyDescent="0.2">
      <c r="A77" s="29" t="s">
        <v>78</v>
      </c>
      <c r="B77" s="30" t="s">
        <v>410</v>
      </c>
      <c r="C77" s="30" t="s">
        <v>80</v>
      </c>
      <c r="D77" s="31">
        <v>43685</v>
      </c>
      <c r="E77" s="30">
        <v>12</v>
      </c>
      <c r="F77" s="30">
        <v>8</v>
      </c>
      <c r="G77" s="32">
        <v>0.66669999999999996</v>
      </c>
      <c r="H77" s="25">
        <v>16</v>
      </c>
      <c r="I77" s="25">
        <v>18.38</v>
      </c>
      <c r="J77" s="32">
        <v>1.1484000000000001</v>
      </c>
      <c r="K77" s="33">
        <v>0.33629999999999999</v>
      </c>
      <c r="L77" s="32">
        <v>1</v>
      </c>
      <c r="M77" s="32">
        <v>1</v>
      </c>
      <c r="N77" s="34" t="s">
        <v>215</v>
      </c>
      <c r="O77" s="33">
        <v>0.71428571428571397</v>
      </c>
      <c r="P77" s="25"/>
      <c r="Q77" s="25"/>
      <c r="R77" s="25">
        <v>1</v>
      </c>
      <c r="S77" s="25"/>
      <c r="T77" s="25">
        <v>4</v>
      </c>
      <c r="U77" s="25">
        <v>13</v>
      </c>
      <c r="V77" s="35">
        <v>4.2</v>
      </c>
    </row>
    <row r="78" spans="1:22" ht="16" x14ac:dyDescent="0.2">
      <c r="A78" s="29" t="s">
        <v>79</v>
      </c>
      <c r="B78" s="30" t="s">
        <v>409</v>
      </c>
      <c r="C78" s="30" t="s">
        <v>340</v>
      </c>
      <c r="D78" s="31">
        <v>44246</v>
      </c>
      <c r="E78" s="30">
        <v>30</v>
      </c>
      <c r="F78" s="30">
        <v>22.25</v>
      </c>
      <c r="G78" s="32">
        <v>0.74170000000000003</v>
      </c>
      <c r="H78" s="25">
        <v>38</v>
      </c>
      <c r="I78" s="25">
        <v>49.06</v>
      </c>
      <c r="J78" s="32">
        <v>1.2910999999999899</v>
      </c>
      <c r="K78" s="33">
        <v>0.22109999999999999</v>
      </c>
      <c r="L78" s="32">
        <v>0.94642857142857095</v>
      </c>
      <c r="M78" s="32">
        <v>1</v>
      </c>
      <c r="N78" s="34" t="s">
        <v>266</v>
      </c>
      <c r="O78" s="33">
        <v>0.8125</v>
      </c>
      <c r="P78" s="25">
        <v>2</v>
      </c>
      <c r="Q78" s="25">
        <v>10</v>
      </c>
      <c r="R78" s="25">
        <v>2</v>
      </c>
      <c r="S78" s="25">
        <v>3</v>
      </c>
      <c r="T78" s="25">
        <v>3</v>
      </c>
      <c r="U78" s="25">
        <v>24</v>
      </c>
      <c r="V78" s="35">
        <v>3.3333333333333335</v>
      </c>
    </row>
    <row r="79" spans="1:22" ht="16" x14ac:dyDescent="0.2">
      <c r="A79" s="29" t="s">
        <v>81</v>
      </c>
      <c r="B79" s="30" t="s">
        <v>410</v>
      </c>
      <c r="C79" s="30" t="s">
        <v>340</v>
      </c>
      <c r="D79" s="31">
        <v>43903</v>
      </c>
      <c r="E79" s="30">
        <v>30</v>
      </c>
      <c r="F79" s="30">
        <v>25.25</v>
      </c>
      <c r="G79" s="32">
        <v>0.8417</v>
      </c>
      <c r="H79" s="25">
        <v>38</v>
      </c>
      <c r="I79" s="25">
        <v>38.380000000000003</v>
      </c>
      <c r="J79" s="32">
        <v>1.0099</v>
      </c>
      <c r="K79" s="33">
        <v>0.15390000000000001</v>
      </c>
      <c r="L79" s="32">
        <v>0.98333333333333295</v>
      </c>
      <c r="M79" s="32">
        <v>0.95744680851063801</v>
      </c>
      <c r="N79" s="34" t="s">
        <v>215</v>
      </c>
      <c r="O79" s="33">
        <v>0.44444444444444398</v>
      </c>
      <c r="P79" s="25">
        <v>1</v>
      </c>
      <c r="Q79" s="25">
        <v>10</v>
      </c>
      <c r="R79" s="25">
        <v>2</v>
      </c>
      <c r="S79" s="25">
        <v>0</v>
      </c>
      <c r="T79" s="25">
        <v>1</v>
      </c>
      <c r="U79" s="25">
        <v>12</v>
      </c>
      <c r="V79" s="35">
        <v>3.5</v>
      </c>
    </row>
    <row r="80" spans="1:22" ht="16" x14ac:dyDescent="0.2">
      <c r="A80" s="29" t="s">
        <v>268</v>
      </c>
      <c r="B80" s="30" t="s">
        <v>405</v>
      </c>
      <c r="C80" s="30" t="s">
        <v>342</v>
      </c>
      <c r="D80" s="31">
        <v>45747</v>
      </c>
      <c r="E80" s="30">
        <v>20</v>
      </c>
      <c r="F80" s="30">
        <v>22.25</v>
      </c>
      <c r="G80" s="32">
        <v>1.1125</v>
      </c>
      <c r="H80" s="25">
        <v>24</v>
      </c>
      <c r="I80" s="25">
        <v>24</v>
      </c>
      <c r="J80" s="32">
        <v>1</v>
      </c>
      <c r="K80" s="33">
        <v>0.11940000000000001</v>
      </c>
      <c r="L80" s="32">
        <v>1</v>
      </c>
      <c r="M80" s="32">
        <v>0.98198198198198094</v>
      </c>
      <c r="N80" s="34" t="s">
        <v>228</v>
      </c>
      <c r="O80" s="33">
        <v>0.85714285714285698</v>
      </c>
      <c r="P80" s="25">
        <v>1</v>
      </c>
      <c r="Q80" s="25">
        <v>10</v>
      </c>
      <c r="R80" s="25">
        <v>13</v>
      </c>
      <c r="S80" s="25"/>
      <c r="T80" s="25">
        <v>2</v>
      </c>
      <c r="U80" s="25">
        <v>30</v>
      </c>
      <c r="V80" s="35" t="e">
        <v>#N/A</v>
      </c>
    </row>
    <row r="81" spans="1:22" ht="32" x14ac:dyDescent="0.2">
      <c r="A81" s="29" t="s">
        <v>271</v>
      </c>
      <c r="B81" s="30" t="s">
        <v>405</v>
      </c>
      <c r="C81" s="30" t="s">
        <v>429</v>
      </c>
      <c r="D81" s="31">
        <v>45964</v>
      </c>
      <c r="E81" s="30">
        <v>12</v>
      </c>
      <c r="F81" s="30">
        <v>1.5</v>
      </c>
      <c r="G81" s="32">
        <v>0.125</v>
      </c>
      <c r="H81" s="25">
        <v>16</v>
      </c>
      <c r="I81" s="25">
        <v>13.38</v>
      </c>
      <c r="J81" s="32">
        <v>0.83589999999999998</v>
      </c>
      <c r="K81" s="33">
        <v>0.44440000000000002</v>
      </c>
      <c r="L81" s="32">
        <v>0.5</v>
      </c>
      <c r="M81" s="32">
        <v>1</v>
      </c>
      <c r="N81" s="34" t="s">
        <v>219</v>
      </c>
      <c r="O81" s="33"/>
      <c r="P81" s="25"/>
      <c r="Q81" s="25"/>
      <c r="R81" s="25"/>
      <c r="S81" s="25">
        <v>1</v>
      </c>
      <c r="T81" s="25">
        <v>4</v>
      </c>
      <c r="U81" s="25">
        <v>4</v>
      </c>
      <c r="V81" s="35"/>
    </row>
    <row r="82" spans="1:22" ht="32" x14ac:dyDescent="0.2">
      <c r="A82" s="29" t="s">
        <v>82</v>
      </c>
      <c r="B82" s="30" t="s">
        <v>409</v>
      </c>
      <c r="C82" s="30" t="s">
        <v>99</v>
      </c>
      <c r="D82" s="31">
        <v>44050</v>
      </c>
      <c r="E82" s="30">
        <v>12</v>
      </c>
      <c r="F82" s="30">
        <v>6</v>
      </c>
      <c r="G82" s="32">
        <v>0.5</v>
      </c>
      <c r="H82" s="25">
        <v>16</v>
      </c>
      <c r="I82" s="25">
        <v>16.5</v>
      </c>
      <c r="J82" s="32">
        <v>1.0312999999999899</v>
      </c>
      <c r="K82" s="33">
        <v>9.3700000000000006E-2</v>
      </c>
      <c r="L82" s="32">
        <v>1</v>
      </c>
      <c r="M82" s="32">
        <v>1</v>
      </c>
      <c r="N82" s="34"/>
      <c r="O82" s="33">
        <v>1</v>
      </c>
      <c r="P82" s="25"/>
      <c r="Q82" s="25"/>
      <c r="R82" s="25">
        <v>1</v>
      </c>
      <c r="S82" s="25"/>
      <c r="T82" s="25">
        <v>0</v>
      </c>
      <c r="U82" s="25">
        <v>8</v>
      </c>
      <c r="V82" s="35" t="e">
        <v>#N/A</v>
      </c>
    </row>
    <row r="83" spans="1:22" ht="32" x14ac:dyDescent="0.2">
      <c r="A83" s="29" t="s">
        <v>83</v>
      </c>
      <c r="B83" s="30" t="s">
        <v>409</v>
      </c>
      <c r="C83" s="30" t="s">
        <v>99</v>
      </c>
      <c r="D83" s="31">
        <v>44218</v>
      </c>
      <c r="E83" s="30">
        <v>30</v>
      </c>
      <c r="F83" s="30">
        <v>28.5</v>
      </c>
      <c r="G83" s="32">
        <v>0.95009999999999994</v>
      </c>
      <c r="H83" s="25">
        <v>38</v>
      </c>
      <c r="I83" s="25">
        <v>48.81</v>
      </c>
      <c r="J83" s="32">
        <v>1.2845</v>
      </c>
      <c r="K83" s="33">
        <v>0.15509999999999999</v>
      </c>
      <c r="L83" s="32">
        <v>0.95454545454545403</v>
      </c>
      <c r="M83" s="32">
        <v>0.99099099099098997</v>
      </c>
      <c r="N83" s="34"/>
      <c r="O83" s="33">
        <v>0.80952380952380898</v>
      </c>
      <c r="P83" s="25"/>
      <c r="Q83" s="25"/>
      <c r="R83" s="25">
        <v>4</v>
      </c>
      <c r="S83" s="25"/>
      <c r="T83" s="25">
        <v>3</v>
      </c>
      <c r="U83" s="25">
        <v>27</v>
      </c>
      <c r="V83" s="35" t="e">
        <v>#N/A</v>
      </c>
    </row>
    <row r="84" spans="1:22" ht="32" x14ac:dyDescent="0.2">
      <c r="A84" s="29" t="s">
        <v>84</v>
      </c>
      <c r="B84" s="30" t="s">
        <v>405</v>
      </c>
      <c r="C84" s="30" t="s">
        <v>342</v>
      </c>
      <c r="D84" s="31">
        <v>45670</v>
      </c>
      <c r="E84" s="30">
        <v>30</v>
      </c>
      <c r="F84" s="30">
        <v>25.63</v>
      </c>
      <c r="G84" s="32">
        <v>0.85419999999999996</v>
      </c>
      <c r="H84" s="25">
        <v>38</v>
      </c>
      <c r="I84" s="25">
        <v>38.19</v>
      </c>
      <c r="J84" s="32">
        <v>1.0048999999999999</v>
      </c>
      <c r="K84" s="33">
        <v>0.25</v>
      </c>
      <c r="L84" s="32">
        <v>0.97297297297297203</v>
      </c>
      <c r="M84" s="32">
        <v>1</v>
      </c>
      <c r="N84" s="34" t="s">
        <v>266</v>
      </c>
      <c r="O84" s="33">
        <v>0.95652173913043403</v>
      </c>
      <c r="P84" s="25">
        <v>2</v>
      </c>
      <c r="Q84" s="25">
        <v>10</v>
      </c>
      <c r="R84" s="25">
        <v>14</v>
      </c>
      <c r="S84" s="25"/>
      <c r="T84" s="25">
        <v>7</v>
      </c>
      <c r="U84" s="25">
        <v>34</v>
      </c>
      <c r="V84" s="35" t="e">
        <v>#N/A</v>
      </c>
    </row>
    <row r="85" spans="1:22" ht="32" x14ac:dyDescent="0.2">
      <c r="A85" s="29" t="s">
        <v>85</v>
      </c>
      <c r="B85" s="36" t="s">
        <v>409</v>
      </c>
      <c r="C85" s="30" t="s">
        <v>340</v>
      </c>
      <c r="D85" s="31">
        <v>43922</v>
      </c>
      <c r="E85" s="30">
        <v>30</v>
      </c>
      <c r="F85" s="30">
        <v>27.88</v>
      </c>
      <c r="G85" s="32">
        <v>0.92920000000000003</v>
      </c>
      <c r="H85" s="25">
        <v>38</v>
      </c>
      <c r="I85" s="25">
        <v>43.69</v>
      </c>
      <c r="J85" s="32">
        <v>1.1496999999999999</v>
      </c>
      <c r="K85" s="33">
        <v>9.1700000000000004E-2</v>
      </c>
      <c r="L85" s="32">
        <v>0.95652173913043403</v>
      </c>
      <c r="M85" s="32">
        <v>0.99056603773584895</v>
      </c>
      <c r="N85" s="34" t="s">
        <v>234</v>
      </c>
      <c r="O85" s="33">
        <v>1</v>
      </c>
      <c r="P85" s="25">
        <v>1</v>
      </c>
      <c r="Q85" s="25">
        <v>10</v>
      </c>
      <c r="R85" s="25">
        <v>3</v>
      </c>
      <c r="S85" s="25"/>
      <c r="T85" s="25">
        <v>3</v>
      </c>
      <c r="U85" s="25">
        <v>18</v>
      </c>
      <c r="V85" s="35">
        <v>3.6666666666666665</v>
      </c>
    </row>
    <row r="86" spans="1:22" ht="16" x14ac:dyDescent="0.2">
      <c r="A86" s="29" t="s">
        <v>87</v>
      </c>
      <c r="B86" s="30" t="s">
        <v>405</v>
      </c>
      <c r="C86" s="30" t="s">
        <v>339</v>
      </c>
      <c r="D86" s="31">
        <v>45201</v>
      </c>
      <c r="E86" s="30">
        <v>12</v>
      </c>
      <c r="F86" s="30">
        <v>15.25</v>
      </c>
      <c r="G86" s="32">
        <v>1.2707999999999999</v>
      </c>
      <c r="H86" s="25">
        <v>16</v>
      </c>
      <c r="I86" s="25">
        <v>17.940000000000001</v>
      </c>
      <c r="J86" s="32">
        <v>1.12109999999999</v>
      </c>
      <c r="K86" s="33">
        <v>0.1605</v>
      </c>
      <c r="L86" s="32">
        <v>0.952380952380952</v>
      </c>
      <c r="M86" s="32">
        <v>1</v>
      </c>
      <c r="N86" s="34"/>
      <c r="O86" s="33">
        <v>0.8125</v>
      </c>
      <c r="P86" s="25"/>
      <c r="Q86" s="25"/>
      <c r="R86" s="25">
        <v>12</v>
      </c>
      <c r="S86" s="25"/>
      <c r="T86" s="25">
        <v>2</v>
      </c>
      <c r="U86" s="25">
        <v>22</v>
      </c>
      <c r="V86" s="35" t="e">
        <v>#N/A</v>
      </c>
    </row>
    <row r="87" spans="1:22" ht="32" x14ac:dyDescent="0.2">
      <c r="A87" s="29" t="s">
        <v>88</v>
      </c>
      <c r="B87" s="30" t="s">
        <v>410</v>
      </c>
      <c r="C87" s="30" t="s">
        <v>340</v>
      </c>
      <c r="D87" s="31">
        <v>45176</v>
      </c>
      <c r="E87" s="30">
        <v>30</v>
      </c>
      <c r="F87" s="30">
        <v>27.24</v>
      </c>
      <c r="G87" s="32">
        <v>0.90789999999999904</v>
      </c>
      <c r="H87" s="25">
        <v>38</v>
      </c>
      <c r="I87" s="25">
        <v>49.94</v>
      </c>
      <c r="J87" s="32">
        <v>1.3141</v>
      </c>
      <c r="K87" s="33">
        <v>0.2039</v>
      </c>
      <c r="L87" s="32">
        <v>0.886075949367088</v>
      </c>
      <c r="M87" s="32">
        <v>1</v>
      </c>
      <c r="N87" s="34" t="s">
        <v>228</v>
      </c>
      <c r="O87" s="33">
        <v>1</v>
      </c>
      <c r="P87" s="25">
        <v>1</v>
      </c>
      <c r="Q87" s="25">
        <v>10</v>
      </c>
      <c r="R87" s="25">
        <v>3</v>
      </c>
      <c r="S87" s="25"/>
      <c r="T87" s="25">
        <v>5</v>
      </c>
      <c r="U87" s="25">
        <v>30</v>
      </c>
      <c r="V87" s="35">
        <v>2.0769230769230771</v>
      </c>
    </row>
    <row r="88" spans="1:22" ht="16" x14ac:dyDescent="0.2">
      <c r="A88" s="29" t="s">
        <v>272</v>
      </c>
      <c r="B88" s="30" t="s">
        <v>405</v>
      </c>
      <c r="C88" s="30" t="s">
        <v>340</v>
      </c>
      <c r="D88" s="31">
        <v>45719</v>
      </c>
      <c r="E88" s="30">
        <v>35</v>
      </c>
      <c r="F88" s="30">
        <v>22.13</v>
      </c>
      <c r="G88" s="32">
        <v>0.6321</v>
      </c>
      <c r="H88" s="25">
        <v>43</v>
      </c>
      <c r="I88" s="25">
        <v>26.81</v>
      </c>
      <c r="J88" s="32">
        <v>0.62350000000000005</v>
      </c>
      <c r="K88" s="33">
        <v>0.27600000000000002</v>
      </c>
      <c r="L88" s="32">
        <v>1</v>
      </c>
      <c r="M88" s="32">
        <v>1</v>
      </c>
      <c r="N88" s="34" t="s">
        <v>218</v>
      </c>
      <c r="O88" s="33">
        <v>0.35714285714285698</v>
      </c>
      <c r="P88" s="25">
        <v>2</v>
      </c>
      <c r="Q88" s="25">
        <v>8.5</v>
      </c>
      <c r="R88" s="25">
        <v>9</v>
      </c>
      <c r="S88" s="25"/>
      <c r="T88" s="25">
        <v>8</v>
      </c>
      <c r="U88" s="25">
        <v>28</v>
      </c>
      <c r="V88" s="35"/>
    </row>
    <row r="89" spans="1:22" ht="16" x14ac:dyDescent="0.2">
      <c r="A89" s="29" t="s">
        <v>90</v>
      </c>
      <c r="B89" s="30" t="s">
        <v>405</v>
      </c>
      <c r="C89" s="30" t="s">
        <v>339</v>
      </c>
      <c r="D89" s="31">
        <v>45212</v>
      </c>
      <c r="E89" s="30">
        <v>12</v>
      </c>
      <c r="F89" s="30">
        <v>1.1299999999999999</v>
      </c>
      <c r="G89" s="32">
        <v>9.3799999999999994E-2</v>
      </c>
      <c r="H89" s="25">
        <v>16</v>
      </c>
      <c r="I89" s="25">
        <v>5</v>
      </c>
      <c r="J89" s="32">
        <v>0.3125</v>
      </c>
      <c r="K89" s="33">
        <v>0.12959999999999999</v>
      </c>
      <c r="L89" s="32">
        <v>0</v>
      </c>
      <c r="M89" s="32">
        <v>1</v>
      </c>
      <c r="N89" s="34"/>
      <c r="O89" s="33">
        <v>0.5</v>
      </c>
      <c r="P89" s="25"/>
      <c r="Q89" s="25"/>
      <c r="R89" s="25">
        <v>3</v>
      </c>
      <c r="S89" s="25">
        <v>0</v>
      </c>
      <c r="T89" s="25">
        <v>0</v>
      </c>
      <c r="U89" s="25">
        <v>10</v>
      </c>
      <c r="V89" s="35"/>
    </row>
    <row r="90" spans="1:22" ht="32" x14ac:dyDescent="0.2">
      <c r="A90" s="29" t="s">
        <v>92</v>
      </c>
      <c r="B90" s="30" t="s">
        <v>409</v>
      </c>
      <c r="C90" s="30" t="s">
        <v>340</v>
      </c>
      <c r="D90" s="31">
        <v>44036</v>
      </c>
      <c r="E90" s="30">
        <v>35</v>
      </c>
      <c r="F90" s="30">
        <v>18.88</v>
      </c>
      <c r="G90" s="32">
        <v>0.539299999999999</v>
      </c>
      <c r="H90" s="25">
        <v>43</v>
      </c>
      <c r="I90" s="25">
        <v>52.379999999999903</v>
      </c>
      <c r="J90" s="32">
        <v>1.218</v>
      </c>
      <c r="K90" s="33">
        <v>0.21029999999999999</v>
      </c>
      <c r="L90" s="32">
        <v>0.934782608695652</v>
      </c>
      <c r="M90" s="32">
        <v>1</v>
      </c>
      <c r="N90" s="34"/>
      <c r="O90" s="33">
        <v>1</v>
      </c>
      <c r="P90" s="25">
        <v>1</v>
      </c>
      <c r="Q90" s="25">
        <v>10</v>
      </c>
      <c r="R90" s="25"/>
      <c r="S90" s="25"/>
      <c r="T90" s="25">
        <v>2</v>
      </c>
      <c r="U90" s="25">
        <v>15</v>
      </c>
      <c r="V90" s="35">
        <v>4.2</v>
      </c>
    </row>
    <row r="91" spans="1:22" ht="32" x14ac:dyDescent="0.2">
      <c r="A91" s="29" t="s">
        <v>93</v>
      </c>
      <c r="B91" s="30" t="s">
        <v>405</v>
      </c>
      <c r="C91" s="30" t="s">
        <v>340</v>
      </c>
      <c r="D91" s="31">
        <v>45513</v>
      </c>
      <c r="E91" s="30">
        <v>35</v>
      </c>
      <c r="F91" s="30">
        <v>31.88</v>
      </c>
      <c r="G91" s="32">
        <v>0.91069999999999995</v>
      </c>
      <c r="H91" s="25">
        <v>43</v>
      </c>
      <c r="I91" s="25">
        <v>43.69</v>
      </c>
      <c r="J91" s="32">
        <v>1.016</v>
      </c>
      <c r="K91" s="33">
        <v>0.14610000000000001</v>
      </c>
      <c r="L91" s="32">
        <v>0.95789473684210502</v>
      </c>
      <c r="M91" s="32">
        <v>0.984615384615384</v>
      </c>
      <c r="N91" s="34" t="s">
        <v>216</v>
      </c>
      <c r="O91" s="33">
        <v>0.96296296296296202</v>
      </c>
      <c r="P91" s="25"/>
      <c r="Q91" s="25"/>
      <c r="R91" s="25">
        <v>11</v>
      </c>
      <c r="S91" s="25"/>
      <c r="T91" s="25">
        <v>9</v>
      </c>
      <c r="U91" s="25">
        <v>40</v>
      </c>
      <c r="V91" s="35">
        <v>3.7857142857142856</v>
      </c>
    </row>
    <row r="92" spans="1:22" ht="16" x14ac:dyDescent="0.2">
      <c r="A92" s="29" t="s">
        <v>94</v>
      </c>
      <c r="B92" s="30" t="s">
        <v>409</v>
      </c>
      <c r="C92" s="30" t="s">
        <v>99</v>
      </c>
      <c r="D92" s="31">
        <v>39923</v>
      </c>
      <c r="E92" s="30">
        <v>30</v>
      </c>
      <c r="F92" s="30">
        <v>9.8799999999999901</v>
      </c>
      <c r="G92" s="32">
        <v>0.32919999999999999</v>
      </c>
      <c r="H92" s="25">
        <v>38</v>
      </c>
      <c r="I92" s="25">
        <v>35.08</v>
      </c>
      <c r="J92" s="32">
        <v>0.92320000000000002</v>
      </c>
      <c r="K92" s="33">
        <v>0.11260000000000001</v>
      </c>
      <c r="L92" s="32">
        <v>1</v>
      </c>
      <c r="M92" s="32">
        <v>1</v>
      </c>
      <c r="N92" s="34" t="s">
        <v>219</v>
      </c>
      <c r="O92" s="33">
        <v>0.41666666666666602</v>
      </c>
      <c r="P92" s="25"/>
      <c r="Q92" s="25"/>
      <c r="R92" s="25"/>
      <c r="S92" s="25"/>
      <c r="T92" s="25">
        <v>3</v>
      </c>
      <c r="U92" s="25">
        <v>16</v>
      </c>
      <c r="V92" s="35" t="e">
        <v>#N/A</v>
      </c>
    </row>
    <row r="93" spans="1:22" ht="16" x14ac:dyDescent="0.2">
      <c r="A93" s="29" t="s">
        <v>95</v>
      </c>
      <c r="B93" s="30" t="s">
        <v>405</v>
      </c>
      <c r="C93" s="30" t="s">
        <v>342</v>
      </c>
      <c r="D93" s="31">
        <v>45510</v>
      </c>
      <c r="E93" s="30">
        <v>30</v>
      </c>
      <c r="F93" s="30">
        <v>26.13</v>
      </c>
      <c r="G93" s="32">
        <v>0.87080000000000002</v>
      </c>
      <c r="H93" s="25">
        <v>38</v>
      </c>
      <c r="I93" s="25">
        <v>35.31</v>
      </c>
      <c r="J93" s="32">
        <v>0.92929999999999902</v>
      </c>
      <c r="K93" s="33">
        <v>0.20630000000000001</v>
      </c>
      <c r="L93" s="32">
        <v>0.96103896103896103</v>
      </c>
      <c r="M93" s="32">
        <v>0.92063492063492003</v>
      </c>
      <c r="N93" s="34" t="s">
        <v>287</v>
      </c>
      <c r="O93" s="33">
        <v>0.90476190476190399</v>
      </c>
      <c r="P93" s="25">
        <v>1</v>
      </c>
      <c r="Q93" s="25">
        <v>10</v>
      </c>
      <c r="R93" s="25">
        <v>8</v>
      </c>
      <c r="S93" s="25"/>
      <c r="T93" s="25">
        <v>10</v>
      </c>
      <c r="U93" s="25">
        <v>33</v>
      </c>
      <c r="V93" s="35" t="e">
        <v>#N/A</v>
      </c>
    </row>
    <row r="94" spans="1:22" ht="16" x14ac:dyDescent="0.2">
      <c r="A94" s="29" t="s">
        <v>274</v>
      </c>
      <c r="B94" s="30" t="s">
        <v>405</v>
      </c>
      <c r="C94" s="30" t="s">
        <v>339</v>
      </c>
      <c r="D94" s="31">
        <v>45881</v>
      </c>
      <c r="E94" s="30">
        <v>12</v>
      </c>
      <c r="F94" s="30">
        <v>12.3799999999999</v>
      </c>
      <c r="G94" s="32">
        <v>1.0312999999999899</v>
      </c>
      <c r="H94" s="25">
        <v>16</v>
      </c>
      <c r="I94" s="25">
        <v>24.63</v>
      </c>
      <c r="J94" s="32">
        <v>1.5390999999999999</v>
      </c>
      <c r="K94" s="33">
        <v>0.71640000000000004</v>
      </c>
      <c r="L94" s="32">
        <v>0.96428571428571397</v>
      </c>
      <c r="M94" s="32">
        <v>0.92</v>
      </c>
      <c r="N94" s="34" t="s">
        <v>218</v>
      </c>
      <c r="O94" s="33">
        <v>1</v>
      </c>
      <c r="P94" s="25"/>
      <c r="Q94" s="25"/>
      <c r="R94" s="25">
        <v>2</v>
      </c>
      <c r="S94" s="25">
        <v>5</v>
      </c>
      <c r="T94" s="25">
        <v>7</v>
      </c>
      <c r="U94" s="25">
        <v>13</v>
      </c>
      <c r="V94" s="35" t="e">
        <v>#N/A</v>
      </c>
    </row>
    <row r="95" spans="1:22" ht="32" x14ac:dyDescent="0.2">
      <c r="A95" s="29" t="s">
        <v>96</v>
      </c>
      <c r="B95" s="30" t="s">
        <v>410</v>
      </c>
      <c r="C95" s="30" t="s">
        <v>342</v>
      </c>
      <c r="D95" s="31">
        <v>45267</v>
      </c>
      <c r="E95" s="30">
        <v>20</v>
      </c>
      <c r="F95" s="30">
        <v>14.809999999999899</v>
      </c>
      <c r="G95" s="32">
        <v>0.74060000000000004</v>
      </c>
      <c r="H95" s="25">
        <v>24</v>
      </c>
      <c r="I95" s="25">
        <v>26.5</v>
      </c>
      <c r="J95" s="32">
        <v>1.1042000000000001</v>
      </c>
      <c r="K95" s="33">
        <v>0.2266</v>
      </c>
      <c r="L95" s="32">
        <v>0.97435897435897401</v>
      </c>
      <c r="M95" s="32">
        <v>1</v>
      </c>
      <c r="N95" s="34"/>
      <c r="O95" s="33">
        <v>1</v>
      </c>
      <c r="P95" s="25"/>
      <c r="Q95" s="25"/>
      <c r="R95" s="25">
        <v>3</v>
      </c>
      <c r="S95" s="25"/>
      <c r="T95" s="25">
        <v>1</v>
      </c>
      <c r="U95" s="25">
        <v>15</v>
      </c>
      <c r="V95" s="35" t="e">
        <v>#N/A</v>
      </c>
    </row>
    <row r="96" spans="1:22" ht="16" x14ac:dyDescent="0.2">
      <c r="A96" s="29" t="s">
        <v>97</v>
      </c>
      <c r="B96" s="30" t="s">
        <v>405</v>
      </c>
      <c r="C96" s="30" t="s">
        <v>342</v>
      </c>
      <c r="D96" s="31">
        <v>45702</v>
      </c>
      <c r="E96" s="30">
        <v>30</v>
      </c>
      <c r="F96" s="30">
        <v>24.88</v>
      </c>
      <c r="G96" s="32">
        <v>0.82919999999999905</v>
      </c>
      <c r="H96" s="25">
        <v>38</v>
      </c>
      <c r="I96" s="25">
        <v>34.56</v>
      </c>
      <c r="J96" s="32">
        <v>0.90949999999999998</v>
      </c>
      <c r="K96" s="33">
        <v>0.1163</v>
      </c>
      <c r="L96" s="32">
        <v>0.98666666666666603</v>
      </c>
      <c r="M96" s="32">
        <v>1</v>
      </c>
      <c r="N96" s="34" t="s">
        <v>243</v>
      </c>
      <c r="O96" s="33">
        <v>0.83333333333333304</v>
      </c>
      <c r="P96" s="25"/>
      <c r="Q96" s="25"/>
      <c r="R96" s="25">
        <v>3</v>
      </c>
      <c r="S96" s="25">
        <v>1</v>
      </c>
      <c r="T96" s="25">
        <v>10</v>
      </c>
      <c r="U96" s="25">
        <v>32</v>
      </c>
      <c r="V96" s="35" t="e">
        <v>#N/A</v>
      </c>
    </row>
    <row r="97" spans="1:22" ht="32" x14ac:dyDescent="0.2">
      <c r="A97" s="29" t="s">
        <v>98</v>
      </c>
      <c r="B97" s="30" t="s">
        <v>409</v>
      </c>
      <c r="C97" s="30" t="s">
        <v>339</v>
      </c>
      <c r="D97" s="31">
        <v>43917</v>
      </c>
      <c r="E97" s="30">
        <v>12</v>
      </c>
      <c r="F97" s="30">
        <v>10</v>
      </c>
      <c r="G97" s="32">
        <v>0.83330000000000004</v>
      </c>
      <c r="H97" s="25">
        <v>16</v>
      </c>
      <c r="I97" s="25">
        <v>21</v>
      </c>
      <c r="J97" s="32">
        <v>1.3125</v>
      </c>
      <c r="K97" s="33">
        <v>0.1842</v>
      </c>
      <c r="L97" s="32">
        <v>0.96428571428571397</v>
      </c>
      <c r="M97" s="32">
        <v>1</v>
      </c>
      <c r="N97" s="34"/>
      <c r="O97" s="33">
        <v>1</v>
      </c>
      <c r="P97" s="25">
        <v>1</v>
      </c>
      <c r="Q97" s="25">
        <v>10</v>
      </c>
      <c r="R97" s="25">
        <v>2</v>
      </c>
      <c r="S97" s="25"/>
      <c r="T97" s="25">
        <v>0</v>
      </c>
      <c r="U97" s="25">
        <v>10</v>
      </c>
      <c r="V97" s="35" t="e">
        <v>#N/A</v>
      </c>
    </row>
    <row r="98" spans="1:22" ht="32" x14ac:dyDescent="0.2">
      <c r="A98" s="29" t="s">
        <v>100</v>
      </c>
      <c r="B98" s="30" t="s">
        <v>409</v>
      </c>
      <c r="C98" s="30" t="s">
        <v>333</v>
      </c>
      <c r="D98" s="31">
        <v>43812</v>
      </c>
      <c r="E98" s="30">
        <v>12</v>
      </c>
      <c r="F98" s="30">
        <v>2.75</v>
      </c>
      <c r="G98" s="32">
        <v>0.22919999999999999</v>
      </c>
      <c r="H98" s="25">
        <v>16</v>
      </c>
      <c r="I98" s="25">
        <v>21.33</v>
      </c>
      <c r="J98" s="32">
        <v>1.3332999999999999</v>
      </c>
      <c r="K98" s="33">
        <v>0.23139999999999999</v>
      </c>
      <c r="L98" s="32">
        <v>1</v>
      </c>
      <c r="M98" s="32">
        <v>1</v>
      </c>
      <c r="N98" s="34" t="s">
        <v>215</v>
      </c>
      <c r="O98" s="33">
        <v>0</v>
      </c>
      <c r="P98" s="25"/>
      <c r="Q98" s="25"/>
      <c r="R98" s="25"/>
      <c r="S98" s="25"/>
      <c r="T98" s="25">
        <v>2</v>
      </c>
      <c r="U98" s="25">
        <v>4</v>
      </c>
      <c r="V98" s="35"/>
    </row>
    <row r="99" spans="1:22" ht="16" x14ac:dyDescent="0.2">
      <c r="A99" s="29" t="s">
        <v>101</v>
      </c>
      <c r="B99" s="30" t="s">
        <v>405</v>
      </c>
      <c r="C99" s="30" t="s">
        <v>342</v>
      </c>
      <c r="D99" s="31">
        <v>45307</v>
      </c>
      <c r="E99" s="30">
        <v>30</v>
      </c>
      <c r="F99" s="30">
        <v>26</v>
      </c>
      <c r="G99" s="32">
        <v>0.86670000000000003</v>
      </c>
      <c r="H99" s="25">
        <v>38</v>
      </c>
      <c r="I99" s="25">
        <v>37.94</v>
      </c>
      <c r="J99" s="32">
        <v>0.99839999999999995</v>
      </c>
      <c r="K99" s="33">
        <v>0.1797</v>
      </c>
      <c r="L99" s="32">
        <v>1</v>
      </c>
      <c r="M99" s="32">
        <v>1</v>
      </c>
      <c r="N99" s="34" t="s">
        <v>232</v>
      </c>
      <c r="O99" s="33">
        <v>0.52941176470588203</v>
      </c>
      <c r="P99" s="25">
        <v>1</v>
      </c>
      <c r="Q99" s="25">
        <v>10</v>
      </c>
      <c r="R99" s="25">
        <v>11</v>
      </c>
      <c r="S99" s="25">
        <v>0</v>
      </c>
      <c r="T99" s="25">
        <v>10</v>
      </c>
      <c r="U99" s="25">
        <v>29</v>
      </c>
      <c r="V99" s="35" t="e">
        <v>#N/A</v>
      </c>
    </row>
    <row r="100" spans="1:22" ht="16" x14ac:dyDescent="0.2">
      <c r="A100" s="29" t="s">
        <v>614</v>
      </c>
      <c r="B100" s="30" t="s">
        <v>405</v>
      </c>
      <c r="C100" s="30" t="s">
        <v>430</v>
      </c>
      <c r="D100" s="31">
        <v>45968</v>
      </c>
      <c r="E100" s="30">
        <v>35</v>
      </c>
      <c r="F100" s="30">
        <v>2.88</v>
      </c>
      <c r="G100" s="32">
        <v>8.2099999999999895E-2</v>
      </c>
      <c r="H100" s="25">
        <v>43</v>
      </c>
      <c r="I100" s="25">
        <v>16.5</v>
      </c>
      <c r="J100" s="32">
        <v>0.38369999999999999</v>
      </c>
      <c r="K100" s="33">
        <v>0.1739</v>
      </c>
      <c r="L100" s="32">
        <v>0.875</v>
      </c>
      <c r="M100" s="32">
        <v>0.9</v>
      </c>
      <c r="N100" s="34" t="s">
        <v>228</v>
      </c>
      <c r="O100" s="33"/>
      <c r="P100" s="25"/>
      <c r="Q100" s="25"/>
      <c r="R100" s="25"/>
      <c r="S100" s="25"/>
      <c r="T100" s="25">
        <v>7</v>
      </c>
      <c r="U100" s="25">
        <v>7</v>
      </c>
      <c r="V100" s="35"/>
    </row>
    <row r="101" spans="1:22" ht="16" x14ac:dyDescent="0.2">
      <c r="A101" s="29" t="s">
        <v>103</v>
      </c>
      <c r="B101" s="30" t="s">
        <v>410</v>
      </c>
      <c r="C101" s="30" t="s">
        <v>342</v>
      </c>
      <c r="D101" s="31">
        <v>45217</v>
      </c>
      <c r="E101" s="30">
        <v>20</v>
      </c>
      <c r="F101" s="30">
        <v>12.5</v>
      </c>
      <c r="G101" s="32">
        <v>0.625</v>
      </c>
      <c r="H101" s="25">
        <v>24</v>
      </c>
      <c r="I101" s="25">
        <v>25.689999999999898</v>
      </c>
      <c r="J101" s="32">
        <v>1.0703</v>
      </c>
      <c r="K101" s="33">
        <v>0.28720000000000001</v>
      </c>
      <c r="L101" s="32">
        <v>1</v>
      </c>
      <c r="M101" s="32">
        <v>1</v>
      </c>
      <c r="N101" s="34" t="s">
        <v>228</v>
      </c>
      <c r="O101" s="33">
        <v>0.8</v>
      </c>
      <c r="P101" s="25"/>
      <c r="Q101" s="25"/>
      <c r="R101" s="25"/>
      <c r="S101" s="25">
        <v>10</v>
      </c>
      <c r="T101" s="25">
        <v>3</v>
      </c>
      <c r="U101" s="25">
        <v>14</v>
      </c>
      <c r="V101" s="35" t="e">
        <v>#N/A</v>
      </c>
    </row>
    <row r="102" spans="1:22" ht="32" x14ac:dyDescent="0.2">
      <c r="A102" s="29" t="s">
        <v>105</v>
      </c>
      <c r="B102" s="30" t="s">
        <v>405</v>
      </c>
      <c r="C102" s="30" t="s">
        <v>333</v>
      </c>
      <c r="D102" s="31">
        <v>45201</v>
      </c>
      <c r="E102" s="30">
        <v>12</v>
      </c>
      <c r="F102" s="30">
        <v>11.3799999999999</v>
      </c>
      <c r="G102" s="32">
        <v>0.94789999999999996</v>
      </c>
      <c r="H102" s="25">
        <v>16</v>
      </c>
      <c r="I102" s="25">
        <v>18.809999999999999</v>
      </c>
      <c r="J102" s="32">
        <v>1.1758</v>
      </c>
      <c r="K102" s="33">
        <v>0.51380000000000003</v>
      </c>
      <c r="L102" s="32">
        <v>0.91891891891891797</v>
      </c>
      <c r="M102" s="32">
        <v>0.79310344827586199</v>
      </c>
      <c r="N102" s="34" t="s">
        <v>306</v>
      </c>
      <c r="O102" s="33">
        <v>0</v>
      </c>
      <c r="P102" s="25"/>
      <c r="Q102" s="25"/>
      <c r="R102" s="25">
        <v>5</v>
      </c>
      <c r="S102" s="25">
        <v>6</v>
      </c>
      <c r="T102" s="25">
        <v>8</v>
      </c>
      <c r="U102" s="25">
        <v>17</v>
      </c>
      <c r="V102" s="35"/>
    </row>
    <row r="103" spans="1:22" ht="16" x14ac:dyDescent="0.2">
      <c r="A103" s="29" t="s">
        <v>276</v>
      </c>
      <c r="B103" s="30" t="s">
        <v>405</v>
      </c>
      <c r="C103" s="30" t="s">
        <v>340</v>
      </c>
      <c r="D103" s="31">
        <v>45775</v>
      </c>
      <c r="E103" s="30">
        <v>30</v>
      </c>
      <c r="F103" s="30">
        <v>27.75</v>
      </c>
      <c r="G103" s="32">
        <v>0.92500000000000004</v>
      </c>
      <c r="H103" s="25">
        <v>38</v>
      </c>
      <c r="I103" s="25">
        <v>37.130000000000003</v>
      </c>
      <c r="J103" s="32">
        <v>0.97699999999999998</v>
      </c>
      <c r="K103" s="33">
        <v>0.1414</v>
      </c>
      <c r="L103" s="32">
        <v>0.98591549295774605</v>
      </c>
      <c r="M103" s="32">
        <v>0.98245614035087703</v>
      </c>
      <c r="N103" s="34" t="s">
        <v>266</v>
      </c>
      <c r="O103" s="33">
        <v>0.66666666666666596</v>
      </c>
      <c r="P103" s="25">
        <v>1</v>
      </c>
      <c r="Q103" s="25">
        <v>10</v>
      </c>
      <c r="R103" s="25">
        <v>11</v>
      </c>
      <c r="S103" s="25"/>
      <c r="T103" s="25">
        <v>7</v>
      </c>
      <c r="U103" s="25">
        <v>30</v>
      </c>
      <c r="V103" s="35">
        <v>1.2857142857142858</v>
      </c>
    </row>
    <row r="104" spans="1:22" ht="16" x14ac:dyDescent="0.2">
      <c r="A104" s="29" t="s">
        <v>278</v>
      </c>
      <c r="B104" s="30" t="s">
        <v>405</v>
      </c>
      <c r="C104" s="30" t="s">
        <v>80</v>
      </c>
      <c r="D104" s="31">
        <v>45875</v>
      </c>
      <c r="E104" s="30">
        <v>30</v>
      </c>
      <c r="F104" s="30">
        <v>22.5</v>
      </c>
      <c r="G104" s="32">
        <v>0.75</v>
      </c>
      <c r="H104" s="25">
        <v>38</v>
      </c>
      <c r="I104" s="25">
        <v>41</v>
      </c>
      <c r="J104" s="32">
        <v>1.0789</v>
      </c>
      <c r="K104" s="33">
        <v>0.15540000000000001</v>
      </c>
      <c r="L104" s="32">
        <v>0.95833333333333304</v>
      </c>
      <c r="M104" s="32">
        <v>1</v>
      </c>
      <c r="N104" s="34" t="s">
        <v>277</v>
      </c>
      <c r="O104" s="33">
        <v>0.84615384615384603</v>
      </c>
      <c r="P104" s="25"/>
      <c r="Q104" s="25"/>
      <c r="R104" s="25">
        <v>7</v>
      </c>
      <c r="S104" s="25"/>
      <c r="T104" s="25">
        <v>15</v>
      </c>
      <c r="U104" s="25">
        <v>39</v>
      </c>
      <c r="V104" s="35">
        <v>4.2</v>
      </c>
    </row>
    <row r="105" spans="1:22" ht="16" x14ac:dyDescent="0.2">
      <c r="A105" s="29" t="s">
        <v>107</v>
      </c>
      <c r="B105" s="30" t="s">
        <v>410</v>
      </c>
      <c r="C105" s="30" t="s">
        <v>340</v>
      </c>
      <c r="D105" s="31">
        <v>44273</v>
      </c>
      <c r="E105" s="30">
        <v>30</v>
      </c>
      <c r="F105" s="30">
        <v>19.38</v>
      </c>
      <c r="G105" s="32">
        <v>0.64580000000000004</v>
      </c>
      <c r="H105" s="25">
        <v>38</v>
      </c>
      <c r="I105" s="25">
        <v>50.25</v>
      </c>
      <c r="J105" s="32">
        <v>1.3224</v>
      </c>
      <c r="K105" s="33">
        <v>0.2127</v>
      </c>
      <c r="L105" s="32">
        <v>0.7</v>
      </c>
      <c r="M105" s="32">
        <v>1</v>
      </c>
      <c r="N105" s="34" t="s">
        <v>215</v>
      </c>
      <c r="O105" s="33">
        <v>1</v>
      </c>
      <c r="P105" s="25">
        <v>2</v>
      </c>
      <c r="Q105" s="25">
        <v>10</v>
      </c>
      <c r="R105" s="25">
        <v>1</v>
      </c>
      <c r="S105" s="25">
        <v>22</v>
      </c>
      <c r="T105" s="25">
        <v>2</v>
      </c>
      <c r="U105" s="25">
        <v>17</v>
      </c>
      <c r="V105" s="35">
        <v>1.6666666666666667</v>
      </c>
    </row>
    <row r="106" spans="1:22" ht="32" x14ac:dyDescent="0.2">
      <c r="A106" s="29" t="s">
        <v>108</v>
      </c>
      <c r="B106" s="30" t="s">
        <v>405</v>
      </c>
      <c r="C106" s="30" t="s">
        <v>80</v>
      </c>
      <c r="D106" s="31">
        <v>45491</v>
      </c>
      <c r="E106" s="30">
        <v>35</v>
      </c>
      <c r="F106" s="30">
        <v>33.630000000000003</v>
      </c>
      <c r="G106" s="32">
        <v>0.9607</v>
      </c>
      <c r="H106" s="25">
        <v>43</v>
      </c>
      <c r="I106" s="25">
        <v>46.5</v>
      </c>
      <c r="J106" s="32">
        <v>1.0813999999999999</v>
      </c>
      <c r="K106" s="33">
        <v>0.2555</v>
      </c>
      <c r="L106" s="32">
        <v>0.92537313432835799</v>
      </c>
      <c r="M106" s="32">
        <v>0.976377952755905</v>
      </c>
      <c r="N106" s="34" t="s">
        <v>398</v>
      </c>
      <c r="O106" s="33">
        <v>0.72222222222222199</v>
      </c>
      <c r="P106" s="25"/>
      <c r="Q106" s="25"/>
      <c r="R106" s="25">
        <v>5</v>
      </c>
      <c r="S106" s="25"/>
      <c r="T106" s="25">
        <v>11</v>
      </c>
      <c r="U106" s="25">
        <v>30</v>
      </c>
      <c r="V106" s="35">
        <v>4.8571428571428568</v>
      </c>
    </row>
    <row r="107" spans="1:22" ht="32" x14ac:dyDescent="0.2">
      <c r="A107" s="29" t="s">
        <v>111</v>
      </c>
      <c r="B107" s="30" t="s">
        <v>409</v>
      </c>
      <c r="C107" s="30" t="s">
        <v>342</v>
      </c>
      <c r="D107" s="31">
        <v>43777</v>
      </c>
      <c r="E107" s="30">
        <v>12</v>
      </c>
      <c r="F107" s="30">
        <v>6.88</v>
      </c>
      <c r="G107" s="32">
        <v>0.57289999999999996</v>
      </c>
      <c r="H107" s="25">
        <v>16</v>
      </c>
      <c r="I107" s="25">
        <v>20.56</v>
      </c>
      <c r="J107" s="32">
        <v>1.2851999999999999</v>
      </c>
      <c r="K107" s="33">
        <v>0.1923</v>
      </c>
      <c r="L107" s="32">
        <v>1</v>
      </c>
      <c r="M107" s="32">
        <v>1</v>
      </c>
      <c r="N107" s="34"/>
      <c r="O107" s="33">
        <v>1</v>
      </c>
      <c r="P107" s="25"/>
      <c r="Q107" s="25"/>
      <c r="R107" s="25">
        <v>1</v>
      </c>
      <c r="S107" s="25"/>
      <c r="T107" s="25">
        <v>0</v>
      </c>
      <c r="U107" s="25">
        <v>9</v>
      </c>
      <c r="V107" s="35" t="e">
        <v>#N/A</v>
      </c>
    </row>
    <row r="108" spans="1:22" ht="16" x14ac:dyDescent="0.2">
      <c r="A108" s="29" t="s">
        <v>281</v>
      </c>
      <c r="B108" s="30" t="s">
        <v>405</v>
      </c>
      <c r="C108" s="30" t="s">
        <v>333</v>
      </c>
      <c r="D108" s="31">
        <v>45741</v>
      </c>
      <c r="E108" s="30">
        <v>35</v>
      </c>
      <c r="F108" s="30">
        <v>31.63</v>
      </c>
      <c r="G108" s="32">
        <v>0.90359999999999996</v>
      </c>
      <c r="H108" s="25">
        <v>43</v>
      </c>
      <c r="I108" s="25">
        <v>41.75</v>
      </c>
      <c r="J108" s="32">
        <v>0.97089999999999999</v>
      </c>
      <c r="K108" s="33">
        <v>0.1004</v>
      </c>
      <c r="L108" s="32">
        <v>0.990291262135922</v>
      </c>
      <c r="M108" s="32">
        <v>0.98750000000000004</v>
      </c>
      <c r="N108" s="34" t="s">
        <v>298</v>
      </c>
      <c r="O108" s="33">
        <v>0.59090909090909005</v>
      </c>
      <c r="P108" s="25">
        <v>1</v>
      </c>
      <c r="Q108" s="25">
        <v>10</v>
      </c>
      <c r="R108" s="25">
        <v>12</v>
      </c>
      <c r="S108" s="25">
        <v>10</v>
      </c>
      <c r="T108" s="25">
        <v>13</v>
      </c>
      <c r="U108" s="25">
        <v>43</v>
      </c>
      <c r="V108" s="35" t="e">
        <v>#N/A</v>
      </c>
    </row>
    <row r="109" spans="1:22" ht="32" x14ac:dyDescent="0.2">
      <c r="A109" s="29" t="s">
        <v>115</v>
      </c>
      <c r="B109" s="30" t="s">
        <v>405</v>
      </c>
      <c r="C109" s="30" t="s">
        <v>342</v>
      </c>
      <c r="D109" s="31">
        <v>44575</v>
      </c>
      <c r="E109" s="30">
        <v>12</v>
      </c>
      <c r="F109" s="30">
        <v>16.38</v>
      </c>
      <c r="G109" s="32">
        <v>1.36459999999999</v>
      </c>
      <c r="H109" s="25">
        <v>16</v>
      </c>
      <c r="I109" s="25">
        <v>20.190000000000001</v>
      </c>
      <c r="J109" s="32">
        <v>1.2617</v>
      </c>
      <c r="K109" s="33">
        <v>0.14510000000000001</v>
      </c>
      <c r="L109" s="32">
        <v>0.95652173913043403</v>
      </c>
      <c r="M109" s="32">
        <v>1</v>
      </c>
      <c r="N109" s="34" t="s">
        <v>213</v>
      </c>
      <c r="O109" s="33">
        <v>1</v>
      </c>
      <c r="P109" s="25"/>
      <c r="Q109" s="25"/>
      <c r="R109" s="25">
        <v>6</v>
      </c>
      <c r="S109" s="25">
        <v>20</v>
      </c>
      <c r="T109" s="25">
        <v>8</v>
      </c>
      <c r="U109" s="25">
        <v>22</v>
      </c>
      <c r="V109" s="35" t="e">
        <v>#N/A</v>
      </c>
    </row>
    <row r="110" spans="1:22" ht="32" x14ac:dyDescent="0.2">
      <c r="A110" s="29" t="s">
        <v>283</v>
      </c>
      <c r="B110" s="30" t="s">
        <v>405</v>
      </c>
      <c r="C110" s="30" t="s">
        <v>80</v>
      </c>
      <c r="D110" s="31">
        <v>45904</v>
      </c>
      <c r="E110" s="30">
        <v>20</v>
      </c>
      <c r="F110" s="30">
        <v>25.13</v>
      </c>
      <c r="G110" s="32">
        <v>1.2563</v>
      </c>
      <c r="H110" s="25">
        <v>24</v>
      </c>
      <c r="I110" s="25">
        <v>31.56</v>
      </c>
      <c r="J110" s="32">
        <v>1.3150999999999999</v>
      </c>
      <c r="K110" s="33">
        <v>0.42699999999999999</v>
      </c>
      <c r="L110" s="32">
        <v>1</v>
      </c>
      <c r="M110" s="32">
        <v>0.99305555555555503</v>
      </c>
      <c r="N110" s="34" t="s">
        <v>241</v>
      </c>
      <c r="O110" s="33">
        <v>0.53333333333333299</v>
      </c>
      <c r="P110" s="25">
        <v>1</v>
      </c>
      <c r="Q110" s="25">
        <v>10</v>
      </c>
      <c r="R110" s="25">
        <v>14</v>
      </c>
      <c r="S110" s="25"/>
      <c r="T110" s="25">
        <v>14</v>
      </c>
      <c r="U110" s="25">
        <v>40</v>
      </c>
      <c r="V110" s="35">
        <v>4</v>
      </c>
    </row>
    <row r="111" spans="1:22" ht="32" x14ac:dyDescent="0.2">
      <c r="A111" s="29" t="s">
        <v>285</v>
      </c>
      <c r="B111" s="30" t="s">
        <v>405</v>
      </c>
      <c r="C111" s="30" t="s">
        <v>339</v>
      </c>
      <c r="D111" s="31">
        <v>45874</v>
      </c>
      <c r="E111" s="30">
        <v>30</v>
      </c>
      <c r="F111" s="30">
        <v>20.25</v>
      </c>
      <c r="G111" s="32">
        <v>0.67500000000000004</v>
      </c>
      <c r="H111" s="25">
        <v>38</v>
      </c>
      <c r="I111" s="25">
        <v>33.75</v>
      </c>
      <c r="J111" s="32">
        <v>0.88819999999999999</v>
      </c>
      <c r="K111" s="33">
        <v>0.34039999999999998</v>
      </c>
      <c r="L111" s="32">
        <v>0.82258064516129004</v>
      </c>
      <c r="M111" s="32">
        <v>0.97435897435897401</v>
      </c>
      <c r="N111" s="34" t="s">
        <v>224</v>
      </c>
      <c r="O111" s="33">
        <v>0.7</v>
      </c>
      <c r="P111" s="25">
        <v>1</v>
      </c>
      <c r="Q111" s="25">
        <v>10</v>
      </c>
      <c r="R111" s="25">
        <v>4</v>
      </c>
      <c r="S111" s="25">
        <v>2</v>
      </c>
      <c r="T111" s="25">
        <v>11</v>
      </c>
      <c r="U111" s="25">
        <v>33</v>
      </c>
      <c r="V111" s="35" t="e">
        <v>#N/A</v>
      </c>
    </row>
    <row r="112" spans="1:22" ht="16" x14ac:dyDescent="0.2">
      <c r="A112" s="29" t="s">
        <v>116</v>
      </c>
      <c r="B112" s="30" t="s">
        <v>409</v>
      </c>
      <c r="C112" s="30" t="s">
        <v>99</v>
      </c>
      <c r="D112" s="31">
        <v>42373</v>
      </c>
      <c r="E112" s="30">
        <v>30</v>
      </c>
      <c r="F112" s="30">
        <v>24.63</v>
      </c>
      <c r="G112" s="32">
        <v>0.82079999999999997</v>
      </c>
      <c r="H112" s="25">
        <v>38</v>
      </c>
      <c r="I112" s="25">
        <v>37.56</v>
      </c>
      <c r="J112" s="32">
        <v>0.98849999999999905</v>
      </c>
      <c r="K112" s="33">
        <v>0.13</v>
      </c>
      <c r="L112" s="32">
        <v>1</v>
      </c>
      <c r="M112" s="32">
        <v>1</v>
      </c>
      <c r="N112" s="34" t="s">
        <v>227</v>
      </c>
      <c r="O112" s="33">
        <v>1</v>
      </c>
      <c r="P112" s="25">
        <v>4</v>
      </c>
      <c r="Q112" s="25">
        <v>10</v>
      </c>
      <c r="R112" s="25">
        <v>5</v>
      </c>
      <c r="S112" s="25"/>
      <c r="T112" s="25">
        <v>4</v>
      </c>
      <c r="U112" s="25">
        <v>25</v>
      </c>
      <c r="V112" s="35" t="e">
        <v>#N/A</v>
      </c>
    </row>
    <row r="113" spans="1:22" ht="16" x14ac:dyDescent="0.2">
      <c r="A113" s="29" t="s">
        <v>117</v>
      </c>
      <c r="B113" s="30" t="s">
        <v>405</v>
      </c>
      <c r="C113" s="30" t="s">
        <v>342</v>
      </c>
      <c r="D113" s="31">
        <v>45483</v>
      </c>
      <c r="E113" s="30">
        <v>30</v>
      </c>
      <c r="F113" s="30">
        <v>30.38</v>
      </c>
      <c r="G113" s="32">
        <v>1.0125</v>
      </c>
      <c r="H113" s="25">
        <v>38</v>
      </c>
      <c r="I113" s="25">
        <v>37.44</v>
      </c>
      <c r="J113" s="32">
        <v>0.98519999999999996</v>
      </c>
      <c r="K113" s="33">
        <v>0.25840000000000002</v>
      </c>
      <c r="L113" s="32">
        <v>0.80645161290322498</v>
      </c>
      <c r="M113" s="32">
        <v>1</v>
      </c>
      <c r="N113" s="34" t="s">
        <v>307</v>
      </c>
      <c r="O113" s="33">
        <v>0.95</v>
      </c>
      <c r="P113" s="25">
        <v>1</v>
      </c>
      <c r="Q113" s="25">
        <v>10</v>
      </c>
      <c r="R113" s="25">
        <v>8</v>
      </c>
      <c r="S113" s="25"/>
      <c r="T113" s="25">
        <v>20</v>
      </c>
      <c r="U113" s="25">
        <v>50</v>
      </c>
      <c r="V113" s="35" t="e">
        <v>#N/A</v>
      </c>
    </row>
    <row r="114" spans="1:22" ht="32" x14ac:dyDescent="0.2">
      <c r="A114" s="29" t="s">
        <v>119</v>
      </c>
      <c r="B114" s="30" t="s">
        <v>410</v>
      </c>
      <c r="C114" s="30" t="s">
        <v>342</v>
      </c>
      <c r="D114" s="31">
        <v>45210</v>
      </c>
      <c r="E114" s="30">
        <v>30</v>
      </c>
      <c r="F114" s="30">
        <v>12.1299999999999</v>
      </c>
      <c r="G114" s="32">
        <v>0.4042</v>
      </c>
      <c r="H114" s="25">
        <v>38</v>
      </c>
      <c r="I114" s="25">
        <v>43.17</v>
      </c>
      <c r="J114" s="32">
        <v>1.1359999999999999</v>
      </c>
      <c r="K114" s="33">
        <v>0.2097</v>
      </c>
      <c r="L114" s="32">
        <v>0.92</v>
      </c>
      <c r="M114" s="32">
        <v>1</v>
      </c>
      <c r="N114" s="34" t="s">
        <v>218</v>
      </c>
      <c r="O114" s="33">
        <v>1</v>
      </c>
      <c r="P114" s="25"/>
      <c r="Q114" s="25"/>
      <c r="R114" s="25">
        <v>1</v>
      </c>
      <c r="S114" s="25"/>
      <c r="T114" s="25">
        <v>2</v>
      </c>
      <c r="U114" s="25">
        <v>19</v>
      </c>
      <c r="V114" s="35" t="e">
        <v>#N/A</v>
      </c>
    </row>
    <row r="115" spans="1:22" ht="32" x14ac:dyDescent="0.2">
      <c r="A115" s="29" t="s">
        <v>120</v>
      </c>
      <c r="B115" s="30" t="s">
        <v>409</v>
      </c>
      <c r="C115" s="30" t="s">
        <v>99</v>
      </c>
      <c r="D115" s="31">
        <v>43922</v>
      </c>
      <c r="E115" s="30">
        <v>35</v>
      </c>
      <c r="F115" s="30">
        <v>27.25</v>
      </c>
      <c r="G115" s="32">
        <v>0.77859999999999996</v>
      </c>
      <c r="H115" s="25">
        <v>43</v>
      </c>
      <c r="I115" s="25">
        <v>55.69</v>
      </c>
      <c r="J115" s="32">
        <v>1.2950999999999999</v>
      </c>
      <c r="K115" s="33">
        <v>0.14399999999999999</v>
      </c>
      <c r="L115" s="32">
        <v>0.92063492063492003</v>
      </c>
      <c r="M115" s="32">
        <v>1</v>
      </c>
      <c r="N115" s="34" t="s">
        <v>275</v>
      </c>
      <c r="O115" s="33">
        <v>0.31578947368421001</v>
      </c>
      <c r="P115" s="25">
        <v>1</v>
      </c>
      <c r="Q115" s="25">
        <v>10</v>
      </c>
      <c r="R115" s="25">
        <v>2</v>
      </c>
      <c r="S115" s="25"/>
      <c r="T115" s="25">
        <v>6</v>
      </c>
      <c r="U115" s="25">
        <v>25</v>
      </c>
      <c r="V115" s="35" t="e">
        <v>#N/A</v>
      </c>
    </row>
    <row r="116" spans="1:22" ht="16" x14ac:dyDescent="0.2">
      <c r="A116" s="29" t="s">
        <v>121</v>
      </c>
      <c r="B116" s="30" t="s">
        <v>410</v>
      </c>
      <c r="C116" s="30" t="s">
        <v>333</v>
      </c>
      <c r="D116" s="31">
        <v>45296</v>
      </c>
      <c r="E116" s="30">
        <v>12</v>
      </c>
      <c r="F116" s="30">
        <v>3</v>
      </c>
      <c r="G116" s="32">
        <v>0.25</v>
      </c>
      <c r="H116" s="25">
        <v>16</v>
      </c>
      <c r="I116" s="25">
        <v>13.69</v>
      </c>
      <c r="J116" s="32">
        <v>0.85549999999999904</v>
      </c>
      <c r="K116" s="33">
        <v>8.3299999999999999E-2</v>
      </c>
      <c r="L116" s="32">
        <v>1</v>
      </c>
      <c r="M116" s="32">
        <v>1</v>
      </c>
      <c r="N116" s="34" t="s">
        <v>215</v>
      </c>
      <c r="O116" s="33">
        <v>0.5</v>
      </c>
      <c r="P116" s="25"/>
      <c r="Q116" s="25"/>
      <c r="R116" s="25"/>
      <c r="S116" s="25"/>
      <c r="T116" s="25">
        <v>0</v>
      </c>
      <c r="U116" s="25">
        <v>2</v>
      </c>
      <c r="V116" s="35" t="e">
        <v>#N/A</v>
      </c>
    </row>
    <row r="117" spans="1:22" ht="32" x14ac:dyDescent="0.2">
      <c r="A117" s="29" t="s">
        <v>123</v>
      </c>
      <c r="B117" s="30" t="s">
        <v>409</v>
      </c>
      <c r="C117" s="30" t="s">
        <v>339</v>
      </c>
      <c r="D117" s="31">
        <v>44330</v>
      </c>
      <c r="E117" s="30">
        <v>30</v>
      </c>
      <c r="F117" s="30">
        <v>22.94</v>
      </c>
      <c r="G117" s="32">
        <v>0.76459999999999995</v>
      </c>
      <c r="H117" s="25">
        <v>38</v>
      </c>
      <c r="I117" s="25">
        <v>44.88</v>
      </c>
      <c r="J117" s="32">
        <v>1.1809000000000001</v>
      </c>
      <c r="K117" s="33">
        <v>6.3700000000000007E-2</v>
      </c>
      <c r="L117" s="32">
        <v>0.98181818181818103</v>
      </c>
      <c r="M117" s="32">
        <v>0.98850574712643602</v>
      </c>
      <c r="N117" s="34" t="s">
        <v>215</v>
      </c>
      <c r="O117" s="33">
        <v>0.94117647058823495</v>
      </c>
      <c r="P117" s="25">
        <v>1</v>
      </c>
      <c r="Q117" s="25">
        <v>10</v>
      </c>
      <c r="R117" s="25">
        <v>6</v>
      </c>
      <c r="S117" s="25">
        <v>1</v>
      </c>
      <c r="T117" s="25">
        <v>1</v>
      </c>
      <c r="U117" s="25">
        <v>18</v>
      </c>
      <c r="V117" s="35" t="e">
        <v>#N/A</v>
      </c>
    </row>
    <row r="118" spans="1:22" ht="16" x14ac:dyDescent="0.2">
      <c r="A118" s="29" t="s">
        <v>125</v>
      </c>
      <c r="B118" s="30" t="s">
        <v>405</v>
      </c>
      <c r="C118" s="30" t="s">
        <v>342</v>
      </c>
      <c r="D118" s="31">
        <v>45271</v>
      </c>
      <c r="E118" s="30">
        <v>30</v>
      </c>
      <c r="F118" s="30">
        <v>26.189999999999898</v>
      </c>
      <c r="G118" s="32">
        <v>0.87289999999999901</v>
      </c>
      <c r="H118" s="25">
        <v>38</v>
      </c>
      <c r="I118" s="25">
        <v>36.69</v>
      </c>
      <c r="J118" s="32">
        <v>0.96549999999999903</v>
      </c>
      <c r="K118" s="33">
        <v>0.37969999999999998</v>
      </c>
      <c r="L118" s="32">
        <v>0.934782608695652</v>
      </c>
      <c r="M118" s="32">
        <v>0.84931506849314997</v>
      </c>
      <c r="N118" s="34" t="s">
        <v>225</v>
      </c>
      <c r="O118" s="33">
        <v>0.90476190476190399</v>
      </c>
      <c r="P118" s="25"/>
      <c r="Q118" s="25"/>
      <c r="R118" s="25">
        <v>16</v>
      </c>
      <c r="S118" s="25">
        <v>1</v>
      </c>
      <c r="T118" s="25">
        <v>6</v>
      </c>
      <c r="U118" s="25">
        <v>42</v>
      </c>
      <c r="V118" s="35" t="e">
        <v>#N/A</v>
      </c>
    </row>
    <row r="119" spans="1:22" ht="32" x14ac:dyDescent="0.2">
      <c r="A119" s="29" t="s">
        <v>126</v>
      </c>
      <c r="B119" s="30" t="s">
        <v>410</v>
      </c>
      <c r="C119" s="30" t="s">
        <v>340</v>
      </c>
      <c r="D119" s="31">
        <v>44239</v>
      </c>
      <c r="E119" s="30">
        <v>30</v>
      </c>
      <c r="F119" s="30">
        <v>13.38</v>
      </c>
      <c r="G119" s="32">
        <v>0.44579999999999997</v>
      </c>
      <c r="H119" s="25">
        <v>38</v>
      </c>
      <c r="I119" s="25">
        <v>38.94</v>
      </c>
      <c r="J119" s="32">
        <v>1.0246999999999999</v>
      </c>
      <c r="K119" s="33">
        <v>0.1469</v>
      </c>
      <c r="L119" s="32">
        <v>0.83870967741935398</v>
      </c>
      <c r="M119" s="32">
        <v>1</v>
      </c>
      <c r="N119" s="34" t="s">
        <v>225</v>
      </c>
      <c r="O119" s="33">
        <v>0.5</v>
      </c>
      <c r="P119" s="25"/>
      <c r="Q119" s="25"/>
      <c r="R119" s="25">
        <v>1</v>
      </c>
      <c r="S119" s="25">
        <v>2</v>
      </c>
      <c r="T119" s="25">
        <v>4</v>
      </c>
      <c r="U119" s="25">
        <v>12</v>
      </c>
      <c r="V119" s="35">
        <v>3.5</v>
      </c>
    </row>
    <row r="120" spans="1:22" ht="16" x14ac:dyDescent="0.2">
      <c r="A120" s="29" t="s">
        <v>288</v>
      </c>
      <c r="B120" s="30" t="s">
        <v>405</v>
      </c>
      <c r="C120" s="30" t="s">
        <v>430</v>
      </c>
      <c r="D120" s="31">
        <v>45953</v>
      </c>
      <c r="E120" s="30">
        <v>20</v>
      </c>
      <c r="F120" s="30">
        <v>8.3799999999999901</v>
      </c>
      <c r="G120" s="32">
        <v>0.41880000000000001</v>
      </c>
      <c r="H120" s="25">
        <v>24</v>
      </c>
      <c r="I120" s="25">
        <v>19.059999999999999</v>
      </c>
      <c r="J120" s="32">
        <v>0.79430000000000001</v>
      </c>
      <c r="K120" s="33">
        <v>0.23719999999999999</v>
      </c>
      <c r="L120" s="32">
        <v>0.96153846153846101</v>
      </c>
      <c r="M120" s="32">
        <v>1</v>
      </c>
      <c r="N120" s="34" t="s">
        <v>642</v>
      </c>
      <c r="O120" s="33"/>
      <c r="P120" s="25"/>
      <c r="Q120" s="25"/>
      <c r="R120" s="25">
        <v>2</v>
      </c>
      <c r="S120" s="25"/>
      <c r="T120" s="25">
        <v>24</v>
      </c>
      <c r="U120" s="25">
        <v>24</v>
      </c>
      <c r="V120" s="35"/>
    </row>
    <row r="121" spans="1:22" ht="16" x14ac:dyDescent="0.2">
      <c r="A121" s="29" t="s">
        <v>615</v>
      </c>
      <c r="B121" s="30" t="s">
        <v>405</v>
      </c>
      <c r="C121" s="30" t="s">
        <v>429</v>
      </c>
      <c r="D121" s="31">
        <v>45971</v>
      </c>
      <c r="E121" s="30">
        <v>12</v>
      </c>
      <c r="F121" s="30">
        <v>0</v>
      </c>
      <c r="G121" s="32">
        <v>0</v>
      </c>
      <c r="H121" s="25">
        <v>16</v>
      </c>
      <c r="I121" s="25">
        <v>10.92</v>
      </c>
      <c r="J121" s="32">
        <v>0.68229999999999902</v>
      </c>
      <c r="K121" s="33"/>
      <c r="L121" s="32"/>
      <c r="M121" s="32"/>
      <c r="N121" s="34"/>
      <c r="O121" s="33"/>
      <c r="P121" s="25"/>
      <c r="Q121" s="25"/>
      <c r="R121" s="25"/>
      <c r="S121" s="25"/>
      <c r="T121" s="25">
        <v>0</v>
      </c>
      <c r="U121" s="25">
        <v>0</v>
      </c>
      <c r="V121" s="35"/>
    </row>
    <row r="122" spans="1:22" ht="16" x14ac:dyDescent="0.2">
      <c r="A122" s="29" t="s">
        <v>127</v>
      </c>
      <c r="B122" s="30" t="s">
        <v>409</v>
      </c>
      <c r="C122" s="30" t="s">
        <v>99</v>
      </c>
      <c r="D122" s="31">
        <v>44222</v>
      </c>
      <c r="E122" s="30">
        <v>30</v>
      </c>
      <c r="F122" s="30">
        <v>15.38</v>
      </c>
      <c r="G122" s="32">
        <v>0.51249999999999996</v>
      </c>
      <c r="H122" s="25">
        <v>38</v>
      </c>
      <c r="I122" s="25">
        <v>28.88</v>
      </c>
      <c r="J122" s="32">
        <v>0.75989999999999902</v>
      </c>
      <c r="K122" s="33">
        <v>0.28839999999999999</v>
      </c>
      <c r="L122" s="32">
        <v>0.84615384615384603</v>
      </c>
      <c r="M122" s="32">
        <v>0.98275862068965503</v>
      </c>
      <c r="N122" s="34" t="s">
        <v>215</v>
      </c>
      <c r="O122" s="33">
        <v>1</v>
      </c>
      <c r="P122" s="25">
        <v>1</v>
      </c>
      <c r="Q122" s="25">
        <v>8</v>
      </c>
      <c r="R122" s="25">
        <v>1</v>
      </c>
      <c r="S122" s="25"/>
      <c r="T122" s="25">
        <v>3</v>
      </c>
      <c r="U122" s="25">
        <v>19</v>
      </c>
      <c r="V122" s="35"/>
    </row>
    <row r="123" spans="1:22" ht="16" x14ac:dyDescent="0.2">
      <c r="A123" s="29" t="s">
        <v>128</v>
      </c>
      <c r="B123" s="30" t="s">
        <v>410</v>
      </c>
      <c r="C123" s="30" t="s">
        <v>340</v>
      </c>
      <c r="D123" s="31">
        <v>43549</v>
      </c>
      <c r="E123" s="30">
        <v>30</v>
      </c>
      <c r="F123" s="30">
        <v>27</v>
      </c>
      <c r="G123" s="32">
        <v>0.9</v>
      </c>
      <c r="H123" s="25">
        <v>38</v>
      </c>
      <c r="I123" s="25">
        <v>64.44</v>
      </c>
      <c r="J123" s="32">
        <v>1.6957</v>
      </c>
      <c r="K123" s="33">
        <v>0.29220000000000002</v>
      </c>
      <c r="L123" s="32">
        <v>0.984615384615384</v>
      </c>
      <c r="M123" s="32">
        <v>0.934579439252336</v>
      </c>
      <c r="N123" s="34" t="s">
        <v>226</v>
      </c>
      <c r="O123" s="33">
        <v>0.952380952380952</v>
      </c>
      <c r="P123" s="25"/>
      <c r="Q123" s="25"/>
      <c r="R123" s="25">
        <v>5</v>
      </c>
      <c r="S123" s="25"/>
      <c r="T123" s="25">
        <v>4</v>
      </c>
      <c r="U123" s="25">
        <v>23</v>
      </c>
      <c r="V123" s="35">
        <v>4</v>
      </c>
    </row>
    <row r="124" spans="1:22" ht="16" x14ac:dyDescent="0.2">
      <c r="A124" s="29" t="s">
        <v>129</v>
      </c>
      <c r="B124" s="30" t="s">
        <v>409</v>
      </c>
      <c r="C124" s="30" t="s">
        <v>333</v>
      </c>
      <c r="D124" s="31">
        <v>43812</v>
      </c>
      <c r="E124" s="30">
        <v>12</v>
      </c>
      <c r="F124" s="30">
        <v>8.69</v>
      </c>
      <c r="G124" s="32">
        <v>0.72399999999999998</v>
      </c>
      <c r="H124" s="25">
        <v>16</v>
      </c>
      <c r="I124" s="25">
        <v>20</v>
      </c>
      <c r="J124" s="32">
        <v>1.25</v>
      </c>
      <c r="K124" s="33">
        <v>0.16800000000000001</v>
      </c>
      <c r="L124" s="32">
        <v>1</v>
      </c>
      <c r="M124" s="32">
        <v>1</v>
      </c>
      <c r="N124" s="34" t="s">
        <v>266</v>
      </c>
      <c r="O124" s="33">
        <v>0.85714285714285698</v>
      </c>
      <c r="P124" s="25"/>
      <c r="Q124" s="25"/>
      <c r="R124" s="25">
        <v>2</v>
      </c>
      <c r="S124" s="25"/>
      <c r="T124" s="25">
        <v>4</v>
      </c>
      <c r="U124" s="25">
        <v>12</v>
      </c>
      <c r="V124" s="35" t="e">
        <v>#N/A</v>
      </c>
    </row>
    <row r="125" spans="1:22" ht="16" x14ac:dyDescent="0.2">
      <c r="A125" s="29" t="s">
        <v>130</v>
      </c>
      <c r="B125" s="30" t="s">
        <v>409</v>
      </c>
      <c r="C125" s="30" t="s">
        <v>339</v>
      </c>
      <c r="D125" s="31">
        <v>43922</v>
      </c>
      <c r="E125" s="30">
        <v>20</v>
      </c>
      <c r="F125" s="30">
        <v>10.6299999999999</v>
      </c>
      <c r="G125" s="32">
        <v>0.53129999999999999</v>
      </c>
      <c r="H125" s="25">
        <v>24</v>
      </c>
      <c r="I125" s="25">
        <v>25.63</v>
      </c>
      <c r="J125" s="32">
        <v>1.0677000000000001</v>
      </c>
      <c r="K125" s="33">
        <v>0.2397</v>
      </c>
      <c r="L125" s="32">
        <v>1</v>
      </c>
      <c r="M125" s="32">
        <v>1</v>
      </c>
      <c r="N125" s="34" t="s">
        <v>215</v>
      </c>
      <c r="O125" s="33">
        <v>0.8</v>
      </c>
      <c r="P125" s="25"/>
      <c r="Q125" s="25"/>
      <c r="R125" s="25">
        <v>1</v>
      </c>
      <c r="S125" s="25"/>
      <c r="T125" s="25">
        <v>1</v>
      </c>
      <c r="U125" s="25">
        <v>7</v>
      </c>
      <c r="V125" s="35"/>
    </row>
    <row r="126" spans="1:22" ht="16" x14ac:dyDescent="0.2">
      <c r="A126" s="29" t="s">
        <v>131</v>
      </c>
      <c r="B126" s="30" t="s">
        <v>405</v>
      </c>
      <c r="C126" s="30" t="s">
        <v>340</v>
      </c>
      <c r="D126" s="31">
        <v>44615</v>
      </c>
      <c r="E126" s="30">
        <v>30</v>
      </c>
      <c r="F126" s="30">
        <v>28.88</v>
      </c>
      <c r="G126" s="32">
        <v>0.96250000000000002</v>
      </c>
      <c r="H126" s="25">
        <v>38</v>
      </c>
      <c r="I126" s="25">
        <v>42.94</v>
      </c>
      <c r="J126" s="32">
        <v>1.1298999999999999</v>
      </c>
      <c r="K126" s="33">
        <v>6.4500000000000002E-2</v>
      </c>
      <c r="L126" s="32">
        <v>0.98648648648648596</v>
      </c>
      <c r="M126" s="32">
        <v>0.98412698412698396</v>
      </c>
      <c r="N126" s="34" t="s">
        <v>256</v>
      </c>
      <c r="O126" s="33">
        <v>0.25</v>
      </c>
      <c r="P126" s="25">
        <v>1</v>
      </c>
      <c r="Q126" s="25">
        <v>9</v>
      </c>
      <c r="R126" s="25">
        <v>7</v>
      </c>
      <c r="S126" s="25"/>
      <c r="T126" s="25">
        <v>11</v>
      </c>
      <c r="U126" s="25">
        <v>28</v>
      </c>
      <c r="V126" s="35"/>
    </row>
    <row r="127" spans="1:22" ht="16" x14ac:dyDescent="0.2">
      <c r="A127" s="29" t="s">
        <v>132</v>
      </c>
      <c r="B127" s="30" t="s">
        <v>410</v>
      </c>
      <c r="C127" s="30" t="s">
        <v>342</v>
      </c>
      <c r="D127" s="31">
        <v>45265</v>
      </c>
      <c r="E127" s="30">
        <v>35</v>
      </c>
      <c r="F127" s="30">
        <v>31.88</v>
      </c>
      <c r="G127" s="32">
        <v>0.91069999999999995</v>
      </c>
      <c r="H127" s="25">
        <v>43</v>
      </c>
      <c r="I127" s="25">
        <v>53.44</v>
      </c>
      <c r="J127" s="32">
        <v>1.2426999999999999</v>
      </c>
      <c r="K127" s="33">
        <v>9.4E-2</v>
      </c>
      <c r="L127" s="32">
        <v>1</v>
      </c>
      <c r="M127" s="32">
        <v>1</v>
      </c>
      <c r="N127" s="34" t="s">
        <v>234</v>
      </c>
      <c r="O127" s="33">
        <v>1</v>
      </c>
      <c r="P127" s="25">
        <v>1</v>
      </c>
      <c r="Q127" s="25">
        <v>10</v>
      </c>
      <c r="R127" s="25">
        <v>5</v>
      </c>
      <c r="S127" s="25"/>
      <c r="T127" s="25">
        <v>6</v>
      </c>
      <c r="U127" s="25">
        <v>27</v>
      </c>
      <c r="V127" s="35" t="e">
        <v>#N/A</v>
      </c>
    </row>
    <row r="128" spans="1:22" ht="32" x14ac:dyDescent="0.2">
      <c r="A128" s="29" t="s">
        <v>289</v>
      </c>
      <c r="B128" s="30" t="s">
        <v>405</v>
      </c>
      <c r="C128" s="30" t="s">
        <v>333</v>
      </c>
      <c r="D128" s="31">
        <v>45922</v>
      </c>
      <c r="E128" s="30">
        <v>30</v>
      </c>
      <c r="F128" s="30">
        <v>33.630000000000003</v>
      </c>
      <c r="G128" s="32">
        <v>1.1208</v>
      </c>
      <c r="H128" s="25">
        <v>38</v>
      </c>
      <c r="I128" s="25">
        <v>41.56</v>
      </c>
      <c r="J128" s="32">
        <v>1.0937999999999899</v>
      </c>
      <c r="K128" s="33">
        <v>0.1069</v>
      </c>
      <c r="L128" s="32">
        <v>0.83168316831683098</v>
      </c>
      <c r="M128" s="32">
        <v>1</v>
      </c>
      <c r="N128" s="34" t="s">
        <v>643</v>
      </c>
      <c r="O128" s="33">
        <v>0.266666666666666</v>
      </c>
      <c r="P128" s="25">
        <v>2</v>
      </c>
      <c r="Q128" s="25">
        <v>10</v>
      </c>
      <c r="R128" s="25">
        <v>14</v>
      </c>
      <c r="S128" s="25"/>
      <c r="T128" s="25">
        <v>22</v>
      </c>
      <c r="U128" s="25">
        <v>42</v>
      </c>
      <c r="V128" s="35"/>
    </row>
    <row r="129" spans="1:22" ht="32" x14ac:dyDescent="0.2">
      <c r="A129" s="29" t="s">
        <v>134</v>
      </c>
      <c r="B129" s="30" t="s">
        <v>410</v>
      </c>
      <c r="C129" s="30" t="s">
        <v>333</v>
      </c>
      <c r="D129" s="31">
        <v>45281</v>
      </c>
      <c r="E129" s="30">
        <v>30</v>
      </c>
      <c r="F129" s="30">
        <v>19</v>
      </c>
      <c r="G129" s="32">
        <v>0.63329999999999997</v>
      </c>
      <c r="H129" s="25">
        <v>38</v>
      </c>
      <c r="I129" s="25">
        <v>42.56</v>
      </c>
      <c r="J129" s="32">
        <v>1.1200999999999901</v>
      </c>
      <c r="K129" s="33">
        <v>4.1000000000000002E-2</v>
      </c>
      <c r="L129" s="32">
        <v>1</v>
      </c>
      <c r="M129" s="32">
        <v>0.98611111111111105</v>
      </c>
      <c r="N129" s="34" t="s">
        <v>267</v>
      </c>
      <c r="O129" s="33">
        <v>0.375</v>
      </c>
      <c r="P129" s="25"/>
      <c r="Q129" s="25"/>
      <c r="R129" s="25">
        <v>1</v>
      </c>
      <c r="S129" s="25"/>
      <c r="T129" s="25">
        <v>7</v>
      </c>
      <c r="U129" s="25">
        <v>25</v>
      </c>
      <c r="V129" s="35" t="e">
        <v>#N/A</v>
      </c>
    </row>
    <row r="130" spans="1:22" ht="16" x14ac:dyDescent="0.2">
      <c r="A130" s="29" t="s">
        <v>291</v>
      </c>
      <c r="B130" s="30" t="s">
        <v>405</v>
      </c>
      <c r="C130" s="30" t="s">
        <v>429</v>
      </c>
      <c r="D130" s="31">
        <v>45964</v>
      </c>
      <c r="E130" s="30">
        <v>20</v>
      </c>
      <c r="F130" s="30">
        <v>7.88</v>
      </c>
      <c r="G130" s="32">
        <v>0.39379999999999998</v>
      </c>
      <c r="H130" s="25">
        <v>24</v>
      </c>
      <c r="I130" s="25">
        <v>29.56</v>
      </c>
      <c r="J130" s="32">
        <v>1.2318</v>
      </c>
      <c r="K130" s="33">
        <v>0.2722</v>
      </c>
      <c r="L130" s="32">
        <v>0.73076923076922995</v>
      </c>
      <c r="M130" s="32">
        <v>1</v>
      </c>
      <c r="N130" s="34" t="s">
        <v>240</v>
      </c>
      <c r="O130" s="33"/>
      <c r="P130" s="25"/>
      <c r="Q130" s="25"/>
      <c r="R130" s="25">
        <v>3</v>
      </c>
      <c r="S130" s="25">
        <v>2</v>
      </c>
      <c r="T130" s="25">
        <v>19</v>
      </c>
      <c r="U130" s="25">
        <v>19</v>
      </c>
      <c r="V130" s="35"/>
    </row>
    <row r="131" spans="1:22" ht="32" x14ac:dyDescent="0.2">
      <c r="A131" s="29" t="s">
        <v>135</v>
      </c>
      <c r="B131" s="30" t="s">
        <v>410</v>
      </c>
      <c r="C131" s="30" t="s">
        <v>333</v>
      </c>
      <c r="D131" s="31">
        <v>42811</v>
      </c>
      <c r="E131" s="30">
        <v>12</v>
      </c>
      <c r="F131" s="30">
        <v>13.88</v>
      </c>
      <c r="G131" s="32">
        <v>1.1562999999999899</v>
      </c>
      <c r="H131" s="25">
        <v>16</v>
      </c>
      <c r="I131" s="25">
        <v>22.13</v>
      </c>
      <c r="J131" s="32">
        <v>1.3828</v>
      </c>
      <c r="K131" s="33">
        <v>0.14430000000000001</v>
      </c>
      <c r="L131" s="32">
        <v>0.97058823529411697</v>
      </c>
      <c r="M131" s="32">
        <v>1</v>
      </c>
      <c r="N131" s="34"/>
      <c r="O131" s="33">
        <v>0.90909090909090895</v>
      </c>
      <c r="P131" s="25"/>
      <c r="Q131" s="25"/>
      <c r="R131" s="25">
        <v>3</v>
      </c>
      <c r="S131" s="25">
        <v>0</v>
      </c>
      <c r="T131" s="25">
        <v>0</v>
      </c>
      <c r="U131" s="25">
        <v>11</v>
      </c>
      <c r="V131" s="35" t="e">
        <v>#N/A</v>
      </c>
    </row>
    <row r="132" spans="1:22" ht="32" x14ac:dyDescent="0.2">
      <c r="A132" s="29" t="s">
        <v>292</v>
      </c>
      <c r="B132" s="30" t="s">
        <v>405</v>
      </c>
      <c r="C132" s="30" t="s">
        <v>342</v>
      </c>
      <c r="D132" s="31">
        <v>45894</v>
      </c>
      <c r="E132" s="30">
        <v>35</v>
      </c>
      <c r="F132" s="30">
        <v>34.75</v>
      </c>
      <c r="G132" s="32">
        <v>0.99289999999999901</v>
      </c>
      <c r="H132" s="25">
        <v>43</v>
      </c>
      <c r="I132" s="25">
        <v>36.130000000000003</v>
      </c>
      <c r="J132" s="32">
        <v>0.84009999999999996</v>
      </c>
      <c r="K132" s="33">
        <v>4.9000000000000002E-2</v>
      </c>
      <c r="L132" s="32">
        <v>0.99115044247787598</v>
      </c>
      <c r="M132" s="32">
        <v>1</v>
      </c>
      <c r="N132" s="34" t="s">
        <v>216</v>
      </c>
      <c r="O132" s="33">
        <v>1</v>
      </c>
      <c r="P132" s="25"/>
      <c r="Q132" s="25"/>
      <c r="R132" s="25">
        <v>15</v>
      </c>
      <c r="S132" s="25">
        <v>9</v>
      </c>
      <c r="T132" s="25">
        <v>8</v>
      </c>
      <c r="U132" s="25">
        <v>49</v>
      </c>
      <c r="V132" s="35" t="e">
        <v>#N/A</v>
      </c>
    </row>
    <row r="133" spans="1:22" ht="16" x14ac:dyDescent="0.2">
      <c r="A133" s="29" t="s">
        <v>294</v>
      </c>
      <c r="B133" s="30" t="s">
        <v>405</v>
      </c>
      <c r="C133" s="30" t="s">
        <v>342</v>
      </c>
      <c r="D133" s="31">
        <v>45722</v>
      </c>
      <c r="E133" s="30">
        <v>12</v>
      </c>
      <c r="F133" s="30">
        <v>6.88</v>
      </c>
      <c r="G133" s="32">
        <v>0.57289999999999996</v>
      </c>
      <c r="H133" s="25">
        <v>16</v>
      </c>
      <c r="I133" s="25">
        <v>16</v>
      </c>
      <c r="J133" s="32">
        <v>1</v>
      </c>
      <c r="K133" s="33">
        <v>0.28949999999999998</v>
      </c>
      <c r="L133" s="32">
        <v>1</v>
      </c>
      <c r="M133" s="32">
        <v>0.97297297297297203</v>
      </c>
      <c r="N133" s="34" t="s">
        <v>266</v>
      </c>
      <c r="O133" s="33">
        <v>1</v>
      </c>
      <c r="P133" s="25"/>
      <c r="Q133" s="25"/>
      <c r="R133" s="25">
        <v>2</v>
      </c>
      <c r="S133" s="25"/>
      <c r="T133" s="25">
        <v>5</v>
      </c>
      <c r="U133" s="25">
        <v>13</v>
      </c>
      <c r="V133" s="35" t="e">
        <v>#N/A</v>
      </c>
    </row>
    <row r="134" spans="1:22" ht="16" x14ac:dyDescent="0.2">
      <c r="A134" s="29" t="s">
        <v>137</v>
      </c>
      <c r="B134" s="30" t="s">
        <v>409</v>
      </c>
      <c r="C134" s="30" t="s">
        <v>99</v>
      </c>
      <c r="D134" s="31">
        <v>43182</v>
      </c>
      <c r="E134" s="30">
        <v>30</v>
      </c>
      <c r="F134" s="30">
        <v>31.38</v>
      </c>
      <c r="G134" s="32">
        <v>1.0458000000000001</v>
      </c>
      <c r="H134" s="25">
        <v>38</v>
      </c>
      <c r="I134" s="25">
        <v>45.94</v>
      </c>
      <c r="J134" s="32">
        <v>1.2089000000000001</v>
      </c>
      <c r="K134" s="33">
        <v>9.1399999999999995E-2</v>
      </c>
      <c r="L134" s="32">
        <v>0.97752808988763995</v>
      </c>
      <c r="M134" s="32">
        <v>0.99145299145299104</v>
      </c>
      <c r="N134" s="34" t="s">
        <v>219</v>
      </c>
      <c r="O134" s="33">
        <v>0.81481481481481399</v>
      </c>
      <c r="P134" s="25"/>
      <c r="Q134" s="25"/>
      <c r="R134" s="25">
        <v>16</v>
      </c>
      <c r="S134" s="25">
        <v>52</v>
      </c>
      <c r="T134" s="25">
        <v>4</v>
      </c>
      <c r="U134" s="25">
        <v>32</v>
      </c>
      <c r="V134" s="35" t="e">
        <v>#N/A</v>
      </c>
    </row>
    <row r="135" spans="1:22" ht="16" x14ac:dyDescent="0.2">
      <c r="A135" s="29" t="s">
        <v>138</v>
      </c>
      <c r="B135" s="30" t="s">
        <v>405</v>
      </c>
      <c r="C135" s="30" t="s">
        <v>339</v>
      </c>
      <c r="D135" s="31">
        <v>45201</v>
      </c>
      <c r="E135" s="30">
        <v>30</v>
      </c>
      <c r="F135" s="30">
        <v>32.75</v>
      </c>
      <c r="G135" s="32">
        <v>1.0916999999999999</v>
      </c>
      <c r="H135" s="25">
        <v>38</v>
      </c>
      <c r="I135" s="25">
        <v>40.880000000000003</v>
      </c>
      <c r="J135" s="32">
        <v>1.0757000000000001</v>
      </c>
      <c r="K135" s="33">
        <v>0.05</v>
      </c>
      <c r="L135" s="32">
        <v>0.97727272727272696</v>
      </c>
      <c r="M135" s="32">
        <v>1</v>
      </c>
      <c r="N135" s="34" t="s">
        <v>380</v>
      </c>
      <c r="O135" s="33">
        <v>0.85</v>
      </c>
      <c r="P135" s="25"/>
      <c r="Q135" s="25"/>
      <c r="R135" s="25">
        <v>12</v>
      </c>
      <c r="S135" s="25"/>
      <c r="T135" s="25">
        <v>9</v>
      </c>
      <c r="U135" s="25">
        <v>31</v>
      </c>
      <c r="V135" s="35" t="e">
        <v>#N/A</v>
      </c>
    </row>
    <row r="136" spans="1:22" ht="32" x14ac:dyDescent="0.2">
      <c r="A136" s="29" t="s">
        <v>139</v>
      </c>
      <c r="B136" s="30" t="s">
        <v>410</v>
      </c>
      <c r="C136" s="30" t="s">
        <v>340</v>
      </c>
      <c r="D136" s="31">
        <v>44183</v>
      </c>
      <c r="E136" s="30">
        <v>30</v>
      </c>
      <c r="F136" s="30">
        <v>6.88</v>
      </c>
      <c r="G136" s="32">
        <v>0.22919999999999999</v>
      </c>
      <c r="H136" s="25">
        <v>38</v>
      </c>
      <c r="I136" s="25">
        <v>26.63</v>
      </c>
      <c r="J136" s="32">
        <v>0.70069999999999999</v>
      </c>
      <c r="K136" s="33">
        <v>0.1057</v>
      </c>
      <c r="L136" s="32">
        <v>0.9375</v>
      </c>
      <c r="M136" s="32">
        <v>1</v>
      </c>
      <c r="N136" s="34" t="s">
        <v>218</v>
      </c>
      <c r="O136" s="33">
        <v>0.5</v>
      </c>
      <c r="P136" s="25"/>
      <c r="Q136" s="25"/>
      <c r="R136" s="25">
        <v>1</v>
      </c>
      <c r="S136" s="25"/>
      <c r="T136" s="25">
        <v>3</v>
      </c>
      <c r="U136" s="25">
        <v>10</v>
      </c>
      <c r="V136" s="35">
        <v>4.333333333333333</v>
      </c>
    </row>
    <row r="137" spans="1:22" ht="32" x14ac:dyDescent="0.2">
      <c r="A137" s="29" t="s">
        <v>140</v>
      </c>
      <c r="B137" s="30" t="s">
        <v>405</v>
      </c>
      <c r="C137" s="30" t="s">
        <v>333</v>
      </c>
      <c r="D137" s="31">
        <v>44642</v>
      </c>
      <c r="E137" s="30">
        <v>20</v>
      </c>
      <c r="F137" s="30">
        <v>16.25</v>
      </c>
      <c r="G137" s="32">
        <v>0.8125</v>
      </c>
      <c r="H137" s="25">
        <v>24</v>
      </c>
      <c r="I137" s="25">
        <v>22.25</v>
      </c>
      <c r="J137" s="32">
        <v>0.92710000000000004</v>
      </c>
      <c r="K137" s="33">
        <v>0.1013</v>
      </c>
      <c r="L137" s="32">
        <v>0.85106382978723405</v>
      </c>
      <c r="M137" s="32">
        <v>0.95454545454545403</v>
      </c>
      <c r="N137" s="34" t="s">
        <v>262</v>
      </c>
      <c r="O137" s="33">
        <v>0.91666666666666596</v>
      </c>
      <c r="P137" s="25">
        <v>1</v>
      </c>
      <c r="Q137" s="25">
        <v>10</v>
      </c>
      <c r="R137" s="25">
        <v>4</v>
      </c>
      <c r="S137" s="25">
        <v>1</v>
      </c>
      <c r="T137" s="25">
        <v>7</v>
      </c>
      <c r="U137" s="25">
        <v>20</v>
      </c>
      <c r="V137" s="35" t="e">
        <v>#N/A</v>
      </c>
    </row>
    <row r="138" spans="1:22" ht="16" x14ac:dyDescent="0.2">
      <c r="A138" s="29" t="s">
        <v>141</v>
      </c>
      <c r="B138" s="30" t="s">
        <v>410</v>
      </c>
      <c r="C138" s="30" t="s">
        <v>333</v>
      </c>
      <c r="D138" s="31">
        <v>45271</v>
      </c>
      <c r="E138" s="30">
        <v>12</v>
      </c>
      <c r="F138" s="30">
        <v>1.5</v>
      </c>
      <c r="G138" s="32">
        <v>0.125</v>
      </c>
      <c r="H138" s="25">
        <v>16</v>
      </c>
      <c r="I138" s="25">
        <v>8.42</v>
      </c>
      <c r="J138" s="32">
        <v>0.52600000000000002</v>
      </c>
      <c r="K138" s="33">
        <v>0.1111</v>
      </c>
      <c r="L138" s="32">
        <v>1</v>
      </c>
      <c r="M138" s="32">
        <v>1</v>
      </c>
      <c r="N138" s="34"/>
      <c r="O138" s="33">
        <v>1</v>
      </c>
      <c r="P138" s="25"/>
      <c r="Q138" s="25"/>
      <c r="R138" s="25"/>
      <c r="S138" s="25"/>
      <c r="T138" s="25">
        <v>0</v>
      </c>
      <c r="U138" s="25">
        <v>2</v>
      </c>
      <c r="V138" s="35" t="e">
        <v>#N/A</v>
      </c>
    </row>
    <row r="139" spans="1:22" ht="32" x14ac:dyDescent="0.2">
      <c r="A139" s="29" t="s">
        <v>142</v>
      </c>
      <c r="B139" s="30" t="s">
        <v>405</v>
      </c>
      <c r="C139" s="30" t="s">
        <v>340</v>
      </c>
      <c r="D139" s="31">
        <v>43903</v>
      </c>
      <c r="E139" s="30">
        <v>30</v>
      </c>
      <c r="F139" s="30">
        <v>28.88</v>
      </c>
      <c r="G139" s="32">
        <v>0.96250000000000002</v>
      </c>
      <c r="H139" s="25">
        <v>38</v>
      </c>
      <c r="I139" s="25">
        <v>41.56</v>
      </c>
      <c r="J139" s="32">
        <v>1.0937999999999899</v>
      </c>
      <c r="K139" s="33">
        <v>0.33510000000000001</v>
      </c>
      <c r="L139" s="32">
        <v>0.98795180722891496</v>
      </c>
      <c r="M139" s="32">
        <v>0.98550724637681097</v>
      </c>
      <c r="N139" s="34" t="s">
        <v>262</v>
      </c>
      <c r="O139" s="33">
        <v>0.15384615384615299</v>
      </c>
      <c r="P139" s="25"/>
      <c r="Q139" s="25"/>
      <c r="R139" s="25">
        <v>15</v>
      </c>
      <c r="S139" s="25"/>
      <c r="T139" s="25">
        <v>10</v>
      </c>
      <c r="U139" s="25">
        <v>38</v>
      </c>
      <c r="V139" s="35"/>
    </row>
    <row r="140" spans="1:22" ht="32" x14ac:dyDescent="0.2">
      <c r="A140" s="29" t="s">
        <v>143</v>
      </c>
      <c r="B140" s="30" t="s">
        <v>410</v>
      </c>
      <c r="C140" s="30" t="s">
        <v>333</v>
      </c>
      <c r="D140" s="31">
        <v>45155</v>
      </c>
      <c r="E140" s="30">
        <v>12</v>
      </c>
      <c r="F140" s="30">
        <v>5.75</v>
      </c>
      <c r="G140" s="32">
        <v>0.47919999999999902</v>
      </c>
      <c r="H140" s="25">
        <v>16</v>
      </c>
      <c r="I140" s="25">
        <v>18.190000000000001</v>
      </c>
      <c r="J140" s="32">
        <v>1.1367</v>
      </c>
      <c r="K140" s="33">
        <v>0.32140000000000002</v>
      </c>
      <c r="L140" s="32">
        <v>1</v>
      </c>
      <c r="M140" s="32">
        <v>0.95</v>
      </c>
      <c r="N140" s="34" t="s">
        <v>225</v>
      </c>
      <c r="O140" s="33">
        <v>1</v>
      </c>
      <c r="P140" s="25"/>
      <c r="Q140" s="25"/>
      <c r="R140" s="25"/>
      <c r="S140" s="25"/>
      <c r="T140" s="25">
        <v>2</v>
      </c>
      <c r="U140" s="25">
        <v>5</v>
      </c>
      <c r="V140" s="35" t="e">
        <v>#N/A</v>
      </c>
    </row>
    <row r="141" spans="1:22" ht="32" x14ac:dyDescent="0.2">
      <c r="A141" s="29" t="s">
        <v>144</v>
      </c>
      <c r="B141" s="30" t="s">
        <v>410</v>
      </c>
      <c r="C141" s="30" t="s">
        <v>333</v>
      </c>
      <c r="D141" s="31">
        <v>45523</v>
      </c>
      <c r="E141" s="30">
        <v>30</v>
      </c>
      <c r="F141" s="30">
        <v>19</v>
      </c>
      <c r="G141" s="32">
        <v>0.63329999999999997</v>
      </c>
      <c r="H141" s="25">
        <v>38</v>
      </c>
      <c r="I141" s="25">
        <v>39.5</v>
      </c>
      <c r="J141" s="32">
        <v>1.0394999999999901</v>
      </c>
      <c r="K141" s="33">
        <v>0.30969999999999998</v>
      </c>
      <c r="L141" s="32">
        <v>1</v>
      </c>
      <c r="M141" s="32">
        <v>1</v>
      </c>
      <c r="N141" s="34" t="s">
        <v>215</v>
      </c>
      <c r="O141" s="33">
        <v>0.93333333333333302</v>
      </c>
      <c r="P141" s="25"/>
      <c r="Q141" s="25"/>
      <c r="R141" s="25">
        <v>1</v>
      </c>
      <c r="S141" s="25"/>
      <c r="T141" s="25">
        <v>4</v>
      </c>
      <c r="U141" s="25">
        <v>19</v>
      </c>
      <c r="V141" s="35" t="e">
        <v>#N/A</v>
      </c>
    </row>
    <row r="142" spans="1:22" ht="32" x14ac:dyDescent="0.2">
      <c r="A142" s="29" t="s">
        <v>145</v>
      </c>
      <c r="B142" s="30" t="s">
        <v>409</v>
      </c>
      <c r="C142" s="30" t="s">
        <v>99</v>
      </c>
      <c r="D142" s="31">
        <v>43707</v>
      </c>
      <c r="E142" s="30">
        <v>20</v>
      </c>
      <c r="F142" s="30">
        <v>11.059999999999899</v>
      </c>
      <c r="G142" s="32">
        <v>0.55310000000000004</v>
      </c>
      <c r="H142" s="25">
        <v>38</v>
      </c>
      <c r="I142" s="25">
        <v>36</v>
      </c>
      <c r="J142" s="32">
        <v>0.94740000000000002</v>
      </c>
      <c r="K142" s="33">
        <v>0.18790000000000001</v>
      </c>
      <c r="L142" s="32">
        <v>1</v>
      </c>
      <c r="M142" s="32">
        <v>1</v>
      </c>
      <c r="N142" s="34"/>
      <c r="O142" s="33">
        <v>1</v>
      </c>
      <c r="P142" s="25"/>
      <c r="Q142" s="25"/>
      <c r="R142" s="25">
        <v>6</v>
      </c>
      <c r="S142" s="25"/>
      <c r="T142" s="25">
        <v>0</v>
      </c>
      <c r="U142" s="25">
        <v>7</v>
      </c>
      <c r="V142" s="35" t="e">
        <v>#N/A</v>
      </c>
    </row>
    <row r="143" spans="1:22" ht="32" x14ac:dyDescent="0.2">
      <c r="A143" s="29" t="s">
        <v>146</v>
      </c>
      <c r="B143" s="30" t="s">
        <v>410</v>
      </c>
      <c r="C143" s="30" t="s">
        <v>340</v>
      </c>
      <c r="D143" s="31">
        <v>42576</v>
      </c>
      <c r="E143" s="30">
        <v>20</v>
      </c>
      <c r="F143" s="30">
        <v>12.5</v>
      </c>
      <c r="G143" s="32">
        <v>0.625</v>
      </c>
      <c r="H143" s="25">
        <v>24</v>
      </c>
      <c r="I143" s="25">
        <v>24.44</v>
      </c>
      <c r="J143" s="32">
        <v>1.0182</v>
      </c>
      <c r="K143" s="33">
        <v>0.02</v>
      </c>
      <c r="L143" s="32">
        <v>0.95121951219512102</v>
      </c>
      <c r="M143" s="32">
        <v>1</v>
      </c>
      <c r="N143" s="34" t="s">
        <v>225</v>
      </c>
      <c r="O143" s="33">
        <v>0.85714285714285698</v>
      </c>
      <c r="P143" s="25"/>
      <c r="Q143" s="25"/>
      <c r="R143" s="25"/>
      <c r="S143" s="25"/>
      <c r="T143" s="25">
        <v>3</v>
      </c>
      <c r="U143" s="25">
        <v>17</v>
      </c>
      <c r="V143" s="35">
        <v>3.6666666666666665</v>
      </c>
    </row>
    <row r="144" spans="1:22" ht="32" x14ac:dyDescent="0.2">
      <c r="A144" s="29" t="s">
        <v>147</v>
      </c>
      <c r="B144" s="30" t="s">
        <v>409</v>
      </c>
      <c r="C144" s="30" t="s">
        <v>339</v>
      </c>
      <c r="D144" s="31">
        <v>44218</v>
      </c>
      <c r="E144" s="30">
        <v>20</v>
      </c>
      <c r="F144" s="30">
        <v>8.3799999999999901</v>
      </c>
      <c r="G144" s="32">
        <v>0.41880000000000001</v>
      </c>
      <c r="H144" s="25">
        <v>24</v>
      </c>
      <c r="I144" s="25">
        <v>27.63</v>
      </c>
      <c r="J144" s="32">
        <v>1.151</v>
      </c>
      <c r="K144" s="33">
        <v>0.27110000000000001</v>
      </c>
      <c r="L144" s="32">
        <v>1</v>
      </c>
      <c r="M144" s="32">
        <v>1</v>
      </c>
      <c r="N144" s="34" t="s">
        <v>225</v>
      </c>
      <c r="O144" s="33">
        <v>1</v>
      </c>
      <c r="P144" s="25"/>
      <c r="Q144" s="25"/>
      <c r="R144" s="25">
        <v>2</v>
      </c>
      <c r="S144" s="25"/>
      <c r="T144" s="25">
        <v>1</v>
      </c>
      <c r="U144" s="25">
        <v>7</v>
      </c>
      <c r="V144" s="35" t="e">
        <v>#N/A</v>
      </c>
    </row>
    <row r="145" spans="1:22" ht="32" x14ac:dyDescent="0.2">
      <c r="A145" s="29" t="s">
        <v>148</v>
      </c>
      <c r="B145" s="30" t="s">
        <v>405</v>
      </c>
      <c r="C145" s="30" t="s">
        <v>339</v>
      </c>
      <c r="D145" s="31">
        <v>45195</v>
      </c>
      <c r="E145" s="30">
        <v>12</v>
      </c>
      <c r="F145" s="30">
        <v>13</v>
      </c>
      <c r="G145" s="32">
        <v>1.0832999999999999</v>
      </c>
      <c r="H145" s="25">
        <v>16</v>
      </c>
      <c r="I145" s="25">
        <v>15.94</v>
      </c>
      <c r="J145" s="32">
        <v>0.99609999999999999</v>
      </c>
      <c r="K145" s="33">
        <v>8.3299999999999999E-2</v>
      </c>
      <c r="L145" s="32">
        <v>0.92682926829268197</v>
      </c>
      <c r="M145" s="32">
        <v>0.987341772151898</v>
      </c>
      <c r="N145" s="34" t="s">
        <v>219</v>
      </c>
      <c r="O145" s="33">
        <v>1</v>
      </c>
      <c r="P145" s="25"/>
      <c r="Q145" s="25"/>
      <c r="R145" s="25">
        <v>6</v>
      </c>
      <c r="S145" s="25"/>
      <c r="T145" s="25">
        <v>2</v>
      </c>
      <c r="U145" s="25">
        <v>16</v>
      </c>
      <c r="V145" s="35" t="e">
        <v>#N/A</v>
      </c>
    </row>
    <row r="146" spans="1:22" ht="16" x14ac:dyDescent="0.2">
      <c r="A146" s="29" t="s">
        <v>149</v>
      </c>
      <c r="B146" s="30" t="s">
        <v>410</v>
      </c>
      <c r="C146" s="30" t="s">
        <v>340</v>
      </c>
      <c r="D146" s="31">
        <v>43455</v>
      </c>
      <c r="E146" s="30">
        <v>30</v>
      </c>
      <c r="F146" s="30">
        <v>16.88</v>
      </c>
      <c r="G146" s="32">
        <v>0.5625</v>
      </c>
      <c r="H146" s="25">
        <v>38</v>
      </c>
      <c r="I146" s="25">
        <v>44.06</v>
      </c>
      <c r="J146" s="32">
        <v>1.1595</v>
      </c>
      <c r="K146" s="33">
        <v>0.31419999999999998</v>
      </c>
      <c r="L146" s="32">
        <v>0.73333333333333295</v>
      </c>
      <c r="M146" s="32">
        <v>0.93650793650793596</v>
      </c>
      <c r="N146" s="34" t="s">
        <v>266</v>
      </c>
      <c r="O146" s="33">
        <v>0.92307692307692302</v>
      </c>
      <c r="P146" s="25"/>
      <c r="Q146" s="25"/>
      <c r="R146" s="25"/>
      <c r="S146" s="25"/>
      <c r="T146" s="25">
        <v>3</v>
      </c>
      <c r="U146" s="25">
        <v>18</v>
      </c>
      <c r="V146" s="35">
        <v>2</v>
      </c>
    </row>
    <row r="147" spans="1:22" ht="32" x14ac:dyDescent="0.2">
      <c r="A147" s="29" t="s">
        <v>150</v>
      </c>
      <c r="B147" s="30" t="s">
        <v>405</v>
      </c>
      <c r="C147" s="30" t="s">
        <v>339</v>
      </c>
      <c r="D147" s="31">
        <v>45209</v>
      </c>
      <c r="E147" s="30">
        <v>12</v>
      </c>
      <c r="F147" s="30">
        <v>7.75</v>
      </c>
      <c r="G147" s="32">
        <v>0.64580000000000004</v>
      </c>
      <c r="H147" s="25">
        <v>16</v>
      </c>
      <c r="I147" s="25">
        <v>21.5</v>
      </c>
      <c r="J147" s="32">
        <v>1.3437999999999899</v>
      </c>
      <c r="K147" s="33">
        <v>0.1186</v>
      </c>
      <c r="L147" s="32">
        <v>0.85714285714285698</v>
      </c>
      <c r="M147" s="32">
        <v>0.97368421052631504</v>
      </c>
      <c r="N147" s="34" t="s">
        <v>218</v>
      </c>
      <c r="O147" s="33">
        <v>1</v>
      </c>
      <c r="P147" s="25"/>
      <c r="Q147" s="25"/>
      <c r="R147" s="25"/>
      <c r="S147" s="25"/>
      <c r="T147" s="25">
        <v>8</v>
      </c>
      <c r="U147" s="25">
        <v>16</v>
      </c>
      <c r="V147" s="35" t="e">
        <v>#N/A</v>
      </c>
    </row>
    <row r="148" spans="1:22" ht="32" x14ac:dyDescent="0.2">
      <c r="A148" s="29" t="s">
        <v>295</v>
      </c>
      <c r="B148" s="30" t="s">
        <v>405</v>
      </c>
      <c r="C148" s="30" t="s">
        <v>333</v>
      </c>
      <c r="D148" s="31">
        <v>45908</v>
      </c>
      <c r="E148" s="30">
        <v>30</v>
      </c>
      <c r="F148" s="30">
        <v>26.63</v>
      </c>
      <c r="G148" s="32">
        <v>0.88749999999999996</v>
      </c>
      <c r="H148" s="25">
        <v>38</v>
      </c>
      <c r="I148" s="25">
        <v>40.06</v>
      </c>
      <c r="J148" s="32">
        <v>1.0543</v>
      </c>
      <c r="K148" s="33">
        <v>0.23599999999999999</v>
      </c>
      <c r="L148" s="32">
        <v>0.97872340425531901</v>
      </c>
      <c r="M148" s="32">
        <v>0.99315068493150604</v>
      </c>
      <c r="N148" s="34" t="s">
        <v>256</v>
      </c>
      <c r="O148" s="33">
        <v>0.35714285714285698</v>
      </c>
      <c r="P148" s="25">
        <v>2</v>
      </c>
      <c r="Q148" s="25">
        <v>10</v>
      </c>
      <c r="R148" s="25">
        <v>12</v>
      </c>
      <c r="S148" s="25"/>
      <c r="T148" s="25">
        <v>10</v>
      </c>
      <c r="U148" s="25">
        <v>42</v>
      </c>
      <c r="V148" s="35" t="e">
        <v>#N/A</v>
      </c>
    </row>
    <row r="149" spans="1:22" ht="32" x14ac:dyDescent="0.2">
      <c r="A149" s="29" t="s">
        <v>152</v>
      </c>
      <c r="B149" s="30" t="s">
        <v>409</v>
      </c>
      <c r="C149" s="30" t="s">
        <v>340</v>
      </c>
      <c r="D149" s="31">
        <v>43917</v>
      </c>
      <c r="E149" s="30">
        <v>30</v>
      </c>
      <c r="F149" s="30">
        <v>20</v>
      </c>
      <c r="G149" s="32">
        <v>0.66669999999999996</v>
      </c>
      <c r="H149" s="25">
        <v>38</v>
      </c>
      <c r="I149" s="25">
        <v>56.629999999999903</v>
      </c>
      <c r="J149" s="32">
        <v>1.4901</v>
      </c>
      <c r="K149" s="33">
        <v>0.1081</v>
      </c>
      <c r="L149" s="32">
        <v>0.96</v>
      </c>
      <c r="M149" s="32">
        <v>1</v>
      </c>
      <c r="N149" s="34" t="s">
        <v>243</v>
      </c>
      <c r="O149" s="33">
        <v>0.94736842105263097</v>
      </c>
      <c r="P149" s="25"/>
      <c r="Q149" s="25"/>
      <c r="R149" s="25">
        <v>3</v>
      </c>
      <c r="S149" s="25"/>
      <c r="T149" s="25">
        <v>6</v>
      </c>
      <c r="U149" s="25">
        <v>24</v>
      </c>
      <c r="V149" s="35">
        <v>3.2222222222222223</v>
      </c>
    </row>
    <row r="150" spans="1:22" ht="16" x14ac:dyDescent="0.2">
      <c r="A150" s="29" t="s">
        <v>153</v>
      </c>
      <c r="B150" s="30" t="s">
        <v>410</v>
      </c>
      <c r="C150" s="30" t="s">
        <v>340</v>
      </c>
      <c r="D150" s="31">
        <v>44600</v>
      </c>
      <c r="E150" s="30">
        <v>35</v>
      </c>
      <c r="F150" s="30">
        <v>25.13</v>
      </c>
      <c r="G150" s="32">
        <v>0.71789999999999998</v>
      </c>
      <c r="H150" s="25">
        <v>43</v>
      </c>
      <c r="I150" s="25">
        <v>55.379999999999903</v>
      </c>
      <c r="J150" s="32">
        <v>1.2878000000000001</v>
      </c>
      <c r="K150" s="33">
        <v>0.14810000000000001</v>
      </c>
      <c r="L150" s="32">
        <v>0.96226415094339601</v>
      </c>
      <c r="M150" s="32">
        <v>0.98809523809523803</v>
      </c>
      <c r="N150" s="34" t="s">
        <v>266</v>
      </c>
      <c r="O150" s="33">
        <v>0.76470588235294101</v>
      </c>
      <c r="P150" s="25">
        <v>1</v>
      </c>
      <c r="Q150" s="25">
        <v>10</v>
      </c>
      <c r="R150" s="25"/>
      <c r="S150" s="25"/>
      <c r="T150" s="25">
        <v>5</v>
      </c>
      <c r="U150" s="25">
        <v>21</v>
      </c>
      <c r="V150" s="35">
        <v>1</v>
      </c>
    </row>
    <row r="151" spans="1:22" ht="48" x14ac:dyDescent="0.2">
      <c r="A151" s="29" t="s">
        <v>299</v>
      </c>
      <c r="B151" s="30" t="s">
        <v>405</v>
      </c>
      <c r="C151" s="30" t="s">
        <v>339</v>
      </c>
      <c r="D151" s="31">
        <v>45810</v>
      </c>
      <c r="E151" s="30">
        <v>30</v>
      </c>
      <c r="F151" s="30">
        <v>34.130000000000003</v>
      </c>
      <c r="G151" s="32">
        <v>1.1375</v>
      </c>
      <c r="H151" s="25">
        <v>38</v>
      </c>
      <c r="I151" s="25">
        <v>37</v>
      </c>
      <c r="J151" s="32">
        <v>0.97370000000000001</v>
      </c>
      <c r="K151" s="33">
        <v>0.14810000000000001</v>
      </c>
      <c r="L151" s="32">
        <v>0.93137254901960698</v>
      </c>
      <c r="M151" s="32">
        <v>1</v>
      </c>
      <c r="N151" s="34" t="s">
        <v>213</v>
      </c>
      <c r="O151" s="33">
        <v>0.90909090909090895</v>
      </c>
      <c r="P151" s="25">
        <v>1</v>
      </c>
      <c r="Q151" s="25">
        <v>10</v>
      </c>
      <c r="R151" s="25">
        <v>16</v>
      </c>
      <c r="S151" s="25"/>
      <c r="T151" s="25">
        <v>17</v>
      </c>
      <c r="U151" s="25">
        <v>47</v>
      </c>
      <c r="V151" s="35" t="e">
        <v>#N/A</v>
      </c>
    </row>
    <row r="152" spans="1:22" ht="32" x14ac:dyDescent="0.2">
      <c r="A152" s="29" t="s">
        <v>155</v>
      </c>
      <c r="B152" s="30" t="s">
        <v>410</v>
      </c>
      <c r="C152" s="30" t="s">
        <v>342</v>
      </c>
      <c r="D152" s="31">
        <v>44013</v>
      </c>
      <c r="E152" s="30">
        <v>30</v>
      </c>
      <c r="F152" s="30">
        <v>24.38</v>
      </c>
      <c r="G152" s="32">
        <v>0.8125</v>
      </c>
      <c r="H152" s="25">
        <v>38</v>
      </c>
      <c r="I152" s="25">
        <v>43.56</v>
      </c>
      <c r="J152" s="32">
        <v>1.1464000000000001</v>
      </c>
      <c r="K152" s="33">
        <v>0.23369999999999999</v>
      </c>
      <c r="L152" s="32">
        <v>0.97826086956521696</v>
      </c>
      <c r="M152" s="32">
        <v>0.98850574712643602</v>
      </c>
      <c r="N152" s="34"/>
      <c r="O152" s="33">
        <v>0.9</v>
      </c>
      <c r="P152" s="25">
        <v>2</v>
      </c>
      <c r="Q152" s="25">
        <v>10</v>
      </c>
      <c r="R152" s="25">
        <v>2</v>
      </c>
      <c r="S152" s="25">
        <v>34</v>
      </c>
      <c r="T152" s="25">
        <v>1</v>
      </c>
      <c r="U152" s="25">
        <v>21</v>
      </c>
      <c r="V152" s="35" t="e">
        <v>#N/A</v>
      </c>
    </row>
    <row r="153" spans="1:22" ht="16" x14ac:dyDescent="0.2">
      <c r="A153" s="29" t="s">
        <v>300</v>
      </c>
      <c r="B153" s="30" t="s">
        <v>405</v>
      </c>
      <c r="C153" s="30" t="s">
        <v>430</v>
      </c>
      <c r="D153" s="31">
        <v>45959</v>
      </c>
      <c r="E153" s="30">
        <v>30</v>
      </c>
      <c r="F153" s="30">
        <v>11.8799999999999</v>
      </c>
      <c r="G153" s="32">
        <v>0.39579999999999999</v>
      </c>
      <c r="H153" s="25">
        <v>38</v>
      </c>
      <c r="I153" s="25">
        <v>31.5</v>
      </c>
      <c r="J153" s="32">
        <v>0.82889999999999997</v>
      </c>
      <c r="K153" s="33">
        <v>0.1593</v>
      </c>
      <c r="L153" s="32">
        <v>0.96428571428571397</v>
      </c>
      <c r="M153" s="32">
        <v>0.97727272727272696</v>
      </c>
      <c r="N153" s="34" t="s">
        <v>642</v>
      </c>
      <c r="O153" s="33">
        <v>0</v>
      </c>
      <c r="P153" s="25"/>
      <c r="Q153" s="25"/>
      <c r="R153" s="25"/>
      <c r="S153" s="25"/>
      <c r="T153" s="25">
        <v>18</v>
      </c>
      <c r="U153" s="25">
        <v>18</v>
      </c>
      <c r="V153" s="35"/>
    </row>
    <row r="154" spans="1:22" ht="16" x14ac:dyDescent="0.2">
      <c r="A154" s="29" t="s">
        <v>301</v>
      </c>
      <c r="B154" s="30" t="s">
        <v>405</v>
      </c>
      <c r="C154" s="30" t="s">
        <v>342</v>
      </c>
      <c r="D154" s="31">
        <v>45712</v>
      </c>
      <c r="E154" s="30">
        <v>35</v>
      </c>
      <c r="F154" s="30">
        <v>40.5</v>
      </c>
      <c r="G154" s="32">
        <v>1.1571</v>
      </c>
      <c r="H154" s="25">
        <v>43</v>
      </c>
      <c r="I154" s="25">
        <v>57.379999999999903</v>
      </c>
      <c r="J154" s="32">
        <v>1.3343</v>
      </c>
      <c r="K154" s="33">
        <v>0.36980000000000002</v>
      </c>
      <c r="L154" s="32">
        <v>0.97169811320754695</v>
      </c>
      <c r="M154" s="32">
        <v>1</v>
      </c>
      <c r="N154" s="34" t="s">
        <v>644</v>
      </c>
      <c r="O154" s="33">
        <v>0.82142857142857095</v>
      </c>
      <c r="P154" s="25"/>
      <c r="Q154" s="25"/>
      <c r="R154" s="25">
        <v>16</v>
      </c>
      <c r="S154" s="25"/>
      <c r="T154" s="25">
        <v>20</v>
      </c>
      <c r="U154" s="25">
        <v>58</v>
      </c>
      <c r="V154" s="35" t="e">
        <v>#N/A</v>
      </c>
    </row>
    <row r="155" spans="1:22" ht="32" x14ac:dyDescent="0.2">
      <c r="A155" s="29" t="s">
        <v>302</v>
      </c>
      <c r="B155" s="30" t="s">
        <v>405</v>
      </c>
      <c r="C155" s="30" t="s">
        <v>339</v>
      </c>
      <c r="D155" s="31">
        <v>45775</v>
      </c>
      <c r="E155" s="30">
        <v>30</v>
      </c>
      <c r="F155" s="30">
        <v>30.63</v>
      </c>
      <c r="G155" s="32">
        <v>1.0207999999999999</v>
      </c>
      <c r="H155" s="25">
        <v>38</v>
      </c>
      <c r="I155" s="25">
        <v>41.81</v>
      </c>
      <c r="J155" s="32">
        <v>1.1003000000000001</v>
      </c>
      <c r="K155" s="33">
        <v>0.13450000000000001</v>
      </c>
      <c r="L155" s="32">
        <v>0.97894736842105201</v>
      </c>
      <c r="M155" s="32">
        <v>0.94029850746268595</v>
      </c>
      <c r="N155" s="34" t="s">
        <v>275</v>
      </c>
      <c r="O155" s="33">
        <v>0.46153846153846101</v>
      </c>
      <c r="P155" s="25"/>
      <c r="Q155" s="25"/>
      <c r="R155" s="25">
        <v>12</v>
      </c>
      <c r="S155" s="25">
        <v>0</v>
      </c>
      <c r="T155" s="25">
        <v>8</v>
      </c>
      <c r="U155" s="25">
        <v>39</v>
      </c>
      <c r="V155" s="35" t="e">
        <v>#N/A</v>
      </c>
    </row>
    <row r="156" spans="1:22" ht="16" x14ac:dyDescent="0.2">
      <c r="A156" s="29" t="s">
        <v>157</v>
      </c>
      <c r="B156" s="30" t="s">
        <v>405</v>
      </c>
      <c r="C156" s="30" t="s">
        <v>342</v>
      </c>
      <c r="D156" s="31">
        <v>44642</v>
      </c>
      <c r="E156" s="30">
        <v>20</v>
      </c>
      <c r="F156" s="30">
        <v>22.13</v>
      </c>
      <c r="G156" s="32">
        <v>1.1062999999999901</v>
      </c>
      <c r="H156" s="25">
        <v>24</v>
      </c>
      <c r="I156" s="25">
        <v>24.44</v>
      </c>
      <c r="J156" s="32">
        <v>1.0182</v>
      </c>
      <c r="K156" s="33">
        <v>0.39169999999999999</v>
      </c>
      <c r="L156" s="32">
        <v>0.98275862068965503</v>
      </c>
      <c r="M156" s="32">
        <v>0.92134831460674105</v>
      </c>
      <c r="N156" s="34" t="s">
        <v>275</v>
      </c>
      <c r="O156" s="33">
        <v>0.70588235294117596</v>
      </c>
      <c r="P156" s="25"/>
      <c r="Q156" s="25"/>
      <c r="R156" s="25">
        <v>9</v>
      </c>
      <c r="S156" s="25"/>
      <c r="T156" s="25">
        <v>8</v>
      </c>
      <c r="U156" s="25">
        <v>31</v>
      </c>
      <c r="V156" s="35" t="e">
        <v>#N/A</v>
      </c>
    </row>
    <row r="157" spans="1:22" ht="32" x14ac:dyDescent="0.2">
      <c r="A157" s="29" t="s">
        <v>158</v>
      </c>
      <c r="B157" s="30" t="s">
        <v>405</v>
      </c>
      <c r="C157" s="30" t="s">
        <v>333</v>
      </c>
      <c r="D157" s="31">
        <v>45201</v>
      </c>
      <c r="E157" s="30">
        <v>20</v>
      </c>
      <c r="F157" s="30">
        <v>16.13</v>
      </c>
      <c r="G157" s="32">
        <v>0.80629999999999902</v>
      </c>
      <c r="H157" s="25">
        <v>24</v>
      </c>
      <c r="I157" s="25">
        <v>16.5</v>
      </c>
      <c r="J157" s="32">
        <v>0.6875</v>
      </c>
      <c r="K157" s="33">
        <v>0.1217</v>
      </c>
      <c r="L157" s="32">
        <v>0.95744680851063801</v>
      </c>
      <c r="M157" s="32">
        <v>1</v>
      </c>
      <c r="N157" s="34" t="s">
        <v>218</v>
      </c>
      <c r="O157" s="33">
        <v>0.55555555555555503</v>
      </c>
      <c r="P157" s="25">
        <v>1</v>
      </c>
      <c r="Q157" s="25">
        <v>10</v>
      </c>
      <c r="R157" s="25">
        <v>5</v>
      </c>
      <c r="S157" s="25">
        <v>4</v>
      </c>
      <c r="T157" s="25">
        <v>10</v>
      </c>
      <c r="U157" s="25">
        <v>23</v>
      </c>
      <c r="V157" s="35" t="e">
        <v>#N/A</v>
      </c>
    </row>
    <row r="158" spans="1:22" ht="32" x14ac:dyDescent="0.2">
      <c r="A158" s="29" t="s">
        <v>160</v>
      </c>
      <c r="B158" s="30" t="s">
        <v>410</v>
      </c>
      <c r="C158" s="30" t="s">
        <v>339</v>
      </c>
      <c r="D158" s="31">
        <v>44203</v>
      </c>
      <c r="E158" s="30">
        <v>20</v>
      </c>
      <c r="F158" s="30">
        <v>17.440000000000001</v>
      </c>
      <c r="G158" s="32">
        <v>0.87189999999999901</v>
      </c>
      <c r="H158" s="25">
        <v>24</v>
      </c>
      <c r="I158" s="25">
        <v>24.44</v>
      </c>
      <c r="J158" s="32">
        <v>1.0182</v>
      </c>
      <c r="K158" s="33">
        <v>5.6800000000000003E-2</v>
      </c>
      <c r="L158" s="32">
        <v>0.97727272727272696</v>
      </c>
      <c r="M158" s="32">
        <v>0.85294117647058798</v>
      </c>
      <c r="N158" s="34"/>
      <c r="O158" s="33">
        <v>1</v>
      </c>
      <c r="P158" s="25">
        <v>1</v>
      </c>
      <c r="Q158" s="25">
        <v>10</v>
      </c>
      <c r="R158" s="25"/>
      <c r="S158" s="25"/>
      <c r="T158" s="25">
        <v>0</v>
      </c>
      <c r="U158" s="25">
        <v>8</v>
      </c>
      <c r="V158" s="35" t="e">
        <v>#N/A</v>
      </c>
    </row>
    <row r="159" spans="1:22" ht="16" x14ac:dyDescent="0.2">
      <c r="A159" s="29" t="s">
        <v>161</v>
      </c>
      <c r="B159" s="30" t="s">
        <v>410</v>
      </c>
      <c r="C159" s="30" t="s">
        <v>340</v>
      </c>
      <c r="D159" s="31">
        <v>42825</v>
      </c>
      <c r="E159" s="30">
        <v>30</v>
      </c>
      <c r="F159" s="30">
        <v>14.38</v>
      </c>
      <c r="G159" s="32">
        <v>0.47919999999999902</v>
      </c>
      <c r="H159" s="25">
        <v>38</v>
      </c>
      <c r="I159" s="25">
        <v>38.880000000000003</v>
      </c>
      <c r="J159" s="32">
        <v>1.0229999999999999</v>
      </c>
      <c r="K159" s="33">
        <v>0.22009999999999999</v>
      </c>
      <c r="L159" s="32">
        <v>1</v>
      </c>
      <c r="M159" s="32">
        <v>1</v>
      </c>
      <c r="N159" s="34" t="s">
        <v>216</v>
      </c>
      <c r="O159" s="33">
        <v>0.72727272727272696</v>
      </c>
      <c r="P159" s="25"/>
      <c r="Q159" s="25"/>
      <c r="R159" s="25">
        <v>1</v>
      </c>
      <c r="S159" s="25"/>
      <c r="T159" s="25">
        <v>4</v>
      </c>
      <c r="U159" s="25">
        <v>16</v>
      </c>
      <c r="V159" s="35"/>
    </row>
    <row r="160" spans="1:22" ht="32" x14ac:dyDescent="0.2">
      <c r="A160" s="29" t="s">
        <v>303</v>
      </c>
      <c r="B160" s="30" t="s">
        <v>405</v>
      </c>
      <c r="C160" s="30" t="s">
        <v>340</v>
      </c>
      <c r="D160" s="31">
        <v>45950</v>
      </c>
      <c r="E160" s="30">
        <v>30</v>
      </c>
      <c r="F160" s="30">
        <v>23</v>
      </c>
      <c r="G160" s="32">
        <v>0.76669999999999905</v>
      </c>
      <c r="H160" s="25">
        <v>38</v>
      </c>
      <c r="I160" s="25">
        <v>44.19</v>
      </c>
      <c r="J160" s="32">
        <v>1.1628000000000001</v>
      </c>
      <c r="K160" s="33">
        <v>0.27800000000000002</v>
      </c>
      <c r="L160" s="32">
        <v>0.76923076923076905</v>
      </c>
      <c r="M160" s="32">
        <v>1</v>
      </c>
      <c r="N160" s="34" t="s">
        <v>251</v>
      </c>
      <c r="O160" s="33">
        <v>0</v>
      </c>
      <c r="P160" s="25">
        <v>1</v>
      </c>
      <c r="Q160" s="25">
        <v>10</v>
      </c>
      <c r="R160" s="25"/>
      <c r="S160" s="25">
        <v>12</v>
      </c>
      <c r="T160" s="25">
        <v>31</v>
      </c>
      <c r="U160" s="25">
        <v>31</v>
      </c>
      <c r="V160" s="35"/>
    </row>
    <row r="161" spans="1:22" ht="32" x14ac:dyDescent="0.2">
      <c r="A161" s="29" t="s">
        <v>163</v>
      </c>
      <c r="B161" s="30" t="s">
        <v>409</v>
      </c>
      <c r="C161" s="30" t="s">
        <v>99</v>
      </c>
      <c r="D161" s="31">
        <v>39826</v>
      </c>
      <c r="E161" s="30">
        <v>30</v>
      </c>
      <c r="F161" s="30">
        <v>24.13</v>
      </c>
      <c r="G161" s="32">
        <v>0.80420000000000003</v>
      </c>
      <c r="H161" s="25">
        <v>38</v>
      </c>
      <c r="I161" s="25">
        <v>50.88</v>
      </c>
      <c r="J161" s="32">
        <v>1.3388</v>
      </c>
      <c r="K161" s="33">
        <v>0.15559999999999999</v>
      </c>
      <c r="L161" s="32">
        <v>0.98360655737704905</v>
      </c>
      <c r="M161" s="32">
        <v>0.5</v>
      </c>
      <c r="N161" s="34" t="s">
        <v>266</v>
      </c>
      <c r="O161" s="33">
        <v>0.4</v>
      </c>
      <c r="P161" s="25"/>
      <c r="Q161" s="25"/>
      <c r="R161" s="25">
        <v>2</v>
      </c>
      <c r="S161" s="25">
        <v>1</v>
      </c>
      <c r="T161" s="25">
        <v>5</v>
      </c>
      <c r="U161" s="25">
        <v>26</v>
      </c>
      <c r="V161" s="35" t="e">
        <v>#N/A</v>
      </c>
    </row>
    <row r="162" spans="1:22" ht="32" x14ac:dyDescent="0.2">
      <c r="A162" s="29" t="s">
        <v>164</v>
      </c>
      <c r="B162" s="30" t="s">
        <v>405</v>
      </c>
      <c r="C162" s="30" t="s">
        <v>333</v>
      </c>
      <c r="D162" s="31">
        <v>45315</v>
      </c>
      <c r="E162" s="30">
        <v>30</v>
      </c>
      <c r="F162" s="30">
        <v>30.75</v>
      </c>
      <c r="G162" s="32">
        <v>1.0249999999999999</v>
      </c>
      <c r="H162" s="25">
        <v>38</v>
      </c>
      <c r="I162" s="25">
        <v>37.880000000000003</v>
      </c>
      <c r="J162" s="32">
        <v>0.99670000000000003</v>
      </c>
      <c r="K162" s="33">
        <v>0.29720000000000002</v>
      </c>
      <c r="L162" s="32">
        <v>0.82499999999999996</v>
      </c>
      <c r="M162" s="32">
        <v>0.94308943089430797</v>
      </c>
      <c r="N162" s="34" t="s">
        <v>306</v>
      </c>
      <c r="O162" s="33">
        <v>0.9</v>
      </c>
      <c r="P162" s="25"/>
      <c r="Q162" s="25"/>
      <c r="R162" s="25">
        <v>5</v>
      </c>
      <c r="S162" s="25">
        <v>35</v>
      </c>
      <c r="T162" s="25">
        <v>10</v>
      </c>
      <c r="U162" s="25">
        <v>36</v>
      </c>
      <c r="V162" s="35"/>
    </row>
    <row r="163" spans="1:22" ht="32" x14ac:dyDescent="0.2">
      <c r="A163" s="29" t="s">
        <v>165</v>
      </c>
      <c r="B163" s="30" t="s">
        <v>405</v>
      </c>
      <c r="C163" s="30" t="s">
        <v>339</v>
      </c>
      <c r="D163" s="31">
        <v>45201</v>
      </c>
      <c r="E163" s="30">
        <v>20</v>
      </c>
      <c r="F163" s="30">
        <v>21.88</v>
      </c>
      <c r="G163" s="32">
        <v>1.0937999999999899</v>
      </c>
      <c r="H163" s="25">
        <v>24</v>
      </c>
      <c r="I163" s="25">
        <v>26.5</v>
      </c>
      <c r="J163" s="32">
        <v>1.1042000000000001</v>
      </c>
      <c r="K163" s="33">
        <v>0.10059999999999999</v>
      </c>
      <c r="L163" s="32">
        <v>0.952380952380952</v>
      </c>
      <c r="M163" s="32">
        <v>0.96052631578947301</v>
      </c>
      <c r="N163" s="34"/>
      <c r="O163" s="33">
        <v>0.95652173913043403</v>
      </c>
      <c r="P163" s="25"/>
      <c r="Q163" s="25"/>
      <c r="R163" s="25">
        <v>14</v>
      </c>
      <c r="S163" s="25"/>
      <c r="T163" s="25">
        <v>2</v>
      </c>
      <c r="U163" s="25">
        <v>28</v>
      </c>
      <c r="V163" s="35"/>
    </row>
    <row r="164" spans="1:22" ht="16" x14ac:dyDescent="0.2">
      <c r="A164" s="29" t="s">
        <v>166</v>
      </c>
      <c r="B164" s="30" t="s">
        <v>410</v>
      </c>
      <c r="C164" s="30" t="s">
        <v>333</v>
      </c>
      <c r="D164" s="31">
        <v>45196</v>
      </c>
      <c r="E164" s="30">
        <v>12</v>
      </c>
      <c r="F164" s="30">
        <v>4.63</v>
      </c>
      <c r="G164" s="32">
        <v>0.38540000000000002</v>
      </c>
      <c r="H164" s="25">
        <v>16</v>
      </c>
      <c r="I164" s="25">
        <v>28.06</v>
      </c>
      <c r="J164" s="32">
        <v>1.7539</v>
      </c>
      <c r="K164" s="33">
        <v>2.7699999999999999E-2</v>
      </c>
      <c r="L164" s="32">
        <v>1</v>
      </c>
      <c r="M164" s="32">
        <v>1</v>
      </c>
      <c r="N164" s="34" t="s">
        <v>215</v>
      </c>
      <c r="O164" s="33">
        <v>0.25</v>
      </c>
      <c r="P164" s="25">
        <v>1</v>
      </c>
      <c r="Q164" s="25">
        <v>10</v>
      </c>
      <c r="R164" s="25">
        <v>2</v>
      </c>
      <c r="S164" s="25">
        <v>1</v>
      </c>
      <c r="T164" s="25">
        <v>2</v>
      </c>
      <c r="U164" s="25">
        <v>7</v>
      </c>
      <c r="V164" s="35" t="e">
        <v>#N/A</v>
      </c>
    </row>
    <row r="165" spans="1:22" ht="16" x14ac:dyDescent="0.2">
      <c r="A165" s="29" t="s">
        <v>167</v>
      </c>
      <c r="B165" s="30" t="s">
        <v>405</v>
      </c>
      <c r="C165" s="30" t="s">
        <v>339</v>
      </c>
      <c r="D165" s="31">
        <v>43507</v>
      </c>
      <c r="E165" s="30">
        <v>20</v>
      </c>
      <c r="F165" s="30">
        <v>16</v>
      </c>
      <c r="G165" s="32">
        <v>0.8</v>
      </c>
      <c r="H165" s="25">
        <v>24</v>
      </c>
      <c r="I165" s="25">
        <v>24.19</v>
      </c>
      <c r="J165" s="32">
        <v>1.0078</v>
      </c>
      <c r="K165" s="33">
        <v>0.24540000000000001</v>
      </c>
      <c r="L165" s="32">
        <v>0.97916666666666596</v>
      </c>
      <c r="M165" s="32">
        <v>0.98507462686567104</v>
      </c>
      <c r="N165" s="34" t="s">
        <v>645</v>
      </c>
      <c r="O165" s="33">
        <v>0.875</v>
      </c>
      <c r="P165" s="25">
        <v>1</v>
      </c>
      <c r="Q165" s="25">
        <v>7</v>
      </c>
      <c r="R165" s="25">
        <v>5</v>
      </c>
      <c r="S165" s="25"/>
      <c r="T165" s="25">
        <v>10</v>
      </c>
      <c r="U165" s="25">
        <v>19</v>
      </c>
      <c r="V165" s="35" t="e">
        <v>#N/A</v>
      </c>
    </row>
    <row r="166" spans="1:22" ht="32" x14ac:dyDescent="0.2">
      <c r="A166" s="29" t="s">
        <v>168</v>
      </c>
      <c r="B166" s="30" t="s">
        <v>405</v>
      </c>
      <c r="C166" s="30" t="s">
        <v>342</v>
      </c>
      <c r="D166" s="31">
        <v>45197</v>
      </c>
      <c r="E166" s="30">
        <v>20</v>
      </c>
      <c r="F166" s="30">
        <v>16.63</v>
      </c>
      <c r="G166" s="32">
        <v>0.83129999999999904</v>
      </c>
      <c r="H166" s="25">
        <v>24</v>
      </c>
      <c r="I166" s="25">
        <v>20.69</v>
      </c>
      <c r="J166" s="32">
        <v>0.86199999999999999</v>
      </c>
      <c r="K166" s="33">
        <v>8.4000000000000005E-2</v>
      </c>
      <c r="L166" s="32">
        <v>1</v>
      </c>
      <c r="M166" s="32">
        <v>1</v>
      </c>
      <c r="N166" s="34" t="s">
        <v>218</v>
      </c>
      <c r="O166" s="33">
        <v>0.92857142857142805</v>
      </c>
      <c r="P166" s="25"/>
      <c r="Q166" s="25"/>
      <c r="R166" s="25">
        <v>8</v>
      </c>
      <c r="S166" s="25"/>
      <c r="T166" s="25">
        <v>10</v>
      </c>
      <c r="U166" s="25">
        <v>28</v>
      </c>
      <c r="V166" s="35" t="e">
        <v>#N/A</v>
      </c>
    </row>
    <row r="167" spans="1:22" ht="32" x14ac:dyDescent="0.2">
      <c r="A167" s="29" t="s">
        <v>304</v>
      </c>
      <c r="B167" s="30" t="s">
        <v>405</v>
      </c>
      <c r="C167" s="30" t="s">
        <v>342</v>
      </c>
      <c r="D167" s="31">
        <v>45789</v>
      </c>
      <c r="E167" s="30">
        <v>30</v>
      </c>
      <c r="F167" s="30">
        <v>27.5</v>
      </c>
      <c r="G167" s="32">
        <v>0.91669999999999996</v>
      </c>
      <c r="H167" s="25">
        <v>38</v>
      </c>
      <c r="I167" s="25">
        <v>35.19</v>
      </c>
      <c r="J167" s="32">
        <v>0.92599999999999905</v>
      </c>
      <c r="K167" s="33">
        <v>0.25269999999999998</v>
      </c>
      <c r="L167" s="32">
        <v>0.98571428571428499</v>
      </c>
      <c r="M167" s="32">
        <v>0.88785046728971895</v>
      </c>
      <c r="N167" s="34" t="s">
        <v>298</v>
      </c>
      <c r="O167" s="33">
        <v>0.5</v>
      </c>
      <c r="P167" s="25"/>
      <c r="Q167" s="25"/>
      <c r="R167" s="25">
        <v>15</v>
      </c>
      <c r="S167" s="25"/>
      <c r="T167" s="25">
        <v>11</v>
      </c>
      <c r="U167" s="25">
        <v>34</v>
      </c>
      <c r="V167" s="35" t="e">
        <v>#N/A</v>
      </c>
    </row>
    <row r="168" spans="1:22" ht="16" x14ac:dyDescent="0.2">
      <c r="A168" s="29" t="s">
        <v>170</v>
      </c>
      <c r="B168" s="30" t="s">
        <v>405</v>
      </c>
      <c r="C168" s="30" t="s">
        <v>339</v>
      </c>
      <c r="D168" s="31">
        <v>45201</v>
      </c>
      <c r="E168" s="30">
        <v>30</v>
      </c>
      <c r="F168" s="30">
        <v>22.13</v>
      </c>
      <c r="G168" s="32">
        <v>0.73750000000000004</v>
      </c>
      <c r="H168" s="25">
        <v>38</v>
      </c>
      <c r="I168" s="25">
        <v>43</v>
      </c>
      <c r="J168" s="32">
        <v>1.1315999999999999</v>
      </c>
      <c r="K168" s="33">
        <v>7.8299999999999995E-2</v>
      </c>
      <c r="L168" s="32">
        <v>0.91803278688524503</v>
      </c>
      <c r="M168" s="32">
        <v>0.96226415094339601</v>
      </c>
      <c r="N168" s="34" t="s">
        <v>227</v>
      </c>
      <c r="O168" s="33">
        <v>1</v>
      </c>
      <c r="P168" s="25">
        <v>2</v>
      </c>
      <c r="Q168" s="25">
        <v>10</v>
      </c>
      <c r="R168" s="25">
        <v>11</v>
      </c>
      <c r="S168" s="25"/>
      <c r="T168" s="25">
        <v>5</v>
      </c>
      <c r="U168" s="25">
        <v>30</v>
      </c>
      <c r="V168" s="35"/>
    </row>
    <row r="169" spans="1:22" ht="32" x14ac:dyDescent="0.2">
      <c r="A169" s="29" t="s">
        <v>305</v>
      </c>
      <c r="B169" s="30" t="s">
        <v>405</v>
      </c>
      <c r="C169" s="30" t="s">
        <v>340</v>
      </c>
      <c r="D169" s="31">
        <v>45754</v>
      </c>
      <c r="E169" s="30">
        <v>35</v>
      </c>
      <c r="F169" s="30">
        <v>31.38</v>
      </c>
      <c r="G169" s="32">
        <v>0.89639999999999997</v>
      </c>
      <c r="H169" s="25">
        <v>43</v>
      </c>
      <c r="I169" s="25">
        <v>39.880000000000003</v>
      </c>
      <c r="J169" s="32">
        <v>0.92730000000000001</v>
      </c>
      <c r="K169" s="33">
        <v>0.1396</v>
      </c>
      <c r="L169" s="32">
        <v>0.97560975609755995</v>
      </c>
      <c r="M169" s="32">
        <v>0.99300699300699302</v>
      </c>
      <c r="N169" s="34" t="s">
        <v>393</v>
      </c>
      <c r="O169" s="33">
        <v>0.66666666666666596</v>
      </c>
      <c r="P169" s="25"/>
      <c r="Q169" s="25"/>
      <c r="R169" s="25">
        <v>13</v>
      </c>
      <c r="S169" s="25"/>
      <c r="T169" s="25">
        <v>9</v>
      </c>
      <c r="U169" s="25">
        <v>37</v>
      </c>
      <c r="V169" s="35">
        <v>3</v>
      </c>
    </row>
    <row r="170" spans="1:22" ht="16" x14ac:dyDescent="0.2">
      <c r="A170" s="29" t="s">
        <v>171</v>
      </c>
      <c r="B170" s="30" t="s">
        <v>405</v>
      </c>
      <c r="C170" s="30" t="s">
        <v>333</v>
      </c>
      <c r="D170" s="31">
        <v>45198</v>
      </c>
      <c r="E170" s="30">
        <v>12</v>
      </c>
      <c r="F170" s="30">
        <v>12.88</v>
      </c>
      <c r="G170" s="32">
        <v>1.0729</v>
      </c>
      <c r="H170" s="25">
        <v>16</v>
      </c>
      <c r="I170" s="25">
        <v>19.75</v>
      </c>
      <c r="J170" s="32">
        <v>1.2343999999999999</v>
      </c>
      <c r="K170" s="33">
        <v>0.40389999999999998</v>
      </c>
      <c r="L170" s="32">
        <v>1</v>
      </c>
      <c r="M170" s="32">
        <v>0.9375</v>
      </c>
      <c r="N170" s="34" t="s">
        <v>266</v>
      </c>
      <c r="O170" s="33">
        <v>0.28571428571428498</v>
      </c>
      <c r="P170" s="25"/>
      <c r="Q170" s="25"/>
      <c r="R170" s="25">
        <v>3</v>
      </c>
      <c r="S170" s="25"/>
      <c r="T170" s="25">
        <v>6</v>
      </c>
      <c r="U170" s="25">
        <v>19</v>
      </c>
      <c r="V170" s="35"/>
    </row>
    <row r="171" spans="1:22" ht="16" x14ac:dyDescent="0.2">
      <c r="A171" s="29" t="s">
        <v>308</v>
      </c>
      <c r="B171" s="30" t="s">
        <v>405</v>
      </c>
      <c r="C171" s="30" t="s">
        <v>333</v>
      </c>
      <c r="D171" s="31">
        <v>45791</v>
      </c>
      <c r="E171" s="30">
        <v>30</v>
      </c>
      <c r="F171" s="30">
        <v>26.5</v>
      </c>
      <c r="G171" s="32">
        <v>0.88329999999999997</v>
      </c>
      <c r="H171" s="25">
        <v>38</v>
      </c>
      <c r="I171" s="25">
        <v>41.75</v>
      </c>
      <c r="J171" s="32">
        <v>1.0987</v>
      </c>
      <c r="K171" s="33">
        <v>0.31019999999999998</v>
      </c>
      <c r="L171" s="32">
        <v>0.921875</v>
      </c>
      <c r="M171" s="32">
        <v>0.96</v>
      </c>
      <c r="N171" s="34" t="s">
        <v>382</v>
      </c>
      <c r="O171" s="33">
        <v>0.41176470588235198</v>
      </c>
      <c r="P171" s="25"/>
      <c r="Q171" s="25"/>
      <c r="R171" s="25">
        <v>9</v>
      </c>
      <c r="S171" s="25"/>
      <c r="T171" s="25">
        <v>8</v>
      </c>
      <c r="U171" s="25">
        <v>28</v>
      </c>
      <c r="V171" s="35" t="e">
        <v>#N/A</v>
      </c>
    </row>
    <row r="172" spans="1:22" ht="32" x14ac:dyDescent="0.2">
      <c r="A172" s="29" t="s">
        <v>310</v>
      </c>
      <c r="B172" s="30" t="s">
        <v>405</v>
      </c>
      <c r="C172" s="30" t="s">
        <v>339</v>
      </c>
      <c r="D172" s="31">
        <v>45822</v>
      </c>
      <c r="E172" s="30">
        <v>30</v>
      </c>
      <c r="F172" s="30">
        <v>29.75</v>
      </c>
      <c r="G172" s="32">
        <v>0.99170000000000003</v>
      </c>
      <c r="H172" s="25">
        <v>38</v>
      </c>
      <c r="I172" s="25">
        <v>42.63</v>
      </c>
      <c r="J172" s="32">
        <v>1.1216999999999999</v>
      </c>
      <c r="K172" s="33">
        <v>0.19109999999999999</v>
      </c>
      <c r="L172" s="32">
        <v>1</v>
      </c>
      <c r="M172" s="32">
        <v>0.98245614035087703</v>
      </c>
      <c r="N172" s="34" t="s">
        <v>389</v>
      </c>
      <c r="O172" s="33">
        <v>0.73333333333333295</v>
      </c>
      <c r="P172" s="25"/>
      <c r="Q172" s="25"/>
      <c r="R172" s="25">
        <v>6</v>
      </c>
      <c r="S172" s="25"/>
      <c r="T172" s="25">
        <v>25</v>
      </c>
      <c r="U172" s="25">
        <v>41</v>
      </c>
      <c r="V172" s="35" t="e">
        <v>#N/A</v>
      </c>
    </row>
    <row r="173" spans="1:22" ht="48" x14ac:dyDescent="0.2">
      <c r="A173" s="29" t="s">
        <v>312</v>
      </c>
      <c r="B173" s="30" t="s">
        <v>405</v>
      </c>
      <c r="C173" s="30" t="s">
        <v>339</v>
      </c>
      <c r="D173" s="31">
        <v>45841</v>
      </c>
      <c r="E173" s="30">
        <v>35</v>
      </c>
      <c r="F173" s="30">
        <v>35.380000000000003</v>
      </c>
      <c r="G173" s="32">
        <v>1.0106999999999999</v>
      </c>
      <c r="H173" s="25">
        <v>43</v>
      </c>
      <c r="I173" s="25">
        <v>42.75</v>
      </c>
      <c r="J173" s="32">
        <v>0.99419999999999997</v>
      </c>
      <c r="K173" s="33">
        <v>0.15509999999999999</v>
      </c>
      <c r="L173" s="32">
        <v>0.96808510638297796</v>
      </c>
      <c r="M173" s="32">
        <v>0.98757763975155199</v>
      </c>
      <c r="N173" s="34" t="s">
        <v>639</v>
      </c>
      <c r="O173" s="33">
        <v>0.33333333333333298</v>
      </c>
      <c r="P173" s="25">
        <v>1</v>
      </c>
      <c r="Q173" s="25">
        <v>10</v>
      </c>
      <c r="R173" s="25">
        <v>9</v>
      </c>
      <c r="S173" s="25">
        <v>6</v>
      </c>
      <c r="T173" s="25">
        <v>23</v>
      </c>
      <c r="U173" s="25">
        <v>50</v>
      </c>
      <c r="V173" s="35"/>
    </row>
    <row r="174" spans="1:22" ht="32" x14ac:dyDescent="0.2">
      <c r="A174" s="29" t="s">
        <v>175</v>
      </c>
      <c r="B174" s="30" t="s">
        <v>410</v>
      </c>
      <c r="C174" s="30" t="s">
        <v>333</v>
      </c>
      <c r="D174" s="31">
        <v>45244</v>
      </c>
      <c r="E174" s="30">
        <v>12</v>
      </c>
      <c r="F174" s="30">
        <v>8</v>
      </c>
      <c r="G174" s="32">
        <v>0.66669999999999996</v>
      </c>
      <c r="H174" s="25">
        <v>16</v>
      </c>
      <c r="I174" s="25">
        <v>16.75</v>
      </c>
      <c r="J174" s="32">
        <v>1.0468999999999999</v>
      </c>
      <c r="K174" s="33">
        <v>0.26229999999999998</v>
      </c>
      <c r="L174" s="32">
        <v>0.86956521739130399</v>
      </c>
      <c r="M174" s="32">
        <v>0.80645161290322498</v>
      </c>
      <c r="N174" s="34"/>
      <c r="O174" s="33">
        <v>0.85714285714285698</v>
      </c>
      <c r="P174" s="25"/>
      <c r="Q174" s="25"/>
      <c r="R174" s="25">
        <v>1</v>
      </c>
      <c r="S174" s="25">
        <v>4</v>
      </c>
      <c r="T174" s="25">
        <v>1</v>
      </c>
      <c r="U174" s="25">
        <v>9</v>
      </c>
      <c r="V174" s="35" t="e">
        <v>#N/A</v>
      </c>
    </row>
    <row r="175" spans="1:22" ht="32" x14ac:dyDescent="0.2">
      <c r="A175" s="29" t="s">
        <v>176</v>
      </c>
      <c r="B175" s="30" t="s">
        <v>409</v>
      </c>
      <c r="C175" s="30" t="s">
        <v>340</v>
      </c>
      <c r="D175" s="31">
        <v>44775</v>
      </c>
      <c r="E175" s="30">
        <v>30</v>
      </c>
      <c r="F175" s="30">
        <v>24.419999999999899</v>
      </c>
      <c r="G175" s="32">
        <v>0.81389999999999996</v>
      </c>
      <c r="H175" s="25">
        <v>38</v>
      </c>
      <c r="I175" s="25">
        <v>45.94</v>
      </c>
      <c r="J175" s="32">
        <v>1.2089000000000001</v>
      </c>
      <c r="K175" s="33">
        <v>0.11310000000000001</v>
      </c>
      <c r="L175" s="32">
        <v>1</v>
      </c>
      <c r="M175" s="32">
        <v>1</v>
      </c>
      <c r="N175" s="34" t="s">
        <v>227</v>
      </c>
      <c r="O175" s="33">
        <v>0.91304347826086896</v>
      </c>
      <c r="P175" s="25"/>
      <c r="Q175" s="25"/>
      <c r="R175" s="25">
        <v>1</v>
      </c>
      <c r="S175" s="25"/>
      <c r="T175" s="25">
        <v>3</v>
      </c>
      <c r="U175" s="25">
        <v>26</v>
      </c>
      <c r="V175" s="35">
        <v>4.333333333333333</v>
      </c>
    </row>
    <row r="176" spans="1:22" ht="32" x14ac:dyDescent="0.2">
      <c r="A176" s="29" t="s">
        <v>313</v>
      </c>
      <c r="B176" s="30" t="s">
        <v>405</v>
      </c>
      <c r="C176" s="30" t="s">
        <v>342</v>
      </c>
      <c r="D176" s="31">
        <v>45876</v>
      </c>
      <c r="E176" s="30">
        <v>35</v>
      </c>
      <c r="F176" s="30">
        <v>32.4</v>
      </c>
      <c r="G176" s="32">
        <v>0.92559999999999998</v>
      </c>
      <c r="H176" s="25">
        <v>43</v>
      </c>
      <c r="I176" s="25">
        <v>37.56</v>
      </c>
      <c r="J176" s="32">
        <v>0.87349999999999905</v>
      </c>
      <c r="K176" s="33">
        <v>0.18129999999999999</v>
      </c>
      <c r="L176" s="32">
        <v>0.96875</v>
      </c>
      <c r="M176" s="32">
        <v>0.96124031007751898</v>
      </c>
      <c r="N176" s="34" t="s">
        <v>225</v>
      </c>
      <c r="O176" s="33">
        <v>0.83333333333333304</v>
      </c>
      <c r="P176" s="25"/>
      <c r="Q176" s="25"/>
      <c r="R176" s="25">
        <v>11</v>
      </c>
      <c r="S176" s="25"/>
      <c r="T176" s="25">
        <v>5</v>
      </c>
      <c r="U176" s="25">
        <v>40</v>
      </c>
      <c r="V176" s="35" t="e">
        <v>#N/A</v>
      </c>
    </row>
    <row r="177" spans="1:22" ht="32" x14ac:dyDescent="0.2">
      <c r="A177" s="29" t="s">
        <v>314</v>
      </c>
      <c r="B177" s="30" t="s">
        <v>405</v>
      </c>
      <c r="C177" s="30" t="s">
        <v>340</v>
      </c>
      <c r="D177" s="31">
        <v>45708</v>
      </c>
      <c r="E177" s="30">
        <v>30</v>
      </c>
      <c r="F177" s="30">
        <v>20.5</v>
      </c>
      <c r="G177" s="32">
        <v>0.68330000000000002</v>
      </c>
      <c r="H177" s="25">
        <v>38</v>
      </c>
      <c r="I177" s="25">
        <v>29.5</v>
      </c>
      <c r="J177" s="32">
        <v>0.77629999999999999</v>
      </c>
      <c r="K177" s="33">
        <v>8.1100000000000005E-2</v>
      </c>
      <c r="L177" s="32">
        <v>1</v>
      </c>
      <c r="M177" s="32">
        <v>0.98913043478260798</v>
      </c>
      <c r="N177" s="34" t="s">
        <v>234</v>
      </c>
      <c r="O177" s="33">
        <v>0.64705882352941102</v>
      </c>
      <c r="P177" s="25">
        <v>1</v>
      </c>
      <c r="Q177" s="25">
        <v>10</v>
      </c>
      <c r="R177" s="25">
        <v>5</v>
      </c>
      <c r="S177" s="25"/>
      <c r="T177" s="25">
        <v>8</v>
      </c>
      <c r="U177" s="25">
        <v>30</v>
      </c>
      <c r="V177" s="35">
        <v>4</v>
      </c>
    </row>
    <row r="178" spans="1:22" ht="32" x14ac:dyDescent="0.2">
      <c r="A178" s="29" t="s">
        <v>179</v>
      </c>
      <c r="B178" s="30" t="s">
        <v>405</v>
      </c>
      <c r="C178" s="30" t="s">
        <v>339</v>
      </c>
      <c r="D178" s="31">
        <v>45229</v>
      </c>
      <c r="E178" s="30">
        <v>12</v>
      </c>
      <c r="F178" s="30">
        <v>11.8799999999999</v>
      </c>
      <c r="G178" s="32">
        <v>0.98960000000000004</v>
      </c>
      <c r="H178" s="25">
        <v>16</v>
      </c>
      <c r="I178" s="25">
        <v>16.63</v>
      </c>
      <c r="J178" s="32">
        <v>1.0390999999999999</v>
      </c>
      <c r="K178" s="33">
        <v>0.10920000000000001</v>
      </c>
      <c r="L178" s="32">
        <v>1</v>
      </c>
      <c r="M178" s="32">
        <v>0.97872340425531901</v>
      </c>
      <c r="N178" s="34" t="s">
        <v>262</v>
      </c>
      <c r="O178" s="33">
        <v>0.66666666666666596</v>
      </c>
      <c r="P178" s="25"/>
      <c r="Q178" s="25"/>
      <c r="R178" s="25">
        <v>2</v>
      </c>
      <c r="S178" s="25"/>
      <c r="T178" s="25">
        <v>5</v>
      </c>
      <c r="U178" s="25">
        <v>16</v>
      </c>
      <c r="V178" s="35" t="e">
        <v>#N/A</v>
      </c>
    </row>
    <row r="179" spans="1:22" ht="16" x14ac:dyDescent="0.2">
      <c r="A179" s="29" t="s">
        <v>180</v>
      </c>
      <c r="B179" s="30" t="s">
        <v>409</v>
      </c>
      <c r="C179" s="30" t="s">
        <v>80</v>
      </c>
      <c r="D179" s="31">
        <v>45176</v>
      </c>
      <c r="E179" s="30">
        <v>12</v>
      </c>
      <c r="F179" s="30">
        <v>7.75</v>
      </c>
      <c r="G179" s="32">
        <v>0.64580000000000004</v>
      </c>
      <c r="H179" s="25">
        <v>16</v>
      </c>
      <c r="I179" s="25">
        <v>20.75</v>
      </c>
      <c r="J179" s="32">
        <v>1.2968999999999999</v>
      </c>
      <c r="K179" s="33">
        <v>9.7199999999999995E-2</v>
      </c>
      <c r="L179" s="32">
        <v>0.72727272727272696</v>
      </c>
      <c r="M179" s="32">
        <v>0.96666666666666601</v>
      </c>
      <c r="N179" s="34" t="s">
        <v>215</v>
      </c>
      <c r="O179" s="33">
        <v>1</v>
      </c>
      <c r="P179" s="25">
        <v>2</v>
      </c>
      <c r="Q179" s="25">
        <v>10</v>
      </c>
      <c r="R179" s="25">
        <v>3</v>
      </c>
      <c r="S179" s="25"/>
      <c r="T179" s="25">
        <v>0</v>
      </c>
      <c r="U179" s="25">
        <v>8</v>
      </c>
      <c r="V179" s="35">
        <v>3</v>
      </c>
    </row>
    <row r="180" spans="1:22" ht="32" x14ac:dyDescent="0.2">
      <c r="A180" s="29" t="s">
        <v>181</v>
      </c>
      <c r="B180" s="30" t="s">
        <v>405</v>
      </c>
      <c r="C180" s="30" t="s">
        <v>339</v>
      </c>
      <c r="D180" s="31">
        <v>45296</v>
      </c>
      <c r="E180" s="30">
        <v>30</v>
      </c>
      <c r="F180" s="30">
        <v>26.38</v>
      </c>
      <c r="G180" s="32">
        <v>0.87919999999999998</v>
      </c>
      <c r="H180" s="25">
        <v>38</v>
      </c>
      <c r="I180" s="25">
        <v>37.31</v>
      </c>
      <c r="J180" s="32">
        <v>0.981899999999999</v>
      </c>
      <c r="K180" s="33">
        <v>9.2700000000000005E-2</v>
      </c>
      <c r="L180" s="32">
        <v>0.97590361445783103</v>
      </c>
      <c r="M180" s="32">
        <v>0.94957983193277296</v>
      </c>
      <c r="N180" s="34" t="s">
        <v>646</v>
      </c>
      <c r="O180" s="33">
        <v>0.5</v>
      </c>
      <c r="P180" s="25">
        <v>2</v>
      </c>
      <c r="Q180" s="25">
        <v>10</v>
      </c>
      <c r="R180" s="25">
        <v>17</v>
      </c>
      <c r="S180" s="25"/>
      <c r="T180" s="25">
        <v>19</v>
      </c>
      <c r="U180" s="25">
        <v>36</v>
      </c>
      <c r="V180" s="35" t="e">
        <v>#N/A</v>
      </c>
    </row>
    <row r="181" spans="1:22" ht="16" x14ac:dyDescent="0.2">
      <c r="A181" s="29" t="s">
        <v>182</v>
      </c>
      <c r="B181" s="30" t="s">
        <v>409</v>
      </c>
      <c r="C181" s="30" t="s">
        <v>333</v>
      </c>
      <c r="D181" s="31">
        <v>43013</v>
      </c>
      <c r="E181" s="30">
        <v>30</v>
      </c>
      <c r="F181" s="30">
        <v>29.63</v>
      </c>
      <c r="G181" s="32">
        <v>0.98750000000000004</v>
      </c>
      <c r="H181" s="25">
        <v>38</v>
      </c>
      <c r="I181" s="25">
        <v>40.75</v>
      </c>
      <c r="J181" s="32">
        <v>1.0724</v>
      </c>
      <c r="K181" s="33">
        <v>0.32400000000000001</v>
      </c>
      <c r="L181" s="32">
        <v>0.96078431372549</v>
      </c>
      <c r="M181" s="32">
        <v>1</v>
      </c>
      <c r="N181" s="34" t="s">
        <v>225</v>
      </c>
      <c r="O181" s="33">
        <v>0.90476190476190399</v>
      </c>
      <c r="P181" s="25"/>
      <c r="Q181" s="25"/>
      <c r="R181" s="25">
        <v>3</v>
      </c>
      <c r="S181" s="25">
        <v>1</v>
      </c>
      <c r="T181" s="25">
        <v>2</v>
      </c>
      <c r="U181" s="25">
        <v>26</v>
      </c>
      <c r="V181" s="35" t="e">
        <v>#N/A</v>
      </c>
    </row>
    <row r="182" spans="1:22" ht="32" x14ac:dyDescent="0.2">
      <c r="A182" s="29" t="s">
        <v>315</v>
      </c>
      <c r="B182" s="30" t="s">
        <v>405</v>
      </c>
      <c r="C182" s="30" t="s">
        <v>339</v>
      </c>
      <c r="D182" s="31">
        <v>45722</v>
      </c>
      <c r="E182" s="30">
        <v>30</v>
      </c>
      <c r="F182" s="30">
        <v>25.75</v>
      </c>
      <c r="G182" s="32">
        <v>0.85829999999999995</v>
      </c>
      <c r="H182" s="25">
        <v>38</v>
      </c>
      <c r="I182" s="25">
        <v>31.5</v>
      </c>
      <c r="J182" s="32">
        <v>0.82889999999999997</v>
      </c>
      <c r="K182" s="33">
        <v>0.1429</v>
      </c>
      <c r="L182" s="32">
        <v>0.47945205479452002</v>
      </c>
      <c r="M182" s="32">
        <v>0.963963963963963</v>
      </c>
      <c r="N182" s="34" t="s">
        <v>219</v>
      </c>
      <c r="O182" s="33">
        <v>0.217391304347826</v>
      </c>
      <c r="P182" s="25"/>
      <c r="Q182" s="25"/>
      <c r="R182" s="25">
        <v>12</v>
      </c>
      <c r="S182" s="25">
        <v>24</v>
      </c>
      <c r="T182" s="25">
        <v>11</v>
      </c>
      <c r="U182" s="25">
        <v>41</v>
      </c>
      <c r="V182" s="35"/>
    </row>
    <row r="183" spans="1:22" ht="32" x14ac:dyDescent="0.2">
      <c r="A183" s="29" t="s">
        <v>183</v>
      </c>
      <c r="B183" s="30" t="s">
        <v>405</v>
      </c>
      <c r="C183" s="30" t="s">
        <v>333</v>
      </c>
      <c r="D183" s="31">
        <v>45201</v>
      </c>
      <c r="E183" s="30">
        <v>12</v>
      </c>
      <c r="F183" s="30">
        <v>16</v>
      </c>
      <c r="G183" s="32">
        <v>1.3332999999999999</v>
      </c>
      <c r="H183" s="25">
        <v>16</v>
      </c>
      <c r="I183" s="25">
        <v>22.13</v>
      </c>
      <c r="J183" s="32">
        <v>1.3828</v>
      </c>
      <c r="K183" s="33">
        <v>0.1515</v>
      </c>
      <c r="L183" s="32">
        <v>1</v>
      </c>
      <c r="M183" s="32">
        <v>0.98412698412698396</v>
      </c>
      <c r="N183" s="34"/>
      <c r="O183" s="33">
        <v>1</v>
      </c>
      <c r="P183" s="25"/>
      <c r="Q183" s="25"/>
      <c r="R183" s="25">
        <v>5</v>
      </c>
      <c r="S183" s="25"/>
      <c r="T183" s="25">
        <v>0</v>
      </c>
      <c r="U183" s="25">
        <v>12</v>
      </c>
      <c r="V183" s="35" t="e">
        <v>#N/A</v>
      </c>
    </row>
    <row r="184" spans="1:22" ht="32" x14ac:dyDescent="0.2">
      <c r="A184" s="29" t="s">
        <v>184</v>
      </c>
      <c r="B184" s="30" t="s">
        <v>405</v>
      </c>
      <c r="C184" s="30" t="s">
        <v>342</v>
      </c>
      <c r="D184" s="31">
        <v>45209</v>
      </c>
      <c r="E184" s="30">
        <v>12</v>
      </c>
      <c r="F184" s="30">
        <v>10.3799999999999</v>
      </c>
      <c r="G184" s="32">
        <v>0.86460000000000004</v>
      </c>
      <c r="H184" s="25">
        <v>16</v>
      </c>
      <c r="I184" s="25">
        <v>15.38</v>
      </c>
      <c r="J184" s="32">
        <v>0.96089999999999998</v>
      </c>
      <c r="K184" s="33">
        <v>0.27610000000000001</v>
      </c>
      <c r="L184" s="32">
        <v>0.83333333333333304</v>
      </c>
      <c r="M184" s="32">
        <v>0.93023255813953398</v>
      </c>
      <c r="N184" s="34" t="s">
        <v>226</v>
      </c>
      <c r="O184" s="33">
        <v>1</v>
      </c>
      <c r="P184" s="25"/>
      <c r="Q184" s="25"/>
      <c r="R184" s="25">
        <v>11</v>
      </c>
      <c r="S184" s="25"/>
      <c r="T184" s="25">
        <v>6</v>
      </c>
      <c r="U184" s="25">
        <v>18</v>
      </c>
      <c r="V184" s="35" t="e">
        <v>#N/A</v>
      </c>
    </row>
    <row r="185" spans="1:22" ht="16" x14ac:dyDescent="0.2">
      <c r="A185" s="29" t="s">
        <v>185</v>
      </c>
      <c r="B185" s="30" t="s">
        <v>410</v>
      </c>
      <c r="C185" s="30" t="s">
        <v>340</v>
      </c>
      <c r="D185" s="31">
        <v>43777</v>
      </c>
      <c r="E185" s="30">
        <v>30</v>
      </c>
      <c r="F185" s="30">
        <v>12.5</v>
      </c>
      <c r="G185" s="32">
        <v>0.41669999999999902</v>
      </c>
      <c r="H185" s="25">
        <v>38</v>
      </c>
      <c r="I185" s="25">
        <v>26.63</v>
      </c>
      <c r="J185" s="32">
        <v>0.70069999999999999</v>
      </c>
      <c r="K185" s="33">
        <v>0.13539999999999999</v>
      </c>
      <c r="L185" s="32">
        <v>0.97222222222222199</v>
      </c>
      <c r="M185" s="32">
        <v>0.96</v>
      </c>
      <c r="N185" s="34" t="s">
        <v>219</v>
      </c>
      <c r="O185" s="33">
        <v>0.91666666666666596</v>
      </c>
      <c r="P185" s="25"/>
      <c r="Q185" s="25"/>
      <c r="R185" s="25">
        <v>1</v>
      </c>
      <c r="S185" s="25"/>
      <c r="T185" s="25">
        <v>1</v>
      </c>
      <c r="U185" s="25">
        <v>16</v>
      </c>
      <c r="V185" s="35">
        <v>4</v>
      </c>
    </row>
    <row r="186" spans="1:22" ht="16" x14ac:dyDescent="0.2">
      <c r="A186" s="29" t="s">
        <v>186</v>
      </c>
      <c r="B186" s="30" t="s">
        <v>409</v>
      </c>
      <c r="C186" s="30" t="s">
        <v>339</v>
      </c>
      <c r="D186" s="31">
        <v>42235</v>
      </c>
      <c r="E186" s="30">
        <v>20</v>
      </c>
      <c r="F186" s="30">
        <v>15.85</v>
      </c>
      <c r="G186" s="32">
        <v>0.79269999999999996</v>
      </c>
      <c r="H186" s="25">
        <v>24</v>
      </c>
      <c r="I186" s="25">
        <v>28.88</v>
      </c>
      <c r="J186" s="32">
        <v>1.2030999999999901</v>
      </c>
      <c r="K186" s="33">
        <v>0.20649999999999999</v>
      </c>
      <c r="L186" s="32">
        <v>0.88235294117647001</v>
      </c>
      <c r="M186" s="32">
        <v>1</v>
      </c>
      <c r="N186" s="34" t="s">
        <v>228</v>
      </c>
      <c r="O186" s="33">
        <v>0.7</v>
      </c>
      <c r="P186" s="25"/>
      <c r="Q186" s="25"/>
      <c r="R186" s="25">
        <v>3</v>
      </c>
      <c r="S186" s="25"/>
      <c r="T186" s="25">
        <v>3</v>
      </c>
      <c r="U186" s="25">
        <v>12</v>
      </c>
      <c r="V186" s="35" t="e">
        <v>#N/A</v>
      </c>
    </row>
    <row r="187" spans="1:22" ht="32" x14ac:dyDescent="0.2">
      <c r="A187" s="29" t="s">
        <v>616</v>
      </c>
      <c r="B187" s="30" t="s">
        <v>405</v>
      </c>
      <c r="C187" s="30" t="s">
        <v>429</v>
      </c>
      <c r="D187" s="31">
        <v>45972</v>
      </c>
      <c r="E187" s="30">
        <v>35</v>
      </c>
      <c r="F187" s="30">
        <v>2.5</v>
      </c>
      <c r="G187" s="32">
        <v>7.1400000000000005E-2</v>
      </c>
      <c r="H187" s="25">
        <v>43</v>
      </c>
      <c r="I187" s="25">
        <v>33.67</v>
      </c>
      <c r="J187" s="32">
        <v>0.78289999999999904</v>
      </c>
      <c r="K187" s="33"/>
      <c r="L187" s="32">
        <v>1</v>
      </c>
      <c r="M187" s="32">
        <v>1</v>
      </c>
      <c r="N187" s="34" t="s">
        <v>227</v>
      </c>
      <c r="O187" s="33"/>
      <c r="P187" s="25"/>
      <c r="Q187" s="25"/>
      <c r="R187" s="25"/>
      <c r="S187" s="25"/>
      <c r="T187" s="25">
        <v>7</v>
      </c>
      <c r="U187" s="25">
        <v>7</v>
      </c>
      <c r="V187" s="35"/>
    </row>
    <row r="188" spans="1:22" ht="32" x14ac:dyDescent="0.2">
      <c r="A188" s="29" t="s">
        <v>316</v>
      </c>
      <c r="B188" s="30" t="s">
        <v>405</v>
      </c>
      <c r="C188" s="30" t="s">
        <v>333</v>
      </c>
      <c r="D188" s="31">
        <v>45775</v>
      </c>
      <c r="E188" s="30">
        <v>30</v>
      </c>
      <c r="F188" s="30">
        <v>30.38</v>
      </c>
      <c r="G188" s="32">
        <v>1.0125</v>
      </c>
      <c r="H188" s="25">
        <v>38</v>
      </c>
      <c r="I188" s="25">
        <v>37.06</v>
      </c>
      <c r="J188" s="32">
        <v>0.97529999999999994</v>
      </c>
      <c r="K188" s="33">
        <v>0.23089999999999999</v>
      </c>
      <c r="L188" s="32">
        <v>0.93506493506493504</v>
      </c>
      <c r="M188" s="32">
        <v>0.929133858267716</v>
      </c>
      <c r="N188" s="34" t="s">
        <v>242</v>
      </c>
      <c r="O188" s="33">
        <v>0.266666666666666</v>
      </c>
      <c r="P188" s="25">
        <v>1</v>
      </c>
      <c r="Q188" s="25">
        <v>10</v>
      </c>
      <c r="R188" s="25">
        <v>6</v>
      </c>
      <c r="S188" s="25"/>
      <c r="T188" s="25">
        <v>15</v>
      </c>
      <c r="U188" s="25">
        <v>39</v>
      </c>
      <c r="V188" s="35" t="e">
        <v>#N/A</v>
      </c>
    </row>
    <row r="189" spans="1:22" ht="16" x14ac:dyDescent="0.2">
      <c r="A189" s="29" t="s">
        <v>187</v>
      </c>
      <c r="B189" s="30" t="s">
        <v>410</v>
      </c>
      <c r="C189" s="30" t="s">
        <v>339</v>
      </c>
      <c r="D189" s="31">
        <v>45264</v>
      </c>
      <c r="E189" s="30">
        <v>12</v>
      </c>
      <c r="F189" s="30">
        <v>13.13</v>
      </c>
      <c r="G189" s="32">
        <v>1.0937999999999899</v>
      </c>
      <c r="H189" s="25">
        <v>16</v>
      </c>
      <c r="I189" s="25">
        <v>20.75</v>
      </c>
      <c r="J189" s="32">
        <v>1.2968999999999999</v>
      </c>
      <c r="K189" s="33">
        <v>0.25819999999999999</v>
      </c>
      <c r="L189" s="32">
        <v>0.94117647058823495</v>
      </c>
      <c r="M189" s="32">
        <v>1</v>
      </c>
      <c r="N189" s="34"/>
      <c r="O189" s="33">
        <v>0.83333333333333304</v>
      </c>
      <c r="P189" s="25"/>
      <c r="Q189" s="25"/>
      <c r="R189" s="25">
        <v>2</v>
      </c>
      <c r="S189" s="25">
        <v>1</v>
      </c>
      <c r="T189" s="25">
        <v>0</v>
      </c>
      <c r="U189" s="25">
        <v>12</v>
      </c>
      <c r="V189" s="35" t="e">
        <v>#N/A</v>
      </c>
    </row>
    <row r="190" spans="1:22" ht="32" x14ac:dyDescent="0.2">
      <c r="A190" s="29" t="s">
        <v>188</v>
      </c>
      <c r="B190" s="30" t="s">
        <v>409</v>
      </c>
      <c r="C190" s="30" t="s">
        <v>340</v>
      </c>
      <c r="D190" s="31">
        <v>44064</v>
      </c>
      <c r="E190" s="30">
        <v>30</v>
      </c>
      <c r="F190" s="30">
        <v>13.5</v>
      </c>
      <c r="G190" s="32">
        <v>0.45</v>
      </c>
      <c r="H190" s="25">
        <v>38</v>
      </c>
      <c r="I190" s="25">
        <v>45.25</v>
      </c>
      <c r="J190" s="32">
        <v>1.1907999999999901</v>
      </c>
      <c r="K190" s="33">
        <v>0.20649999999999999</v>
      </c>
      <c r="L190" s="32">
        <v>1</v>
      </c>
      <c r="M190" s="32">
        <v>1</v>
      </c>
      <c r="N190" s="34" t="s">
        <v>219</v>
      </c>
      <c r="O190" s="33">
        <v>0.75</v>
      </c>
      <c r="P190" s="25">
        <v>1</v>
      </c>
      <c r="Q190" s="25">
        <v>10</v>
      </c>
      <c r="R190" s="25">
        <v>5</v>
      </c>
      <c r="S190" s="25">
        <v>0</v>
      </c>
      <c r="T190" s="25">
        <v>1</v>
      </c>
      <c r="U190" s="25">
        <v>13</v>
      </c>
      <c r="V190" s="35">
        <v>2.8571428571428572</v>
      </c>
    </row>
    <row r="191" spans="1:22" ht="16" x14ac:dyDescent="0.2">
      <c r="A191" s="29" t="s">
        <v>189</v>
      </c>
      <c r="B191" s="30" t="s">
        <v>405</v>
      </c>
      <c r="C191" s="30" t="s">
        <v>333</v>
      </c>
      <c r="D191" s="31">
        <v>45195</v>
      </c>
      <c r="E191" s="30">
        <v>12</v>
      </c>
      <c r="F191" s="30">
        <v>13.059999999999899</v>
      </c>
      <c r="G191" s="32">
        <v>1.0885</v>
      </c>
      <c r="H191" s="25">
        <v>16</v>
      </c>
      <c r="I191" s="25">
        <v>17.13</v>
      </c>
      <c r="J191" s="32">
        <v>1.0703</v>
      </c>
      <c r="K191" s="33">
        <v>0.25540000000000002</v>
      </c>
      <c r="L191" s="32">
        <v>0.95918367346938704</v>
      </c>
      <c r="M191" s="32">
        <v>0.96923076923076901</v>
      </c>
      <c r="N191" s="34" t="s">
        <v>219</v>
      </c>
      <c r="O191" s="33">
        <v>0.625</v>
      </c>
      <c r="P191" s="25">
        <v>1</v>
      </c>
      <c r="Q191" s="25">
        <v>10</v>
      </c>
      <c r="R191" s="25">
        <v>8</v>
      </c>
      <c r="S191" s="25"/>
      <c r="T191" s="25">
        <v>1</v>
      </c>
      <c r="U191" s="25">
        <v>17</v>
      </c>
      <c r="V191" s="35" t="e">
        <v>#N/A</v>
      </c>
    </row>
    <row r="192" spans="1:22" ht="32" x14ac:dyDescent="0.2">
      <c r="A192" s="29" t="s">
        <v>318</v>
      </c>
      <c r="B192" s="30" t="s">
        <v>405</v>
      </c>
      <c r="C192" s="30" t="s">
        <v>339</v>
      </c>
      <c r="D192" s="31">
        <v>45735</v>
      </c>
      <c r="E192" s="30">
        <v>12</v>
      </c>
      <c r="F192" s="30">
        <v>18.38</v>
      </c>
      <c r="G192" s="32">
        <v>1.5312999999999899</v>
      </c>
      <c r="H192" s="25">
        <v>16</v>
      </c>
      <c r="I192" s="25">
        <v>25.63</v>
      </c>
      <c r="J192" s="32">
        <v>1.6015999999999999</v>
      </c>
      <c r="K192" s="33">
        <v>0.14710000000000001</v>
      </c>
      <c r="L192" s="32">
        <v>1</v>
      </c>
      <c r="M192" s="32">
        <v>0.97560975609755995</v>
      </c>
      <c r="N192" s="34"/>
      <c r="O192" s="33">
        <v>0.57142857142857095</v>
      </c>
      <c r="P192" s="25"/>
      <c r="Q192" s="25"/>
      <c r="R192" s="25">
        <v>4</v>
      </c>
      <c r="S192" s="25"/>
      <c r="T192" s="25">
        <v>0</v>
      </c>
      <c r="U192" s="25">
        <v>17</v>
      </c>
      <c r="V192" s="35"/>
    </row>
    <row r="193" spans="1:22" ht="16" x14ac:dyDescent="0.2">
      <c r="A193" s="29" t="s">
        <v>192</v>
      </c>
      <c r="B193" s="30" t="s">
        <v>405</v>
      </c>
      <c r="C193" s="30" t="s">
        <v>339</v>
      </c>
      <c r="D193" s="31">
        <v>45196</v>
      </c>
      <c r="E193" s="30">
        <v>12</v>
      </c>
      <c r="F193" s="30">
        <v>7.38</v>
      </c>
      <c r="G193" s="32">
        <v>0.61460000000000004</v>
      </c>
      <c r="H193" s="25">
        <v>16</v>
      </c>
      <c r="I193" s="25">
        <v>11.83</v>
      </c>
      <c r="J193" s="32">
        <v>0.73960000000000004</v>
      </c>
      <c r="K193" s="33">
        <v>1.72E-2</v>
      </c>
      <c r="L193" s="32">
        <v>0.72</v>
      </c>
      <c r="M193" s="32">
        <v>1</v>
      </c>
      <c r="N193" s="34"/>
      <c r="O193" s="33">
        <v>0.75</v>
      </c>
      <c r="P193" s="25"/>
      <c r="Q193" s="25"/>
      <c r="R193" s="25">
        <v>2</v>
      </c>
      <c r="S193" s="25"/>
      <c r="T193" s="25">
        <v>1</v>
      </c>
      <c r="U193" s="25">
        <v>13</v>
      </c>
      <c r="V193" s="35" t="e">
        <v>#N/A</v>
      </c>
    </row>
    <row r="194" spans="1:22" ht="32" x14ac:dyDescent="0.2">
      <c r="A194" s="29" t="s">
        <v>193</v>
      </c>
      <c r="B194" s="30" t="s">
        <v>405</v>
      </c>
      <c r="C194" s="30" t="s">
        <v>333</v>
      </c>
      <c r="D194" s="31">
        <v>45699</v>
      </c>
      <c r="E194" s="30">
        <v>30</v>
      </c>
      <c r="F194" s="30">
        <v>25</v>
      </c>
      <c r="G194" s="32">
        <v>0.83330000000000004</v>
      </c>
      <c r="H194" s="25">
        <v>38</v>
      </c>
      <c r="I194" s="25">
        <v>36.31</v>
      </c>
      <c r="J194" s="32">
        <v>0.9556</v>
      </c>
      <c r="K194" s="33">
        <v>0.2122</v>
      </c>
      <c r="L194" s="32">
        <v>0.98591549295774605</v>
      </c>
      <c r="M194" s="32">
        <v>1</v>
      </c>
      <c r="N194" s="34" t="s">
        <v>379</v>
      </c>
      <c r="O194" s="33">
        <v>0.94444444444444398</v>
      </c>
      <c r="P194" s="25">
        <v>3</v>
      </c>
      <c r="Q194" s="25">
        <v>10</v>
      </c>
      <c r="R194" s="25">
        <v>4</v>
      </c>
      <c r="S194" s="25"/>
      <c r="T194" s="25">
        <v>11</v>
      </c>
      <c r="U194" s="25">
        <v>31</v>
      </c>
      <c r="V194" s="35" t="e">
        <v>#N/A</v>
      </c>
    </row>
    <row r="195" spans="1:22" ht="16" x14ac:dyDescent="0.2">
      <c r="A195" s="29" t="s">
        <v>196</v>
      </c>
      <c r="B195" s="30" t="s">
        <v>405</v>
      </c>
      <c r="C195" s="30" t="s">
        <v>342</v>
      </c>
      <c r="D195" s="31">
        <v>45194</v>
      </c>
      <c r="E195" s="30">
        <v>12</v>
      </c>
      <c r="F195" s="30">
        <v>12.5</v>
      </c>
      <c r="G195" s="32">
        <v>1.0417000000000001</v>
      </c>
      <c r="H195" s="25">
        <v>16</v>
      </c>
      <c r="I195" s="25">
        <v>16.190000000000001</v>
      </c>
      <c r="J195" s="32">
        <v>1.0117</v>
      </c>
      <c r="K195" s="33">
        <v>0.18329999999999999</v>
      </c>
      <c r="L195" s="32">
        <v>1</v>
      </c>
      <c r="M195" s="32">
        <v>1</v>
      </c>
      <c r="N195" s="34" t="s">
        <v>228</v>
      </c>
      <c r="O195" s="33">
        <v>0.85714285714285698</v>
      </c>
      <c r="P195" s="25"/>
      <c r="Q195" s="25"/>
      <c r="R195" s="25">
        <v>4</v>
      </c>
      <c r="S195" s="25"/>
      <c r="T195" s="25">
        <v>3</v>
      </c>
      <c r="U195" s="25">
        <v>16</v>
      </c>
      <c r="V195" s="35"/>
    </row>
    <row r="196" spans="1:22" ht="32" x14ac:dyDescent="0.2">
      <c r="A196" s="29" t="s">
        <v>197</v>
      </c>
      <c r="B196" s="30" t="s">
        <v>409</v>
      </c>
      <c r="C196" s="30" t="s">
        <v>99</v>
      </c>
      <c r="D196" s="31">
        <v>42811</v>
      </c>
      <c r="E196" s="30">
        <v>30</v>
      </c>
      <c r="F196" s="30">
        <v>22.13</v>
      </c>
      <c r="G196" s="32">
        <v>0.73750000000000004</v>
      </c>
      <c r="H196" s="25">
        <v>38</v>
      </c>
      <c r="I196" s="25">
        <v>55.75</v>
      </c>
      <c r="J196" s="32">
        <v>1.4670999999999901</v>
      </c>
      <c r="K196" s="33">
        <v>0.12180000000000001</v>
      </c>
      <c r="L196" s="32">
        <v>0.98387096774193505</v>
      </c>
      <c r="M196" s="32">
        <v>1</v>
      </c>
      <c r="N196" s="34" t="s">
        <v>219</v>
      </c>
      <c r="O196" s="33">
        <v>1</v>
      </c>
      <c r="P196" s="25"/>
      <c r="Q196" s="25"/>
      <c r="R196" s="25">
        <v>3</v>
      </c>
      <c r="S196" s="25"/>
      <c r="T196" s="25">
        <v>1</v>
      </c>
      <c r="U196" s="25">
        <v>21</v>
      </c>
      <c r="V196" s="35" t="e">
        <v>#N/A</v>
      </c>
    </row>
    <row r="197" spans="1:22" ht="16" x14ac:dyDescent="0.2">
      <c r="A197" s="29" t="s">
        <v>319</v>
      </c>
      <c r="B197" s="30" t="s">
        <v>405</v>
      </c>
      <c r="C197" s="30" t="s">
        <v>339</v>
      </c>
      <c r="D197" s="31">
        <v>45740</v>
      </c>
      <c r="E197" s="30">
        <v>20</v>
      </c>
      <c r="F197" s="30">
        <v>14.13</v>
      </c>
      <c r="G197" s="32">
        <v>0.70629999999999904</v>
      </c>
      <c r="H197" s="25">
        <v>24</v>
      </c>
      <c r="I197" s="25">
        <v>18.690000000000001</v>
      </c>
      <c r="J197" s="32">
        <v>0.77859999999999996</v>
      </c>
      <c r="K197" s="33">
        <v>0.21779999999999999</v>
      </c>
      <c r="L197" s="32">
        <v>0.73684210526315697</v>
      </c>
      <c r="M197" s="32">
        <v>1</v>
      </c>
      <c r="N197" s="34" t="s">
        <v>228</v>
      </c>
      <c r="O197" s="33">
        <v>0.63636363636363602</v>
      </c>
      <c r="P197" s="25"/>
      <c r="Q197" s="25"/>
      <c r="R197" s="25">
        <v>8</v>
      </c>
      <c r="S197" s="25"/>
      <c r="T197" s="25">
        <v>4</v>
      </c>
      <c r="U197" s="25">
        <v>18</v>
      </c>
      <c r="V197" s="35" t="e">
        <v>#N/A</v>
      </c>
    </row>
    <row r="198" spans="1:22" ht="32" x14ac:dyDescent="0.2">
      <c r="A198" s="29" t="s">
        <v>198</v>
      </c>
      <c r="B198" s="30" t="s">
        <v>410</v>
      </c>
      <c r="C198" s="30" t="s">
        <v>340</v>
      </c>
      <c r="D198" s="31">
        <v>44064</v>
      </c>
      <c r="E198" s="30">
        <v>12</v>
      </c>
      <c r="F198" s="30">
        <v>9.75</v>
      </c>
      <c r="G198" s="32">
        <v>0.8125</v>
      </c>
      <c r="H198" s="25">
        <v>16</v>
      </c>
      <c r="I198" s="25">
        <v>25.81</v>
      </c>
      <c r="J198" s="32">
        <v>1.6133</v>
      </c>
      <c r="K198" s="33">
        <v>0.13189999999999999</v>
      </c>
      <c r="L198" s="32">
        <v>0.92857142857142805</v>
      </c>
      <c r="M198" s="32">
        <v>1</v>
      </c>
      <c r="N198" s="34"/>
      <c r="O198" s="33">
        <v>0.58333333333333304</v>
      </c>
      <c r="P198" s="25"/>
      <c r="Q198" s="25"/>
      <c r="R198" s="25">
        <v>2</v>
      </c>
      <c r="S198" s="25"/>
      <c r="T198" s="25">
        <v>0</v>
      </c>
      <c r="U198" s="25">
        <v>13</v>
      </c>
      <c r="V198" s="35">
        <v>4.666666666666667</v>
      </c>
    </row>
    <row r="199" spans="1:22" ht="32" x14ac:dyDescent="0.2">
      <c r="A199" s="29" t="s">
        <v>201</v>
      </c>
      <c r="B199" s="30" t="s">
        <v>410</v>
      </c>
      <c r="C199" s="30" t="s">
        <v>340</v>
      </c>
      <c r="D199" s="31">
        <v>44611</v>
      </c>
      <c r="E199" s="30">
        <v>30</v>
      </c>
      <c r="F199" s="30">
        <v>25.25</v>
      </c>
      <c r="G199" s="32">
        <v>0.8417</v>
      </c>
      <c r="H199" s="25">
        <v>38</v>
      </c>
      <c r="I199" s="25">
        <v>47.88</v>
      </c>
      <c r="J199" s="32">
        <v>1.2599</v>
      </c>
      <c r="K199" s="33">
        <v>3.0599999999999999E-2</v>
      </c>
      <c r="L199" s="32">
        <v>1</v>
      </c>
      <c r="M199" s="32">
        <v>1</v>
      </c>
      <c r="N199" s="34" t="s">
        <v>225</v>
      </c>
      <c r="O199" s="33">
        <v>0.57894736842105199</v>
      </c>
      <c r="P199" s="25">
        <v>4</v>
      </c>
      <c r="Q199" s="25">
        <v>10</v>
      </c>
      <c r="R199" s="25">
        <v>4</v>
      </c>
      <c r="S199" s="25"/>
      <c r="T199" s="25">
        <v>6</v>
      </c>
      <c r="U199" s="25">
        <v>27</v>
      </c>
      <c r="V199" s="35">
        <v>5</v>
      </c>
    </row>
    <row r="200" spans="1:22" ht="16" x14ac:dyDescent="0.2">
      <c r="A200" s="29" t="s">
        <v>320</v>
      </c>
      <c r="B200" s="30" t="s">
        <v>405</v>
      </c>
      <c r="C200" s="30" t="s">
        <v>342</v>
      </c>
      <c r="D200" s="31">
        <v>45810</v>
      </c>
      <c r="E200" s="30">
        <v>30</v>
      </c>
      <c r="F200" s="30">
        <v>21.75</v>
      </c>
      <c r="G200" s="32">
        <v>0.72499999999999998</v>
      </c>
      <c r="H200" s="25">
        <v>38</v>
      </c>
      <c r="I200" s="25">
        <v>25.939999999999898</v>
      </c>
      <c r="J200" s="32">
        <v>0.68259999999999998</v>
      </c>
      <c r="K200" s="33">
        <v>9.2499999999999999E-2</v>
      </c>
      <c r="L200" s="32">
        <v>0.984375</v>
      </c>
      <c r="M200" s="32">
        <v>0.99</v>
      </c>
      <c r="N200" s="34" t="s">
        <v>326</v>
      </c>
      <c r="O200" s="33">
        <v>1</v>
      </c>
      <c r="P200" s="25">
        <v>1</v>
      </c>
      <c r="Q200" s="25">
        <v>10</v>
      </c>
      <c r="R200" s="25">
        <v>10</v>
      </c>
      <c r="S200" s="25"/>
      <c r="T200" s="25">
        <v>9</v>
      </c>
      <c r="U200" s="25">
        <v>30</v>
      </c>
      <c r="V200" s="35" t="e">
        <v>#N/A</v>
      </c>
    </row>
    <row r="201" spans="1:22" ht="16" x14ac:dyDescent="0.2">
      <c r="A201" s="29" t="s">
        <v>202</v>
      </c>
      <c r="B201" s="30" t="s">
        <v>405</v>
      </c>
      <c r="C201" s="30" t="s">
        <v>333</v>
      </c>
      <c r="D201" s="31">
        <v>45278</v>
      </c>
      <c r="E201" s="30">
        <v>30</v>
      </c>
      <c r="F201" s="30">
        <v>33.25</v>
      </c>
      <c r="G201" s="32">
        <v>1.1083000000000001</v>
      </c>
      <c r="H201" s="25">
        <v>38</v>
      </c>
      <c r="I201" s="25">
        <v>48</v>
      </c>
      <c r="J201" s="32">
        <v>1.2632000000000001</v>
      </c>
      <c r="K201" s="33">
        <v>0.18579999999999999</v>
      </c>
      <c r="L201" s="32">
        <v>1</v>
      </c>
      <c r="M201" s="32">
        <v>0.939393939393939</v>
      </c>
      <c r="N201" s="34" t="s">
        <v>394</v>
      </c>
      <c r="O201" s="33">
        <v>0.73684210526315697</v>
      </c>
      <c r="P201" s="25">
        <v>1</v>
      </c>
      <c r="Q201" s="25">
        <v>10</v>
      </c>
      <c r="R201" s="25">
        <v>7</v>
      </c>
      <c r="S201" s="25"/>
      <c r="T201" s="25">
        <v>13</v>
      </c>
      <c r="U201" s="25">
        <v>38</v>
      </c>
      <c r="V201" s="35" t="e">
        <v>#N/A</v>
      </c>
    </row>
    <row r="202" spans="1:22" ht="32" x14ac:dyDescent="0.2">
      <c r="A202" s="29" t="s">
        <v>323</v>
      </c>
      <c r="B202" s="30" t="s">
        <v>405</v>
      </c>
      <c r="C202" s="30" t="s">
        <v>342</v>
      </c>
      <c r="D202" s="31">
        <v>45902</v>
      </c>
      <c r="E202" s="30">
        <v>30</v>
      </c>
      <c r="F202" s="30">
        <v>27.88</v>
      </c>
      <c r="G202" s="32">
        <v>0.92920000000000003</v>
      </c>
      <c r="H202" s="25">
        <v>38</v>
      </c>
      <c r="I202" s="25">
        <v>37.380000000000003</v>
      </c>
      <c r="J202" s="32">
        <v>0.98360000000000003</v>
      </c>
      <c r="K202" s="33">
        <v>0.29580000000000001</v>
      </c>
      <c r="L202" s="32">
        <v>0.89705882352941102</v>
      </c>
      <c r="M202" s="32">
        <v>0.99186991869918595</v>
      </c>
      <c r="N202" s="34" t="s">
        <v>262</v>
      </c>
      <c r="O202" s="33">
        <v>0.57142857142857095</v>
      </c>
      <c r="P202" s="25">
        <v>2</v>
      </c>
      <c r="Q202" s="25">
        <v>10</v>
      </c>
      <c r="R202" s="25">
        <v>7</v>
      </c>
      <c r="S202" s="25">
        <v>2</v>
      </c>
      <c r="T202" s="25">
        <v>7</v>
      </c>
      <c r="U202" s="25">
        <v>30</v>
      </c>
      <c r="V202" s="35" t="e">
        <v>#N/A</v>
      </c>
    </row>
    <row r="203" spans="1:22" ht="32" x14ac:dyDescent="0.2">
      <c r="A203" s="29" t="s">
        <v>203</v>
      </c>
      <c r="B203" s="30" t="s">
        <v>409</v>
      </c>
      <c r="C203" s="30" t="s">
        <v>340</v>
      </c>
      <c r="D203" s="31">
        <v>43917</v>
      </c>
      <c r="E203" s="30">
        <v>30</v>
      </c>
      <c r="F203" s="30">
        <v>21.25</v>
      </c>
      <c r="G203" s="32">
        <v>0.70830000000000004</v>
      </c>
      <c r="H203" s="25">
        <v>38</v>
      </c>
      <c r="I203" s="25">
        <v>40.5</v>
      </c>
      <c r="J203" s="32">
        <v>1.0657999999999901</v>
      </c>
      <c r="K203" s="33">
        <v>0.27329999999999999</v>
      </c>
      <c r="L203" s="32">
        <v>0.97959183673469297</v>
      </c>
      <c r="M203" s="32">
        <v>0.97590361445783103</v>
      </c>
      <c r="N203" s="34" t="s">
        <v>226</v>
      </c>
      <c r="O203" s="33">
        <v>1</v>
      </c>
      <c r="P203" s="25">
        <v>2</v>
      </c>
      <c r="Q203" s="25">
        <v>10</v>
      </c>
      <c r="R203" s="25">
        <v>2</v>
      </c>
      <c r="S203" s="25">
        <v>5</v>
      </c>
      <c r="T203" s="25">
        <v>3</v>
      </c>
      <c r="U203" s="25">
        <v>20</v>
      </c>
      <c r="V203" s="35">
        <v>3.5</v>
      </c>
    </row>
    <row r="204" spans="1:22" ht="16" x14ac:dyDescent="0.2">
      <c r="A204" s="29" t="s">
        <v>204</v>
      </c>
      <c r="B204" s="30" t="s">
        <v>405</v>
      </c>
      <c r="C204" s="30" t="s">
        <v>339</v>
      </c>
      <c r="D204" s="31">
        <v>45193</v>
      </c>
      <c r="E204" s="30">
        <v>20</v>
      </c>
      <c r="F204" s="30">
        <v>21</v>
      </c>
      <c r="G204" s="32">
        <v>1.05</v>
      </c>
      <c r="H204" s="25">
        <v>24</v>
      </c>
      <c r="I204" s="25">
        <v>29.13</v>
      </c>
      <c r="J204" s="32">
        <v>1.2135</v>
      </c>
      <c r="K204" s="33">
        <v>0.23519999999999999</v>
      </c>
      <c r="L204" s="32">
        <v>0.87931034482758597</v>
      </c>
      <c r="M204" s="32">
        <v>0.99065420560747597</v>
      </c>
      <c r="N204" s="34" t="s">
        <v>640</v>
      </c>
      <c r="O204" s="33">
        <v>0</v>
      </c>
      <c r="P204" s="25"/>
      <c r="Q204" s="25"/>
      <c r="R204" s="25">
        <v>7</v>
      </c>
      <c r="S204" s="25">
        <v>3</v>
      </c>
      <c r="T204" s="25">
        <v>31</v>
      </c>
      <c r="U204" s="25">
        <v>36</v>
      </c>
      <c r="V204" s="35"/>
    </row>
    <row r="205" spans="1:22" ht="16" x14ac:dyDescent="0.2">
      <c r="A205" s="29" t="s">
        <v>207</v>
      </c>
      <c r="B205" s="30" t="s">
        <v>405</v>
      </c>
      <c r="C205" s="30" t="s">
        <v>339</v>
      </c>
      <c r="D205" s="31">
        <v>45281</v>
      </c>
      <c r="E205" s="30">
        <v>20</v>
      </c>
      <c r="F205" s="30">
        <v>9.25</v>
      </c>
      <c r="G205" s="32">
        <v>0.46250000000000002</v>
      </c>
      <c r="H205" s="25">
        <v>24</v>
      </c>
      <c r="I205" s="25">
        <v>23.5</v>
      </c>
      <c r="J205" s="32">
        <v>0.97919999999999996</v>
      </c>
      <c r="K205" s="33">
        <v>0.2384</v>
      </c>
      <c r="L205" s="32">
        <v>0.92857142857142805</v>
      </c>
      <c r="M205" s="32">
        <v>1</v>
      </c>
      <c r="N205" s="34"/>
      <c r="O205" s="33">
        <v>0.66666666666666596</v>
      </c>
      <c r="P205" s="25"/>
      <c r="Q205" s="25"/>
      <c r="R205" s="25">
        <v>4</v>
      </c>
      <c r="S205" s="25"/>
      <c r="T205" s="25">
        <v>0</v>
      </c>
      <c r="U205" s="25">
        <v>13</v>
      </c>
      <c r="V205" s="35" t="e">
        <v>#N/A</v>
      </c>
    </row>
    <row r="206" spans="1:22" ht="32" x14ac:dyDescent="0.2">
      <c r="A206" s="29" t="s">
        <v>325</v>
      </c>
      <c r="B206" s="30" t="s">
        <v>405</v>
      </c>
      <c r="C206" s="30" t="s">
        <v>339</v>
      </c>
      <c r="D206" s="31">
        <v>45763</v>
      </c>
      <c r="E206" s="30">
        <v>30</v>
      </c>
      <c r="F206" s="30">
        <v>21.38</v>
      </c>
      <c r="G206" s="32">
        <v>0.71250000000000002</v>
      </c>
      <c r="H206" s="25">
        <v>38</v>
      </c>
      <c r="I206" s="25">
        <v>26.31</v>
      </c>
      <c r="J206" s="32">
        <v>0.69239999999999902</v>
      </c>
      <c r="K206" s="33">
        <v>6.5799999999999997E-2</v>
      </c>
      <c r="L206" s="32">
        <v>0.70689655172413701</v>
      </c>
      <c r="M206" s="32">
        <v>0.94318181818181801</v>
      </c>
      <c r="N206" s="34" t="s">
        <v>266</v>
      </c>
      <c r="O206" s="33">
        <v>0.31578947368421001</v>
      </c>
      <c r="P206" s="25"/>
      <c r="Q206" s="25"/>
      <c r="R206" s="25">
        <v>7</v>
      </c>
      <c r="S206" s="25">
        <v>25</v>
      </c>
      <c r="T206" s="25">
        <v>2</v>
      </c>
      <c r="U206" s="25">
        <v>24</v>
      </c>
      <c r="V206" s="35" t="e">
        <v>#N/A</v>
      </c>
    </row>
    <row r="207" spans="1:22" ht="48" x14ac:dyDescent="0.2">
      <c r="A207" s="29" t="s">
        <v>208</v>
      </c>
      <c r="B207" s="30" t="s">
        <v>410</v>
      </c>
      <c r="C207" s="30" t="s">
        <v>333</v>
      </c>
      <c r="D207" s="31">
        <v>45307</v>
      </c>
      <c r="E207" s="30">
        <v>12</v>
      </c>
      <c r="F207" s="30">
        <v>8.0599999999999898</v>
      </c>
      <c r="G207" s="32">
        <v>0.67189999999999905</v>
      </c>
      <c r="H207" s="25">
        <v>16</v>
      </c>
      <c r="I207" s="25">
        <v>21</v>
      </c>
      <c r="J207" s="32">
        <v>1.3125</v>
      </c>
      <c r="K207" s="33">
        <v>0.30230000000000001</v>
      </c>
      <c r="L207" s="32">
        <v>1</v>
      </c>
      <c r="M207" s="32">
        <v>0.83333333333333304</v>
      </c>
      <c r="N207" s="34" t="s">
        <v>215</v>
      </c>
      <c r="O207" s="33">
        <v>0.75</v>
      </c>
      <c r="P207" s="25">
        <v>1</v>
      </c>
      <c r="Q207" s="25">
        <v>10</v>
      </c>
      <c r="R207" s="25"/>
      <c r="S207" s="25"/>
      <c r="T207" s="25">
        <v>2</v>
      </c>
      <c r="U207" s="25">
        <v>6</v>
      </c>
      <c r="V207" s="35" t="e">
        <v>#N/A</v>
      </c>
    </row>
    <row r="208" spans="1:22" ht="32" x14ac:dyDescent="0.2">
      <c r="A208" s="37" t="s">
        <v>637</v>
      </c>
      <c r="B208" s="38" t="s">
        <v>405</v>
      </c>
      <c r="C208" s="38" t="s">
        <v>430</v>
      </c>
      <c r="D208" s="39">
        <v>45992</v>
      </c>
      <c r="E208" s="38">
        <v>35</v>
      </c>
      <c r="F208" s="38"/>
      <c r="G208" s="40"/>
      <c r="H208" s="18">
        <v>43</v>
      </c>
      <c r="I208" s="18"/>
      <c r="J208" s="40"/>
      <c r="K208" s="21"/>
      <c r="L208" s="40"/>
      <c r="M208" s="40"/>
      <c r="N208" s="41"/>
      <c r="O208" s="21"/>
      <c r="P208" s="18"/>
      <c r="Q208" s="18"/>
      <c r="R208" s="18"/>
      <c r="S208" s="18"/>
      <c r="T208" s="18">
        <v>0</v>
      </c>
      <c r="U208" s="18">
        <v>0</v>
      </c>
      <c r="V208" s="35"/>
    </row>
    <row r="209" spans="1:22" ht="32" x14ac:dyDescent="0.2">
      <c r="A209" s="37" t="s">
        <v>209</v>
      </c>
      <c r="B209" s="38" t="s">
        <v>409</v>
      </c>
      <c r="C209" s="38" t="s">
        <v>99</v>
      </c>
      <c r="D209" s="39">
        <v>44239</v>
      </c>
      <c r="E209" s="38">
        <v>35</v>
      </c>
      <c r="F209" s="38">
        <v>25.38</v>
      </c>
      <c r="G209" s="40">
        <v>0.72499999999999998</v>
      </c>
      <c r="H209" s="18">
        <v>43</v>
      </c>
      <c r="I209" s="18">
        <v>45.38</v>
      </c>
      <c r="J209" s="40">
        <v>1.0551999999999999</v>
      </c>
      <c r="K209" s="21">
        <v>8.4199999999999997E-2</v>
      </c>
      <c r="L209" s="40">
        <v>0.98333333333333295</v>
      </c>
      <c r="M209" s="40">
        <v>1</v>
      </c>
      <c r="N209" s="41" t="s">
        <v>227</v>
      </c>
      <c r="O209" s="21">
        <v>1</v>
      </c>
      <c r="P209" s="18"/>
      <c r="Q209" s="18"/>
      <c r="R209" s="18">
        <v>4</v>
      </c>
      <c r="S209" s="18"/>
      <c r="T209" s="18">
        <v>3</v>
      </c>
      <c r="U209" s="18">
        <v>23</v>
      </c>
      <c r="V209" s="35" t="e">
        <v>#N/A</v>
      </c>
    </row>
    <row r="210" spans="1:22" x14ac:dyDescent="0.2">
      <c r="A210" t="s">
        <v>210</v>
      </c>
      <c r="B210" t="s">
        <v>405</v>
      </c>
      <c r="C210" t="s">
        <v>342</v>
      </c>
      <c r="D210" s="15">
        <v>45684</v>
      </c>
      <c r="E210">
        <v>30</v>
      </c>
      <c r="F210">
        <v>27.13</v>
      </c>
      <c r="G210" s="42">
        <v>0.9042</v>
      </c>
      <c r="H210">
        <v>38</v>
      </c>
      <c r="I210">
        <v>30.56</v>
      </c>
      <c r="J210" s="42">
        <v>0.80429999999999902</v>
      </c>
      <c r="K210" s="22">
        <v>0.126</v>
      </c>
      <c r="L210" s="42">
        <v>0.88059701492537301</v>
      </c>
      <c r="M210" s="42">
        <v>0.95575221238938002</v>
      </c>
      <c r="N210" s="43" t="s">
        <v>225</v>
      </c>
      <c r="O210" s="22">
        <v>0.40909090909090901</v>
      </c>
      <c r="P210">
        <v>1</v>
      </c>
      <c r="Q210">
        <v>10</v>
      </c>
      <c r="R210">
        <v>12</v>
      </c>
      <c r="S210">
        <v>3</v>
      </c>
      <c r="T210">
        <v>3</v>
      </c>
      <c r="U210">
        <v>28</v>
      </c>
      <c r="V210" s="44" t="e">
        <v>#N/A</v>
      </c>
    </row>
    <row r="211" spans="1:22" x14ac:dyDescent="0.2">
      <c r="A211" t="s">
        <v>211</v>
      </c>
      <c r="B211" t="s">
        <v>410</v>
      </c>
      <c r="C211" t="s">
        <v>342</v>
      </c>
      <c r="D211" s="15">
        <v>45702</v>
      </c>
      <c r="E211">
        <v>30</v>
      </c>
      <c r="F211">
        <v>27.13</v>
      </c>
      <c r="G211" s="42">
        <v>0.9042</v>
      </c>
      <c r="H211">
        <v>38</v>
      </c>
      <c r="I211">
        <v>39.130000000000003</v>
      </c>
      <c r="J211" s="42">
        <v>1.0295999999999901</v>
      </c>
      <c r="K211" s="22">
        <v>0.1305</v>
      </c>
      <c r="L211" s="42">
        <v>0.98630136986301298</v>
      </c>
      <c r="M211" s="42">
        <v>1</v>
      </c>
      <c r="N211" s="43" t="s">
        <v>215</v>
      </c>
      <c r="O211" s="22">
        <v>0.77777777777777701</v>
      </c>
      <c r="R211">
        <v>3</v>
      </c>
      <c r="T211">
        <v>2</v>
      </c>
      <c r="U211">
        <v>24</v>
      </c>
      <c r="V211" s="44" t="e">
        <v>#N/A</v>
      </c>
    </row>
    <row r="212" spans="1:22" x14ac:dyDescent="0.2">
      <c r="A212" t="s">
        <v>327</v>
      </c>
      <c r="B212" t="s">
        <v>405</v>
      </c>
      <c r="C212" t="s">
        <v>340</v>
      </c>
      <c r="D212" s="15">
        <v>45883</v>
      </c>
      <c r="E212">
        <v>30</v>
      </c>
      <c r="F212">
        <v>28.63</v>
      </c>
      <c r="G212" s="42">
        <v>0.95419999999999905</v>
      </c>
      <c r="H212">
        <v>38</v>
      </c>
      <c r="I212">
        <v>34.630000000000003</v>
      </c>
      <c r="J212" s="42">
        <v>0.91120000000000001</v>
      </c>
      <c r="K212" s="22">
        <v>0.2051</v>
      </c>
      <c r="L212" s="42">
        <v>0.98795180722891496</v>
      </c>
      <c r="M212" s="42">
        <v>0.99152542372881303</v>
      </c>
      <c r="N212" s="43" t="s">
        <v>226</v>
      </c>
      <c r="O212" s="22">
        <v>0.57142857142857095</v>
      </c>
      <c r="R212">
        <v>11</v>
      </c>
      <c r="S212">
        <v>18</v>
      </c>
      <c r="T212">
        <v>9</v>
      </c>
      <c r="U212">
        <v>35</v>
      </c>
      <c r="V212" s="44">
        <v>4</v>
      </c>
    </row>
  </sheetData>
  <conditionalFormatting sqref="G2:G209">
    <cfRule type="cellIs" dxfId="9" priority="9" operator="greaterThan">
      <formula>$G$1</formula>
    </cfRule>
    <cfRule type="cellIs" dxfId="8" priority="10" operator="lessThan">
      <formula>$G$2</formula>
    </cfRule>
  </conditionalFormatting>
  <conditionalFormatting sqref="J2:J209">
    <cfRule type="cellIs" dxfId="7" priority="7" operator="greaterThan">
      <formula>$J$1</formula>
    </cfRule>
    <cfRule type="cellIs" dxfId="6" priority="8" operator="lessThan">
      <formula>$J$2</formula>
    </cfRule>
  </conditionalFormatting>
  <conditionalFormatting sqref="K2:K209">
    <cfRule type="cellIs" dxfId="5" priority="5" operator="greaterThan">
      <formula>$K$2</formula>
    </cfRule>
    <cfRule type="cellIs" dxfId="4" priority="6" operator="lessThan">
      <formula>$K$1</formula>
    </cfRule>
  </conditionalFormatting>
  <conditionalFormatting sqref="L2:M209">
    <cfRule type="cellIs" dxfId="3" priority="3" operator="lessThan">
      <formula>L$2</formula>
    </cfRule>
    <cfRule type="cellIs" dxfId="2" priority="4" operator="greaterThan">
      <formula>L$1</formula>
    </cfRule>
  </conditionalFormatting>
  <conditionalFormatting sqref="O2:O209">
    <cfRule type="cellIs" dxfId="1" priority="1" operator="greaterThan">
      <formula>$O$1</formula>
    </cfRule>
    <cfRule type="cellIs" dxfId="0" priority="2" operator="lessThan">
      <formula>$O$2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52C1-E732-B940-AC7C-675B531DADB5}">
  <dimension ref="A1:E912"/>
  <sheetViews>
    <sheetView tabSelected="1" workbookViewId="0">
      <selection activeCell="G14" sqref="G14"/>
    </sheetView>
  </sheetViews>
  <sheetFormatPr baseColWidth="10" defaultColWidth="11.5" defaultRowHeight="15" x14ac:dyDescent="0.2"/>
  <cols>
    <col min="1" max="1" width="21.83203125" bestFit="1" customWidth="1"/>
    <col min="2" max="2" width="21.33203125" customWidth="1"/>
    <col min="3" max="3" width="17.6640625" bestFit="1" customWidth="1"/>
    <col min="4" max="4" width="11.5" bestFit="1" customWidth="1"/>
    <col min="5" max="5" width="26.1640625" bestFit="1" customWidth="1"/>
  </cols>
  <sheetData>
    <row r="1" spans="1:5" ht="16" x14ac:dyDescent="0.2">
      <c r="A1" s="3" t="s">
        <v>401</v>
      </c>
      <c r="B1" s="4" t="s">
        <v>3</v>
      </c>
      <c r="C1" s="3" t="s">
        <v>402</v>
      </c>
      <c r="D1" s="3" t="s">
        <v>1</v>
      </c>
      <c r="E1" s="3" t="s">
        <v>403</v>
      </c>
    </row>
    <row r="2" spans="1:5" ht="16" x14ac:dyDescent="0.2">
      <c r="A2" s="5" t="s">
        <v>12</v>
      </c>
      <c r="B2" s="6" t="s">
        <v>340</v>
      </c>
      <c r="C2" s="5" t="s">
        <v>404</v>
      </c>
      <c r="D2" s="5" t="s">
        <v>405</v>
      </c>
      <c r="E2" s="7" t="s">
        <v>406</v>
      </c>
    </row>
    <row r="3" spans="1:5" ht="16" x14ac:dyDescent="0.2">
      <c r="A3" s="5" t="s">
        <v>15</v>
      </c>
      <c r="B3" s="6" t="s">
        <v>340</v>
      </c>
      <c r="C3" s="5" t="s">
        <v>407</v>
      </c>
      <c r="D3" s="7" t="s">
        <v>405</v>
      </c>
      <c r="E3" s="7" t="s">
        <v>408</v>
      </c>
    </row>
    <row r="4" spans="1:5" ht="16" x14ac:dyDescent="0.2">
      <c r="A4" s="5" t="s">
        <v>16</v>
      </c>
      <c r="B4" s="6" t="s">
        <v>339</v>
      </c>
      <c r="C4" s="5" t="s">
        <v>404</v>
      </c>
      <c r="D4" s="7" t="s">
        <v>409</v>
      </c>
      <c r="E4" s="7" t="s">
        <v>406</v>
      </c>
    </row>
    <row r="5" spans="1:5" ht="16" x14ac:dyDescent="0.2">
      <c r="A5" s="5" t="s">
        <v>17</v>
      </c>
      <c r="B5" s="6" t="s">
        <v>340</v>
      </c>
      <c r="C5" s="5" t="s">
        <v>407</v>
      </c>
      <c r="D5" s="7" t="s">
        <v>409</v>
      </c>
      <c r="E5" s="7" t="s">
        <v>408</v>
      </c>
    </row>
    <row r="6" spans="1:5" ht="16" x14ac:dyDescent="0.2">
      <c r="A6" s="5" t="s">
        <v>217</v>
      </c>
      <c r="B6" s="6" t="s">
        <v>342</v>
      </c>
      <c r="C6" s="5" t="s">
        <v>404</v>
      </c>
      <c r="D6" s="7" t="s">
        <v>405</v>
      </c>
      <c r="E6" s="7" t="s">
        <v>408</v>
      </c>
    </row>
    <row r="7" spans="1:5" ht="16" x14ac:dyDescent="0.2">
      <c r="A7" s="5" t="s">
        <v>18</v>
      </c>
      <c r="B7" s="6" t="s">
        <v>340</v>
      </c>
      <c r="C7" s="5" t="s">
        <v>407</v>
      </c>
      <c r="D7" s="7" t="s">
        <v>410</v>
      </c>
      <c r="E7" s="7" t="s">
        <v>408</v>
      </c>
    </row>
    <row r="8" spans="1:5" ht="16" x14ac:dyDescent="0.2">
      <c r="A8" s="5" t="s">
        <v>19</v>
      </c>
      <c r="B8" s="6" t="s">
        <v>80</v>
      </c>
      <c r="C8" s="5" t="s">
        <v>404</v>
      </c>
      <c r="D8" s="7" t="s">
        <v>409</v>
      </c>
      <c r="E8" s="7" t="s">
        <v>408</v>
      </c>
    </row>
    <row r="9" spans="1:5" ht="16" x14ac:dyDescent="0.2">
      <c r="A9" s="5" t="s">
        <v>21</v>
      </c>
      <c r="B9" s="6" t="s">
        <v>342</v>
      </c>
      <c r="C9" s="5" t="s">
        <v>404</v>
      </c>
      <c r="D9" s="7" t="s">
        <v>410</v>
      </c>
      <c r="E9" s="7" t="s">
        <v>408</v>
      </c>
    </row>
    <row r="10" spans="1:5" ht="16" x14ac:dyDescent="0.2">
      <c r="A10" s="5" t="s">
        <v>22</v>
      </c>
      <c r="B10" s="6" t="s">
        <v>333</v>
      </c>
      <c r="C10" s="5" t="s">
        <v>407</v>
      </c>
      <c r="D10" s="7" t="s">
        <v>405</v>
      </c>
      <c r="E10" s="7" t="s">
        <v>408</v>
      </c>
    </row>
    <row r="11" spans="1:5" ht="16" x14ac:dyDescent="0.2">
      <c r="A11" s="5" t="s">
        <v>23</v>
      </c>
      <c r="B11" s="6" t="s">
        <v>99</v>
      </c>
      <c r="C11" s="5" t="s">
        <v>407</v>
      </c>
      <c r="D11" s="7" t="s">
        <v>409</v>
      </c>
      <c r="E11" s="7" t="s">
        <v>408</v>
      </c>
    </row>
    <row r="12" spans="1:5" ht="16" x14ac:dyDescent="0.2">
      <c r="A12" s="5" t="s">
        <v>24</v>
      </c>
      <c r="B12" s="6" t="s">
        <v>342</v>
      </c>
      <c r="C12" s="5" t="s">
        <v>407</v>
      </c>
      <c r="D12" s="7" t="s">
        <v>410</v>
      </c>
      <c r="E12" s="7" t="s">
        <v>408</v>
      </c>
    </row>
    <row r="13" spans="1:5" ht="16" x14ac:dyDescent="0.2">
      <c r="A13" s="5" t="s">
        <v>222</v>
      </c>
      <c r="B13" s="6" t="s">
        <v>340</v>
      </c>
      <c r="C13" s="5" t="s">
        <v>407</v>
      </c>
      <c r="D13" s="7" t="s">
        <v>405</v>
      </c>
      <c r="E13" s="7" t="s">
        <v>406</v>
      </c>
    </row>
    <row r="14" spans="1:5" ht="16" x14ac:dyDescent="0.2">
      <c r="A14" s="5" t="s">
        <v>26</v>
      </c>
      <c r="B14" s="6" t="s">
        <v>340</v>
      </c>
      <c r="C14" s="5" t="s">
        <v>407</v>
      </c>
      <c r="D14" s="7" t="s">
        <v>410</v>
      </c>
      <c r="E14" s="7" t="s">
        <v>406</v>
      </c>
    </row>
    <row r="15" spans="1:5" ht="16" x14ac:dyDescent="0.2">
      <c r="A15" s="5" t="s">
        <v>27</v>
      </c>
      <c r="B15" s="6" t="s">
        <v>99</v>
      </c>
      <c r="C15" s="5" t="s">
        <v>407</v>
      </c>
      <c r="D15" s="7" t="s">
        <v>409</v>
      </c>
      <c r="E15" s="7" t="s">
        <v>406</v>
      </c>
    </row>
    <row r="16" spans="1:5" ht="16" x14ac:dyDescent="0.2">
      <c r="A16" s="5" t="s">
        <v>29</v>
      </c>
      <c r="B16" s="6" t="s">
        <v>342</v>
      </c>
      <c r="C16" s="5" t="s">
        <v>404</v>
      </c>
      <c r="D16" s="7" t="s">
        <v>410</v>
      </c>
      <c r="E16" s="7" t="s">
        <v>408</v>
      </c>
    </row>
    <row r="17" spans="1:5" ht="16" x14ac:dyDescent="0.2">
      <c r="A17" s="5" t="s">
        <v>30</v>
      </c>
      <c r="B17" s="6" t="s">
        <v>340</v>
      </c>
      <c r="C17" s="5" t="s">
        <v>407</v>
      </c>
      <c r="D17" s="7" t="s">
        <v>410</v>
      </c>
      <c r="E17" s="7" t="s">
        <v>406</v>
      </c>
    </row>
    <row r="18" spans="1:5" ht="16" x14ac:dyDescent="0.2">
      <c r="A18" s="5" t="s">
        <v>31</v>
      </c>
      <c r="B18" s="6" t="s">
        <v>342</v>
      </c>
      <c r="C18" s="5" t="s">
        <v>404</v>
      </c>
      <c r="D18" s="7" t="s">
        <v>409</v>
      </c>
      <c r="E18" s="7" t="s">
        <v>406</v>
      </c>
    </row>
    <row r="19" spans="1:5" ht="16" x14ac:dyDescent="0.2">
      <c r="A19" s="5" t="s">
        <v>33</v>
      </c>
      <c r="B19" s="6" t="s">
        <v>80</v>
      </c>
      <c r="C19" s="5" t="s">
        <v>407</v>
      </c>
      <c r="D19" s="7" t="s">
        <v>409</v>
      </c>
      <c r="E19" s="7" t="s">
        <v>408</v>
      </c>
    </row>
    <row r="20" spans="1:5" ht="16" x14ac:dyDescent="0.2">
      <c r="A20" s="5" t="s">
        <v>35</v>
      </c>
      <c r="B20" s="6" t="s">
        <v>333</v>
      </c>
      <c r="C20" s="5" t="s">
        <v>404</v>
      </c>
      <c r="D20" s="7" t="s">
        <v>405</v>
      </c>
      <c r="E20" s="7" t="s">
        <v>406</v>
      </c>
    </row>
    <row r="21" spans="1:5" ht="16" x14ac:dyDescent="0.2">
      <c r="A21" s="5" t="s">
        <v>36</v>
      </c>
      <c r="B21" s="6" t="s">
        <v>99</v>
      </c>
      <c r="C21" s="5" t="s">
        <v>407</v>
      </c>
      <c r="D21" s="7" t="s">
        <v>409</v>
      </c>
      <c r="E21" s="7" t="s">
        <v>411</v>
      </c>
    </row>
    <row r="22" spans="1:5" ht="16" x14ac:dyDescent="0.2">
      <c r="A22" s="5" t="s">
        <v>231</v>
      </c>
      <c r="B22" s="6" t="s">
        <v>333</v>
      </c>
      <c r="C22" s="5" t="s">
        <v>407</v>
      </c>
      <c r="D22" s="7" t="s">
        <v>405</v>
      </c>
      <c r="E22" s="7" t="s">
        <v>406</v>
      </c>
    </row>
    <row r="23" spans="1:5" ht="16" x14ac:dyDescent="0.2">
      <c r="A23" s="5" t="s">
        <v>233</v>
      </c>
      <c r="B23" s="6" t="s">
        <v>333</v>
      </c>
      <c r="C23" s="5" t="s">
        <v>407</v>
      </c>
      <c r="D23" s="7" t="s">
        <v>405</v>
      </c>
      <c r="E23" s="7" t="s">
        <v>406</v>
      </c>
    </row>
    <row r="24" spans="1:5" ht="16" x14ac:dyDescent="0.2">
      <c r="A24" s="5" t="s">
        <v>38</v>
      </c>
      <c r="B24" s="6" t="s">
        <v>333</v>
      </c>
      <c r="C24" s="5" t="s">
        <v>404</v>
      </c>
      <c r="D24" s="7" t="s">
        <v>405</v>
      </c>
      <c r="E24" s="7" t="s">
        <v>408</v>
      </c>
    </row>
    <row r="25" spans="1:5" ht="16" x14ac:dyDescent="0.2">
      <c r="A25" s="5" t="s">
        <v>40</v>
      </c>
      <c r="B25" s="6" t="s">
        <v>333</v>
      </c>
      <c r="C25" s="5" t="s">
        <v>407</v>
      </c>
      <c r="D25" s="7" t="s">
        <v>405</v>
      </c>
      <c r="E25" s="7" t="s">
        <v>406</v>
      </c>
    </row>
    <row r="26" spans="1:5" ht="16" x14ac:dyDescent="0.2">
      <c r="A26" s="5" t="s">
        <v>39</v>
      </c>
      <c r="B26" s="6" t="s">
        <v>99</v>
      </c>
      <c r="C26" s="5" t="s">
        <v>404</v>
      </c>
      <c r="D26" s="7" t="s">
        <v>409</v>
      </c>
      <c r="E26" s="7" t="s">
        <v>406</v>
      </c>
    </row>
    <row r="27" spans="1:5" ht="16" x14ac:dyDescent="0.2">
      <c r="A27" s="5" t="s">
        <v>41</v>
      </c>
      <c r="B27" s="6" t="s">
        <v>99</v>
      </c>
      <c r="C27" s="5" t="s">
        <v>407</v>
      </c>
      <c r="D27" s="7" t="s">
        <v>409</v>
      </c>
      <c r="E27" s="7" t="s">
        <v>406</v>
      </c>
    </row>
    <row r="28" spans="1:5" ht="16" x14ac:dyDescent="0.2">
      <c r="A28" s="5" t="s">
        <v>42</v>
      </c>
      <c r="B28" s="6" t="s">
        <v>339</v>
      </c>
      <c r="C28" s="5" t="s">
        <v>404</v>
      </c>
      <c r="D28" s="7" t="s">
        <v>409</v>
      </c>
      <c r="E28" s="7" t="s">
        <v>408</v>
      </c>
    </row>
    <row r="29" spans="1:5" ht="16" x14ac:dyDescent="0.2">
      <c r="A29" s="5" t="s">
        <v>235</v>
      </c>
      <c r="B29" s="6" t="s">
        <v>80</v>
      </c>
      <c r="C29" s="5" t="s">
        <v>414</v>
      </c>
      <c r="D29" s="7" t="s">
        <v>405</v>
      </c>
      <c r="E29" s="7" t="s">
        <v>408</v>
      </c>
    </row>
    <row r="30" spans="1:5" ht="16" x14ac:dyDescent="0.2">
      <c r="A30" s="5" t="s">
        <v>45</v>
      </c>
      <c r="B30" s="6" t="s">
        <v>342</v>
      </c>
      <c r="C30" s="5" t="s">
        <v>404</v>
      </c>
      <c r="D30" s="7" t="s">
        <v>410</v>
      </c>
      <c r="E30" s="7" t="s">
        <v>408</v>
      </c>
    </row>
    <row r="31" spans="1:5" ht="16" x14ac:dyDescent="0.2">
      <c r="A31" s="5" t="s">
        <v>46</v>
      </c>
      <c r="B31" s="6" t="s">
        <v>340</v>
      </c>
      <c r="C31" s="5" t="s">
        <v>407</v>
      </c>
      <c r="D31" s="7" t="s">
        <v>410</v>
      </c>
      <c r="E31" s="7" t="s">
        <v>408</v>
      </c>
    </row>
    <row r="32" spans="1:5" ht="16" x14ac:dyDescent="0.2">
      <c r="A32" s="5" t="s">
        <v>236</v>
      </c>
      <c r="B32" s="6" t="s">
        <v>342</v>
      </c>
      <c r="C32" s="5" t="s">
        <v>412</v>
      </c>
      <c r="D32" s="7" t="s">
        <v>405</v>
      </c>
      <c r="E32" s="7" t="s">
        <v>408</v>
      </c>
    </row>
    <row r="33" spans="1:5" ht="16" x14ac:dyDescent="0.2">
      <c r="A33" s="5" t="s">
        <v>238</v>
      </c>
      <c r="B33" s="6" t="s">
        <v>339</v>
      </c>
      <c r="C33" s="5" t="s">
        <v>407</v>
      </c>
      <c r="D33" s="7" t="s">
        <v>405</v>
      </c>
      <c r="E33" s="7" t="s">
        <v>408</v>
      </c>
    </row>
    <row r="34" spans="1:5" x14ac:dyDescent="0.2">
      <c r="A34" s="5" t="s">
        <v>239</v>
      </c>
      <c r="B34" s="8" t="s">
        <v>339</v>
      </c>
      <c r="C34" s="7" t="s">
        <v>407</v>
      </c>
      <c r="D34" s="7" t="s">
        <v>405</v>
      </c>
      <c r="E34" s="7" t="s">
        <v>406</v>
      </c>
    </row>
    <row r="35" spans="1:5" x14ac:dyDescent="0.2">
      <c r="A35" s="5" t="s">
        <v>48</v>
      </c>
      <c r="B35" s="8" t="s">
        <v>333</v>
      </c>
      <c r="C35" s="7" t="s">
        <v>407</v>
      </c>
      <c r="D35" s="7" t="s">
        <v>405</v>
      </c>
      <c r="E35" s="7" t="s">
        <v>406</v>
      </c>
    </row>
    <row r="36" spans="1:5" ht="16" x14ac:dyDescent="0.2">
      <c r="A36" s="5" t="s">
        <v>49</v>
      </c>
      <c r="B36" s="6" t="s">
        <v>340</v>
      </c>
      <c r="C36" s="5" t="s">
        <v>407</v>
      </c>
      <c r="D36" s="7" t="s">
        <v>405</v>
      </c>
      <c r="E36" s="7" t="s">
        <v>406</v>
      </c>
    </row>
    <row r="37" spans="1:5" ht="16" x14ac:dyDescent="0.2">
      <c r="A37" s="5" t="s">
        <v>50</v>
      </c>
      <c r="B37" s="6" t="s">
        <v>342</v>
      </c>
      <c r="C37" s="5" t="s">
        <v>404</v>
      </c>
      <c r="D37" s="7" t="s">
        <v>409</v>
      </c>
      <c r="E37" s="7" t="s">
        <v>408</v>
      </c>
    </row>
    <row r="38" spans="1:5" ht="16" x14ac:dyDescent="0.2">
      <c r="A38" s="5" t="s">
        <v>51</v>
      </c>
      <c r="B38" s="6" t="s">
        <v>333</v>
      </c>
      <c r="C38" s="5" t="s">
        <v>404</v>
      </c>
      <c r="D38" s="7" t="s">
        <v>409</v>
      </c>
      <c r="E38" s="7" t="s">
        <v>406</v>
      </c>
    </row>
    <row r="39" spans="1:5" ht="16" x14ac:dyDescent="0.2">
      <c r="A39" s="5" t="s">
        <v>53</v>
      </c>
      <c r="B39" s="6" t="s">
        <v>342</v>
      </c>
      <c r="C39" s="5" t="s">
        <v>407</v>
      </c>
      <c r="D39" s="7" t="s">
        <v>405</v>
      </c>
      <c r="E39" s="7" t="s">
        <v>406</v>
      </c>
    </row>
    <row r="40" spans="1:5" ht="16" x14ac:dyDescent="0.2">
      <c r="A40" s="5" t="s">
        <v>52</v>
      </c>
      <c r="B40" s="6" t="s">
        <v>99</v>
      </c>
      <c r="C40" s="5" t="s">
        <v>407</v>
      </c>
      <c r="D40" s="7" t="s">
        <v>409</v>
      </c>
      <c r="E40" s="7" t="s">
        <v>406</v>
      </c>
    </row>
    <row r="41" spans="1:5" ht="16" x14ac:dyDescent="0.2">
      <c r="A41" s="5" t="s">
        <v>54</v>
      </c>
      <c r="B41" s="9" t="s">
        <v>99</v>
      </c>
      <c r="C41" s="5" t="s">
        <v>407</v>
      </c>
      <c r="D41" s="7" t="s">
        <v>409</v>
      </c>
      <c r="E41" s="7" t="s">
        <v>408</v>
      </c>
    </row>
    <row r="42" spans="1:5" ht="16" x14ac:dyDescent="0.2">
      <c r="A42" s="5" t="s">
        <v>55</v>
      </c>
      <c r="B42" s="9" t="s">
        <v>339</v>
      </c>
      <c r="C42" s="5" t="s">
        <v>404</v>
      </c>
      <c r="D42" s="7" t="s">
        <v>409</v>
      </c>
      <c r="E42" s="7" t="s">
        <v>408</v>
      </c>
    </row>
    <row r="43" spans="1:5" ht="16" x14ac:dyDescent="0.2">
      <c r="A43" s="5" t="s">
        <v>56</v>
      </c>
      <c r="B43" s="9" t="s">
        <v>339</v>
      </c>
      <c r="C43" s="5" t="s">
        <v>407</v>
      </c>
      <c r="D43" s="7" t="s">
        <v>405</v>
      </c>
      <c r="E43" s="7" t="s">
        <v>406</v>
      </c>
    </row>
    <row r="44" spans="1:5" ht="16" x14ac:dyDescent="0.2">
      <c r="A44" s="5" t="s">
        <v>245</v>
      </c>
      <c r="B44" s="9" t="s">
        <v>339</v>
      </c>
      <c r="C44" s="5" t="s">
        <v>407</v>
      </c>
      <c r="D44" s="7" t="s">
        <v>405</v>
      </c>
      <c r="E44" s="7" t="s">
        <v>406</v>
      </c>
    </row>
    <row r="45" spans="1:5" ht="16" x14ac:dyDescent="0.2">
      <c r="A45" s="5" t="s">
        <v>57</v>
      </c>
      <c r="B45" s="9" t="s">
        <v>340</v>
      </c>
      <c r="C45" s="5" t="s">
        <v>407</v>
      </c>
      <c r="D45" s="7" t="s">
        <v>405</v>
      </c>
      <c r="E45" s="7" t="s">
        <v>408</v>
      </c>
    </row>
    <row r="46" spans="1:5" ht="16" x14ac:dyDescent="0.2">
      <c r="A46" s="5" t="s">
        <v>249</v>
      </c>
      <c r="B46" s="6" t="s">
        <v>333</v>
      </c>
      <c r="C46" s="5" t="s">
        <v>404</v>
      </c>
      <c r="D46" s="7" t="s">
        <v>405</v>
      </c>
      <c r="E46" s="7" t="s">
        <v>406</v>
      </c>
    </row>
    <row r="47" spans="1:5" ht="16" x14ac:dyDescent="0.2">
      <c r="A47" s="5" t="s">
        <v>250</v>
      </c>
      <c r="B47" s="6" t="s">
        <v>333</v>
      </c>
      <c r="C47" s="5" t="s">
        <v>407</v>
      </c>
      <c r="D47" s="7" t="s">
        <v>405</v>
      </c>
      <c r="E47" s="7" t="s">
        <v>406</v>
      </c>
    </row>
    <row r="48" spans="1:5" ht="16" x14ac:dyDescent="0.2">
      <c r="A48" s="5" t="s">
        <v>58</v>
      </c>
      <c r="B48" s="6" t="s">
        <v>99</v>
      </c>
      <c r="C48" s="5" t="s">
        <v>407</v>
      </c>
      <c r="D48" s="7" t="s">
        <v>409</v>
      </c>
      <c r="E48" s="7" t="s">
        <v>406</v>
      </c>
    </row>
    <row r="49" spans="1:5" ht="16" x14ac:dyDescent="0.2">
      <c r="A49" s="5" t="s">
        <v>60</v>
      </c>
      <c r="B49" s="6" t="s">
        <v>342</v>
      </c>
      <c r="C49" s="5" t="s">
        <v>404</v>
      </c>
      <c r="D49" s="7" t="s">
        <v>405</v>
      </c>
      <c r="E49" s="7" t="s">
        <v>406</v>
      </c>
    </row>
    <row r="50" spans="1:5" ht="16" x14ac:dyDescent="0.2">
      <c r="A50" s="5" t="s">
        <v>59</v>
      </c>
      <c r="B50" s="6" t="s">
        <v>339</v>
      </c>
      <c r="C50" s="5" t="s">
        <v>407</v>
      </c>
      <c r="D50" s="7" t="s">
        <v>410</v>
      </c>
      <c r="E50" s="7" t="s">
        <v>406</v>
      </c>
    </row>
    <row r="51" spans="1:5" ht="16" x14ac:dyDescent="0.2">
      <c r="A51" s="5" t="s">
        <v>61</v>
      </c>
      <c r="B51" s="6" t="s">
        <v>339</v>
      </c>
      <c r="C51" s="5" t="s">
        <v>404</v>
      </c>
      <c r="D51" s="7" t="s">
        <v>405</v>
      </c>
      <c r="E51" s="7" t="s">
        <v>408</v>
      </c>
    </row>
    <row r="52" spans="1:5" ht="16" x14ac:dyDescent="0.2">
      <c r="A52" s="5" t="s">
        <v>252</v>
      </c>
      <c r="B52" s="6" t="s">
        <v>80</v>
      </c>
      <c r="C52" s="5" t="s">
        <v>414</v>
      </c>
      <c r="D52" s="7" t="s">
        <v>405</v>
      </c>
      <c r="E52" s="7" t="s">
        <v>408</v>
      </c>
    </row>
    <row r="53" spans="1:5" ht="16" x14ac:dyDescent="0.2">
      <c r="A53" s="5" t="s">
        <v>63</v>
      </c>
      <c r="B53" s="6" t="s">
        <v>342</v>
      </c>
      <c r="C53" s="5" t="s">
        <v>404</v>
      </c>
      <c r="D53" s="7" t="s">
        <v>405</v>
      </c>
      <c r="E53" s="7" t="s">
        <v>408</v>
      </c>
    </row>
    <row r="54" spans="1:5" ht="16" x14ac:dyDescent="0.2">
      <c r="A54" s="5" t="s">
        <v>64</v>
      </c>
      <c r="B54" s="6" t="s">
        <v>340</v>
      </c>
      <c r="C54" s="5" t="s">
        <v>407</v>
      </c>
      <c r="D54" s="7" t="s">
        <v>410</v>
      </c>
      <c r="E54" s="7" t="s">
        <v>408</v>
      </c>
    </row>
    <row r="55" spans="1:5" ht="16" x14ac:dyDescent="0.2">
      <c r="A55" s="5" t="s">
        <v>65</v>
      </c>
      <c r="B55" s="6" t="s">
        <v>340</v>
      </c>
      <c r="C55" s="5" t="s">
        <v>407</v>
      </c>
      <c r="D55" s="7" t="s">
        <v>409</v>
      </c>
      <c r="E55" s="7" t="s">
        <v>408</v>
      </c>
    </row>
    <row r="56" spans="1:5" ht="16" x14ac:dyDescent="0.2">
      <c r="A56" s="5" t="s">
        <v>254</v>
      </c>
      <c r="B56" s="6" t="s">
        <v>333</v>
      </c>
      <c r="C56" s="5" t="s">
        <v>407</v>
      </c>
      <c r="D56" s="7" t="s">
        <v>405</v>
      </c>
      <c r="E56" s="7" t="s">
        <v>406</v>
      </c>
    </row>
    <row r="57" spans="1:5" ht="16" x14ac:dyDescent="0.2">
      <c r="A57" s="5" t="s">
        <v>67</v>
      </c>
      <c r="B57" s="6" t="s">
        <v>340</v>
      </c>
      <c r="C57" s="5" t="s">
        <v>407</v>
      </c>
      <c r="D57" s="7" t="s">
        <v>410</v>
      </c>
      <c r="E57" s="7" t="s">
        <v>406</v>
      </c>
    </row>
    <row r="58" spans="1:5" ht="16" x14ac:dyDescent="0.2">
      <c r="A58" s="5" t="s">
        <v>68</v>
      </c>
      <c r="B58" s="6" t="s">
        <v>340</v>
      </c>
      <c r="C58" s="5" t="s">
        <v>407</v>
      </c>
      <c r="D58" s="7" t="s">
        <v>405</v>
      </c>
      <c r="E58" s="7" t="s">
        <v>408</v>
      </c>
    </row>
    <row r="59" spans="1:5" ht="16" x14ac:dyDescent="0.2">
      <c r="A59" s="5" t="s">
        <v>69</v>
      </c>
      <c r="B59" s="6" t="s">
        <v>339</v>
      </c>
      <c r="C59" s="5" t="s">
        <v>404</v>
      </c>
      <c r="D59" s="7" t="s">
        <v>405</v>
      </c>
      <c r="E59" s="7" t="s">
        <v>406</v>
      </c>
    </row>
    <row r="60" spans="1:5" ht="16" x14ac:dyDescent="0.2">
      <c r="A60" s="5" t="s">
        <v>70</v>
      </c>
      <c r="B60" s="6" t="s">
        <v>339</v>
      </c>
      <c r="C60" s="5" t="s">
        <v>407</v>
      </c>
      <c r="D60" s="7" t="s">
        <v>410</v>
      </c>
      <c r="E60" s="7" t="s">
        <v>408</v>
      </c>
    </row>
    <row r="61" spans="1:5" ht="16" x14ac:dyDescent="0.2">
      <c r="A61" s="5" t="s">
        <v>71</v>
      </c>
      <c r="B61" s="6" t="s">
        <v>340</v>
      </c>
      <c r="C61" s="5" t="s">
        <v>407</v>
      </c>
      <c r="D61" s="7" t="s">
        <v>409</v>
      </c>
      <c r="E61" s="7" t="s">
        <v>406</v>
      </c>
    </row>
    <row r="62" spans="1:5" ht="16" x14ac:dyDescent="0.2">
      <c r="A62" s="5" t="s">
        <v>258</v>
      </c>
      <c r="B62" s="6" t="s">
        <v>342</v>
      </c>
      <c r="C62" s="5" t="s">
        <v>404</v>
      </c>
      <c r="D62" s="7" t="s">
        <v>405</v>
      </c>
      <c r="E62" s="7" t="s">
        <v>408</v>
      </c>
    </row>
    <row r="63" spans="1:5" ht="16" x14ac:dyDescent="0.2">
      <c r="A63" s="5" t="s">
        <v>259</v>
      </c>
      <c r="B63" s="6" t="s">
        <v>333</v>
      </c>
      <c r="C63" s="5" t="s">
        <v>407</v>
      </c>
      <c r="D63" s="7" t="s">
        <v>405</v>
      </c>
      <c r="E63" s="7" t="s">
        <v>411</v>
      </c>
    </row>
    <row r="64" spans="1:5" ht="16" x14ac:dyDescent="0.2">
      <c r="A64" s="5" t="s">
        <v>72</v>
      </c>
      <c r="B64" s="6" t="s">
        <v>333</v>
      </c>
      <c r="C64" s="5" t="s">
        <v>404</v>
      </c>
      <c r="D64" s="7" t="s">
        <v>409</v>
      </c>
      <c r="E64" s="7" t="s">
        <v>408</v>
      </c>
    </row>
    <row r="65" spans="1:5" ht="16" x14ac:dyDescent="0.2">
      <c r="A65" s="5" t="s">
        <v>261</v>
      </c>
      <c r="B65" s="6" t="s">
        <v>342</v>
      </c>
      <c r="C65" s="5" t="s">
        <v>412</v>
      </c>
      <c r="D65" s="7" t="s">
        <v>405</v>
      </c>
      <c r="E65" s="7" t="s">
        <v>408</v>
      </c>
    </row>
    <row r="66" spans="1:5" ht="16" x14ac:dyDescent="0.2">
      <c r="A66" s="5" t="s">
        <v>73</v>
      </c>
      <c r="B66" s="6" t="s">
        <v>80</v>
      </c>
      <c r="C66" s="5" t="s">
        <v>404</v>
      </c>
      <c r="D66" s="7" t="s">
        <v>405</v>
      </c>
      <c r="E66" s="7" t="s">
        <v>406</v>
      </c>
    </row>
    <row r="67" spans="1:5" ht="16" x14ac:dyDescent="0.2">
      <c r="A67" s="5" t="s">
        <v>263</v>
      </c>
      <c r="B67" s="6" t="s">
        <v>333</v>
      </c>
      <c r="C67" s="5" t="s">
        <v>407</v>
      </c>
      <c r="D67" s="7" t="s">
        <v>405</v>
      </c>
      <c r="E67" s="7" t="s">
        <v>406</v>
      </c>
    </row>
    <row r="68" spans="1:5" ht="16" x14ac:dyDescent="0.2">
      <c r="A68" s="5" t="s">
        <v>74</v>
      </c>
      <c r="B68" s="6" t="s">
        <v>339</v>
      </c>
      <c r="C68" s="5" t="s">
        <v>404</v>
      </c>
      <c r="D68" s="7" t="s">
        <v>410</v>
      </c>
      <c r="E68" s="7" t="s">
        <v>408</v>
      </c>
    </row>
    <row r="69" spans="1:5" ht="16" x14ac:dyDescent="0.2">
      <c r="A69" s="5" t="s">
        <v>75</v>
      </c>
      <c r="B69" s="6" t="s">
        <v>80</v>
      </c>
      <c r="C69" s="5" t="s">
        <v>407</v>
      </c>
      <c r="D69" s="7" t="s">
        <v>405</v>
      </c>
      <c r="E69" s="7" t="s">
        <v>406</v>
      </c>
    </row>
    <row r="70" spans="1:5" ht="16" x14ac:dyDescent="0.2">
      <c r="A70" s="5" t="s">
        <v>265</v>
      </c>
      <c r="B70" s="6" t="s">
        <v>342</v>
      </c>
      <c r="C70" s="5" t="s">
        <v>404</v>
      </c>
      <c r="D70" s="7" t="s">
        <v>405</v>
      </c>
      <c r="E70" s="7" t="s">
        <v>408</v>
      </c>
    </row>
    <row r="71" spans="1:5" ht="16" x14ac:dyDescent="0.2">
      <c r="A71" s="5" t="s">
        <v>77</v>
      </c>
      <c r="B71" s="6" t="s">
        <v>340</v>
      </c>
      <c r="C71" s="5" t="s">
        <v>407</v>
      </c>
      <c r="D71" s="7" t="s">
        <v>410</v>
      </c>
      <c r="E71" s="7" t="s">
        <v>408</v>
      </c>
    </row>
    <row r="72" spans="1:5" ht="16" x14ac:dyDescent="0.2">
      <c r="A72" s="5" t="s">
        <v>78</v>
      </c>
      <c r="B72" s="6" t="s">
        <v>80</v>
      </c>
      <c r="C72" s="5" t="s">
        <v>404</v>
      </c>
      <c r="D72" s="7" t="s">
        <v>410</v>
      </c>
      <c r="E72" s="7" t="s">
        <v>406</v>
      </c>
    </row>
    <row r="73" spans="1:5" ht="16" x14ac:dyDescent="0.2">
      <c r="A73" s="5" t="s">
        <v>79</v>
      </c>
      <c r="B73" s="6" t="s">
        <v>340</v>
      </c>
      <c r="C73" s="5" t="s">
        <v>407</v>
      </c>
      <c r="D73" s="7" t="s">
        <v>409</v>
      </c>
      <c r="E73" s="7" t="s">
        <v>408</v>
      </c>
    </row>
    <row r="74" spans="1:5" ht="16" x14ac:dyDescent="0.2">
      <c r="A74" s="5" t="s">
        <v>81</v>
      </c>
      <c r="B74" s="6" t="s">
        <v>340</v>
      </c>
      <c r="C74" s="5" t="s">
        <v>407</v>
      </c>
      <c r="D74" s="7" t="s">
        <v>410</v>
      </c>
      <c r="E74" s="7" t="s">
        <v>408</v>
      </c>
    </row>
    <row r="75" spans="1:5" ht="16" x14ac:dyDescent="0.2">
      <c r="A75" s="5" t="s">
        <v>268</v>
      </c>
      <c r="B75" s="6" t="s">
        <v>342</v>
      </c>
      <c r="C75" s="5" t="s">
        <v>413</v>
      </c>
      <c r="D75" s="7" t="s">
        <v>405</v>
      </c>
      <c r="E75" s="7" t="s">
        <v>408</v>
      </c>
    </row>
    <row r="76" spans="1:5" ht="16" x14ac:dyDescent="0.2">
      <c r="A76" s="5" t="s">
        <v>82</v>
      </c>
      <c r="B76" s="6" t="s">
        <v>99</v>
      </c>
      <c r="C76" s="5" t="s">
        <v>404</v>
      </c>
      <c r="D76" s="7" t="s">
        <v>409</v>
      </c>
      <c r="E76" s="7" t="s">
        <v>408</v>
      </c>
    </row>
    <row r="77" spans="1:5" x14ac:dyDescent="0.2">
      <c r="A77" s="5" t="s">
        <v>84</v>
      </c>
      <c r="B77" s="8" t="s">
        <v>342</v>
      </c>
      <c r="C77" s="7" t="s">
        <v>407</v>
      </c>
      <c r="D77" s="7" t="s">
        <v>405</v>
      </c>
      <c r="E77" s="7" t="s">
        <v>408</v>
      </c>
    </row>
    <row r="78" spans="1:5" ht="16" x14ac:dyDescent="0.2">
      <c r="A78" s="5" t="s">
        <v>83</v>
      </c>
      <c r="B78" s="6" t="s">
        <v>99</v>
      </c>
      <c r="C78" s="5" t="s">
        <v>407</v>
      </c>
      <c r="D78" s="7" t="s">
        <v>409</v>
      </c>
      <c r="E78" s="7" t="s">
        <v>408</v>
      </c>
    </row>
    <row r="79" spans="1:5" ht="16" x14ac:dyDescent="0.2">
      <c r="A79" s="5" t="s">
        <v>85</v>
      </c>
      <c r="B79" s="6" t="s">
        <v>340</v>
      </c>
      <c r="C79" s="5" t="s">
        <v>407</v>
      </c>
      <c r="D79" s="7" t="s">
        <v>409</v>
      </c>
      <c r="E79" s="7" t="s">
        <v>408</v>
      </c>
    </row>
    <row r="80" spans="1:5" ht="16" x14ac:dyDescent="0.2">
      <c r="A80" s="5" t="s">
        <v>87</v>
      </c>
      <c r="B80" s="6" t="s">
        <v>339</v>
      </c>
      <c r="C80" s="5" t="s">
        <v>404</v>
      </c>
      <c r="D80" s="7" t="s">
        <v>405</v>
      </c>
      <c r="E80" s="7" t="s">
        <v>408</v>
      </c>
    </row>
    <row r="81" spans="1:5" ht="16" x14ac:dyDescent="0.2">
      <c r="A81" s="5" t="s">
        <v>88</v>
      </c>
      <c r="B81" s="6" t="s">
        <v>340</v>
      </c>
      <c r="C81" s="5" t="s">
        <v>407</v>
      </c>
      <c r="D81" s="7" t="s">
        <v>410</v>
      </c>
      <c r="E81" s="7" t="s">
        <v>406</v>
      </c>
    </row>
    <row r="82" spans="1:5" ht="16" x14ac:dyDescent="0.2">
      <c r="A82" s="5" t="s">
        <v>272</v>
      </c>
      <c r="B82" s="6" t="s">
        <v>340</v>
      </c>
      <c r="C82" s="5" t="s">
        <v>412</v>
      </c>
      <c r="D82" s="7" t="s">
        <v>405</v>
      </c>
      <c r="E82" s="7" t="s">
        <v>406</v>
      </c>
    </row>
    <row r="83" spans="1:5" ht="16" x14ac:dyDescent="0.2">
      <c r="A83" s="5" t="s">
        <v>90</v>
      </c>
      <c r="B83" s="6" t="s">
        <v>339</v>
      </c>
      <c r="C83" s="5" t="s">
        <v>404</v>
      </c>
      <c r="D83" s="7" t="s">
        <v>405</v>
      </c>
      <c r="E83" s="7" t="s">
        <v>406</v>
      </c>
    </row>
    <row r="84" spans="1:5" ht="16" x14ac:dyDescent="0.2">
      <c r="A84" s="5" t="s">
        <v>92</v>
      </c>
      <c r="B84" s="6" t="s">
        <v>340</v>
      </c>
      <c r="C84" s="5" t="s">
        <v>407</v>
      </c>
      <c r="D84" s="7" t="s">
        <v>409</v>
      </c>
      <c r="E84" s="7" t="s">
        <v>406</v>
      </c>
    </row>
    <row r="85" spans="1:5" ht="16" x14ac:dyDescent="0.2">
      <c r="A85" s="5" t="s">
        <v>93</v>
      </c>
      <c r="B85" s="6" t="s">
        <v>340</v>
      </c>
      <c r="C85" s="5" t="s">
        <v>407</v>
      </c>
      <c r="D85" s="7" t="s">
        <v>405</v>
      </c>
      <c r="E85" s="7" t="s">
        <v>406</v>
      </c>
    </row>
    <row r="86" spans="1:5" ht="16" x14ac:dyDescent="0.2">
      <c r="A86" s="5" t="s">
        <v>95</v>
      </c>
      <c r="B86" s="6" t="s">
        <v>342</v>
      </c>
      <c r="C86" s="5" t="s">
        <v>407</v>
      </c>
      <c r="D86" s="7" t="s">
        <v>405</v>
      </c>
      <c r="E86" s="7" t="s">
        <v>406</v>
      </c>
    </row>
    <row r="87" spans="1:5" ht="16" x14ac:dyDescent="0.2">
      <c r="A87" s="5" t="s">
        <v>94</v>
      </c>
      <c r="B87" s="6" t="s">
        <v>99</v>
      </c>
      <c r="C87" s="5" t="s">
        <v>407</v>
      </c>
      <c r="D87" s="7" t="s">
        <v>409</v>
      </c>
      <c r="E87" s="7" t="s">
        <v>406</v>
      </c>
    </row>
    <row r="88" spans="1:5" ht="16" x14ac:dyDescent="0.2">
      <c r="A88" s="5" t="s">
        <v>274</v>
      </c>
      <c r="B88" s="6" t="s">
        <v>339</v>
      </c>
      <c r="C88" s="5" t="s">
        <v>414</v>
      </c>
      <c r="D88" s="7" t="s">
        <v>405</v>
      </c>
      <c r="E88" s="7" t="s">
        <v>408</v>
      </c>
    </row>
    <row r="89" spans="1:5" ht="16" x14ac:dyDescent="0.2">
      <c r="A89" s="5" t="s">
        <v>96</v>
      </c>
      <c r="B89" s="6" t="s">
        <v>342</v>
      </c>
      <c r="C89" s="5" t="s">
        <v>404</v>
      </c>
      <c r="D89" s="7" t="s">
        <v>410</v>
      </c>
      <c r="E89" s="7" t="s">
        <v>408</v>
      </c>
    </row>
    <row r="90" spans="1:5" ht="16" x14ac:dyDescent="0.2">
      <c r="A90" s="5" t="s">
        <v>97</v>
      </c>
      <c r="B90" s="6" t="s">
        <v>342</v>
      </c>
      <c r="C90" s="5" t="s">
        <v>407</v>
      </c>
      <c r="D90" s="7" t="s">
        <v>405</v>
      </c>
      <c r="E90" s="7" t="s">
        <v>406</v>
      </c>
    </row>
    <row r="91" spans="1:5" ht="16" x14ac:dyDescent="0.2">
      <c r="A91" s="5" t="s">
        <v>101</v>
      </c>
      <c r="B91" s="6" t="s">
        <v>342</v>
      </c>
      <c r="C91" s="5" t="s">
        <v>407</v>
      </c>
      <c r="D91" s="7" t="s">
        <v>405</v>
      </c>
      <c r="E91" s="7" t="s">
        <v>408</v>
      </c>
    </row>
    <row r="92" spans="1:5" ht="16" x14ac:dyDescent="0.2">
      <c r="A92" s="5" t="s">
        <v>98</v>
      </c>
      <c r="B92" s="6" t="s">
        <v>339</v>
      </c>
      <c r="C92" s="5" t="s">
        <v>404</v>
      </c>
      <c r="D92" s="7" t="s">
        <v>409</v>
      </c>
      <c r="E92" s="7" t="s">
        <v>408</v>
      </c>
    </row>
    <row r="93" spans="1:5" ht="16" x14ac:dyDescent="0.2">
      <c r="A93" s="5" t="s">
        <v>100</v>
      </c>
      <c r="B93" s="6" t="s">
        <v>333</v>
      </c>
      <c r="C93" s="5" t="s">
        <v>404</v>
      </c>
      <c r="D93" s="7" t="s">
        <v>409</v>
      </c>
      <c r="E93" s="7" t="s">
        <v>408</v>
      </c>
    </row>
    <row r="94" spans="1:5" ht="16" x14ac:dyDescent="0.2">
      <c r="A94" s="5" t="s">
        <v>103</v>
      </c>
      <c r="B94" s="6" t="s">
        <v>342</v>
      </c>
      <c r="C94" s="5" t="s">
        <v>404</v>
      </c>
      <c r="D94" s="7" t="s">
        <v>410</v>
      </c>
      <c r="E94" s="7" t="s">
        <v>406</v>
      </c>
    </row>
    <row r="95" spans="1:5" ht="16" x14ac:dyDescent="0.2">
      <c r="A95" s="5" t="s">
        <v>105</v>
      </c>
      <c r="B95" s="6" t="s">
        <v>333</v>
      </c>
      <c r="C95" s="5" t="s">
        <v>404</v>
      </c>
      <c r="D95" s="7" t="s">
        <v>405</v>
      </c>
      <c r="E95" s="7" t="s">
        <v>406</v>
      </c>
    </row>
    <row r="96" spans="1:5" ht="16" x14ac:dyDescent="0.2">
      <c r="A96" s="5" t="s">
        <v>276</v>
      </c>
      <c r="B96" s="6" t="s">
        <v>340</v>
      </c>
      <c r="C96" s="5" t="s">
        <v>412</v>
      </c>
      <c r="D96" s="7" t="s">
        <v>405</v>
      </c>
      <c r="E96" s="7" t="s">
        <v>406</v>
      </c>
    </row>
    <row r="97" spans="1:5" ht="16" x14ac:dyDescent="0.2">
      <c r="A97" s="5" t="s">
        <v>278</v>
      </c>
      <c r="B97" s="6" t="s">
        <v>80</v>
      </c>
      <c r="C97" s="5" t="s">
        <v>412</v>
      </c>
      <c r="D97" s="7" t="s">
        <v>405</v>
      </c>
      <c r="E97" s="7" t="s">
        <v>406</v>
      </c>
    </row>
    <row r="98" spans="1:5" ht="16" x14ac:dyDescent="0.2">
      <c r="A98" s="5" t="s">
        <v>107</v>
      </c>
      <c r="B98" s="6" t="s">
        <v>340</v>
      </c>
      <c r="C98" s="5" t="s">
        <v>407</v>
      </c>
      <c r="D98" s="7" t="s">
        <v>410</v>
      </c>
      <c r="E98" s="7" t="s">
        <v>406</v>
      </c>
    </row>
    <row r="99" spans="1:5" ht="16" x14ac:dyDescent="0.2">
      <c r="A99" s="5" t="s">
        <v>108</v>
      </c>
      <c r="B99" s="6" t="s">
        <v>80</v>
      </c>
      <c r="C99" s="5" t="s">
        <v>407</v>
      </c>
      <c r="D99" s="7" t="s">
        <v>405</v>
      </c>
      <c r="E99" s="7" t="s">
        <v>406</v>
      </c>
    </row>
    <row r="100" spans="1:5" ht="16" x14ac:dyDescent="0.2">
      <c r="A100" s="5" t="s">
        <v>111</v>
      </c>
      <c r="B100" s="6" t="s">
        <v>342</v>
      </c>
      <c r="C100" s="5" t="s">
        <v>404</v>
      </c>
      <c r="D100" s="7" t="s">
        <v>409</v>
      </c>
      <c r="E100" s="7" t="s">
        <v>406</v>
      </c>
    </row>
    <row r="101" spans="1:5" ht="16" x14ac:dyDescent="0.2">
      <c r="A101" s="5" t="s">
        <v>281</v>
      </c>
      <c r="B101" s="6" t="s">
        <v>333</v>
      </c>
      <c r="C101" s="5" t="s">
        <v>407</v>
      </c>
      <c r="D101" s="7" t="s">
        <v>405</v>
      </c>
      <c r="E101" s="7" t="s">
        <v>406</v>
      </c>
    </row>
    <row r="102" spans="1:5" ht="16" x14ac:dyDescent="0.2">
      <c r="A102" s="5" t="s">
        <v>115</v>
      </c>
      <c r="B102" s="6" t="s">
        <v>342</v>
      </c>
      <c r="C102" s="5" t="s">
        <v>404</v>
      </c>
      <c r="D102" s="7" t="s">
        <v>405</v>
      </c>
      <c r="E102" s="7" t="s">
        <v>406</v>
      </c>
    </row>
    <row r="103" spans="1:5" ht="16" x14ac:dyDescent="0.2">
      <c r="A103" s="5" t="s">
        <v>283</v>
      </c>
      <c r="B103" s="6" t="s">
        <v>80</v>
      </c>
      <c r="C103" s="5" t="s">
        <v>414</v>
      </c>
      <c r="D103" s="7" t="s">
        <v>405</v>
      </c>
      <c r="E103" s="7" t="s">
        <v>408</v>
      </c>
    </row>
    <row r="104" spans="1:5" ht="16" x14ac:dyDescent="0.2">
      <c r="A104" s="5" t="s">
        <v>285</v>
      </c>
      <c r="B104" s="6" t="s">
        <v>339</v>
      </c>
      <c r="C104" s="5" t="s">
        <v>407</v>
      </c>
      <c r="D104" s="7" t="s">
        <v>405</v>
      </c>
      <c r="E104" s="7" t="s">
        <v>408</v>
      </c>
    </row>
    <row r="105" spans="1:5" ht="16" x14ac:dyDescent="0.2">
      <c r="A105" s="5" t="s">
        <v>116</v>
      </c>
      <c r="B105" s="6" t="s">
        <v>99</v>
      </c>
      <c r="C105" s="5" t="s">
        <v>407</v>
      </c>
      <c r="D105" s="7" t="s">
        <v>409</v>
      </c>
      <c r="E105" s="7" t="s">
        <v>408</v>
      </c>
    </row>
    <row r="106" spans="1:5" ht="16" x14ac:dyDescent="0.2">
      <c r="A106" s="5" t="s">
        <v>117</v>
      </c>
      <c r="B106" s="6" t="s">
        <v>342</v>
      </c>
      <c r="C106" s="5" t="s">
        <v>407</v>
      </c>
      <c r="D106" s="7" t="s">
        <v>405</v>
      </c>
      <c r="E106" s="7" t="s">
        <v>411</v>
      </c>
    </row>
    <row r="107" spans="1:5" ht="16" x14ac:dyDescent="0.2">
      <c r="A107" s="5" t="s">
        <v>119</v>
      </c>
      <c r="B107" s="6" t="s">
        <v>342</v>
      </c>
      <c r="C107" s="5" t="s">
        <v>407</v>
      </c>
      <c r="D107" s="7" t="s">
        <v>410</v>
      </c>
      <c r="E107" s="7" t="s">
        <v>408</v>
      </c>
    </row>
    <row r="108" spans="1:5" ht="16" x14ac:dyDescent="0.2">
      <c r="A108" s="5" t="s">
        <v>120</v>
      </c>
      <c r="B108" s="6" t="s">
        <v>99</v>
      </c>
      <c r="C108" s="5" t="s">
        <v>407</v>
      </c>
      <c r="D108" s="7" t="s">
        <v>409</v>
      </c>
      <c r="E108" s="7" t="s">
        <v>408</v>
      </c>
    </row>
    <row r="109" spans="1:5" ht="16" x14ac:dyDescent="0.2">
      <c r="A109" s="5" t="s">
        <v>121</v>
      </c>
      <c r="B109" s="6" t="s">
        <v>333</v>
      </c>
      <c r="C109" s="5" t="s">
        <v>404</v>
      </c>
      <c r="D109" s="7" t="s">
        <v>405</v>
      </c>
      <c r="E109" s="7" t="s">
        <v>408</v>
      </c>
    </row>
    <row r="110" spans="1:5" ht="16" x14ac:dyDescent="0.2">
      <c r="A110" s="5" t="s">
        <v>123</v>
      </c>
      <c r="B110" s="6" t="s">
        <v>339</v>
      </c>
      <c r="C110" s="5" t="s">
        <v>412</v>
      </c>
      <c r="D110" s="7" t="s">
        <v>409</v>
      </c>
      <c r="E110" s="7" t="s">
        <v>408</v>
      </c>
    </row>
    <row r="111" spans="1:5" ht="16" x14ac:dyDescent="0.2">
      <c r="A111" s="5" t="s">
        <v>125</v>
      </c>
      <c r="B111" s="6" t="s">
        <v>342</v>
      </c>
      <c r="C111" s="5" t="s">
        <v>407</v>
      </c>
      <c r="D111" s="7" t="s">
        <v>405</v>
      </c>
      <c r="E111" s="7" t="s">
        <v>408</v>
      </c>
    </row>
    <row r="112" spans="1:5" ht="16" x14ac:dyDescent="0.2">
      <c r="A112" s="5" t="s">
        <v>126</v>
      </c>
      <c r="B112" s="6" t="s">
        <v>340</v>
      </c>
      <c r="C112" s="5" t="s">
        <v>407</v>
      </c>
      <c r="D112" s="7" t="s">
        <v>410</v>
      </c>
      <c r="E112" s="7" t="s">
        <v>408</v>
      </c>
    </row>
    <row r="113" spans="1:5" ht="16" x14ac:dyDescent="0.2">
      <c r="A113" s="5" t="s">
        <v>288</v>
      </c>
      <c r="B113" s="6" t="s">
        <v>80</v>
      </c>
      <c r="C113" s="5" t="s">
        <v>414</v>
      </c>
      <c r="D113" s="7" t="s">
        <v>405</v>
      </c>
      <c r="E113" s="7" t="s">
        <v>408</v>
      </c>
    </row>
    <row r="114" spans="1:5" ht="16" x14ac:dyDescent="0.2">
      <c r="A114" s="5" t="s">
        <v>127</v>
      </c>
      <c r="B114" s="6" t="s">
        <v>99</v>
      </c>
      <c r="C114" s="5" t="s">
        <v>407</v>
      </c>
      <c r="D114" s="7" t="s">
        <v>409</v>
      </c>
      <c r="E114" s="7" t="s">
        <v>406</v>
      </c>
    </row>
    <row r="115" spans="1:5" ht="16" x14ac:dyDescent="0.2">
      <c r="A115" s="5" t="s">
        <v>128</v>
      </c>
      <c r="B115" s="6" t="s">
        <v>340</v>
      </c>
      <c r="C115" s="5" t="s">
        <v>407</v>
      </c>
      <c r="D115" s="7" t="s">
        <v>410</v>
      </c>
      <c r="E115" s="7" t="s">
        <v>408</v>
      </c>
    </row>
    <row r="116" spans="1:5" ht="16" x14ac:dyDescent="0.2">
      <c r="A116" s="5" t="s">
        <v>129</v>
      </c>
      <c r="B116" s="6" t="s">
        <v>333</v>
      </c>
      <c r="C116" s="5" t="s">
        <v>404</v>
      </c>
      <c r="D116" s="7" t="s">
        <v>409</v>
      </c>
      <c r="E116" s="7" t="s">
        <v>408</v>
      </c>
    </row>
    <row r="117" spans="1:5" ht="16" x14ac:dyDescent="0.2">
      <c r="A117" s="5" t="s">
        <v>130</v>
      </c>
      <c r="B117" s="6" t="s">
        <v>339</v>
      </c>
      <c r="C117" s="5" t="s">
        <v>404</v>
      </c>
      <c r="D117" s="7" t="s">
        <v>409</v>
      </c>
      <c r="E117" s="7" t="s">
        <v>408</v>
      </c>
    </row>
    <row r="118" spans="1:5" ht="16" x14ac:dyDescent="0.2">
      <c r="A118" s="5" t="s">
        <v>131</v>
      </c>
      <c r="B118" s="6" t="s">
        <v>340</v>
      </c>
      <c r="C118" s="5" t="s">
        <v>407</v>
      </c>
      <c r="D118" s="7" t="s">
        <v>405</v>
      </c>
      <c r="E118" s="7" t="s">
        <v>411</v>
      </c>
    </row>
    <row r="119" spans="1:5" ht="16" x14ac:dyDescent="0.2">
      <c r="A119" s="5" t="s">
        <v>132</v>
      </c>
      <c r="B119" s="6" t="s">
        <v>342</v>
      </c>
      <c r="C119" s="5" t="s">
        <v>407</v>
      </c>
      <c r="D119" s="7" t="s">
        <v>410</v>
      </c>
      <c r="E119" s="7" t="s">
        <v>408</v>
      </c>
    </row>
    <row r="120" spans="1:5" ht="16" x14ac:dyDescent="0.2">
      <c r="A120" s="5" t="s">
        <v>289</v>
      </c>
      <c r="B120" s="6" t="s">
        <v>333</v>
      </c>
      <c r="C120" s="5" t="s">
        <v>412</v>
      </c>
      <c r="D120" s="7" t="s">
        <v>405</v>
      </c>
      <c r="E120" s="7" t="s">
        <v>406</v>
      </c>
    </row>
    <row r="121" spans="1:5" ht="16" x14ac:dyDescent="0.2">
      <c r="A121" s="5" t="s">
        <v>134</v>
      </c>
      <c r="B121" s="6" t="s">
        <v>333</v>
      </c>
      <c r="C121" s="5" t="s">
        <v>407</v>
      </c>
      <c r="D121" s="7" t="s">
        <v>410</v>
      </c>
      <c r="E121" s="7" t="s">
        <v>408</v>
      </c>
    </row>
    <row r="122" spans="1:5" ht="16" x14ac:dyDescent="0.2">
      <c r="A122" s="5" t="s">
        <v>135</v>
      </c>
      <c r="B122" s="6" t="s">
        <v>333</v>
      </c>
      <c r="C122" s="5" t="s">
        <v>404</v>
      </c>
      <c r="D122" s="7" t="s">
        <v>410</v>
      </c>
      <c r="E122" s="7" t="s">
        <v>408</v>
      </c>
    </row>
    <row r="123" spans="1:5" ht="16" x14ac:dyDescent="0.2">
      <c r="A123" s="5" t="s">
        <v>292</v>
      </c>
      <c r="B123" s="6" t="s">
        <v>342</v>
      </c>
      <c r="C123" s="5" t="s">
        <v>412</v>
      </c>
      <c r="D123" s="7" t="s">
        <v>405</v>
      </c>
      <c r="E123" s="7" t="s">
        <v>408</v>
      </c>
    </row>
    <row r="124" spans="1:5" ht="16" x14ac:dyDescent="0.2">
      <c r="A124" s="5" t="s">
        <v>294</v>
      </c>
      <c r="B124" s="6" t="s">
        <v>342</v>
      </c>
      <c r="C124" s="5" t="s">
        <v>404</v>
      </c>
      <c r="D124" s="7" t="s">
        <v>405</v>
      </c>
      <c r="E124" s="7" t="s">
        <v>406</v>
      </c>
    </row>
    <row r="125" spans="1:5" ht="16" x14ac:dyDescent="0.2">
      <c r="A125" s="5" t="s">
        <v>138</v>
      </c>
      <c r="B125" s="6" t="s">
        <v>339</v>
      </c>
      <c r="C125" s="5" t="s">
        <v>407</v>
      </c>
      <c r="D125" s="7" t="s">
        <v>405</v>
      </c>
      <c r="E125" s="7" t="s">
        <v>408</v>
      </c>
    </row>
    <row r="126" spans="1:5" ht="16" x14ac:dyDescent="0.2">
      <c r="A126" s="5" t="s">
        <v>137</v>
      </c>
      <c r="B126" s="6" t="s">
        <v>99</v>
      </c>
      <c r="C126" s="5" t="s">
        <v>407</v>
      </c>
      <c r="D126" s="7" t="s">
        <v>409</v>
      </c>
      <c r="E126" s="7" t="s">
        <v>408</v>
      </c>
    </row>
    <row r="127" spans="1:5" ht="16" x14ac:dyDescent="0.2">
      <c r="A127" s="5" t="s">
        <v>140</v>
      </c>
      <c r="B127" s="6" t="s">
        <v>333</v>
      </c>
      <c r="C127" s="5" t="s">
        <v>404</v>
      </c>
      <c r="D127" s="7" t="s">
        <v>405</v>
      </c>
      <c r="E127" s="7" t="s">
        <v>406</v>
      </c>
    </row>
    <row r="128" spans="1:5" ht="16" x14ac:dyDescent="0.2">
      <c r="A128" s="5" t="s">
        <v>139</v>
      </c>
      <c r="B128" s="6" t="s">
        <v>340</v>
      </c>
      <c r="C128" s="5" t="s">
        <v>407</v>
      </c>
      <c r="D128" s="7" t="s">
        <v>410</v>
      </c>
      <c r="E128" s="7" t="s">
        <v>406</v>
      </c>
    </row>
    <row r="129" spans="1:5" ht="16" x14ac:dyDescent="0.2">
      <c r="A129" s="5" t="s">
        <v>141</v>
      </c>
      <c r="B129" s="6" t="s">
        <v>333</v>
      </c>
      <c r="C129" s="5" t="s">
        <v>404</v>
      </c>
      <c r="D129" s="7" t="s">
        <v>410</v>
      </c>
      <c r="E129" s="7" t="s">
        <v>406</v>
      </c>
    </row>
    <row r="130" spans="1:5" ht="16" x14ac:dyDescent="0.2">
      <c r="A130" s="5" t="s">
        <v>142</v>
      </c>
      <c r="B130" s="6" t="s">
        <v>340</v>
      </c>
      <c r="C130" s="5" t="s">
        <v>407</v>
      </c>
      <c r="D130" s="7" t="s">
        <v>405</v>
      </c>
      <c r="E130" s="7" t="s">
        <v>406</v>
      </c>
    </row>
    <row r="131" spans="1:5" ht="16" x14ac:dyDescent="0.2">
      <c r="A131" s="5" t="s">
        <v>143</v>
      </c>
      <c r="B131" s="6" t="s">
        <v>333</v>
      </c>
      <c r="C131" s="5" t="s">
        <v>404</v>
      </c>
      <c r="D131" s="7" t="s">
        <v>410</v>
      </c>
      <c r="E131" s="7" t="s">
        <v>415</v>
      </c>
    </row>
    <row r="132" spans="1:5" ht="16" x14ac:dyDescent="0.2">
      <c r="A132" s="5" t="s">
        <v>144</v>
      </c>
      <c r="B132" s="6" t="s">
        <v>333</v>
      </c>
      <c r="C132" s="5" t="s">
        <v>407</v>
      </c>
      <c r="D132" s="7" t="s">
        <v>410</v>
      </c>
      <c r="E132" s="7" t="s">
        <v>408</v>
      </c>
    </row>
    <row r="133" spans="1:5" ht="16" x14ac:dyDescent="0.2">
      <c r="A133" s="5" t="s">
        <v>145</v>
      </c>
      <c r="B133" s="6" t="s">
        <v>99</v>
      </c>
      <c r="C133" s="5" t="s">
        <v>407</v>
      </c>
      <c r="D133" s="7" t="s">
        <v>409</v>
      </c>
      <c r="E133" s="7" t="s">
        <v>411</v>
      </c>
    </row>
    <row r="134" spans="1:5" ht="16" x14ac:dyDescent="0.2">
      <c r="A134" s="5" t="s">
        <v>146</v>
      </c>
      <c r="B134" s="6" t="s">
        <v>340</v>
      </c>
      <c r="C134" s="5" t="s">
        <v>404</v>
      </c>
      <c r="D134" s="7" t="s">
        <v>410</v>
      </c>
      <c r="E134" s="7" t="s">
        <v>408</v>
      </c>
    </row>
    <row r="135" spans="1:5" ht="16" x14ac:dyDescent="0.2">
      <c r="A135" s="5" t="s">
        <v>147</v>
      </c>
      <c r="B135" s="6" t="s">
        <v>339</v>
      </c>
      <c r="C135" s="5" t="s">
        <v>404</v>
      </c>
      <c r="D135" s="7" t="s">
        <v>409</v>
      </c>
      <c r="E135" s="7" t="s">
        <v>406</v>
      </c>
    </row>
    <row r="136" spans="1:5" x14ac:dyDescent="0.2">
      <c r="A136" s="5" t="s">
        <v>148</v>
      </c>
      <c r="B136" s="8" t="s">
        <v>339</v>
      </c>
      <c r="C136" s="5" t="s">
        <v>404</v>
      </c>
      <c r="D136" s="7" t="s">
        <v>405</v>
      </c>
      <c r="E136" s="7" t="s">
        <v>408</v>
      </c>
    </row>
    <row r="137" spans="1:5" ht="16" x14ac:dyDescent="0.2">
      <c r="A137" s="5" t="s">
        <v>149</v>
      </c>
      <c r="B137" s="6" t="s">
        <v>340</v>
      </c>
      <c r="C137" s="5" t="s">
        <v>407</v>
      </c>
      <c r="D137" s="7" t="s">
        <v>410</v>
      </c>
      <c r="E137" s="7" t="s">
        <v>406</v>
      </c>
    </row>
    <row r="138" spans="1:5" ht="16" x14ac:dyDescent="0.2">
      <c r="A138" s="5" t="s">
        <v>150</v>
      </c>
      <c r="B138" s="6" t="s">
        <v>339</v>
      </c>
      <c r="C138" s="5" t="s">
        <v>404</v>
      </c>
      <c r="D138" s="7" t="s">
        <v>405</v>
      </c>
      <c r="E138" s="7" t="s">
        <v>408</v>
      </c>
    </row>
    <row r="139" spans="1:5" ht="16" x14ac:dyDescent="0.2">
      <c r="A139" s="5" t="s">
        <v>295</v>
      </c>
      <c r="B139" s="6" t="s">
        <v>333</v>
      </c>
      <c r="C139" s="5" t="s">
        <v>412</v>
      </c>
      <c r="D139" s="7" t="s">
        <v>405</v>
      </c>
      <c r="E139" s="7" t="s">
        <v>406</v>
      </c>
    </row>
    <row r="140" spans="1:5" ht="16" x14ac:dyDescent="0.2">
      <c r="A140" s="5" t="s">
        <v>152</v>
      </c>
      <c r="B140" s="6" t="s">
        <v>340</v>
      </c>
      <c r="C140" s="5" t="s">
        <v>407</v>
      </c>
      <c r="D140" s="7" t="s">
        <v>409</v>
      </c>
      <c r="E140" s="7" t="s">
        <v>406</v>
      </c>
    </row>
    <row r="141" spans="1:5" ht="16" x14ac:dyDescent="0.2">
      <c r="A141" s="5" t="s">
        <v>153</v>
      </c>
      <c r="B141" s="6" t="s">
        <v>340</v>
      </c>
      <c r="C141" s="5" t="s">
        <v>407</v>
      </c>
      <c r="D141" s="7" t="s">
        <v>410</v>
      </c>
      <c r="E141" s="7" t="s">
        <v>406</v>
      </c>
    </row>
    <row r="142" spans="1:5" ht="16" x14ac:dyDescent="0.2">
      <c r="A142" s="5" t="s">
        <v>299</v>
      </c>
      <c r="B142" s="6" t="s">
        <v>339</v>
      </c>
      <c r="C142" s="5" t="s">
        <v>407</v>
      </c>
      <c r="D142" s="7" t="s">
        <v>405</v>
      </c>
      <c r="E142" s="7" t="s">
        <v>415</v>
      </c>
    </row>
    <row r="143" spans="1:5" ht="16" x14ac:dyDescent="0.2">
      <c r="A143" s="5" t="s">
        <v>612</v>
      </c>
      <c r="B143" s="6" t="s">
        <v>339</v>
      </c>
      <c r="C143" s="5" t="s">
        <v>412</v>
      </c>
      <c r="D143" s="7" t="s">
        <v>405</v>
      </c>
      <c r="E143" s="7" t="s">
        <v>406</v>
      </c>
    </row>
    <row r="144" spans="1:5" ht="16" x14ac:dyDescent="0.2">
      <c r="A144" s="5" t="s">
        <v>155</v>
      </c>
      <c r="B144" s="6" t="s">
        <v>342</v>
      </c>
      <c r="C144" s="5" t="s">
        <v>407</v>
      </c>
      <c r="D144" s="7" t="s">
        <v>410</v>
      </c>
      <c r="E144" s="7" t="s">
        <v>406</v>
      </c>
    </row>
    <row r="145" spans="1:5" ht="16" x14ac:dyDescent="0.2">
      <c r="A145" s="5" t="s">
        <v>301</v>
      </c>
      <c r="B145" s="6" t="s">
        <v>342</v>
      </c>
      <c r="C145" s="5" t="s">
        <v>407</v>
      </c>
      <c r="D145" s="7" t="s">
        <v>405</v>
      </c>
      <c r="E145" s="7" t="s">
        <v>408</v>
      </c>
    </row>
    <row r="146" spans="1:5" ht="16" x14ac:dyDescent="0.2">
      <c r="A146" s="5" t="s">
        <v>302</v>
      </c>
      <c r="B146" s="6" t="s">
        <v>339</v>
      </c>
      <c r="C146" s="5" t="s">
        <v>407</v>
      </c>
      <c r="D146" s="7" t="s">
        <v>405</v>
      </c>
      <c r="E146" s="7" t="s">
        <v>408</v>
      </c>
    </row>
    <row r="147" spans="1:5" ht="16" x14ac:dyDescent="0.2">
      <c r="A147" s="5" t="s">
        <v>157</v>
      </c>
      <c r="B147" s="6" t="s">
        <v>342</v>
      </c>
      <c r="C147" s="5" t="s">
        <v>404</v>
      </c>
      <c r="D147" s="7" t="s">
        <v>405</v>
      </c>
      <c r="E147" s="7" t="s">
        <v>406</v>
      </c>
    </row>
    <row r="148" spans="1:5" ht="16" x14ac:dyDescent="0.2">
      <c r="A148" s="5" t="s">
        <v>158</v>
      </c>
      <c r="B148" s="6" t="s">
        <v>333</v>
      </c>
      <c r="C148" s="5" t="s">
        <v>404</v>
      </c>
      <c r="D148" s="7" t="s">
        <v>405</v>
      </c>
      <c r="E148" s="7" t="s">
        <v>406</v>
      </c>
    </row>
    <row r="149" spans="1:5" ht="16" x14ac:dyDescent="0.2">
      <c r="A149" s="5" t="s">
        <v>160</v>
      </c>
      <c r="B149" s="6" t="s">
        <v>339</v>
      </c>
      <c r="C149" s="5" t="s">
        <v>404</v>
      </c>
      <c r="D149" s="7" t="s">
        <v>410</v>
      </c>
      <c r="E149" s="7" t="s">
        <v>408</v>
      </c>
    </row>
    <row r="150" spans="1:5" ht="16" x14ac:dyDescent="0.2">
      <c r="A150" s="5" t="s">
        <v>161</v>
      </c>
      <c r="B150" s="6" t="s">
        <v>340</v>
      </c>
      <c r="C150" s="5" t="s">
        <v>407</v>
      </c>
      <c r="D150" s="7" t="s">
        <v>410</v>
      </c>
      <c r="E150" s="7" t="s">
        <v>406</v>
      </c>
    </row>
    <row r="151" spans="1:5" ht="16" x14ac:dyDescent="0.2">
      <c r="A151" s="5" t="s">
        <v>303</v>
      </c>
      <c r="B151" s="6" t="s">
        <v>340</v>
      </c>
      <c r="C151" s="5" t="s">
        <v>412</v>
      </c>
      <c r="D151" s="7" t="s">
        <v>405</v>
      </c>
      <c r="E151" s="7" t="s">
        <v>408</v>
      </c>
    </row>
    <row r="152" spans="1:5" ht="16" x14ac:dyDescent="0.2">
      <c r="A152" s="5" t="s">
        <v>163</v>
      </c>
      <c r="B152" s="6" t="s">
        <v>99</v>
      </c>
      <c r="C152" s="5" t="s">
        <v>407</v>
      </c>
      <c r="D152" s="7" t="s">
        <v>409</v>
      </c>
      <c r="E152" s="7" t="s">
        <v>406</v>
      </c>
    </row>
    <row r="153" spans="1:5" ht="16" x14ac:dyDescent="0.2">
      <c r="A153" s="5" t="s">
        <v>164</v>
      </c>
      <c r="B153" s="6" t="s">
        <v>333</v>
      </c>
      <c r="C153" s="5" t="s">
        <v>407</v>
      </c>
      <c r="D153" s="7" t="s">
        <v>405</v>
      </c>
      <c r="E153" s="7" t="s">
        <v>406</v>
      </c>
    </row>
    <row r="154" spans="1:5" ht="16" x14ac:dyDescent="0.2">
      <c r="A154" s="5" t="s">
        <v>165</v>
      </c>
      <c r="B154" s="6" t="s">
        <v>339</v>
      </c>
      <c r="C154" s="5" t="s">
        <v>404</v>
      </c>
      <c r="D154" s="7" t="s">
        <v>405</v>
      </c>
      <c r="E154" s="7" t="s">
        <v>408</v>
      </c>
    </row>
    <row r="155" spans="1:5" ht="16" x14ac:dyDescent="0.2">
      <c r="A155" s="5" t="s">
        <v>166</v>
      </c>
      <c r="B155" s="6" t="s">
        <v>333</v>
      </c>
      <c r="C155" s="5" t="s">
        <v>404</v>
      </c>
      <c r="D155" s="7" t="s">
        <v>410</v>
      </c>
      <c r="E155" s="7" t="s">
        <v>408</v>
      </c>
    </row>
    <row r="156" spans="1:5" ht="16" x14ac:dyDescent="0.2">
      <c r="A156" s="5" t="s">
        <v>167</v>
      </c>
      <c r="B156" s="6" t="s">
        <v>339</v>
      </c>
      <c r="C156" s="5" t="s">
        <v>404</v>
      </c>
      <c r="D156" s="7" t="s">
        <v>405</v>
      </c>
      <c r="E156" s="7" t="s">
        <v>406</v>
      </c>
    </row>
    <row r="157" spans="1:5" ht="16" x14ac:dyDescent="0.2">
      <c r="A157" s="5" t="s">
        <v>168</v>
      </c>
      <c r="B157" s="6" t="s">
        <v>342</v>
      </c>
      <c r="C157" s="5" t="s">
        <v>404</v>
      </c>
      <c r="D157" s="7" t="s">
        <v>405</v>
      </c>
      <c r="E157" s="7" t="s">
        <v>406</v>
      </c>
    </row>
    <row r="158" spans="1:5" ht="16" x14ac:dyDescent="0.2">
      <c r="A158" s="5" t="s">
        <v>304</v>
      </c>
      <c r="B158" s="6" t="s">
        <v>342</v>
      </c>
      <c r="C158" s="5" t="s">
        <v>407</v>
      </c>
      <c r="D158" s="7" t="s">
        <v>405</v>
      </c>
      <c r="E158" s="7" t="s">
        <v>406</v>
      </c>
    </row>
    <row r="159" spans="1:5" ht="16" x14ac:dyDescent="0.2">
      <c r="A159" s="5" t="s">
        <v>170</v>
      </c>
      <c r="B159" s="6" t="s">
        <v>339</v>
      </c>
      <c r="C159" s="5" t="s">
        <v>407</v>
      </c>
      <c r="D159" s="7" t="s">
        <v>405</v>
      </c>
      <c r="E159" s="7" t="s">
        <v>406</v>
      </c>
    </row>
    <row r="160" spans="1:5" ht="16" x14ac:dyDescent="0.2">
      <c r="A160" s="5" t="s">
        <v>305</v>
      </c>
      <c r="B160" s="6" t="s">
        <v>340</v>
      </c>
      <c r="C160" s="5" t="s">
        <v>407</v>
      </c>
      <c r="D160" s="7" t="s">
        <v>405</v>
      </c>
      <c r="E160" s="7" t="s">
        <v>406</v>
      </c>
    </row>
    <row r="161" spans="1:5" ht="16" x14ac:dyDescent="0.2">
      <c r="A161" s="5" t="s">
        <v>171</v>
      </c>
      <c r="B161" s="6" t="s">
        <v>333</v>
      </c>
      <c r="C161" s="5" t="s">
        <v>404</v>
      </c>
      <c r="D161" s="7" t="s">
        <v>405</v>
      </c>
      <c r="E161" s="7" t="s">
        <v>406</v>
      </c>
    </row>
    <row r="162" spans="1:5" ht="16" x14ac:dyDescent="0.2">
      <c r="A162" s="5" t="s">
        <v>308</v>
      </c>
      <c r="B162" s="6" t="s">
        <v>333</v>
      </c>
      <c r="C162" s="5" t="s">
        <v>407</v>
      </c>
      <c r="D162" s="7" t="s">
        <v>405</v>
      </c>
      <c r="E162" s="7" t="s">
        <v>411</v>
      </c>
    </row>
    <row r="163" spans="1:5" ht="16" x14ac:dyDescent="0.2">
      <c r="A163" s="5" t="s">
        <v>310</v>
      </c>
      <c r="B163" s="6" t="s">
        <v>339</v>
      </c>
      <c r="C163" s="5" t="s">
        <v>407</v>
      </c>
      <c r="D163" s="7" t="s">
        <v>405</v>
      </c>
      <c r="E163" s="7" t="s">
        <v>406</v>
      </c>
    </row>
    <row r="164" spans="1:5" ht="16" x14ac:dyDescent="0.2">
      <c r="A164" s="5" t="s">
        <v>312</v>
      </c>
      <c r="B164" s="6" t="s">
        <v>339</v>
      </c>
      <c r="C164" s="5" t="s">
        <v>407</v>
      </c>
      <c r="D164" s="7" t="s">
        <v>405</v>
      </c>
      <c r="E164" s="7" t="s">
        <v>406</v>
      </c>
    </row>
    <row r="165" spans="1:5" ht="16" x14ac:dyDescent="0.2">
      <c r="A165" s="5" t="s">
        <v>175</v>
      </c>
      <c r="B165" s="6" t="s">
        <v>333</v>
      </c>
      <c r="C165" s="5" t="s">
        <v>404</v>
      </c>
      <c r="D165" s="7" t="s">
        <v>410</v>
      </c>
      <c r="E165" s="7" t="s">
        <v>408</v>
      </c>
    </row>
    <row r="166" spans="1:5" ht="16" x14ac:dyDescent="0.2">
      <c r="A166" s="5" t="s">
        <v>176</v>
      </c>
      <c r="B166" s="6" t="s">
        <v>340</v>
      </c>
      <c r="C166" s="5" t="s">
        <v>407</v>
      </c>
      <c r="D166" s="7" t="s">
        <v>409</v>
      </c>
      <c r="E166" s="7" t="s">
        <v>408</v>
      </c>
    </row>
    <row r="167" spans="1:5" x14ac:dyDescent="0.2">
      <c r="A167" s="5" t="s">
        <v>313</v>
      </c>
      <c r="B167" s="8" t="s">
        <v>342</v>
      </c>
      <c r="C167" s="7" t="s">
        <v>407</v>
      </c>
      <c r="D167" s="7" t="s">
        <v>405</v>
      </c>
      <c r="E167" s="7" t="s">
        <v>408</v>
      </c>
    </row>
    <row r="168" spans="1:5" x14ac:dyDescent="0.2">
      <c r="A168" s="5" t="s">
        <v>314</v>
      </c>
      <c r="B168" s="8" t="s">
        <v>340</v>
      </c>
      <c r="C168" s="7" t="s">
        <v>407</v>
      </c>
      <c r="D168" s="7" t="s">
        <v>405</v>
      </c>
      <c r="E168" s="7" t="s">
        <v>408</v>
      </c>
    </row>
    <row r="169" spans="1:5" ht="16" x14ac:dyDescent="0.2">
      <c r="A169" s="5" t="s">
        <v>179</v>
      </c>
      <c r="B169" s="6" t="s">
        <v>339</v>
      </c>
      <c r="C169" s="5" t="s">
        <v>404</v>
      </c>
      <c r="D169" s="7" t="s">
        <v>405</v>
      </c>
      <c r="E169" s="7" t="s">
        <v>406</v>
      </c>
    </row>
    <row r="170" spans="1:5" ht="16" x14ac:dyDescent="0.2">
      <c r="A170" s="5" t="s">
        <v>181</v>
      </c>
      <c r="B170" s="6" t="s">
        <v>339</v>
      </c>
      <c r="C170" s="5" t="s">
        <v>407</v>
      </c>
      <c r="D170" s="7" t="s">
        <v>405</v>
      </c>
      <c r="E170" s="7" t="s">
        <v>406</v>
      </c>
    </row>
    <row r="171" spans="1:5" ht="16" x14ac:dyDescent="0.2">
      <c r="A171" s="5" t="s">
        <v>180</v>
      </c>
      <c r="B171" s="6" t="s">
        <v>80</v>
      </c>
      <c r="C171" s="5" t="s">
        <v>404</v>
      </c>
      <c r="D171" s="7" t="s">
        <v>409</v>
      </c>
      <c r="E171" s="7" t="s">
        <v>406</v>
      </c>
    </row>
    <row r="172" spans="1:5" ht="16" x14ac:dyDescent="0.2">
      <c r="A172" s="5" t="s">
        <v>182</v>
      </c>
      <c r="B172" s="6" t="s">
        <v>333</v>
      </c>
      <c r="C172" s="5" t="s">
        <v>407</v>
      </c>
      <c r="D172" s="7" t="s">
        <v>409</v>
      </c>
      <c r="E172" s="8" t="s">
        <v>406</v>
      </c>
    </row>
    <row r="173" spans="1:5" ht="16" x14ac:dyDescent="0.2">
      <c r="A173" s="5" t="s">
        <v>315</v>
      </c>
      <c r="B173" s="6" t="s">
        <v>339</v>
      </c>
      <c r="C173" s="5" t="s">
        <v>407</v>
      </c>
      <c r="D173" s="7" t="s">
        <v>405</v>
      </c>
      <c r="E173" s="7" t="s">
        <v>408</v>
      </c>
    </row>
    <row r="174" spans="1:5" ht="16" x14ac:dyDescent="0.2">
      <c r="A174" s="5" t="s">
        <v>183</v>
      </c>
      <c r="B174" s="6" t="s">
        <v>333</v>
      </c>
      <c r="C174" s="5" t="s">
        <v>404</v>
      </c>
      <c r="D174" s="7" t="s">
        <v>405</v>
      </c>
      <c r="E174" s="7" t="s">
        <v>408</v>
      </c>
    </row>
    <row r="175" spans="1:5" ht="16" x14ac:dyDescent="0.2">
      <c r="A175" s="5" t="s">
        <v>184</v>
      </c>
      <c r="B175" s="6" t="s">
        <v>342</v>
      </c>
      <c r="C175" s="5" t="s">
        <v>404</v>
      </c>
      <c r="D175" s="7" t="s">
        <v>405</v>
      </c>
      <c r="E175" s="7" t="s">
        <v>406</v>
      </c>
    </row>
    <row r="176" spans="1:5" ht="16" x14ac:dyDescent="0.2">
      <c r="A176" s="5" t="s">
        <v>185</v>
      </c>
      <c r="B176" s="6" t="s">
        <v>340</v>
      </c>
      <c r="C176" s="5" t="s">
        <v>407</v>
      </c>
      <c r="D176" s="7" t="s">
        <v>410</v>
      </c>
      <c r="E176" s="7" t="s">
        <v>406</v>
      </c>
    </row>
    <row r="177" spans="1:5" x14ac:dyDescent="0.2">
      <c r="A177" s="5" t="s">
        <v>186</v>
      </c>
      <c r="B177" s="8" t="s">
        <v>339</v>
      </c>
      <c r="C177" s="7" t="s">
        <v>404</v>
      </c>
      <c r="D177" s="7" t="s">
        <v>409</v>
      </c>
      <c r="E177" s="7" t="s">
        <v>408</v>
      </c>
    </row>
    <row r="178" spans="1:5" x14ac:dyDescent="0.2">
      <c r="A178" s="5" t="s">
        <v>316</v>
      </c>
      <c r="B178" s="8" t="s">
        <v>333</v>
      </c>
      <c r="C178" s="7" t="s">
        <v>407</v>
      </c>
      <c r="D178" s="7" t="s">
        <v>405</v>
      </c>
      <c r="E178" s="7" t="s">
        <v>408</v>
      </c>
    </row>
    <row r="179" spans="1:5" ht="16" x14ac:dyDescent="0.2">
      <c r="A179" s="5" t="s">
        <v>187</v>
      </c>
      <c r="B179" s="6" t="s">
        <v>339</v>
      </c>
      <c r="C179" s="5" t="s">
        <v>404</v>
      </c>
      <c r="D179" s="7" t="s">
        <v>410</v>
      </c>
      <c r="E179" s="7" t="s">
        <v>408</v>
      </c>
    </row>
    <row r="180" spans="1:5" ht="16" x14ac:dyDescent="0.2">
      <c r="A180" s="5" t="s">
        <v>188</v>
      </c>
      <c r="B180" s="6" t="s">
        <v>340</v>
      </c>
      <c r="C180" s="5" t="s">
        <v>407</v>
      </c>
      <c r="D180" s="7" t="s">
        <v>409</v>
      </c>
      <c r="E180" s="7" t="s">
        <v>408</v>
      </c>
    </row>
    <row r="181" spans="1:5" ht="16" x14ac:dyDescent="0.2">
      <c r="A181" s="5" t="s">
        <v>189</v>
      </c>
      <c r="B181" s="6" t="s">
        <v>333</v>
      </c>
      <c r="C181" s="5" t="s">
        <v>404</v>
      </c>
      <c r="D181" s="7" t="s">
        <v>405</v>
      </c>
      <c r="E181" s="7" t="s">
        <v>408</v>
      </c>
    </row>
    <row r="182" spans="1:5" ht="16" x14ac:dyDescent="0.2">
      <c r="A182" s="5" t="s">
        <v>318</v>
      </c>
      <c r="B182" s="6" t="s">
        <v>339</v>
      </c>
      <c r="C182" s="5" t="s">
        <v>404</v>
      </c>
      <c r="D182" s="7" t="s">
        <v>405</v>
      </c>
      <c r="E182" s="7" t="s">
        <v>406</v>
      </c>
    </row>
    <row r="183" spans="1:5" ht="16" x14ac:dyDescent="0.2">
      <c r="A183" s="5" t="s">
        <v>192</v>
      </c>
      <c r="B183" s="6" t="s">
        <v>339</v>
      </c>
      <c r="C183" s="5" t="s">
        <v>404</v>
      </c>
      <c r="D183" s="7" t="s">
        <v>405</v>
      </c>
      <c r="E183" s="7" t="s">
        <v>408</v>
      </c>
    </row>
    <row r="184" spans="1:5" ht="16" x14ac:dyDescent="0.2">
      <c r="A184" s="5" t="s">
        <v>193</v>
      </c>
      <c r="B184" s="6" t="s">
        <v>333</v>
      </c>
      <c r="C184" s="5" t="s">
        <v>407</v>
      </c>
      <c r="D184" s="7" t="s">
        <v>405</v>
      </c>
      <c r="E184" s="7" t="s">
        <v>408</v>
      </c>
    </row>
    <row r="185" spans="1:5" ht="16" x14ac:dyDescent="0.2">
      <c r="A185" s="5" t="s">
        <v>196</v>
      </c>
      <c r="B185" s="6" t="s">
        <v>342</v>
      </c>
      <c r="C185" s="5" t="s">
        <v>404</v>
      </c>
      <c r="D185" s="7" t="s">
        <v>405</v>
      </c>
      <c r="E185" s="7" t="s">
        <v>408</v>
      </c>
    </row>
    <row r="186" spans="1:5" ht="16" x14ac:dyDescent="0.2">
      <c r="A186" s="5" t="s">
        <v>197</v>
      </c>
      <c r="B186" s="6" t="s">
        <v>99</v>
      </c>
      <c r="C186" s="5" t="s">
        <v>407</v>
      </c>
      <c r="D186" s="7" t="s">
        <v>409</v>
      </c>
      <c r="E186" s="7" t="s">
        <v>406</v>
      </c>
    </row>
    <row r="187" spans="1:5" x14ac:dyDescent="0.2">
      <c r="A187" s="5" t="s">
        <v>319</v>
      </c>
      <c r="B187" s="8" t="s">
        <v>339</v>
      </c>
      <c r="C187" s="5" t="s">
        <v>404</v>
      </c>
      <c r="D187" s="7" t="s">
        <v>405</v>
      </c>
      <c r="E187" s="7" t="s">
        <v>406</v>
      </c>
    </row>
    <row r="188" spans="1:5" ht="16" x14ac:dyDescent="0.2">
      <c r="A188" s="5" t="s">
        <v>198</v>
      </c>
      <c r="B188" s="6" t="s">
        <v>340</v>
      </c>
      <c r="C188" s="5" t="s">
        <v>404</v>
      </c>
      <c r="D188" s="7" t="s">
        <v>410</v>
      </c>
      <c r="E188" s="7" t="s">
        <v>406</v>
      </c>
    </row>
    <row r="189" spans="1:5" x14ac:dyDescent="0.2">
      <c r="A189" s="5" t="s">
        <v>201</v>
      </c>
      <c r="B189" s="8" t="s">
        <v>340</v>
      </c>
      <c r="C189" s="5" t="s">
        <v>407</v>
      </c>
      <c r="D189" s="7" t="s">
        <v>410</v>
      </c>
      <c r="E189" s="7" t="s">
        <v>406</v>
      </c>
    </row>
    <row r="190" spans="1:5" ht="16" x14ac:dyDescent="0.2">
      <c r="A190" s="5" t="s">
        <v>320</v>
      </c>
      <c r="B190" s="6" t="s">
        <v>342</v>
      </c>
      <c r="C190" s="5" t="s">
        <v>407</v>
      </c>
      <c r="D190" s="7" t="s">
        <v>405</v>
      </c>
      <c r="E190" s="7" t="s">
        <v>406</v>
      </c>
    </row>
    <row r="191" spans="1:5" ht="16" x14ac:dyDescent="0.2">
      <c r="A191" s="5" t="s">
        <v>202</v>
      </c>
      <c r="B191" s="6" t="s">
        <v>333</v>
      </c>
      <c r="C191" s="5" t="s">
        <v>407</v>
      </c>
      <c r="D191" s="7" t="s">
        <v>405</v>
      </c>
      <c r="E191" s="7" t="s">
        <v>406</v>
      </c>
    </row>
    <row r="192" spans="1:5" ht="16" x14ac:dyDescent="0.2">
      <c r="A192" s="5" t="s">
        <v>323</v>
      </c>
      <c r="B192" s="6" t="s">
        <v>342</v>
      </c>
      <c r="C192" s="5" t="s">
        <v>407</v>
      </c>
      <c r="D192" s="7" t="s">
        <v>405</v>
      </c>
      <c r="E192" s="7" t="s">
        <v>406</v>
      </c>
    </row>
    <row r="193" spans="1:5" ht="16" x14ac:dyDescent="0.2">
      <c r="A193" s="5" t="s">
        <v>203</v>
      </c>
      <c r="B193" s="6" t="s">
        <v>340</v>
      </c>
      <c r="C193" s="5" t="s">
        <v>407</v>
      </c>
      <c r="D193" s="7" t="s">
        <v>409</v>
      </c>
      <c r="E193" s="7" t="s">
        <v>408</v>
      </c>
    </row>
    <row r="194" spans="1:5" ht="16" x14ac:dyDescent="0.2">
      <c r="A194" s="5" t="s">
        <v>204</v>
      </c>
      <c r="B194" s="6" t="s">
        <v>339</v>
      </c>
      <c r="C194" s="5" t="s">
        <v>407</v>
      </c>
      <c r="D194" s="10" t="s">
        <v>405</v>
      </c>
      <c r="E194" s="7" t="s">
        <v>408</v>
      </c>
    </row>
    <row r="195" spans="1:5" ht="16" x14ac:dyDescent="0.2">
      <c r="A195" s="5" t="s">
        <v>207</v>
      </c>
      <c r="B195" s="6" t="s">
        <v>339</v>
      </c>
      <c r="C195" s="11" t="s">
        <v>404</v>
      </c>
      <c r="D195" s="12" t="s">
        <v>405</v>
      </c>
      <c r="E195" s="10" t="s">
        <v>406</v>
      </c>
    </row>
    <row r="196" spans="1:5" ht="16" x14ac:dyDescent="0.2">
      <c r="A196" s="5" t="s">
        <v>325</v>
      </c>
      <c r="B196" s="6" t="s">
        <v>339</v>
      </c>
      <c r="C196" s="11" t="s">
        <v>407</v>
      </c>
      <c r="D196" s="12" t="s">
        <v>405</v>
      </c>
      <c r="E196" s="10" t="s">
        <v>408</v>
      </c>
    </row>
    <row r="197" spans="1:5" ht="16" x14ac:dyDescent="0.2">
      <c r="A197" s="5" t="s">
        <v>208</v>
      </c>
      <c r="B197" s="6" t="s">
        <v>333</v>
      </c>
      <c r="C197" s="11" t="s">
        <v>404</v>
      </c>
      <c r="D197" s="12" t="s">
        <v>410</v>
      </c>
      <c r="E197" s="10" t="s">
        <v>408</v>
      </c>
    </row>
    <row r="198" spans="1:5" ht="16" x14ac:dyDescent="0.2">
      <c r="A198" s="5" t="s">
        <v>209</v>
      </c>
      <c r="B198" s="6" t="s">
        <v>99</v>
      </c>
      <c r="C198" s="5" t="s">
        <v>407</v>
      </c>
      <c r="D198" s="7" t="s">
        <v>409</v>
      </c>
      <c r="E198" s="7" t="s">
        <v>406</v>
      </c>
    </row>
    <row r="199" spans="1:5" ht="16" x14ac:dyDescent="0.2">
      <c r="A199" s="5" t="s">
        <v>210</v>
      </c>
      <c r="B199" s="6" t="s">
        <v>342</v>
      </c>
      <c r="C199" s="5" t="s">
        <v>407</v>
      </c>
      <c r="D199" s="7" t="s">
        <v>405</v>
      </c>
      <c r="E199" s="7" t="s">
        <v>406</v>
      </c>
    </row>
    <row r="200" spans="1:5" ht="16" x14ac:dyDescent="0.2">
      <c r="A200" s="5" t="s">
        <v>211</v>
      </c>
      <c r="B200" s="6" t="s">
        <v>342</v>
      </c>
      <c r="C200" s="5" t="s">
        <v>407</v>
      </c>
      <c r="D200" s="7" t="s">
        <v>405</v>
      </c>
      <c r="E200" s="7" t="s">
        <v>406</v>
      </c>
    </row>
    <row r="201" spans="1:5" ht="16" x14ac:dyDescent="0.2">
      <c r="A201" s="5" t="s">
        <v>327</v>
      </c>
      <c r="B201" s="23" t="s">
        <v>340</v>
      </c>
      <c r="C201" s="24" t="s">
        <v>407</v>
      </c>
      <c r="D201" s="10" t="s">
        <v>405</v>
      </c>
      <c r="E201" s="10" t="s">
        <v>408</v>
      </c>
    </row>
    <row r="202" spans="1:5" x14ac:dyDescent="0.2">
      <c r="A202" s="5"/>
      <c r="B202" s="6"/>
      <c r="C202" s="5"/>
      <c r="D202" s="7"/>
      <c r="E202" s="7"/>
    </row>
    <row r="203" spans="1:5" x14ac:dyDescent="0.2">
      <c r="A203" s="5"/>
      <c r="B203" s="6"/>
      <c r="C203" s="5"/>
      <c r="D203" s="7"/>
      <c r="E203" s="7"/>
    </row>
    <row r="204" spans="1:5" x14ac:dyDescent="0.2">
      <c r="A204" s="5"/>
      <c r="B204" s="6"/>
      <c r="C204" s="5"/>
      <c r="D204" s="7"/>
      <c r="E204" s="7"/>
    </row>
    <row r="205" spans="1:5" x14ac:dyDescent="0.2">
      <c r="A205" s="5"/>
      <c r="B205" s="6"/>
      <c r="C205" s="5"/>
      <c r="D205" s="7"/>
      <c r="E205" s="7"/>
    </row>
    <row r="206" spans="1:5" x14ac:dyDescent="0.2">
      <c r="A206" s="5"/>
      <c r="B206" s="6"/>
      <c r="C206" s="5"/>
      <c r="D206" s="7"/>
      <c r="E206" s="7"/>
    </row>
    <row r="207" spans="1:5" x14ac:dyDescent="0.2">
      <c r="A207" s="13"/>
      <c r="B207" s="14"/>
      <c r="C207" s="13"/>
      <c r="D207" s="13"/>
      <c r="E207" s="13"/>
    </row>
    <row r="208" spans="1:5" x14ac:dyDescent="0.2">
      <c r="A208" s="13"/>
      <c r="B208" s="14"/>
      <c r="C208" s="13"/>
      <c r="D208" s="13"/>
      <c r="E208" s="13"/>
    </row>
    <row r="209" spans="1:5" x14ac:dyDescent="0.2">
      <c r="A209" s="13"/>
      <c r="B209" s="14"/>
      <c r="C209" s="13"/>
      <c r="D209" s="13"/>
      <c r="E209" s="13"/>
    </row>
    <row r="210" spans="1:5" x14ac:dyDescent="0.2">
      <c r="A210" s="13"/>
      <c r="B210" s="14"/>
      <c r="C210" s="13"/>
      <c r="D210" s="13"/>
      <c r="E210" s="13"/>
    </row>
    <row r="211" spans="1:5" x14ac:dyDescent="0.2">
      <c r="A211" s="13"/>
      <c r="B211" s="14"/>
      <c r="C211" s="13"/>
      <c r="D211" s="13"/>
      <c r="E211" s="13"/>
    </row>
    <row r="212" spans="1:5" x14ac:dyDescent="0.2">
      <c r="A212" s="13"/>
      <c r="B212" s="14"/>
      <c r="C212" s="13"/>
      <c r="D212" s="13"/>
      <c r="E212" s="13"/>
    </row>
    <row r="213" spans="1:5" x14ac:dyDescent="0.2">
      <c r="A213" s="13"/>
      <c r="B213" s="14"/>
      <c r="C213" s="13"/>
      <c r="D213" s="13"/>
      <c r="E213" s="13"/>
    </row>
    <row r="214" spans="1:5" x14ac:dyDescent="0.2">
      <c r="A214" s="13"/>
      <c r="B214" s="14"/>
      <c r="C214" s="13"/>
      <c r="D214" s="13"/>
      <c r="E214" s="13"/>
    </row>
    <row r="215" spans="1:5" x14ac:dyDescent="0.2">
      <c r="A215" s="13"/>
      <c r="B215" s="14"/>
      <c r="C215" s="13"/>
      <c r="D215" s="13"/>
      <c r="E215" s="13"/>
    </row>
    <row r="216" spans="1:5" x14ac:dyDescent="0.2">
      <c r="A216" s="13"/>
      <c r="B216" s="14"/>
      <c r="C216" s="13"/>
      <c r="D216" s="13"/>
      <c r="E216" s="13"/>
    </row>
    <row r="217" spans="1:5" x14ac:dyDescent="0.2">
      <c r="A217" s="13"/>
      <c r="B217" s="14"/>
      <c r="C217" s="13"/>
      <c r="D217" s="13"/>
      <c r="E217" s="13"/>
    </row>
    <row r="218" spans="1:5" x14ac:dyDescent="0.2">
      <c r="A218" s="13"/>
      <c r="B218" s="14"/>
      <c r="C218" s="13"/>
      <c r="D218" s="13"/>
      <c r="E218" s="13"/>
    </row>
    <row r="219" spans="1:5" x14ac:dyDescent="0.2">
      <c r="A219" s="13"/>
      <c r="B219" s="14"/>
      <c r="C219" s="13"/>
      <c r="D219" s="13"/>
      <c r="E219" s="13"/>
    </row>
    <row r="220" spans="1:5" x14ac:dyDescent="0.2">
      <c r="A220" s="13"/>
      <c r="B220" s="14"/>
      <c r="C220" s="13"/>
      <c r="D220" s="13"/>
      <c r="E220" s="13"/>
    </row>
    <row r="221" spans="1:5" x14ac:dyDescent="0.2">
      <c r="A221" s="13"/>
      <c r="B221" s="14"/>
      <c r="C221" s="13"/>
      <c r="D221" s="13"/>
      <c r="E221" s="13"/>
    </row>
    <row r="222" spans="1:5" x14ac:dyDescent="0.2">
      <c r="A222" s="13"/>
      <c r="B222" s="14"/>
      <c r="C222" s="13"/>
      <c r="D222" s="13"/>
      <c r="E222" s="13"/>
    </row>
    <row r="223" spans="1:5" x14ac:dyDescent="0.2">
      <c r="A223" s="13"/>
      <c r="B223" s="14"/>
      <c r="C223" s="13"/>
      <c r="D223" s="13"/>
      <c r="E223" s="13"/>
    </row>
    <row r="224" spans="1:5" x14ac:dyDescent="0.2">
      <c r="A224" s="13"/>
      <c r="B224" s="14"/>
      <c r="C224" s="13"/>
      <c r="D224" s="13"/>
      <c r="E224" s="13"/>
    </row>
    <row r="225" spans="1:5" x14ac:dyDescent="0.2">
      <c r="A225" s="13"/>
      <c r="B225" s="14"/>
      <c r="C225" s="13"/>
      <c r="D225" s="13"/>
      <c r="E225" s="13"/>
    </row>
    <row r="226" spans="1:5" x14ac:dyDescent="0.2">
      <c r="A226" s="13"/>
      <c r="B226" s="14"/>
      <c r="C226" s="13"/>
      <c r="D226" s="13"/>
      <c r="E226" s="13"/>
    </row>
    <row r="227" spans="1:5" x14ac:dyDescent="0.2">
      <c r="A227" s="13"/>
      <c r="B227" s="14"/>
      <c r="C227" s="13"/>
      <c r="D227" s="13"/>
      <c r="E227" s="13"/>
    </row>
    <row r="228" spans="1:5" x14ac:dyDescent="0.2">
      <c r="A228" s="13"/>
      <c r="B228" s="14"/>
      <c r="C228" s="13"/>
      <c r="D228" s="13"/>
      <c r="E228" s="13"/>
    </row>
    <row r="229" spans="1:5" x14ac:dyDescent="0.2">
      <c r="A229" s="13"/>
      <c r="B229" s="14"/>
      <c r="C229" s="13"/>
      <c r="D229" s="13"/>
      <c r="E229" s="13"/>
    </row>
    <row r="230" spans="1:5" x14ac:dyDescent="0.2">
      <c r="A230" s="13"/>
      <c r="B230" s="14"/>
      <c r="C230" s="13"/>
      <c r="D230" s="13"/>
      <c r="E230" s="13"/>
    </row>
    <row r="231" spans="1:5" x14ac:dyDescent="0.2">
      <c r="A231" s="13"/>
      <c r="B231" s="14"/>
      <c r="C231" s="13"/>
      <c r="D231" s="13"/>
      <c r="E231" s="13"/>
    </row>
    <row r="232" spans="1:5" x14ac:dyDescent="0.2">
      <c r="A232" s="13"/>
      <c r="B232" s="14"/>
      <c r="C232" s="13"/>
      <c r="D232" s="13"/>
      <c r="E232" s="13"/>
    </row>
    <row r="233" spans="1:5" x14ac:dyDescent="0.2">
      <c r="A233" s="13"/>
      <c r="B233" s="14"/>
      <c r="C233" s="13"/>
      <c r="D233" s="13"/>
      <c r="E233" s="13"/>
    </row>
    <row r="234" spans="1:5" x14ac:dyDescent="0.2">
      <c r="A234" s="13"/>
      <c r="B234" s="14"/>
      <c r="C234" s="13"/>
      <c r="D234" s="13"/>
      <c r="E234" s="13"/>
    </row>
    <row r="235" spans="1:5" x14ac:dyDescent="0.2">
      <c r="A235" s="13"/>
      <c r="B235" s="14"/>
      <c r="C235" s="13"/>
      <c r="D235" s="13"/>
      <c r="E235" s="13"/>
    </row>
    <row r="236" spans="1:5" x14ac:dyDescent="0.2">
      <c r="A236" s="13"/>
      <c r="B236" s="14"/>
      <c r="C236" s="13"/>
      <c r="D236" s="13"/>
      <c r="E236" s="13"/>
    </row>
    <row r="237" spans="1:5" x14ac:dyDescent="0.2">
      <c r="A237" s="13"/>
      <c r="B237" s="14"/>
      <c r="C237" s="13"/>
      <c r="D237" s="13"/>
      <c r="E237" s="13"/>
    </row>
    <row r="238" spans="1:5" x14ac:dyDescent="0.2">
      <c r="A238" s="13"/>
      <c r="B238" s="14"/>
      <c r="C238" s="13"/>
      <c r="D238" s="13"/>
      <c r="E238" s="13"/>
    </row>
    <row r="239" spans="1:5" x14ac:dyDescent="0.2">
      <c r="A239" s="13"/>
      <c r="B239" s="14"/>
      <c r="C239" s="13"/>
      <c r="D239" s="13"/>
      <c r="E239" s="13"/>
    </row>
    <row r="240" spans="1:5" x14ac:dyDescent="0.2">
      <c r="A240" s="13"/>
      <c r="B240" s="14"/>
      <c r="C240" s="13"/>
      <c r="D240" s="13"/>
      <c r="E240" s="13"/>
    </row>
    <row r="241" spans="1:5" x14ac:dyDescent="0.2">
      <c r="A241" s="13"/>
      <c r="B241" s="14"/>
      <c r="C241" s="13"/>
      <c r="D241" s="13"/>
      <c r="E241" s="13"/>
    </row>
    <row r="242" spans="1:5" x14ac:dyDescent="0.2">
      <c r="A242" s="13"/>
      <c r="B242" s="14"/>
      <c r="C242" s="13"/>
      <c r="D242" s="13"/>
      <c r="E242" s="13"/>
    </row>
    <row r="243" spans="1:5" x14ac:dyDescent="0.2">
      <c r="A243" s="13"/>
      <c r="B243" s="14"/>
      <c r="C243" s="13"/>
      <c r="D243" s="13"/>
      <c r="E243" s="13"/>
    </row>
    <row r="244" spans="1:5" x14ac:dyDescent="0.2">
      <c r="A244" s="13"/>
      <c r="B244" s="14"/>
      <c r="C244" s="13"/>
      <c r="D244" s="13"/>
      <c r="E244" s="13"/>
    </row>
    <row r="245" spans="1:5" x14ac:dyDescent="0.2">
      <c r="A245" s="13"/>
      <c r="B245" s="14"/>
      <c r="C245" s="13"/>
      <c r="D245" s="13"/>
      <c r="E245" s="13"/>
    </row>
    <row r="246" spans="1:5" x14ac:dyDescent="0.2">
      <c r="A246" s="13"/>
      <c r="B246" s="14"/>
      <c r="C246" s="13"/>
      <c r="D246" s="13"/>
      <c r="E246" s="13"/>
    </row>
    <row r="247" spans="1:5" x14ac:dyDescent="0.2">
      <c r="A247" s="13"/>
      <c r="B247" s="14"/>
      <c r="C247" s="13"/>
      <c r="D247" s="13"/>
      <c r="E247" s="13"/>
    </row>
    <row r="248" spans="1:5" x14ac:dyDescent="0.2">
      <c r="A248" s="13"/>
      <c r="B248" s="14"/>
      <c r="C248" s="13"/>
      <c r="D248" s="13"/>
      <c r="E248" s="13"/>
    </row>
    <row r="249" spans="1:5" x14ac:dyDescent="0.2">
      <c r="A249" s="13"/>
      <c r="B249" s="14"/>
      <c r="C249" s="13"/>
      <c r="D249" s="13"/>
      <c r="E249" s="13"/>
    </row>
    <row r="250" spans="1:5" x14ac:dyDescent="0.2">
      <c r="A250" s="13"/>
      <c r="B250" s="14"/>
      <c r="C250" s="13"/>
      <c r="D250" s="13"/>
      <c r="E250" s="13"/>
    </row>
    <row r="251" spans="1:5" x14ac:dyDescent="0.2">
      <c r="A251" s="13"/>
      <c r="B251" s="14"/>
      <c r="C251" s="13"/>
      <c r="D251" s="13"/>
      <c r="E251" s="13"/>
    </row>
    <row r="252" spans="1:5" x14ac:dyDescent="0.2">
      <c r="A252" s="13"/>
      <c r="B252" s="14"/>
      <c r="C252" s="13"/>
      <c r="D252" s="13"/>
      <c r="E252" s="13"/>
    </row>
    <row r="253" spans="1:5" x14ac:dyDescent="0.2">
      <c r="A253" s="13"/>
      <c r="B253" s="14"/>
      <c r="C253" s="13"/>
      <c r="D253" s="13"/>
      <c r="E253" s="13"/>
    </row>
    <row r="254" spans="1:5" x14ac:dyDescent="0.2">
      <c r="A254" s="13"/>
      <c r="B254" s="14"/>
      <c r="C254" s="13"/>
      <c r="D254" s="13"/>
      <c r="E254" s="13"/>
    </row>
    <row r="255" spans="1:5" x14ac:dyDescent="0.2">
      <c r="A255" s="13"/>
      <c r="B255" s="14"/>
      <c r="C255" s="13"/>
      <c r="D255" s="13"/>
      <c r="E255" s="13"/>
    </row>
    <row r="256" spans="1:5" x14ac:dyDescent="0.2">
      <c r="A256" s="13"/>
      <c r="B256" s="14"/>
      <c r="C256" s="13"/>
      <c r="D256" s="13"/>
      <c r="E256" s="13"/>
    </row>
    <row r="257" spans="1:5" x14ac:dyDescent="0.2">
      <c r="A257" s="13"/>
      <c r="B257" s="14"/>
      <c r="C257" s="13"/>
      <c r="D257" s="13"/>
      <c r="E257" s="13"/>
    </row>
    <row r="258" spans="1:5" x14ac:dyDescent="0.2">
      <c r="A258" s="13"/>
      <c r="B258" s="14"/>
      <c r="C258" s="13"/>
      <c r="D258" s="13"/>
      <c r="E258" s="13"/>
    </row>
    <row r="259" spans="1:5" x14ac:dyDescent="0.2">
      <c r="A259" s="13"/>
      <c r="B259" s="14"/>
      <c r="C259" s="13"/>
      <c r="D259" s="13"/>
      <c r="E259" s="13"/>
    </row>
    <row r="260" spans="1:5" x14ac:dyDescent="0.2">
      <c r="A260" s="13"/>
      <c r="B260" s="14"/>
      <c r="C260" s="13"/>
      <c r="D260" s="13"/>
      <c r="E260" s="13"/>
    </row>
    <row r="261" spans="1:5" x14ac:dyDescent="0.2">
      <c r="A261" s="13"/>
      <c r="B261" s="14"/>
      <c r="C261" s="13"/>
      <c r="D261" s="13"/>
      <c r="E261" s="13"/>
    </row>
    <row r="262" spans="1:5" x14ac:dyDescent="0.2">
      <c r="A262" s="13"/>
      <c r="B262" s="14"/>
      <c r="C262" s="13"/>
      <c r="D262" s="13"/>
      <c r="E262" s="13"/>
    </row>
    <row r="263" spans="1:5" x14ac:dyDescent="0.2">
      <c r="A263" s="13"/>
      <c r="B263" s="14"/>
      <c r="C263" s="13"/>
      <c r="D263" s="13"/>
      <c r="E263" s="13"/>
    </row>
    <row r="264" spans="1:5" x14ac:dyDescent="0.2">
      <c r="A264" s="13"/>
      <c r="B264" s="14"/>
      <c r="C264" s="13"/>
      <c r="D264" s="13"/>
      <c r="E264" s="13"/>
    </row>
    <row r="265" spans="1:5" x14ac:dyDescent="0.2">
      <c r="A265" s="13"/>
      <c r="B265" s="14"/>
      <c r="C265" s="13"/>
      <c r="D265" s="13"/>
      <c r="E265" s="13"/>
    </row>
    <row r="266" spans="1:5" x14ac:dyDescent="0.2">
      <c r="A266" s="13"/>
      <c r="B266" s="14"/>
      <c r="C266" s="13"/>
      <c r="D266" s="13"/>
      <c r="E266" s="13"/>
    </row>
    <row r="267" spans="1:5" x14ac:dyDescent="0.2">
      <c r="A267" s="13"/>
      <c r="B267" s="14"/>
      <c r="C267" s="13"/>
      <c r="D267" s="13"/>
      <c r="E267" s="13"/>
    </row>
    <row r="268" spans="1:5" x14ac:dyDescent="0.2">
      <c r="A268" s="13"/>
      <c r="B268" s="14"/>
      <c r="C268" s="13"/>
      <c r="D268" s="13"/>
      <c r="E268" s="13"/>
    </row>
    <row r="269" spans="1:5" x14ac:dyDescent="0.2">
      <c r="A269" s="13"/>
      <c r="B269" s="14"/>
      <c r="C269" s="13"/>
      <c r="D269" s="13"/>
      <c r="E269" s="13"/>
    </row>
    <row r="270" spans="1:5" x14ac:dyDescent="0.2">
      <c r="A270" s="13"/>
      <c r="B270" s="14"/>
      <c r="C270" s="13"/>
      <c r="D270" s="13"/>
      <c r="E270" s="13"/>
    </row>
    <row r="271" spans="1:5" x14ac:dyDescent="0.2">
      <c r="A271" s="13"/>
      <c r="B271" s="14"/>
      <c r="C271" s="13"/>
      <c r="D271" s="13"/>
      <c r="E271" s="13"/>
    </row>
    <row r="272" spans="1:5" x14ac:dyDescent="0.2">
      <c r="A272" s="13"/>
      <c r="B272" s="14"/>
      <c r="C272" s="13"/>
      <c r="D272" s="13"/>
      <c r="E272" s="13"/>
    </row>
    <row r="273" spans="1:5" x14ac:dyDescent="0.2">
      <c r="A273" s="13"/>
      <c r="B273" s="14"/>
      <c r="C273" s="13"/>
      <c r="D273" s="13"/>
      <c r="E273" s="13"/>
    </row>
    <row r="274" spans="1:5" x14ac:dyDescent="0.2">
      <c r="A274" s="13"/>
      <c r="B274" s="14"/>
      <c r="C274" s="13"/>
      <c r="D274" s="13"/>
      <c r="E274" s="13"/>
    </row>
    <row r="275" spans="1:5" x14ac:dyDescent="0.2">
      <c r="A275" s="13"/>
      <c r="B275" s="14"/>
      <c r="C275" s="13"/>
      <c r="D275" s="13"/>
      <c r="E275" s="13"/>
    </row>
    <row r="276" spans="1:5" x14ac:dyDescent="0.2">
      <c r="A276" s="13"/>
      <c r="B276" s="14"/>
      <c r="C276" s="13"/>
      <c r="D276" s="13"/>
      <c r="E276" s="13"/>
    </row>
    <row r="277" spans="1:5" x14ac:dyDescent="0.2">
      <c r="A277" s="13"/>
      <c r="B277" s="14"/>
      <c r="C277" s="13"/>
      <c r="D277" s="13"/>
      <c r="E277" s="13"/>
    </row>
    <row r="278" spans="1:5" x14ac:dyDescent="0.2">
      <c r="A278" s="13"/>
      <c r="B278" s="14"/>
      <c r="C278" s="13"/>
      <c r="D278" s="13"/>
      <c r="E278" s="13"/>
    </row>
    <row r="279" spans="1:5" x14ac:dyDescent="0.2">
      <c r="A279" s="13"/>
      <c r="B279" s="14"/>
      <c r="C279" s="13"/>
      <c r="D279" s="13"/>
      <c r="E279" s="13"/>
    </row>
    <row r="280" spans="1:5" x14ac:dyDescent="0.2">
      <c r="A280" s="13"/>
      <c r="B280" s="14"/>
      <c r="C280" s="13"/>
      <c r="D280" s="13"/>
      <c r="E280" s="13"/>
    </row>
    <row r="281" spans="1:5" x14ac:dyDescent="0.2">
      <c r="A281" s="13"/>
      <c r="B281" s="14"/>
      <c r="C281" s="13"/>
      <c r="D281" s="13"/>
      <c r="E281" s="13"/>
    </row>
    <row r="282" spans="1:5" x14ac:dyDescent="0.2">
      <c r="A282" s="13"/>
      <c r="B282" s="14"/>
      <c r="C282" s="13"/>
      <c r="D282" s="13"/>
      <c r="E282" s="13"/>
    </row>
    <row r="283" spans="1:5" x14ac:dyDescent="0.2">
      <c r="A283" s="13"/>
      <c r="B283" s="14"/>
      <c r="C283" s="13"/>
      <c r="D283" s="13"/>
      <c r="E283" s="13"/>
    </row>
    <row r="284" spans="1:5" x14ac:dyDescent="0.2">
      <c r="A284" s="13"/>
      <c r="B284" s="14"/>
      <c r="C284" s="13"/>
      <c r="D284" s="13"/>
      <c r="E284" s="13"/>
    </row>
    <row r="285" spans="1:5" x14ac:dyDescent="0.2">
      <c r="A285" s="13"/>
      <c r="B285" s="14"/>
      <c r="C285" s="13"/>
      <c r="D285" s="13"/>
      <c r="E285" s="13"/>
    </row>
    <row r="286" spans="1:5" x14ac:dyDescent="0.2">
      <c r="A286" s="13"/>
      <c r="B286" s="14"/>
      <c r="C286" s="13"/>
      <c r="D286" s="13"/>
      <c r="E286" s="13"/>
    </row>
    <row r="287" spans="1:5" x14ac:dyDescent="0.2">
      <c r="A287" s="13"/>
      <c r="B287" s="14"/>
      <c r="C287" s="13"/>
      <c r="D287" s="13"/>
      <c r="E287" s="13"/>
    </row>
    <row r="288" spans="1:5" x14ac:dyDescent="0.2">
      <c r="A288" s="13"/>
      <c r="B288" s="14"/>
      <c r="C288" s="13"/>
      <c r="D288" s="13"/>
      <c r="E288" s="13"/>
    </row>
    <row r="289" spans="1:5" x14ac:dyDescent="0.2">
      <c r="A289" s="13"/>
      <c r="B289" s="14"/>
      <c r="C289" s="13"/>
      <c r="D289" s="13"/>
      <c r="E289" s="13"/>
    </row>
    <row r="290" spans="1:5" x14ac:dyDescent="0.2">
      <c r="A290" s="13"/>
      <c r="B290" s="14"/>
      <c r="C290" s="13"/>
      <c r="D290" s="13"/>
      <c r="E290" s="13"/>
    </row>
    <row r="291" spans="1:5" x14ac:dyDescent="0.2">
      <c r="A291" s="13"/>
      <c r="B291" s="14"/>
      <c r="C291" s="13"/>
      <c r="D291" s="13"/>
      <c r="E291" s="13"/>
    </row>
    <row r="292" spans="1:5" x14ac:dyDescent="0.2">
      <c r="A292" s="13"/>
      <c r="B292" s="14"/>
      <c r="C292" s="13"/>
      <c r="D292" s="13"/>
      <c r="E292" s="13"/>
    </row>
    <row r="293" spans="1:5" x14ac:dyDescent="0.2">
      <c r="A293" s="13"/>
      <c r="B293" s="14"/>
      <c r="C293" s="13"/>
      <c r="D293" s="13"/>
      <c r="E293" s="13"/>
    </row>
    <row r="294" spans="1:5" x14ac:dyDescent="0.2">
      <c r="A294" s="13"/>
      <c r="B294" s="14"/>
      <c r="C294" s="13"/>
      <c r="D294" s="13"/>
      <c r="E294" s="13"/>
    </row>
    <row r="295" spans="1:5" x14ac:dyDescent="0.2">
      <c r="A295" s="13"/>
      <c r="B295" s="14"/>
      <c r="C295" s="13"/>
      <c r="D295" s="13"/>
      <c r="E295" s="13"/>
    </row>
    <row r="296" spans="1:5" x14ac:dyDescent="0.2">
      <c r="A296" s="13"/>
      <c r="B296" s="14"/>
      <c r="C296" s="13"/>
      <c r="D296" s="13"/>
      <c r="E296" s="13"/>
    </row>
    <row r="297" spans="1:5" x14ac:dyDescent="0.2">
      <c r="A297" s="13"/>
      <c r="B297" s="14"/>
      <c r="C297" s="13"/>
      <c r="D297" s="13"/>
      <c r="E297" s="13"/>
    </row>
    <row r="298" spans="1:5" x14ac:dyDescent="0.2">
      <c r="A298" s="13"/>
      <c r="B298" s="14"/>
      <c r="C298" s="13"/>
      <c r="D298" s="13"/>
      <c r="E298" s="13"/>
    </row>
    <row r="299" spans="1:5" x14ac:dyDescent="0.2">
      <c r="A299" s="13"/>
      <c r="B299" s="14"/>
      <c r="C299" s="13"/>
      <c r="D299" s="13"/>
      <c r="E299" s="13"/>
    </row>
    <row r="300" spans="1:5" x14ac:dyDescent="0.2">
      <c r="A300" s="13"/>
      <c r="B300" s="14"/>
      <c r="C300" s="13"/>
      <c r="D300" s="13"/>
      <c r="E300" s="13"/>
    </row>
    <row r="301" spans="1:5" x14ac:dyDescent="0.2">
      <c r="A301" s="13"/>
      <c r="B301" s="14"/>
      <c r="C301" s="13"/>
      <c r="D301" s="13"/>
      <c r="E301" s="13"/>
    </row>
    <row r="302" spans="1:5" x14ac:dyDescent="0.2">
      <c r="A302" s="13"/>
      <c r="B302" s="14"/>
      <c r="C302" s="13"/>
      <c r="D302" s="13"/>
      <c r="E302" s="13"/>
    </row>
    <row r="303" spans="1:5" x14ac:dyDescent="0.2">
      <c r="A303" s="13"/>
      <c r="B303" s="14"/>
      <c r="C303" s="13"/>
      <c r="D303" s="13"/>
      <c r="E303" s="13"/>
    </row>
    <row r="304" spans="1:5" x14ac:dyDescent="0.2">
      <c r="A304" s="13"/>
      <c r="B304" s="14"/>
      <c r="C304" s="13"/>
      <c r="D304" s="13"/>
      <c r="E304" s="13"/>
    </row>
    <row r="305" spans="1:5" x14ac:dyDescent="0.2">
      <c r="A305" s="13"/>
      <c r="B305" s="14"/>
      <c r="C305" s="13"/>
      <c r="D305" s="13"/>
      <c r="E305" s="13"/>
    </row>
    <row r="306" spans="1:5" x14ac:dyDescent="0.2">
      <c r="A306" s="13"/>
      <c r="B306" s="14"/>
      <c r="C306" s="13"/>
      <c r="D306" s="13"/>
      <c r="E306" s="13"/>
    </row>
    <row r="307" spans="1:5" x14ac:dyDescent="0.2">
      <c r="A307" s="13"/>
      <c r="B307" s="14"/>
      <c r="C307" s="13"/>
      <c r="D307" s="13"/>
      <c r="E307" s="13"/>
    </row>
    <row r="308" spans="1:5" x14ac:dyDescent="0.2">
      <c r="A308" s="13"/>
      <c r="B308" s="14"/>
      <c r="C308" s="13"/>
      <c r="D308" s="13"/>
      <c r="E308" s="13"/>
    </row>
    <row r="309" spans="1:5" x14ac:dyDescent="0.2">
      <c r="A309" s="13"/>
      <c r="B309" s="14"/>
      <c r="C309" s="13"/>
      <c r="D309" s="13"/>
      <c r="E309" s="13"/>
    </row>
    <row r="310" spans="1:5" x14ac:dyDescent="0.2">
      <c r="A310" s="13"/>
      <c r="B310" s="14"/>
      <c r="C310" s="13"/>
      <c r="D310" s="13"/>
      <c r="E310" s="13"/>
    </row>
    <row r="311" spans="1:5" x14ac:dyDescent="0.2">
      <c r="A311" s="13"/>
      <c r="B311" s="14"/>
      <c r="C311" s="13"/>
      <c r="D311" s="13"/>
      <c r="E311" s="13"/>
    </row>
    <row r="312" spans="1:5" x14ac:dyDescent="0.2">
      <c r="A312" s="13"/>
      <c r="B312" s="14"/>
      <c r="C312" s="13"/>
      <c r="D312" s="13"/>
      <c r="E312" s="13"/>
    </row>
    <row r="313" spans="1:5" x14ac:dyDescent="0.2">
      <c r="A313" s="13"/>
      <c r="B313" s="14"/>
      <c r="C313" s="13"/>
      <c r="D313" s="13"/>
      <c r="E313" s="13"/>
    </row>
    <row r="314" spans="1:5" x14ac:dyDescent="0.2">
      <c r="A314" s="13"/>
      <c r="B314" s="14"/>
      <c r="C314" s="13"/>
      <c r="D314" s="13"/>
      <c r="E314" s="13"/>
    </row>
    <row r="315" spans="1:5" x14ac:dyDescent="0.2">
      <c r="A315" s="13"/>
      <c r="B315" s="14"/>
      <c r="C315" s="13"/>
      <c r="D315" s="13"/>
      <c r="E315" s="13"/>
    </row>
    <row r="316" spans="1:5" x14ac:dyDescent="0.2">
      <c r="A316" s="13"/>
      <c r="B316" s="14"/>
      <c r="C316" s="13"/>
      <c r="D316" s="13"/>
      <c r="E316" s="13"/>
    </row>
    <row r="317" spans="1:5" x14ac:dyDescent="0.2">
      <c r="A317" s="13"/>
      <c r="B317" s="14"/>
      <c r="C317" s="13"/>
      <c r="D317" s="13"/>
      <c r="E317" s="13"/>
    </row>
    <row r="318" spans="1:5" x14ac:dyDescent="0.2">
      <c r="A318" s="13"/>
      <c r="B318" s="14"/>
      <c r="C318" s="13"/>
      <c r="D318" s="13"/>
      <c r="E318" s="13"/>
    </row>
    <row r="319" spans="1:5" x14ac:dyDescent="0.2">
      <c r="A319" s="13"/>
      <c r="B319" s="14"/>
      <c r="C319" s="13"/>
      <c r="D319" s="13"/>
      <c r="E319" s="13"/>
    </row>
    <row r="320" spans="1:5" x14ac:dyDescent="0.2">
      <c r="A320" s="13"/>
      <c r="B320" s="14"/>
      <c r="C320" s="13"/>
      <c r="D320" s="13"/>
      <c r="E320" s="13"/>
    </row>
    <row r="321" spans="1:5" x14ac:dyDescent="0.2">
      <c r="A321" s="13"/>
      <c r="B321" s="14"/>
      <c r="C321" s="13"/>
      <c r="D321" s="13"/>
      <c r="E321" s="13"/>
    </row>
    <row r="322" spans="1:5" x14ac:dyDescent="0.2">
      <c r="A322" s="13"/>
      <c r="B322" s="14"/>
      <c r="C322" s="13"/>
      <c r="D322" s="13"/>
      <c r="E322" s="13"/>
    </row>
    <row r="323" spans="1:5" x14ac:dyDescent="0.2">
      <c r="A323" s="13"/>
      <c r="B323" s="14"/>
      <c r="C323" s="13"/>
      <c r="D323" s="13"/>
      <c r="E323" s="13"/>
    </row>
    <row r="324" spans="1:5" x14ac:dyDescent="0.2">
      <c r="A324" s="13"/>
      <c r="B324" s="14"/>
      <c r="C324" s="13"/>
      <c r="D324" s="13"/>
      <c r="E324" s="13"/>
    </row>
    <row r="325" spans="1:5" x14ac:dyDescent="0.2">
      <c r="A325" s="13"/>
      <c r="B325" s="14"/>
      <c r="C325" s="13"/>
      <c r="D325" s="13"/>
      <c r="E325" s="13"/>
    </row>
    <row r="326" spans="1:5" x14ac:dyDescent="0.2">
      <c r="A326" s="13"/>
      <c r="B326" s="14"/>
      <c r="C326" s="13"/>
      <c r="D326" s="13"/>
      <c r="E326" s="13"/>
    </row>
    <row r="327" spans="1:5" x14ac:dyDescent="0.2">
      <c r="A327" s="13"/>
      <c r="B327" s="14"/>
      <c r="C327" s="13"/>
      <c r="D327" s="13"/>
      <c r="E327" s="13"/>
    </row>
    <row r="328" spans="1:5" x14ac:dyDescent="0.2">
      <c r="A328" s="13"/>
      <c r="B328" s="14"/>
      <c r="C328" s="13"/>
      <c r="D328" s="13"/>
      <c r="E328" s="13"/>
    </row>
    <row r="329" spans="1:5" x14ac:dyDescent="0.2">
      <c r="A329" s="13"/>
      <c r="B329" s="14"/>
      <c r="C329" s="13"/>
      <c r="D329" s="13"/>
      <c r="E329" s="13"/>
    </row>
    <row r="330" spans="1:5" x14ac:dyDescent="0.2">
      <c r="A330" s="13"/>
      <c r="B330" s="14"/>
      <c r="C330" s="13"/>
      <c r="D330" s="13"/>
      <c r="E330" s="13"/>
    </row>
    <row r="331" spans="1:5" x14ac:dyDescent="0.2">
      <c r="A331" s="13"/>
      <c r="B331" s="14"/>
      <c r="C331" s="13"/>
      <c r="D331" s="13"/>
      <c r="E331" s="13"/>
    </row>
    <row r="332" spans="1:5" x14ac:dyDescent="0.2">
      <c r="A332" s="13"/>
      <c r="B332" s="14"/>
      <c r="C332" s="13"/>
      <c r="D332" s="13"/>
      <c r="E332" s="13"/>
    </row>
    <row r="333" spans="1:5" x14ac:dyDescent="0.2">
      <c r="A333" s="13"/>
      <c r="B333" s="14"/>
      <c r="C333" s="13"/>
      <c r="D333" s="13"/>
      <c r="E333" s="13"/>
    </row>
    <row r="334" spans="1:5" x14ac:dyDescent="0.2">
      <c r="A334" s="13"/>
      <c r="B334" s="14"/>
      <c r="C334" s="13"/>
      <c r="D334" s="13"/>
      <c r="E334" s="13"/>
    </row>
    <row r="335" spans="1:5" x14ac:dyDescent="0.2">
      <c r="A335" s="13"/>
      <c r="B335" s="14"/>
      <c r="C335" s="13"/>
      <c r="D335" s="13"/>
      <c r="E335" s="13"/>
    </row>
    <row r="336" spans="1:5" x14ac:dyDescent="0.2">
      <c r="A336" s="13"/>
      <c r="B336" s="14"/>
      <c r="C336" s="13"/>
      <c r="D336" s="13"/>
      <c r="E336" s="13"/>
    </row>
    <row r="337" spans="1:5" x14ac:dyDescent="0.2">
      <c r="A337" s="13"/>
      <c r="B337" s="14"/>
      <c r="C337" s="13"/>
      <c r="D337" s="13"/>
      <c r="E337" s="13"/>
    </row>
    <row r="338" spans="1:5" x14ac:dyDescent="0.2">
      <c r="A338" s="13"/>
      <c r="B338" s="14"/>
      <c r="C338" s="13"/>
      <c r="D338" s="13"/>
      <c r="E338" s="13"/>
    </row>
    <row r="339" spans="1:5" x14ac:dyDescent="0.2">
      <c r="A339" s="13"/>
      <c r="B339" s="14"/>
      <c r="C339" s="13"/>
      <c r="D339" s="13"/>
      <c r="E339" s="13"/>
    </row>
    <row r="340" spans="1:5" x14ac:dyDescent="0.2">
      <c r="A340" s="13"/>
      <c r="B340" s="14"/>
      <c r="C340" s="13"/>
      <c r="D340" s="13"/>
      <c r="E340" s="13"/>
    </row>
    <row r="341" spans="1:5" x14ac:dyDescent="0.2">
      <c r="A341" s="13"/>
      <c r="B341" s="14"/>
      <c r="C341" s="13"/>
      <c r="D341" s="13"/>
      <c r="E341" s="13"/>
    </row>
    <row r="342" spans="1:5" x14ac:dyDescent="0.2">
      <c r="A342" s="13"/>
      <c r="B342" s="14"/>
      <c r="C342" s="13"/>
      <c r="D342" s="13"/>
      <c r="E342" s="13"/>
    </row>
    <row r="343" spans="1:5" x14ac:dyDescent="0.2">
      <c r="A343" s="13"/>
      <c r="B343" s="14"/>
      <c r="C343" s="13"/>
      <c r="D343" s="13"/>
      <c r="E343" s="13"/>
    </row>
    <row r="344" spans="1:5" x14ac:dyDescent="0.2">
      <c r="A344" s="13"/>
      <c r="B344" s="14"/>
      <c r="C344" s="13"/>
      <c r="D344" s="13"/>
      <c r="E344" s="13"/>
    </row>
    <row r="345" spans="1:5" x14ac:dyDescent="0.2">
      <c r="A345" s="13"/>
      <c r="B345" s="14"/>
      <c r="C345" s="13"/>
      <c r="D345" s="13"/>
      <c r="E345" s="13"/>
    </row>
    <row r="346" spans="1:5" x14ac:dyDescent="0.2">
      <c r="A346" s="13"/>
      <c r="B346" s="14"/>
      <c r="C346" s="13"/>
      <c r="D346" s="13"/>
      <c r="E346" s="13"/>
    </row>
    <row r="347" spans="1:5" x14ac:dyDescent="0.2">
      <c r="A347" s="13"/>
      <c r="B347" s="14"/>
      <c r="C347" s="13"/>
      <c r="D347" s="13"/>
      <c r="E347" s="13"/>
    </row>
    <row r="348" spans="1:5" x14ac:dyDescent="0.2">
      <c r="A348" s="13"/>
      <c r="B348" s="14"/>
      <c r="C348" s="13"/>
      <c r="D348" s="13"/>
      <c r="E348" s="13"/>
    </row>
    <row r="349" spans="1:5" x14ac:dyDescent="0.2">
      <c r="A349" s="13"/>
      <c r="B349" s="14"/>
      <c r="C349" s="13"/>
      <c r="D349" s="13"/>
      <c r="E349" s="13"/>
    </row>
    <row r="350" spans="1:5" x14ac:dyDescent="0.2">
      <c r="A350" s="13"/>
      <c r="B350" s="14"/>
      <c r="C350" s="13"/>
      <c r="D350" s="13"/>
      <c r="E350" s="13"/>
    </row>
    <row r="351" spans="1:5" x14ac:dyDescent="0.2">
      <c r="A351" s="13"/>
      <c r="B351" s="14"/>
      <c r="C351" s="13"/>
      <c r="D351" s="13"/>
      <c r="E351" s="13"/>
    </row>
    <row r="352" spans="1:5" x14ac:dyDescent="0.2">
      <c r="A352" s="13"/>
      <c r="B352" s="14"/>
      <c r="C352" s="13"/>
      <c r="D352" s="13"/>
      <c r="E352" s="13"/>
    </row>
    <row r="353" spans="1:5" x14ac:dyDescent="0.2">
      <c r="A353" s="13"/>
      <c r="B353" s="14"/>
      <c r="C353" s="13"/>
      <c r="D353" s="13"/>
      <c r="E353" s="13"/>
    </row>
    <row r="354" spans="1:5" x14ac:dyDescent="0.2">
      <c r="A354" s="13"/>
      <c r="B354" s="14"/>
      <c r="C354" s="13"/>
      <c r="D354" s="13"/>
      <c r="E354" s="13"/>
    </row>
    <row r="355" spans="1:5" x14ac:dyDescent="0.2">
      <c r="A355" s="13"/>
      <c r="B355" s="14"/>
      <c r="C355" s="13"/>
      <c r="D355" s="13"/>
      <c r="E355" s="13"/>
    </row>
    <row r="356" spans="1:5" x14ac:dyDescent="0.2">
      <c r="A356" s="13"/>
      <c r="B356" s="14"/>
      <c r="C356" s="13"/>
      <c r="D356" s="13"/>
      <c r="E356" s="13"/>
    </row>
    <row r="357" spans="1:5" x14ac:dyDescent="0.2">
      <c r="A357" s="13"/>
      <c r="B357" s="14"/>
      <c r="C357" s="13"/>
      <c r="D357" s="13"/>
      <c r="E357" s="13"/>
    </row>
    <row r="358" spans="1:5" x14ac:dyDescent="0.2">
      <c r="A358" s="13"/>
      <c r="B358" s="14"/>
      <c r="C358" s="13"/>
      <c r="D358" s="13"/>
      <c r="E358" s="13"/>
    </row>
    <row r="359" spans="1:5" x14ac:dyDescent="0.2">
      <c r="A359" s="13"/>
      <c r="B359" s="14"/>
      <c r="C359" s="13"/>
      <c r="D359" s="13"/>
      <c r="E359" s="13"/>
    </row>
    <row r="360" spans="1:5" x14ac:dyDescent="0.2">
      <c r="A360" s="13"/>
      <c r="B360" s="14"/>
      <c r="C360" s="13"/>
      <c r="D360" s="13"/>
      <c r="E360" s="13"/>
    </row>
    <row r="361" spans="1:5" x14ac:dyDescent="0.2">
      <c r="A361" s="13"/>
      <c r="B361" s="14"/>
      <c r="C361" s="13"/>
      <c r="D361" s="13"/>
      <c r="E361" s="13"/>
    </row>
    <row r="362" spans="1:5" x14ac:dyDescent="0.2">
      <c r="A362" s="13"/>
      <c r="B362" s="14"/>
      <c r="C362" s="13"/>
      <c r="D362" s="13"/>
      <c r="E362" s="13"/>
    </row>
    <row r="363" spans="1:5" x14ac:dyDescent="0.2">
      <c r="A363" s="13"/>
      <c r="B363" s="14"/>
      <c r="C363" s="13"/>
      <c r="D363" s="13"/>
      <c r="E363" s="13"/>
    </row>
    <row r="364" spans="1:5" x14ac:dyDescent="0.2">
      <c r="A364" s="13"/>
      <c r="B364" s="14"/>
      <c r="C364" s="13"/>
      <c r="D364" s="13"/>
      <c r="E364" s="13"/>
    </row>
    <row r="365" spans="1:5" x14ac:dyDescent="0.2">
      <c r="A365" s="13"/>
      <c r="B365" s="14"/>
      <c r="C365" s="13"/>
      <c r="D365" s="13"/>
      <c r="E365" s="13"/>
    </row>
    <row r="366" spans="1:5" x14ac:dyDescent="0.2">
      <c r="A366" s="13"/>
      <c r="B366" s="14"/>
      <c r="C366" s="13"/>
      <c r="D366" s="13"/>
      <c r="E366" s="13"/>
    </row>
    <row r="367" spans="1:5" x14ac:dyDescent="0.2">
      <c r="A367" s="13"/>
      <c r="B367" s="14"/>
      <c r="C367" s="13"/>
      <c r="D367" s="13"/>
      <c r="E367" s="13"/>
    </row>
    <row r="368" spans="1:5" x14ac:dyDescent="0.2">
      <c r="A368" s="13"/>
      <c r="B368" s="14"/>
      <c r="C368" s="13"/>
      <c r="D368" s="13"/>
      <c r="E368" s="13"/>
    </row>
    <row r="369" spans="1:5" x14ac:dyDescent="0.2">
      <c r="A369" s="13"/>
      <c r="B369" s="14"/>
      <c r="C369" s="13"/>
      <c r="D369" s="13"/>
      <c r="E369" s="13"/>
    </row>
    <row r="370" spans="1:5" x14ac:dyDescent="0.2">
      <c r="A370" s="13"/>
      <c r="B370" s="14"/>
      <c r="C370" s="13"/>
      <c r="D370" s="13"/>
      <c r="E370" s="13"/>
    </row>
    <row r="371" spans="1:5" x14ac:dyDescent="0.2">
      <c r="A371" s="13"/>
      <c r="B371" s="14"/>
      <c r="C371" s="13"/>
      <c r="D371" s="13"/>
      <c r="E371" s="13"/>
    </row>
    <row r="372" spans="1:5" x14ac:dyDescent="0.2">
      <c r="A372" s="13"/>
      <c r="B372" s="14"/>
      <c r="C372" s="13"/>
      <c r="D372" s="13"/>
      <c r="E372" s="13"/>
    </row>
    <row r="373" spans="1:5" x14ac:dyDescent="0.2">
      <c r="A373" s="13"/>
      <c r="B373" s="14"/>
      <c r="C373" s="13"/>
      <c r="D373" s="13"/>
      <c r="E373" s="13"/>
    </row>
    <row r="374" spans="1:5" x14ac:dyDescent="0.2">
      <c r="A374" s="13"/>
      <c r="B374" s="14"/>
      <c r="C374" s="13"/>
      <c r="D374" s="13"/>
      <c r="E374" s="13"/>
    </row>
    <row r="375" spans="1:5" x14ac:dyDescent="0.2">
      <c r="A375" s="13"/>
      <c r="B375" s="14"/>
      <c r="C375" s="13"/>
      <c r="D375" s="13"/>
      <c r="E375" s="13"/>
    </row>
    <row r="376" spans="1:5" x14ac:dyDescent="0.2">
      <c r="A376" s="13"/>
      <c r="B376" s="14"/>
      <c r="C376" s="13"/>
      <c r="D376" s="13"/>
      <c r="E376" s="13"/>
    </row>
    <row r="377" spans="1:5" x14ac:dyDescent="0.2">
      <c r="A377" s="13"/>
      <c r="B377" s="14"/>
      <c r="C377" s="13"/>
      <c r="D377" s="13"/>
      <c r="E377" s="13"/>
    </row>
    <row r="378" spans="1:5" x14ac:dyDescent="0.2">
      <c r="A378" s="13"/>
      <c r="B378" s="14"/>
      <c r="C378" s="13"/>
      <c r="D378" s="13"/>
      <c r="E378" s="13"/>
    </row>
    <row r="379" spans="1:5" x14ac:dyDescent="0.2">
      <c r="A379" s="13"/>
      <c r="B379" s="14"/>
      <c r="C379" s="13"/>
      <c r="D379" s="13"/>
      <c r="E379" s="13"/>
    </row>
    <row r="380" spans="1:5" x14ac:dyDescent="0.2">
      <c r="A380" s="13"/>
      <c r="B380" s="14"/>
      <c r="C380" s="13"/>
      <c r="D380" s="13"/>
      <c r="E380" s="13"/>
    </row>
    <row r="381" spans="1:5" x14ac:dyDescent="0.2">
      <c r="A381" s="13"/>
      <c r="B381" s="14"/>
      <c r="C381" s="13"/>
      <c r="D381" s="13"/>
      <c r="E381" s="13"/>
    </row>
    <row r="382" spans="1:5" x14ac:dyDescent="0.2">
      <c r="A382" s="13"/>
      <c r="B382" s="14"/>
      <c r="C382" s="13"/>
      <c r="D382" s="13"/>
      <c r="E382" s="13"/>
    </row>
    <row r="383" spans="1:5" x14ac:dyDescent="0.2">
      <c r="A383" s="13"/>
      <c r="B383" s="14"/>
      <c r="C383" s="13"/>
      <c r="D383" s="13"/>
      <c r="E383" s="13"/>
    </row>
    <row r="384" spans="1:5" x14ac:dyDescent="0.2">
      <c r="A384" s="13"/>
      <c r="B384" s="14"/>
      <c r="C384" s="13"/>
      <c r="D384" s="13"/>
      <c r="E384" s="13"/>
    </row>
    <row r="385" spans="1:5" x14ac:dyDescent="0.2">
      <c r="A385" s="13"/>
      <c r="B385" s="14"/>
      <c r="C385" s="13"/>
      <c r="D385" s="13"/>
      <c r="E385" s="13"/>
    </row>
    <row r="386" spans="1:5" x14ac:dyDescent="0.2">
      <c r="A386" s="13"/>
      <c r="B386" s="14"/>
      <c r="C386" s="13"/>
      <c r="D386" s="13"/>
      <c r="E386" s="13"/>
    </row>
    <row r="387" spans="1:5" x14ac:dyDescent="0.2">
      <c r="A387" s="13"/>
      <c r="B387" s="14"/>
      <c r="C387" s="13"/>
      <c r="D387" s="13"/>
      <c r="E387" s="13"/>
    </row>
    <row r="388" spans="1:5" x14ac:dyDescent="0.2">
      <c r="A388" s="13"/>
      <c r="B388" s="14"/>
      <c r="C388" s="13"/>
      <c r="D388" s="13"/>
      <c r="E388" s="13"/>
    </row>
    <row r="389" spans="1:5" x14ac:dyDescent="0.2">
      <c r="A389" s="13"/>
      <c r="B389" s="14"/>
      <c r="C389" s="13"/>
      <c r="D389" s="13"/>
      <c r="E389" s="13"/>
    </row>
    <row r="390" spans="1:5" x14ac:dyDescent="0.2">
      <c r="A390" s="13"/>
      <c r="B390" s="14"/>
      <c r="C390" s="13"/>
      <c r="D390" s="13"/>
      <c r="E390" s="13"/>
    </row>
    <row r="391" spans="1:5" x14ac:dyDescent="0.2">
      <c r="A391" s="13"/>
      <c r="B391" s="14"/>
      <c r="C391" s="13"/>
      <c r="D391" s="13"/>
      <c r="E391" s="13"/>
    </row>
    <row r="392" spans="1:5" x14ac:dyDescent="0.2">
      <c r="A392" s="13"/>
      <c r="B392" s="14"/>
      <c r="C392" s="13"/>
      <c r="D392" s="13"/>
      <c r="E392" s="13"/>
    </row>
    <row r="393" spans="1:5" x14ac:dyDescent="0.2">
      <c r="A393" s="13"/>
      <c r="B393" s="14"/>
      <c r="C393" s="13"/>
      <c r="D393" s="13"/>
      <c r="E393" s="13"/>
    </row>
    <row r="394" spans="1:5" x14ac:dyDescent="0.2">
      <c r="A394" s="13"/>
      <c r="B394" s="14"/>
      <c r="C394" s="13"/>
      <c r="D394" s="13"/>
      <c r="E394" s="13"/>
    </row>
    <row r="395" spans="1:5" x14ac:dyDescent="0.2">
      <c r="A395" s="13"/>
      <c r="B395" s="14"/>
      <c r="C395" s="13"/>
      <c r="D395" s="13"/>
      <c r="E395" s="13"/>
    </row>
    <row r="396" spans="1:5" x14ac:dyDescent="0.2">
      <c r="A396" s="13"/>
      <c r="B396" s="14"/>
      <c r="C396" s="13"/>
      <c r="D396" s="13"/>
      <c r="E396" s="13"/>
    </row>
    <row r="397" spans="1:5" x14ac:dyDescent="0.2">
      <c r="A397" s="13"/>
      <c r="B397" s="14"/>
      <c r="C397" s="13"/>
      <c r="D397" s="13"/>
      <c r="E397" s="13"/>
    </row>
    <row r="398" spans="1:5" x14ac:dyDescent="0.2">
      <c r="A398" s="13"/>
      <c r="B398" s="14"/>
      <c r="C398" s="13"/>
      <c r="D398" s="13"/>
      <c r="E398" s="13"/>
    </row>
    <row r="399" spans="1:5" x14ac:dyDescent="0.2">
      <c r="A399" s="13"/>
      <c r="B399" s="14"/>
      <c r="C399" s="13"/>
      <c r="D399" s="13"/>
      <c r="E399" s="13"/>
    </row>
    <row r="400" spans="1:5" x14ac:dyDescent="0.2">
      <c r="A400" s="13"/>
      <c r="B400" s="14"/>
      <c r="C400" s="13"/>
      <c r="D400" s="13"/>
      <c r="E400" s="13"/>
    </row>
    <row r="401" spans="1:5" x14ac:dyDescent="0.2">
      <c r="A401" s="13"/>
      <c r="B401" s="14"/>
      <c r="C401" s="13"/>
      <c r="D401" s="13"/>
      <c r="E401" s="13"/>
    </row>
    <row r="402" spans="1:5" x14ac:dyDescent="0.2">
      <c r="A402" s="13"/>
      <c r="B402" s="14"/>
      <c r="C402" s="13"/>
      <c r="D402" s="13"/>
      <c r="E402" s="13"/>
    </row>
    <row r="403" spans="1:5" x14ac:dyDescent="0.2">
      <c r="A403" s="13"/>
      <c r="B403" s="14"/>
      <c r="C403" s="13"/>
      <c r="D403" s="13"/>
      <c r="E403" s="13"/>
    </row>
    <row r="404" spans="1:5" x14ac:dyDescent="0.2">
      <c r="A404" s="13"/>
      <c r="B404" s="14"/>
      <c r="C404" s="13"/>
      <c r="D404" s="13"/>
      <c r="E404" s="13"/>
    </row>
    <row r="405" spans="1:5" x14ac:dyDescent="0.2">
      <c r="A405" s="13"/>
      <c r="B405" s="14"/>
      <c r="C405" s="13"/>
      <c r="D405" s="13"/>
      <c r="E405" s="13"/>
    </row>
    <row r="406" spans="1:5" x14ac:dyDescent="0.2">
      <c r="A406" s="13"/>
      <c r="B406" s="14"/>
      <c r="C406" s="13"/>
      <c r="D406" s="13"/>
      <c r="E406" s="13"/>
    </row>
    <row r="407" spans="1:5" x14ac:dyDescent="0.2">
      <c r="A407" s="13"/>
      <c r="B407" s="14"/>
      <c r="C407" s="13"/>
      <c r="D407" s="13"/>
      <c r="E407" s="13"/>
    </row>
    <row r="408" spans="1:5" x14ac:dyDescent="0.2">
      <c r="A408" s="13"/>
      <c r="B408" s="14"/>
      <c r="C408" s="13"/>
      <c r="D408" s="13"/>
      <c r="E408" s="13"/>
    </row>
    <row r="409" spans="1:5" x14ac:dyDescent="0.2">
      <c r="A409" s="13"/>
      <c r="B409" s="14"/>
      <c r="C409" s="13"/>
      <c r="D409" s="13"/>
      <c r="E409" s="13"/>
    </row>
    <row r="410" spans="1:5" x14ac:dyDescent="0.2">
      <c r="A410" s="13"/>
      <c r="B410" s="14"/>
      <c r="C410" s="13"/>
      <c r="D410" s="13"/>
      <c r="E410" s="13"/>
    </row>
    <row r="411" spans="1:5" x14ac:dyDescent="0.2">
      <c r="A411" s="13"/>
      <c r="B411" s="14"/>
      <c r="C411" s="13"/>
      <c r="D411" s="13"/>
      <c r="E411" s="13"/>
    </row>
    <row r="412" spans="1:5" x14ac:dyDescent="0.2">
      <c r="A412" s="13"/>
      <c r="B412" s="14"/>
      <c r="C412" s="13"/>
      <c r="D412" s="13"/>
      <c r="E412" s="13"/>
    </row>
    <row r="413" spans="1:5" x14ac:dyDescent="0.2">
      <c r="A413" s="13"/>
      <c r="B413" s="14"/>
      <c r="C413" s="13"/>
      <c r="D413" s="13"/>
      <c r="E413" s="13"/>
    </row>
    <row r="414" spans="1:5" x14ac:dyDescent="0.2">
      <c r="A414" s="13"/>
      <c r="B414" s="14"/>
      <c r="C414" s="13"/>
      <c r="D414" s="13"/>
      <c r="E414" s="13"/>
    </row>
    <row r="415" spans="1:5" x14ac:dyDescent="0.2">
      <c r="A415" s="13"/>
      <c r="B415" s="14"/>
      <c r="C415" s="13"/>
      <c r="D415" s="13"/>
      <c r="E415" s="13"/>
    </row>
    <row r="416" spans="1:5" x14ac:dyDescent="0.2">
      <c r="A416" s="13"/>
      <c r="B416" s="14"/>
      <c r="C416" s="13"/>
      <c r="D416" s="13"/>
      <c r="E416" s="13"/>
    </row>
    <row r="417" spans="1:5" x14ac:dyDescent="0.2">
      <c r="A417" s="13"/>
      <c r="B417" s="14"/>
      <c r="C417" s="13"/>
      <c r="D417" s="13"/>
      <c r="E417" s="13"/>
    </row>
    <row r="418" spans="1:5" x14ac:dyDescent="0.2">
      <c r="A418" s="13"/>
      <c r="B418" s="14"/>
      <c r="C418" s="13"/>
      <c r="D418" s="13"/>
      <c r="E418" s="13"/>
    </row>
    <row r="419" spans="1:5" x14ac:dyDescent="0.2">
      <c r="A419" s="13"/>
      <c r="B419" s="14"/>
      <c r="C419" s="13"/>
      <c r="D419" s="13"/>
      <c r="E419" s="13"/>
    </row>
    <row r="420" spans="1:5" x14ac:dyDescent="0.2">
      <c r="A420" s="13"/>
      <c r="B420" s="14"/>
      <c r="C420" s="13"/>
      <c r="D420" s="13"/>
      <c r="E420" s="13"/>
    </row>
    <row r="421" spans="1:5" x14ac:dyDescent="0.2">
      <c r="A421" s="13"/>
      <c r="B421" s="14"/>
      <c r="C421" s="13"/>
      <c r="D421" s="13"/>
      <c r="E421" s="13"/>
    </row>
    <row r="422" spans="1:5" x14ac:dyDescent="0.2">
      <c r="A422" s="13"/>
      <c r="B422" s="14"/>
      <c r="C422" s="13"/>
      <c r="D422" s="13"/>
      <c r="E422" s="13"/>
    </row>
    <row r="423" spans="1:5" x14ac:dyDescent="0.2">
      <c r="A423" s="13"/>
      <c r="B423" s="14"/>
      <c r="C423" s="13"/>
      <c r="D423" s="13"/>
      <c r="E423" s="13"/>
    </row>
    <row r="424" spans="1:5" x14ac:dyDescent="0.2">
      <c r="A424" s="13"/>
      <c r="B424" s="14"/>
      <c r="C424" s="13"/>
      <c r="D424" s="13"/>
      <c r="E424" s="13"/>
    </row>
    <row r="425" spans="1:5" x14ac:dyDescent="0.2">
      <c r="A425" s="13"/>
      <c r="B425" s="14"/>
      <c r="C425" s="13"/>
      <c r="D425" s="13"/>
      <c r="E425" s="13"/>
    </row>
    <row r="426" spans="1:5" x14ac:dyDescent="0.2">
      <c r="A426" s="13"/>
      <c r="B426" s="14"/>
      <c r="C426" s="13"/>
      <c r="D426" s="13"/>
      <c r="E426" s="13"/>
    </row>
    <row r="427" spans="1:5" x14ac:dyDescent="0.2">
      <c r="A427" s="13"/>
      <c r="B427" s="14"/>
      <c r="C427" s="13"/>
      <c r="D427" s="13"/>
      <c r="E427" s="13"/>
    </row>
    <row r="428" spans="1:5" x14ac:dyDescent="0.2">
      <c r="A428" s="13"/>
      <c r="B428" s="14"/>
      <c r="C428" s="13"/>
      <c r="D428" s="13"/>
      <c r="E428" s="13"/>
    </row>
    <row r="429" spans="1:5" x14ac:dyDescent="0.2">
      <c r="A429" s="13"/>
      <c r="B429" s="14"/>
      <c r="C429" s="13"/>
      <c r="D429" s="13"/>
      <c r="E429" s="13"/>
    </row>
    <row r="430" spans="1:5" x14ac:dyDescent="0.2">
      <c r="A430" s="13"/>
      <c r="B430" s="14"/>
      <c r="C430" s="13"/>
      <c r="D430" s="13"/>
      <c r="E430" s="13"/>
    </row>
    <row r="431" spans="1:5" x14ac:dyDescent="0.2">
      <c r="A431" s="13"/>
      <c r="B431" s="14"/>
      <c r="C431" s="13"/>
      <c r="D431" s="13"/>
      <c r="E431" s="13"/>
    </row>
    <row r="432" spans="1:5" x14ac:dyDescent="0.2">
      <c r="A432" s="13"/>
      <c r="B432" s="14"/>
      <c r="C432" s="13"/>
      <c r="D432" s="13"/>
      <c r="E432" s="13"/>
    </row>
    <row r="433" spans="1:5" x14ac:dyDescent="0.2">
      <c r="A433" s="13"/>
      <c r="B433" s="14"/>
      <c r="C433" s="13"/>
      <c r="D433" s="13"/>
      <c r="E433" s="13"/>
    </row>
    <row r="434" spans="1:5" x14ac:dyDescent="0.2">
      <c r="A434" s="13"/>
      <c r="B434" s="14"/>
      <c r="C434" s="13"/>
      <c r="D434" s="13"/>
      <c r="E434" s="13"/>
    </row>
    <row r="435" spans="1:5" x14ac:dyDescent="0.2">
      <c r="A435" s="13"/>
      <c r="B435" s="14"/>
      <c r="C435" s="13"/>
      <c r="D435" s="13"/>
      <c r="E435" s="13"/>
    </row>
    <row r="436" spans="1:5" x14ac:dyDescent="0.2">
      <c r="A436" s="13"/>
      <c r="B436" s="14"/>
      <c r="C436" s="13"/>
      <c r="D436" s="13"/>
      <c r="E436" s="13"/>
    </row>
    <row r="437" spans="1:5" x14ac:dyDescent="0.2">
      <c r="A437" s="13"/>
      <c r="B437" s="14"/>
      <c r="C437" s="13"/>
      <c r="D437" s="13"/>
      <c r="E437" s="13"/>
    </row>
    <row r="438" spans="1:5" x14ac:dyDescent="0.2">
      <c r="A438" s="13"/>
      <c r="B438" s="14"/>
      <c r="C438" s="13"/>
      <c r="D438" s="13"/>
      <c r="E438" s="13"/>
    </row>
    <row r="439" spans="1:5" x14ac:dyDescent="0.2">
      <c r="A439" s="13"/>
      <c r="B439" s="14"/>
      <c r="C439" s="13"/>
      <c r="D439" s="13"/>
      <c r="E439" s="13"/>
    </row>
    <row r="440" spans="1:5" x14ac:dyDescent="0.2">
      <c r="A440" s="13"/>
      <c r="B440" s="14"/>
      <c r="C440" s="13"/>
      <c r="D440" s="13"/>
      <c r="E440" s="13"/>
    </row>
    <row r="441" spans="1:5" x14ac:dyDescent="0.2">
      <c r="A441" s="13"/>
      <c r="B441" s="14"/>
      <c r="C441" s="13"/>
      <c r="D441" s="13"/>
      <c r="E441" s="13"/>
    </row>
    <row r="442" spans="1:5" x14ac:dyDescent="0.2">
      <c r="A442" s="13"/>
      <c r="B442" s="14"/>
      <c r="C442" s="13"/>
      <c r="D442" s="13"/>
      <c r="E442" s="13"/>
    </row>
    <row r="443" spans="1:5" x14ac:dyDescent="0.2">
      <c r="A443" s="13"/>
      <c r="B443" s="14"/>
      <c r="C443" s="13"/>
      <c r="D443" s="13"/>
      <c r="E443" s="13"/>
    </row>
    <row r="444" spans="1:5" x14ac:dyDescent="0.2">
      <c r="A444" s="13"/>
      <c r="B444" s="14"/>
      <c r="C444" s="13"/>
      <c r="D444" s="13"/>
      <c r="E444" s="13"/>
    </row>
    <row r="445" spans="1:5" x14ac:dyDescent="0.2">
      <c r="A445" s="13"/>
      <c r="B445" s="14"/>
      <c r="C445" s="13"/>
      <c r="D445" s="13"/>
      <c r="E445" s="13"/>
    </row>
    <row r="446" spans="1:5" x14ac:dyDescent="0.2">
      <c r="A446" s="13"/>
      <c r="B446" s="14"/>
      <c r="C446" s="13"/>
      <c r="D446" s="13"/>
      <c r="E446" s="13"/>
    </row>
    <row r="447" spans="1:5" x14ac:dyDescent="0.2">
      <c r="A447" s="13"/>
      <c r="B447" s="14"/>
      <c r="C447" s="13"/>
      <c r="D447" s="13"/>
      <c r="E447" s="13"/>
    </row>
    <row r="448" spans="1:5" x14ac:dyDescent="0.2">
      <c r="A448" s="13"/>
      <c r="B448" s="14"/>
      <c r="C448" s="13"/>
      <c r="D448" s="13"/>
      <c r="E448" s="13"/>
    </row>
    <row r="449" spans="1:5" x14ac:dyDescent="0.2">
      <c r="A449" s="13"/>
      <c r="B449" s="14"/>
      <c r="C449" s="13"/>
      <c r="D449" s="13"/>
      <c r="E449" s="13"/>
    </row>
    <row r="450" spans="1:5" x14ac:dyDescent="0.2">
      <c r="A450" s="13"/>
      <c r="B450" s="14"/>
      <c r="C450" s="13"/>
      <c r="D450" s="13"/>
      <c r="E450" s="13"/>
    </row>
    <row r="451" spans="1:5" x14ac:dyDescent="0.2">
      <c r="A451" s="13"/>
      <c r="B451" s="14"/>
      <c r="C451" s="13"/>
      <c r="D451" s="13"/>
      <c r="E451" s="13"/>
    </row>
    <row r="452" spans="1:5" x14ac:dyDescent="0.2">
      <c r="A452" s="13"/>
      <c r="B452" s="14"/>
      <c r="C452" s="13"/>
      <c r="D452" s="13"/>
      <c r="E452" s="13"/>
    </row>
    <row r="453" spans="1:5" x14ac:dyDescent="0.2">
      <c r="A453" s="13"/>
      <c r="B453" s="14"/>
      <c r="C453" s="13"/>
      <c r="D453" s="13"/>
      <c r="E453" s="13"/>
    </row>
    <row r="454" spans="1:5" x14ac:dyDescent="0.2">
      <c r="A454" s="13"/>
      <c r="B454" s="14"/>
      <c r="C454" s="13"/>
      <c r="D454" s="13"/>
      <c r="E454" s="13"/>
    </row>
    <row r="455" spans="1:5" x14ac:dyDescent="0.2">
      <c r="A455" s="13"/>
      <c r="B455" s="14"/>
      <c r="C455" s="13"/>
      <c r="D455" s="13"/>
      <c r="E455" s="13"/>
    </row>
    <row r="456" spans="1:5" x14ac:dyDescent="0.2">
      <c r="A456" s="13"/>
      <c r="B456" s="14"/>
      <c r="C456" s="13"/>
      <c r="D456" s="13"/>
      <c r="E456" s="13"/>
    </row>
    <row r="457" spans="1:5" x14ac:dyDescent="0.2">
      <c r="A457" s="13"/>
      <c r="B457" s="14"/>
      <c r="C457" s="13"/>
      <c r="D457" s="13"/>
      <c r="E457" s="13"/>
    </row>
    <row r="458" spans="1:5" x14ac:dyDescent="0.2">
      <c r="A458" s="13"/>
      <c r="B458" s="14"/>
      <c r="C458" s="13"/>
      <c r="D458" s="13"/>
      <c r="E458" s="13"/>
    </row>
    <row r="459" spans="1:5" x14ac:dyDescent="0.2">
      <c r="A459" s="13"/>
      <c r="B459" s="14"/>
      <c r="C459" s="13"/>
      <c r="D459" s="13"/>
      <c r="E459" s="13"/>
    </row>
    <row r="460" spans="1:5" x14ac:dyDescent="0.2">
      <c r="A460" s="13"/>
      <c r="B460" s="14"/>
      <c r="C460" s="13"/>
      <c r="D460" s="13"/>
      <c r="E460" s="13"/>
    </row>
    <row r="461" spans="1:5" x14ac:dyDescent="0.2">
      <c r="A461" s="13"/>
      <c r="B461" s="14"/>
      <c r="C461" s="13"/>
      <c r="D461" s="13"/>
      <c r="E461" s="13"/>
    </row>
    <row r="462" spans="1:5" x14ac:dyDescent="0.2">
      <c r="A462" s="13"/>
      <c r="B462" s="14"/>
      <c r="C462" s="13"/>
      <c r="D462" s="13"/>
      <c r="E462" s="13"/>
    </row>
    <row r="463" spans="1:5" x14ac:dyDescent="0.2">
      <c r="A463" s="13"/>
      <c r="B463" s="14"/>
      <c r="C463" s="13"/>
      <c r="D463" s="13"/>
      <c r="E463" s="13"/>
    </row>
    <row r="464" spans="1:5" x14ac:dyDescent="0.2">
      <c r="A464" s="13"/>
      <c r="B464" s="14"/>
      <c r="C464" s="13"/>
      <c r="D464" s="13"/>
      <c r="E464" s="13"/>
    </row>
    <row r="465" spans="1:5" x14ac:dyDescent="0.2">
      <c r="A465" s="13"/>
      <c r="B465" s="14"/>
      <c r="C465" s="13"/>
      <c r="D465" s="13"/>
      <c r="E465" s="13"/>
    </row>
    <row r="466" spans="1:5" x14ac:dyDescent="0.2">
      <c r="A466" s="13"/>
      <c r="B466" s="14"/>
      <c r="C466" s="13"/>
      <c r="D466" s="13"/>
      <c r="E466" s="13"/>
    </row>
    <row r="467" spans="1:5" x14ac:dyDescent="0.2">
      <c r="A467" s="13"/>
      <c r="B467" s="14"/>
      <c r="C467" s="13"/>
      <c r="D467" s="13"/>
      <c r="E467" s="13"/>
    </row>
    <row r="468" spans="1:5" x14ac:dyDescent="0.2">
      <c r="A468" s="13"/>
      <c r="B468" s="14"/>
      <c r="C468" s="13"/>
      <c r="D468" s="13"/>
      <c r="E468" s="13"/>
    </row>
    <row r="469" spans="1:5" x14ac:dyDescent="0.2">
      <c r="A469" s="13"/>
      <c r="B469" s="14"/>
      <c r="C469" s="13"/>
      <c r="D469" s="13"/>
      <c r="E469" s="13"/>
    </row>
    <row r="470" spans="1:5" x14ac:dyDescent="0.2">
      <c r="A470" s="13"/>
      <c r="B470" s="14"/>
      <c r="C470" s="13"/>
      <c r="D470" s="13"/>
      <c r="E470" s="13"/>
    </row>
    <row r="471" spans="1:5" x14ac:dyDescent="0.2">
      <c r="A471" s="13"/>
      <c r="B471" s="14"/>
      <c r="C471" s="13"/>
      <c r="D471" s="13"/>
      <c r="E471" s="13"/>
    </row>
    <row r="472" spans="1:5" x14ac:dyDescent="0.2">
      <c r="A472" s="13"/>
      <c r="B472" s="14"/>
      <c r="C472" s="13"/>
      <c r="D472" s="13"/>
      <c r="E472" s="13"/>
    </row>
    <row r="473" spans="1:5" x14ac:dyDescent="0.2">
      <c r="A473" s="13"/>
      <c r="B473" s="14"/>
      <c r="C473" s="13"/>
      <c r="D473" s="13"/>
      <c r="E473" s="13"/>
    </row>
    <row r="474" spans="1:5" x14ac:dyDescent="0.2">
      <c r="A474" s="13"/>
      <c r="B474" s="14"/>
      <c r="C474" s="13"/>
      <c r="D474" s="13"/>
      <c r="E474" s="13"/>
    </row>
    <row r="475" spans="1:5" x14ac:dyDescent="0.2">
      <c r="A475" s="13"/>
      <c r="B475" s="14"/>
      <c r="C475" s="13"/>
      <c r="D475" s="13"/>
      <c r="E475" s="13"/>
    </row>
    <row r="476" spans="1:5" x14ac:dyDescent="0.2">
      <c r="A476" s="13"/>
      <c r="B476" s="14"/>
      <c r="C476" s="13"/>
      <c r="D476" s="13"/>
      <c r="E476" s="13"/>
    </row>
    <row r="477" spans="1:5" x14ac:dyDescent="0.2">
      <c r="A477" s="13"/>
      <c r="B477" s="14"/>
      <c r="C477" s="13"/>
      <c r="D477" s="13"/>
      <c r="E477" s="13"/>
    </row>
    <row r="478" spans="1:5" x14ac:dyDescent="0.2">
      <c r="A478" s="13"/>
      <c r="B478" s="14"/>
      <c r="C478" s="13"/>
      <c r="D478" s="13"/>
      <c r="E478" s="13"/>
    </row>
    <row r="479" spans="1:5" x14ac:dyDescent="0.2">
      <c r="A479" s="13"/>
      <c r="B479" s="14"/>
      <c r="C479" s="13"/>
      <c r="D479" s="13"/>
      <c r="E479" s="13"/>
    </row>
    <row r="480" spans="1:5" x14ac:dyDescent="0.2">
      <c r="A480" s="13"/>
      <c r="B480" s="14"/>
      <c r="C480" s="13"/>
      <c r="D480" s="13"/>
      <c r="E480" s="13"/>
    </row>
    <row r="481" spans="1:5" x14ac:dyDescent="0.2">
      <c r="A481" s="13"/>
      <c r="B481" s="14"/>
      <c r="C481" s="13"/>
      <c r="D481" s="13"/>
      <c r="E481" s="13"/>
    </row>
    <row r="482" spans="1:5" x14ac:dyDescent="0.2">
      <c r="A482" s="13"/>
      <c r="B482" s="14"/>
      <c r="C482" s="13"/>
      <c r="D482" s="13"/>
      <c r="E482" s="13"/>
    </row>
    <row r="483" spans="1:5" x14ac:dyDescent="0.2">
      <c r="A483" s="13"/>
      <c r="B483" s="14"/>
      <c r="C483" s="13"/>
      <c r="D483" s="13"/>
      <c r="E483" s="13"/>
    </row>
    <row r="484" spans="1:5" x14ac:dyDescent="0.2">
      <c r="A484" s="13"/>
      <c r="B484" s="14"/>
      <c r="C484" s="13"/>
      <c r="D484" s="13"/>
      <c r="E484" s="13"/>
    </row>
    <row r="485" spans="1:5" x14ac:dyDescent="0.2">
      <c r="A485" s="13"/>
      <c r="B485" s="14"/>
      <c r="C485" s="13"/>
      <c r="D485" s="13"/>
      <c r="E485" s="13"/>
    </row>
    <row r="486" spans="1:5" x14ac:dyDescent="0.2">
      <c r="A486" s="13"/>
      <c r="B486" s="14"/>
      <c r="C486" s="13"/>
      <c r="D486" s="13"/>
      <c r="E486" s="13"/>
    </row>
    <row r="487" spans="1:5" x14ac:dyDescent="0.2">
      <c r="A487" s="13"/>
      <c r="B487" s="14"/>
      <c r="C487" s="13"/>
      <c r="D487" s="13"/>
      <c r="E487" s="13"/>
    </row>
    <row r="488" spans="1:5" x14ac:dyDescent="0.2">
      <c r="A488" s="13"/>
      <c r="B488" s="14"/>
      <c r="C488" s="13"/>
      <c r="D488" s="13"/>
      <c r="E488" s="13"/>
    </row>
    <row r="489" spans="1:5" x14ac:dyDescent="0.2">
      <c r="A489" s="13"/>
      <c r="B489" s="14"/>
      <c r="C489" s="13"/>
      <c r="D489" s="13"/>
      <c r="E489" s="13"/>
    </row>
    <row r="490" spans="1:5" x14ac:dyDescent="0.2">
      <c r="A490" s="13"/>
      <c r="B490" s="14"/>
      <c r="C490" s="13"/>
      <c r="D490" s="13"/>
      <c r="E490" s="13"/>
    </row>
    <row r="491" spans="1:5" x14ac:dyDescent="0.2">
      <c r="A491" s="13"/>
      <c r="B491" s="14"/>
      <c r="C491" s="13"/>
      <c r="D491" s="13"/>
      <c r="E491" s="13"/>
    </row>
    <row r="492" spans="1:5" x14ac:dyDescent="0.2">
      <c r="A492" s="13"/>
      <c r="B492" s="14"/>
      <c r="C492" s="13"/>
      <c r="D492" s="13"/>
      <c r="E492" s="13"/>
    </row>
    <row r="493" spans="1:5" x14ac:dyDescent="0.2">
      <c r="A493" s="13"/>
      <c r="B493" s="14"/>
      <c r="C493" s="13"/>
      <c r="D493" s="13"/>
      <c r="E493" s="13"/>
    </row>
    <row r="494" spans="1:5" x14ac:dyDescent="0.2">
      <c r="A494" s="13"/>
      <c r="B494" s="14"/>
      <c r="C494" s="13"/>
      <c r="D494" s="13"/>
      <c r="E494" s="13"/>
    </row>
    <row r="495" spans="1:5" x14ac:dyDescent="0.2">
      <c r="A495" s="13"/>
      <c r="B495" s="14"/>
      <c r="C495" s="13"/>
      <c r="D495" s="13"/>
      <c r="E495" s="13"/>
    </row>
    <row r="496" spans="1:5" x14ac:dyDescent="0.2">
      <c r="A496" s="13"/>
      <c r="B496" s="14"/>
      <c r="C496" s="13"/>
      <c r="D496" s="13"/>
      <c r="E496" s="13"/>
    </row>
    <row r="497" spans="1:5" x14ac:dyDescent="0.2">
      <c r="A497" s="13"/>
      <c r="B497" s="14"/>
      <c r="C497" s="13"/>
      <c r="D497" s="13"/>
      <c r="E497" s="13"/>
    </row>
    <row r="498" spans="1:5" x14ac:dyDescent="0.2">
      <c r="A498" s="13"/>
      <c r="B498" s="14"/>
      <c r="C498" s="13"/>
      <c r="D498" s="13"/>
      <c r="E498" s="13"/>
    </row>
    <row r="499" spans="1:5" x14ac:dyDescent="0.2">
      <c r="A499" s="13"/>
      <c r="B499" s="14"/>
      <c r="C499" s="13"/>
      <c r="D499" s="13"/>
      <c r="E499" s="13"/>
    </row>
    <row r="500" spans="1:5" x14ac:dyDescent="0.2">
      <c r="A500" s="13"/>
      <c r="B500" s="14"/>
      <c r="C500" s="13"/>
      <c r="D500" s="13"/>
      <c r="E500" s="13"/>
    </row>
    <row r="501" spans="1:5" x14ac:dyDescent="0.2">
      <c r="A501" s="13"/>
      <c r="B501" s="14"/>
      <c r="C501" s="13"/>
      <c r="D501" s="13"/>
      <c r="E501" s="13"/>
    </row>
    <row r="502" spans="1:5" x14ac:dyDescent="0.2">
      <c r="A502" s="13"/>
      <c r="B502" s="14"/>
      <c r="C502" s="13"/>
      <c r="D502" s="13"/>
      <c r="E502" s="13"/>
    </row>
    <row r="503" spans="1:5" x14ac:dyDescent="0.2">
      <c r="A503" s="13"/>
      <c r="B503" s="14"/>
      <c r="C503" s="13"/>
      <c r="D503" s="13"/>
      <c r="E503" s="13"/>
    </row>
    <row r="504" spans="1:5" x14ac:dyDescent="0.2">
      <c r="A504" s="13"/>
      <c r="B504" s="14"/>
      <c r="C504" s="13"/>
      <c r="D504" s="13"/>
      <c r="E504" s="13"/>
    </row>
    <row r="505" spans="1:5" x14ac:dyDescent="0.2">
      <c r="A505" s="13"/>
      <c r="B505" s="14"/>
      <c r="C505" s="13"/>
      <c r="D505" s="13"/>
      <c r="E505" s="13"/>
    </row>
    <row r="506" spans="1:5" x14ac:dyDescent="0.2">
      <c r="A506" s="13"/>
      <c r="B506" s="14"/>
      <c r="C506" s="13"/>
      <c r="D506" s="13"/>
      <c r="E506" s="13"/>
    </row>
    <row r="507" spans="1:5" x14ac:dyDescent="0.2">
      <c r="A507" s="13"/>
      <c r="B507" s="14"/>
      <c r="C507" s="13"/>
      <c r="D507" s="13"/>
      <c r="E507" s="13"/>
    </row>
    <row r="508" spans="1:5" x14ac:dyDescent="0.2">
      <c r="A508" s="13"/>
      <c r="B508" s="14"/>
      <c r="C508" s="13"/>
      <c r="D508" s="13"/>
      <c r="E508" s="13"/>
    </row>
    <row r="509" spans="1:5" x14ac:dyDescent="0.2">
      <c r="A509" s="13"/>
      <c r="B509" s="14"/>
      <c r="C509" s="13"/>
      <c r="D509" s="13"/>
      <c r="E509" s="13"/>
    </row>
    <row r="510" spans="1:5" x14ac:dyDescent="0.2">
      <c r="A510" s="13"/>
      <c r="B510" s="14"/>
      <c r="C510" s="13"/>
      <c r="D510" s="13"/>
      <c r="E510" s="13"/>
    </row>
    <row r="511" spans="1:5" x14ac:dyDescent="0.2">
      <c r="A511" s="13"/>
      <c r="B511" s="14"/>
      <c r="C511" s="13"/>
      <c r="D511" s="13"/>
      <c r="E511" s="13"/>
    </row>
    <row r="512" spans="1:5" x14ac:dyDescent="0.2">
      <c r="A512" s="13"/>
      <c r="B512" s="14"/>
      <c r="C512" s="13"/>
      <c r="D512" s="13"/>
      <c r="E512" s="13"/>
    </row>
    <row r="513" spans="1:5" x14ac:dyDescent="0.2">
      <c r="A513" s="13"/>
      <c r="B513" s="14"/>
      <c r="C513" s="13"/>
      <c r="D513" s="13"/>
      <c r="E513" s="13"/>
    </row>
    <row r="514" spans="1:5" x14ac:dyDescent="0.2">
      <c r="A514" s="13"/>
      <c r="B514" s="14"/>
      <c r="C514" s="13"/>
      <c r="D514" s="13"/>
      <c r="E514" s="13"/>
    </row>
    <row r="515" spans="1:5" x14ac:dyDescent="0.2">
      <c r="A515" s="13"/>
      <c r="B515" s="14"/>
      <c r="C515" s="13"/>
      <c r="D515" s="13"/>
      <c r="E515" s="13"/>
    </row>
    <row r="516" spans="1:5" x14ac:dyDescent="0.2">
      <c r="A516" s="13"/>
      <c r="B516" s="14"/>
      <c r="C516" s="13"/>
      <c r="D516" s="13"/>
      <c r="E516" s="13"/>
    </row>
    <row r="517" spans="1:5" x14ac:dyDescent="0.2">
      <c r="A517" s="13"/>
      <c r="B517" s="14"/>
      <c r="C517" s="13"/>
      <c r="D517" s="13"/>
      <c r="E517" s="13"/>
    </row>
    <row r="518" spans="1:5" x14ac:dyDescent="0.2">
      <c r="A518" s="13"/>
      <c r="B518" s="14"/>
      <c r="C518" s="13"/>
      <c r="D518" s="13"/>
      <c r="E518" s="13"/>
    </row>
    <row r="519" spans="1:5" x14ac:dyDescent="0.2">
      <c r="A519" s="13"/>
      <c r="B519" s="14"/>
      <c r="C519" s="13"/>
      <c r="D519" s="13"/>
      <c r="E519" s="13"/>
    </row>
    <row r="520" spans="1:5" x14ac:dyDescent="0.2">
      <c r="A520" s="13"/>
      <c r="B520" s="14"/>
      <c r="C520" s="13"/>
      <c r="D520" s="13"/>
      <c r="E520" s="13"/>
    </row>
    <row r="521" spans="1:5" x14ac:dyDescent="0.2">
      <c r="A521" s="13"/>
      <c r="B521" s="14"/>
      <c r="C521" s="13"/>
      <c r="D521" s="13"/>
      <c r="E521" s="13"/>
    </row>
    <row r="522" spans="1:5" x14ac:dyDescent="0.2">
      <c r="A522" s="13"/>
      <c r="B522" s="14"/>
      <c r="C522" s="13"/>
      <c r="D522" s="13"/>
      <c r="E522" s="13"/>
    </row>
    <row r="523" spans="1:5" x14ac:dyDescent="0.2">
      <c r="A523" s="13"/>
      <c r="B523" s="14"/>
      <c r="C523" s="13"/>
      <c r="D523" s="13"/>
      <c r="E523" s="13"/>
    </row>
    <row r="524" spans="1:5" x14ac:dyDescent="0.2">
      <c r="A524" s="13"/>
      <c r="B524" s="14"/>
      <c r="C524" s="13"/>
      <c r="D524" s="13"/>
      <c r="E524" s="13"/>
    </row>
    <row r="525" spans="1:5" x14ac:dyDescent="0.2">
      <c r="A525" s="13"/>
      <c r="B525" s="14"/>
      <c r="C525" s="13"/>
      <c r="D525" s="13"/>
      <c r="E525" s="13"/>
    </row>
    <row r="526" spans="1:5" x14ac:dyDescent="0.2">
      <c r="A526" s="13"/>
      <c r="B526" s="14"/>
      <c r="C526" s="13"/>
      <c r="D526" s="13"/>
      <c r="E526" s="13"/>
    </row>
    <row r="527" spans="1:5" x14ac:dyDescent="0.2">
      <c r="A527" s="13"/>
      <c r="B527" s="14"/>
      <c r="C527" s="13"/>
      <c r="D527" s="13"/>
      <c r="E527" s="13"/>
    </row>
    <row r="528" spans="1:5" x14ac:dyDescent="0.2">
      <c r="A528" s="13"/>
      <c r="B528" s="14"/>
      <c r="C528" s="13"/>
      <c r="D528" s="13"/>
      <c r="E528" s="13"/>
    </row>
    <row r="529" spans="1:5" x14ac:dyDescent="0.2">
      <c r="A529" s="13"/>
      <c r="B529" s="14"/>
      <c r="C529" s="13"/>
      <c r="D529" s="13"/>
      <c r="E529" s="13"/>
    </row>
    <row r="530" spans="1:5" x14ac:dyDescent="0.2">
      <c r="A530" s="13"/>
      <c r="B530" s="14"/>
      <c r="C530" s="13"/>
      <c r="D530" s="13"/>
      <c r="E530" s="13"/>
    </row>
    <row r="531" spans="1:5" x14ac:dyDescent="0.2">
      <c r="A531" s="13"/>
      <c r="B531" s="14"/>
      <c r="C531" s="13"/>
      <c r="D531" s="13"/>
      <c r="E531" s="13"/>
    </row>
    <row r="532" spans="1:5" x14ac:dyDescent="0.2">
      <c r="A532" s="13"/>
      <c r="B532" s="14"/>
      <c r="C532" s="13"/>
      <c r="D532" s="13"/>
      <c r="E532" s="13"/>
    </row>
    <row r="533" spans="1:5" x14ac:dyDescent="0.2">
      <c r="A533" s="13"/>
      <c r="B533" s="14"/>
      <c r="C533" s="13"/>
      <c r="D533" s="13"/>
      <c r="E533" s="13"/>
    </row>
    <row r="534" spans="1:5" x14ac:dyDescent="0.2">
      <c r="A534" s="13"/>
      <c r="B534" s="14"/>
      <c r="C534" s="13"/>
      <c r="D534" s="13"/>
      <c r="E534" s="13"/>
    </row>
    <row r="535" spans="1:5" x14ac:dyDescent="0.2">
      <c r="A535" s="13"/>
      <c r="B535" s="14"/>
      <c r="C535" s="13"/>
      <c r="D535" s="13"/>
      <c r="E535" s="13"/>
    </row>
    <row r="536" spans="1:5" x14ac:dyDescent="0.2">
      <c r="A536" s="13"/>
      <c r="B536" s="14"/>
      <c r="C536" s="13"/>
      <c r="D536" s="13"/>
      <c r="E536" s="13"/>
    </row>
    <row r="537" spans="1:5" x14ac:dyDescent="0.2">
      <c r="A537" s="13"/>
      <c r="B537" s="14"/>
      <c r="C537" s="13"/>
      <c r="D537" s="13"/>
      <c r="E537" s="13"/>
    </row>
    <row r="538" spans="1:5" x14ac:dyDescent="0.2">
      <c r="A538" s="13"/>
      <c r="B538" s="14"/>
      <c r="C538" s="13"/>
      <c r="D538" s="13"/>
      <c r="E538" s="13"/>
    </row>
    <row r="539" spans="1:5" x14ac:dyDescent="0.2">
      <c r="A539" s="13"/>
      <c r="B539" s="14"/>
      <c r="C539" s="13"/>
      <c r="D539" s="13"/>
      <c r="E539" s="13"/>
    </row>
    <row r="540" spans="1:5" x14ac:dyDescent="0.2">
      <c r="A540" s="13"/>
      <c r="B540" s="14"/>
      <c r="C540" s="13"/>
      <c r="D540" s="13"/>
      <c r="E540" s="13"/>
    </row>
    <row r="541" spans="1:5" x14ac:dyDescent="0.2">
      <c r="A541" s="13"/>
      <c r="B541" s="14"/>
      <c r="C541" s="13"/>
      <c r="D541" s="13"/>
      <c r="E541" s="13"/>
    </row>
    <row r="542" spans="1:5" x14ac:dyDescent="0.2">
      <c r="A542" s="13"/>
      <c r="B542" s="14"/>
      <c r="C542" s="13"/>
      <c r="D542" s="13"/>
      <c r="E542" s="13"/>
    </row>
    <row r="543" spans="1:5" x14ac:dyDescent="0.2">
      <c r="A543" s="13"/>
      <c r="B543" s="14"/>
      <c r="C543" s="13"/>
      <c r="D543" s="13"/>
      <c r="E543" s="13"/>
    </row>
    <row r="544" spans="1:5" x14ac:dyDescent="0.2">
      <c r="A544" s="13"/>
      <c r="B544" s="14"/>
      <c r="C544" s="13"/>
      <c r="D544" s="13"/>
      <c r="E544" s="13"/>
    </row>
    <row r="545" spans="1:5" x14ac:dyDescent="0.2">
      <c r="A545" s="13"/>
      <c r="B545" s="14"/>
      <c r="C545" s="13"/>
      <c r="D545" s="13"/>
      <c r="E545" s="13"/>
    </row>
    <row r="546" spans="1:5" x14ac:dyDescent="0.2">
      <c r="A546" s="13"/>
      <c r="B546" s="14"/>
      <c r="C546" s="13"/>
      <c r="D546" s="13"/>
      <c r="E546" s="13"/>
    </row>
    <row r="547" spans="1:5" x14ac:dyDescent="0.2">
      <c r="A547" s="13"/>
      <c r="B547" s="14"/>
      <c r="C547" s="13"/>
      <c r="D547" s="13"/>
      <c r="E547" s="13"/>
    </row>
    <row r="548" spans="1:5" x14ac:dyDescent="0.2">
      <c r="A548" s="13"/>
      <c r="B548" s="14"/>
      <c r="C548" s="13"/>
      <c r="D548" s="13"/>
      <c r="E548" s="13"/>
    </row>
    <row r="549" spans="1:5" x14ac:dyDescent="0.2">
      <c r="A549" s="13"/>
      <c r="B549" s="14"/>
      <c r="C549" s="13"/>
      <c r="D549" s="13"/>
      <c r="E549" s="13"/>
    </row>
    <row r="550" spans="1:5" x14ac:dyDescent="0.2">
      <c r="A550" s="13"/>
      <c r="B550" s="14"/>
      <c r="C550" s="13"/>
      <c r="D550" s="13"/>
      <c r="E550" s="13"/>
    </row>
    <row r="551" spans="1:5" x14ac:dyDescent="0.2">
      <c r="A551" s="13"/>
      <c r="B551" s="14"/>
      <c r="C551" s="13"/>
      <c r="D551" s="13"/>
      <c r="E551" s="13"/>
    </row>
    <row r="552" spans="1:5" x14ac:dyDescent="0.2">
      <c r="A552" s="13"/>
      <c r="B552" s="14"/>
      <c r="C552" s="13"/>
      <c r="D552" s="13"/>
      <c r="E552" s="13"/>
    </row>
    <row r="553" spans="1:5" x14ac:dyDescent="0.2">
      <c r="A553" s="13"/>
      <c r="B553" s="14"/>
      <c r="C553" s="13"/>
      <c r="D553" s="13"/>
      <c r="E553" s="13"/>
    </row>
    <row r="554" spans="1:5" x14ac:dyDescent="0.2">
      <c r="A554" s="13"/>
      <c r="B554" s="14"/>
      <c r="C554" s="13"/>
      <c r="D554" s="13"/>
      <c r="E554" s="13"/>
    </row>
    <row r="555" spans="1:5" x14ac:dyDescent="0.2">
      <c r="A555" s="13"/>
      <c r="B555" s="14"/>
      <c r="C555" s="13"/>
      <c r="D555" s="13"/>
      <c r="E555" s="13"/>
    </row>
    <row r="556" spans="1:5" x14ac:dyDescent="0.2">
      <c r="A556" s="13"/>
      <c r="B556" s="14"/>
      <c r="C556" s="13"/>
      <c r="D556" s="13"/>
      <c r="E556" s="13"/>
    </row>
    <row r="557" spans="1:5" x14ac:dyDescent="0.2">
      <c r="A557" s="13"/>
      <c r="B557" s="14"/>
      <c r="C557" s="13"/>
      <c r="D557" s="13"/>
      <c r="E557" s="13"/>
    </row>
    <row r="558" spans="1:5" x14ac:dyDescent="0.2">
      <c r="A558" s="13"/>
      <c r="B558" s="14"/>
      <c r="C558" s="13"/>
      <c r="D558" s="13"/>
      <c r="E558" s="13"/>
    </row>
    <row r="559" spans="1:5" x14ac:dyDescent="0.2">
      <c r="A559" s="13"/>
      <c r="B559" s="14"/>
      <c r="C559" s="13"/>
      <c r="D559" s="13"/>
      <c r="E559" s="13"/>
    </row>
    <row r="560" spans="1:5" x14ac:dyDescent="0.2">
      <c r="A560" s="13"/>
      <c r="B560" s="14"/>
      <c r="C560" s="13"/>
      <c r="D560" s="13"/>
      <c r="E560" s="13"/>
    </row>
    <row r="561" spans="1:5" x14ac:dyDescent="0.2">
      <c r="A561" s="13"/>
      <c r="B561" s="14"/>
      <c r="C561" s="13"/>
      <c r="D561" s="13"/>
      <c r="E561" s="13"/>
    </row>
    <row r="562" spans="1:5" x14ac:dyDescent="0.2">
      <c r="A562" s="13"/>
      <c r="B562" s="14"/>
      <c r="C562" s="13"/>
      <c r="D562" s="13"/>
      <c r="E562" s="13"/>
    </row>
    <row r="563" spans="1:5" x14ac:dyDescent="0.2">
      <c r="A563" s="13"/>
      <c r="B563" s="14"/>
      <c r="C563" s="13"/>
      <c r="D563" s="13"/>
      <c r="E563" s="13"/>
    </row>
    <row r="564" spans="1:5" x14ac:dyDescent="0.2">
      <c r="A564" s="13"/>
      <c r="B564" s="14"/>
      <c r="C564" s="13"/>
      <c r="D564" s="13"/>
      <c r="E564" s="13"/>
    </row>
    <row r="565" spans="1:5" x14ac:dyDescent="0.2">
      <c r="A565" s="13"/>
      <c r="B565" s="14"/>
      <c r="C565" s="13"/>
      <c r="D565" s="13"/>
      <c r="E565" s="13"/>
    </row>
    <row r="566" spans="1:5" x14ac:dyDescent="0.2">
      <c r="A566" s="13"/>
      <c r="B566" s="14"/>
      <c r="C566" s="13"/>
      <c r="D566" s="13"/>
      <c r="E566" s="13"/>
    </row>
    <row r="567" spans="1:5" x14ac:dyDescent="0.2">
      <c r="A567" s="13"/>
      <c r="B567" s="14"/>
      <c r="C567" s="13"/>
      <c r="D567" s="13"/>
      <c r="E567" s="13"/>
    </row>
    <row r="568" spans="1:5" x14ac:dyDescent="0.2">
      <c r="A568" s="13"/>
      <c r="B568" s="14"/>
      <c r="C568" s="13"/>
      <c r="D568" s="13"/>
      <c r="E568" s="13"/>
    </row>
    <row r="569" spans="1:5" x14ac:dyDescent="0.2">
      <c r="A569" s="13"/>
      <c r="B569" s="14"/>
      <c r="C569" s="13"/>
      <c r="D569" s="13"/>
      <c r="E569" s="13"/>
    </row>
    <row r="570" spans="1:5" x14ac:dyDescent="0.2">
      <c r="A570" s="13"/>
      <c r="B570" s="14"/>
      <c r="C570" s="13"/>
      <c r="D570" s="13"/>
      <c r="E570" s="13"/>
    </row>
    <row r="571" spans="1:5" x14ac:dyDescent="0.2">
      <c r="A571" s="13"/>
      <c r="B571" s="14"/>
      <c r="C571" s="13"/>
      <c r="D571" s="13"/>
      <c r="E571" s="13"/>
    </row>
    <row r="572" spans="1:5" x14ac:dyDescent="0.2">
      <c r="A572" s="13"/>
      <c r="B572" s="14"/>
      <c r="C572" s="13"/>
      <c r="D572" s="13"/>
      <c r="E572" s="13"/>
    </row>
    <row r="573" spans="1:5" x14ac:dyDescent="0.2">
      <c r="A573" s="13"/>
      <c r="B573" s="14"/>
      <c r="C573" s="13"/>
      <c r="D573" s="13"/>
      <c r="E573" s="13"/>
    </row>
    <row r="574" spans="1:5" x14ac:dyDescent="0.2">
      <c r="A574" s="13"/>
      <c r="B574" s="14"/>
      <c r="C574" s="13"/>
      <c r="D574" s="13"/>
      <c r="E574" s="13"/>
    </row>
    <row r="575" spans="1:5" x14ac:dyDescent="0.2">
      <c r="A575" s="13"/>
      <c r="B575" s="14"/>
      <c r="C575" s="13"/>
      <c r="D575" s="13"/>
      <c r="E575" s="13"/>
    </row>
    <row r="576" spans="1:5" x14ac:dyDescent="0.2">
      <c r="A576" s="13"/>
      <c r="B576" s="14"/>
      <c r="C576" s="13"/>
      <c r="D576" s="13"/>
      <c r="E576" s="13"/>
    </row>
    <row r="577" spans="1:5" x14ac:dyDescent="0.2">
      <c r="A577" s="13"/>
      <c r="B577" s="14"/>
      <c r="C577" s="13"/>
      <c r="D577" s="13"/>
      <c r="E577" s="13"/>
    </row>
    <row r="578" spans="1:5" x14ac:dyDescent="0.2">
      <c r="A578" s="13"/>
      <c r="B578" s="14"/>
      <c r="C578" s="13"/>
      <c r="D578" s="13"/>
      <c r="E578" s="13"/>
    </row>
    <row r="579" spans="1:5" x14ac:dyDescent="0.2">
      <c r="A579" s="13"/>
      <c r="B579" s="14"/>
      <c r="C579" s="13"/>
      <c r="D579" s="13"/>
      <c r="E579" s="13"/>
    </row>
    <row r="580" spans="1:5" x14ac:dyDescent="0.2">
      <c r="A580" s="13"/>
      <c r="B580" s="14"/>
      <c r="C580" s="13"/>
      <c r="D580" s="13"/>
      <c r="E580" s="13"/>
    </row>
    <row r="581" spans="1:5" x14ac:dyDescent="0.2">
      <c r="A581" s="13"/>
      <c r="B581" s="14"/>
      <c r="C581" s="13"/>
      <c r="D581" s="13"/>
      <c r="E581" s="13"/>
    </row>
    <row r="582" spans="1:5" x14ac:dyDescent="0.2">
      <c r="A582" s="13"/>
      <c r="B582" s="14"/>
      <c r="C582" s="13"/>
      <c r="D582" s="13"/>
      <c r="E582" s="13"/>
    </row>
    <row r="583" spans="1:5" x14ac:dyDescent="0.2">
      <c r="A583" s="13"/>
      <c r="B583" s="14"/>
      <c r="C583" s="13"/>
      <c r="D583" s="13"/>
      <c r="E583" s="13"/>
    </row>
    <row r="584" spans="1:5" x14ac:dyDescent="0.2">
      <c r="A584" s="13"/>
      <c r="B584" s="14"/>
      <c r="C584" s="13"/>
      <c r="D584" s="13"/>
      <c r="E584" s="13"/>
    </row>
    <row r="585" spans="1:5" x14ac:dyDescent="0.2">
      <c r="A585" s="13"/>
      <c r="B585" s="14"/>
      <c r="C585" s="13"/>
      <c r="D585" s="13"/>
      <c r="E585" s="13"/>
    </row>
    <row r="586" spans="1:5" x14ac:dyDescent="0.2">
      <c r="A586" s="13"/>
      <c r="B586" s="14"/>
      <c r="C586" s="13"/>
      <c r="D586" s="13"/>
      <c r="E586" s="13"/>
    </row>
    <row r="587" spans="1:5" x14ac:dyDescent="0.2">
      <c r="A587" s="13"/>
      <c r="B587" s="14"/>
      <c r="C587" s="13"/>
      <c r="D587" s="13"/>
      <c r="E587" s="13"/>
    </row>
    <row r="588" spans="1:5" x14ac:dyDescent="0.2">
      <c r="A588" s="13"/>
      <c r="B588" s="14"/>
      <c r="C588" s="13"/>
      <c r="D588" s="13"/>
      <c r="E588" s="13"/>
    </row>
    <row r="589" spans="1:5" x14ac:dyDescent="0.2">
      <c r="A589" s="13"/>
      <c r="B589" s="14"/>
      <c r="C589" s="13"/>
      <c r="D589" s="13"/>
      <c r="E589" s="13"/>
    </row>
    <row r="590" spans="1:5" x14ac:dyDescent="0.2">
      <c r="A590" s="13"/>
      <c r="B590" s="14"/>
      <c r="C590" s="13"/>
      <c r="D590" s="13"/>
      <c r="E590" s="13"/>
    </row>
    <row r="591" spans="1:5" x14ac:dyDescent="0.2">
      <c r="A591" s="13"/>
      <c r="B591" s="14"/>
      <c r="C591" s="13"/>
      <c r="D591" s="13"/>
      <c r="E591" s="13"/>
    </row>
    <row r="592" spans="1:5" x14ac:dyDescent="0.2">
      <c r="A592" s="13"/>
      <c r="B592" s="14"/>
      <c r="C592" s="13"/>
      <c r="D592" s="13"/>
      <c r="E592" s="13"/>
    </row>
    <row r="593" spans="1:5" x14ac:dyDescent="0.2">
      <c r="A593" s="13"/>
      <c r="B593" s="14"/>
      <c r="C593" s="13"/>
      <c r="D593" s="13"/>
      <c r="E593" s="13"/>
    </row>
    <row r="594" spans="1:5" x14ac:dyDescent="0.2">
      <c r="A594" s="13"/>
      <c r="B594" s="14"/>
      <c r="C594" s="13"/>
      <c r="D594" s="13"/>
      <c r="E594" s="13"/>
    </row>
    <row r="595" spans="1:5" x14ac:dyDescent="0.2">
      <c r="A595" s="13"/>
      <c r="B595" s="14"/>
      <c r="C595" s="13"/>
      <c r="D595" s="13"/>
      <c r="E595" s="13"/>
    </row>
    <row r="596" spans="1:5" x14ac:dyDescent="0.2">
      <c r="A596" s="13"/>
      <c r="B596" s="14"/>
      <c r="C596" s="13"/>
      <c r="D596" s="13"/>
      <c r="E596" s="13"/>
    </row>
    <row r="597" spans="1:5" x14ac:dyDescent="0.2">
      <c r="A597" s="13"/>
      <c r="B597" s="14"/>
      <c r="C597" s="13"/>
      <c r="D597" s="13"/>
      <c r="E597" s="13"/>
    </row>
    <row r="598" spans="1:5" x14ac:dyDescent="0.2">
      <c r="A598" s="13"/>
      <c r="B598" s="14"/>
      <c r="C598" s="13"/>
      <c r="D598" s="13"/>
      <c r="E598" s="13"/>
    </row>
    <row r="599" spans="1:5" x14ac:dyDescent="0.2">
      <c r="A599" s="13"/>
      <c r="B599" s="14"/>
      <c r="C599" s="13"/>
      <c r="D599" s="13"/>
      <c r="E599" s="13"/>
    </row>
    <row r="600" spans="1:5" x14ac:dyDescent="0.2">
      <c r="A600" s="13"/>
      <c r="B600" s="14"/>
      <c r="C600" s="13"/>
      <c r="D600" s="13"/>
      <c r="E600" s="13"/>
    </row>
    <row r="601" spans="1:5" x14ac:dyDescent="0.2">
      <c r="A601" s="13"/>
      <c r="B601" s="14"/>
      <c r="C601" s="13"/>
      <c r="D601" s="13"/>
      <c r="E601" s="13"/>
    </row>
    <row r="602" spans="1:5" x14ac:dyDescent="0.2">
      <c r="A602" s="13"/>
      <c r="B602" s="14"/>
      <c r="C602" s="13"/>
      <c r="D602" s="13"/>
      <c r="E602" s="13"/>
    </row>
    <row r="603" spans="1:5" x14ac:dyDescent="0.2">
      <c r="A603" s="13"/>
      <c r="B603" s="14"/>
      <c r="C603" s="13"/>
      <c r="D603" s="13"/>
      <c r="E603" s="13"/>
    </row>
    <row r="604" spans="1:5" x14ac:dyDescent="0.2">
      <c r="A604" s="13"/>
      <c r="B604" s="14"/>
      <c r="C604" s="13"/>
      <c r="D604" s="13"/>
      <c r="E604" s="13"/>
    </row>
    <row r="605" spans="1:5" x14ac:dyDescent="0.2">
      <c r="A605" s="13"/>
      <c r="B605" s="14"/>
      <c r="C605" s="13"/>
      <c r="D605" s="13"/>
      <c r="E605" s="13"/>
    </row>
    <row r="606" spans="1:5" x14ac:dyDescent="0.2">
      <c r="A606" s="13"/>
      <c r="B606" s="14"/>
      <c r="C606" s="13"/>
      <c r="D606" s="13"/>
      <c r="E606" s="13"/>
    </row>
    <row r="607" spans="1:5" x14ac:dyDescent="0.2">
      <c r="A607" s="13"/>
      <c r="B607" s="14"/>
      <c r="C607" s="13"/>
      <c r="D607" s="13"/>
      <c r="E607" s="13"/>
    </row>
    <row r="608" spans="1:5" x14ac:dyDescent="0.2">
      <c r="A608" s="13"/>
      <c r="B608" s="14"/>
      <c r="C608" s="13"/>
      <c r="D608" s="13"/>
      <c r="E608" s="13"/>
    </row>
    <row r="609" spans="1:5" x14ac:dyDescent="0.2">
      <c r="A609" s="13"/>
      <c r="B609" s="14"/>
      <c r="C609" s="13"/>
      <c r="D609" s="13"/>
      <c r="E609" s="13"/>
    </row>
    <row r="610" spans="1:5" x14ac:dyDescent="0.2">
      <c r="A610" s="13"/>
      <c r="B610" s="14"/>
      <c r="C610" s="13"/>
      <c r="D610" s="13"/>
      <c r="E610" s="13"/>
    </row>
    <row r="611" spans="1:5" x14ac:dyDescent="0.2">
      <c r="A611" s="13"/>
      <c r="B611" s="14"/>
      <c r="C611" s="13"/>
      <c r="D611" s="13"/>
      <c r="E611" s="13"/>
    </row>
    <row r="612" spans="1:5" x14ac:dyDescent="0.2">
      <c r="A612" s="13"/>
      <c r="B612" s="14"/>
      <c r="C612" s="13"/>
      <c r="D612" s="13"/>
      <c r="E612" s="13"/>
    </row>
    <row r="613" spans="1:5" x14ac:dyDescent="0.2">
      <c r="A613" s="13"/>
      <c r="B613" s="14"/>
      <c r="C613" s="13"/>
      <c r="D613" s="13"/>
      <c r="E613" s="13"/>
    </row>
    <row r="614" spans="1:5" x14ac:dyDescent="0.2">
      <c r="A614" s="13"/>
      <c r="B614" s="14"/>
      <c r="C614" s="13"/>
      <c r="D614" s="13"/>
      <c r="E614" s="13"/>
    </row>
    <row r="615" spans="1:5" x14ac:dyDescent="0.2">
      <c r="A615" s="13"/>
      <c r="B615" s="14"/>
      <c r="C615" s="13"/>
      <c r="D615" s="13"/>
      <c r="E615" s="13"/>
    </row>
    <row r="616" spans="1:5" x14ac:dyDescent="0.2">
      <c r="A616" s="13"/>
      <c r="B616" s="14"/>
      <c r="C616" s="13"/>
      <c r="D616" s="13"/>
      <c r="E616" s="13"/>
    </row>
    <row r="617" spans="1:5" x14ac:dyDescent="0.2">
      <c r="A617" s="13"/>
      <c r="B617" s="14"/>
      <c r="C617" s="13"/>
      <c r="D617" s="13"/>
      <c r="E617" s="13"/>
    </row>
    <row r="618" spans="1:5" x14ac:dyDescent="0.2">
      <c r="A618" s="13"/>
      <c r="B618" s="14"/>
      <c r="C618" s="13"/>
      <c r="D618" s="13"/>
      <c r="E618" s="13"/>
    </row>
    <row r="619" spans="1:5" x14ac:dyDescent="0.2">
      <c r="A619" s="13"/>
      <c r="B619" s="14"/>
      <c r="C619" s="13"/>
      <c r="D619" s="13"/>
      <c r="E619" s="13"/>
    </row>
    <row r="620" spans="1:5" x14ac:dyDescent="0.2">
      <c r="A620" s="13"/>
      <c r="B620" s="14"/>
      <c r="C620" s="13"/>
      <c r="D620" s="13"/>
      <c r="E620" s="13"/>
    </row>
    <row r="621" spans="1:5" x14ac:dyDescent="0.2">
      <c r="A621" s="13"/>
      <c r="B621" s="14"/>
      <c r="C621" s="13"/>
      <c r="D621" s="13"/>
      <c r="E621" s="13"/>
    </row>
    <row r="622" spans="1:5" x14ac:dyDescent="0.2">
      <c r="A622" s="13"/>
      <c r="B622" s="14"/>
      <c r="C622" s="13"/>
      <c r="D622" s="13"/>
      <c r="E622" s="13"/>
    </row>
    <row r="623" spans="1:5" x14ac:dyDescent="0.2">
      <c r="A623" s="13"/>
      <c r="B623" s="14"/>
      <c r="C623" s="13"/>
      <c r="D623" s="13"/>
      <c r="E623" s="13"/>
    </row>
    <row r="624" spans="1:5" x14ac:dyDescent="0.2">
      <c r="A624" s="13"/>
      <c r="B624" s="14"/>
      <c r="C624" s="13"/>
      <c r="D624" s="13"/>
      <c r="E624" s="13"/>
    </row>
    <row r="625" spans="1:5" x14ac:dyDescent="0.2">
      <c r="A625" s="13"/>
      <c r="B625" s="14"/>
      <c r="C625" s="13"/>
      <c r="D625" s="13"/>
      <c r="E625" s="13"/>
    </row>
    <row r="626" spans="1:5" x14ac:dyDescent="0.2">
      <c r="A626" s="13"/>
      <c r="B626" s="14"/>
      <c r="C626" s="13"/>
      <c r="D626" s="13"/>
      <c r="E626" s="13"/>
    </row>
    <row r="627" spans="1:5" x14ac:dyDescent="0.2">
      <c r="A627" s="13"/>
      <c r="B627" s="14"/>
      <c r="C627" s="13"/>
      <c r="D627" s="13"/>
      <c r="E627" s="13"/>
    </row>
    <row r="628" spans="1:5" x14ac:dyDescent="0.2">
      <c r="A628" s="13"/>
      <c r="B628" s="14"/>
      <c r="C628" s="13"/>
      <c r="D628" s="13"/>
      <c r="E628" s="13"/>
    </row>
    <row r="629" spans="1:5" x14ac:dyDescent="0.2">
      <c r="A629" s="13"/>
      <c r="B629" s="14"/>
      <c r="C629" s="13"/>
      <c r="D629" s="13"/>
      <c r="E629" s="13"/>
    </row>
    <row r="630" spans="1:5" x14ac:dyDescent="0.2">
      <c r="A630" s="13"/>
      <c r="B630" s="14"/>
      <c r="C630" s="13"/>
      <c r="D630" s="13"/>
      <c r="E630" s="13"/>
    </row>
    <row r="631" spans="1:5" x14ac:dyDescent="0.2">
      <c r="A631" s="13"/>
      <c r="B631" s="14"/>
      <c r="C631" s="13"/>
      <c r="D631" s="13"/>
      <c r="E631" s="13"/>
    </row>
    <row r="632" spans="1:5" x14ac:dyDescent="0.2">
      <c r="A632" s="13"/>
      <c r="B632" s="14"/>
      <c r="C632" s="13"/>
      <c r="D632" s="13"/>
      <c r="E632" s="13"/>
    </row>
    <row r="633" spans="1:5" x14ac:dyDescent="0.2">
      <c r="A633" s="13"/>
      <c r="B633" s="14"/>
      <c r="C633" s="13"/>
      <c r="D633" s="13"/>
      <c r="E633" s="13"/>
    </row>
    <row r="634" spans="1:5" x14ac:dyDescent="0.2">
      <c r="A634" s="13"/>
      <c r="B634" s="14"/>
      <c r="C634" s="13"/>
      <c r="D634" s="13"/>
      <c r="E634" s="13"/>
    </row>
    <row r="635" spans="1:5" x14ac:dyDescent="0.2">
      <c r="A635" s="13"/>
      <c r="B635" s="14"/>
      <c r="C635" s="13"/>
      <c r="D635" s="13"/>
      <c r="E635" s="13"/>
    </row>
    <row r="636" spans="1:5" x14ac:dyDescent="0.2">
      <c r="A636" s="13"/>
      <c r="B636" s="14"/>
      <c r="C636" s="13"/>
      <c r="D636" s="13"/>
      <c r="E636" s="13"/>
    </row>
    <row r="637" spans="1:5" x14ac:dyDescent="0.2">
      <c r="A637" s="13"/>
      <c r="B637" s="14"/>
      <c r="C637" s="13"/>
      <c r="D637" s="13"/>
      <c r="E637" s="13"/>
    </row>
    <row r="638" spans="1:5" x14ac:dyDescent="0.2">
      <c r="A638" s="13"/>
      <c r="B638" s="14"/>
      <c r="C638" s="13"/>
      <c r="D638" s="13"/>
      <c r="E638" s="13"/>
    </row>
    <row r="639" spans="1:5" x14ac:dyDescent="0.2">
      <c r="A639" s="13"/>
      <c r="B639" s="14"/>
      <c r="C639" s="13"/>
      <c r="D639" s="13"/>
      <c r="E639" s="13"/>
    </row>
    <row r="640" spans="1:5" x14ac:dyDescent="0.2">
      <c r="A640" s="13"/>
      <c r="B640" s="14"/>
      <c r="C640" s="13"/>
      <c r="D640" s="13"/>
      <c r="E640" s="13"/>
    </row>
    <row r="641" spans="1:5" x14ac:dyDescent="0.2">
      <c r="A641" s="13"/>
      <c r="B641" s="14"/>
      <c r="C641" s="13"/>
      <c r="D641" s="13"/>
      <c r="E641" s="13"/>
    </row>
    <row r="642" spans="1:5" x14ac:dyDescent="0.2">
      <c r="A642" s="13"/>
      <c r="B642" s="14"/>
      <c r="C642" s="13"/>
      <c r="D642" s="13"/>
      <c r="E642" s="13"/>
    </row>
    <row r="643" spans="1:5" x14ac:dyDescent="0.2">
      <c r="A643" s="13"/>
      <c r="B643" s="14"/>
      <c r="C643" s="13"/>
      <c r="D643" s="13"/>
      <c r="E643" s="13"/>
    </row>
    <row r="644" spans="1:5" x14ac:dyDescent="0.2">
      <c r="A644" s="13"/>
      <c r="B644" s="14"/>
      <c r="C644" s="13"/>
      <c r="D644" s="13"/>
      <c r="E644" s="13"/>
    </row>
    <row r="645" spans="1:5" x14ac:dyDescent="0.2">
      <c r="A645" s="13"/>
      <c r="B645" s="14"/>
      <c r="C645" s="13"/>
      <c r="D645" s="13"/>
      <c r="E645" s="13"/>
    </row>
    <row r="646" spans="1:5" x14ac:dyDescent="0.2">
      <c r="A646" s="13"/>
      <c r="B646" s="14"/>
      <c r="C646" s="13"/>
      <c r="D646" s="13"/>
      <c r="E646" s="13"/>
    </row>
    <row r="647" spans="1:5" x14ac:dyDescent="0.2">
      <c r="A647" s="13"/>
      <c r="B647" s="14"/>
      <c r="C647" s="13"/>
      <c r="D647" s="13"/>
      <c r="E647" s="13"/>
    </row>
    <row r="648" spans="1:5" x14ac:dyDescent="0.2">
      <c r="A648" s="13"/>
      <c r="B648" s="14"/>
      <c r="C648" s="13"/>
      <c r="D648" s="13"/>
      <c r="E648" s="13"/>
    </row>
    <row r="649" spans="1:5" x14ac:dyDescent="0.2">
      <c r="A649" s="13"/>
      <c r="B649" s="14"/>
      <c r="C649" s="13"/>
      <c r="D649" s="13"/>
      <c r="E649" s="13"/>
    </row>
    <row r="650" spans="1:5" x14ac:dyDescent="0.2">
      <c r="A650" s="13"/>
      <c r="B650" s="14"/>
      <c r="C650" s="13"/>
      <c r="D650" s="13"/>
      <c r="E650" s="13"/>
    </row>
    <row r="651" spans="1:5" x14ac:dyDescent="0.2">
      <c r="A651" s="13"/>
      <c r="B651" s="14"/>
      <c r="C651" s="13"/>
      <c r="D651" s="13"/>
      <c r="E651" s="13"/>
    </row>
    <row r="652" spans="1:5" x14ac:dyDescent="0.2">
      <c r="A652" s="13"/>
      <c r="B652" s="14"/>
      <c r="C652" s="13"/>
      <c r="D652" s="13"/>
      <c r="E652" s="13"/>
    </row>
    <row r="653" spans="1:5" x14ac:dyDescent="0.2">
      <c r="A653" s="13"/>
      <c r="B653" s="14"/>
      <c r="C653" s="13"/>
      <c r="D653" s="13"/>
      <c r="E653" s="13"/>
    </row>
    <row r="654" spans="1:5" x14ac:dyDescent="0.2">
      <c r="A654" s="13"/>
      <c r="B654" s="14"/>
      <c r="C654" s="13"/>
      <c r="D654" s="13"/>
      <c r="E654" s="13"/>
    </row>
    <row r="655" spans="1:5" x14ac:dyDescent="0.2">
      <c r="A655" s="13"/>
      <c r="B655" s="14"/>
      <c r="C655" s="13"/>
      <c r="D655" s="13"/>
      <c r="E655" s="13"/>
    </row>
    <row r="656" spans="1:5" x14ac:dyDescent="0.2">
      <c r="A656" s="13"/>
      <c r="B656" s="14"/>
      <c r="C656" s="13"/>
      <c r="D656" s="13"/>
      <c r="E656" s="13"/>
    </row>
    <row r="657" spans="1:5" x14ac:dyDescent="0.2">
      <c r="A657" s="13"/>
      <c r="B657" s="14"/>
      <c r="C657" s="13"/>
      <c r="D657" s="13"/>
      <c r="E657" s="13"/>
    </row>
    <row r="658" spans="1:5" x14ac:dyDescent="0.2">
      <c r="A658" s="13"/>
      <c r="B658" s="14"/>
      <c r="C658" s="13"/>
      <c r="D658" s="13"/>
      <c r="E658" s="13"/>
    </row>
    <row r="659" spans="1:5" x14ac:dyDescent="0.2">
      <c r="A659" s="13"/>
      <c r="B659" s="14"/>
      <c r="C659" s="13"/>
      <c r="D659" s="13"/>
      <c r="E659" s="13"/>
    </row>
    <row r="660" spans="1:5" x14ac:dyDescent="0.2">
      <c r="A660" s="13"/>
      <c r="B660" s="14"/>
      <c r="C660" s="13"/>
      <c r="D660" s="13"/>
      <c r="E660" s="13"/>
    </row>
    <row r="661" spans="1:5" x14ac:dyDescent="0.2">
      <c r="A661" s="13"/>
      <c r="B661" s="14"/>
      <c r="C661" s="13"/>
      <c r="D661" s="13"/>
      <c r="E661" s="13"/>
    </row>
    <row r="662" spans="1:5" x14ac:dyDescent="0.2">
      <c r="A662" s="13"/>
      <c r="B662" s="14"/>
      <c r="C662" s="13"/>
      <c r="D662" s="13"/>
      <c r="E662" s="13"/>
    </row>
    <row r="663" spans="1:5" x14ac:dyDescent="0.2">
      <c r="A663" s="13"/>
      <c r="B663" s="14"/>
      <c r="C663" s="13"/>
      <c r="D663" s="13"/>
      <c r="E663" s="13"/>
    </row>
    <row r="664" spans="1:5" x14ac:dyDescent="0.2">
      <c r="A664" s="13"/>
      <c r="B664" s="14"/>
      <c r="C664" s="13"/>
      <c r="D664" s="13"/>
      <c r="E664" s="13"/>
    </row>
    <row r="665" spans="1:5" x14ac:dyDescent="0.2">
      <c r="A665" s="13"/>
      <c r="B665" s="14"/>
      <c r="C665" s="13"/>
      <c r="D665" s="13"/>
      <c r="E665" s="13"/>
    </row>
    <row r="666" spans="1:5" x14ac:dyDescent="0.2">
      <c r="A666" s="13"/>
      <c r="B666" s="14"/>
      <c r="C666" s="13"/>
      <c r="D666" s="13"/>
      <c r="E666" s="13"/>
    </row>
    <row r="667" spans="1:5" x14ac:dyDescent="0.2">
      <c r="A667" s="13"/>
      <c r="B667" s="14"/>
      <c r="C667" s="13"/>
      <c r="D667" s="13"/>
      <c r="E667" s="13"/>
    </row>
    <row r="668" spans="1:5" x14ac:dyDescent="0.2">
      <c r="A668" s="13"/>
      <c r="B668" s="14"/>
      <c r="C668" s="13"/>
      <c r="D668" s="13"/>
      <c r="E668" s="13"/>
    </row>
    <row r="669" spans="1:5" x14ac:dyDescent="0.2">
      <c r="A669" s="13"/>
      <c r="B669" s="14"/>
      <c r="C669" s="13"/>
      <c r="D669" s="13"/>
      <c r="E669" s="13"/>
    </row>
    <row r="670" spans="1:5" x14ac:dyDescent="0.2">
      <c r="A670" s="13"/>
      <c r="B670" s="14"/>
      <c r="C670" s="13"/>
      <c r="D670" s="13"/>
      <c r="E670" s="13"/>
    </row>
    <row r="671" spans="1:5" x14ac:dyDescent="0.2">
      <c r="A671" s="13"/>
      <c r="B671" s="14"/>
      <c r="C671" s="13"/>
      <c r="D671" s="13"/>
      <c r="E671" s="13"/>
    </row>
    <row r="672" spans="1:5" x14ac:dyDescent="0.2">
      <c r="A672" s="13"/>
      <c r="B672" s="14"/>
      <c r="C672" s="13"/>
      <c r="D672" s="13"/>
      <c r="E672" s="13"/>
    </row>
    <row r="673" spans="1:5" x14ac:dyDescent="0.2">
      <c r="A673" s="13"/>
      <c r="B673" s="14"/>
      <c r="C673" s="13"/>
      <c r="D673" s="13"/>
      <c r="E673" s="13"/>
    </row>
    <row r="674" spans="1:5" x14ac:dyDescent="0.2">
      <c r="A674" s="13"/>
      <c r="B674" s="14"/>
      <c r="C674" s="13"/>
      <c r="D674" s="13"/>
      <c r="E674" s="13"/>
    </row>
    <row r="675" spans="1:5" x14ac:dyDescent="0.2">
      <c r="A675" s="13"/>
      <c r="B675" s="14"/>
      <c r="C675" s="13"/>
      <c r="D675" s="13"/>
      <c r="E675" s="13"/>
    </row>
    <row r="676" spans="1:5" x14ac:dyDescent="0.2">
      <c r="A676" s="13"/>
      <c r="B676" s="14"/>
      <c r="C676" s="13"/>
      <c r="D676" s="13"/>
      <c r="E676" s="13"/>
    </row>
    <row r="677" spans="1:5" x14ac:dyDescent="0.2">
      <c r="A677" s="13"/>
      <c r="B677" s="14"/>
      <c r="C677" s="13"/>
      <c r="D677" s="13"/>
      <c r="E677" s="13"/>
    </row>
    <row r="678" spans="1:5" x14ac:dyDescent="0.2">
      <c r="A678" s="13"/>
      <c r="B678" s="14"/>
      <c r="C678" s="13"/>
      <c r="D678" s="13"/>
      <c r="E678" s="13"/>
    </row>
    <row r="679" spans="1:5" x14ac:dyDescent="0.2">
      <c r="A679" s="13"/>
      <c r="B679" s="14"/>
      <c r="C679" s="13"/>
      <c r="D679" s="13"/>
      <c r="E679" s="13"/>
    </row>
    <row r="680" spans="1:5" x14ac:dyDescent="0.2">
      <c r="A680" s="13"/>
      <c r="B680" s="14"/>
      <c r="C680" s="13"/>
      <c r="D680" s="13"/>
      <c r="E680" s="13"/>
    </row>
    <row r="681" spans="1:5" x14ac:dyDescent="0.2">
      <c r="A681" s="13"/>
      <c r="B681" s="14"/>
      <c r="C681" s="13"/>
      <c r="D681" s="13"/>
      <c r="E681" s="13"/>
    </row>
    <row r="682" spans="1:5" x14ac:dyDescent="0.2">
      <c r="A682" s="13"/>
      <c r="B682" s="14"/>
      <c r="C682" s="13"/>
      <c r="D682" s="13"/>
      <c r="E682" s="13"/>
    </row>
    <row r="683" spans="1:5" x14ac:dyDescent="0.2">
      <c r="A683" s="13"/>
      <c r="B683" s="14"/>
      <c r="C683" s="13"/>
      <c r="D683" s="13"/>
      <c r="E683" s="13"/>
    </row>
    <row r="684" spans="1:5" x14ac:dyDescent="0.2">
      <c r="A684" s="13"/>
      <c r="B684" s="14"/>
      <c r="C684" s="13"/>
      <c r="D684" s="13"/>
      <c r="E684" s="13"/>
    </row>
    <row r="685" spans="1:5" x14ac:dyDescent="0.2">
      <c r="A685" s="13"/>
      <c r="B685" s="14"/>
      <c r="C685" s="13"/>
      <c r="D685" s="13"/>
      <c r="E685" s="13"/>
    </row>
    <row r="686" spans="1:5" x14ac:dyDescent="0.2">
      <c r="A686" s="13"/>
      <c r="B686" s="14"/>
      <c r="C686" s="13"/>
      <c r="D686" s="13"/>
      <c r="E686" s="13"/>
    </row>
    <row r="687" spans="1:5" x14ac:dyDescent="0.2">
      <c r="A687" s="13"/>
      <c r="B687" s="14"/>
      <c r="C687" s="13"/>
      <c r="D687" s="13"/>
      <c r="E687" s="13"/>
    </row>
    <row r="688" spans="1:5" x14ac:dyDescent="0.2">
      <c r="A688" s="13"/>
      <c r="B688" s="14"/>
      <c r="C688" s="13"/>
      <c r="D688" s="13"/>
      <c r="E688" s="13"/>
    </row>
    <row r="689" spans="1:5" x14ac:dyDescent="0.2">
      <c r="A689" s="13"/>
      <c r="B689" s="14"/>
      <c r="C689" s="13"/>
      <c r="D689" s="13"/>
      <c r="E689" s="13"/>
    </row>
    <row r="690" spans="1:5" x14ac:dyDescent="0.2">
      <c r="A690" s="13"/>
      <c r="B690" s="14"/>
      <c r="C690" s="13"/>
      <c r="D690" s="13"/>
      <c r="E690" s="13"/>
    </row>
    <row r="691" spans="1:5" x14ac:dyDescent="0.2">
      <c r="A691" s="13"/>
      <c r="B691" s="14"/>
      <c r="C691" s="13"/>
      <c r="D691" s="13"/>
      <c r="E691" s="13"/>
    </row>
    <row r="692" spans="1:5" x14ac:dyDescent="0.2">
      <c r="A692" s="13"/>
      <c r="B692" s="14"/>
      <c r="C692" s="13"/>
      <c r="D692" s="13"/>
      <c r="E692" s="13"/>
    </row>
    <row r="693" spans="1:5" x14ac:dyDescent="0.2">
      <c r="A693" s="13"/>
      <c r="B693" s="14"/>
      <c r="C693" s="13"/>
      <c r="D693" s="13"/>
      <c r="E693" s="13"/>
    </row>
    <row r="694" spans="1:5" x14ac:dyDescent="0.2">
      <c r="A694" s="13"/>
      <c r="B694" s="14"/>
      <c r="C694" s="13"/>
      <c r="D694" s="13"/>
      <c r="E694" s="13"/>
    </row>
    <row r="695" spans="1:5" x14ac:dyDescent="0.2">
      <c r="A695" s="13"/>
      <c r="B695" s="14"/>
      <c r="C695" s="13"/>
      <c r="D695" s="13"/>
      <c r="E695" s="13"/>
    </row>
    <row r="696" spans="1:5" x14ac:dyDescent="0.2">
      <c r="A696" s="13"/>
      <c r="B696" s="14"/>
      <c r="C696" s="13"/>
      <c r="D696" s="13"/>
      <c r="E696" s="13"/>
    </row>
    <row r="697" spans="1:5" x14ac:dyDescent="0.2">
      <c r="A697" s="13"/>
      <c r="B697" s="14"/>
      <c r="C697" s="13"/>
      <c r="D697" s="13"/>
      <c r="E697" s="13"/>
    </row>
    <row r="698" spans="1:5" x14ac:dyDescent="0.2">
      <c r="A698" s="13"/>
      <c r="B698" s="14"/>
      <c r="C698" s="13"/>
      <c r="D698" s="13"/>
      <c r="E698" s="13"/>
    </row>
    <row r="699" spans="1:5" x14ac:dyDescent="0.2">
      <c r="A699" s="13"/>
      <c r="B699" s="14"/>
      <c r="C699" s="13"/>
      <c r="D699" s="13"/>
      <c r="E699" s="13"/>
    </row>
    <row r="700" spans="1:5" x14ac:dyDescent="0.2">
      <c r="A700" s="13"/>
      <c r="B700" s="14"/>
      <c r="C700" s="13"/>
      <c r="D700" s="13"/>
      <c r="E700" s="13"/>
    </row>
    <row r="701" spans="1:5" x14ac:dyDescent="0.2">
      <c r="A701" s="13"/>
      <c r="B701" s="14"/>
      <c r="C701" s="13"/>
      <c r="D701" s="13"/>
      <c r="E701" s="13"/>
    </row>
    <row r="702" spans="1:5" x14ac:dyDescent="0.2">
      <c r="A702" s="13"/>
      <c r="B702" s="14"/>
      <c r="C702" s="13"/>
      <c r="D702" s="13"/>
      <c r="E702" s="13"/>
    </row>
    <row r="703" spans="1:5" x14ac:dyDescent="0.2">
      <c r="A703" s="13"/>
      <c r="B703" s="14"/>
      <c r="C703" s="13"/>
      <c r="D703" s="13"/>
      <c r="E703" s="13"/>
    </row>
    <row r="704" spans="1:5" x14ac:dyDescent="0.2">
      <c r="A704" s="13"/>
      <c r="B704" s="14"/>
      <c r="C704" s="13"/>
      <c r="D704" s="13"/>
      <c r="E704" s="13"/>
    </row>
    <row r="705" spans="1:5" x14ac:dyDescent="0.2">
      <c r="A705" s="13"/>
      <c r="B705" s="14"/>
      <c r="C705" s="13"/>
      <c r="D705" s="13"/>
      <c r="E705" s="13"/>
    </row>
    <row r="706" spans="1:5" x14ac:dyDescent="0.2">
      <c r="A706" s="13"/>
      <c r="B706" s="14"/>
      <c r="C706" s="13"/>
      <c r="D706" s="13"/>
      <c r="E706" s="13"/>
    </row>
    <row r="707" spans="1:5" x14ac:dyDescent="0.2">
      <c r="A707" s="13"/>
      <c r="B707" s="14"/>
      <c r="C707" s="13"/>
      <c r="D707" s="13"/>
      <c r="E707" s="13"/>
    </row>
    <row r="708" spans="1:5" x14ac:dyDescent="0.2">
      <c r="A708" s="13"/>
      <c r="B708" s="14"/>
      <c r="C708" s="13"/>
      <c r="D708" s="13"/>
      <c r="E708" s="13"/>
    </row>
    <row r="709" spans="1:5" x14ac:dyDescent="0.2">
      <c r="A709" s="13"/>
      <c r="B709" s="14"/>
      <c r="C709" s="13"/>
      <c r="D709" s="13"/>
      <c r="E709" s="13"/>
    </row>
    <row r="710" spans="1:5" x14ac:dyDescent="0.2">
      <c r="A710" s="13"/>
      <c r="B710" s="14"/>
      <c r="C710" s="13"/>
      <c r="D710" s="13"/>
      <c r="E710" s="13"/>
    </row>
    <row r="711" spans="1:5" x14ac:dyDescent="0.2">
      <c r="A711" s="13"/>
      <c r="B711" s="14"/>
      <c r="C711" s="13"/>
      <c r="D711" s="13"/>
      <c r="E711" s="13"/>
    </row>
    <row r="712" spans="1:5" x14ac:dyDescent="0.2">
      <c r="A712" s="13"/>
      <c r="B712" s="14"/>
      <c r="C712" s="13"/>
      <c r="D712" s="13"/>
      <c r="E712" s="13"/>
    </row>
    <row r="713" spans="1:5" x14ac:dyDescent="0.2">
      <c r="A713" s="13"/>
      <c r="B713" s="14"/>
      <c r="C713" s="13"/>
      <c r="D713" s="13"/>
      <c r="E713" s="13"/>
    </row>
    <row r="714" spans="1:5" x14ac:dyDescent="0.2">
      <c r="A714" s="13"/>
      <c r="B714" s="14"/>
      <c r="C714" s="13"/>
      <c r="D714" s="13"/>
      <c r="E714" s="13"/>
    </row>
    <row r="715" spans="1:5" x14ac:dyDescent="0.2">
      <c r="A715" s="13"/>
      <c r="B715" s="14"/>
      <c r="C715" s="13"/>
      <c r="D715" s="13"/>
      <c r="E715" s="13"/>
    </row>
    <row r="716" spans="1:5" x14ac:dyDescent="0.2">
      <c r="A716" s="13"/>
      <c r="B716" s="14"/>
      <c r="C716" s="13"/>
      <c r="D716" s="13"/>
      <c r="E716" s="13"/>
    </row>
    <row r="717" spans="1:5" x14ac:dyDescent="0.2">
      <c r="A717" s="13"/>
      <c r="B717" s="14"/>
      <c r="C717" s="13"/>
      <c r="D717" s="13"/>
      <c r="E717" s="13"/>
    </row>
    <row r="718" spans="1:5" x14ac:dyDescent="0.2">
      <c r="A718" s="13"/>
      <c r="B718" s="14"/>
      <c r="C718" s="13"/>
      <c r="D718" s="13"/>
      <c r="E718" s="13"/>
    </row>
    <row r="719" spans="1:5" x14ac:dyDescent="0.2">
      <c r="A719" s="13"/>
      <c r="B719" s="14"/>
      <c r="C719" s="13"/>
      <c r="D719" s="13"/>
      <c r="E719" s="13"/>
    </row>
    <row r="720" spans="1:5" x14ac:dyDescent="0.2">
      <c r="A720" s="13"/>
      <c r="B720" s="14"/>
      <c r="C720" s="13"/>
      <c r="D720" s="13"/>
      <c r="E720" s="13"/>
    </row>
    <row r="721" spans="1:5" x14ac:dyDescent="0.2">
      <c r="A721" s="13"/>
      <c r="B721" s="14"/>
      <c r="C721" s="13"/>
      <c r="D721" s="13"/>
      <c r="E721" s="13"/>
    </row>
    <row r="722" spans="1:5" x14ac:dyDescent="0.2">
      <c r="A722" s="13"/>
      <c r="B722" s="14"/>
      <c r="C722" s="13"/>
      <c r="D722" s="13"/>
      <c r="E722" s="13"/>
    </row>
    <row r="723" spans="1:5" x14ac:dyDescent="0.2">
      <c r="A723" s="13"/>
      <c r="B723" s="14"/>
      <c r="C723" s="13"/>
      <c r="D723" s="13"/>
      <c r="E723" s="13"/>
    </row>
    <row r="724" spans="1:5" x14ac:dyDescent="0.2">
      <c r="A724" s="13"/>
      <c r="B724" s="14"/>
      <c r="C724" s="13"/>
      <c r="D724" s="13"/>
      <c r="E724" s="13"/>
    </row>
    <row r="725" spans="1:5" x14ac:dyDescent="0.2">
      <c r="A725" s="13"/>
      <c r="B725" s="14"/>
      <c r="C725" s="13"/>
      <c r="D725" s="13"/>
      <c r="E725" s="13"/>
    </row>
    <row r="726" spans="1:5" x14ac:dyDescent="0.2">
      <c r="A726" s="13"/>
      <c r="B726" s="14"/>
      <c r="C726" s="13"/>
      <c r="D726" s="13"/>
      <c r="E726" s="13"/>
    </row>
    <row r="727" spans="1:5" x14ac:dyDescent="0.2">
      <c r="A727" s="13"/>
      <c r="B727" s="14"/>
      <c r="C727" s="13"/>
      <c r="D727" s="13"/>
      <c r="E727" s="13"/>
    </row>
    <row r="728" spans="1:5" x14ac:dyDescent="0.2">
      <c r="A728" s="13"/>
      <c r="B728" s="14"/>
      <c r="C728" s="13"/>
      <c r="D728" s="13"/>
      <c r="E728" s="13"/>
    </row>
    <row r="729" spans="1:5" x14ac:dyDescent="0.2">
      <c r="A729" s="13"/>
      <c r="B729" s="14"/>
      <c r="C729" s="13"/>
      <c r="D729" s="13"/>
      <c r="E729" s="13"/>
    </row>
    <row r="730" spans="1:5" x14ac:dyDescent="0.2">
      <c r="A730" s="13"/>
      <c r="B730" s="14"/>
      <c r="C730" s="13"/>
      <c r="D730" s="13"/>
      <c r="E730" s="13"/>
    </row>
    <row r="731" spans="1:5" x14ac:dyDescent="0.2">
      <c r="A731" s="13"/>
      <c r="B731" s="14"/>
      <c r="C731" s="13"/>
      <c r="D731" s="13"/>
      <c r="E731" s="13"/>
    </row>
    <row r="732" spans="1:5" x14ac:dyDescent="0.2">
      <c r="A732" s="13"/>
      <c r="B732" s="14"/>
      <c r="C732" s="13"/>
      <c r="D732" s="13"/>
      <c r="E732" s="13"/>
    </row>
    <row r="733" spans="1:5" x14ac:dyDescent="0.2">
      <c r="A733" s="13"/>
      <c r="B733" s="14"/>
      <c r="C733" s="13"/>
      <c r="D733" s="13"/>
      <c r="E733" s="13"/>
    </row>
    <row r="734" spans="1:5" x14ac:dyDescent="0.2">
      <c r="A734" s="13"/>
      <c r="B734" s="14"/>
      <c r="C734" s="13"/>
      <c r="D734" s="13"/>
      <c r="E734" s="13"/>
    </row>
    <row r="735" spans="1:5" x14ac:dyDescent="0.2">
      <c r="A735" s="13"/>
      <c r="B735" s="14"/>
      <c r="C735" s="13"/>
      <c r="D735" s="13"/>
      <c r="E735" s="13"/>
    </row>
    <row r="736" spans="1:5" x14ac:dyDescent="0.2">
      <c r="A736" s="13"/>
      <c r="B736" s="14"/>
      <c r="C736" s="13"/>
      <c r="D736" s="13"/>
      <c r="E736" s="13"/>
    </row>
    <row r="737" spans="1:5" x14ac:dyDescent="0.2">
      <c r="A737" s="13"/>
      <c r="B737" s="14"/>
      <c r="C737" s="13"/>
      <c r="D737" s="13"/>
      <c r="E737" s="13"/>
    </row>
    <row r="738" spans="1:5" x14ac:dyDescent="0.2">
      <c r="A738" s="13"/>
      <c r="B738" s="14"/>
      <c r="C738" s="13"/>
      <c r="D738" s="13"/>
      <c r="E738" s="13"/>
    </row>
    <row r="739" spans="1:5" x14ac:dyDescent="0.2">
      <c r="A739" s="13"/>
      <c r="B739" s="14"/>
      <c r="C739" s="13"/>
      <c r="D739" s="13"/>
      <c r="E739" s="13"/>
    </row>
    <row r="740" spans="1:5" x14ac:dyDescent="0.2">
      <c r="A740" s="13"/>
      <c r="B740" s="14"/>
      <c r="C740" s="13"/>
      <c r="D740" s="13"/>
      <c r="E740" s="13"/>
    </row>
    <row r="741" spans="1:5" x14ac:dyDescent="0.2">
      <c r="A741" s="13"/>
      <c r="B741" s="14"/>
      <c r="C741" s="13"/>
      <c r="D741" s="13"/>
      <c r="E741" s="13"/>
    </row>
    <row r="742" spans="1:5" x14ac:dyDescent="0.2">
      <c r="A742" s="13"/>
      <c r="B742" s="14"/>
      <c r="C742" s="13"/>
      <c r="D742" s="13"/>
      <c r="E742" s="13"/>
    </row>
    <row r="743" spans="1:5" x14ac:dyDescent="0.2">
      <c r="A743" s="13"/>
      <c r="B743" s="14"/>
      <c r="C743" s="13"/>
      <c r="D743" s="13"/>
      <c r="E743" s="13"/>
    </row>
    <row r="744" spans="1:5" x14ac:dyDescent="0.2">
      <c r="A744" s="13"/>
      <c r="B744" s="14"/>
      <c r="C744" s="13"/>
      <c r="D744" s="13"/>
      <c r="E744" s="13"/>
    </row>
    <row r="745" spans="1:5" x14ac:dyDescent="0.2">
      <c r="A745" s="13"/>
      <c r="B745" s="14"/>
      <c r="C745" s="13"/>
      <c r="D745" s="13"/>
      <c r="E745" s="13"/>
    </row>
    <row r="746" spans="1:5" x14ac:dyDescent="0.2">
      <c r="A746" s="13"/>
      <c r="B746" s="14"/>
      <c r="C746" s="13"/>
      <c r="D746" s="13"/>
      <c r="E746" s="13"/>
    </row>
    <row r="747" spans="1:5" x14ac:dyDescent="0.2">
      <c r="A747" s="13"/>
      <c r="B747" s="14"/>
      <c r="C747" s="13"/>
      <c r="D747" s="13"/>
      <c r="E747" s="13"/>
    </row>
    <row r="748" spans="1:5" x14ac:dyDescent="0.2">
      <c r="A748" s="13"/>
      <c r="B748" s="14"/>
      <c r="C748" s="13"/>
      <c r="D748" s="13"/>
      <c r="E748" s="13"/>
    </row>
    <row r="749" spans="1:5" x14ac:dyDescent="0.2">
      <c r="A749" s="13"/>
      <c r="B749" s="14"/>
      <c r="C749" s="13"/>
      <c r="D749" s="13"/>
      <c r="E749" s="13"/>
    </row>
    <row r="750" spans="1:5" x14ac:dyDescent="0.2">
      <c r="A750" s="13"/>
      <c r="B750" s="14"/>
      <c r="C750" s="13"/>
      <c r="D750" s="13"/>
      <c r="E750" s="13"/>
    </row>
    <row r="751" spans="1:5" x14ac:dyDescent="0.2">
      <c r="A751" s="13"/>
      <c r="B751" s="14"/>
      <c r="C751" s="13"/>
      <c r="D751" s="13"/>
      <c r="E751" s="13"/>
    </row>
    <row r="752" spans="1:5" x14ac:dyDescent="0.2">
      <c r="A752" s="13"/>
      <c r="B752" s="14"/>
      <c r="C752" s="13"/>
      <c r="D752" s="13"/>
      <c r="E752" s="13"/>
    </row>
    <row r="753" spans="1:5" x14ac:dyDescent="0.2">
      <c r="A753" s="13"/>
      <c r="B753" s="14"/>
      <c r="C753" s="13"/>
      <c r="D753" s="13"/>
      <c r="E753" s="13"/>
    </row>
    <row r="754" spans="1:5" x14ac:dyDescent="0.2">
      <c r="A754" s="13"/>
      <c r="B754" s="14"/>
      <c r="C754" s="13"/>
      <c r="D754" s="13"/>
      <c r="E754" s="13"/>
    </row>
    <row r="755" spans="1:5" x14ac:dyDescent="0.2">
      <c r="A755" s="13"/>
      <c r="B755" s="14"/>
      <c r="C755" s="13"/>
      <c r="D755" s="13"/>
      <c r="E755" s="13"/>
    </row>
    <row r="756" spans="1:5" x14ac:dyDescent="0.2">
      <c r="A756" s="13"/>
      <c r="B756" s="14"/>
      <c r="C756" s="13"/>
      <c r="D756" s="13"/>
      <c r="E756" s="13"/>
    </row>
    <row r="757" spans="1:5" x14ac:dyDescent="0.2">
      <c r="A757" s="13"/>
      <c r="B757" s="14"/>
      <c r="C757" s="13"/>
      <c r="D757" s="13"/>
      <c r="E757" s="13"/>
    </row>
    <row r="758" spans="1:5" x14ac:dyDescent="0.2">
      <c r="A758" s="13"/>
      <c r="B758" s="14"/>
      <c r="C758" s="13"/>
      <c r="D758" s="13"/>
      <c r="E758" s="13"/>
    </row>
    <row r="759" spans="1:5" x14ac:dyDescent="0.2">
      <c r="A759" s="13"/>
      <c r="B759" s="14"/>
      <c r="C759" s="13"/>
      <c r="D759" s="13"/>
      <c r="E759" s="13"/>
    </row>
    <row r="760" spans="1:5" x14ac:dyDescent="0.2">
      <c r="A760" s="13"/>
      <c r="B760" s="14"/>
      <c r="C760" s="13"/>
      <c r="D760" s="13"/>
      <c r="E760" s="13"/>
    </row>
    <row r="761" spans="1:5" x14ac:dyDescent="0.2">
      <c r="A761" s="13"/>
      <c r="B761" s="14"/>
      <c r="C761" s="13"/>
      <c r="D761" s="13"/>
      <c r="E761" s="13"/>
    </row>
    <row r="762" spans="1:5" x14ac:dyDescent="0.2">
      <c r="A762" s="13"/>
      <c r="B762" s="14"/>
      <c r="C762" s="13"/>
      <c r="D762" s="13"/>
      <c r="E762" s="13"/>
    </row>
    <row r="763" spans="1:5" x14ac:dyDescent="0.2">
      <c r="A763" s="13"/>
      <c r="B763" s="14"/>
      <c r="C763" s="13"/>
      <c r="D763" s="13"/>
      <c r="E763" s="13"/>
    </row>
    <row r="764" spans="1:5" x14ac:dyDescent="0.2">
      <c r="A764" s="13"/>
      <c r="B764" s="14"/>
      <c r="C764" s="13"/>
      <c r="D764" s="13"/>
      <c r="E764" s="13"/>
    </row>
    <row r="765" spans="1:5" x14ac:dyDescent="0.2">
      <c r="A765" s="13"/>
      <c r="B765" s="14"/>
      <c r="C765" s="13"/>
      <c r="D765" s="13"/>
      <c r="E765" s="13"/>
    </row>
    <row r="766" spans="1:5" x14ac:dyDescent="0.2">
      <c r="A766" s="13"/>
      <c r="B766" s="14"/>
      <c r="C766" s="13"/>
      <c r="D766" s="13"/>
      <c r="E766" s="13"/>
    </row>
    <row r="767" spans="1:5" x14ac:dyDescent="0.2">
      <c r="A767" s="13"/>
      <c r="B767" s="14"/>
      <c r="C767" s="13"/>
      <c r="D767" s="13"/>
      <c r="E767" s="13"/>
    </row>
    <row r="768" spans="1:5" x14ac:dyDescent="0.2">
      <c r="A768" s="13"/>
      <c r="B768" s="14"/>
      <c r="C768" s="13"/>
      <c r="D768" s="13"/>
      <c r="E768" s="13"/>
    </row>
    <row r="769" spans="1:5" x14ac:dyDescent="0.2">
      <c r="A769" s="13"/>
      <c r="B769" s="14"/>
      <c r="C769" s="13"/>
      <c r="D769" s="13"/>
      <c r="E769" s="13"/>
    </row>
    <row r="770" spans="1:5" x14ac:dyDescent="0.2">
      <c r="A770" s="13"/>
      <c r="B770" s="14"/>
      <c r="C770" s="13"/>
      <c r="D770" s="13"/>
      <c r="E770" s="13"/>
    </row>
    <row r="771" spans="1:5" x14ac:dyDescent="0.2">
      <c r="A771" s="13"/>
      <c r="B771" s="14"/>
      <c r="C771" s="13"/>
      <c r="D771" s="13"/>
      <c r="E771" s="13"/>
    </row>
    <row r="772" spans="1:5" x14ac:dyDescent="0.2">
      <c r="A772" s="13"/>
      <c r="B772" s="14"/>
      <c r="C772" s="13"/>
      <c r="D772" s="13"/>
      <c r="E772" s="13"/>
    </row>
    <row r="773" spans="1:5" x14ac:dyDescent="0.2">
      <c r="A773" s="13"/>
      <c r="B773" s="14"/>
      <c r="C773" s="13"/>
      <c r="D773" s="13"/>
      <c r="E773" s="13"/>
    </row>
    <row r="774" spans="1:5" x14ac:dyDescent="0.2">
      <c r="A774" s="13"/>
      <c r="B774" s="14"/>
      <c r="C774" s="13"/>
      <c r="D774" s="13"/>
      <c r="E774" s="13"/>
    </row>
    <row r="775" spans="1:5" x14ac:dyDescent="0.2">
      <c r="A775" s="13"/>
      <c r="B775" s="14"/>
      <c r="C775" s="13"/>
      <c r="D775" s="13"/>
      <c r="E775" s="13"/>
    </row>
    <row r="776" spans="1:5" x14ac:dyDescent="0.2">
      <c r="A776" s="13"/>
      <c r="B776" s="14"/>
      <c r="C776" s="13"/>
      <c r="D776" s="13"/>
      <c r="E776" s="13"/>
    </row>
    <row r="777" spans="1:5" x14ac:dyDescent="0.2">
      <c r="A777" s="13"/>
      <c r="B777" s="14"/>
      <c r="C777" s="13"/>
      <c r="D777" s="13"/>
      <c r="E777" s="13"/>
    </row>
    <row r="778" spans="1:5" x14ac:dyDescent="0.2">
      <c r="A778" s="13"/>
      <c r="B778" s="14"/>
      <c r="C778" s="13"/>
      <c r="D778" s="13"/>
      <c r="E778" s="13"/>
    </row>
    <row r="779" spans="1:5" x14ac:dyDescent="0.2">
      <c r="A779" s="13"/>
      <c r="B779" s="14"/>
      <c r="C779" s="13"/>
      <c r="D779" s="13"/>
      <c r="E779" s="13"/>
    </row>
    <row r="780" spans="1:5" x14ac:dyDescent="0.2">
      <c r="A780" s="13"/>
      <c r="B780" s="14"/>
      <c r="C780" s="13"/>
      <c r="D780" s="13"/>
      <c r="E780" s="13"/>
    </row>
    <row r="781" spans="1:5" x14ac:dyDescent="0.2">
      <c r="A781" s="13"/>
      <c r="B781" s="14"/>
      <c r="C781" s="13"/>
      <c r="D781" s="13"/>
      <c r="E781" s="13"/>
    </row>
    <row r="782" spans="1:5" x14ac:dyDescent="0.2">
      <c r="A782" s="13"/>
      <c r="B782" s="14"/>
      <c r="C782" s="13"/>
      <c r="D782" s="13"/>
      <c r="E782" s="13"/>
    </row>
    <row r="783" spans="1:5" x14ac:dyDescent="0.2">
      <c r="A783" s="13"/>
      <c r="B783" s="14"/>
      <c r="C783" s="13"/>
      <c r="D783" s="13"/>
      <c r="E783" s="13"/>
    </row>
    <row r="784" spans="1:5" x14ac:dyDescent="0.2">
      <c r="A784" s="13"/>
      <c r="B784" s="14"/>
      <c r="C784" s="13"/>
      <c r="D784" s="13"/>
      <c r="E784" s="13"/>
    </row>
    <row r="785" spans="1:5" x14ac:dyDescent="0.2">
      <c r="A785" s="13"/>
      <c r="B785" s="14"/>
      <c r="C785" s="13"/>
      <c r="D785" s="13"/>
      <c r="E785" s="13"/>
    </row>
    <row r="786" spans="1:5" x14ac:dyDescent="0.2">
      <c r="A786" s="13"/>
      <c r="B786" s="14"/>
      <c r="C786" s="13"/>
      <c r="D786" s="13"/>
      <c r="E786" s="13"/>
    </row>
    <row r="787" spans="1:5" x14ac:dyDescent="0.2">
      <c r="A787" s="13"/>
      <c r="B787" s="14"/>
      <c r="C787" s="13"/>
      <c r="D787" s="13"/>
      <c r="E787" s="13"/>
    </row>
    <row r="788" spans="1:5" x14ac:dyDescent="0.2">
      <c r="A788" s="13"/>
      <c r="B788" s="14"/>
      <c r="C788" s="13"/>
      <c r="D788" s="13"/>
      <c r="E788" s="13"/>
    </row>
    <row r="789" spans="1:5" x14ac:dyDescent="0.2">
      <c r="A789" s="13"/>
      <c r="B789" s="14"/>
      <c r="C789" s="13"/>
      <c r="D789" s="13"/>
      <c r="E789" s="13"/>
    </row>
    <row r="790" spans="1:5" x14ac:dyDescent="0.2">
      <c r="A790" s="13"/>
      <c r="B790" s="14"/>
      <c r="C790" s="13"/>
      <c r="D790" s="13"/>
      <c r="E790" s="13"/>
    </row>
    <row r="791" spans="1:5" x14ac:dyDescent="0.2">
      <c r="A791" s="13"/>
      <c r="B791" s="14"/>
      <c r="C791" s="13"/>
      <c r="D791" s="13"/>
      <c r="E791" s="13"/>
    </row>
    <row r="792" spans="1:5" x14ac:dyDescent="0.2">
      <c r="A792" s="13"/>
      <c r="B792" s="14"/>
      <c r="C792" s="13"/>
      <c r="D792" s="13"/>
      <c r="E792" s="13"/>
    </row>
    <row r="793" spans="1:5" x14ac:dyDescent="0.2">
      <c r="A793" s="13"/>
      <c r="B793" s="14"/>
      <c r="C793" s="13"/>
      <c r="D793" s="13"/>
      <c r="E793" s="13"/>
    </row>
    <row r="794" spans="1:5" x14ac:dyDescent="0.2">
      <c r="A794" s="13"/>
      <c r="B794" s="14"/>
      <c r="C794" s="13"/>
      <c r="D794" s="13"/>
      <c r="E794" s="13"/>
    </row>
    <row r="795" spans="1:5" x14ac:dyDescent="0.2">
      <c r="A795" s="13"/>
      <c r="B795" s="14"/>
      <c r="C795" s="13"/>
      <c r="D795" s="13"/>
      <c r="E795" s="13"/>
    </row>
    <row r="796" spans="1:5" x14ac:dyDescent="0.2">
      <c r="A796" s="13"/>
      <c r="B796" s="14"/>
      <c r="C796" s="13"/>
      <c r="D796" s="13"/>
      <c r="E796" s="13"/>
    </row>
    <row r="797" spans="1:5" x14ac:dyDescent="0.2">
      <c r="A797" s="13"/>
      <c r="B797" s="14"/>
      <c r="C797" s="13"/>
      <c r="D797" s="13"/>
      <c r="E797" s="13"/>
    </row>
    <row r="798" spans="1:5" x14ac:dyDescent="0.2">
      <c r="A798" s="13"/>
      <c r="B798" s="14"/>
      <c r="C798" s="13"/>
      <c r="D798" s="13"/>
      <c r="E798" s="13"/>
    </row>
    <row r="799" spans="1:5" x14ac:dyDescent="0.2">
      <c r="A799" s="13"/>
      <c r="B799" s="14"/>
      <c r="C799" s="13"/>
      <c r="D799" s="13"/>
      <c r="E799" s="13"/>
    </row>
    <row r="800" spans="1:5" x14ac:dyDescent="0.2">
      <c r="A800" s="13"/>
      <c r="B800" s="14"/>
      <c r="C800" s="13"/>
      <c r="D800" s="13"/>
      <c r="E800" s="13"/>
    </row>
    <row r="801" spans="1:5" x14ac:dyDescent="0.2">
      <c r="A801" s="13"/>
      <c r="B801" s="14"/>
      <c r="C801" s="13"/>
      <c r="D801" s="13"/>
      <c r="E801" s="13"/>
    </row>
    <row r="802" spans="1:5" x14ac:dyDescent="0.2">
      <c r="A802" s="13"/>
      <c r="B802" s="14"/>
      <c r="C802" s="13"/>
      <c r="D802" s="13"/>
      <c r="E802" s="13"/>
    </row>
    <row r="803" spans="1:5" x14ac:dyDescent="0.2">
      <c r="A803" s="13"/>
      <c r="B803" s="14"/>
      <c r="C803" s="13"/>
      <c r="D803" s="13"/>
      <c r="E803" s="13"/>
    </row>
    <row r="804" spans="1:5" x14ac:dyDescent="0.2">
      <c r="A804" s="13"/>
      <c r="B804" s="14"/>
      <c r="C804" s="13"/>
      <c r="D804" s="13"/>
      <c r="E804" s="13"/>
    </row>
    <row r="805" spans="1:5" x14ac:dyDescent="0.2">
      <c r="A805" s="13"/>
      <c r="B805" s="14"/>
      <c r="C805" s="13"/>
      <c r="D805" s="13"/>
      <c r="E805" s="13"/>
    </row>
    <row r="806" spans="1:5" x14ac:dyDescent="0.2">
      <c r="A806" s="13"/>
      <c r="B806" s="14"/>
      <c r="C806" s="13"/>
      <c r="D806" s="13"/>
      <c r="E806" s="13"/>
    </row>
    <row r="807" spans="1:5" x14ac:dyDescent="0.2">
      <c r="A807" s="13"/>
      <c r="B807" s="14"/>
      <c r="C807" s="13"/>
      <c r="D807" s="13"/>
      <c r="E807" s="13"/>
    </row>
    <row r="808" spans="1:5" x14ac:dyDescent="0.2">
      <c r="A808" s="13"/>
      <c r="B808" s="14"/>
      <c r="C808" s="13"/>
      <c r="D808" s="13"/>
      <c r="E808" s="13"/>
    </row>
    <row r="809" spans="1:5" x14ac:dyDescent="0.2">
      <c r="A809" s="13"/>
      <c r="B809" s="14"/>
      <c r="C809" s="13"/>
      <c r="D809" s="13"/>
      <c r="E809" s="13"/>
    </row>
    <row r="810" spans="1:5" x14ac:dyDescent="0.2">
      <c r="A810" s="13"/>
      <c r="B810" s="14"/>
      <c r="C810" s="13"/>
      <c r="D810" s="13"/>
      <c r="E810" s="13"/>
    </row>
    <row r="811" spans="1:5" x14ac:dyDescent="0.2">
      <c r="A811" s="13"/>
      <c r="B811" s="14"/>
      <c r="C811" s="13"/>
      <c r="D811" s="13"/>
      <c r="E811" s="13"/>
    </row>
    <row r="812" spans="1:5" x14ac:dyDescent="0.2">
      <c r="A812" s="13"/>
      <c r="B812" s="14"/>
      <c r="C812" s="13"/>
      <c r="D812" s="13"/>
      <c r="E812" s="13"/>
    </row>
    <row r="813" spans="1:5" x14ac:dyDescent="0.2">
      <c r="A813" s="13"/>
      <c r="B813" s="14"/>
      <c r="C813" s="13"/>
      <c r="D813" s="13"/>
      <c r="E813" s="13"/>
    </row>
    <row r="814" spans="1:5" x14ac:dyDescent="0.2">
      <c r="A814" s="13"/>
      <c r="B814" s="14"/>
      <c r="C814" s="13"/>
      <c r="D814" s="13"/>
      <c r="E814" s="13"/>
    </row>
    <row r="815" spans="1:5" x14ac:dyDescent="0.2">
      <c r="A815" s="13"/>
      <c r="B815" s="14"/>
      <c r="C815" s="13"/>
      <c r="D815" s="13"/>
      <c r="E815" s="13"/>
    </row>
    <row r="816" spans="1:5" x14ac:dyDescent="0.2">
      <c r="A816" s="13"/>
      <c r="B816" s="14"/>
      <c r="C816" s="13"/>
      <c r="D816" s="13"/>
      <c r="E816" s="13"/>
    </row>
    <row r="817" spans="1:5" x14ac:dyDescent="0.2">
      <c r="A817" s="13"/>
      <c r="B817" s="14"/>
      <c r="C817" s="13"/>
      <c r="D817" s="13"/>
      <c r="E817" s="13"/>
    </row>
    <row r="818" spans="1:5" x14ac:dyDescent="0.2">
      <c r="A818" s="13"/>
      <c r="B818" s="14"/>
      <c r="C818" s="13"/>
      <c r="D818" s="13"/>
      <c r="E818" s="13"/>
    </row>
    <row r="819" spans="1:5" x14ac:dyDescent="0.2">
      <c r="A819" s="13"/>
      <c r="B819" s="14"/>
      <c r="C819" s="13"/>
      <c r="D819" s="13"/>
      <c r="E819" s="13"/>
    </row>
    <row r="820" spans="1:5" x14ac:dyDescent="0.2">
      <c r="A820" s="13"/>
      <c r="B820" s="14"/>
      <c r="C820" s="13"/>
      <c r="D820" s="13"/>
      <c r="E820" s="13"/>
    </row>
    <row r="821" spans="1:5" x14ac:dyDescent="0.2">
      <c r="A821" s="13"/>
      <c r="B821" s="14"/>
      <c r="C821" s="13"/>
      <c r="D821" s="13"/>
      <c r="E821" s="13"/>
    </row>
    <row r="822" spans="1:5" x14ac:dyDescent="0.2">
      <c r="A822" s="13"/>
      <c r="B822" s="14"/>
      <c r="C822" s="13"/>
      <c r="D822" s="13"/>
      <c r="E822" s="13"/>
    </row>
    <row r="823" spans="1:5" x14ac:dyDescent="0.2">
      <c r="A823" s="13"/>
      <c r="B823" s="14"/>
      <c r="C823" s="13"/>
      <c r="D823" s="13"/>
      <c r="E823" s="13"/>
    </row>
    <row r="824" spans="1:5" x14ac:dyDescent="0.2">
      <c r="A824" s="13"/>
      <c r="B824" s="14"/>
      <c r="C824" s="13"/>
      <c r="D824" s="13"/>
      <c r="E824" s="13"/>
    </row>
    <row r="825" spans="1:5" x14ac:dyDescent="0.2">
      <c r="A825" s="13"/>
      <c r="B825" s="14"/>
      <c r="C825" s="13"/>
      <c r="D825" s="13"/>
      <c r="E825" s="13"/>
    </row>
    <row r="826" spans="1:5" x14ac:dyDescent="0.2">
      <c r="A826" s="13"/>
      <c r="B826" s="14"/>
      <c r="C826" s="13"/>
      <c r="D826" s="13"/>
      <c r="E826" s="13"/>
    </row>
    <row r="827" spans="1:5" x14ac:dyDescent="0.2">
      <c r="A827" s="13"/>
      <c r="B827" s="14"/>
      <c r="C827" s="13"/>
      <c r="D827" s="13"/>
      <c r="E827" s="13"/>
    </row>
    <row r="828" spans="1:5" x14ac:dyDescent="0.2">
      <c r="A828" s="13"/>
      <c r="B828" s="14"/>
      <c r="C828" s="13"/>
      <c r="D828" s="13"/>
      <c r="E828" s="13"/>
    </row>
    <row r="829" spans="1:5" x14ac:dyDescent="0.2">
      <c r="A829" s="13"/>
      <c r="B829" s="14"/>
      <c r="C829" s="13"/>
      <c r="D829" s="13"/>
      <c r="E829" s="13"/>
    </row>
    <row r="830" spans="1:5" x14ac:dyDescent="0.2">
      <c r="A830" s="13"/>
      <c r="B830" s="14"/>
      <c r="C830" s="13"/>
      <c r="D830" s="13"/>
      <c r="E830" s="13"/>
    </row>
    <row r="831" spans="1:5" x14ac:dyDescent="0.2">
      <c r="A831" s="13"/>
      <c r="B831" s="14"/>
      <c r="C831" s="13"/>
      <c r="D831" s="13"/>
      <c r="E831" s="13"/>
    </row>
    <row r="832" spans="1:5" x14ac:dyDescent="0.2">
      <c r="A832" s="13"/>
      <c r="B832" s="14"/>
      <c r="C832" s="13"/>
      <c r="D832" s="13"/>
      <c r="E832" s="13"/>
    </row>
    <row r="833" spans="1:5" x14ac:dyDescent="0.2">
      <c r="A833" s="13"/>
      <c r="B833" s="14"/>
      <c r="C833" s="13"/>
      <c r="D833" s="13"/>
      <c r="E833" s="13"/>
    </row>
    <row r="834" spans="1:5" x14ac:dyDescent="0.2">
      <c r="A834" s="13"/>
      <c r="B834" s="14"/>
      <c r="C834" s="13"/>
      <c r="D834" s="13"/>
      <c r="E834" s="13"/>
    </row>
    <row r="835" spans="1:5" x14ac:dyDescent="0.2">
      <c r="A835" s="13"/>
      <c r="B835" s="14"/>
      <c r="C835" s="13"/>
      <c r="D835" s="13"/>
      <c r="E835" s="13"/>
    </row>
    <row r="836" spans="1:5" x14ac:dyDescent="0.2">
      <c r="A836" s="13"/>
      <c r="B836" s="14"/>
      <c r="C836" s="13"/>
      <c r="D836" s="13"/>
      <c r="E836" s="13"/>
    </row>
    <row r="837" spans="1:5" x14ac:dyDescent="0.2">
      <c r="A837" s="13"/>
      <c r="B837" s="14"/>
      <c r="C837" s="13"/>
      <c r="D837" s="13"/>
      <c r="E837" s="13"/>
    </row>
    <row r="838" spans="1:5" x14ac:dyDescent="0.2">
      <c r="A838" s="13"/>
      <c r="B838" s="14"/>
      <c r="C838" s="13"/>
      <c r="D838" s="13"/>
      <c r="E838" s="13"/>
    </row>
    <row r="839" spans="1:5" x14ac:dyDescent="0.2">
      <c r="A839" s="13"/>
      <c r="B839" s="14"/>
      <c r="C839" s="13"/>
      <c r="D839" s="13"/>
      <c r="E839" s="13"/>
    </row>
    <row r="840" spans="1:5" x14ac:dyDescent="0.2">
      <c r="A840" s="13"/>
      <c r="B840" s="14"/>
      <c r="C840" s="13"/>
      <c r="D840" s="13"/>
      <c r="E840" s="13"/>
    </row>
    <row r="841" spans="1:5" x14ac:dyDescent="0.2">
      <c r="A841" s="13"/>
      <c r="B841" s="14"/>
      <c r="C841" s="13"/>
      <c r="D841" s="13"/>
      <c r="E841" s="13"/>
    </row>
    <row r="842" spans="1:5" x14ac:dyDescent="0.2">
      <c r="A842" s="13"/>
      <c r="B842" s="14"/>
      <c r="C842" s="13"/>
      <c r="D842" s="13"/>
      <c r="E842" s="13"/>
    </row>
    <row r="843" spans="1:5" x14ac:dyDescent="0.2">
      <c r="A843" s="13"/>
      <c r="B843" s="14"/>
      <c r="C843" s="13"/>
      <c r="D843" s="13"/>
      <c r="E843" s="13"/>
    </row>
    <row r="844" spans="1:5" x14ac:dyDescent="0.2">
      <c r="A844" s="13"/>
      <c r="B844" s="14"/>
      <c r="C844" s="13"/>
      <c r="D844" s="13"/>
      <c r="E844" s="13"/>
    </row>
    <row r="845" spans="1:5" x14ac:dyDescent="0.2">
      <c r="A845" s="13"/>
      <c r="B845" s="14"/>
      <c r="C845" s="13"/>
      <c r="D845" s="13"/>
      <c r="E845" s="13"/>
    </row>
    <row r="846" spans="1:5" x14ac:dyDescent="0.2">
      <c r="A846" s="13"/>
      <c r="B846" s="14"/>
      <c r="C846" s="13"/>
      <c r="D846" s="13"/>
      <c r="E846" s="13"/>
    </row>
    <row r="847" spans="1:5" x14ac:dyDescent="0.2">
      <c r="A847" s="13"/>
      <c r="B847" s="14"/>
      <c r="C847" s="13"/>
      <c r="D847" s="13"/>
      <c r="E847" s="13"/>
    </row>
    <row r="848" spans="1:5" x14ac:dyDescent="0.2">
      <c r="A848" s="13"/>
      <c r="B848" s="14"/>
      <c r="C848" s="13"/>
      <c r="D848" s="13"/>
      <c r="E848" s="13"/>
    </row>
    <row r="849" spans="1:5" x14ac:dyDescent="0.2">
      <c r="A849" s="13"/>
      <c r="B849" s="14"/>
      <c r="C849" s="13"/>
      <c r="D849" s="13"/>
      <c r="E849" s="13"/>
    </row>
    <row r="850" spans="1:5" x14ac:dyDescent="0.2">
      <c r="A850" s="13"/>
      <c r="B850" s="14"/>
      <c r="C850" s="13"/>
      <c r="D850" s="13"/>
      <c r="E850" s="13"/>
    </row>
    <row r="851" spans="1:5" x14ac:dyDescent="0.2">
      <c r="A851" s="13"/>
      <c r="B851" s="14"/>
      <c r="C851" s="13"/>
      <c r="D851" s="13"/>
      <c r="E851" s="13"/>
    </row>
    <row r="852" spans="1:5" x14ac:dyDescent="0.2">
      <c r="A852" s="13"/>
      <c r="B852" s="14"/>
      <c r="C852" s="13"/>
      <c r="D852" s="13"/>
      <c r="E852" s="13"/>
    </row>
    <row r="853" spans="1:5" x14ac:dyDescent="0.2">
      <c r="A853" s="13"/>
      <c r="B853" s="14"/>
      <c r="C853" s="13"/>
      <c r="D853" s="13"/>
      <c r="E853" s="13"/>
    </row>
    <row r="854" spans="1:5" x14ac:dyDescent="0.2">
      <c r="A854" s="13"/>
      <c r="B854" s="14"/>
      <c r="C854" s="13"/>
      <c r="D854" s="13"/>
      <c r="E854" s="13"/>
    </row>
    <row r="855" spans="1:5" x14ac:dyDescent="0.2">
      <c r="A855" s="13"/>
      <c r="B855" s="14"/>
      <c r="C855" s="13"/>
      <c r="D855" s="13"/>
      <c r="E855" s="13"/>
    </row>
    <row r="856" spans="1:5" x14ac:dyDescent="0.2">
      <c r="A856" s="13"/>
      <c r="B856" s="14"/>
      <c r="C856" s="13"/>
      <c r="D856" s="13"/>
      <c r="E856" s="13"/>
    </row>
    <row r="857" spans="1:5" x14ac:dyDescent="0.2">
      <c r="A857" s="13"/>
      <c r="B857" s="14"/>
      <c r="C857" s="13"/>
      <c r="D857" s="13"/>
      <c r="E857" s="13"/>
    </row>
    <row r="858" spans="1:5" x14ac:dyDescent="0.2">
      <c r="A858" s="13"/>
      <c r="B858" s="14"/>
      <c r="C858" s="13"/>
      <c r="D858" s="13"/>
      <c r="E858" s="13"/>
    </row>
    <row r="859" spans="1:5" x14ac:dyDescent="0.2">
      <c r="A859" s="13"/>
      <c r="B859" s="14"/>
      <c r="C859" s="13"/>
      <c r="D859" s="13"/>
      <c r="E859" s="13"/>
    </row>
    <row r="860" spans="1:5" x14ac:dyDescent="0.2">
      <c r="A860" s="13"/>
      <c r="B860" s="14"/>
      <c r="C860" s="13"/>
      <c r="D860" s="13"/>
      <c r="E860" s="13"/>
    </row>
    <row r="861" spans="1:5" x14ac:dyDescent="0.2">
      <c r="A861" s="13"/>
      <c r="B861" s="14"/>
      <c r="C861" s="13"/>
      <c r="D861" s="13"/>
      <c r="E861" s="13"/>
    </row>
    <row r="862" spans="1:5" x14ac:dyDescent="0.2">
      <c r="A862" s="13"/>
      <c r="B862" s="14"/>
      <c r="C862" s="13"/>
      <c r="D862" s="13"/>
      <c r="E862" s="13"/>
    </row>
    <row r="863" spans="1:5" x14ac:dyDescent="0.2">
      <c r="A863" s="13"/>
      <c r="B863" s="14"/>
      <c r="C863" s="13"/>
      <c r="D863" s="13"/>
      <c r="E863" s="13"/>
    </row>
    <row r="864" spans="1:5" x14ac:dyDescent="0.2">
      <c r="A864" s="13"/>
      <c r="B864" s="14"/>
      <c r="C864" s="13"/>
      <c r="D864" s="13"/>
      <c r="E864" s="13"/>
    </row>
    <row r="865" spans="1:5" x14ac:dyDescent="0.2">
      <c r="A865" s="13"/>
      <c r="B865" s="14"/>
      <c r="C865" s="13"/>
      <c r="D865" s="13"/>
      <c r="E865" s="13"/>
    </row>
    <row r="866" spans="1:5" x14ac:dyDescent="0.2">
      <c r="A866" s="13"/>
      <c r="B866" s="14"/>
      <c r="C866" s="13"/>
      <c r="D866" s="13"/>
      <c r="E866" s="13"/>
    </row>
    <row r="867" spans="1:5" x14ac:dyDescent="0.2">
      <c r="A867" s="13"/>
      <c r="B867" s="14"/>
      <c r="C867" s="13"/>
      <c r="D867" s="13"/>
      <c r="E867" s="13"/>
    </row>
    <row r="868" spans="1:5" x14ac:dyDescent="0.2">
      <c r="A868" s="13"/>
      <c r="B868" s="14"/>
      <c r="C868" s="13"/>
      <c r="D868" s="13"/>
      <c r="E868" s="13"/>
    </row>
    <row r="869" spans="1:5" x14ac:dyDescent="0.2">
      <c r="A869" s="13"/>
      <c r="B869" s="14"/>
      <c r="C869" s="13"/>
      <c r="D869" s="13"/>
      <c r="E869" s="13"/>
    </row>
    <row r="870" spans="1:5" x14ac:dyDescent="0.2">
      <c r="A870" s="13"/>
      <c r="B870" s="14"/>
      <c r="C870" s="13"/>
      <c r="D870" s="13"/>
      <c r="E870" s="13"/>
    </row>
    <row r="871" spans="1:5" x14ac:dyDescent="0.2">
      <c r="A871" s="13"/>
      <c r="B871" s="14"/>
      <c r="C871" s="13"/>
      <c r="D871" s="13"/>
      <c r="E871" s="13"/>
    </row>
    <row r="872" spans="1:5" x14ac:dyDescent="0.2">
      <c r="A872" s="13"/>
      <c r="B872" s="14"/>
      <c r="C872" s="13"/>
      <c r="D872" s="13"/>
      <c r="E872" s="13"/>
    </row>
    <row r="873" spans="1:5" x14ac:dyDescent="0.2">
      <c r="A873" s="13"/>
      <c r="B873" s="14"/>
      <c r="C873" s="13"/>
      <c r="D873" s="13"/>
      <c r="E873" s="13"/>
    </row>
    <row r="874" spans="1:5" x14ac:dyDescent="0.2">
      <c r="A874" s="13"/>
      <c r="B874" s="14"/>
      <c r="C874" s="13"/>
      <c r="D874" s="13"/>
      <c r="E874" s="13"/>
    </row>
    <row r="875" spans="1:5" x14ac:dyDescent="0.2">
      <c r="A875" s="13"/>
      <c r="B875" s="14"/>
      <c r="C875" s="13"/>
      <c r="D875" s="13"/>
      <c r="E875" s="13"/>
    </row>
    <row r="876" spans="1:5" x14ac:dyDescent="0.2">
      <c r="A876" s="13"/>
      <c r="B876" s="14"/>
      <c r="C876" s="13"/>
      <c r="D876" s="13"/>
      <c r="E876" s="13"/>
    </row>
    <row r="877" spans="1:5" x14ac:dyDescent="0.2">
      <c r="A877" s="13"/>
      <c r="B877" s="14"/>
      <c r="C877" s="13"/>
      <c r="D877" s="13"/>
      <c r="E877" s="13"/>
    </row>
    <row r="878" spans="1:5" x14ac:dyDescent="0.2">
      <c r="A878" s="13"/>
      <c r="B878" s="14"/>
      <c r="C878" s="13"/>
      <c r="D878" s="13"/>
      <c r="E878" s="13"/>
    </row>
    <row r="879" spans="1:5" x14ac:dyDescent="0.2">
      <c r="A879" s="13"/>
      <c r="B879" s="14"/>
      <c r="C879" s="13"/>
      <c r="D879" s="13"/>
      <c r="E879" s="13"/>
    </row>
    <row r="880" spans="1:5" x14ac:dyDescent="0.2">
      <c r="A880" s="13"/>
      <c r="B880" s="14"/>
      <c r="C880" s="13"/>
      <c r="D880" s="13"/>
      <c r="E880" s="13"/>
    </row>
    <row r="881" spans="1:5" x14ac:dyDescent="0.2">
      <c r="A881" s="13"/>
      <c r="B881" s="14"/>
      <c r="C881" s="13"/>
      <c r="D881" s="13"/>
      <c r="E881" s="13"/>
    </row>
    <row r="882" spans="1:5" x14ac:dyDescent="0.2">
      <c r="A882" s="13"/>
      <c r="B882" s="14"/>
      <c r="C882" s="13"/>
      <c r="D882" s="13"/>
      <c r="E882" s="13"/>
    </row>
    <row r="883" spans="1:5" x14ac:dyDescent="0.2">
      <c r="A883" s="13"/>
      <c r="B883" s="14"/>
      <c r="C883" s="13"/>
      <c r="D883" s="13"/>
      <c r="E883" s="13"/>
    </row>
    <row r="884" spans="1:5" x14ac:dyDescent="0.2">
      <c r="A884" s="13"/>
      <c r="B884" s="14"/>
      <c r="C884" s="13"/>
      <c r="D884" s="13"/>
      <c r="E884" s="13"/>
    </row>
    <row r="885" spans="1:5" x14ac:dyDescent="0.2">
      <c r="A885" s="13"/>
      <c r="B885" s="14"/>
      <c r="C885" s="13"/>
      <c r="D885" s="13"/>
      <c r="E885" s="13"/>
    </row>
    <row r="886" spans="1:5" x14ac:dyDescent="0.2">
      <c r="A886" s="13"/>
      <c r="B886" s="14"/>
      <c r="C886" s="13"/>
      <c r="D886" s="13"/>
      <c r="E886" s="13"/>
    </row>
    <row r="887" spans="1:5" x14ac:dyDescent="0.2">
      <c r="A887" s="13"/>
      <c r="B887" s="14"/>
      <c r="C887" s="13"/>
      <c r="D887" s="13"/>
      <c r="E887" s="13"/>
    </row>
    <row r="888" spans="1:5" x14ac:dyDescent="0.2">
      <c r="A888" s="13"/>
      <c r="B888" s="14"/>
      <c r="C888" s="13"/>
      <c r="D888" s="13"/>
      <c r="E888" s="13"/>
    </row>
    <row r="889" spans="1:5" x14ac:dyDescent="0.2">
      <c r="A889" s="13"/>
      <c r="B889" s="14"/>
      <c r="C889" s="13"/>
      <c r="D889" s="13"/>
      <c r="E889" s="13"/>
    </row>
    <row r="890" spans="1:5" x14ac:dyDescent="0.2">
      <c r="A890" s="13"/>
      <c r="B890" s="14"/>
      <c r="C890" s="13"/>
      <c r="D890" s="13"/>
      <c r="E890" s="13"/>
    </row>
    <row r="891" spans="1:5" x14ac:dyDescent="0.2">
      <c r="A891" s="13"/>
      <c r="B891" s="14"/>
      <c r="C891" s="13"/>
      <c r="D891" s="13"/>
      <c r="E891" s="13"/>
    </row>
    <row r="892" spans="1:5" x14ac:dyDescent="0.2">
      <c r="A892" s="13"/>
      <c r="B892" s="14"/>
      <c r="C892" s="13"/>
      <c r="D892" s="13"/>
      <c r="E892" s="13"/>
    </row>
    <row r="893" spans="1:5" x14ac:dyDescent="0.2">
      <c r="A893" s="13"/>
      <c r="B893" s="14"/>
      <c r="C893" s="13"/>
      <c r="D893" s="13"/>
      <c r="E893" s="13"/>
    </row>
    <row r="894" spans="1:5" x14ac:dyDescent="0.2">
      <c r="A894" s="13"/>
      <c r="B894" s="14"/>
      <c r="C894" s="13"/>
      <c r="D894" s="13"/>
      <c r="E894" s="13"/>
    </row>
    <row r="895" spans="1:5" x14ac:dyDescent="0.2">
      <c r="A895" s="13"/>
      <c r="B895" s="14"/>
      <c r="C895" s="13"/>
      <c r="D895" s="13"/>
      <c r="E895" s="13"/>
    </row>
    <row r="896" spans="1:5" x14ac:dyDescent="0.2">
      <c r="A896" s="13"/>
      <c r="B896" s="14"/>
      <c r="C896" s="13"/>
      <c r="D896" s="13"/>
      <c r="E896" s="13"/>
    </row>
    <row r="897" spans="1:5" x14ac:dyDescent="0.2">
      <c r="A897" s="13"/>
      <c r="B897" s="14"/>
      <c r="C897" s="13"/>
      <c r="D897" s="13"/>
      <c r="E897" s="13"/>
    </row>
    <row r="898" spans="1:5" x14ac:dyDescent="0.2">
      <c r="A898" s="13"/>
      <c r="B898" s="14"/>
      <c r="C898" s="13"/>
      <c r="D898" s="13"/>
      <c r="E898" s="13"/>
    </row>
    <row r="899" spans="1:5" x14ac:dyDescent="0.2">
      <c r="A899" s="13"/>
      <c r="B899" s="14"/>
      <c r="C899" s="13"/>
      <c r="D899" s="13"/>
      <c r="E899" s="13"/>
    </row>
    <row r="900" spans="1:5" x14ac:dyDescent="0.2">
      <c r="A900" s="13"/>
      <c r="B900" s="14"/>
      <c r="C900" s="13"/>
      <c r="D900" s="13"/>
      <c r="E900" s="13"/>
    </row>
    <row r="901" spans="1:5" x14ac:dyDescent="0.2">
      <c r="A901" s="13"/>
      <c r="B901" s="14"/>
      <c r="C901" s="13"/>
      <c r="D901" s="13"/>
      <c r="E901" s="13"/>
    </row>
    <row r="902" spans="1:5" x14ac:dyDescent="0.2">
      <c r="A902" s="13"/>
      <c r="B902" s="14"/>
      <c r="C902" s="13"/>
      <c r="D902" s="13"/>
      <c r="E902" s="13"/>
    </row>
    <row r="903" spans="1:5" x14ac:dyDescent="0.2">
      <c r="A903" s="13"/>
      <c r="B903" s="14"/>
      <c r="C903" s="13"/>
      <c r="D903" s="13"/>
      <c r="E903" s="13"/>
    </row>
    <row r="904" spans="1:5" x14ac:dyDescent="0.2">
      <c r="A904" s="13"/>
      <c r="B904" s="14"/>
      <c r="C904" s="13"/>
      <c r="D904" s="13"/>
      <c r="E904" s="13"/>
    </row>
    <row r="905" spans="1:5" x14ac:dyDescent="0.2">
      <c r="A905" s="13"/>
      <c r="B905" s="14"/>
      <c r="C905" s="13"/>
      <c r="D905" s="13"/>
      <c r="E905" s="13"/>
    </row>
    <row r="906" spans="1:5" x14ac:dyDescent="0.2">
      <c r="A906" s="13"/>
      <c r="B906" s="14"/>
      <c r="C906" s="13"/>
      <c r="D906" s="13"/>
      <c r="E906" s="13"/>
    </row>
    <row r="907" spans="1:5" x14ac:dyDescent="0.2">
      <c r="A907" s="13"/>
      <c r="B907" s="14"/>
      <c r="C907" s="13"/>
      <c r="D907" s="13"/>
      <c r="E907" s="13"/>
    </row>
    <row r="908" spans="1:5" x14ac:dyDescent="0.2">
      <c r="A908" s="13"/>
      <c r="B908" s="14"/>
      <c r="C908" s="13"/>
      <c r="D908" s="13"/>
      <c r="E908" s="13"/>
    </row>
    <row r="909" spans="1:5" x14ac:dyDescent="0.2">
      <c r="A909" s="13"/>
      <c r="B909" s="14"/>
      <c r="C909" s="13"/>
      <c r="D909" s="13"/>
      <c r="E909" s="13"/>
    </row>
    <row r="910" spans="1:5" x14ac:dyDescent="0.2">
      <c r="A910" s="13"/>
      <c r="B910" s="14"/>
      <c r="C910" s="13"/>
      <c r="D910" s="13"/>
      <c r="E910" s="13"/>
    </row>
    <row r="911" spans="1:5" x14ac:dyDescent="0.2">
      <c r="A911" s="13"/>
      <c r="B911" s="14"/>
      <c r="C911" s="13"/>
      <c r="D911" s="13"/>
      <c r="E911" s="13"/>
    </row>
    <row r="912" spans="1:5" x14ac:dyDescent="0.2">
      <c r="A912" s="13"/>
      <c r="B912" s="14"/>
      <c r="C912" s="13"/>
      <c r="D912" s="13"/>
      <c r="E912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7148-3D89-034E-B197-927FBD6430C5}">
  <dimension ref="A1:N213"/>
  <sheetViews>
    <sheetView workbookViewId="0">
      <selection activeCell="O12" sqref="O12"/>
    </sheetView>
  </sheetViews>
  <sheetFormatPr baseColWidth="10" defaultColWidth="11.5" defaultRowHeight="15" x14ac:dyDescent="0.2"/>
  <cols>
    <col min="2" max="2" width="16" customWidth="1"/>
  </cols>
  <sheetData>
    <row r="1" spans="1:14" x14ac:dyDescent="0.2">
      <c r="A1" t="s">
        <v>416</v>
      </c>
      <c r="B1" t="s">
        <v>417</v>
      </c>
      <c r="C1" t="s">
        <v>418</v>
      </c>
      <c r="D1" t="s">
        <v>419</v>
      </c>
      <c r="E1" t="s">
        <v>420</v>
      </c>
      <c r="F1" t="s">
        <v>421</v>
      </c>
      <c r="G1" t="s">
        <v>422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618</v>
      </c>
    </row>
    <row r="2" spans="1:14" x14ac:dyDescent="0.2">
      <c r="A2">
        <v>3547</v>
      </c>
      <c r="B2" t="s">
        <v>12</v>
      </c>
      <c r="C2" t="s">
        <v>405</v>
      </c>
      <c r="D2" t="s">
        <v>340</v>
      </c>
      <c r="E2" s="15">
        <v>45524</v>
      </c>
      <c r="F2">
        <v>12</v>
      </c>
      <c r="G2">
        <v>0.99754299754299702</v>
      </c>
      <c r="H2">
        <v>0.16619999999999999</v>
      </c>
      <c r="J2">
        <v>7</v>
      </c>
      <c r="K2">
        <v>10</v>
      </c>
      <c r="L2">
        <v>93</v>
      </c>
      <c r="M2">
        <v>1.8404</v>
      </c>
      <c r="N2">
        <f>AVERAGEIF(MonthlyMetric!A:A,AnnualReview!B2,MonthlyMetric!F:F)</f>
        <v>0.92094166666666588</v>
      </c>
    </row>
    <row r="3" spans="1:14" x14ac:dyDescent="0.2">
      <c r="A3">
        <v>3544</v>
      </c>
      <c r="B3" t="s">
        <v>15</v>
      </c>
      <c r="C3" t="s">
        <v>405</v>
      </c>
      <c r="D3" t="s">
        <v>340</v>
      </c>
      <c r="E3" s="15">
        <v>45519</v>
      </c>
      <c r="F3">
        <v>30</v>
      </c>
      <c r="G3">
        <v>0.99690594059405901</v>
      </c>
      <c r="H3">
        <v>0.1694</v>
      </c>
      <c r="J3">
        <v>10</v>
      </c>
      <c r="K3">
        <v>9.8000000000000007</v>
      </c>
      <c r="L3">
        <v>24</v>
      </c>
      <c r="M3">
        <v>1.1120999999999901</v>
      </c>
      <c r="N3">
        <f>AVERAGEIF(MonthlyMetric!A:A,AnnualReview!B3,MonthlyMetric!F:F)</f>
        <v>0.89430833333333315</v>
      </c>
    </row>
    <row r="4" spans="1:14" x14ac:dyDescent="0.2">
      <c r="A4">
        <v>2535</v>
      </c>
      <c r="B4" t="s">
        <v>16</v>
      </c>
      <c r="C4" t="s">
        <v>409</v>
      </c>
      <c r="D4" t="s">
        <v>339</v>
      </c>
      <c r="E4" s="15">
        <v>43907</v>
      </c>
      <c r="F4">
        <v>12</v>
      </c>
      <c r="G4">
        <v>1</v>
      </c>
      <c r="H4">
        <v>0.1207</v>
      </c>
      <c r="J4">
        <v>2</v>
      </c>
      <c r="K4">
        <v>9</v>
      </c>
      <c r="L4">
        <v>122</v>
      </c>
      <c r="M4">
        <v>1.1062999999999901</v>
      </c>
      <c r="N4">
        <f>AVERAGEIF(MonthlyMetric!A:A,AnnualReview!B4,MonthlyMetric!F:F)</f>
        <v>0.68573333333333319</v>
      </c>
    </row>
    <row r="5" spans="1:14" x14ac:dyDescent="0.2">
      <c r="A5">
        <v>2464</v>
      </c>
      <c r="B5" t="s">
        <v>17</v>
      </c>
      <c r="C5" t="s">
        <v>409</v>
      </c>
      <c r="D5" t="s">
        <v>340</v>
      </c>
      <c r="E5" s="15">
        <v>43812</v>
      </c>
      <c r="F5">
        <v>30</v>
      </c>
      <c r="G5">
        <v>0.97491349480968803</v>
      </c>
      <c r="H5">
        <v>5.0900000000000001E-2</v>
      </c>
      <c r="J5">
        <v>6</v>
      </c>
      <c r="K5">
        <v>8.8332999999999995</v>
      </c>
      <c r="L5">
        <v>54</v>
      </c>
      <c r="M5">
        <v>1.69</v>
      </c>
      <c r="N5">
        <f>AVERAGEIF(MonthlyMetric!A:A,AnnualReview!B5,MonthlyMetric!F:F)</f>
        <v>0.83797500000000003</v>
      </c>
    </row>
    <row r="6" spans="1:14" x14ac:dyDescent="0.2">
      <c r="A6">
        <v>3614</v>
      </c>
      <c r="B6" t="s">
        <v>217</v>
      </c>
      <c r="C6" t="s">
        <v>405</v>
      </c>
      <c r="D6" t="s">
        <v>342</v>
      </c>
      <c r="E6" s="15">
        <v>45755</v>
      </c>
      <c r="F6">
        <v>12</v>
      </c>
      <c r="G6">
        <v>0.98913043478260798</v>
      </c>
      <c r="H6">
        <v>0.14169999999999999</v>
      </c>
      <c r="J6">
        <v>1</v>
      </c>
      <c r="K6">
        <v>10</v>
      </c>
      <c r="L6">
        <v>42</v>
      </c>
      <c r="M6">
        <v>1.1815</v>
      </c>
      <c r="N6">
        <f>AVERAGEIF(MonthlyMetric!A:A,AnnualReview!B6,MonthlyMetric!F:F)</f>
        <v>0.95271111111111118</v>
      </c>
    </row>
    <row r="7" spans="1:14" x14ac:dyDescent="0.2">
      <c r="A7">
        <v>2421</v>
      </c>
      <c r="B7" t="s">
        <v>18</v>
      </c>
      <c r="C7" t="s">
        <v>410</v>
      </c>
      <c r="D7" t="s">
        <v>340</v>
      </c>
      <c r="E7" s="15">
        <v>43749</v>
      </c>
      <c r="F7">
        <v>30</v>
      </c>
      <c r="G7">
        <v>0.99692937563971296</v>
      </c>
      <c r="H7">
        <v>7.3099999999999998E-2</v>
      </c>
      <c r="J7">
        <v>7</v>
      </c>
      <c r="K7">
        <v>8.8571000000000009</v>
      </c>
      <c r="L7">
        <v>47</v>
      </c>
      <c r="M7">
        <v>0.96960000000000002</v>
      </c>
      <c r="N7">
        <f>AVERAGEIF(MonthlyMetric!A:A,AnnualReview!B7,MonthlyMetric!F:F)</f>
        <v>0.74506666666666665</v>
      </c>
    </row>
    <row r="8" spans="1:14" x14ac:dyDescent="0.2">
      <c r="A8">
        <v>44</v>
      </c>
      <c r="B8" t="s">
        <v>19</v>
      </c>
      <c r="C8" t="s">
        <v>409</v>
      </c>
      <c r="D8" t="s">
        <v>80</v>
      </c>
      <c r="E8" s="15">
        <v>39309</v>
      </c>
      <c r="F8">
        <v>12</v>
      </c>
      <c r="G8">
        <v>0.971857410881801</v>
      </c>
      <c r="H8">
        <v>0.11990000000000001</v>
      </c>
      <c r="J8">
        <v>4</v>
      </c>
      <c r="K8">
        <v>9.75</v>
      </c>
      <c r="L8">
        <v>39</v>
      </c>
      <c r="M8">
        <v>1.05859999999999</v>
      </c>
      <c r="N8">
        <f>AVERAGEIF(MonthlyMetric!A:A,AnnualReview!B8,MonthlyMetric!F:F)</f>
        <v>1.0383333333333333</v>
      </c>
    </row>
    <row r="9" spans="1:14" x14ac:dyDescent="0.2">
      <c r="A9">
        <v>3289</v>
      </c>
      <c r="B9" t="s">
        <v>21</v>
      </c>
      <c r="C9" t="s">
        <v>410</v>
      </c>
      <c r="D9" t="s">
        <v>342</v>
      </c>
      <c r="E9" s="15">
        <v>45223</v>
      </c>
      <c r="F9">
        <v>12</v>
      </c>
      <c r="G9">
        <v>1</v>
      </c>
      <c r="H9">
        <v>0.2278</v>
      </c>
      <c r="J9">
        <v>1</v>
      </c>
      <c r="K9">
        <v>7</v>
      </c>
      <c r="L9">
        <v>44</v>
      </c>
      <c r="M9">
        <v>1.0620999999999901</v>
      </c>
      <c r="N9">
        <f>AVERAGEIF(MonthlyMetric!A:A,AnnualReview!B9,MonthlyMetric!F:F)</f>
        <v>0.47675000000000001</v>
      </c>
    </row>
    <row r="10" spans="1:14" x14ac:dyDescent="0.2">
      <c r="A10">
        <v>3569</v>
      </c>
      <c r="B10" t="s">
        <v>22</v>
      </c>
      <c r="C10" t="s">
        <v>405</v>
      </c>
      <c r="D10" t="s">
        <v>333</v>
      </c>
      <c r="E10" s="15">
        <v>45683</v>
      </c>
      <c r="F10">
        <v>30</v>
      </c>
      <c r="G10">
        <v>0.86458333333333304</v>
      </c>
      <c r="H10">
        <v>0.49869999999999998</v>
      </c>
      <c r="J10">
        <v>12</v>
      </c>
      <c r="K10">
        <v>10</v>
      </c>
      <c r="L10">
        <v>12</v>
      </c>
      <c r="M10">
        <v>1.0230999999999999</v>
      </c>
      <c r="N10">
        <f>AVERAGEIF(MonthlyMetric!A:A,AnnualReview!B10,MonthlyMetric!F:F)</f>
        <v>0.71000000000000008</v>
      </c>
    </row>
    <row r="11" spans="1:14" x14ac:dyDescent="0.2">
      <c r="A11">
        <v>2240</v>
      </c>
      <c r="B11" t="s">
        <v>23</v>
      </c>
      <c r="C11" t="s">
        <v>409</v>
      </c>
      <c r="D11" t="s">
        <v>99</v>
      </c>
      <c r="E11" s="15">
        <v>43479</v>
      </c>
      <c r="F11">
        <v>30</v>
      </c>
      <c r="G11">
        <v>0.99748110831234205</v>
      </c>
      <c r="H11">
        <v>0.1023</v>
      </c>
      <c r="J11">
        <v>5</v>
      </c>
      <c r="K11">
        <v>9.4</v>
      </c>
      <c r="L11">
        <v>33</v>
      </c>
      <c r="M11">
        <v>1.2094</v>
      </c>
      <c r="N11">
        <f>AVERAGEIF(MonthlyMetric!A:A,AnnualReview!B11,MonthlyMetric!F:F)</f>
        <v>0.5992333333333334</v>
      </c>
    </row>
    <row r="12" spans="1:14" x14ac:dyDescent="0.2">
      <c r="A12">
        <v>3550</v>
      </c>
      <c r="B12" t="s">
        <v>24</v>
      </c>
      <c r="C12" t="s">
        <v>410</v>
      </c>
      <c r="D12" t="s">
        <v>342</v>
      </c>
      <c r="E12" s="15">
        <v>45538</v>
      </c>
      <c r="F12">
        <v>30</v>
      </c>
      <c r="G12">
        <v>0.97610062893081695</v>
      </c>
      <c r="H12">
        <v>0.17230000000000001</v>
      </c>
      <c r="J12">
        <v>5</v>
      </c>
      <c r="K12">
        <v>10</v>
      </c>
      <c r="L12">
        <v>38</v>
      </c>
      <c r="M12">
        <v>0.95979999999999899</v>
      </c>
      <c r="N12">
        <f>AVERAGEIF(MonthlyMetric!A:A,AnnualReview!B12,MonthlyMetric!F:F)</f>
        <v>0.79215000000000024</v>
      </c>
    </row>
    <row r="13" spans="1:14" x14ac:dyDescent="0.2">
      <c r="A13">
        <v>3665</v>
      </c>
      <c r="B13" t="s">
        <v>222</v>
      </c>
      <c r="C13" t="s">
        <v>405</v>
      </c>
      <c r="D13" t="s">
        <v>340</v>
      </c>
      <c r="E13" s="15">
        <v>45876</v>
      </c>
      <c r="F13">
        <v>30</v>
      </c>
      <c r="G13">
        <v>0.99135446685878903</v>
      </c>
      <c r="H13">
        <v>0.19420000000000001</v>
      </c>
      <c r="J13">
        <v>2</v>
      </c>
      <c r="K13">
        <v>10</v>
      </c>
      <c r="L13">
        <v>50</v>
      </c>
      <c r="M13">
        <v>0.95209999999999995</v>
      </c>
      <c r="N13">
        <f>AVERAGEIF(MonthlyMetric!A:A,AnnualReview!B13,MonthlyMetric!F:F)</f>
        <v>0.99640000000000006</v>
      </c>
    </row>
    <row r="14" spans="1:14" x14ac:dyDescent="0.2">
      <c r="A14">
        <v>2750</v>
      </c>
      <c r="B14" t="s">
        <v>26</v>
      </c>
      <c r="C14" t="s">
        <v>410</v>
      </c>
      <c r="D14" t="s">
        <v>340</v>
      </c>
      <c r="E14" s="15">
        <v>44218</v>
      </c>
      <c r="F14">
        <v>30</v>
      </c>
      <c r="G14">
        <v>0.98218829516539397</v>
      </c>
      <c r="H14">
        <v>6.25E-2</v>
      </c>
      <c r="J14">
        <v>5</v>
      </c>
      <c r="K14">
        <v>6.2</v>
      </c>
      <c r="L14">
        <v>93</v>
      </c>
      <c r="M14">
        <v>1.2799</v>
      </c>
      <c r="N14">
        <f>AVERAGEIF(MonthlyMetric!A:A,AnnualReview!B14,MonthlyMetric!F:F)</f>
        <v>0.85618333333333341</v>
      </c>
    </row>
    <row r="15" spans="1:14" x14ac:dyDescent="0.2">
      <c r="A15">
        <v>1271</v>
      </c>
      <c r="B15" t="s">
        <v>27</v>
      </c>
      <c r="C15" t="s">
        <v>409</v>
      </c>
      <c r="D15" t="s">
        <v>99</v>
      </c>
      <c r="E15" s="15">
        <v>42825</v>
      </c>
      <c r="F15">
        <v>30</v>
      </c>
      <c r="G15">
        <v>0.96326061997703705</v>
      </c>
      <c r="H15">
        <v>0.152</v>
      </c>
      <c r="J15">
        <v>4</v>
      </c>
      <c r="K15">
        <v>9.25</v>
      </c>
      <c r="L15">
        <v>87</v>
      </c>
      <c r="M15">
        <v>0.98249999999999904</v>
      </c>
      <c r="N15">
        <f>AVERAGEIF(MonthlyMetric!A:A,AnnualReview!B15,MonthlyMetric!F:F)</f>
        <v>0.60583333333333345</v>
      </c>
    </row>
    <row r="16" spans="1:14" x14ac:dyDescent="0.2">
      <c r="A16">
        <v>3463</v>
      </c>
      <c r="B16" t="s">
        <v>29</v>
      </c>
      <c r="C16" t="s">
        <v>410</v>
      </c>
      <c r="D16" t="s">
        <v>342</v>
      </c>
      <c r="E16" s="15">
        <v>45294</v>
      </c>
      <c r="F16">
        <v>12</v>
      </c>
      <c r="G16">
        <v>1</v>
      </c>
      <c r="H16">
        <v>6.6600000000000006E-2</v>
      </c>
      <c r="J16">
        <v>6</v>
      </c>
      <c r="K16">
        <v>10</v>
      </c>
      <c r="L16">
        <v>37</v>
      </c>
      <c r="M16">
        <v>1.4327000000000001</v>
      </c>
      <c r="N16">
        <f>AVERAGEIF(MonthlyMetric!A:A,AnnualReview!B16,MonthlyMetric!F:F)</f>
        <v>0.84625000000000006</v>
      </c>
    </row>
    <row r="17" spans="1:14" x14ac:dyDescent="0.2">
      <c r="A17">
        <v>2626</v>
      </c>
      <c r="B17" t="s">
        <v>30</v>
      </c>
      <c r="C17" t="s">
        <v>410</v>
      </c>
      <c r="D17" t="s">
        <v>340</v>
      </c>
      <c r="E17" s="15">
        <v>44015</v>
      </c>
      <c r="F17">
        <v>30</v>
      </c>
      <c r="G17">
        <v>0.97484822202948795</v>
      </c>
      <c r="H17">
        <v>0.10100000000000001</v>
      </c>
      <c r="J17">
        <v>5</v>
      </c>
      <c r="K17">
        <v>10</v>
      </c>
      <c r="L17">
        <v>99</v>
      </c>
      <c r="M17">
        <v>1.6774</v>
      </c>
      <c r="N17">
        <f>AVERAGEIF(MonthlyMetric!A:A,AnnualReview!B17,MonthlyMetric!F:F)</f>
        <v>0.83539166666666664</v>
      </c>
    </row>
    <row r="18" spans="1:14" x14ac:dyDescent="0.2">
      <c r="A18">
        <v>2817</v>
      </c>
      <c r="B18" t="s">
        <v>31</v>
      </c>
      <c r="C18" t="s">
        <v>409</v>
      </c>
      <c r="D18" t="s">
        <v>342</v>
      </c>
      <c r="E18" s="15">
        <v>44260</v>
      </c>
      <c r="F18">
        <v>20</v>
      </c>
      <c r="G18">
        <v>0.99813084112149497</v>
      </c>
      <c r="H18">
        <v>9.0300000000000005E-2</v>
      </c>
      <c r="J18">
        <v>2</v>
      </c>
      <c r="K18">
        <v>7</v>
      </c>
      <c r="L18">
        <v>137</v>
      </c>
      <c r="M18">
        <v>0.92459999999999998</v>
      </c>
      <c r="N18">
        <f>AVERAGEIF(MonthlyMetric!A:A,AnnualReview!B18,MonthlyMetric!F:F)</f>
        <v>0.5936499999999999</v>
      </c>
    </row>
    <row r="19" spans="1:14" x14ac:dyDescent="0.2">
      <c r="A19">
        <v>3335</v>
      </c>
      <c r="B19" t="s">
        <v>32</v>
      </c>
      <c r="C19" t="s">
        <v>405</v>
      </c>
      <c r="D19" t="s">
        <v>339</v>
      </c>
      <c r="E19" s="15">
        <v>45261</v>
      </c>
      <c r="F19">
        <v>30</v>
      </c>
      <c r="G19">
        <v>0.98993808049535603</v>
      </c>
      <c r="H19">
        <v>0.17480000000000001</v>
      </c>
      <c r="J19">
        <v>6</v>
      </c>
      <c r="K19">
        <v>8.5</v>
      </c>
      <c r="L19">
        <v>45</v>
      </c>
      <c r="M19">
        <v>0.96950000000000003</v>
      </c>
      <c r="N19">
        <f>AVERAGEIF(MonthlyMetric!A:A,AnnualReview!B19,MonthlyMetric!F:F)</f>
        <v>0.76145833333333324</v>
      </c>
    </row>
    <row r="20" spans="1:14" x14ac:dyDescent="0.2">
      <c r="A20">
        <v>1284</v>
      </c>
      <c r="B20" t="s">
        <v>33</v>
      </c>
      <c r="C20" t="s">
        <v>409</v>
      </c>
      <c r="D20" t="s">
        <v>80</v>
      </c>
      <c r="E20" s="15">
        <v>42909</v>
      </c>
      <c r="F20">
        <v>35</v>
      </c>
      <c r="G20">
        <v>0.91130012150668205</v>
      </c>
      <c r="H20">
        <v>0.127</v>
      </c>
      <c r="J20">
        <v>7</v>
      </c>
      <c r="K20">
        <v>7.8571</v>
      </c>
      <c r="L20">
        <v>84</v>
      </c>
      <c r="M20">
        <v>1.3190999999999999</v>
      </c>
      <c r="N20">
        <f>AVERAGEIF(MonthlyMetric!A:A,AnnualReview!B20,MonthlyMetric!F:F)</f>
        <v>1.2758</v>
      </c>
    </row>
    <row r="21" spans="1:14" x14ac:dyDescent="0.2">
      <c r="A21">
        <v>3306</v>
      </c>
      <c r="B21" t="s">
        <v>35</v>
      </c>
      <c r="C21" t="s">
        <v>405</v>
      </c>
      <c r="D21" t="s">
        <v>333</v>
      </c>
      <c r="E21" s="15">
        <v>45225</v>
      </c>
      <c r="F21">
        <v>12</v>
      </c>
      <c r="G21">
        <v>0.95430107526881702</v>
      </c>
      <c r="H21">
        <v>0.3755</v>
      </c>
      <c r="J21">
        <v>7</v>
      </c>
      <c r="K21">
        <v>8.5714000000000006</v>
      </c>
      <c r="L21">
        <v>5</v>
      </c>
      <c r="M21">
        <v>2.0529000000000002</v>
      </c>
      <c r="N21">
        <f>AVERAGEIF(MonthlyMetric!A:A,AnnualReview!B21,MonthlyMetric!F:F)</f>
        <v>1.2791499999999998</v>
      </c>
    </row>
    <row r="22" spans="1:14" x14ac:dyDescent="0.2">
      <c r="A22">
        <v>3696</v>
      </c>
      <c r="B22" t="s">
        <v>613</v>
      </c>
      <c r="C22" t="s">
        <v>405</v>
      </c>
      <c r="D22" t="s">
        <v>429</v>
      </c>
      <c r="E22" s="15">
        <v>45967</v>
      </c>
      <c r="F22">
        <v>35</v>
      </c>
      <c r="L22">
        <v>8</v>
      </c>
      <c r="M22">
        <v>0.122099999999999</v>
      </c>
      <c r="N22">
        <f>AVERAGEIF(MonthlyMetric!A:A,AnnualReview!B22,MonthlyMetric!F:F)</f>
        <v>0.18</v>
      </c>
    </row>
    <row r="23" spans="1:14" x14ac:dyDescent="0.2">
      <c r="A23">
        <v>2851</v>
      </c>
      <c r="B23" t="s">
        <v>36</v>
      </c>
      <c r="C23" t="s">
        <v>409</v>
      </c>
      <c r="D23" t="s">
        <v>99</v>
      </c>
      <c r="E23" s="15">
        <v>44281</v>
      </c>
      <c r="F23">
        <v>30</v>
      </c>
      <c r="G23">
        <v>1</v>
      </c>
      <c r="H23">
        <v>0.15440000000000001</v>
      </c>
      <c r="J23">
        <v>5</v>
      </c>
      <c r="K23">
        <v>10</v>
      </c>
      <c r="L23">
        <v>114</v>
      </c>
      <c r="M23">
        <v>1.1477999999999999</v>
      </c>
      <c r="N23">
        <f>AVERAGEIF(MonthlyMetric!A:A,AnnualReview!B23,MonthlyMetric!F:F)</f>
        <v>0.77760833333333323</v>
      </c>
    </row>
    <row r="24" spans="1:14" x14ac:dyDescent="0.2">
      <c r="A24">
        <v>3654</v>
      </c>
      <c r="B24" t="s">
        <v>231</v>
      </c>
      <c r="C24" t="s">
        <v>405</v>
      </c>
      <c r="D24" t="s">
        <v>333</v>
      </c>
      <c r="E24" s="15">
        <v>45853</v>
      </c>
      <c r="F24">
        <v>35</v>
      </c>
      <c r="G24">
        <v>0.99759615384615297</v>
      </c>
      <c r="H24">
        <v>0.34589999999999999</v>
      </c>
      <c r="J24">
        <v>5</v>
      </c>
      <c r="K24">
        <v>9.4</v>
      </c>
      <c r="L24">
        <v>22</v>
      </c>
      <c r="M24">
        <v>1.026</v>
      </c>
      <c r="N24">
        <f>AVERAGEIF(MonthlyMetric!A:A,AnnualReview!B24,MonthlyMetric!F:F)</f>
        <v>0.84375</v>
      </c>
    </row>
    <row r="25" spans="1:14" x14ac:dyDescent="0.2">
      <c r="A25">
        <v>3686</v>
      </c>
      <c r="B25" t="s">
        <v>233</v>
      </c>
      <c r="C25" t="s">
        <v>405</v>
      </c>
      <c r="D25" t="s">
        <v>429</v>
      </c>
      <c r="E25" s="15">
        <v>45944</v>
      </c>
      <c r="F25">
        <v>30</v>
      </c>
      <c r="G25">
        <v>1</v>
      </c>
      <c r="H25">
        <v>0.2031</v>
      </c>
      <c r="L25">
        <v>8</v>
      </c>
      <c r="M25">
        <v>1.0181</v>
      </c>
      <c r="N25">
        <f>AVERAGEIF(MonthlyMetric!A:A,AnnualReview!B25,MonthlyMetric!F:F)</f>
        <v>0.46279999999999949</v>
      </c>
    </row>
    <row r="26" spans="1:14" x14ac:dyDescent="0.2">
      <c r="A26">
        <v>3157</v>
      </c>
      <c r="B26" t="s">
        <v>38</v>
      </c>
      <c r="C26" t="s">
        <v>405</v>
      </c>
      <c r="D26" t="s">
        <v>333</v>
      </c>
      <c r="E26" s="15">
        <v>45194</v>
      </c>
      <c r="F26">
        <v>12</v>
      </c>
      <c r="G26">
        <v>0.99728506787330296</v>
      </c>
      <c r="H26">
        <v>0.20760000000000001</v>
      </c>
      <c r="J26">
        <v>3</v>
      </c>
      <c r="K26">
        <v>10</v>
      </c>
      <c r="L26">
        <v>4</v>
      </c>
      <c r="M26">
        <v>1.3536999999999999</v>
      </c>
      <c r="N26">
        <f>AVERAGEIF(MonthlyMetric!A:A,AnnualReview!B26,MonthlyMetric!F:F)</f>
        <v>1.2380249999999993</v>
      </c>
    </row>
    <row r="27" spans="1:14" x14ac:dyDescent="0.2">
      <c r="A27">
        <v>2309</v>
      </c>
      <c r="B27" t="s">
        <v>39</v>
      </c>
      <c r="C27" t="s">
        <v>409</v>
      </c>
      <c r="D27" t="s">
        <v>99</v>
      </c>
      <c r="E27" s="15">
        <v>43536</v>
      </c>
      <c r="F27">
        <v>12</v>
      </c>
      <c r="G27">
        <v>0.98557692307692302</v>
      </c>
      <c r="H27">
        <v>0.24729999999999999</v>
      </c>
      <c r="J27">
        <v>3</v>
      </c>
      <c r="K27">
        <v>10</v>
      </c>
      <c r="L27">
        <v>58</v>
      </c>
      <c r="M27">
        <v>0.99819999999999998</v>
      </c>
      <c r="N27">
        <f>AVERAGEIF(MonthlyMetric!A:A,AnnualReview!B27,MonthlyMetric!F:F)</f>
        <v>0.74937500000000001</v>
      </c>
    </row>
    <row r="28" spans="1:14" x14ac:dyDescent="0.2">
      <c r="A28">
        <v>3351</v>
      </c>
      <c r="B28" t="s">
        <v>40</v>
      </c>
      <c r="C28" t="s">
        <v>405</v>
      </c>
      <c r="D28" t="s">
        <v>333</v>
      </c>
      <c r="E28" s="15">
        <v>45264</v>
      </c>
      <c r="F28">
        <v>30</v>
      </c>
      <c r="G28">
        <v>0.996315062183325</v>
      </c>
      <c r="H28">
        <v>0.1055</v>
      </c>
      <c r="J28">
        <v>20</v>
      </c>
      <c r="K28">
        <v>9.5</v>
      </c>
      <c r="L28">
        <v>46</v>
      </c>
      <c r="M28">
        <v>1.2710999999999999</v>
      </c>
      <c r="N28">
        <f>AVERAGEIF(MonthlyMetric!A:A,AnnualReview!B28,MonthlyMetric!F:F)</f>
        <v>1.3284749999999999</v>
      </c>
    </row>
    <row r="29" spans="1:14" x14ac:dyDescent="0.2">
      <c r="A29">
        <v>2140</v>
      </c>
      <c r="B29" t="s">
        <v>41</v>
      </c>
      <c r="C29" t="s">
        <v>409</v>
      </c>
      <c r="D29" t="s">
        <v>99</v>
      </c>
      <c r="E29" s="15">
        <v>43363</v>
      </c>
      <c r="F29">
        <v>30</v>
      </c>
      <c r="G29">
        <v>0.96080508474576198</v>
      </c>
      <c r="H29">
        <v>0.1641</v>
      </c>
      <c r="J29">
        <v>8</v>
      </c>
      <c r="K29">
        <v>10</v>
      </c>
      <c r="L29">
        <v>165</v>
      </c>
      <c r="M29">
        <v>0.9718</v>
      </c>
      <c r="N29">
        <f>AVERAGEIF(MonthlyMetric!A:A,AnnualReview!B29,MonthlyMetric!F:F)</f>
        <v>0.69999999999999984</v>
      </c>
    </row>
    <row r="30" spans="1:14" x14ac:dyDescent="0.2">
      <c r="A30">
        <v>2528</v>
      </c>
      <c r="B30" t="s">
        <v>42</v>
      </c>
      <c r="C30" t="s">
        <v>409</v>
      </c>
      <c r="D30" t="s">
        <v>339</v>
      </c>
      <c r="E30" s="15">
        <v>43903</v>
      </c>
      <c r="F30">
        <v>12</v>
      </c>
      <c r="G30">
        <v>1</v>
      </c>
      <c r="H30">
        <v>6.1400000000000003E-2</v>
      </c>
      <c r="L30">
        <v>75</v>
      </c>
      <c r="M30">
        <v>1.1316999999999999</v>
      </c>
      <c r="N30">
        <f>AVERAGEIF(MonthlyMetric!A:A,AnnualReview!B30,MonthlyMetric!F:F)</f>
        <v>0.33770833333333333</v>
      </c>
    </row>
    <row r="31" spans="1:14" x14ac:dyDescent="0.2">
      <c r="A31">
        <v>3690</v>
      </c>
      <c r="B31" t="s">
        <v>235</v>
      </c>
      <c r="C31" t="s">
        <v>405</v>
      </c>
      <c r="D31" t="s">
        <v>430</v>
      </c>
      <c r="E31" s="15">
        <v>45958</v>
      </c>
      <c r="F31">
        <v>20</v>
      </c>
      <c r="L31">
        <v>0</v>
      </c>
      <c r="M31">
        <v>0.59379999999999999</v>
      </c>
      <c r="N31">
        <f>AVERAGEIF(MonthlyMetric!A:A,AnnualReview!B31,MonthlyMetric!F:F)</f>
        <v>0.215</v>
      </c>
    </row>
    <row r="32" spans="1:14" x14ac:dyDescent="0.2">
      <c r="A32">
        <v>3339</v>
      </c>
      <c r="B32" t="s">
        <v>45</v>
      </c>
      <c r="C32" t="s">
        <v>410</v>
      </c>
      <c r="D32" t="s">
        <v>342</v>
      </c>
      <c r="E32" s="15">
        <v>45261</v>
      </c>
      <c r="F32">
        <v>12</v>
      </c>
      <c r="G32">
        <v>0.99260355029585701</v>
      </c>
      <c r="H32">
        <v>0.10929999999999999</v>
      </c>
      <c r="J32">
        <v>5</v>
      </c>
      <c r="K32">
        <v>9</v>
      </c>
      <c r="L32">
        <v>43</v>
      </c>
      <c r="M32">
        <v>1.1949000000000001</v>
      </c>
      <c r="N32">
        <f>AVERAGEIF(MonthlyMetric!A:A,AnnualReview!B32,MonthlyMetric!F:F)</f>
        <v>0.99979166666666652</v>
      </c>
    </row>
    <row r="33" spans="1:14" x14ac:dyDescent="0.2">
      <c r="A33">
        <v>3196</v>
      </c>
      <c r="B33" t="s">
        <v>46</v>
      </c>
      <c r="C33" t="s">
        <v>410</v>
      </c>
      <c r="D33" t="s">
        <v>340</v>
      </c>
      <c r="E33" s="15">
        <v>45197</v>
      </c>
      <c r="F33">
        <v>30</v>
      </c>
      <c r="G33">
        <v>0.90899470899470802</v>
      </c>
      <c r="H33">
        <v>0.12559999999999999</v>
      </c>
      <c r="J33">
        <v>12</v>
      </c>
      <c r="K33">
        <v>9.9166000000000007</v>
      </c>
      <c r="L33">
        <v>169</v>
      </c>
      <c r="M33">
        <v>1.3064</v>
      </c>
      <c r="N33">
        <f>AVERAGEIF(MonthlyMetric!A:A,AnnualReview!B33,MonthlyMetric!F:F)</f>
        <v>1.1781916666666667</v>
      </c>
    </row>
    <row r="34" spans="1:14" x14ac:dyDescent="0.2">
      <c r="A34">
        <v>3615</v>
      </c>
      <c r="B34" t="s">
        <v>236</v>
      </c>
      <c r="C34" t="s">
        <v>405</v>
      </c>
      <c r="D34" t="s">
        <v>342</v>
      </c>
      <c r="E34" s="15">
        <v>45757</v>
      </c>
      <c r="F34">
        <v>30</v>
      </c>
      <c r="G34">
        <v>0.98526315789473595</v>
      </c>
      <c r="H34">
        <v>0.1792</v>
      </c>
      <c r="J34">
        <v>4</v>
      </c>
      <c r="K34">
        <v>8.75</v>
      </c>
      <c r="L34">
        <v>41</v>
      </c>
      <c r="M34">
        <v>0.747</v>
      </c>
      <c r="N34">
        <f>AVERAGEIF(MonthlyMetric!A:A,AnnualReview!B34,MonthlyMetric!F:F)</f>
        <v>0.6333333333333333</v>
      </c>
    </row>
    <row r="35" spans="1:14" x14ac:dyDescent="0.2">
      <c r="A35">
        <v>3632</v>
      </c>
      <c r="B35" t="s">
        <v>238</v>
      </c>
      <c r="C35" t="s">
        <v>405</v>
      </c>
      <c r="D35" t="s">
        <v>339</v>
      </c>
      <c r="E35" s="15">
        <v>45786</v>
      </c>
      <c r="F35">
        <v>35</v>
      </c>
      <c r="G35">
        <v>0.98156028368794301</v>
      </c>
      <c r="H35">
        <v>0.30840000000000001</v>
      </c>
      <c r="J35">
        <v>4</v>
      </c>
      <c r="K35">
        <v>9.5</v>
      </c>
      <c r="L35">
        <v>23</v>
      </c>
      <c r="M35">
        <v>1.0317000000000001</v>
      </c>
      <c r="N35">
        <f>AVERAGEIF(MonthlyMetric!A:A,AnnualReview!B35,MonthlyMetric!F:F)</f>
        <v>0.72337142857142855</v>
      </c>
    </row>
    <row r="36" spans="1:14" x14ac:dyDescent="0.2">
      <c r="A36">
        <v>3676</v>
      </c>
      <c r="B36" t="s">
        <v>239</v>
      </c>
      <c r="C36" t="s">
        <v>405</v>
      </c>
      <c r="D36" t="s">
        <v>339</v>
      </c>
      <c r="E36" s="15">
        <v>45902</v>
      </c>
      <c r="F36">
        <v>30</v>
      </c>
      <c r="G36">
        <v>0.99270072992700698</v>
      </c>
      <c r="H36">
        <v>0.36759999999999998</v>
      </c>
      <c r="L36">
        <v>37</v>
      </c>
      <c r="M36">
        <v>0.99709999999999999</v>
      </c>
      <c r="N36">
        <f>AVERAGEIF(MonthlyMetric!A:A,AnnualReview!B36,MonthlyMetric!F:F)</f>
        <v>0.76693333333333324</v>
      </c>
    </row>
    <row r="37" spans="1:14" x14ac:dyDescent="0.2">
      <c r="A37">
        <v>3571</v>
      </c>
      <c r="B37" t="s">
        <v>48</v>
      </c>
      <c r="C37" t="s">
        <v>405</v>
      </c>
      <c r="D37" t="s">
        <v>333</v>
      </c>
      <c r="E37" s="15">
        <v>45684</v>
      </c>
      <c r="F37">
        <v>30</v>
      </c>
      <c r="G37">
        <v>0.99463519313304705</v>
      </c>
      <c r="H37">
        <v>0.13300000000000001</v>
      </c>
      <c r="J37">
        <v>12</v>
      </c>
      <c r="K37">
        <v>9.5</v>
      </c>
      <c r="L37">
        <v>30</v>
      </c>
      <c r="M37">
        <v>1.0596999999999901</v>
      </c>
      <c r="N37">
        <f>AVERAGEIF(MonthlyMetric!A:A,AnnualReview!B37,MonthlyMetric!F:F)</f>
        <v>0.87227272727272731</v>
      </c>
    </row>
    <row r="38" spans="1:14" x14ac:dyDescent="0.2">
      <c r="A38">
        <v>3562</v>
      </c>
      <c r="B38" t="s">
        <v>49</v>
      </c>
      <c r="C38" t="s">
        <v>405</v>
      </c>
      <c r="D38" t="s">
        <v>340</v>
      </c>
      <c r="E38" s="15">
        <v>45667</v>
      </c>
      <c r="F38">
        <v>30</v>
      </c>
      <c r="G38">
        <v>0.87925356750823203</v>
      </c>
      <c r="H38">
        <v>0.27389999999999998</v>
      </c>
      <c r="J38">
        <v>9</v>
      </c>
      <c r="K38">
        <v>9.8887999999999998</v>
      </c>
      <c r="L38">
        <v>54</v>
      </c>
      <c r="M38">
        <v>0.98819999999999997</v>
      </c>
      <c r="N38">
        <f>AVERAGEIF(MonthlyMetric!A:A,AnnualReview!B38,MonthlyMetric!F:F)</f>
        <v>0.7400000000000001</v>
      </c>
    </row>
    <row r="39" spans="1:14" x14ac:dyDescent="0.2">
      <c r="A39">
        <v>918</v>
      </c>
      <c r="B39" t="s">
        <v>50</v>
      </c>
      <c r="C39" t="s">
        <v>409</v>
      </c>
      <c r="D39" t="s">
        <v>342</v>
      </c>
      <c r="E39" s="15">
        <v>41246</v>
      </c>
      <c r="F39">
        <v>12</v>
      </c>
      <c r="G39">
        <v>0.98660714285714202</v>
      </c>
      <c r="H39">
        <v>0.1234</v>
      </c>
      <c r="L39">
        <v>73</v>
      </c>
      <c r="M39">
        <v>1.0166999999999999</v>
      </c>
      <c r="N39">
        <f>AVERAGEIF(MonthlyMetric!A:A,AnnualReview!B39,MonthlyMetric!F:F)</f>
        <v>0.40916666666666662</v>
      </c>
    </row>
    <row r="40" spans="1:14" x14ac:dyDescent="0.2">
      <c r="A40">
        <v>2526</v>
      </c>
      <c r="B40" t="s">
        <v>51</v>
      </c>
      <c r="C40" t="s">
        <v>409</v>
      </c>
      <c r="D40" t="s">
        <v>333</v>
      </c>
      <c r="E40" s="15">
        <v>43903</v>
      </c>
      <c r="F40">
        <v>20</v>
      </c>
      <c r="G40">
        <v>0.98958333333333304</v>
      </c>
      <c r="H40">
        <v>0.31030000000000002</v>
      </c>
      <c r="J40">
        <v>5</v>
      </c>
      <c r="K40">
        <v>10</v>
      </c>
      <c r="L40">
        <v>107</v>
      </c>
      <c r="M40">
        <v>1.0012000000000001</v>
      </c>
      <c r="N40">
        <f>AVERAGEIF(MonthlyMetric!A:A,AnnualReview!B40,MonthlyMetric!F:F)</f>
        <v>0.83248333333333324</v>
      </c>
    </row>
    <row r="41" spans="1:14" x14ac:dyDescent="0.2">
      <c r="A41">
        <v>2243</v>
      </c>
      <c r="B41" t="s">
        <v>52</v>
      </c>
      <c r="C41" t="s">
        <v>409</v>
      </c>
      <c r="D41" t="s">
        <v>99</v>
      </c>
      <c r="E41" s="15">
        <v>43479</v>
      </c>
      <c r="F41">
        <v>30</v>
      </c>
      <c r="G41">
        <v>0.99461279461279395</v>
      </c>
      <c r="H41">
        <v>9.3200000000000005E-2</v>
      </c>
      <c r="J41">
        <v>9</v>
      </c>
      <c r="K41">
        <v>10</v>
      </c>
      <c r="L41">
        <v>57</v>
      </c>
      <c r="M41">
        <v>1.3013999999999999</v>
      </c>
      <c r="N41">
        <f>AVERAGEIF(MonthlyMetric!A:A,AnnualReview!B41,MonthlyMetric!F:F)</f>
        <v>1.0586083333333336</v>
      </c>
    </row>
    <row r="42" spans="1:14" x14ac:dyDescent="0.2">
      <c r="A42">
        <v>3431</v>
      </c>
      <c r="B42" t="s">
        <v>53</v>
      </c>
      <c r="C42" t="s">
        <v>405</v>
      </c>
      <c r="D42" t="s">
        <v>342</v>
      </c>
      <c r="E42" s="15">
        <v>45282</v>
      </c>
      <c r="F42">
        <v>30</v>
      </c>
      <c r="G42">
        <v>0.91369606003752302</v>
      </c>
      <c r="H42">
        <v>0.17019999999999999</v>
      </c>
      <c r="J42">
        <v>9</v>
      </c>
      <c r="K42">
        <v>10</v>
      </c>
      <c r="L42">
        <v>96</v>
      </c>
      <c r="M42">
        <v>0.92469999999999997</v>
      </c>
      <c r="N42">
        <f>AVERAGEIF(MonthlyMetric!A:A,AnnualReview!B42,MonthlyMetric!F:F)</f>
        <v>0.84819166666666668</v>
      </c>
    </row>
    <row r="43" spans="1:14" x14ac:dyDescent="0.2">
      <c r="A43">
        <v>1158</v>
      </c>
      <c r="B43" t="s">
        <v>54</v>
      </c>
      <c r="C43" t="s">
        <v>409</v>
      </c>
      <c r="D43" t="s">
        <v>99</v>
      </c>
      <c r="E43" s="15">
        <v>42576</v>
      </c>
      <c r="F43">
        <v>30</v>
      </c>
      <c r="G43">
        <v>0.99791883454734598</v>
      </c>
      <c r="H43">
        <v>0.12759999999999999</v>
      </c>
      <c r="J43">
        <v>4</v>
      </c>
      <c r="K43">
        <v>9.5</v>
      </c>
      <c r="L43">
        <v>42</v>
      </c>
      <c r="M43">
        <v>1.0483</v>
      </c>
      <c r="N43">
        <f>AVERAGEIF(MonthlyMetric!A:A,AnnualReview!B43,MonthlyMetric!F:F)</f>
        <v>0.67812500000000009</v>
      </c>
    </row>
    <row r="44" spans="1:14" x14ac:dyDescent="0.2">
      <c r="A44">
        <v>2204</v>
      </c>
      <c r="B44" t="s">
        <v>55</v>
      </c>
      <c r="C44" t="s">
        <v>409</v>
      </c>
      <c r="D44" t="s">
        <v>339</v>
      </c>
      <c r="E44" s="15">
        <v>43441</v>
      </c>
      <c r="F44">
        <v>12</v>
      </c>
      <c r="G44">
        <v>0.90184049079754602</v>
      </c>
      <c r="H44">
        <v>0.1118</v>
      </c>
      <c r="J44">
        <v>1</v>
      </c>
      <c r="K44">
        <v>10</v>
      </c>
      <c r="L44">
        <v>78</v>
      </c>
      <c r="M44">
        <v>1.3782999999999901</v>
      </c>
      <c r="N44">
        <f>AVERAGEIF(MonthlyMetric!A:A,AnnualReview!B44,MonthlyMetric!F:F)</f>
        <v>1.0261083333333334</v>
      </c>
    </row>
    <row r="45" spans="1:14" x14ac:dyDescent="0.2">
      <c r="A45">
        <v>3456</v>
      </c>
      <c r="B45" t="s">
        <v>56</v>
      </c>
      <c r="C45" t="s">
        <v>405</v>
      </c>
      <c r="D45" t="s">
        <v>339</v>
      </c>
      <c r="E45" s="15">
        <v>45289</v>
      </c>
      <c r="F45">
        <v>30</v>
      </c>
      <c r="G45">
        <v>0.92429022082018897</v>
      </c>
      <c r="H45">
        <v>0.1084</v>
      </c>
      <c r="J45">
        <v>10</v>
      </c>
      <c r="K45">
        <v>4.5999999999999996</v>
      </c>
      <c r="L45">
        <v>66</v>
      </c>
      <c r="M45">
        <v>0.98399999999999999</v>
      </c>
      <c r="N45">
        <f>AVERAGEIF(MonthlyMetric!A:A,AnnualReview!B45,MonthlyMetric!F:F)</f>
        <v>0.80035000000000001</v>
      </c>
    </row>
    <row r="46" spans="1:14" x14ac:dyDescent="0.2">
      <c r="A46">
        <v>3609</v>
      </c>
      <c r="B46" t="s">
        <v>245</v>
      </c>
      <c r="C46" t="s">
        <v>405</v>
      </c>
      <c r="D46" t="s">
        <v>339</v>
      </c>
      <c r="E46" s="15">
        <v>45750</v>
      </c>
      <c r="F46">
        <v>30</v>
      </c>
      <c r="G46">
        <v>0.90942472460220303</v>
      </c>
      <c r="H46">
        <v>0.37209999999999999</v>
      </c>
      <c r="J46">
        <v>4</v>
      </c>
      <c r="K46">
        <v>8.5</v>
      </c>
      <c r="L46">
        <v>26</v>
      </c>
      <c r="M46">
        <v>1.0914999999999999</v>
      </c>
      <c r="N46">
        <f>AVERAGEIF(MonthlyMetric!A:A,AnnualReview!B46,MonthlyMetric!F:F)</f>
        <v>0.71564444444444442</v>
      </c>
    </row>
    <row r="47" spans="1:14" x14ac:dyDescent="0.2">
      <c r="A47">
        <v>3584</v>
      </c>
      <c r="B47" t="s">
        <v>57</v>
      </c>
      <c r="C47" t="s">
        <v>405</v>
      </c>
      <c r="D47" t="s">
        <v>340</v>
      </c>
      <c r="E47" s="15">
        <v>45702</v>
      </c>
      <c r="F47">
        <v>30</v>
      </c>
      <c r="G47">
        <v>0.98884239888423897</v>
      </c>
      <c r="H47">
        <v>0.23480000000000001</v>
      </c>
      <c r="J47">
        <v>7</v>
      </c>
      <c r="K47">
        <v>8.8571000000000009</v>
      </c>
      <c r="L47">
        <v>72</v>
      </c>
      <c r="M47">
        <v>0.90710000000000002</v>
      </c>
      <c r="N47">
        <f>AVERAGEIF(MonthlyMetric!A:A,AnnualReview!B47,MonthlyMetric!F:F)</f>
        <v>0.74541999999999997</v>
      </c>
    </row>
    <row r="48" spans="1:14" x14ac:dyDescent="0.2">
      <c r="A48">
        <v>3640</v>
      </c>
      <c r="B48" t="s">
        <v>248</v>
      </c>
      <c r="C48" t="s">
        <v>405</v>
      </c>
      <c r="D48" t="s">
        <v>339</v>
      </c>
      <c r="E48" s="15">
        <v>45792</v>
      </c>
      <c r="F48">
        <v>30</v>
      </c>
      <c r="G48">
        <v>0.99824868651488596</v>
      </c>
      <c r="H48">
        <v>0.13450000000000001</v>
      </c>
      <c r="J48">
        <v>5</v>
      </c>
      <c r="K48">
        <v>9.8000000000000007</v>
      </c>
      <c r="L48">
        <v>31</v>
      </c>
      <c r="M48">
        <v>0.93289999999999895</v>
      </c>
      <c r="N48">
        <f>AVERAGEIF(MonthlyMetric!A:A,AnnualReview!B48,MonthlyMetric!F:F)</f>
        <v>0.75124999999999986</v>
      </c>
    </row>
    <row r="49" spans="1:14" x14ac:dyDescent="0.2">
      <c r="A49">
        <v>3616</v>
      </c>
      <c r="B49" t="s">
        <v>249</v>
      </c>
      <c r="C49" t="s">
        <v>405</v>
      </c>
      <c r="D49" t="s">
        <v>333</v>
      </c>
      <c r="E49" s="15">
        <v>45756</v>
      </c>
      <c r="F49">
        <v>20</v>
      </c>
      <c r="G49">
        <v>0.97096774193548296</v>
      </c>
      <c r="H49">
        <v>0.30649999999999999</v>
      </c>
      <c r="J49">
        <v>3</v>
      </c>
      <c r="K49">
        <v>10</v>
      </c>
      <c r="L49">
        <v>37</v>
      </c>
      <c r="M49">
        <v>1.0366</v>
      </c>
      <c r="N49">
        <f>AVERAGEIF(MonthlyMetric!A:A,AnnualReview!B49,MonthlyMetric!F:F)</f>
        <v>0.53958888888888878</v>
      </c>
    </row>
    <row r="50" spans="1:14" x14ac:dyDescent="0.2">
      <c r="A50">
        <v>3662</v>
      </c>
      <c r="B50" t="s">
        <v>250</v>
      </c>
      <c r="C50" t="s">
        <v>405</v>
      </c>
      <c r="D50" t="s">
        <v>333</v>
      </c>
      <c r="E50" s="15">
        <v>45875</v>
      </c>
      <c r="F50">
        <v>30</v>
      </c>
      <c r="G50">
        <v>0.98884758364312197</v>
      </c>
      <c r="H50">
        <v>0.2092</v>
      </c>
      <c r="L50">
        <v>65</v>
      </c>
      <c r="M50">
        <v>0.98309999999999997</v>
      </c>
      <c r="N50">
        <f>AVERAGEIF(MonthlyMetric!A:A,AnnualReview!B50,MonthlyMetric!F:F)</f>
        <v>0.94223333333333326</v>
      </c>
    </row>
    <row r="51" spans="1:14" x14ac:dyDescent="0.2">
      <c r="A51">
        <v>2073</v>
      </c>
      <c r="B51" t="s">
        <v>58</v>
      </c>
      <c r="C51" t="s">
        <v>409</v>
      </c>
      <c r="D51" t="s">
        <v>99</v>
      </c>
      <c r="E51" s="15">
        <v>43322</v>
      </c>
      <c r="F51">
        <v>35</v>
      </c>
      <c r="G51">
        <v>0.98240000000000005</v>
      </c>
      <c r="H51">
        <v>0.1241</v>
      </c>
      <c r="J51">
        <v>8</v>
      </c>
      <c r="K51">
        <v>8.375</v>
      </c>
      <c r="L51">
        <v>132</v>
      </c>
      <c r="M51">
        <v>1.218</v>
      </c>
      <c r="N51">
        <f>AVERAGEIF(MonthlyMetric!A:A,AnnualReview!B51,MonthlyMetric!F:F)</f>
        <v>0.84475833333333339</v>
      </c>
    </row>
    <row r="52" spans="1:14" x14ac:dyDescent="0.2">
      <c r="A52">
        <v>3126</v>
      </c>
      <c r="B52" t="s">
        <v>59</v>
      </c>
      <c r="C52" t="s">
        <v>410</v>
      </c>
      <c r="D52" t="s">
        <v>339</v>
      </c>
      <c r="E52" s="15">
        <v>45191</v>
      </c>
      <c r="F52">
        <v>30</v>
      </c>
      <c r="G52">
        <v>0.99720149253731305</v>
      </c>
      <c r="H52">
        <v>8.3599999999999994E-2</v>
      </c>
      <c r="J52">
        <v>5</v>
      </c>
      <c r="K52">
        <v>9.1999999999999993</v>
      </c>
      <c r="L52">
        <v>97</v>
      </c>
      <c r="M52">
        <v>0.95960000000000001</v>
      </c>
      <c r="N52">
        <f>AVERAGEIF(MonthlyMetric!A:A,AnnualReview!B52,MonthlyMetric!F:F)</f>
        <v>0.70062500000000005</v>
      </c>
    </row>
    <row r="53" spans="1:14" x14ac:dyDescent="0.2">
      <c r="A53">
        <v>3273</v>
      </c>
      <c r="B53" t="s">
        <v>60</v>
      </c>
      <c r="C53" t="s">
        <v>405</v>
      </c>
      <c r="D53" t="s">
        <v>342</v>
      </c>
      <c r="E53" s="15">
        <v>45212</v>
      </c>
      <c r="F53">
        <v>12</v>
      </c>
      <c r="G53">
        <v>0.957278481012658</v>
      </c>
      <c r="H53">
        <v>0.1166</v>
      </c>
      <c r="J53">
        <v>4</v>
      </c>
      <c r="K53">
        <v>10</v>
      </c>
      <c r="L53">
        <v>73</v>
      </c>
      <c r="M53">
        <v>1.3115999999999901</v>
      </c>
      <c r="N53">
        <f>AVERAGEIF(MonthlyMetric!A:A,AnnualReview!B53,MonthlyMetric!F:F)</f>
        <v>1.1569416666666668</v>
      </c>
    </row>
    <row r="54" spans="1:14" x14ac:dyDescent="0.2">
      <c r="A54">
        <v>3194</v>
      </c>
      <c r="B54" t="s">
        <v>61</v>
      </c>
      <c r="C54" t="s">
        <v>405</v>
      </c>
      <c r="D54" t="s">
        <v>339</v>
      </c>
      <c r="E54" s="15">
        <v>45196</v>
      </c>
      <c r="F54">
        <v>12</v>
      </c>
      <c r="G54">
        <v>0.96891891891891802</v>
      </c>
      <c r="H54">
        <v>0.24490000000000001</v>
      </c>
      <c r="J54">
        <v>2</v>
      </c>
      <c r="K54">
        <v>8</v>
      </c>
      <c r="L54">
        <v>17</v>
      </c>
      <c r="M54">
        <v>1.4877</v>
      </c>
      <c r="N54">
        <f>AVERAGEIF(MonthlyMetric!A:A,AnnualReview!B54,MonthlyMetric!F:F)</f>
        <v>0.96854166666666652</v>
      </c>
    </row>
    <row r="55" spans="1:14" x14ac:dyDescent="0.2">
      <c r="A55">
        <v>3687</v>
      </c>
      <c r="B55" t="s">
        <v>252</v>
      </c>
      <c r="C55" t="s">
        <v>405</v>
      </c>
      <c r="D55" t="s">
        <v>430</v>
      </c>
      <c r="E55" s="15">
        <v>45947</v>
      </c>
      <c r="F55">
        <v>12</v>
      </c>
      <c r="L55">
        <v>17</v>
      </c>
      <c r="M55">
        <v>0.5</v>
      </c>
      <c r="N55">
        <f>AVERAGEIF(MonthlyMetric!A:A,AnnualReview!B55,MonthlyMetric!F:F)</f>
        <v>0.27500000000000002</v>
      </c>
    </row>
    <row r="56" spans="1:14" x14ac:dyDescent="0.2">
      <c r="A56">
        <v>2629</v>
      </c>
      <c r="B56" t="s">
        <v>63</v>
      </c>
      <c r="C56" t="s">
        <v>405</v>
      </c>
      <c r="D56" t="s">
        <v>342</v>
      </c>
      <c r="E56" s="15">
        <v>44015</v>
      </c>
      <c r="F56">
        <v>12</v>
      </c>
      <c r="G56">
        <v>0.98745294855708898</v>
      </c>
      <c r="H56">
        <v>0.51980000000000004</v>
      </c>
      <c r="J56">
        <v>2</v>
      </c>
      <c r="K56">
        <v>10</v>
      </c>
      <c r="L56">
        <v>40</v>
      </c>
      <c r="M56">
        <v>1.2310999999999901</v>
      </c>
      <c r="N56">
        <f>AVERAGEIF(MonthlyMetric!A:A,AnnualReview!B56,MonthlyMetric!F:F)</f>
        <v>0.85038333333333327</v>
      </c>
    </row>
    <row r="57" spans="1:14" x14ac:dyDescent="0.2">
      <c r="A57">
        <v>2844</v>
      </c>
      <c r="B57" t="s">
        <v>64</v>
      </c>
      <c r="C57" t="s">
        <v>410</v>
      </c>
      <c r="D57" t="s">
        <v>340</v>
      </c>
      <c r="E57" s="15">
        <v>44281</v>
      </c>
      <c r="F57">
        <v>35</v>
      </c>
      <c r="G57">
        <v>0.92492492492492395</v>
      </c>
      <c r="H57">
        <v>0.15390000000000001</v>
      </c>
      <c r="J57">
        <v>7</v>
      </c>
      <c r="K57">
        <v>8.7141999999999999</v>
      </c>
      <c r="L57">
        <v>42</v>
      </c>
      <c r="M57">
        <v>1.1745999999999901</v>
      </c>
      <c r="N57">
        <f>AVERAGEIF(MonthlyMetric!A:A,AnnualReview!B57,MonthlyMetric!F:F)</f>
        <v>0.81238333333333335</v>
      </c>
    </row>
    <row r="58" spans="1:14" x14ac:dyDescent="0.2">
      <c r="A58">
        <v>2971</v>
      </c>
      <c r="B58" t="s">
        <v>65</v>
      </c>
      <c r="C58" t="s">
        <v>409</v>
      </c>
      <c r="D58" t="s">
        <v>340</v>
      </c>
      <c r="E58" s="15">
        <v>44613</v>
      </c>
      <c r="F58">
        <v>30</v>
      </c>
      <c r="G58">
        <v>1</v>
      </c>
      <c r="H58">
        <v>0.1545</v>
      </c>
      <c r="J58">
        <v>7</v>
      </c>
      <c r="K58">
        <v>8.8571000000000009</v>
      </c>
      <c r="L58">
        <v>55</v>
      </c>
      <c r="M58">
        <v>0.98270000000000002</v>
      </c>
      <c r="N58">
        <f>AVERAGEIF(MonthlyMetric!A:A,AnnualReview!B58,MonthlyMetric!F:F)</f>
        <v>0.50000000000000011</v>
      </c>
    </row>
    <row r="59" spans="1:14" x14ac:dyDescent="0.2">
      <c r="A59">
        <v>3591</v>
      </c>
      <c r="B59" t="s">
        <v>254</v>
      </c>
      <c r="C59" t="s">
        <v>405</v>
      </c>
      <c r="D59" t="s">
        <v>333</v>
      </c>
      <c r="E59" s="15">
        <v>45717</v>
      </c>
      <c r="F59">
        <v>35</v>
      </c>
      <c r="G59">
        <v>0.89318181818181797</v>
      </c>
      <c r="H59">
        <v>0.1744</v>
      </c>
      <c r="J59">
        <v>5</v>
      </c>
      <c r="K59">
        <v>9.8000000000000007</v>
      </c>
      <c r="L59">
        <v>28</v>
      </c>
      <c r="M59">
        <v>1.0358000000000001</v>
      </c>
      <c r="N59">
        <f>AVERAGEIF(MonthlyMetric!A:A,AnnualReview!B59,MonthlyMetric!F:F)</f>
        <v>0.70211000000000001</v>
      </c>
    </row>
    <row r="60" spans="1:14" x14ac:dyDescent="0.2">
      <c r="A60">
        <v>3245</v>
      </c>
      <c r="B60" t="s">
        <v>67</v>
      </c>
      <c r="C60" t="s">
        <v>410</v>
      </c>
      <c r="D60" t="s">
        <v>340</v>
      </c>
      <c r="E60" s="15">
        <v>45206</v>
      </c>
      <c r="F60">
        <v>30</v>
      </c>
      <c r="G60">
        <v>0.99921383647798701</v>
      </c>
      <c r="H60">
        <v>0.15190000000000001</v>
      </c>
      <c r="J60">
        <v>4</v>
      </c>
      <c r="K60">
        <v>10</v>
      </c>
      <c r="L60">
        <v>75</v>
      </c>
      <c r="M60">
        <v>1.0947</v>
      </c>
      <c r="N60">
        <f>AVERAGEIF(MonthlyMetric!A:A,AnnualReview!B60,MonthlyMetric!F:F)</f>
        <v>0.80145833333333327</v>
      </c>
    </row>
    <row r="61" spans="1:14" x14ac:dyDescent="0.2">
      <c r="A61">
        <v>2869</v>
      </c>
      <c r="B61" t="s">
        <v>68</v>
      </c>
      <c r="C61" t="s">
        <v>405</v>
      </c>
      <c r="D61" t="s">
        <v>340</v>
      </c>
      <c r="E61" s="15">
        <v>44330</v>
      </c>
      <c r="F61">
        <v>30</v>
      </c>
      <c r="G61">
        <v>0.92036881810561599</v>
      </c>
      <c r="H61">
        <v>0.11559999999999999</v>
      </c>
      <c r="J61">
        <v>7</v>
      </c>
      <c r="K61">
        <v>10</v>
      </c>
      <c r="L61">
        <v>26</v>
      </c>
      <c r="M61">
        <v>0.96609999999999996</v>
      </c>
      <c r="N61">
        <f>AVERAGEIF(MonthlyMetric!A:A,AnnualReview!B61,MonthlyMetric!F:F)</f>
        <v>0.80270833333333325</v>
      </c>
    </row>
    <row r="62" spans="1:14" x14ac:dyDescent="0.2">
      <c r="A62">
        <v>3344</v>
      </c>
      <c r="B62" t="s">
        <v>69</v>
      </c>
      <c r="C62" t="s">
        <v>405</v>
      </c>
      <c r="D62" t="s">
        <v>339</v>
      </c>
      <c r="E62" s="15">
        <v>45264</v>
      </c>
      <c r="F62">
        <v>12</v>
      </c>
      <c r="G62">
        <v>0.99826689774696697</v>
      </c>
      <c r="H62">
        <v>3.8899999999999997E-2</v>
      </c>
      <c r="J62">
        <v>10</v>
      </c>
      <c r="K62">
        <v>9.8000000000000007</v>
      </c>
      <c r="L62">
        <v>26</v>
      </c>
      <c r="M62">
        <v>1.0039</v>
      </c>
      <c r="N62">
        <f>AVERAGEIF(MonthlyMetric!A:A,AnnualReview!B62,MonthlyMetric!F:F)</f>
        <v>0.90239999999999909</v>
      </c>
    </row>
    <row r="63" spans="1:14" x14ac:dyDescent="0.2">
      <c r="A63">
        <v>3539</v>
      </c>
      <c r="B63" t="s">
        <v>70</v>
      </c>
      <c r="C63" t="s">
        <v>410</v>
      </c>
      <c r="D63" t="s">
        <v>339</v>
      </c>
      <c r="E63" s="15">
        <v>45516</v>
      </c>
      <c r="F63">
        <v>30</v>
      </c>
      <c r="G63">
        <v>0.98410829899941099</v>
      </c>
      <c r="H63">
        <v>0.1542</v>
      </c>
      <c r="J63">
        <v>18</v>
      </c>
      <c r="K63">
        <v>8.8887999999999998</v>
      </c>
      <c r="L63">
        <v>59</v>
      </c>
      <c r="M63">
        <v>1.2327999999999999</v>
      </c>
      <c r="N63">
        <f>AVERAGEIF(MonthlyMetric!A:A,AnnualReview!B63,MonthlyMetric!F:F)</f>
        <v>0.98090000000000011</v>
      </c>
    </row>
    <row r="64" spans="1:14" x14ac:dyDescent="0.2">
      <c r="A64">
        <v>2780</v>
      </c>
      <c r="B64" t="s">
        <v>71</v>
      </c>
      <c r="C64" t="s">
        <v>409</v>
      </c>
      <c r="D64" t="s">
        <v>340</v>
      </c>
      <c r="E64" s="15">
        <v>44240</v>
      </c>
      <c r="F64">
        <v>30</v>
      </c>
      <c r="G64">
        <v>0.98216833095577705</v>
      </c>
      <c r="H64">
        <v>0.14649999999999999</v>
      </c>
      <c r="J64">
        <v>10</v>
      </c>
      <c r="K64">
        <v>9.5</v>
      </c>
      <c r="L64">
        <v>91</v>
      </c>
      <c r="M64">
        <v>1.1846000000000001</v>
      </c>
      <c r="N64">
        <f>AVERAGEIF(MonthlyMetric!A:A,AnnualReview!B64,MonthlyMetric!F:F)</f>
        <v>0.96205000000000007</v>
      </c>
    </row>
    <row r="65" spans="1:14" x14ac:dyDescent="0.2">
      <c r="A65">
        <v>3600</v>
      </c>
      <c r="B65" t="s">
        <v>258</v>
      </c>
      <c r="C65" t="s">
        <v>405</v>
      </c>
      <c r="D65" t="s">
        <v>342</v>
      </c>
      <c r="E65" s="15">
        <v>45741</v>
      </c>
      <c r="F65">
        <v>12</v>
      </c>
      <c r="G65">
        <v>0.99053627760252305</v>
      </c>
      <c r="H65">
        <v>0.11990000000000001</v>
      </c>
      <c r="L65">
        <v>42</v>
      </c>
      <c r="M65">
        <v>1.3954</v>
      </c>
      <c r="N65">
        <f>AVERAGEIF(MonthlyMetric!A:A,AnnualReview!B65,MonthlyMetric!F:F)</f>
        <v>0.89527777777777773</v>
      </c>
    </row>
    <row r="66" spans="1:14" x14ac:dyDescent="0.2">
      <c r="A66">
        <v>3656</v>
      </c>
      <c r="B66" t="s">
        <v>259</v>
      </c>
      <c r="C66" t="s">
        <v>405</v>
      </c>
      <c r="D66" t="s">
        <v>333</v>
      </c>
      <c r="E66" s="15">
        <v>45859</v>
      </c>
      <c r="F66">
        <v>30</v>
      </c>
      <c r="G66">
        <v>0.99633699633699602</v>
      </c>
      <c r="H66">
        <v>0.24229999999999999</v>
      </c>
      <c r="J66">
        <v>3</v>
      </c>
      <c r="K66">
        <v>8.3332999999999995</v>
      </c>
      <c r="L66">
        <v>59</v>
      </c>
      <c r="M66">
        <v>0.9556</v>
      </c>
      <c r="N66">
        <f>AVERAGEIF(MonthlyMetric!A:A,AnnualReview!B66,MonthlyMetric!F:F)</f>
        <v>0.77457500000000001</v>
      </c>
    </row>
    <row r="67" spans="1:14" x14ac:dyDescent="0.2">
      <c r="A67">
        <v>2303</v>
      </c>
      <c r="B67" t="s">
        <v>72</v>
      </c>
      <c r="C67" t="s">
        <v>409</v>
      </c>
      <c r="D67" t="s">
        <v>333</v>
      </c>
      <c r="E67" s="15">
        <v>43535</v>
      </c>
      <c r="F67">
        <v>12</v>
      </c>
      <c r="G67">
        <v>0.98145506419400796</v>
      </c>
      <c r="H67">
        <v>8.7400000000000005E-2</v>
      </c>
      <c r="J67">
        <v>1</v>
      </c>
      <c r="K67">
        <v>10</v>
      </c>
      <c r="L67">
        <v>109</v>
      </c>
      <c r="M67">
        <v>1.1692</v>
      </c>
      <c r="N67">
        <f>AVERAGEIF(MonthlyMetric!A:A,AnnualReview!B67,MonthlyMetric!F:F)</f>
        <v>1.343441666666666</v>
      </c>
    </row>
    <row r="68" spans="1:14" x14ac:dyDescent="0.2">
      <c r="A68">
        <v>3648</v>
      </c>
      <c r="B68" t="s">
        <v>261</v>
      </c>
      <c r="C68" t="s">
        <v>405</v>
      </c>
      <c r="D68" t="s">
        <v>342</v>
      </c>
      <c r="E68" s="15">
        <v>45838</v>
      </c>
      <c r="F68">
        <v>35</v>
      </c>
      <c r="G68">
        <v>0.987544483985765</v>
      </c>
      <c r="H68">
        <v>0.28510000000000002</v>
      </c>
      <c r="J68">
        <v>1</v>
      </c>
      <c r="K68">
        <v>10</v>
      </c>
      <c r="L68">
        <v>87</v>
      </c>
      <c r="M68">
        <v>0.96630000000000005</v>
      </c>
      <c r="N68">
        <f>AVERAGEIF(MonthlyMetric!A:A,AnnualReview!B68,MonthlyMetric!F:F)</f>
        <v>0.90985999999999978</v>
      </c>
    </row>
    <row r="69" spans="1:14" x14ac:dyDescent="0.2">
      <c r="A69">
        <v>3476</v>
      </c>
      <c r="B69" t="s">
        <v>73</v>
      </c>
      <c r="C69" t="s">
        <v>410</v>
      </c>
      <c r="D69" t="s">
        <v>80</v>
      </c>
      <c r="E69" s="15">
        <v>45299</v>
      </c>
      <c r="F69">
        <v>12</v>
      </c>
      <c r="G69">
        <v>0.99715504978662794</v>
      </c>
      <c r="H69">
        <v>4.0599999999999997E-2</v>
      </c>
      <c r="J69">
        <v>10</v>
      </c>
      <c r="K69">
        <v>9.6999999999999993</v>
      </c>
      <c r="L69">
        <v>46</v>
      </c>
      <c r="M69">
        <v>1.329</v>
      </c>
      <c r="N69">
        <f>AVERAGEIF(MonthlyMetric!A:A,AnnualReview!B69,MonthlyMetric!F:F)</f>
        <v>0.88580000000000003</v>
      </c>
    </row>
    <row r="70" spans="1:14" x14ac:dyDescent="0.2">
      <c r="A70">
        <v>3621</v>
      </c>
      <c r="B70" t="s">
        <v>263</v>
      </c>
      <c r="C70" t="s">
        <v>405</v>
      </c>
      <c r="D70" t="s">
        <v>333</v>
      </c>
      <c r="E70" s="15">
        <v>45768</v>
      </c>
      <c r="F70">
        <v>30</v>
      </c>
      <c r="G70">
        <v>0.96390977443609005</v>
      </c>
      <c r="H70">
        <v>8.8999999999999996E-2</v>
      </c>
      <c r="J70">
        <v>4</v>
      </c>
      <c r="K70">
        <v>10</v>
      </c>
      <c r="L70">
        <v>47</v>
      </c>
      <c r="M70">
        <v>1.0041</v>
      </c>
      <c r="N70">
        <f>AVERAGEIF(MonthlyMetric!A:A,AnnualReview!B70,MonthlyMetric!F:F)</f>
        <v>0.82635000000000003</v>
      </c>
    </row>
    <row r="71" spans="1:14" x14ac:dyDescent="0.2">
      <c r="A71">
        <v>3304</v>
      </c>
      <c r="B71" t="s">
        <v>74</v>
      </c>
      <c r="C71" t="s">
        <v>410</v>
      </c>
      <c r="D71" t="s">
        <v>339</v>
      </c>
      <c r="E71" s="15">
        <v>45225</v>
      </c>
      <c r="F71">
        <v>12</v>
      </c>
      <c r="G71">
        <v>0.98989898989898895</v>
      </c>
      <c r="H71">
        <v>0.10489999999999999</v>
      </c>
      <c r="J71">
        <v>6</v>
      </c>
      <c r="K71">
        <v>10</v>
      </c>
      <c r="L71">
        <v>57</v>
      </c>
      <c r="M71">
        <v>1.0382</v>
      </c>
      <c r="N71">
        <f>AVERAGEIF(MonthlyMetric!A:A,AnnualReview!B71,MonthlyMetric!F:F)</f>
        <v>0.77944166666666659</v>
      </c>
    </row>
    <row r="72" spans="1:14" x14ac:dyDescent="0.2">
      <c r="A72">
        <v>3576</v>
      </c>
      <c r="B72" t="s">
        <v>75</v>
      </c>
      <c r="C72" t="s">
        <v>405</v>
      </c>
      <c r="D72" t="s">
        <v>80</v>
      </c>
      <c r="E72" s="15">
        <v>45695</v>
      </c>
      <c r="F72">
        <v>30</v>
      </c>
      <c r="G72">
        <v>0.99062792877225803</v>
      </c>
      <c r="H72">
        <v>0.16969999999999999</v>
      </c>
      <c r="J72">
        <v>4</v>
      </c>
      <c r="K72">
        <v>9.5</v>
      </c>
      <c r="L72">
        <v>34</v>
      </c>
      <c r="M72">
        <v>1.2395</v>
      </c>
      <c r="N72">
        <f>AVERAGEIF(MonthlyMetric!A:A,AnnualReview!B72,MonthlyMetric!F:F)</f>
        <v>0.90924545454545447</v>
      </c>
    </row>
    <row r="73" spans="1:14" x14ac:dyDescent="0.2">
      <c r="A73">
        <v>3606</v>
      </c>
      <c r="B73" t="s">
        <v>265</v>
      </c>
      <c r="C73" t="s">
        <v>405</v>
      </c>
      <c r="D73" t="s">
        <v>342</v>
      </c>
      <c r="E73" s="15">
        <v>45748</v>
      </c>
      <c r="F73">
        <v>12</v>
      </c>
      <c r="G73">
        <v>1</v>
      </c>
      <c r="H73">
        <v>0.2223</v>
      </c>
      <c r="J73">
        <v>1</v>
      </c>
      <c r="K73">
        <v>7</v>
      </c>
      <c r="L73">
        <v>49</v>
      </c>
      <c r="M73">
        <v>1.1425999999999901</v>
      </c>
      <c r="N73">
        <f>AVERAGEIF(MonthlyMetric!A:A,AnnualReview!B73,MonthlyMetric!F:F)</f>
        <v>0.57008888888888887</v>
      </c>
    </row>
    <row r="74" spans="1:14" x14ac:dyDescent="0.2">
      <c r="A74">
        <v>2870</v>
      </c>
      <c r="B74" t="s">
        <v>77</v>
      </c>
      <c r="C74" t="s">
        <v>410</v>
      </c>
      <c r="D74" t="s">
        <v>340</v>
      </c>
      <c r="E74" s="15">
        <v>44330</v>
      </c>
      <c r="F74">
        <v>30</v>
      </c>
      <c r="G74">
        <v>0.96165489404641702</v>
      </c>
      <c r="H74">
        <v>0.10929999999999999</v>
      </c>
      <c r="J74">
        <v>8</v>
      </c>
      <c r="K74">
        <v>8.75</v>
      </c>
      <c r="L74">
        <v>89</v>
      </c>
      <c r="M74">
        <v>0.99580000000000002</v>
      </c>
      <c r="N74">
        <f>AVERAGEIF(MonthlyMetric!A:A,AnnualReview!B74,MonthlyMetric!F:F)</f>
        <v>0.70527499999999987</v>
      </c>
    </row>
    <row r="75" spans="1:14" x14ac:dyDescent="0.2">
      <c r="A75">
        <v>2361</v>
      </c>
      <c r="B75" t="s">
        <v>78</v>
      </c>
      <c r="C75" t="s">
        <v>410</v>
      </c>
      <c r="D75" t="s">
        <v>80</v>
      </c>
      <c r="E75" s="15">
        <v>43685</v>
      </c>
      <c r="F75">
        <v>12</v>
      </c>
      <c r="G75">
        <v>1</v>
      </c>
      <c r="H75">
        <v>0.19550000000000001</v>
      </c>
      <c r="J75">
        <v>1</v>
      </c>
      <c r="K75">
        <v>8</v>
      </c>
      <c r="L75">
        <v>32</v>
      </c>
      <c r="M75">
        <v>1.0495999999999901</v>
      </c>
      <c r="N75">
        <f>AVERAGEIF(MonthlyMetric!A:A,AnnualReview!B75,MonthlyMetric!F:F)</f>
        <v>0.65836666666666666</v>
      </c>
    </row>
    <row r="76" spans="1:14" x14ac:dyDescent="0.2">
      <c r="A76">
        <v>2794</v>
      </c>
      <c r="B76" t="s">
        <v>79</v>
      </c>
      <c r="C76" t="s">
        <v>409</v>
      </c>
      <c r="D76" t="s">
        <v>340</v>
      </c>
      <c r="E76" s="15">
        <v>44246</v>
      </c>
      <c r="F76">
        <v>30</v>
      </c>
      <c r="G76">
        <v>0.98688811188811099</v>
      </c>
      <c r="H76">
        <v>8.8499999999999995E-2</v>
      </c>
      <c r="J76">
        <v>10</v>
      </c>
      <c r="K76">
        <v>9.6</v>
      </c>
      <c r="L76">
        <v>71</v>
      </c>
      <c r="M76">
        <v>1.1366000000000001</v>
      </c>
      <c r="N76">
        <f>AVERAGEIF(MonthlyMetric!A:A,AnnualReview!B76,MonthlyMetric!F:F)</f>
        <v>0.78625</v>
      </c>
    </row>
    <row r="77" spans="1:14" x14ac:dyDescent="0.2">
      <c r="A77">
        <v>2527</v>
      </c>
      <c r="B77" t="s">
        <v>81</v>
      </c>
      <c r="C77" t="s">
        <v>410</v>
      </c>
      <c r="D77" t="s">
        <v>340</v>
      </c>
      <c r="E77" s="15">
        <v>43903</v>
      </c>
      <c r="F77">
        <v>30</v>
      </c>
      <c r="G77">
        <v>0.97951219512195098</v>
      </c>
      <c r="H77">
        <v>0.14849999999999999</v>
      </c>
      <c r="J77">
        <v>9</v>
      </c>
      <c r="K77">
        <v>8.3332999999999995</v>
      </c>
      <c r="L77">
        <v>43</v>
      </c>
      <c r="M77">
        <v>1.1807000000000001</v>
      </c>
      <c r="N77">
        <f>AVERAGEIF(MonthlyMetric!A:A,AnnualReview!B77,MonthlyMetric!F:F)</f>
        <v>0.75198333333333345</v>
      </c>
    </row>
    <row r="78" spans="1:14" x14ac:dyDescent="0.2">
      <c r="A78">
        <v>3605</v>
      </c>
      <c r="B78" t="s">
        <v>268</v>
      </c>
      <c r="C78" t="s">
        <v>405</v>
      </c>
      <c r="D78" t="s">
        <v>342</v>
      </c>
      <c r="E78" s="15">
        <v>45747</v>
      </c>
      <c r="F78">
        <v>20</v>
      </c>
      <c r="G78">
        <v>0.99569429494079598</v>
      </c>
      <c r="H78">
        <v>0.1575</v>
      </c>
      <c r="J78">
        <v>9</v>
      </c>
      <c r="K78">
        <v>8.7776999999999994</v>
      </c>
      <c r="L78">
        <v>31</v>
      </c>
      <c r="M78">
        <v>1.4664999999999999</v>
      </c>
      <c r="N78">
        <f>AVERAGEIF(MonthlyMetric!A:A,AnnualReview!B78,MonthlyMetric!F:F)</f>
        <v>0.80194444444444446</v>
      </c>
    </row>
    <row r="79" spans="1:14" x14ac:dyDescent="0.2">
      <c r="A79">
        <v>3636</v>
      </c>
      <c r="B79" t="s">
        <v>270</v>
      </c>
      <c r="C79" t="s">
        <v>405</v>
      </c>
      <c r="D79" t="s">
        <v>342</v>
      </c>
      <c r="E79" s="15">
        <v>45789</v>
      </c>
      <c r="F79">
        <v>30</v>
      </c>
      <c r="G79">
        <v>0.83529411764705797</v>
      </c>
      <c r="H79">
        <v>8.5400000000000004E-2</v>
      </c>
      <c r="J79">
        <v>2</v>
      </c>
      <c r="K79">
        <v>10</v>
      </c>
      <c r="L79">
        <v>80</v>
      </c>
      <c r="M79">
        <v>1.0233000000000001</v>
      </c>
      <c r="N79">
        <f>AVERAGEIF(MonthlyMetric!A:A,AnnualReview!B79,MonthlyMetric!F:F)</f>
        <v>0.8635666666666667</v>
      </c>
    </row>
    <row r="80" spans="1:14" x14ac:dyDescent="0.2">
      <c r="A80">
        <v>3693</v>
      </c>
      <c r="B80" t="s">
        <v>271</v>
      </c>
      <c r="C80" t="s">
        <v>405</v>
      </c>
      <c r="D80" t="s">
        <v>429</v>
      </c>
      <c r="E80" s="15">
        <v>45964</v>
      </c>
      <c r="F80">
        <v>12</v>
      </c>
      <c r="L80">
        <v>0</v>
      </c>
      <c r="M80">
        <v>0.59379999999999999</v>
      </c>
      <c r="N80">
        <f>AVERAGEIF(MonthlyMetric!A:A,AnnualReview!B80,MonthlyMetric!F:F)</f>
        <v>6.5000000000000002E-2</v>
      </c>
    </row>
    <row r="81" spans="1:14" x14ac:dyDescent="0.2">
      <c r="A81">
        <v>2660</v>
      </c>
      <c r="B81" t="s">
        <v>82</v>
      </c>
      <c r="C81" t="s">
        <v>409</v>
      </c>
      <c r="D81" t="s">
        <v>99</v>
      </c>
      <c r="E81" s="15">
        <v>44050</v>
      </c>
      <c r="F81">
        <v>12</v>
      </c>
      <c r="G81">
        <v>0.99857549857549799</v>
      </c>
      <c r="H81">
        <v>0.19939999999999999</v>
      </c>
      <c r="J81">
        <v>4</v>
      </c>
      <c r="K81">
        <v>10</v>
      </c>
      <c r="L81">
        <v>111</v>
      </c>
      <c r="M81">
        <v>2.2326000000000001</v>
      </c>
      <c r="N81">
        <f>AVERAGEIF(MonthlyMetric!A:A,AnnualReview!B81,MonthlyMetric!F:F)</f>
        <v>0.75044999999999995</v>
      </c>
    </row>
    <row r="82" spans="1:14" x14ac:dyDescent="0.2">
      <c r="A82">
        <v>2759</v>
      </c>
      <c r="B82" t="s">
        <v>83</v>
      </c>
      <c r="C82" t="s">
        <v>409</v>
      </c>
      <c r="D82" t="s">
        <v>99</v>
      </c>
      <c r="E82" s="15">
        <v>44218</v>
      </c>
      <c r="F82">
        <v>30</v>
      </c>
      <c r="G82">
        <v>0.98799199466310805</v>
      </c>
      <c r="H82">
        <v>0.14360000000000001</v>
      </c>
      <c r="J82">
        <v>8</v>
      </c>
      <c r="K82">
        <v>9.75</v>
      </c>
      <c r="L82">
        <v>127</v>
      </c>
      <c r="M82">
        <v>1.4584999999999999</v>
      </c>
      <c r="N82">
        <f>AVERAGEIF(MonthlyMetric!A:A,AnnualReview!B82,MonthlyMetric!F:F)</f>
        <v>1.0043249999999999</v>
      </c>
    </row>
    <row r="83" spans="1:14" x14ac:dyDescent="0.2">
      <c r="A83">
        <v>3564</v>
      </c>
      <c r="B83" t="s">
        <v>84</v>
      </c>
      <c r="C83" t="s">
        <v>405</v>
      </c>
      <c r="D83" t="s">
        <v>342</v>
      </c>
      <c r="E83" s="15">
        <v>45670</v>
      </c>
      <c r="F83">
        <v>30</v>
      </c>
      <c r="G83">
        <v>0.99569429494079598</v>
      </c>
      <c r="H83">
        <v>0.27810000000000001</v>
      </c>
      <c r="J83">
        <v>10</v>
      </c>
      <c r="K83">
        <v>9.4</v>
      </c>
      <c r="L83">
        <v>92</v>
      </c>
      <c r="M83">
        <v>0.93679999999999897</v>
      </c>
      <c r="N83">
        <f>AVERAGEIF(MonthlyMetric!A:A,AnnualReview!B83,MonthlyMetric!F:F)</f>
        <v>0.73749999999999993</v>
      </c>
    </row>
    <row r="84" spans="1:14" x14ac:dyDescent="0.2">
      <c r="A84">
        <v>2582</v>
      </c>
      <c r="B84" t="s">
        <v>85</v>
      </c>
      <c r="C84" t="s">
        <v>409</v>
      </c>
      <c r="D84" t="s">
        <v>340</v>
      </c>
      <c r="E84" s="15">
        <v>43922</v>
      </c>
      <c r="F84">
        <v>30</v>
      </c>
      <c r="G84">
        <v>0.99226804123711299</v>
      </c>
      <c r="H84">
        <v>6.0999999999999999E-2</v>
      </c>
      <c r="J84">
        <v>10</v>
      </c>
      <c r="K84">
        <v>9.8000000000000007</v>
      </c>
      <c r="L84">
        <v>73</v>
      </c>
      <c r="M84">
        <v>1.5302</v>
      </c>
      <c r="N84">
        <f>AVERAGEIF(MonthlyMetric!A:A,AnnualReview!B84,MonthlyMetric!F:F)</f>
        <v>1.06715</v>
      </c>
    </row>
    <row r="85" spans="1:14" x14ac:dyDescent="0.2">
      <c r="A85">
        <v>3222</v>
      </c>
      <c r="B85" t="s">
        <v>87</v>
      </c>
      <c r="C85" t="s">
        <v>405</v>
      </c>
      <c r="D85" t="s">
        <v>339</v>
      </c>
      <c r="E85" s="15">
        <v>45201</v>
      </c>
      <c r="F85">
        <v>12</v>
      </c>
      <c r="G85">
        <v>0.98980458793542903</v>
      </c>
      <c r="H85">
        <v>0.1406</v>
      </c>
      <c r="J85">
        <v>4</v>
      </c>
      <c r="K85">
        <v>7.25</v>
      </c>
      <c r="L85">
        <v>4</v>
      </c>
      <c r="M85">
        <v>1.5043</v>
      </c>
      <c r="N85">
        <f>AVERAGEIF(MonthlyMetric!A:A,AnnualReview!B85,MonthlyMetric!F:F)</f>
        <v>1.0127083333333333</v>
      </c>
    </row>
    <row r="86" spans="1:14" x14ac:dyDescent="0.2">
      <c r="A86">
        <v>3112</v>
      </c>
      <c r="B86" t="s">
        <v>88</v>
      </c>
      <c r="C86" t="s">
        <v>410</v>
      </c>
      <c r="D86" t="s">
        <v>340</v>
      </c>
      <c r="E86" s="15">
        <v>45176</v>
      </c>
      <c r="F86">
        <v>30</v>
      </c>
      <c r="G86">
        <v>0.99623250807319597</v>
      </c>
      <c r="H86">
        <v>0.21790000000000001</v>
      </c>
      <c r="J86">
        <v>9</v>
      </c>
      <c r="K86">
        <v>9.1111000000000004</v>
      </c>
      <c r="L86">
        <v>213</v>
      </c>
      <c r="M86">
        <v>1.4017999999999999</v>
      </c>
      <c r="N86">
        <f>AVERAGEIF(MonthlyMetric!A:A,AnnualReview!B86,MonthlyMetric!F:F)</f>
        <v>1.0212083333333333</v>
      </c>
    </row>
    <row r="87" spans="1:14" x14ac:dyDescent="0.2">
      <c r="A87">
        <v>3592</v>
      </c>
      <c r="B87" t="s">
        <v>272</v>
      </c>
      <c r="C87" t="s">
        <v>405</v>
      </c>
      <c r="D87" t="s">
        <v>340</v>
      </c>
      <c r="E87" s="15">
        <v>45719</v>
      </c>
      <c r="F87">
        <v>20</v>
      </c>
      <c r="G87">
        <v>0.96286472148541102</v>
      </c>
      <c r="H87">
        <v>0.14399999999999999</v>
      </c>
      <c r="J87">
        <v>3</v>
      </c>
      <c r="K87">
        <v>10</v>
      </c>
      <c r="L87">
        <v>46</v>
      </c>
      <c r="M87">
        <v>0.98699999999999999</v>
      </c>
      <c r="N87">
        <f>AVERAGEIF(MonthlyMetric!A:A,AnnualReview!B87,MonthlyMetric!F:F)</f>
        <v>0.5585</v>
      </c>
    </row>
    <row r="88" spans="1:14" x14ac:dyDescent="0.2">
      <c r="A88">
        <v>3268</v>
      </c>
      <c r="B88" t="s">
        <v>90</v>
      </c>
      <c r="C88" t="s">
        <v>405</v>
      </c>
      <c r="D88" t="s">
        <v>339</v>
      </c>
      <c r="E88" s="15">
        <v>45212</v>
      </c>
      <c r="F88">
        <v>12</v>
      </c>
      <c r="G88">
        <v>0.861464968152866</v>
      </c>
      <c r="H88">
        <v>0.31619999999999998</v>
      </c>
      <c r="J88">
        <v>9</v>
      </c>
      <c r="K88">
        <v>9.6666000000000007</v>
      </c>
      <c r="L88">
        <v>26</v>
      </c>
      <c r="M88">
        <v>1.2748999999999999</v>
      </c>
      <c r="N88">
        <f>AVERAGEIF(MonthlyMetric!A:A,AnnualReview!B88,MonthlyMetric!F:F)</f>
        <v>0.99485833333333307</v>
      </c>
    </row>
    <row r="89" spans="1:14" x14ac:dyDescent="0.2">
      <c r="A89">
        <v>2650</v>
      </c>
      <c r="B89" t="s">
        <v>92</v>
      </c>
      <c r="C89" t="s">
        <v>409</v>
      </c>
      <c r="D89" t="s">
        <v>340</v>
      </c>
      <c r="E89" s="15">
        <v>44036</v>
      </c>
      <c r="F89">
        <v>35</v>
      </c>
      <c r="G89">
        <v>0.99659574468085099</v>
      </c>
      <c r="H89">
        <v>0.13289999999999999</v>
      </c>
      <c r="J89">
        <v>3</v>
      </c>
      <c r="K89">
        <v>7.6665999999999999</v>
      </c>
      <c r="L89">
        <v>104</v>
      </c>
      <c r="M89">
        <v>1.1105</v>
      </c>
      <c r="N89">
        <f>AVERAGEIF(MonthlyMetric!A:A,AnnualReview!B89,MonthlyMetric!F:F)</f>
        <v>0.68817500000000009</v>
      </c>
    </row>
    <row r="90" spans="1:14" x14ac:dyDescent="0.2">
      <c r="A90">
        <v>3535</v>
      </c>
      <c r="B90" t="s">
        <v>93</v>
      </c>
      <c r="C90" t="s">
        <v>405</v>
      </c>
      <c r="D90" t="s">
        <v>340</v>
      </c>
      <c r="E90" s="15">
        <v>45513</v>
      </c>
      <c r="F90">
        <v>35</v>
      </c>
      <c r="G90">
        <v>0.99824766355140104</v>
      </c>
      <c r="H90">
        <v>0.14929999999999999</v>
      </c>
      <c r="J90">
        <v>14</v>
      </c>
      <c r="K90">
        <v>9.5</v>
      </c>
      <c r="L90">
        <v>87</v>
      </c>
      <c r="M90">
        <v>1.0299</v>
      </c>
      <c r="N90">
        <f>AVERAGEIF(MonthlyMetric!A:A,AnnualReview!B90,MonthlyMetric!F:F)</f>
        <v>0.93845000000000001</v>
      </c>
    </row>
    <row r="91" spans="1:14" x14ac:dyDescent="0.2">
      <c r="A91">
        <v>104</v>
      </c>
      <c r="B91" t="s">
        <v>94</v>
      </c>
      <c r="C91" t="s">
        <v>409</v>
      </c>
      <c r="D91" t="s">
        <v>99</v>
      </c>
      <c r="E91" s="15">
        <v>39923</v>
      </c>
      <c r="F91">
        <v>30</v>
      </c>
      <c r="G91">
        <v>0.97855917667238401</v>
      </c>
      <c r="H91">
        <v>7.2300000000000003E-2</v>
      </c>
      <c r="J91">
        <v>11</v>
      </c>
      <c r="K91">
        <v>10</v>
      </c>
      <c r="L91">
        <v>181</v>
      </c>
      <c r="M91">
        <v>1.1141999999999901</v>
      </c>
      <c r="N91">
        <f>AVERAGEIF(MonthlyMetric!A:A,AnnualReview!B91,MonthlyMetric!F:F)</f>
        <v>0.81041666666666679</v>
      </c>
    </row>
    <row r="92" spans="1:14" x14ac:dyDescent="0.2">
      <c r="A92">
        <v>3534</v>
      </c>
      <c r="B92" t="s">
        <v>95</v>
      </c>
      <c r="C92" t="s">
        <v>405</v>
      </c>
      <c r="D92" t="s">
        <v>342</v>
      </c>
      <c r="E92" s="15">
        <v>45510</v>
      </c>
      <c r="F92">
        <v>30</v>
      </c>
      <c r="G92">
        <v>0.86885245901639296</v>
      </c>
      <c r="H92">
        <v>0.17849999999999999</v>
      </c>
      <c r="J92">
        <v>11</v>
      </c>
      <c r="K92">
        <v>8.7271999999999998</v>
      </c>
      <c r="L92">
        <v>36</v>
      </c>
      <c r="M92">
        <v>0.92710000000000004</v>
      </c>
      <c r="N92">
        <f>AVERAGEIF(MonthlyMetric!A:A,AnnualReview!B92,MonthlyMetric!F:F)</f>
        <v>0.73958333333333315</v>
      </c>
    </row>
    <row r="93" spans="1:14" x14ac:dyDescent="0.2">
      <c r="A93">
        <v>3667</v>
      </c>
      <c r="B93" t="s">
        <v>274</v>
      </c>
      <c r="C93" t="s">
        <v>405</v>
      </c>
      <c r="D93" t="s">
        <v>339</v>
      </c>
      <c r="E93" s="15">
        <v>45881</v>
      </c>
      <c r="F93">
        <v>12</v>
      </c>
      <c r="G93">
        <v>0.876811594202898</v>
      </c>
      <c r="H93">
        <v>0.55979999999999996</v>
      </c>
      <c r="L93">
        <v>8</v>
      </c>
      <c r="M93">
        <v>1.6334</v>
      </c>
      <c r="N93">
        <f>AVERAGEIF(MonthlyMetric!A:A,AnnualReview!B93,MonthlyMetric!F:F)</f>
        <v>1.1573666666666635</v>
      </c>
    </row>
    <row r="94" spans="1:14" x14ac:dyDescent="0.2">
      <c r="A94">
        <v>3372</v>
      </c>
      <c r="B94" t="s">
        <v>96</v>
      </c>
      <c r="C94" t="s">
        <v>410</v>
      </c>
      <c r="D94" t="s">
        <v>342</v>
      </c>
      <c r="E94" s="15">
        <v>45267</v>
      </c>
      <c r="F94">
        <v>20</v>
      </c>
      <c r="G94">
        <v>0.99551066217732798</v>
      </c>
      <c r="H94">
        <v>0.29289999999999999</v>
      </c>
      <c r="J94">
        <v>5</v>
      </c>
      <c r="K94">
        <v>9.6</v>
      </c>
      <c r="L94">
        <v>27</v>
      </c>
      <c r="M94">
        <v>1.0056</v>
      </c>
      <c r="N94">
        <f>AVERAGEIF(MonthlyMetric!A:A,AnnualReview!B94,MonthlyMetric!F:F)</f>
        <v>0.67990000000000006</v>
      </c>
    </row>
    <row r="95" spans="1:14" x14ac:dyDescent="0.2">
      <c r="A95">
        <v>3583</v>
      </c>
      <c r="B95" t="s">
        <v>97</v>
      </c>
      <c r="C95" t="s">
        <v>405</v>
      </c>
      <c r="D95" t="s">
        <v>342</v>
      </c>
      <c r="E95" s="15">
        <v>45702</v>
      </c>
      <c r="F95">
        <v>30</v>
      </c>
      <c r="G95">
        <v>0.99465240641711195</v>
      </c>
      <c r="H95">
        <v>0.17319999999999999</v>
      </c>
      <c r="J95">
        <v>5</v>
      </c>
      <c r="K95">
        <v>5.8</v>
      </c>
      <c r="L95">
        <v>51</v>
      </c>
      <c r="M95">
        <v>0.94769999999999999</v>
      </c>
      <c r="N95">
        <f>AVERAGEIF(MonthlyMetric!A:A,AnnualReview!B95,MonthlyMetric!F:F)</f>
        <v>0.65720000000000001</v>
      </c>
    </row>
    <row r="96" spans="1:14" x14ac:dyDescent="0.2">
      <c r="A96">
        <v>2556</v>
      </c>
      <c r="B96" t="s">
        <v>98</v>
      </c>
      <c r="C96" t="s">
        <v>409</v>
      </c>
      <c r="D96" t="s">
        <v>339</v>
      </c>
      <c r="E96" s="15">
        <v>43917</v>
      </c>
      <c r="F96">
        <v>12</v>
      </c>
      <c r="G96">
        <v>0.99604743083003899</v>
      </c>
      <c r="H96">
        <v>0.2152</v>
      </c>
      <c r="J96">
        <v>1</v>
      </c>
      <c r="K96">
        <v>10</v>
      </c>
      <c r="L96">
        <v>86</v>
      </c>
      <c r="M96">
        <v>1.4369000000000001</v>
      </c>
      <c r="N96">
        <f>AVERAGEIF(MonthlyMetric!A:A,AnnualReview!B96,MonthlyMetric!F:F)</f>
        <v>0.91690833333333333</v>
      </c>
    </row>
    <row r="97" spans="1:14" x14ac:dyDescent="0.2">
      <c r="A97">
        <v>2463</v>
      </c>
      <c r="B97" t="s">
        <v>100</v>
      </c>
      <c r="C97" t="s">
        <v>409</v>
      </c>
      <c r="D97" t="s">
        <v>333</v>
      </c>
      <c r="E97" s="15">
        <v>43812</v>
      </c>
      <c r="F97">
        <v>12</v>
      </c>
      <c r="G97">
        <v>0.98109640831758005</v>
      </c>
      <c r="H97">
        <v>0.14050000000000001</v>
      </c>
      <c r="J97">
        <v>6</v>
      </c>
      <c r="K97">
        <v>10</v>
      </c>
      <c r="L97">
        <v>78</v>
      </c>
      <c r="M97">
        <v>1.2703</v>
      </c>
      <c r="N97">
        <f>AVERAGEIF(MonthlyMetric!A:A,AnnualReview!B97,MonthlyMetric!F:F)</f>
        <v>0.86249999999999982</v>
      </c>
    </row>
    <row r="98" spans="1:14" x14ac:dyDescent="0.2">
      <c r="A98">
        <v>3503</v>
      </c>
      <c r="B98" t="s">
        <v>101</v>
      </c>
      <c r="C98" t="s">
        <v>405</v>
      </c>
      <c r="D98" t="s">
        <v>342</v>
      </c>
      <c r="E98" s="15">
        <v>45307</v>
      </c>
      <c r="F98">
        <v>30</v>
      </c>
      <c r="G98">
        <v>0.97928436911487704</v>
      </c>
      <c r="H98">
        <v>0.17519999999999999</v>
      </c>
      <c r="J98">
        <v>7</v>
      </c>
      <c r="K98">
        <v>9.7141999999999999</v>
      </c>
      <c r="L98">
        <v>31</v>
      </c>
      <c r="M98">
        <v>0.7571</v>
      </c>
      <c r="N98">
        <f>AVERAGEIF(MonthlyMetric!A:A,AnnualReview!B98,MonthlyMetric!F:F)</f>
        <v>0.81764166666666671</v>
      </c>
    </row>
    <row r="99" spans="1:14" x14ac:dyDescent="0.2">
      <c r="A99">
        <v>3694</v>
      </c>
      <c r="B99" t="s">
        <v>614</v>
      </c>
      <c r="C99" t="s">
        <v>405</v>
      </c>
      <c r="D99" t="s">
        <v>430</v>
      </c>
      <c r="E99" s="15">
        <v>45968</v>
      </c>
      <c r="F99">
        <v>35</v>
      </c>
      <c r="L99">
        <v>8</v>
      </c>
      <c r="M99">
        <v>9.2999999999999999E-2</v>
      </c>
      <c r="N99">
        <f>AVERAGEIF(MonthlyMetric!A:A,AnnualReview!B99,MonthlyMetric!F:F)</f>
        <v>0.08</v>
      </c>
    </row>
    <row r="100" spans="1:14" x14ac:dyDescent="0.2">
      <c r="A100">
        <v>3283</v>
      </c>
      <c r="B100" t="s">
        <v>103</v>
      </c>
      <c r="C100" t="s">
        <v>410</v>
      </c>
      <c r="D100" t="s">
        <v>342</v>
      </c>
      <c r="E100" s="15">
        <v>45217</v>
      </c>
      <c r="F100">
        <v>20</v>
      </c>
      <c r="G100">
        <v>0.997028231797919</v>
      </c>
      <c r="H100">
        <v>0.29509999999999997</v>
      </c>
      <c r="J100">
        <v>1</v>
      </c>
      <c r="K100">
        <v>10</v>
      </c>
      <c r="L100">
        <v>76</v>
      </c>
      <c r="M100">
        <v>1.1148</v>
      </c>
      <c r="N100">
        <f>AVERAGEIF(MonthlyMetric!A:A,AnnualReview!B100,MonthlyMetric!F:F)</f>
        <v>0.69645833333333351</v>
      </c>
    </row>
    <row r="101" spans="1:14" x14ac:dyDescent="0.2">
      <c r="A101">
        <v>3444</v>
      </c>
      <c r="B101" t="s">
        <v>104</v>
      </c>
      <c r="C101" t="s">
        <v>405</v>
      </c>
      <c r="D101" t="s">
        <v>342</v>
      </c>
      <c r="E101" s="15">
        <v>45287</v>
      </c>
      <c r="F101">
        <v>12</v>
      </c>
      <c r="G101">
        <v>0.91273996509598598</v>
      </c>
      <c r="H101">
        <v>6.0699999999999997E-2</v>
      </c>
      <c r="J101">
        <v>3</v>
      </c>
      <c r="K101">
        <v>6.6665999999999999</v>
      </c>
      <c r="L101">
        <v>37</v>
      </c>
      <c r="M101">
        <v>1.2524</v>
      </c>
      <c r="N101">
        <f>AVERAGEIF(MonthlyMetric!A:A,AnnualReview!B101,MonthlyMetric!F:F)</f>
        <v>0.87134545454545453</v>
      </c>
    </row>
    <row r="102" spans="1:14" x14ac:dyDescent="0.2">
      <c r="A102">
        <v>3211</v>
      </c>
      <c r="B102" t="s">
        <v>105</v>
      </c>
      <c r="C102" t="s">
        <v>405</v>
      </c>
      <c r="D102" t="s">
        <v>333</v>
      </c>
      <c r="E102" s="15">
        <v>45201</v>
      </c>
      <c r="F102">
        <v>12</v>
      </c>
      <c r="G102">
        <v>0.91984732824427395</v>
      </c>
      <c r="H102">
        <v>0.30180000000000001</v>
      </c>
      <c r="J102">
        <v>1</v>
      </c>
      <c r="K102">
        <v>10</v>
      </c>
      <c r="L102">
        <v>17</v>
      </c>
      <c r="M102">
        <v>1.0346</v>
      </c>
      <c r="N102">
        <f>AVERAGEIF(MonthlyMetric!A:A,AnnualReview!B102,MonthlyMetric!F:F)</f>
        <v>0.6801083333333332</v>
      </c>
    </row>
    <row r="103" spans="1:14" x14ac:dyDescent="0.2">
      <c r="A103">
        <v>3625</v>
      </c>
      <c r="B103" t="s">
        <v>276</v>
      </c>
      <c r="C103" t="s">
        <v>405</v>
      </c>
      <c r="D103" t="s">
        <v>340</v>
      </c>
      <c r="E103" s="15">
        <v>45775</v>
      </c>
      <c r="F103">
        <v>30</v>
      </c>
      <c r="G103">
        <v>0.97196261682242902</v>
      </c>
      <c r="H103">
        <v>0.33989999999999998</v>
      </c>
      <c r="J103">
        <v>5</v>
      </c>
      <c r="K103">
        <v>10</v>
      </c>
      <c r="L103">
        <v>36</v>
      </c>
      <c r="M103">
        <v>1.0196999999999901</v>
      </c>
      <c r="N103">
        <f>AVERAGEIF(MonthlyMetric!A:A,AnnualReview!B103,MonthlyMetric!F:F)</f>
        <v>0.59708749999999999</v>
      </c>
    </row>
    <row r="104" spans="1:14" x14ac:dyDescent="0.2">
      <c r="A104">
        <v>3663</v>
      </c>
      <c r="B104" t="s">
        <v>278</v>
      </c>
      <c r="C104" t="s">
        <v>405</v>
      </c>
      <c r="D104" t="s">
        <v>80</v>
      </c>
      <c r="E104" s="15">
        <v>45875</v>
      </c>
      <c r="F104">
        <v>30</v>
      </c>
      <c r="G104">
        <v>1</v>
      </c>
      <c r="H104">
        <v>0.25159999999999999</v>
      </c>
      <c r="L104">
        <v>74</v>
      </c>
      <c r="M104">
        <v>1.0915999999999999</v>
      </c>
      <c r="N104">
        <f>AVERAGEIF(MonthlyMetric!A:A,AnnualReview!B104,MonthlyMetric!F:F)</f>
        <v>0.80443333333333333</v>
      </c>
    </row>
    <row r="105" spans="1:14" x14ac:dyDescent="0.2">
      <c r="A105">
        <v>2834</v>
      </c>
      <c r="B105" t="s">
        <v>107</v>
      </c>
      <c r="C105" t="s">
        <v>410</v>
      </c>
      <c r="D105" t="s">
        <v>340</v>
      </c>
      <c r="E105" s="15">
        <v>44273</v>
      </c>
      <c r="F105">
        <v>30</v>
      </c>
      <c r="G105">
        <v>0.99913344887348299</v>
      </c>
      <c r="H105">
        <v>0.1832</v>
      </c>
      <c r="J105">
        <v>4</v>
      </c>
      <c r="K105">
        <v>8.75</v>
      </c>
      <c r="L105">
        <v>39</v>
      </c>
      <c r="M105">
        <v>1.2856000000000001</v>
      </c>
      <c r="N105">
        <f>AVERAGEIF(MonthlyMetric!A:A,AnnualReview!B105,MonthlyMetric!F:F)</f>
        <v>0.85312500000000002</v>
      </c>
    </row>
    <row r="106" spans="1:14" x14ac:dyDescent="0.2">
      <c r="A106">
        <v>3524</v>
      </c>
      <c r="B106" t="s">
        <v>108</v>
      </c>
      <c r="C106" t="s">
        <v>405</v>
      </c>
      <c r="D106" t="s">
        <v>80</v>
      </c>
      <c r="E106" s="15">
        <v>45491</v>
      </c>
      <c r="F106">
        <v>35</v>
      </c>
      <c r="G106">
        <v>0.98460627590290095</v>
      </c>
      <c r="H106">
        <v>0.21440000000000001</v>
      </c>
      <c r="J106">
        <v>8</v>
      </c>
      <c r="K106">
        <v>9.5</v>
      </c>
      <c r="L106">
        <v>8</v>
      </c>
      <c r="M106">
        <v>1.0653999999999999</v>
      </c>
      <c r="N106">
        <f>AVERAGEIF(MonthlyMetric!A:A,AnnualReview!B106,MonthlyMetric!F:F)</f>
        <v>0.98904999999999976</v>
      </c>
    </row>
    <row r="107" spans="1:14" x14ac:dyDescent="0.2">
      <c r="A107">
        <v>2449</v>
      </c>
      <c r="B107" t="s">
        <v>111</v>
      </c>
      <c r="C107" t="s">
        <v>409</v>
      </c>
      <c r="D107" t="s">
        <v>342</v>
      </c>
      <c r="E107" s="15">
        <v>43777</v>
      </c>
      <c r="F107">
        <v>12</v>
      </c>
      <c r="G107">
        <v>0.98627002288329502</v>
      </c>
      <c r="H107">
        <v>0.1487</v>
      </c>
      <c r="J107">
        <v>1</v>
      </c>
      <c r="K107">
        <v>10</v>
      </c>
      <c r="L107">
        <v>63</v>
      </c>
      <c r="M107">
        <v>1.2794000000000001</v>
      </c>
      <c r="N107">
        <f>AVERAGEIF(MonthlyMetric!A:A,AnnualReview!B107,MonthlyMetric!F:F)</f>
        <v>0.72389166666666671</v>
      </c>
    </row>
    <row r="108" spans="1:14" x14ac:dyDescent="0.2">
      <c r="A108">
        <v>3599</v>
      </c>
      <c r="B108" t="s">
        <v>281</v>
      </c>
      <c r="C108" t="s">
        <v>405</v>
      </c>
      <c r="D108" t="s">
        <v>333</v>
      </c>
      <c r="E108" s="15">
        <v>45741</v>
      </c>
      <c r="F108">
        <v>35</v>
      </c>
      <c r="G108">
        <v>0.98669891172914104</v>
      </c>
      <c r="H108">
        <v>0.14990000000000001</v>
      </c>
      <c r="J108">
        <v>6</v>
      </c>
      <c r="K108">
        <v>9.8332999999999995</v>
      </c>
      <c r="L108">
        <v>55</v>
      </c>
      <c r="M108">
        <v>0.97960000000000003</v>
      </c>
      <c r="N108">
        <f>AVERAGEIF(MonthlyMetric!A:A,AnnualReview!B108,MonthlyMetric!F:F)</f>
        <v>0.71325555555555542</v>
      </c>
    </row>
    <row r="109" spans="1:14" x14ac:dyDescent="0.2">
      <c r="A109">
        <v>2950</v>
      </c>
      <c r="B109" t="s">
        <v>115</v>
      </c>
      <c r="C109" t="s">
        <v>405</v>
      </c>
      <c r="D109" t="s">
        <v>342</v>
      </c>
      <c r="E109" s="15">
        <v>44575</v>
      </c>
      <c r="F109">
        <v>12</v>
      </c>
      <c r="G109">
        <v>0.99756394640682</v>
      </c>
      <c r="H109">
        <v>0.1265</v>
      </c>
      <c r="J109">
        <v>5</v>
      </c>
      <c r="K109">
        <v>10</v>
      </c>
      <c r="L109">
        <v>63</v>
      </c>
      <c r="M109">
        <v>1.8843000000000001</v>
      </c>
      <c r="N109">
        <f>AVERAGEIF(MonthlyMetric!A:A,AnnualReview!B109,MonthlyMetric!F:F)</f>
        <v>1.3845333333333334</v>
      </c>
    </row>
    <row r="110" spans="1:14" x14ac:dyDescent="0.2">
      <c r="A110">
        <v>3677</v>
      </c>
      <c r="B110" t="s">
        <v>283</v>
      </c>
      <c r="C110" t="s">
        <v>405</v>
      </c>
      <c r="D110" t="s">
        <v>80</v>
      </c>
      <c r="E110" s="15">
        <v>45904</v>
      </c>
      <c r="F110">
        <v>20</v>
      </c>
      <c r="G110">
        <v>1</v>
      </c>
      <c r="H110">
        <v>0.42630000000000001</v>
      </c>
      <c r="L110">
        <v>22</v>
      </c>
      <c r="M110">
        <v>1.2927</v>
      </c>
      <c r="N110">
        <f>AVERAGEIF(MonthlyMetric!A:A,AnnualReview!B110,MonthlyMetric!F:F)</f>
        <v>1.0083333333333335</v>
      </c>
    </row>
    <row r="111" spans="1:14" x14ac:dyDescent="0.2">
      <c r="A111">
        <v>3660</v>
      </c>
      <c r="B111" t="s">
        <v>285</v>
      </c>
      <c r="C111" t="s">
        <v>405</v>
      </c>
      <c r="D111" t="s">
        <v>339</v>
      </c>
      <c r="E111" s="15">
        <v>45874</v>
      </c>
      <c r="F111">
        <v>30</v>
      </c>
      <c r="G111">
        <v>1</v>
      </c>
      <c r="H111">
        <v>0.3775</v>
      </c>
      <c r="J111">
        <v>1</v>
      </c>
      <c r="K111">
        <v>8</v>
      </c>
      <c r="L111">
        <v>41</v>
      </c>
      <c r="M111">
        <v>1.0817999999999901</v>
      </c>
      <c r="N111">
        <f>AVERAGEIF(MonthlyMetric!A:A,AnnualReview!B111,MonthlyMetric!F:F)</f>
        <v>0.87473333333333336</v>
      </c>
    </row>
    <row r="112" spans="1:14" x14ac:dyDescent="0.2">
      <c r="A112">
        <v>1138</v>
      </c>
      <c r="B112" t="s">
        <v>116</v>
      </c>
      <c r="C112" t="s">
        <v>409</v>
      </c>
      <c r="D112" t="s">
        <v>99</v>
      </c>
      <c r="E112" s="15">
        <v>42373</v>
      </c>
      <c r="F112">
        <v>30</v>
      </c>
      <c r="G112">
        <v>1</v>
      </c>
      <c r="H112">
        <v>8.9499999999999996E-2</v>
      </c>
      <c r="J112">
        <v>11</v>
      </c>
      <c r="K112">
        <v>9.8180999999999994</v>
      </c>
      <c r="L112">
        <v>102</v>
      </c>
      <c r="M112">
        <v>1.0487</v>
      </c>
      <c r="N112">
        <f>AVERAGEIF(MonthlyMetric!A:A,AnnualReview!B112,MonthlyMetric!F:F)</f>
        <v>0.84719166666666668</v>
      </c>
    </row>
    <row r="113" spans="1:14" x14ac:dyDescent="0.2">
      <c r="A113">
        <v>3519</v>
      </c>
      <c r="B113" t="s">
        <v>117</v>
      </c>
      <c r="C113" t="s">
        <v>405</v>
      </c>
      <c r="D113" t="s">
        <v>342</v>
      </c>
      <c r="E113" s="15">
        <v>45483</v>
      </c>
      <c r="F113">
        <v>30</v>
      </c>
      <c r="G113">
        <v>0.99507692307692297</v>
      </c>
      <c r="H113">
        <v>0.2525</v>
      </c>
      <c r="J113">
        <v>12</v>
      </c>
      <c r="K113">
        <v>9.8332999999999995</v>
      </c>
      <c r="L113">
        <v>47</v>
      </c>
      <c r="M113">
        <v>1.0374000000000001</v>
      </c>
      <c r="N113">
        <f>AVERAGEIF(MonthlyMetric!A:A,AnnualReview!B113,MonthlyMetric!F:F)</f>
        <v>1.0425</v>
      </c>
    </row>
    <row r="114" spans="1:14" x14ac:dyDescent="0.2">
      <c r="A114">
        <v>3256</v>
      </c>
      <c r="B114" t="s">
        <v>119</v>
      </c>
      <c r="C114" t="s">
        <v>410</v>
      </c>
      <c r="D114" t="s">
        <v>342</v>
      </c>
      <c r="E114" s="15">
        <v>45210</v>
      </c>
      <c r="F114">
        <v>30</v>
      </c>
      <c r="G114">
        <v>0.99780058651026304</v>
      </c>
      <c r="H114">
        <v>0.1638</v>
      </c>
      <c r="J114">
        <v>8</v>
      </c>
      <c r="K114">
        <v>7.875</v>
      </c>
      <c r="L114">
        <v>44</v>
      </c>
      <c r="M114">
        <v>0.97289999999999899</v>
      </c>
      <c r="N114">
        <f>AVERAGEIF(MonthlyMetric!A:A,AnnualReview!B114,MonthlyMetric!F:F)</f>
        <v>0.7727750000000001</v>
      </c>
    </row>
    <row r="115" spans="1:14" x14ac:dyDescent="0.2">
      <c r="A115">
        <v>2574</v>
      </c>
      <c r="B115" t="s">
        <v>120</v>
      </c>
      <c r="C115" t="s">
        <v>409</v>
      </c>
      <c r="D115" t="s">
        <v>99</v>
      </c>
      <c r="E115" s="15">
        <v>43922</v>
      </c>
      <c r="F115">
        <v>35</v>
      </c>
      <c r="G115">
        <v>0.99843382928739199</v>
      </c>
      <c r="H115">
        <v>0.13170000000000001</v>
      </c>
      <c r="J115">
        <v>15</v>
      </c>
      <c r="K115">
        <v>9.1999999999999993</v>
      </c>
      <c r="L115">
        <v>77</v>
      </c>
      <c r="M115">
        <v>1.2607999999999999</v>
      </c>
      <c r="N115">
        <f>AVERAGEIF(MonthlyMetric!A:A,AnnualReview!B115,MonthlyMetric!F:F)</f>
        <v>0.79399166666666676</v>
      </c>
    </row>
    <row r="116" spans="1:14" x14ac:dyDescent="0.2">
      <c r="A116">
        <v>3474</v>
      </c>
      <c r="B116" t="s">
        <v>121</v>
      </c>
      <c r="C116" t="s">
        <v>410</v>
      </c>
      <c r="D116" t="s">
        <v>333</v>
      </c>
      <c r="E116" s="15">
        <v>45296</v>
      </c>
      <c r="F116">
        <v>12</v>
      </c>
      <c r="G116">
        <v>0.99458483754512605</v>
      </c>
      <c r="H116">
        <v>0.12609999999999999</v>
      </c>
      <c r="J116">
        <v>3</v>
      </c>
      <c r="K116">
        <v>8.3332999999999995</v>
      </c>
      <c r="L116">
        <v>36</v>
      </c>
      <c r="M116">
        <v>1.28189999999999</v>
      </c>
      <c r="N116">
        <f>AVERAGEIF(MonthlyMetric!A:A,AnnualReview!B116,MonthlyMetric!F:F)</f>
        <v>0.81795000000000007</v>
      </c>
    </row>
    <row r="117" spans="1:14" x14ac:dyDescent="0.2">
      <c r="A117">
        <v>2875</v>
      </c>
      <c r="B117" t="s">
        <v>123</v>
      </c>
      <c r="C117" t="s">
        <v>409</v>
      </c>
      <c r="D117" t="s">
        <v>339</v>
      </c>
      <c r="E117" s="15">
        <v>44330</v>
      </c>
      <c r="F117">
        <v>30</v>
      </c>
      <c r="G117">
        <v>0.98791208791208696</v>
      </c>
      <c r="H117">
        <v>0.13070000000000001</v>
      </c>
      <c r="J117">
        <v>5</v>
      </c>
      <c r="K117">
        <v>10</v>
      </c>
      <c r="L117">
        <v>125</v>
      </c>
      <c r="M117">
        <v>0.90210000000000001</v>
      </c>
      <c r="N117">
        <f>AVERAGEIF(MonthlyMetric!A:A,AnnualReview!B117,MonthlyMetric!F:F)</f>
        <v>1.0974333333333335</v>
      </c>
    </row>
    <row r="118" spans="1:14" x14ac:dyDescent="0.2">
      <c r="A118">
        <v>3382</v>
      </c>
      <c r="B118" t="s">
        <v>125</v>
      </c>
      <c r="C118" t="s">
        <v>405</v>
      </c>
      <c r="D118" t="s">
        <v>342</v>
      </c>
      <c r="E118" s="15">
        <v>45271</v>
      </c>
      <c r="F118">
        <v>30</v>
      </c>
      <c r="G118">
        <v>0.91577879249112104</v>
      </c>
      <c r="H118">
        <v>0.25519999999999998</v>
      </c>
      <c r="J118">
        <v>7</v>
      </c>
      <c r="K118">
        <v>7.4284999999999997</v>
      </c>
      <c r="L118">
        <v>12</v>
      </c>
      <c r="M118">
        <v>0.96860000000000002</v>
      </c>
      <c r="N118">
        <f>AVERAGEIF(MonthlyMetric!A:A,AnnualReview!B118,MonthlyMetric!F:F)</f>
        <v>0.87659999999999993</v>
      </c>
    </row>
    <row r="119" spans="1:14" x14ac:dyDescent="0.2">
      <c r="A119">
        <v>2785</v>
      </c>
      <c r="B119" t="s">
        <v>126</v>
      </c>
      <c r="C119" t="s">
        <v>410</v>
      </c>
      <c r="D119" t="s">
        <v>340</v>
      </c>
      <c r="E119" s="15">
        <v>44239</v>
      </c>
      <c r="F119">
        <v>30</v>
      </c>
      <c r="G119">
        <v>0.98267716535433003</v>
      </c>
      <c r="H119">
        <v>9.4899999999999998E-2</v>
      </c>
      <c r="J119">
        <v>5</v>
      </c>
      <c r="K119">
        <v>10</v>
      </c>
      <c r="L119">
        <v>88</v>
      </c>
      <c r="M119">
        <v>1.0199</v>
      </c>
      <c r="N119">
        <f>AVERAGEIF(MonthlyMetric!A:A,AnnualReview!B119,MonthlyMetric!F:F)</f>
        <v>0.45166666666666672</v>
      </c>
    </row>
    <row r="120" spans="1:14" x14ac:dyDescent="0.2">
      <c r="A120">
        <v>3689</v>
      </c>
      <c r="B120" t="s">
        <v>288</v>
      </c>
      <c r="C120" t="s">
        <v>405</v>
      </c>
      <c r="D120" t="s">
        <v>430</v>
      </c>
      <c r="E120" s="15">
        <v>45953</v>
      </c>
      <c r="F120">
        <v>20</v>
      </c>
      <c r="L120">
        <v>17</v>
      </c>
      <c r="M120">
        <v>0.70309999999999995</v>
      </c>
      <c r="N120">
        <f>AVERAGEIF(MonthlyMetric!A:A,AnnualReview!B120,MonthlyMetric!F:F)</f>
        <v>0.21</v>
      </c>
    </row>
    <row r="121" spans="1:14" x14ac:dyDescent="0.2">
      <c r="A121">
        <v>3695</v>
      </c>
      <c r="B121" t="s">
        <v>615</v>
      </c>
      <c r="C121" t="s">
        <v>405</v>
      </c>
      <c r="D121" t="s">
        <v>429</v>
      </c>
      <c r="E121" s="15">
        <v>45971</v>
      </c>
      <c r="F121">
        <v>12</v>
      </c>
      <c r="L121">
        <v>0</v>
      </c>
      <c r="N121">
        <f>AVERAGEIF(MonthlyMetric!A:A,AnnualReview!B121,MonthlyMetric!F:F)</f>
        <v>0</v>
      </c>
    </row>
    <row r="122" spans="1:14" x14ac:dyDescent="0.2">
      <c r="A122">
        <v>2760</v>
      </c>
      <c r="B122" t="s">
        <v>127</v>
      </c>
      <c r="C122" t="s">
        <v>409</v>
      </c>
      <c r="D122" t="s">
        <v>99</v>
      </c>
      <c r="E122" s="15">
        <v>44222</v>
      </c>
      <c r="F122">
        <v>30</v>
      </c>
      <c r="G122">
        <v>0.96112311015118701</v>
      </c>
      <c r="H122">
        <v>0.1701</v>
      </c>
      <c r="J122">
        <v>6</v>
      </c>
      <c r="K122">
        <v>9.6666000000000007</v>
      </c>
      <c r="L122">
        <v>212</v>
      </c>
      <c r="M122">
        <v>0.93409999999999904</v>
      </c>
      <c r="N122">
        <f>AVERAGEIF(MonthlyMetric!A:A,AnnualReview!B122,MonthlyMetric!F:F)</f>
        <v>0.65930833333333339</v>
      </c>
    </row>
    <row r="123" spans="1:14" x14ac:dyDescent="0.2">
      <c r="A123">
        <v>2316</v>
      </c>
      <c r="B123" t="s">
        <v>128</v>
      </c>
      <c r="C123" t="s">
        <v>410</v>
      </c>
      <c r="D123" t="s">
        <v>340</v>
      </c>
      <c r="E123" s="15">
        <v>43549</v>
      </c>
      <c r="F123">
        <v>30</v>
      </c>
      <c r="G123">
        <v>0.944888178913738</v>
      </c>
      <c r="H123">
        <v>0.23319999999999999</v>
      </c>
      <c r="J123">
        <v>5</v>
      </c>
      <c r="K123">
        <v>9.6</v>
      </c>
      <c r="L123">
        <v>108</v>
      </c>
      <c r="M123">
        <v>1.5905</v>
      </c>
      <c r="N123">
        <f>AVERAGEIF(MonthlyMetric!A:A,AnnualReview!B123,MonthlyMetric!F:F)</f>
        <v>0.89076666666666682</v>
      </c>
    </row>
    <row r="124" spans="1:14" x14ac:dyDescent="0.2">
      <c r="A124">
        <v>2465</v>
      </c>
      <c r="B124" t="s">
        <v>129</v>
      </c>
      <c r="C124" t="s">
        <v>409</v>
      </c>
      <c r="D124" t="s">
        <v>333</v>
      </c>
      <c r="E124" s="15">
        <v>43812</v>
      </c>
      <c r="F124">
        <v>12</v>
      </c>
      <c r="G124">
        <v>0.96911764705882297</v>
      </c>
      <c r="H124">
        <v>9.4100000000000003E-2</v>
      </c>
      <c r="J124">
        <v>5</v>
      </c>
      <c r="K124">
        <v>9.8000000000000007</v>
      </c>
      <c r="L124">
        <v>101</v>
      </c>
      <c r="M124">
        <v>1.3473999999999999</v>
      </c>
      <c r="N124">
        <f>AVERAGEIF(MonthlyMetric!A:A,AnnualReview!B124,MonthlyMetric!F:F)</f>
        <v>1.2247583333333334</v>
      </c>
    </row>
    <row r="125" spans="1:14" x14ac:dyDescent="0.2">
      <c r="A125">
        <v>2577</v>
      </c>
      <c r="B125" t="s">
        <v>130</v>
      </c>
      <c r="C125" t="s">
        <v>409</v>
      </c>
      <c r="D125" t="s">
        <v>339</v>
      </c>
      <c r="E125" s="15">
        <v>43922</v>
      </c>
      <c r="F125">
        <v>20</v>
      </c>
      <c r="G125">
        <v>0.96125186289120701</v>
      </c>
      <c r="H125">
        <v>0.19800000000000001</v>
      </c>
      <c r="J125">
        <v>3</v>
      </c>
      <c r="K125">
        <v>9.3332999999999995</v>
      </c>
      <c r="L125">
        <v>61</v>
      </c>
      <c r="M125">
        <v>1.72829999999999</v>
      </c>
      <c r="N125">
        <f>AVERAGEIF(MonthlyMetric!A:A,AnnualReview!B125,MonthlyMetric!F:F)</f>
        <v>0.68583333333333352</v>
      </c>
    </row>
    <row r="126" spans="1:14" x14ac:dyDescent="0.2">
      <c r="A126">
        <v>2973</v>
      </c>
      <c r="B126" t="s">
        <v>131</v>
      </c>
      <c r="C126" t="s">
        <v>405</v>
      </c>
      <c r="D126" t="s">
        <v>340</v>
      </c>
      <c r="E126" s="15">
        <v>44615</v>
      </c>
      <c r="F126">
        <v>30</v>
      </c>
      <c r="G126">
        <v>0.99025487256371802</v>
      </c>
      <c r="H126">
        <v>6.1400000000000003E-2</v>
      </c>
      <c r="J126">
        <v>5</v>
      </c>
      <c r="K126">
        <v>9.8000000000000007</v>
      </c>
      <c r="L126">
        <v>10</v>
      </c>
      <c r="M126">
        <v>1.1227</v>
      </c>
      <c r="N126">
        <f>AVERAGEIF(MonthlyMetric!A:A,AnnualReview!B126,MonthlyMetric!F:F)</f>
        <v>0.8404166666666667</v>
      </c>
    </row>
    <row r="127" spans="1:14" x14ac:dyDescent="0.2">
      <c r="A127">
        <v>3358</v>
      </c>
      <c r="B127" t="s">
        <v>132</v>
      </c>
      <c r="C127" t="s">
        <v>410</v>
      </c>
      <c r="D127" t="s">
        <v>342</v>
      </c>
      <c r="E127" s="15">
        <v>45265</v>
      </c>
      <c r="F127">
        <v>35</v>
      </c>
      <c r="G127">
        <v>0.99865047233468196</v>
      </c>
      <c r="H127">
        <v>4.9599999999999998E-2</v>
      </c>
      <c r="J127">
        <v>9</v>
      </c>
      <c r="K127">
        <v>9.7776999999999994</v>
      </c>
      <c r="L127">
        <v>121</v>
      </c>
      <c r="M127">
        <v>1.141</v>
      </c>
      <c r="N127">
        <f>AVERAGEIF(MonthlyMetric!A:A,AnnualReview!B127,MonthlyMetric!F:F)</f>
        <v>0.91505833333333342</v>
      </c>
    </row>
    <row r="128" spans="1:14" x14ac:dyDescent="0.2">
      <c r="A128">
        <v>3403</v>
      </c>
      <c r="B128" t="s">
        <v>133</v>
      </c>
      <c r="C128" t="s">
        <v>405</v>
      </c>
      <c r="D128" t="s">
        <v>333</v>
      </c>
      <c r="E128" s="15">
        <v>45274</v>
      </c>
      <c r="F128">
        <v>12</v>
      </c>
      <c r="G128">
        <v>0.960079840319361</v>
      </c>
      <c r="H128">
        <v>0.49440000000000001</v>
      </c>
      <c r="J128">
        <v>5</v>
      </c>
      <c r="K128">
        <v>9.8000000000000007</v>
      </c>
      <c r="L128">
        <v>116</v>
      </c>
      <c r="M128">
        <v>1.3093999999999999</v>
      </c>
      <c r="N128">
        <f>AVERAGEIF(MonthlyMetric!A:A,AnnualReview!B128,MonthlyMetric!F:F)</f>
        <v>0.95477272727272744</v>
      </c>
    </row>
    <row r="129" spans="1:14" x14ac:dyDescent="0.2">
      <c r="A129">
        <v>3681</v>
      </c>
      <c r="B129" t="s">
        <v>289</v>
      </c>
      <c r="C129" t="s">
        <v>405</v>
      </c>
      <c r="D129" t="s">
        <v>333</v>
      </c>
      <c r="E129" s="15">
        <v>45922</v>
      </c>
      <c r="F129">
        <v>30</v>
      </c>
      <c r="G129">
        <v>0.99280575539568305</v>
      </c>
      <c r="H129">
        <v>7.7399999999999997E-2</v>
      </c>
      <c r="J129">
        <v>2</v>
      </c>
      <c r="K129">
        <v>10</v>
      </c>
      <c r="L129">
        <v>8</v>
      </c>
      <c r="M129">
        <v>1.016</v>
      </c>
      <c r="N129">
        <f>AVERAGEIF(MonthlyMetric!A:A,AnnualReview!B129,MonthlyMetric!F:F)</f>
        <v>0.70640000000000003</v>
      </c>
    </row>
    <row r="130" spans="1:14" x14ac:dyDescent="0.2">
      <c r="A130">
        <v>3429</v>
      </c>
      <c r="B130" t="s">
        <v>134</v>
      </c>
      <c r="C130" t="s">
        <v>410</v>
      </c>
      <c r="D130" t="s">
        <v>333</v>
      </c>
      <c r="E130" s="15">
        <v>45281</v>
      </c>
      <c r="F130">
        <v>30</v>
      </c>
      <c r="G130">
        <v>0.99380165289256095</v>
      </c>
      <c r="H130">
        <v>4.4900000000000002E-2</v>
      </c>
      <c r="J130">
        <v>11</v>
      </c>
      <c r="K130">
        <v>8.1818000000000008</v>
      </c>
      <c r="L130">
        <v>29</v>
      </c>
      <c r="M130">
        <v>1.0435999999999901</v>
      </c>
      <c r="N130">
        <f>AVERAGEIF(MonthlyMetric!A:A,AnnualReview!B130,MonthlyMetric!F:F)</f>
        <v>0.86410000000000009</v>
      </c>
    </row>
    <row r="131" spans="1:14" x14ac:dyDescent="0.2">
      <c r="A131">
        <v>3692</v>
      </c>
      <c r="B131" t="s">
        <v>291</v>
      </c>
      <c r="C131" t="s">
        <v>405</v>
      </c>
      <c r="D131" t="s">
        <v>429</v>
      </c>
      <c r="E131" s="15">
        <v>45964</v>
      </c>
      <c r="F131">
        <v>20</v>
      </c>
      <c r="L131">
        <v>8</v>
      </c>
      <c r="M131">
        <v>1.0417000000000001</v>
      </c>
      <c r="N131">
        <f>AVERAGEIF(MonthlyMetric!A:A,AnnualReview!B131,MonthlyMetric!F:F)</f>
        <v>0.19500000000000001</v>
      </c>
    </row>
    <row r="132" spans="1:14" x14ac:dyDescent="0.2">
      <c r="A132">
        <v>1255</v>
      </c>
      <c r="B132" t="s">
        <v>135</v>
      </c>
      <c r="C132" t="s">
        <v>410</v>
      </c>
      <c r="D132" t="s">
        <v>333</v>
      </c>
      <c r="E132" s="15">
        <v>42811</v>
      </c>
      <c r="F132">
        <v>12</v>
      </c>
      <c r="G132">
        <v>0.97932330827067604</v>
      </c>
      <c r="H132">
        <v>0.18060000000000001</v>
      </c>
      <c r="J132">
        <v>5</v>
      </c>
      <c r="K132">
        <v>10</v>
      </c>
      <c r="L132">
        <v>61</v>
      </c>
      <c r="M132">
        <v>1.4056</v>
      </c>
      <c r="N132">
        <f>AVERAGEIF(MonthlyMetric!A:A,AnnualReview!B132,MonthlyMetric!F:F)</f>
        <v>1.0237833333333335</v>
      </c>
    </row>
    <row r="133" spans="1:14" x14ac:dyDescent="0.2">
      <c r="A133">
        <v>3674</v>
      </c>
      <c r="B133" t="s">
        <v>292</v>
      </c>
      <c r="C133" t="s">
        <v>405</v>
      </c>
      <c r="D133" t="s">
        <v>342</v>
      </c>
      <c r="E133" s="15">
        <v>45894</v>
      </c>
      <c r="F133">
        <v>35</v>
      </c>
      <c r="G133">
        <v>0.99442896935933101</v>
      </c>
      <c r="H133">
        <v>5.6099999999999997E-2</v>
      </c>
      <c r="J133">
        <v>1</v>
      </c>
      <c r="K133">
        <v>10</v>
      </c>
      <c r="L133">
        <v>66</v>
      </c>
      <c r="M133">
        <v>0.83560000000000001</v>
      </c>
      <c r="N133">
        <f>AVERAGEIF(MonthlyMetric!A:A,AnnualReview!B133,MonthlyMetric!F:F)</f>
        <v>0.98999999999999988</v>
      </c>
    </row>
    <row r="134" spans="1:14" x14ac:dyDescent="0.2">
      <c r="A134">
        <v>3593</v>
      </c>
      <c r="B134" t="s">
        <v>294</v>
      </c>
      <c r="C134" t="s">
        <v>405</v>
      </c>
      <c r="D134" t="s">
        <v>342</v>
      </c>
      <c r="E134" s="15">
        <v>45722</v>
      </c>
      <c r="F134">
        <v>12</v>
      </c>
      <c r="G134">
        <v>0.95272206303724905</v>
      </c>
      <c r="H134">
        <v>0.3503</v>
      </c>
      <c r="J134">
        <v>3</v>
      </c>
      <c r="K134">
        <v>10</v>
      </c>
      <c r="L134">
        <v>16</v>
      </c>
      <c r="M134">
        <v>2.1410999999999998</v>
      </c>
      <c r="N134">
        <f>AVERAGEIF(MonthlyMetric!A:A,AnnualReview!B134,MonthlyMetric!F:F)</f>
        <v>0.70258000000000009</v>
      </c>
    </row>
    <row r="135" spans="1:14" x14ac:dyDescent="0.2">
      <c r="A135">
        <v>2001</v>
      </c>
      <c r="B135" t="s">
        <v>137</v>
      </c>
      <c r="C135" t="s">
        <v>409</v>
      </c>
      <c r="D135" t="s">
        <v>99</v>
      </c>
      <c r="E135" s="15">
        <v>43182</v>
      </c>
      <c r="F135">
        <v>30</v>
      </c>
      <c r="G135">
        <v>0.98902104300091398</v>
      </c>
      <c r="H135">
        <v>8.5199999999999998E-2</v>
      </c>
      <c r="J135">
        <v>3</v>
      </c>
      <c r="K135">
        <v>9.3332999999999995</v>
      </c>
      <c r="L135">
        <v>81</v>
      </c>
      <c r="M135">
        <v>1.1158999999999999</v>
      </c>
      <c r="N135">
        <f>AVERAGEIF(MonthlyMetric!A:A,AnnualReview!B135,MonthlyMetric!F:F)</f>
        <v>0.78610833333333341</v>
      </c>
    </row>
    <row r="136" spans="1:14" x14ac:dyDescent="0.2">
      <c r="A136">
        <v>3215</v>
      </c>
      <c r="B136" t="s">
        <v>138</v>
      </c>
      <c r="C136" t="s">
        <v>405</v>
      </c>
      <c r="D136" t="s">
        <v>339</v>
      </c>
      <c r="E136" s="15">
        <v>45201</v>
      </c>
      <c r="F136">
        <v>30</v>
      </c>
      <c r="G136">
        <v>0.99586587046394104</v>
      </c>
      <c r="H136">
        <v>7.8899999999999998E-2</v>
      </c>
      <c r="J136">
        <v>13</v>
      </c>
      <c r="K136">
        <v>9.5383999999999993</v>
      </c>
      <c r="L136">
        <v>25</v>
      </c>
      <c r="M136">
        <v>1.0859000000000001</v>
      </c>
      <c r="N136">
        <f>AVERAGEIF(MonthlyMetric!A:A,AnnualReview!B136,MonthlyMetric!F:F)</f>
        <v>0.95284999999999986</v>
      </c>
    </row>
    <row r="137" spans="1:14" x14ac:dyDescent="0.2">
      <c r="A137">
        <v>2720</v>
      </c>
      <c r="B137" t="s">
        <v>139</v>
      </c>
      <c r="C137" t="s">
        <v>410</v>
      </c>
      <c r="D137" t="s">
        <v>340</v>
      </c>
      <c r="E137" s="15">
        <v>44183</v>
      </c>
      <c r="F137">
        <v>30</v>
      </c>
      <c r="G137">
        <v>0.99894291754756803</v>
      </c>
      <c r="H137">
        <v>6.93E-2</v>
      </c>
      <c r="J137">
        <v>11</v>
      </c>
      <c r="K137">
        <v>9.5454000000000008</v>
      </c>
      <c r="L137">
        <v>43</v>
      </c>
      <c r="M137">
        <v>0.95329999999999904</v>
      </c>
      <c r="N137">
        <f>AVERAGEIF(MonthlyMetric!A:A,AnnualReview!B137,MonthlyMetric!F:F)</f>
        <v>0.65250000000000008</v>
      </c>
    </row>
    <row r="138" spans="1:14" x14ac:dyDescent="0.2">
      <c r="A138">
        <v>2988</v>
      </c>
      <c r="B138" t="s">
        <v>140</v>
      </c>
      <c r="C138" t="s">
        <v>405</v>
      </c>
      <c r="D138" t="s">
        <v>333</v>
      </c>
      <c r="E138" s="15">
        <v>44642</v>
      </c>
      <c r="F138">
        <v>20</v>
      </c>
      <c r="G138">
        <v>0.95565927654609095</v>
      </c>
      <c r="H138">
        <v>0.10249999999999999</v>
      </c>
      <c r="J138">
        <v>8</v>
      </c>
      <c r="K138">
        <v>10</v>
      </c>
      <c r="L138">
        <v>30</v>
      </c>
      <c r="M138">
        <v>0.9677</v>
      </c>
      <c r="N138">
        <f>AVERAGEIF(MonthlyMetric!A:A,AnnualReview!B138,MonthlyMetric!F:F)</f>
        <v>0.78198333333333336</v>
      </c>
    </row>
    <row r="139" spans="1:14" x14ac:dyDescent="0.2">
      <c r="A139">
        <v>3379</v>
      </c>
      <c r="B139" t="s">
        <v>141</v>
      </c>
      <c r="C139" t="s">
        <v>410</v>
      </c>
      <c r="D139" t="s">
        <v>333</v>
      </c>
      <c r="E139" s="15">
        <v>45271</v>
      </c>
      <c r="F139">
        <v>12</v>
      </c>
      <c r="G139">
        <v>0.97583081570996899</v>
      </c>
      <c r="H139">
        <v>0.26490000000000002</v>
      </c>
      <c r="J139">
        <v>4</v>
      </c>
      <c r="K139">
        <v>10</v>
      </c>
      <c r="L139">
        <v>29</v>
      </c>
      <c r="M139">
        <v>0.8669</v>
      </c>
      <c r="N139">
        <f>AVERAGEIF(MonthlyMetric!A:A,AnnualReview!B139,MonthlyMetric!F:F)</f>
        <v>0.51541666666666675</v>
      </c>
    </row>
    <row r="140" spans="1:14" x14ac:dyDescent="0.2">
      <c r="A140">
        <v>2523</v>
      </c>
      <c r="B140" t="s">
        <v>142</v>
      </c>
      <c r="C140" t="s">
        <v>405</v>
      </c>
      <c r="D140" t="s">
        <v>340</v>
      </c>
      <c r="E140" s="15">
        <v>43903</v>
      </c>
      <c r="F140">
        <v>30</v>
      </c>
      <c r="G140">
        <v>0.97978521794061901</v>
      </c>
      <c r="H140">
        <v>0.2913</v>
      </c>
      <c r="J140">
        <v>14</v>
      </c>
      <c r="K140">
        <v>9.5</v>
      </c>
      <c r="L140">
        <v>139</v>
      </c>
      <c r="M140">
        <v>1.0760999999999901</v>
      </c>
      <c r="N140">
        <f>AVERAGEIF(MonthlyMetric!A:A,AnnualReview!B140,MonthlyMetric!F:F)</f>
        <v>0.8934916666666668</v>
      </c>
    </row>
    <row r="141" spans="1:14" x14ac:dyDescent="0.2">
      <c r="A141">
        <v>3097</v>
      </c>
      <c r="B141" t="s">
        <v>143</v>
      </c>
      <c r="C141" t="s">
        <v>410</v>
      </c>
      <c r="D141" t="s">
        <v>333</v>
      </c>
      <c r="E141" s="15">
        <v>45155</v>
      </c>
      <c r="F141">
        <v>12</v>
      </c>
      <c r="G141">
        <v>0.97837837837837804</v>
      </c>
      <c r="H141">
        <v>0.2621</v>
      </c>
      <c r="J141">
        <v>3</v>
      </c>
      <c r="K141">
        <v>6.6665999999999999</v>
      </c>
      <c r="L141">
        <v>50</v>
      </c>
      <c r="M141">
        <v>1.3196999999999901</v>
      </c>
      <c r="N141">
        <f>AVERAGEIF(MonthlyMetric!A:A,AnnualReview!B141,MonthlyMetric!F:F)</f>
        <v>0.69604166666666656</v>
      </c>
    </row>
    <row r="142" spans="1:14" x14ac:dyDescent="0.2">
      <c r="A142">
        <v>3546</v>
      </c>
      <c r="B142" t="s">
        <v>144</v>
      </c>
      <c r="C142" t="s">
        <v>410</v>
      </c>
      <c r="D142" t="s">
        <v>333</v>
      </c>
      <c r="E142" s="15">
        <v>45523</v>
      </c>
      <c r="F142">
        <v>30</v>
      </c>
      <c r="G142">
        <v>0.99051724137930997</v>
      </c>
      <c r="H142">
        <v>0.26229999999999998</v>
      </c>
      <c r="J142">
        <v>16</v>
      </c>
      <c r="K142">
        <v>9.5625</v>
      </c>
      <c r="L142">
        <v>44</v>
      </c>
      <c r="M142">
        <v>0.98819999999999997</v>
      </c>
      <c r="N142">
        <f>AVERAGEIF(MonthlyMetric!A:A,AnnualReview!B142,MonthlyMetric!F:F)</f>
        <v>0.76860833333333334</v>
      </c>
    </row>
    <row r="143" spans="1:14" x14ac:dyDescent="0.2">
      <c r="A143">
        <v>2376</v>
      </c>
      <c r="B143" t="s">
        <v>145</v>
      </c>
      <c r="C143" t="s">
        <v>409</v>
      </c>
      <c r="D143" t="s">
        <v>99</v>
      </c>
      <c r="E143" s="15">
        <v>43707</v>
      </c>
      <c r="F143">
        <v>20</v>
      </c>
      <c r="G143">
        <v>0.99593908629441597</v>
      </c>
      <c r="H143">
        <v>0.19620000000000001</v>
      </c>
      <c r="J143">
        <v>4</v>
      </c>
      <c r="K143">
        <v>10</v>
      </c>
      <c r="L143">
        <v>65</v>
      </c>
      <c r="M143">
        <v>1.1151</v>
      </c>
      <c r="N143">
        <f>AVERAGEIF(MonthlyMetric!A:A,AnnualReview!B143,MonthlyMetric!F:F)</f>
        <v>0.81195833333333345</v>
      </c>
    </row>
    <row r="144" spans="1:14" x14ac:dyDescent="0.2">
      <c r="A144">
        <v>1168</v>
      </c>
      <c r="B144" t="s">
        <v>146</v>
      </c>
      <c r="C144" t="s">
        <v>410</v>
      </c>
      <c r="D144" t="s">
        <v>340</v>
      </c>
      <c r="E144" s="15">
        <v>42576</v>
      </c>
      <c r="F144">
        <v>20</v>
      </c>
      <c r="G144">
        <v>0.993670886075949</v>
      </c>
      <c r="H144">
        <v>6.6000000000000003E-2</v>
      </c>
      <c r="J144">
        <v>6</v>
      </c>
      <c r="K144">
        <v>8.1666000000000007</v>
      </c>
      <c r="L144">
        <v>61</v>
      </c>
      <c r="M144">
        <v>1.2877000000000001</v>
      </c>
      <c r="N144">
        <f>AVERAGEIF(MonthlyMetric!A:A,AnnualReview!B144,MonthlyMetric!F:F)</f>
        <v>0.71448333333333336</v>
      </c>
    </row>
    <row r="145" spans="1:14" x14ac:dyDescent="0.2">
      <c r="A145">
        <v>2758</v>
      </c>
      <c r="B145" t="s">
        <v>147</v>
      </c>
      <c r="C145" t="s">
        <v>409</v>
      </c>
      <c r="D145" t="s">
        <v>339</v>
      </c>
      <c r="E145" s="15">
        <v>44218</v>
      </c>
      <c r="F145">
        <v>20</v>
      </c>
      <c r="G145">
        <v>0.99101796407185605</v>
      </c>
      <c r="H145">
        <v>0.22739999999999999</v>
      </c>
      <c r="J145">
        <v>1</v>
      </c>
      <c r="K145">
        <v>10</v>
      </c>
      <c r="L145">
        <v>83</v>
      </c>
      <c r="M145">
        <v>1.1232</v>
      </c>
      <c r="N145">
        <f>AVERAGEIF(MonthlyMetric!A:A,AnnualReview!B145,MonthlyMetric!F:F)</f>
        <v>0.66552500000000003</v>
      </c>
    </row>
    <row r="146" spans="1:14" x14ac:dyDescent="0.2">
      <c r="A146">
        <v>3180</v>
      </c>
      <c r="B146" t="s">
        <v>148</v>
      </c>
      <c r="C146" t="s">
        <v>405</v>
      </c>
      <c r="D146" t="s">
        <v>339</v>
      </c>
      <c r="E146" s="15">
        <v>45195</v>
      </c>
      <c r="F146">
        <v>12</v>
      </c>
      <c r="G146">
        <v>0.98269581056466304</v>
      </c>
      <c r="H146">
        <v>0.1085</v>
      </c>
      <c r="J146">
        <v>11</v>
      </c>
      <c r="K146">
        <v>10</v>
      </c>
      <c r="L146">
        <v>2</v>
      </c>
      <c r="M146">
        <v>1.1724999999999901</v>
      </c>
      <c r="N146">
        <f>AVERAGEIF(MonthlyMetric!A:A,AnnualReview!B146,MonthlyMetric!F:F)</f>
        <v>1.1817916666666668</v>
      </c>
    </row>
    <row r="147" spans="1:14" x14ac:dyDescent="0.2">
      <c r="A147">
        <v>2229</v>
      </c>
      <c r="B147" t="s">
        <v>149</v>
      </c>
      <c r="C147" t="s">
        <v>410</v>
      </c>
      <c r="D147" t="s">
        <v>340</v>
      </c>
      <c r="E147" s="15">
        <v>43455</v>
      </c>
      <c r="F147">
        <v>30</v>
      </c>
      <c r="G147">
        <v>0.91758708581138404</v>
      </c>
      <c r="H147">
        <v>0.10539999999999999</v>
      </c>
      <c r="J147">
        <v>9</v>
      </c>
      <c r="K147">
        <v>10</v>
      </c>
      <c r="L147">
        <v>59</v>
      </c>
      <c r="M147">
        <v>1.2604</v>
      </c>
      <c r="N147">
        <f>AVERAGEIF(MonthlyMetric!A:A,AnnualReview!B147,MonthlyMetric!F:F)</f>
        <v>0.80909999999999993</v>
      </c>
    </row>
    <row r="148" spans="1:14" x14ac:dyDescent="0.2">
      <c r="A148">
        <v>3251</v>
      </c>
      <c r="B148" t="s">
        <v>150</v>
      </c>
      <c r="C148" t="s">
        <v>405</v>
      </c>
      <c r="D148" t="s">
        <v>339</v>
      </c>
      <c r="E148" s="15">
        <v>45209</v>
      </c>
      <c r="F148">
        <v>12</v>
      </c>
      <c r="G148">
        <v>0.96392496392496296</v>
      </c>
      <c r="H148">
        <v>0.16309999999999999</v>
      </c>
      <c r="J148">
        <v>4</v>
      </c>
      <c r="K148">
        <v>9.75</v>
      </c>
      <c r="L148">
        <v>57</v>
      </c>
      <c r="M148">
        <v>1.0173999999999901</v>
      </c>
      <c r="N148">
        <f>AVERAGEIF(MonthlyMetric!A:A,AnnualReview!B148,MonthlyMetric!F:F)</f>
        <v>0.9323999999999999</v>
      </c>
    </row>
    <row r="149" spans="1:14" x14ac:dyDescent="0.2">
      <c r="A149">
        <v>3678</v>
      </c>
      <c r="B149" t="s">
        <v>295</v>
      </c>
      <c r="C149" t="s">
        <v>405</v>
      </c>
      <c r="D149" t="s">
        <v>333</v>
      </c>
      <c r="E149" s="15">
        <v>45908</v>
      </c>
      <c r="F149">
        <v>30</v>
      </c>
      <c r="G149">
        <v>0.98181818181818103</v>
      </c>
      <c r="H149">
        <v>0.33339999999999997</v>
      </c>
      <c r="L149">
        <v>8</v>
      </c>
      <c r="M149">
        <v>0.85599999999999898</v>
      </c>
      <c r="N149">
        <f>AVERAGEIF(MonthlyMetric!A:A,AnnualReview!B149,MonthlyMetric!F:F)</f>
        <v>0.6836000000000001</v>
      </c>
    </row>
    <row r="150" spans="1:14" x14ac:dyDescent="0.2">
      <c r="A150">
        <v>3602</v>
      </c>
      <c r="B150" t="s">
        <v>297</v>
      </c>
      <c r="C150" t="s">
        <v>405</v>
      </c>
      <c r="D150" t="s">
        <v>80</v>
      </c>
      <c r="E150" s="15">
        <v>45744</v>
      </c>
      <c r="F150">
        <v>30</v>
      </c>
      <c r="G150">
        <v>0.95272727272727198</v>
      </c>
      <c r="H150">
        <v>0.10780000000000001</v>
      </c>
      <c r="J150">
        <v>2</v>
      </c>
      <c r="K150">
        <v>9</v>
      </c>
      <c r="L150">
        <v>8</v>
      </c>
      <c r="M150">
        <v>0.98419999999999996</v>
      </c>
      <c r="N150">
        <f>AVERAGEIF(MonthlyMetric!A:A,AnnualReview!B150,MonthlyMetric!F:F)</f>
        <v>0.59052499999999997</v>
      </c>
    </row>
    <row r="151" spans="1:14" x14ac:dyDescent="0.2">
      <c r="A151">
        <v>2562</v>
      </c>
      <c r="B151" t="s">
        <v>152</v>
      </c>
      <c r="C151" t="s">
        <v>409</v>
      </c>
      <c r="D151" t="s">
        <v>340</v>
      </c>
      <c r="E151" s="15">
        <v>43917</v>
      </c>
      <c r="F151">
        <v>30</v>
      </c>
      <c r="G151">
        <v>0.99388171312032603</v>
      </c>
      <c r="H151">
        <v>0.14249999999999999</v>
      </c>
      <c r="J151">
        <v>12</v>
      </c>
      <c r="K151">
        <v>8.5</v>
      </c>
      <c r="L151">
        <v>76</v>
      </c>
      <c r="M151">
        <v>1.4320999999999899</v>
      </c>
      <c r="N151">
        <f>AVERAGEIF(MonthlyMetric!A:A,AnnualReview!B151,MonthlyMetric!F:F)</f>
        <v>0.998475</v>
      </c>
    </row>
    <row r="152" spans="1:14" x14ac:dyDescent="0.2">
      <c r="A152">
        <v>2964</v>
      </c>
      <c r="B152" t="s">
        <v>153</v>
      </c>
      <c r="C152" t="s">
        <v>410</v>
      </c>
      <c r="D152" t="s">
        <v>340</v>
      </c>
      <c r="E152" s="15">
        <v>44600</v>
      </c>
      <c r="F152">
        <v>35</v>
      </c>
      <c r="G152">
        <v>0.98761408083441904</v>
      </c>
      <c r="H152">
        <v>0.1772</v>
      </c>
      <c r="J152">
        <v>7</v>
      </c>
      <c r="K152">
        <v>8.7141999999999999</v>
      </c>
      <c r="L152">
        <v>32</v>
      </c>
      <c r="M152">
        <v>1.1755</v>
      </c>
      <c r="N152">
        <f>AVERAGEIF(MonthlyMetric!A:A,AnnualReview!B152,MonthlyMetric!F:F)</f>
        <v>0.78440833333333349</v>
      </c>
    </row>
    <row r="153" spans="1:14" x14ac:dyDescent="0.2">
      <c r="A153">
        <v>3644</v>
      </c>
      <c r="B153" t="s">
        <v>299</v>
      </c>
      <c r="C153" t="s">
        <v>405</v>
      </c>
      <c r="D153" t="s">
        <v>339</v>
      </c>
      <c r="E153" s="15">
        <v>45810</v>
      </c>
      <c r="F153">
        <v>30</v>
      </c>
      <c r="G153">
        <v>0.99782135076252698</v>
      </c>
      <c r="H153">
        <v>0.1976</v>
      </c>
      <c r="J153">
        <v>9</v>
      </c>
      <c r="K153">
        <v>9.7776999999999994</v>
      </c>
      <c r="L153">
        <v>134</v>
      </c>
      <c r="M153">
        <v>1.036</v>
      </c>
      <c r="N153">
        <f>AVERAGEIF(MonthlyMetric!A:A,AnnualReview!B153,MonthlyMetric!F:F)</f>
        <v>0.72999999999999987</v>
      </c>
    </row>
    <row r="154" spans="1:14" x14ac:dyDescent="0.2">
      <c r="A154">
        <v>2624</v>
      </c>
      <c r="B154" t="s">
        <v>155</v>
      </c>
      <c r="C154" t="s">
        <v>410</v>
      </c>
      <c r="D154" t="s">
        <v>342</v>
      </c>
      <c r="E154" s="15">
        <v>44013</v>
      </c>
      <c r="F154">
        <v>30</v>
      </c>
      <c r="G154">
        <v>0.99592169657422502</v>
      </c>
      <c r="H154">
        <v>0.1736</v>
      </c>
      <c r="J154">
        <v>15</v>
      </c>
      <c r="K154">
        <v>10</v>
      </c>
      <c r="L154">
        <v>110</v>
      </c>
      <c r="M154">
        <v>1.0558000000000001</v>
      </c>
      <c r="N154">
        <f>AVERAGEIF(MonthlyMetric!A:A,AnnualReview!B154,MonthlyMetric!F:F)</f>
        <v>0.85464999999999991</v>
      </c>
    </row>
    <row r="155" spans="1:14" x14ac:dyDescent="0.2">
      <c r="A155">
        <v>3691</v>
      </c>
      <c r="B155" t="s">
        <v>300</v>
      </c>
      <c r="C155" t="s">
        <v>405</v>
      </c>
      <c r="D155" t="s">
        <v>430</v>
      </c>
      <c r="E155" s="15">
        <v>45959</v>
      </c>
      <c r="F155">
        <v>30</v>
      </c>
      <c r="L155">
        <v>8</v>
      </c>
      <c r="M155">
        <v>0.3125</v>
      </c>
      <c r="N155">
        <f>AVERAGEIF(MonthlyMetric!A:A,AnnualReview!B155,MonthlyMetric!F:F)</f>
        <v>0.2</v>
      </c>
    </row>
    <row r="156" spans="1:14" x14ac:dyDescent="0.2">
      <c r="A156">
        <v>3589</v>
      </c>
      <c r="B156" t="s">
        <v>301</v>
      </c>
      <c r="C156" t="s">
        <v>405</v>
      </c>
      <c r="D156" t="s">
        <v>342</v>
      </c>
      <c r="E156" s="15">
        <v>45712</v>
      </c>
      <c r="F156">
        <v>35</v>
      </c>
      <c r="G156">
        <v>0.99699699699699595</v>
      </c>
      <c r="H156">
        <v>0.32119999999999999</v>
      </c>
      <c r="J156">
        <v>7</v>
      </c>
      <c r="K156">
        <v>10</v>
      </c>
      <c r="L156">
        <v>20</v>
      </c>
      <c r="M156">
        <v>1.28189999999999</v>
      </c>
      <c r="N156">
        <f>AVERAGEIF(MonthlyMetric!A:A,AnnualReview!B156,MonthlyMetric!F:F)</f>
        <v>0.92200000000000004</v>
      </c>
    </row>
    <row r="157" spans="1:14" x14ac:dyDescent="0.2">
      <c r="A157">
        <v>3624</v>
      </c>
      <c r="B157" t="s">
        <v>302</v>
      </c>
      <c r="C157" t="s">
        <v>405</v>
      </c>
      <c r="D157" t="s">
        <v>339</v>
      </c>
      <c r="E157" s="15">
        <v>45775</v>
      </c>
      <c r="F157">
        <v>30</v>
      </c>
      <c r="G157">
        <v>0.97360406091370499</v>
      </c>
      <c r="H157">
        <v>0.1754</v>
      </c>
      <c r="J157">
        <v>6</v>
      </c>
      <c r="K157">
        <v>9.1666000000000007</v>
      </c>
      <c r="L157">
        <v>39</v>
      </c>
      <c r="M157">
        <v>1.1235999999999999</v>
      </c>
      <c r="N157">
        <f>AVERAGEIF(MonthlyMetric!A:A,AnnualReview!B157,MonthlyMetric!F:F)</f>
        <v>0.91896250000000013</v>
      </c>
    </row>
    <row r="158" spans="1:14" x14ac:dyDescent="0.2">
      <c r="A158">
        <v>2990</v>
      </c>
      <c r="B158" t="s">
        <v>157</v>
      </c>
      <c r="C158" t="s">
        <v>405</v>
      </c>
      <c r="D158" t="s">
        <v>342</v>
      </c>
      <c r="E158" s="15">
        <v>44642</v>
      </c>
      <c r="F158">
        <v>20</v>
      </c>
      <c r="G158">
        <v>0.96326530612244798</v>
      </c>
      <c r="H158">
        <v>0.19439999999999999</v>
      </c>
      <c r="J158">
        <v>5</v>
      </c>
      <c r="K158">
        <v>9.8000000000000007</v>
      </c>
      <c r="L158">
        <v>49</v>
      </c>
      <c r="M158">
        <v>1.1096999999999999</v>
      </c>
      <c r="N158">
        <f>AVERAGEIF(MonthlyMetric!A:A,AnnualReview!B158,MonthlyMetric!F:F)</f>
        <v>0.92615000000000014</v>
      </c>
    </row>
    <row r="159" spans="1:14" x14ac:dyDescent="0.2">
      <c r="A159">
        <v>3323</v>
      </c>
      <c r="B159" t="s">
        <v>158</v>
      </c>
      <c r="C159" t="s">
        <v>405</v>
      </c>
      <c r="D159" t="s">
        <v>333</v>
      </c>
      <c r="E159" s="15">
        <v>45201</v>
      </c>
      <c r="F159">
        <v>20</v>
      </c>
      <c r="G159">
        <v>0.98846787479406895</v>
      </c>
      <c r="H159">
        <v>9.0899999999999995E-2</v>
      </c>
      <c r="J159">
        <v>6</v>
      </c>
      <c r="K159">
        <v>9.6666000000000007</v>
      </c>
      <c r="L159">
        <v>54</v>
      </c>
      <c r="M159">
        <v>0.88979999999999904</v>
      </c>
      <c r="N159">
        <f>AVERAGEIF(MonthlyMetric!A:A,AnnualReview!B159,MonthlyMetric!F:F)</f>
        <v>0.60844166666666666</v>
      </c>
    </row>
    <row r="160" spans="1:14" x14ac:dyDescent="0.2">
      <c r="A160">
        <v>2727</v>
      </c>
      <c r="B160" t="s">
        <v>160</v>
      </c>
      <c r="C160" t="s">
        <v>410</v>
      </c>
      <c r="D160" t="s">
        <v>339</v>
      </c>
      <c r="E160" s="15">
        <v>44203</v>
      </c>
      <c r="F160">
        <v>20</v>
      </c>
      <c r="G160">
        <v>0.96618985695708703</v>
      </c>
      <c r="H160">
        <v>9.01E-2</v>
      </c>
      <c r="J160">
        <v>4</v>
      </c>
      <c r="K160">
        <v>9.75</v>
      </c>
      <c r="L160">
        <v>108</v>
      </c>
      <c r="M160">
        <v>1.2330000000000001</v>
      </c>
      <c r="N160">
        <f>AVERAGEIF(MonthlyMetric!A:A,AnnualReview!B160,MonthlyMetric!F:F)</f>
        <v>0.74453333333333338</v>
      </c>
    </row>
    <row r="161" spans="1:14" x14ac:dyDescent="0.2">
      <c r="A161">
        <v>1269</v>
      </c>
      <c r="B161" t="s">
        <v>161</v>
      </c>
      <c r="C161" t="s">
        <v>410</v>
      </c>
      <c r="D161" t="s">
        <v>340</v>
      </c>
      <c r="E161" s="15">
        <v>42825</v>
      </c>
      <c r="F161">
        <v>30</v>
      </c>
      <c r="G161">
        <v>0.99321047526673101</v>
      </c>
      <c r="H161">
        <v>0.159</v>
      </c>
      <c r="J161">
        <v>6</v>
      </c>
      <c r="K161">
        <v>9.8332999999999995</v>
      </c>
      <c r="L161">
        <v>63</v>
      </c>
      <c r="M161">
        <v>1.2585</v>
      </c>
      <c r="N161">
        <f>AVERAGEIF(MonthlyMetric!A:A,AnnualReview!B161,MonthlyMetric!F:F)</f>
        <v>0.75201666666666667</v>
      </c>
    </row>
    <row r="162" spans="1:14" x14ac:dyDescent="0.2">
      <c r="A162">
        <v>3688</v>
      </c>
      <c r="B162" t="s">
        <v>303</v>
      </c>
      <c r="C162" t="s">
        <v>405</v>
      </c>
      <c r="D162" t="s">
        <v>430</v>
      </c>
      <c r="E162" s="15">
        <v>45950</v>
      </c>
      <c r="F162">
        <v>30</v>
      </c>
      <c r="G162">
        <v>1</v>
      </c>
      <c r="H162">
        <v>0.3095</v>
      </c>
      <c r="L162">
        <v>87</v>
      </c>
      <c r="M162">
        <v>0.60529999999999995</v>
      </c>
      <c r="N162">
        <f>AVERAGEIF(MonthlyMetric!A:A,AnnualReview!B162,MonthlyMetric!F:F)</f>
        <v>0.38500000000000001</v>
      </c>
    </row>
    <row r="163" spans="1:14" x14ac:dyDescent="0.2">
      <c r="A163">
        <v>86</v>
      </c>
      <c r="B163" t="s">
        <v>163</v>
      </c>
      <c r="C163" t="s">
        <v>409</v>
      </c>
      <c r="D163" t="s">
        <v>99</v>
      </c>
      <c r="E163" s="15">
        <v>39826</v>
      </c>
      <c r="F163">
        <v>30</v>
      </c>
      <c r="G163">
        <v>0.64651162790697603</v>
      </c>
      <c r="H163">
        <v>9.8100000000000007E-2</v>
      </c>
      <c r="J163">
        <v>14</v>
      </c>
      <c r="K163">
        <v>9.5</v>
      </c>
      <c r="L163">
        <v>85</v>
      </c>
      <c r="M163">
        <v>1.2949999999999999</v>
      </c>
      <c r="N163">
        <f>AVERAGEIF(MonthlyMetric!A:A,AnnualReview!B163,MonthlyMetric!F:F)</f>
        <v>0.97854166666666664</v>
      </c>
    </row>
    <row r="164" spans="1:14" x14ac:dyDescent="0.2">
      <c r="A164">
        <v>3508</v>
      </c>
      <c r="B164" t="s">
        <v>164</v>
      </c>
      <c r="C164" t="s">
        <v>405</v>
      </c>
      <c r="D164" t="s">
        <v>333</v>
      </c>
      <c r="E164" s="15">
        <v>45315</v>
      </c>
      <c r="F164">
        <v>30</v>
      </c>
      <c r="G164">
        <v>0.92924187725631702</v>
      </c>
      <c r="H164">
        <v>0.28060000000000002</v>
      </c>
      <c r="J164">
        <v>6</v>
      </c>
      <c r="K164">
        <v>7.6665999999999999</v>
      </c>
      <c r="L164">
        <v>34</v>
      </c>
      <c r="M164">
        <v>1.0444</v>
      </c>
      <c r="N164">
        <f>AVERAGEIF(MonthlyMetric!A:A,AnnualReview!B164,MonthlyMetric!F:F)</f>
        <v>1.0324999999999998</v>
      </c>
    </row>
    <row r="165" spans="1:14" x14ac:dyDescent="0.2">
      <c r="A165">
        <v>3223</v>
      </c>
      <c r="B165" t="s">
        <v>165</v>
      </c>
      <c r="C165" t="s">
        <v>405</v>
      </c>
      <c r="D165" t="s">
        <v>339</v>
      </c>
      <c r="E165" s="15">
        <v>45201</v>
      </c>
      <c r="F165">
        <v>20</v>
      </c>
      <c r="G165">
        <v>0.97851442602823802</v>
      </c>
      <c r="H165">
        <v>0.1346</v>
      </c>
      <c r="J165">
        <v>17</v>
      </c>
      <c r="K165">
        <v>10</v>
      </c>
      <c r="L165">
        <v>0</v>
      </c>
      <c r="M165">
        <v>1.1444000000000001</v>
      </c>
      <c r="N165">
        <f>AVERAGEIF(MonthlyMetric!A:A,AnnualReview!B165,MonthlyMetric!F:F)</f>
        <v>0.98573333333333257</v>
      </c>
    </row>
    <row r="166" spans="1:14" x14ac:dyDescent="0.2">
      <c r="A166">
        <v>3185</v>
      </c>
      <c r="B166" t="s">
        <v>166</v>
      </c>
      <c r="C166" t="s">
        <v>410</v>
      </c>
      <c r="D166" t="s">
        <v>333</v>
      </c>
      <c r="E166" s="15">
        <v>45196</v>
      </c>
      <c r="F166">
        <v>12</v>
      </c>
      <c r="G166">
        <v>0.99120603015075304</v>
      </c>
      <c r="H166">
        <v>9.69E-2</v>
      </c>
      <c r="J166">
        <v>4</v>
      </c>
      <c r="K166">
        <v>10</v>
      </c>
      <c r="L166">
        <v>34</v>
      </c>
      <c r="M166">
        <v>1.5357999999999901</v>
      </c>
      <c r="N166">
        <f>AVERAGEIF(MonthlyMetric!A:A,AnnualReview!B166,MonthlyMetric!F:F)</f>
        <v>1.2002583333333334</v>
      </c>
    </row>
    <row r="167" spans="1:14" x14ac:dyDescent="0.2">
      <c r="A167">
        <v>2279</v>
      </c>
      <c r="B167" t="s">
        <v>167</v>
      </c>
      <c r="C167" t="s">
        <v>405</v>
      </c>
      <c r="D167" t="s">
        <v>339</v>
      </c>
      <c r="E167" s="15">
        <v>43507</v>
      </c>
      <c r="F167">
        <v>20</v>
      </c>
      <c r="G167">
        <v>0.93442622950819598</v>
      </c>
      <c r="H167">
        <v>6.5000000000000002E-2</v>
      </c>
      <c r="J167">
        <v>3</v>
      </c>
      <c r="K167">
        <v>9.6666000000000007</v>
      </c>
      <c r="L167">
        <v>23</v>
      </c>
      <c r="M167">
        <v>1.0169999999999999</v>
      </c>
      <c r="N167">
        <f>AVERAGEIF(MonthlyMetric!A:A,AnnualReview!B167,MonthlyMetric!F:F)</f>
        <v>0.70062500000000005</v>
      </c>
    </row>
    <row r="168" spans="1:14" x14ac:dyDescent="0.2">
      <c r="A168">
        <v>3199</v>
      </c>
      <c r="B168" t="s">
        <v>168</v>
      </c>
      <c r="C168" t="s">
        <v>405</v>
      </c>
      <c r="D168" t="s">
        <v>342</v>
      </c>
      <c r="E168" s="15">
        <v>45197</v>
      </c>
      <c r="F168">
        <v>20</v>
      </c>
      <c r="G168">
        <v>0.998837209302325</v>
      </c>
      <c r="H168">
        <v>9.8199999999999996E-2</v>
      </c>
      <c r="J168">
        <v>2</v>
      </c>
      <c r="K168">
        <v>10</v>
      </c>
      <c r="L168">
        <v>16</v>
      </c>
      <c r="M168">
        <v>0.98770000000000002</v>
      </c>
      <c r="N168">
        <f>AVERAGEIF(MonthlyMetric!A:A,AnnualReview!B168,MonthlyMetric!F:F)</f>
        <v>0.71937499999999999</v>
      </c>
    </row>
    <row r="169" spans="1:14" x14ac:dyDescent="0.2">
      <c r="A169">
        <v>3637</v>
      </c>
      <c r="B169" t="s">
        <v>304</v>
      </c>
      <c r="C169" t="s">
        <v>405</v>
      </c>
      <c r="D169" t="s">
        <v>342</v>
      </c>
      <c r="E169" s="15">
        <v>45789</v>
      </c>
      <c r="F169">
        <v>30</v>
      </c>
      <c r="G169">
        <v>0.89347826086956506</v>
      </c>
      <c r="H169">
        <v>0.30580000000000002</v>
      </c>
      <c r="J169">
        <v>4</v>
      </c>
      <c r="K169">
        <v>7.75</v>
      </c>
      <c r="L169">
        <v>37</v>
      </c>
      <c r="M169">
        <v>1.1088</v>
      </c>
      <c r="N169">
        <f>AVERAGEIF(MonthlyMetric!A:A,AnnualReview!B169,MonthlyMetric!F:F)</f>
        <v>0.65868571428571432</v>
      </c>
    </row>
    <row r="170" spans="1:14" x14ac:dyDescent="0.2">
      <c r="A170">
        <v>3220</v>
      </c>
      <c r="B170" t="s">
        <v>170</v>
      </c>
      <c r="C170" t="s">
        <v>405</v>
      </c>
      <c r="D170" t="s">
        <v>339</v>
      </c>
      <c r="E170" s="15">
        <v>45201</v>
      </c>
      <c r="F170">
        <v>30</v>
      </c>
      <c r="G170">
        <v>0.94313453536754499</v>
      </c>
      <c r="H170">
        <v>0.21129999999999999</v>
      </c>
      <c r="J170">
        <v>12</v>
      </c>
      <c r="K170">
        <v>9</v>
      </c>
      <c r="L170">
        <v>39</v>
      </c>
      <c r="M170">
        <v>1.0196000000000001</v>
      </c>
      <c r="N170">
        <f>AVERAGEIF(MonthlyMetric!A:A,AnnualReview!B170,MonthlyMetric!F:F)</f>
        <v>1.2639583333333337</v>
      </c>
    </row>
    <row r="171" spans="1:14" x14ac:dyDescent="0.2">
      <c r="A171">
        <v>3610</v>
      </c>
      <c r="B171" t="s">
        <v>305</v>
      </c>
      <c r="C171" t="s">
        <v>405</v>
      </c>
      <c r="D171" t="s">
        <v>340</v>
      </c>
      <c r="E171" s="15">
        <v>45754</v>
      </c>
      <c r="F171">
        <v>35</v>
      </c>
      <c r="G171">
        <v>0.99414348462664703</v>
      </c>
      <c r="H171">
        <v>0.1046</v>
      </c>
      <c r="J171">
        <v>2</v>
      </c>
      <c r="K171">
        <v>10</v>
      </c>
      <c r="L171">
        <v>91</v>
      </c>
      <c r="M171">
        <v>1.0025999999999999</v>
      </c>
      <c r="N171">
        <f>AVERAGEIF(MonthlyMetric!A:A,AnnualReview!B171,MonthlyMetric!F:F)</f>
        <v>0.59095555555555546</v>
      </c>
    </row>
    <row r="172" spans="1:14" x14ac:dyDescent="0.2">
      <c r="A172">
        <v>3206</v>
      </c>
      <c r="B172" t="s">
        <v>171</v>
      </c>
      <c r="C172" t="s">
        <v>405</v>
      </c>
      <c r="D172" t="s">
        <v>333</v>
      </c>
      <c r="E172" s="15">
        <v>45198</v>
      </c>
      <c r="F172">
        <v>12</v>
      </c>
      <c r="G172">
        <v>0.90019569471624195</v>
      </c>
      <c r="H172">
        <v>0.37290000000000001</v>
      </c>
      <c r="J172">
        <v>3</v>
      </c>
      <c r="K172">
        <v>10</v>
      </c>
      <c r="L172">
        <v>5</v>
      </c>
      <c r="M172">
        <v>1.1653</v>
      </c>
      <c r="N172">
        <f>AVERAGEIF(MonthlyMetric!A:A,AnnualReview!B172,MonthlyMetric!F:F)</f>
        <v>0.68600833333333344</v>
      </c>
    </row>
    <row r="173" spans="1:14" x14ac:dyDescent="0.2">
      <c r="A173">
        <v>3639</v>
      </c>
      <c r="B173" t="s">
        <v>308</v>
      </c>
      <c r="C173" t="s">
        <v>405</v>
      </c>
      <c r="D173" t="s">
        <v>333</v>
      </c>
      <c r="E173" s="15">
        <v>45791</v>
      </c>
      <c r="F173">
        <v>30</v>
      </c>
      <c r="G173">
        <v>0.952853598014888</v>
      </c>
      <c r="H173">
        <v>0.46150000000000002</v>
      </c>
      <c r="J173">
        <v>1</v>
      </c>
      <c r="K173">
        <v>9</v>
      </c>
      <c r="L173">
        <v>8</v>
      </c>
      <c r="M173">
        <v>1.0310999999999999</v>
      </c>
      <c r="N173">
        <f>AVERAGEIF(MonthlyMetric!A:A,AnnualReview!B173,MonthlyMetric!F:F)</f>
        <v>0.59881428571428574</v>
      </c>
    </row>
    <row r="174" spans="1:14" x14ac:dyDescent="0.2">
      <c r="A174">
        <v>3647</v>
      </c>
      <c r="B174" t="s">
        <v>310</v>
      </c>
      <c r="C174" t="s">
        <v>405</v>
      </c>
      <c r="D174" t="s">
        <v>339</v>
      </c>
      <c r="E174" s="15">
        <v>45822</v>
      </c>
      <c r="F174">
        <v>30</v>
      </c>
      <c r="G174">
        <v>0.96401028277634904</v>
      </c>
      <c r="H174">
        <v>0.33560000000000001</v>
      </c>
      <c r="J174">
        <v>5</v>
      </c>
      <c r="K174">
        <v>10</v>
      </c>
      <c r="L174">
        <v>49</v>
      </c>
      <c r="M174">
        <v>1.087</v>
      </c>
      <c r="N174">
        <f>AVERAGEIF(MonthlyMetric!A:A,AnnualReview!B174,MonthlyMetric!F:F)</f>
        <v>0.74263333333333337</v>
      </c>
    </row>
    <row r="175" spans="1:14" x14ac:dyDescent="0.2">
      <c r="A175">
        <v>3649</v>
      </c>
      <c r="B175" t="s">
        <v>312</v>
      </c>
      <c r="C175" t="s">
        <v>405</v>
      </c>
      <c r="D175" t="s">
        <v>339</v>
      </c>
      <c r="E175" s="15">
        <v>45841</v>
      </c>
      <c r="F175">
        <v>35</v>
      </c>
      <c r="G175">
        <v>0.99602385685884598</v>
      </c>
      <c r="H175">
        <v>0.14369999999999999</v>
      </c>
      <c r="J175">
        <v>3</v>
      </c>
      <c r="K175">
        <v>9.6666000000000007</v>
      </c>
      <c r="L175">
        <v>109</v>
      </c>
      <c r="M175">
        <v>1.0391999999999999</v>
      </c>
      <c r="N175">
        <f>AVERAGEIF(MonthlyMetric!A:A,AnnualReview!B175,MonthlyMetric!F:F)</f>
        <v>0.99875000000000003</v>
      </c>
    </row>
    <row r="176" spans="1:14" x14ac:dyDescent="0.2">
      <c r="A176">
        <v>3331</v>
      </c>
      <c r="B176" t="s">
        <v>175</v>
      </c>
      <c r="C176" t="s">
        <v>410</v>
      </c>
      <c r="D176" t="s">
        <v>333</v>
      </c>
      <c r="E176" s="15">
        <v>45244</v>
      </c>
      <c r="F176">
        <v>12</v>
      </c>
      <c r="G176">
        <v>0.89215686274509798</v>
      </c>
      <c r="H176">
        <v>0.1903</v>
      </c>
      <c r="J176">
        <v>1</v>
      </c>
      <c r="K176">
        <v>10</v>
      </c>
      <c r="L176">
        <v>47</v>
      </c>
      <c r="M176">
        <v>1.0387999999999999</v>
      </c>
      <c r="N176">
        <f>AVERAGEIF(MonthlyMetric!A:A,AnnualReview!B176,MonthlyMetric!F:F)</f>
        <v>0.69262499999999994</v>
      </c>
    </row>
    <row r="177" spans="1:14" x14ac:dyDescent="0.2">
      <c r="A177">
        <v>3019</v>
      </c>
      <c r="B177" t="s">
        <v>176</v>
      </c>
      <c r="C177" t="s">
        <v>409</v>
      </c>
      <c r="D177" t="s">
        <v>340</v>
      </c>
      <c r="E177" s="15">
        <v>44775</v>
      </c>
      <c r="F177">
        <v>30</v>
      </c>
      <c r="G177">
        <v>0.997790868924889</v>
      </c>
      <c r="H177">
        <v>0.13389999999999999</v>
      </c>
      <c r="J177">
        <v>5</v>
      </c>
      <c r="K177">
        <v>8</v>
      </c>
      <c r="L177">
        <v>118</v>
      </c>
      <c r="M177">
        <v>1.29209999999999</v>
      </c>
      <c r="N177">
        <f>AVERAGEIF(MonthlyMetric!A:A,AnnualReview!B177,MonthlyMetric!F:F)</f>
        <v>0.94354166666666661</v>
      </c>
    </row>
    <row r="178" spans="1:14" x14ac:dyDescent="0.2">
      <c r="A178">
        <v>3664</v>
      </c>
      <c r="B178" t="s">
        <v>313</v>
      </c>
      <c r="C178" t="s">
        <v>405</v>
      </c>
      <c r="D178" t="s">
        <v>342</v>
      </c>
      <c r="E178" s="15">
        <v>45876</v>
      </c>
      <c r="F178">
        <v>35</v>
      </c>
      <c r="G178">
        <v>0.97631578947368403</v>
      </c>
      <c r="H178">
        <v>0.18290000000000001</v>
      </c>
      <c r="L178">
        <v>59</v>
      </c>
      <c r="M178">
        <v>0.89989999999999903</v>
      </c>
      <c r="N178">
        <f>AVERAGEIF(MonthlyMetric!A:A,AnnualReview!B178,MonthlyMetric!F:F)</f>
        <v>0.92453333333333332</v>
      </c>
    </row>
    <row r="179" spans="1:14" x14ac:dyDescent="0.2">
      <c r="A179">
        <v>3585</v>
      </c>
      <c r="B179" t="s">
        <v>314</v>
      </c>
      <c r="C179" t="s">
        <v>405</v>
      </c>
      <c r="D179" t="s">
        <v>340</v>
      </c>
      <c r="E179" s="15">
        <v>45708</v>
      </c>
      <c r="F179">
        <v>30</v>
      </c>
      <c r="G179">
        <v>0.99730458221024199</v>
      </c>
      <c r="H179">
        <v>9.6299999999999997E-2</v>
      </c>
      <c r="J179">
        <v>6</v>
      </c>
      <c r="K179">
        <v>9.8332999999999995</v>
      </c>
      <c r="L179">
        <v>49</v>
      </c>
      <c r="M179">
        <v>0.84659999999999902</v>
      </c>
      <c r="N179">
        <f>AVERAGEIF(MonthlyMetric!A:A,AnnualReview!B179,MonthlyMetric!F:F)</f>
        <v>0.63395999999999997</v>
      </c>
    </row>
    <row r="180" spans="1:14" x14ac:dyDescent="0.2">
      <c r="A180">
        <v>3316</v>
      </c>
      <c r="B180" t="s">
        <v>179</v>
      </c>
      <c r="C180" t="s">
        <v>405</v>
      </c>
      <c r="D180" t="s">
        <v>339</v>
      </c>
      <c r="E180" s="15">
        <v>45229</v>
      </c>
      <c r="F180">
        <v>12</v>
      </c>
      <c r="G180">
        <v>0.98237885462554997</v>
      </c>
      <c r="H180">
        <v>0.14050000000000001</v>
      </c>
      <c r="L180">
        <v>26</v>
      </c>
      <c r="M180">
        <v>1.1664000000000001</v>
      </c>
      <c r="N180">
        <f>AVERAGEIF(MonthlyMetric!A:A,AnnualReview!B180,MonthlyMetric!F:F)</f>
        <v>0.75094166666666584</v>
      </c>
    </row>
    <row r="181" spans="1:14" x14ac:dyDescent="0.2">
      <c r="A181">
        <v>3111</v>
      </c>
      <c r="B181" t="s">
        <v>180</v>
      </c>
      <c r="C181" t="s">
        <v>409</v>
      </c>
      <c r="D181" t="s">
        <v>80</v>
      </c>
      <c r="E181" s="15">
        <v>45176</v>
      </c>
      <c r="F181">
        <v>12</v>
      </c>
      <c r="G181">
        <v>0.99569892473118204</v>
      </c>
      <c r="H181">
        <v>0.12870000000000001</v>
      </c>
      <c r="J181">
        <v>2</v>
      </c>
      <c r="K181">
        <v>9.5</v>
      </c>
      <c r="L181">
        <v>54</v>
      </c>
      <c r="M181">
        <v>1.3567</v>
      </c>
      <c r="N181">
        <f>AVERAGEIF(MonthlyMetric!A:A,AnnualReview!B181,MonthlyMetric!F:F)</f>
        <v>0.7728166666666666</v>
      </c>
    </row>
    <row r="182" spans="1:14" x14ac:dyDescent="0.2">
      <c r="A182">
        <v>3469</v>
      </c>
      <c r="B182" t="s">
        <v>181</v>
      </c>
      <c r="C182" t="s">
        <v>405</v>
      </c>
      <c r="D182" t="s">
        <v>339</v>
      </c>
      <c r="E182" s="15">
        <v>45296</v>
      </c>
      <c r="F182">
        <v>30</v>
      </c>
      <c r="G182">
        <v>0.94533333333333303</v>
      </c>
      <c r="H182">
        <v>9.5600000000000004E-2</v>
      </c>
      <c r="J182">
        <v>13</v>
      </c>
      <c r="K182">
        <v>9.8460999999999999</v>
      </c>
      <c r="L182">
        <v>52</v>
      </c>
      <c r="M182">
        <v>1.0214000000000001</v>
      </c>
      <c r="N182">
        <f>AVERAGEIF(MonthlyMetric!A:A,AnnualReview!B182,MonthlyMetric!F:F)</f>
        <v>0.92104166666666687</v>
      </c>
    </row>
    <row r="183" spans="1:14" x14ac:dyDescent="0.2">
      <c r="A183">
        <v>1911</v>
      </c>
      <c r="B183" t="s">
        <v>182</v>
      </c>
      <c r="C183" t="s">
        <v>409</v>
      </c>
      <c r="D183" t="s">
        <v>333</v>
      </c>
      <c r="E183" s="15">
        <v>43013</v>
      </c>
      <c r="F183">
        <v>30</v>
      </c>
      <c r="G183">
        <v>0.998300764655904</v>
      </c>
      <c r="H183">
        <v>0.36709999999999998</v>
      </c>
      <c r="J183">
        <v>7</v>
      </c>
      <c r="K183">
        <v>10</v>
      </c>
      <c r="L183">
        <v>262</v>
      </c>
      <c r="M183">
        <v>1.1587000000000001</v>
      </c>
      <c r="N183">
        <f>AVERAGEIF(MonthlyMetric!A:A,AnnualReview!B183,MonthlyMetric!F:F)</f>
        <v>1.0676166666666667</v>
      </c>
    </row>
    <row r="184" spans="1:14" x14ac:dyDescent="0.2">
      <c r="A184">
        <v>3594</v>
      </c>
      <c r="B184" t="s">
        <v>315</v>
      </c>
      <c r="C184" t="s">
        <v>405</v>
      </c>
      <c r="D184" t="s">
        <v>339</v>
      </c>
      <c r="E184" s="15">
        <v>45722</v>
      </c>
      <c r="F184">
        <v>30</v>
      </c>
      <c r="G184">
        <v>0.97966101694915197</v>
      </c>
      <c r="H184">
        <v>0.26519999999999999</v>
      </c>
      <c r="J184">
        <v>9</v>
      </c>
      <c r="K184">
        <v>10</v>
      </c>
      <c r="L184">
        <v>51</v>
      </c>
      <c r="M184">
        <v>1.0673999999999999</v>
      </c>
      <c r="N184">
        <f>AVERAGEIF(MonthlyMetric!A:A,AnnualReview!B184,MonthlyMetric!F:F)</f>
        <v>0.80054000000000003</v>
      </c>
    </row>
    <row r="185" spans="1:14" x14ac:dyDescent="0.2">
      <c r="A185">
        <v>3208</v>
      </c>
      <c r="B185" t="s">
        <v>183</v>
      </c>
      <c r="C185" t="s">
        <v>405</v>
      </c>
      <c r="D185" t="s">
        <v>333</v>
      </c>
      <c r="E185" s="15">
        <v>45201</v>
      </c>
      <c r="F185">
        <v>12</v>
      </c>
      <c r="G185">
        <v>0.96414342629481997</v>
      </c>
      <c r="H185">
        <v>0.2427</v>
      </c>
      <c r="J185">
        <v>6</v>
      </c>
      <c r="K185">
        <v>9.6666000000000007</v>
      </c>
      <c r="L185">
        <v>8</v>
      </c>
      <c r="M185">
        <v>1.3698999999999999</v>
      </c>
      <c r="N185">
        <f>AVERAGEIF(MonthlyMetric!A:A,AnnualReview!B185,MonthlyMetric!F:F)</f>
        <v>1.2367333333333332</v>
      </c>
    </row>
    <row r="186" spans="1:14" x14ac:dyDescent="0.2">
      <c r="A186">
        <v>3253</v>
      </c>
      <c r="B186" t="s">
        <v>184</v>
      </c>
      <c r="C186" t="s">
        <v>405</v>
      </c>
      <c r="D186" t="s">
        <v>342</v>
      </c>
      <c r="E186" s="15">
        <v>45209</v>
      </c>
      <c r="F186">
        <v>12</v>
      </c>
      <c r="G186">
        <v>0.94901960784313699</v>
      </c>
      <c r="H186">
        <v>0.2152</v>
      </c>
      <c r="J186">
        <v>5</v>
      </c>
      <c r="K186">
        <v>7.2</v>
      </c>
      <c r="L186">
        <v>38</v>
      </c>
      <c r="M186">
        <v>0.98709999999999998</v>
      </c>
      <c r="N186">
        <f>AVERAGEIF(MonthlyMetric!A:A,AnnualReview!B186,MonthlyMetric!F:F)</f>
        <v>0.65850833333333336</v>
      </c>
    </row>
    <row r="187" spans="1:14" x14ac:dyDescent="0.2">
      <c r="A187">
        <v>2448</v>
      </c>
      <c r="B187" t="s">
        <v>185</v>
      </c>
      <c r="C187" t="s">
        <v>410</v>
      </c>
      <c r="D187" t="s">
        <v>340</v>
      </c>
      <c r="E187" s="15">
        <v>43777</v>
      </c>
      <c r="F187">
        <v>30</v>
      </c>
      <c r="G187">
        <v>0.93834080717488699</v>
      </c>
      <c r="H187">
        <v>0.14510000000000001</v>
      </c>
      <c r="J187">
        <v>6</v>
      </c>
      <c r="K187">
        <v>8.3332999999999995</v>
      </c>
      <c r="L187">
        <v>104</v>
      </c>
      <c r="M187">
        <v>0.95620000000000005</v>
      </c>
      <c r="N187">
        <f>AVERAGEIF(MonthlyMetric!A:A,AnnualReview!B187,MonthlyMetric!F:F)</f>
        <v>0.61319166666666658</v>
      </c>
    </row>
    <row r="188" spans="1:14" x14ac:dyDescent="0.2">
      <c r="A188">
        <v>1137</v>
      </c>
      <c r="B188" t="s">
        <v>186</v>
      </c>
      <c r="C188" t="s">
        <v>409</v>
      </c>
      <c r="D188" t="s">
        <v>339</v>
      </c>
      <c r="E188" s="15">
        <v>42235</v>
      </c>
      <c r="F188">
        <v>20</v>
      </c>
      <c r="G188">
        <v>0.996592844974446</v>
      </c>
      <c r="H188">
        <v>0.2364</v>
      </c>
      <c r="J188">
        <v>6</v>
      </c>
      <c r="K188">
        <v>8.8332999999999995</v>
      </c>
      <c r="L188">
        <v>92</v>
      </c>
      <c r="M188">
        <v>1.3010999999999999</v>
      </c>
      <c r="N188">
        <f>AVERAGEIF(MonthlyMetric!A:A,AnnualReview!B188,MonthlyMetric!F:F)</f>
        <v>0.7244250000000001</v>
      </c>
    </row>
    <row r="189" spans="1:14" x14ac:dyDescent="0.2">
      <c r="A189">
        <v>3697</v>
      </c>
      <c r="B189" t="s">
        <v>616</v>
      </c>
      <c r="C189" t="s">
        <v>405</v>
      </c>
      <c r="D189" t="s">
        <v>429</v>
      </c>
      <c r="E189" s="15">
        <v>45972</v>
      </c>
      <c r="F189">
        <v>35</v>
      </c>
      <c r="L189">
        <v>8</v>
      </c>
      <c r="N189">
        <f>AVERAGEIF(MonthlyMetric!A:A,AnnualReview!B189,MonthlyMetric!F:F)</f>
        <v>7.0000000000000007E-2</v>
      </c>
    </row>
    <row r="190" spans="1:14" x14ac:dyDescent="0.2">
      <c r="A190">
        <v>3626</v>
      </c>
      <c r="B190" t="s">
        <v>316</v>
      </c>
      <c r="C190" t="s">
        <v>405</v>
      </c>
      <c r="D190" t="s">
        <v>333</v>
      </c>
      <c r="E190" s="15">
        <v>45775</v>
      </c>
      <c r="F190">
        <v>30</v>
      </c>
      <c r="G190">
        <v>0.94525547445255398</v>
      </c>
      <c r="H190">
        <v>0.2427</v>
      </c>
      <c r="J190">
        <v>4</v>
      </c>
      <c r="K190">
        <v>9.75</v>
      </c>
      <c r="L190">
        <v>58</v>
      </c>
      <c r="M190">
        <v>1.0309999999999999</v>
      </c>
      <c r="N190">
        <f>AVERAGEIF(MonthlyMetric!A:A,AnnualReview!B190,MonthlyMetric!F:F)</f>
        <v>0.70499999999999996</v>
      </c>
    </row>
    <row r="191" spans="1:14" x14ac:dyDescent="0.2">
      <c r="A191">
        <v>3343</v>
      </c>
      <c r="B191" t="s">
        <v>187</v>
      </c>
      <c r="C191" t="s">
        <v>410</v>
      </c>
      <c r="D191" t="s">
        <v>339</v>
      </c>
      <c r="E191" s="15">
        <v>45264</v>
      </c>
      <c r="F191">
        <v>12</v>
      </c>
      <c r="G191">
        <v>0.965034965034965</v>
      </c>
      <c r="H191">
        <v>0.18740000000000001</v>
      </c>
      <c r="J191">
        <v>5</v>
      </c>
      <c r="K191">
        <v>6.6</v>
      </c>
      <c r="L191">
        <v>30</v>
      </c>
      <c r="M191">
        <v>1.3385</v>
      </c>
      <c r="N191">
        <f>AVERAGEIF(MonthlyMetric!A:A,AnnualReview!B191,MonthlyMetric!F:F)</f>
        <v>1.0096666666666667</v>
      </c>
    </row>
    <row r="192" spans="1:14" x14ac:dyDescent="0.2">
      <c r="A192">
        <v>2681</v>
      </c>
      <c r="B192" t="s">
        <v>188</v>
      </c>
      <c r="C192" t="s">
        <v>409</v>
      </c>
      <c r="D192" t="s">
        <v>340</v>
      </c>
      <c r="E192" s="15">
        <v>44064</v>
      </c>
      <c r="F192">
        <v>30</v>
      </c>
      <c r="G192">
        <v>0.989887640449438</v>
      </c>
      <c r="H192">
        <v>7.2099999999999997E-2</v>
      </c>
      <c r="J192">
        <v>8</v>
      </c>
      <c r="K192">
        <v>9.875</v>
      </c>
      <c r="L192">
        <v>57</v>
      </c>
      <c r="M192">
        <v>1.1400999999999999</v>
      </c>
      <c r="N192">
        <f>AVERAGEIF(MonthlyMetric!A:A,AnnualReview!B192,MonthlyMetric!F:F)</f>
        <v>0.61645833333333333</v>
      </c>
    </row>
    <row r="193" spans="1:14" x14ac:dyDescent="0.2">
      <c r="A193">
        <v>3176</v>
      </c>
      <c r="B193" t="s">
        <v>189</v>
      </c>
      <c r="C193" t="s">
        <v>405</v>
      </c>
      <c r="D193" t="s">
        <v>333</v>
      </c>
      <c r="E193" s="15">
        <v>45195</v>
      </c>
      <c r="F193">
        <v>12</v>
      </c>
      <c r="G193">
        <v>0.95368421052631502</v>
      </c>
      <c r="H193">
        <v>0.22289999999999999</v>
      </c>
      <c r="J193">
        <v>3</v>
      </c>
      <c r="K193">
        <v>9.6666000000000007</v>
      </c>
      <c r="L193">
        <v>2</v>
      </c>
      <c r="M193">
        <v>1.3732</v>
      </c>
      <c r="N193">
        <f>AVERAGEIF(MonthlyMetric!A:A,AnnualReview!B193,MonthlyMetric!F:F)</f>
        <v>1.137049999999999</v>
      </c>
    </row>
    <row r="194" spans="1:14" x14ac:dyDescent="0.2">
      <c r="A194">
        <v>3598</v>
      </c>
      <c r="B194" t="s">
        <v>318</v>
      </c>
      <c r="C194" t="s">
        <v>405</v>
      </c>
      <c r="D194" t="s">
        <v>339</v>
      </c>
      <c r="E194" s="15">
        <v>45735</v>
      </c>
      <c r="F194">
        <v>12</v>
      </c>
      <c r="G194">
        <v>0.99043062200956899</v>
      </c>
      <c r="H194">
        <v>0.1817</v>
      </c>
      <c r="J194">
        <v>1</v>
      </c>
      <c r="K194">
        <v>10</v>
      </c>
      <c r="L194">
        <v>63</v>
      </c>
      <c r="M194">
        <v>1.7256</v>
      </c>
      <c r="N194">
        <f>AVERAGEIF(MonthlyMetric!A:A,AnnualReview!B194,MonthlyMetric!F:F)</f>
        <v>1.0612999999999999</v>
      </c>
    </row>
    <row r="195" spans="1:14" x14ac:dyDescent="0.2">
      <c r="A195">
        <v>3190</v>
      </c>
      <c r="B195" t="s">
        <v>192</v>
      </c>
      <c r="C195" t="s">
        <v>405</v>
      </c>
      <c r="D195" t="s">
        <v>339</v>
      </c>
      <c r="E195" s="15">
        <v>45196</v>
      </c>
      <c r="F195">
        <v>12</v>
      </c>
      <c r="G195">
        <v>0.989887640449438</v>
      </c>
      <c r="H195">
        <v>0.10730000000000001</v>
      </c>
      <c r="J195">
        <v>6</v>
      </c>
      <c r="K195">
        <v>9.3332999999999995</v>
      </c>
      <c r="L195">
        <v>29</v>
      </c>
      <c r="M195">
        <v>1.4440999999999999</v>
      </c>
      <c r="N195">
        <f>AVERAGEIF(MonthlyMetric!A:A,AnnualReview!B195,MonthlyMetric!F:F)</f>
        <v>1.4494083333333332</v>
      </c>
    </row>
    <row r="196" spans="1:14" x14ac:dyDescent="0.2">
      <c r="A196">
        <v>3579</v>
      </c>
      <c r="B196" t="s">
        <v>193</v>
      </c>
      <c r="C196" t="s">
        <v>405</v>
      </c>
      <c r="D196" t="s">
        <v>333</v>
      </c>
      <c r="E196" s="15">
        <v>45699</v>
      </c>
      <c r="F196">
        <v>30</v>
      </c>
      <c r="G196">
        <v>0.99552572706935105</v>
      </c>
      <c r="H196">
        <v>0.17419999999999999</v>
      </c>
      <c r="J196">
        <v>9</v>
      </c>
      <c r="K196">
        <v>9.7776999999999994</v>
      </c>
      <c r="L196">
        <v>8</v>
      </c>
      <c r="M196">
        <v>1.0331999999999999</v>
      </c>
      <c r="N196">
        <f>AVERAGEIF(MonthlyMetric!A:A,AnnualReview!B196,MonthlyMetric!F:F)</f>
        <v>0.79802727272727259</v>
      </c>
    </row>
    <row r="197" spans="1:14" x14ac:dyDescent="0.2">
      <c r="A197">
        <v>3163</v>
      </c>
      <c r="B197" t="s">
        <v>196</v>
      </c>
      <c r="C197" t="s">
        <v>405</v>
      </c>
      <c r="D197" t="s">
        <v>342</v>
      </c>
      <c r="E197" s="15">
        <v>45194</v>
      </c>
      <c r="F197">
        <v>12</v>
      </c>
      <c r="G197">
        <v>0.97177419354838701</v>
      </c>
      <c r="H197">
        <v>0.14269999999999999</v>
      </c>
      <c r="J197">
        <v>3</v>
      </c>
      <c r="K197">
        <v>9.6666000000000007</v>
      </c>
      <c r="L197">
        <v>54</v>
      </c>
      <c r="M197">
        <v>1.0886</v>
      </c>
      <c r="N197">
        <f>AVERAGEIF(MonthlyMetric!A:A,AnnualReview!B197,MonthlyMetric!F:F)</f>
        <v>0.82104166666666656</v>
      </c>
    </row>
    <row r="198" spans="1:14" x14ac:dyDescent="0.2">
      <c r="A198">
        <v>1256</v>
      </c>
      <c r="B198" t="s">
        <v>197</v>
      </c>
      <c r="C198" t="s">
        <v>409</v>
      </c>
      <c r="D198" t="s">
        <v>99</v>
      </c>
      <c r="E198" s="15">
        <v>42811</v>
      </c>
      <c r="F198">
        <v>30</v>
      </c>
      <c r="G198">
        <v>0.98350137488542599</v>
      </c>
      <c r="H198">
        <v>0.1741</v>
      </c>
      <c r="J198">
        <v>4</v>
      </c>
      <c r="K198">
        <v>9.5</v>
      </c>
      <c r="L198">
        <v>116</v>
      </c>
      <c r="M198">
        <v>1.4017999999999999</v>
      </c>
      <c r="N198">
        <f>AVERAGEIF(MonthlyMetric!A:A,AnnualReview!B198,MonthlyMetric!F:F)</f>
        <v>0.79475833333333334</v>
      </c>
    </row>
    <row r="199" spans="1:14" x14ac:dyDescent="0.2">
      <c r="A199">
        <v>3597</v>
      </c>
      <c r="B199" t="s">
        <v>319</v>
      </c>
      <c r="C199" t="s">
        <v>405</v>
      </c>
      <c r="D199" t="s">
        <v>339</v>
      </c>
      <c r="E199" s="15">
        <v>45740</v>
      </c>
      <c r="F199">
        <v>20</v>
      </c>
      <c r="G199">
        <v>0.98607242339832801</v>
      </c>
      <c r="H199">
        <v>0.17219999999999999</v>
      </c>
      <c r="J199">
        <v>4</v>
      </c>
      <c r="K199">
        <v>9.5</v>
      </c>
      <c r="L199">
        <v>64</v>
      </c>
      <c r="M199">
        <v>0.99809999999999999</v>
      </c>
      <c r="N199">
        <f>AVERAGEIF(MonthlyMetric!A:A,AnnualReview!B199,MonthlyMetric!F:F)</f>
        <v>0.59847777777777766</v>
      </c>
    </row>
    <row r="200" spans="1:14" x14ac:dyDescent="0.2">
      <c r="A200">
        <v>2682</v>
      </c>
      <c r="B200" t="s">
        <v>198</v>
      </c>
      <c r="C200" t="s">
        <v>410</v>
      </c>
      <c r="D200" t="s">
        <v>340</v>
      </c>
      <c r="E200" s="15">
        <v>44064</v>
      </c>
      <c r="F200">
        <v>12</v>
      </c>
      <c r="G200">
        <v>0.99491525423728799</v>
      </c>
      <c r="H200">
        <v>0.11600000000000001</v>
      </c>
      <c r="J200">
        <v>5</v>
      </c>
      <c r="K200">
        <v>9.6</v>
      </c>
      <c r="L200">
        <v>130</v>
      </c>
      <c r="M200">
        <v>1.3557999999999999</v>
      </c>
      <c r="N200">
        <f>AVERAGEIF(MonthlyMetric!A:A,AnnualReview!B200,MonthlyMetric!F:F)</f>
        <v>1.0082499999999999</v>
      </c>
    </row>
    <row r="201" spans="1:14" x14ac:dyDescent="0.2">
      <c r="A201">
        <v>2968</v>
      </c>
      <c r="B201" t="s">
        <v>201</v>
      </c>
      <c r="C201" t="s">
        <v>410</v>
      </c>
      <c r="D201" t="s">
        <v>340</v>
      </c>
      <c r="E201" s="15">
        <v>44611</v>
      </c>
      <c r="F201">
        <v>30</v>
      </c>
      <c r="G201">
        <v>0.99905213270142101</v>
      </c>
      <c r="H201">
        <v>4.8300000000000003E-2</v>
      </c>
      <c r="J201">
        <v>10</v>
      </c>
      <c r="K201">
        <v>9.5</v>
      </c>
      <c r="L201">
        <v>122</v>
      </c>
      <c r="M201">
        <v>1.0740000000000001</v>
      </c>
      <c r="N201">
        <f>AVERAGEIF(MonthlyMetric!A:A,AnnualReview!B201,MonthlyMetric!F:F)</f>
        <v>0.74378333333333335</v>
      </c>
    </row>
    <row r="202" spans="1:14" x14ac:dyDescent="0.2">
      <c r="A202">
        <v>3645</v>
      </c>
      <c r="B202" t="s">
        <v>320</v>
      </c>
      <c r="C202" t="s">
        <v>405</v>
      </c>
      <c r="D202" t="s">
        <v>342</v>
      </c>
      <c r="E202" s="15">
        <v>45810</v>
      </c>
      <c r="F202">
        <v>30</v>
      </c>
      <c r="G202">
        <v>0.98367346938775502</v>
      </c>
      <c r="H202">
        <v>0.23949999999999999</v>
      </c>
      <c r="J202">
        <v>2</v>
      </c>
      <c r="K202">
        <v>10</v>
      </c>
      <c r="L202">
        <v>8</v>
      </c>
      <c r="M202">
        <v>0.93989999999999996</v>
      </c>
      <c r="N202">
        <f>AVERAGEIF(MonthlyMetric!A:A,AnnualReview!B202,MonthlyMetric!F:F)</f>
        <v>0.65225714285714276</v>
      </c>
    </row>
    <row r="203" spans="1:14" x14ac:dyDescent="0.2">
      <c r="A203">
        <v>3414</v>
      </c>
      <c r="B203" t="s">
        <v>202</v>
      </c>
      <c r="C203" t="s">
        <v>405</v>
      </c>
      <c r="D203" t="s">
        <v>333</v>
      </c>
      <c r="E203" s="15">
        <v>45278</v>
      </c>
      <c r="F203">
        <v>30</v>
      </c>
      <c r="G203">
        <v>0.94555353901996297</v>
      </c>
      <c r="H203">
        <v>0.1938</v>
      </c>
      <c r="J203">
        <v>2</v>
      </c>
      <c r="K203">
        <v>10</v>
      </c>
      <c r="L203">
        <v>24</v>
      </c>
      <c r="M203">
        <v>0.88400000000000001</v>
      </c>
      <c r="N203">
        <f>AVERAGEIF(MonthlyMetric!A:A,AnnualReview!B203,MonthlyMetric!F:F)</f>
        <v>1.1018083333333333</v>
      </c>
    </row>
    <row r="204" spans="1:14" x14ac:dyDescent="0.2">
      <c r="A204">
        <v>3672</v>
      </c>
      <c r="B204" t="s">
        <v>323</v>
      </c>
      <c r="C204" t="s">
        <v>405</v>
      </c>
      <c r="D204" t="s">
        <v>342</v>
      </c>
      <c r="E204" s="15">
        <v>45902</v>
      </c>
      <c r="F204">
        <v>30</v>
      </c>
      <c r="G204">
        <v>1</v>
      </c>
      <c r="H204">
        <v>0.32940000000000003</v>
      </c>
      <c r="J204">
        <v>3</v>
      </c>
      <c r="K204">
        <v>9.6666000000000007</v>
      </c>
      <c r="L204">
        <v>8</v>
      </c>
      <c r="M204">
        <v>0.95860000000000001</v>
      </c>
      <c r="N204">
        <f>AVERAGEIF(MonthlyMetric!A:A,AnnualReview!B204,MonthlyMetric!F:F)</f>
        <v>0.80793333333333306</v>
      </c>
    </row>
    <row r="205" spans="1:14" x14ac:dyDescent="0.2">
      <c r="A205">
        <v>2549</v>
      </c>
      <c r="B205" t="s">
        <v>203</v>
      </c>
      <c r="C205" t="s">
        <v>409</v>
      </c>
      <c r="D205" t="s">
        <v>340</v>
      </c>
      <c r="E205" s="15">
        <v>43917</v>
      </c>
      <c r="F205">
        <v>30</v>
      </c>
      <c r="G205">
        <v>0.99285714285714199</v>
      </c>
      <c r="H205">
        <v>0.19550000000000001</v>
      </c>
      <c r="J205">
        <v>3</v>
      </c>
      <c r="K205">
        <v>9</v>
      </c>
      <c r="L205">
        <v>60</v>
      </c>
      <c r="M205">
        <v>1.0266999999999999</v>
      </c>
      <c r="N205">
        <f>AVERAGEIF(MonthlyMetric!A:A,AnnualReview!B205,MonthlyMetric!F:F)</f>
        <v>0.82614999999999983</v>
      </c>
    </row>
    <row r="206" spans="1:14" x14ac:dyDescent="0.2">
      <c r="A206">
        <v>3153</v>
      </c>
      <c r="B206" t="s">
        <v>204</v>
      </c>
      <c r="C206" t="s">
        <v>405</v>
      </c>
      <c r="D206" t="s">
        <v>339</v>
      </c>
      <c r="E206" s="15">
        <v>45193</v>
      </c>
      <c r="F206">
        <v>20</v>
      </c>
      <c r="G206">
        <v>0.98193548387096696</v>
      </c>
      <c r="H206">
        <v>0.10589999999999999</v>
      </c>
      <c r="J206">
        <v>3</v>
      </c>
      <c r="K206">
        <v>6.6665999999999999</v>
      </c>
      <c r="L206">
        <v>11</v>
      </c>
      <c r="M206">
        <v>1.0246</v>
      </c>
      <c r="N206">
        <f>AVERAGEIF(MonthlyMetric!A:A,AnnualReview!B206,MonthlyMetric!F:F)</f>
        <v>1.1833333333333333</v>
      </c>
    </row>
    <row r="207" spans="1:14" x14ac:dyDescent="0.2">
      <c r="A207">
        <v>3426</v>
      </c>
      <c r="B207" t="s">
        <v>207</v>
      </c>
      <c r="C207" t="s">
        <v>405</v>
      </c>
      <c r="D207" t="s">
        <v>339</v>
      </c>
      <c r="E207" s="15">
        <v>45281</v>
      </c>
      <c r="F207">
        <v>20</v>
      </c>
      <c r="G207">
        <v>0.98728496634255702</v>
      </c>
      <c r="H207">
        <v>0.19850000000000001</v>
      </c>
      <c r="J207">
        <v>9</v>
      </c>
      <c r="K207">
        <v>9.8887999999999998</v>
      </c>
      <c r="L207">
        <v>49</v>
      </c>
      <c r="M207">
        <v>1.6314</v>
      </c>
      <c r="N207">
        <f>AVERAGEIF(MonthlyMetric!A:A,AnnualReview!B207,MonthlyMetric!F:F)</f>
        <v>1.0240666666666665</v>
      </c>
    </row>
    <row r="208" spans="1:14" x14ac:dyDescent="0.2">
      <c r="A208">
        <v>3618</v>
      </c>
      <c r="B208" t="s">
        <v>325</v>
      </c>
      <c r="C208" t="s">
        <v>405</v>
      </c>
      <c r="D208" t="s">
        <v>339</v>
      </c>
      <c r="E208" s="15">
        <v>45763</v>
      </c>
      <c r="F208">
        <v>30</v>
      </c>
      <c r="G208">
        <v>0.99429657794676796</v>
      </c>
      <c r="H208">
        <v>0.20860000000000001</v>
      </c>
      <c r="J208">
        <v>4</v>
      </c>
      <c r="K208">
        <v>10</v>
      </c>
      <c r="L208">
        <v>8</v>
      </c>
      <c r="M208">
        <v>0.9113</v>
      </c>
      <c r="N208">
        <f>AVERAGEIF(MonthlyMetric!A:A,AnnualReview!B208,MonthlyMetric!F:F)</f>
        <v>0.65500000000000003</v>
      </c>
    </row>
    <row r="209" spans="1:14" x14ac:dyDescent="0.2">
      <c r="A209">
        <v>3500</v>
      </c>
      <c r="B209" t="s">
        <v>208</v>
      </c>
      <c r="C209" t="s">
        <v>410</v>
      </c>
      <c r="D209" t="s">
        <v>333</v>
      </c>
      <c r="E209" s="15">
        <v>45307</v>
      </c>
      <c r="F209">
        <v>12</v>
      </c>
      <c r="G209">
        <v>0.952914798206278</v>
      </c>
      <c r="H209">
        <v>0.33439999999999998</v>
      </c>
      <c r="J209">
        <v>2</v>
      </c>
      <c r="K209">
        <v>10</v>
      </c>
      <c r="L209">
        <v>27</v>
      </c>
      <c r="M209">
        <v>1.2748999999999999</v>
      </c>
      <c r="N209">
        <f>AVERAGEIF(MonthlyMetric!A:A,AnnualReview!B209,MonthlyMetric!F:F)</f>
        <v>0.7259000000000001</v>
      </c>
    </row>
    <row r="210" spans="1:14" x14ac:dyDescent="0.2">
      <c r="A210">
        <v>2786</v>
      </c>
      <c r="B210" t="s">
        <v>209</v>
      </c>
      <c r="C210" t="s">
        <v>409</v>
      </c>
      <c r="D210" t="s">
        <v>99</v>
      </c>
      <c r="E210" s="15">
        <v>44239</v>
      </c>
      <c r="F210">
        <v>35</v>
      </c>
      <c r="G210">
        <v>0.99934938191281697</v>
      </c>
      <c r="H210">
        <v>0.11940000000000001</v>
      </c>
      <c r="J210">
        <v>11</v>
      </c>
      <c r="K210">
        <v>9</v>
      </c>
      <c r="L210">
        <v>56</v>
      </c>
      <c r="M210">
        <v>1.1440999999999999</v>
      </c>
      <c r="N210">
        <f>AVERAGEIF(MonthlyMetric!A:A,AnnualReview!B210,MonthlyMetric!F:F)</f>
        <v>0.94762499999999983</v>
      </c>
    </row>
    <row r="211" spans="1:14" x14ac:dyDescent="0.2">
      <c r="A211">
        <v>3568</v>
      </c>
      <c r="B211" t="s">
        <v>210</v>
      </c>
      <c r="C211" t="s">
        <v>405</v>
      </c>
      <c r="D211" t="s">
        <v>342</v>
      </c>
      <c r="E211" s="15">
        <v>45684</v>
      </c>
      <c r="F211">
        <v>30</v>
      </c>
      <c r="G211">
        <v>0.98282828282828205</v>
      </c>
      <c r="H211">
        <v>0.1636</v>
      </c>
      <c r="J211">
        <v>8</v>
      </c>
      <c r="K211">
        <v>10</v>
      </c>
      <c r="L211">
        <v>27</v>
      </c>
      <c r="M211">
        <v>0.94259999999999999</v>
      </c>
      <c r="N211">
        <f>AVERAGEIF(MonthlyMetric!A:A,AnnualReview!B211,MonthlyMetric!F:F)</f>
        <v>0.81340909090909108</v>
      </c>
    </row>
    <row r="212" spans="1:14" x14ac:dyDescent="0.2">
      <c r="A212">
        <v>3582</v>
      </c>
      <c r="B212" t="s">
        <v>211</v>
      </c>
      <c r="C212" t="s">
        <v>410</v>
      </c>
      <c r="D212" t="s">
        <v>342</v>
      </c>
      <c r="E212" s="15">
        <v>45702</v>
      </c>
      <c r="F212">
        <v>30</v>
      </c>
      <c r="G212">
        <v>0.99472573839662404</v>
      </c>
      <c r="H212">
        <v>0.23630000000000001</v>
      </c>
      <c r="J212">
        <v>10</v>
      </c>
      <c r="K212">
        <v>9.3000000000000007</v>
      </c>
      <c r="L212">
        <v>37</v>
      </c>
      <c r="M212">
        <v>1.0648</v>
      </c>
      <c r="N212">
        <f>AVERAGEIF(MonthlyMetric!A:A,AnnualReview!B212,MonthlyMetric!F:F)</f>
        <v>0.82643636363636364</v>
      </c>
    </row>
    <row r="213" spans="1:14" x14ac:dyDescent="0.2">
      <c r="A213">
        <v>3670</v>
      </c>
      <c r="B213" t="s">
        <v>327</v>
      </c>
      <c r="C213" t="s">
        <v>405</v>
      </c>
      <c r="D213" t="s">
        <v>340</v>
      </c>
      <c r="E213" s="15">
        <v>45883</v>
      </c>
      <c r="F213">
        <v>30</v>
      </c>
      <c r="G213">
        <v>0.995815899581589</v>
      </c>
      <c r="H213">
        <v>0.22700000000000001</v>
      </c>
      <c r="J213">
        <v>1</v>
      </c>
      <c r="K213">
        <v>3</v>
      </c>
      <c r="L213">
        <v>27</v>
      </c>
      <c r="M213">
        <v>0.93469999999999998</v>
      </c>
      <c r="N213">
        <f>AVERAGEIF(MonthlyMetric!A:A,AnnualReview!B213,MonthlyMetric!F:F)</f>
        <v>0.84166666666666679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3992-06A8-8542-8E5F-A5ECC45D144E}">
  <dimension ref="A1:F1970"/>
  <sheetViews>
    <sheetView workbookViewId="0">
      <selection activeCell="H25" sqref="H25"/>
    </sheetView>
  </sheetViews>
  <sheetFormatPr baseColWidth="10" defaultColWidth="11.5" defaultRowHeight="15" x14ac:dyDescent="0.2"/>
  <cols>
    <col min="2" max="2" width="27.83203125" customWidth="1"/>
  </cols>
  <sheetData>
    <row r="1" spans="1:6" x14ac:dyDescent="0.2">
      <c r="A1" t="s">
        <v>431</v>
      </c>
      <c r="B1" t="s">
        <v>417</v>
      </c>
      <c r="C1" t="s">
        <v>432</v>
      </c>
      <c r="D1" t="s">
        <v>433</v>
      </c>
      <c r="E1" t="s">
        <v>434</v>
      </c>
      <c r="F1" t="s">
        <v>435</v>
      </c>
    </row>
    <row r="2" spans="1:6" x14ac:dyDescent="0.2">
      <c r="A2">
        <v>3583</v>
      </c>
      <c r="B2" t="s">
        <v>97</v>
      </c>
      <c r="C2" t="s">
        <v>466</v>
      </c>
      <c r="D2" t="s">
        <v>472</v>
      </c>
      <c r="E2" s="16">
        <v>45709.542118055557</v>
      </c>
      <c r="F2">
        <v>5</v>
      </c>
    </row>
    <row r="3" spans="1:6" x14ac:dyDescent="0.2">
      <c r="A3">
        <v>3456</v>
      </c>
      <c r="B3" t="s">
        <v>56</v>
      </c>
      <c r="C3" t="s">
        <v>474</v>
      </c>
      <c r="D3" t="s">
        <v>476</v>
      </c>
      <c r="E3" s="16">
        <v>45629.36824074074</v>
      </c>
      <c r="F3">
        <v>5</v>
      </c>
    </row>
    <row r="4" spans="1:6" x14ac:dyDescent="0.2">
      <c r="A4">
        <v>3583</v>
      </c>
      <c r="B4" t="s">
        <v>97</v>
      </c>
      <c r="C4" t="s">
        <v>466</v>
      </c>
      <c r="D4" t="s">
        <v>469</v>
      </c>
      <c r="E4" s="16">
        <v>45709.542118055557</v>
      </c>
      <c r="F4">
        <v>5</v>
      </c>
    </row>
    <row r="5" spans="1:6" x14ac:dyDescent="0.2">
      <c r="A5">
        <v>3185</v>
      </c>
      <c r="B5" t="s">
        <v>166</v>
      </c>
      <c r="C5" t="s">
        <v>474</v>
      </c>
      <c r="D5" t="s">
        <v>475</v>
      </c>
      <c r="E5" s="16">
        <v>45631.295092592591</v>
      </c>
      <c r="F5">
        <v>5</v>
      </c>
    </row>
    <row r="6" spans="1:6" x14ac:dyDescent="0.2">
      <c r="A6">
        <v>3597</v>
      </c>
      <c r="B6" t="s">
        <v>319</v>
      </c>
      <c r="C6" t="s">
        <v>466</v>
      </c>
      <c r="D6" t="s">
        <v>469</v>
      </c>
      <c r="E6" s="16">
        <v>45838.373842592591</v>
      </c>
      <c r="F6">
        <v>5</v>
      </c>
    </row>
    <row r="7" spans="1:6" x14ac:dyDescent="0.2">
      <c r="A7">
        <v>3403</v>
      </c>
      <c r="B7" t="s">
        <v>133</v>
      </c>
      <c r="C7" t="s">
        <v>474</v>
      </c>
      <c r="D7" t="s">
        <v>481</v>
      </c>
      <c r="E7" s="16">
        <v>45635.509976851848</v>
      </c>
      <c r="F7">
        <v>5</v>
      </c>
    </row>
    <row r="8" spans="1:6" x14ac:dyDescent="0.2">
      <c r="A8">
        <v>3649</v>
      </c>
      <c r="B8" t="s">
        <v>312</v>
      </c>
      <c r="C8" t="s">
        <v>462</v>
      </c>
      <c r="D8" t="s">
        <v>464</v>
      </c>
      <c r="E8" s="16">
        <v>45853.616527777776</v>
      </c>
      <c r="F8">
        <v>5</v>
      </c>
    </row>
    <row r="9" spans="1:6" x14ac:dyDescent="0.2">
      <c r="A9">
        <v>3544</v>
      </c>
      <c r="B9" t="s">
        <v>15</v>
      </c>
      <c r="C9" t="s">
        <v>438</v>
      </c>
      <c r="D9" t="s">
        <v>457</v>
      </c>
      <c r="E9" s="16">
        <v>45659.350543981483</v>
      </c>
      <c r="F9">
        <v>5</v>
      </c>
    </row>
    <row r="10" spans="1:6" x14ac:dyDescent="0.2">
      <c r="A10">
        <v>3636</v>
      </c>
      <c r="B10" t="s">
        <v>270</v>
      </c>
      <c r="C10" t="s">
        <v>449</v>
      </c>
      <c r="D10" t="s">
        <v>473</v>
      </c>
      <c r="E10" s="16">
        <v>45897.725775462961</v>
      </c>
      <c r="F10">
        <v>5</v>
      </c>
    </row>
    <row r="11" spans="1:6" x14ac:dyDescent="0.2">
      <c r="A11">
        <v>3196</v>
      </c>
      <c r="B11" t="s">
        <v>46</v>
      </c>
      <c r="C11" t="s">
        <v>474</v>
      </c>
      <c r="D11" t="s">
        <v>476</v>
      </c>
      <c r="E11" s="16">
        <v>45668.362986111111</v>
      </c>
      <c r="F11">
        <v>5</v>
      </c>
    </row>
    <row r="12" spans="1:6" x14ac:dyDescent="0.2">
      <c r="A12">
        <v>3670</v>
      </c>
      <c r="B12" t="s">
        <v>327</v>
      </c>
      <c r="C12" t="s">
        <v>449</v>
      </c>
      <c r="D12" t="s">
        <v>473</v>
      </c>
      <c r="E12" s="16">
        <v>45911.377604166664</v>
      </c>
      <c r="F12">
        <v>5</v>
      </c>
    </row>
    <row r="13" spans="1:6" x14ac:dyDescent="0.2">
      <c r="A13">
        <v>3568</v>
      </c>
      <c r="B13" t="s">
        <v>210</v>
      </c>
      <c r="C13" t="s">
        <v>438</v>
      </c>
      <c r="D13" t="s">
        <v>457</v>
      </c>
      <c r="E13" s="16">
        <v>45684.498715277776</v>
      </c>
      <c r="F13">
        <v>5</v>
      </c>
    </row>
    <row r="14" spans="1:6" x14ac:dyDescent="0.2">
      <c r="A14">
        <v>3112</v>
      </c>
      <c r="B14" t="s">
        <v>88</v>
      </c>
      <c r="C14" t="s">
        <v>436</v>
      </c>
      <c r="D14" t="s">
        <v>448</v>
      </c>
      <c r="E14" s="16">
        <v>45924.331377314818</v>
      </c>
      <c r="F14">
        <v>5</v>
      </c>
    </row>
    <row r="15" spans="1:6" x14ac:dyDescent="0.2">
      <c r="A15">
        <v>3431</v>
      </c>
      <c r="B15" t="s">
        <v>53</v>
      </c>
      <c r="C15" t="s">
        <v>466</v>
      </c>
      <c r="D15" t="s">
        <v>470</v>
      </c>
      <c r="E15" s="16">
        <v>45725.736134259256</v>
      </c>
      <c r="F15">
        <v>5</v>
      </c>
    </row>
    <row r="16" spans="1:6" x14ac:dyDescent="0.2">
      <c r="A16">
        <v>3688</v>
      </c>
      <c r="B16" t="s">
        <v>303</v>
      </c>
      <c r="C16" t="s">
        <v>449</v>
      </c>
      <c r="D16" t="s">
        <v>452</v>
      </c>
      <c r="E16" s="16">
        <v>45963.622199074074</v>
      </c>
      <c r="F16">
        <v>5</v>
      </c>
    </row>
    <row r="17" spans="1:6" x14ac:dyDescent="0.2">
      <c r="A17">
        <v>3606</v>
      </c>
      <c r="B17" t="s">
        <v>265</v>
      </c>
      <c r="C17" t="s">
        <v>449</v>
      </c>
      <c r="D17" t="s">
        <v>459</v>
      </c>
      <c r="E17" s="16">
        <v>45748.525729166664</v>
      </c>
      <c r="F17">
        <v>5</v>
      </c>
    </row>
    <row r="18" spans="1:6" x14ac:dyDescent="0.2">
      <c r="A18">
        <v>3126</v>
      </c>
      <c r="B18" t="s">
        <v>59</v>
      </c>
      <c r="C18" t="s">
        <v>449</v>
      </c>
      <c r="D18" t="s">
        <v>452</v>
      </c>
      <c r="E18" s="16">
        <v>45972.382893518516</v>
      </c>
      <c r="F18">
        <v>5</v>
      </c>
    </row>
    <row r="19" spans="1:6" x14ac:dyDescent="0.2">
      <c r="A19">
        <v>3615</v>
      </c>
      <c r="B19" t="s">
        <v>236</v>
      </c>
      <c r="C19" t="s">
        <v>449</v>
      </c>
      <c r="D19" t="s">
        <v>459</v>
      </c>
      <c r="E19" s="16">
        <v>45757.442048611112</v>
      </c>
      <c r="F19">
        <v>5</v>
      </c>
    </row>
    <row r="20" spans="1:6" x14ac:dyDescent="0.2">
      <c r="A20">
        <v>3576</v>
      </c>
      <c r="B20" t="s">
        <v>75</v>
      </c>
      <c r="C20" t="s">
        <v>466</v>
      </c>
      <c r="D20" t="s">
        <v>472</v>
      </c>
      <c r="E20" s="16">
        <v>45698.418356481481</v>
      </c>
      <c r="F20">
        <v>5</v>
      </c>
    </row>
    <row r="21" spans="1:6" x14ac:dyDescent="0.2">
      <c r="A21">
        <v>3625</v>
      </c>
      <c r="B21" t="s">
        <v>276</v>
      </c>
      <c r="C21" t="s">
        <v>449</v>
      </c>
      <c r="D21" t="s">
        <v>459</v>
      </c>
      <c r="E21" s="16">
        <v>45775.661064814813</v>
      </c>
      <c r="F21">
        <v>5</v>
      </c>
    </row>
    <row r="22" spans="1:6" x14ac:dyDescent="0.2">
      <c r="A22">
        <v>3592</v>
      </c>
      <c r="B22" t="s">
        <v>272</v>
      </c>
      <c r="C22" t="s">
        <v>449</v>
      </c>
      <c r="D22" t="s">
        <v>473</v>
      </c>
      <c r="E22" s="16">
        <v>45719.525590277779</v>
      </c>
      <c r="F22">
        <v>5</v>
      </c>
    </row>
    <row r="23" spans="1:6" x14ac:dyDescent="0.2">
      <c r="A23">
        <v>3597</v>
      </c>
      <c r="B23" t="s">
        <v>319</v>
      </c>
      <c r="C23" t="s">
        <v>449</v>
      </c>
      <c r="D23" t="s">
        <v>453</v>
      </c>
      <c r="E23" s="16">
        <v>45785.526817129627</v>
      </c>
      <c r="F23">
        <v>5</v>
      </c>
    </row>
    <row r="24" spans="1:6" x14ac:dyDescent="0.2">
      <c r="A24">
        <v>3597</v>
      </c>
      <c r="B24" t="s">
        <v>319</v>
      </c>
      <c r="C24" t="s">
        <v>449</v>
      </c>
      <c r="D24" t="s">
        <v>473</v>
      </c>
      <c r="E24" s="16">
        <v>45785.526817129627</v>
      </c>
      <c r="F24">
        <v>5</v>
      </c>
    </row>
    <row r="25" spans="1:6" x14ac:dyDescent="0.2">
      <c r="A25">
        <v>3637</v>
      </c>
      <c r="B25" t="s">
        <v>304</v>
      </c>
      <c r="C25" t="s">
        <v>449</v>
      </c>
      <c r="D25" t="s">
        <v>459</v>
      </c>
      <c r="E25" s="16">
        <v>45789.650879629633</v>
      </c>
      <c r="F25">
        <v>5</v>
      </c>
    </row>
    <row r="26" spans="1:6" x14ac:dyDescent="0.2">
      <c r="A26">
        <v>3644</v>
      </c>
      <c r="B26" t="s">
        <v>299</v>
      </c>
      <c r="C26" t="s">
        <v>466</v>
      </c>
      <c r="D26" t="s">
        <v>469</v>
      </c>
      <c r="E26" s="16">
        <v>45811.591157407405</v>
      </c>
      <c r="F26">
        <v>5</v>
      </c>
    </row>
    <row r="27" spans="1:6" x14ac:dyDescent="0.2">
      <c r="A27">
        <v>3616</v>
      </c>
      <c r="B27" t="s">
        <v>249</v>
      </c>
      <c r="C27" t="s">
        <v>449</v>
      </c>
      <c r="D27" t="s">
        <v>459</v>
      </c>
      <c r="E27" s="16">
        <v>45792.376759259256</v>
      </c>
      <c r="F27">
        <v>5</v>
      </c>
    </row>
    <row r="28" spans="1:6" x14ac:dyDescent="0.2">
      <c r="A28">
        <v>3648</v>
      </c>
      <c r="B28" t="s">
        <v>261</v>
      </c>
      <c r="C28" t="s">
        <v>466</v>
      </c>
      <c r="D28" t="s">
        <v>469</v>
      </c>
      <c r="E28" s="16">
        <v>45846.46597222222</v>
      </c>
      <c r="F28">
        <v>5</v>
      </c>
    </row>
    <row r="29" spans="1:6" x14ac:dyDescent="0.2">
      <c r="A29">
        <v>3644</v>
      </c>
      <c r="B29" t="s">
        <v>299</v>
      </c>
      <c r="C29" t="s">
        <v>449</v>
      </c>
      <c r="D29" t="s">
        <v>459</v>
      </c>
      <c r="E29" s="16">
        <v>45811.591157407405</v>
      </c>
      <c r="F29">
        <v>5</v>
      </c>
    </row>
    <row r="30" spans="1:6" x14ac:dyDescent="0.2">
      <c r="A30">
        <v>3663</v>
      </c>
      <c r="B30" t="s">
        <v>278</v>
      </c>
      <c r="C30" t="s">
        <v>466</v>
      </c>
      <c r="D30" t="s">
        <v>469</v>
      </c>
      <c r="E30" s="16">
        <v>45875.534375000003</v>
      </c>
      <c r="F30">
        <v>5</v>
      </c>
    </row>
    <row r="31" spans="1:6" x14ac:dyDescent="0.2">
      <c r="A31">
        <v>3600</v>
      </c>
      <c r="B31" t="s">
        <v>258</v>
      </c>
      <c r="C31" t="s">
        <v>449</v>
      </c>
      <c r="D31" t="s">
        <v>459</v>
      </c>
      <c r="E31" s="16">
        <v>45831.677199074074</v>
      </c>
      <c r="F31">
        <v>5</v>
      </c>
    </row>
    <row r="32" spans="1:6" x14ac:dyDescent="0.2">
      <c r="A32">
        <v>3688</v>
      </c>
      <c r="B32" t="s">
        <v>303</v>
      </c>
      <c r="C32" t="s">
        <v>466</v>
      </c>
      <c r="D32" t="s">
        <v>469</v>
      </c>
      <c r="E32" s="16">
        <v>45959.521041666667</v>
      </c>
      <c r="F32">
        <v>5</v>
      </c>
    </row>
    <row r="33" spans="1:6" x14ac:dyDescent="0.2">
      <c r="A33">
        <v>3112</v>
      </c>
      <c r="B33" t="s">
        <v>88</v>
      </c>
      <c r="C33" t="s">
        <v>438</v>
      </c>
      <c r="D33" t="s">
        <v>461</v>
      </c>
      <c r="E33" s="16">
        <v>45845.389641203707</v>
      </c>
      <c r="F33">
        <v>5</v>
      </c>
    </row>
    <row r="34" spans="1:6" x14ac:dyDescent="0.2">
      <c r="A34">
        <v>3688</v>
      </c>
      <c r="B34" t="s">
        <v>303</v>
      </c>
      <c r="C34" t="s">
        <v>449</v>
      </c>
      <c r="D34" t="s">
        <v>473</v>
      </c>
      <c r="E34" s="16">
        <v>45961.516574074078</v>
      </c>
      <c r="F34">
        <v>5</v>
      </c>
    </row>
    <row r="35" spans="1:6" x14ac:dyDescent="0.2">
      <c r="A35">
        <v>3656</v>
      </c>
      <c r="B35" t="s">
        <v>259</v>
      </c>
      <c r="C35" t="s">
        <v>438</v>
      </c>
      <c r="D35" t="s">
        <v>457</v>
      </c>
      <c r="E35" s="16">
        <v>45859.573229166665</v>
      </c>
      <c r="F35">
        <v>5</v>
      </c>
    </row>
    <row r="36" spans="1:6" x14ac:dyDescent="0.2">
      <c r="A36">
        <v>3273</v>
      </c>
      <c r="B36" t="s">
        <v>60</v>
      </c>
      <c r="C36" t="s">
        <v>449</v>
      </c>
      <c r="D36" t="s">
        <v>473</v>
      </c>
      <c r="E36" s="16">
        <v>45725.57576388889</v>
      </c>
      <c r="F36">
        <v>5</v>
      </c>
    </row>
    <row r="37" spans="1:6" x14ac:dyDescent="0.2">
      <c r="A37">
        <v>3644</v>
      </c>
      <c r="B37" t="s">
        <v>299</v>
      </c>
      <c r="C37" t="s">
        <v>466</v>
      </c>
      <c r="D37" t="s">
        <v>470</v>
      </c>
      <c r="E37" s="16">
        <v>45894.464861111112</v>
      </c>
      <c r="F37">
        <v>5</v>
      </c>
    </row>
    <row r="38" spans="1:6" x14ac:dyDescent="0.2">
      <c r="A38">
        <v>3599</v>
      </c>
      <c r="B38" t="s">
        <v>281</v>
      </c>
      <c r="C38" t="s">
        <v>466</v>
      </c>
      <c r="D38" t="s">
        <v>469</v>
      </c>
      <c r="E38" s="16">
        <v>45741.483726851853</v>
      </c>
      <c r="F38">
        <v>5</v>
      </c>
    </row>
    <row r="39" spans="1:6" x14ac:dyDescent="0.2">
      <c r="A39">
        <v>3644</v>
      </c>
      <c r="B39" t="s">
        <v>299</v>
      </c>
      <c r="C39" t="s">
        <v>438</v>
      </c>
      <c r="D39" t="s">
        <v>440</v>
      </c>
      <c r="E39" s="16">
        <v>45895.435659722221</v>
      </c>
      <c r="F39">
        <v>5</v>
      </c>
    </row>
    <row r="40" spans="1:6" x14ac:dyDescent="0.2">
      <c r="A40">
        <v>3610</v>
      </c>
      <c r="B40" t="s">
        <v>305</v>
      </c>
      <c r="C40" t="s">
        <v>466</v>
      </c>
      <c r="D40" t="s">
        <v>469</v>
      </c>
      <c r="E40" s="16">
        <v>45754.53193287037</v>
      </c>
      <c r="F40">
        <v>5</v>
      </c>
    </row>
    <row r="41" spans="1:6" x14ac:dyDescent="0.2">
      <c r="A41">
        <v>3644</v>
      </c>
      <c r="B41" t="s">
        <v>299</v>
      </c>
      <c r="C41" t="s">
        <v>438</v>
      </c>
      <c r="D41" t="s">
        <v>442</v>
      </c>
      <c r="E41" s="16">
        <v>45895.634259259263</v>
      </c>
      <c r="F41">
        <v>5</v>
      </c>
    </row>
    <row r="42" spans="1:6" x14ac:dyDescent="0.2">
      <c r="A42">
        <v>3621</v>
      </c>
      <c r="B42" t="s">
        <v>263</v>
      </c>
      <c r="C42" t="s">
        <v>466</v>
      </c>
      <c r="D42" t="s">
        <v>469</v>
      </c>
      <c r="E42" s="16">
        <v>45770.455300925925</v>
      </c>
      <c r="F42">
        <v>5</v>
      </c>
    </row>
    <row r="43" spans="1:6" x14ac:dyDescent="0.2">
      <c r="A43">
        <v>2464</v>
      </c>
      <c r="B43" t="s">
        <v>17</v>
      </c>
      <c r="C43" t="s">
        <v>449</v>
      </c>
      <c r="D43" t="s">
        <v>459</v>
      </c>
      <c r="E43" s="16">
        <v>45902.500057870369</v>
      </c>
      <c r="F43">
        <v>5</v>
      </c>
    </row>
    <row r="44" spans="1:6" x14ac:dyDescent="0.2">
      <c r="A44">
        <v>3626</v>
      </c>
      <c r="B44" t="s">
        <v>316</v>
      </c>
      <c r="C44" t="s">
        <v>466</v>
      </c>
      <c r="D44" t="s">
        <v>472</v>
      </c>
      <c r="E44" s="16">
        <v>45793.280219907407</v>
      </c>
      <c r="F44">
        <v>5</v>
      </c>
    </row>
    <row r="45" spans="1:6" x14ac:dyDescent="0.2">
      <c r="A45">
        <v>3688</v>
      </c>
      <c r="B45" t="s">
        <v>303</v>
      </c>
      <c r="C45" t="s">
        <v>466</v>
      </c>
      <c r="D45" t="s">
        <v>470</v>
      </c>
      <c r="E45" s="16">
        <v>45959.521041666667</v>
      </c>
      <c r="F45">
        <v>5</v>
      </c>
    </row>
    <row r="46" spans="1:6" x14ac:dyDescent="0.2">
      <c r="A46">
        <v>3644</v>
      </c>
      <c r="B46" t="s">
        <v>299</v>
      </c>
      <c r="C46" t="s">
        <v>466</v>
      </c>
      <c r="D46" t="s">
        <v>472</v>
      </c>
      <c r="E46" s="16">
        <v>45811.591157407405</v>
      </c>
      <c r="F46">
        <v>5</v>
      </c>
    </row>
    <row r="47" spans="1:6" x14ac:dyDescent="0.2">
      <c r="A47">
        <v>2727</v>
      </c>
      <c r="B47" t="s">
        <v>160</v>
      </c>
      <c r="C47" t="s">
        <v>474</v>
      </c>
      <c r="D47" t="s">
        <v>476</v>
      </c>
      <c r="E47" s="16">
        <v>45630.348402777781</v>
      </c>
      <c r="F47">
        <v>5</v>
      </c>
    </row>
    <row r="48" spans="1:6" x14ac:dyDescent="0.2">
      <c r="A48">
        <v>2650</v>
      </c>
      <c r="B48" t="s">
        <v>92</v>
      </c>
      <c r="C48" t="s">
        <v>449</v>
      </c>
      <c r="D48" t="s">
        <v>473</v>
      </c>
      <c r="E48" s="16">
        <v>45827.411608796298</v>
      </c>
      <c r="F48">
        <v>5</v>
      </c>
    </row>
    <row r="49" spans="1:6" x14ac:dyDescent="0.2">
      <c r="A49">
        <v>3403</v>
      </c>
      <c r="B49" t="s">
        <v>133</v>
      </c>
      <c r="C49" t="s">
        <v>474</v>
      </c>
      <c r="D49" t="s">
        <v>475</v>
      </c>
      <c r="E49" s="16">
        <v>45635.509976851848</v>
      </c>
      <c r="F49">
        <v>5</v>
      </c>
    </row>
    <row r="50" spans="1:6" x14ac:dyDescent="0.2">
      <c r="A50">
        <v>3648</v>
      </c>
      <c r="B50" t="s">
        <v>261</v>
      </c>
      <c r="C50" t="s">
        <v>466</v>
      </c>
      <c r="D50" t="s">
        <v>472</v>
      </c>
      <c r="E50" s="16">
        <v>45846.46597222222</v>
      </c>
      <c r="F50">
        <v>5</v>
      </c>
    </row>
    <row r="51" spans="1:6" x14ac:dyDescent="0.2">
      <c r="A51">
        <v>2376</v>
      </c>
      <c r="B51" t="s">
        <v>145</v>
      </c>
      <c r="C51" t="s">
        <v>474</v>
      </c>
      <c r="D51" t="s">
        <v>475</v>
      </c>
      <c r="E51" s="16">
        <v>45635.638229166667</v>
      </c>
      <c r="F51">
        <v>5</v>
      </c>
    </row>
    <row r="52" spans="1:6" x14ac:dyDescent="0.2">
      <c r="A52">
        <v>3663</v>
      </c>
      <c r="B52" t="s">
        <v>278</v>
      </c>
      <c r="C52" t="s">
        <v>466</v>
      </c>
      <c r="D52" t="s">
        <v>472</v>
      </c>
      <c r="E52" s="16">
        <v>45875.534375000003</v>
      </c>
      <c r="F52">
        <v>5</v>
      </c>
    </row>
    <row r="53" spans="1:6" x14ac:dyDescent="0.2">
      <c r="A53">
        <v>2950</v>
      </c>
      <c r="B53" t="s">
        <v>115</v>
      </c>
      <c r="C53" t="s">
        <v>474</v>
      </c>
      <c r="D53" t="s">
        <v>475</v>
      </c>
      <c r="E53" s="16">
        <v>45630.400196759256</v>
      </c>
      <c r="F53">
        <v>5</v>
      </c>
    </row>
    <row r="54" spans="1:6" x14ac:dyDescent="0.2">
      <c r="A54">
        <v>3600</v>
      </c>
      <c r="B54" t="s">
        <v>258</v>
      </c>
      <c r="C54" t="s">
        <v>449</v>
      </c>
      <c r="D54" t="s">
        <v>473</v>
      </c>
      <c r="E54" s="16">
        <v>45888.644687499997</v>
      </c>
      <c r="F54">
        <v>5</v>
      </c>
    </row>
    <row r="55" spans="1:6" x14ac:dyDescent="0.2">
      <c r="A55">
        <v>1271</v>
      </c>
      <c r="B55" t="s">
        <v>27</v>
      </c>
      <c r="C55" t="s">
        <v>474</v>
      </c>
      <c r="D55" t="s">
        <v>481</v>
      </c>
      <c r="E55" s="16">
        <v>45636.67150462963</v>
      </c>
      <c r="F55">
        <v>5</v>
      </c>
    </row>
    <row r="56" spans="1:6" x14ac:dyDescent="0.2">
      <c r="A56">
        <v>32</v>
      </c>
      <c r="B56" t="s">
        <v>451</v>
      </c>
      <c r="C56" t="s">
        <v>449</v>
      </c>
      <c r="D56" t="s">
        <v>452</v>
      </c>
      <c r="E56" s="16">
        <v>45944.718333333331</v>
      </c>
      <c r="F56">
        <v>5</v>
      </c>
    </row>
    <row r="57" spans="1:6" x14ac:dyDescent="0.2">
      <c r="A57">
        <v>2720</v>
      </c>
      <c r="B57" t="s">
        <v>139</v>
      </c>
      <c r="C57" t="s">
        <v>449</v>
      </c>
      <c r="D57" t="s">
        <v>459</v>
      </c>
      <c r="E57" s="16">
        <v>45659.380694444444</v>
      </c>
      <c r="F57">
        <v>5</v>
      </c>
    </row>
    <row r="58" spans="1:6" x14ac:dyDescent="0.2">
      <c r="A58">
        <v>3688</v>
      </c>
      <c r="B58" t="s">
        <v>303</v>
      </c>
      <c r="C58" t="s">
        <v>466</v>
      </c>
      <c r="D58" t="s">
        <v>472</v>
      </c>
      <c r="E58" s="16">
        <v>45959.521041666667</v>
      </c>
      <c r="F58">
        <v>5</v>
      </c>
    </row>
    <row r="59" spans="1:6" x14ac:dyDescent="0.2">
      <c r="A59">
        <v>3196</v>
      </c>
      <c r="B59" t="s">
        <v>46</v>
      </c>
      <c r="C59" t="s">
        <v>438</v>
      </c>
      <c r="D59" t="s">
        <v>457</v>
      </c>
      <c r="E59" s="16">
        <v>45668.362986111111</v>
      </c>
      <c r="F59">
        <v>5</v>
      </c>
    </row>
    <row r="60" spans="1:6" x14ac:dyDescent="0.2">
      <c r="A60">
        <v>3688</v>
      </c>
      <c r="B60" t="s">
        <v>303</v>
      </c>
      <c r="C60" t="s">
        <v>449</v>
      </c>
      <c r="D60" t="s">
        <v>617</v>
      </c>
      <c r="E60" s="16">
        <v>45963.638715277775</v>
      </c>
      <c r="F60">
        <v>5</v>
      </c>
    </row>
    <row r="61" spans="1:6" x14ac:dyDescent="0.2">
      <c r="A61">
        <v>2562</v>
      </c>
      <c r="B61" t="s">
        <v>152</v>
      </c>
      <c r="C61" t="s">
        <v>438</v>
      </c>
      <c r="D61" t="s">
        <v>457</v>
      </c>
      <c r="E61" s="16">
        <v>45687.31486111111</v>
      </c>
      <c r="F61">
        <v>5</v>
      </c>
    </row>
    <row r="62" spans="1:6" x14ac:dyDescent="0.2">
      <c r="A62">
        <v>3576</v>
      </c>
      <c r="B62" t="s">
        <v>75</v>
      </c>
      <c r="C62" t="s">
        <v>466</v>
      </c>
      <c r="D62" t="s">
        <v>469</v>
      </c>
      <c r="E62" s="16">
        <v>45698.418356481481</v>
      </c>
      <c r="F62">
        <v>5</v>
      </c>
    </row>
    <row r="63" spans="1:6" x14ac:dyDescent="0.2">
      <c r="A63">
        <v>3584</v>
      </c>
      <c r="B63" t="s">
        <v>57</v>
      </c>
      <c r="C63" t="s">
        <v>449</v>
      </c>
      <c r="D63" t="s">
        <v>459</v>
      </c>
      <c r="E63" s="16">
        <v>45702.391689814816</v>
      </c>
      <c r="F63">
        <v>5</v>
      </c>
    </row>
    <row r="64" spans="1:6" x14ac:dyDescent="0.2">
      <c r="A64">
        <v>3273</v>
      </c>
      <c r="B64" t="s">
        <v>60</v>
      </c>
      <c r="C64" t="s">
        <v>449</v>
      </c>
      <c r="D64" t="s">
        <v>452</v>
      </c>
      <c r="E64" s="16">
        <v>45725.57576388889</v>
      </c>
      <c r="F64">
        <v>5</v>
      </c>
    </row>
    <row r="65" spans="1:6" x14ac:dyDescent="0.2">
      <c r="A65">
        <v>3431</v>
      </c>
      <c r="B65" t="s">
        <v>53</v>
      </c>
      <c r="C65" t="s">
        <v>438</v>
      </c>
      <c r="D65" t="s">
        <v>442</v>
      </c>
      <c r="E65" s="16">
        <v>45725.739039351851</v>
      </c>
      <c r="F65">
        <v>5</v>
      </c>
    </row>
    <row r="66" spans="1:6" x14ac:dyDescent="0.2">
      <c r="A66">
        <v>3599</v>
      </c>
      <c r="B66" t="s">
        <v>281</v>
      </c>
      <c r="C66" t="s">
        <v>466</v>
      </c>
      <c r="D66" t="s">
        <v>472</v>
      </c>
      <c r="E66" s="16">
        <v>45741.483726851853</v>
      </c>
      <c r="F66">
        <v>5</v>
      </c>
    </row>
    <row r="67" spans="1:6" x14ac:dyDescent="0.2">
      <c r="A67">
        <v>3598</v>
      </c>
      <c r="B67" t="s">
        <v>318</v>
      </c>
      <c r="C67" t="s">
        <v>449</v>
      </c>
      <c r="D67" t="s">
        <v>459</v>
      </c>
      <c r="E67" s="16">
        <v>45736.498981481483</v>
      </c>
      <c r="F67">
        <v>5</v>
      </c>
    </row>
    <row r="68" spans="1:6" x14ac:dyDescent="0.2">
      <c r="A68">
        <v>3610</v>
      </c>
      <c r="B68" t="s">
        <v>305</v>
      </c>
      <c r="C68" t="s">
        <v>466</v>
      </c>
      <c r="D68" t="s">
        <v>472</v>
      </c>
      <c r="E68" s="16">
        <v>45754.53193287037</v>
      </c>
      <c r="F68">
        <v>5</v>
      </c>
    </row>
    <row r="69" spans="1:6" x14ac:dyDescent="0.2">
      <c r="A69">
        <v>3562</v>
      </c>
      <c r="B69" t="s">
        <v>49</v>
      </c>
      <c r="C69" t="s">
        <v>449</v>
      </c>
      <c r="D69" t="s">
        <v>459</v>
      </c>
      <c r="E69" s="16">
        <v>45765.650509259256</v>
      </c>
      <c r="F69">
        <v>5</v>
      </c>
    </row>
    <row r="70" spans="1:6" x14ac:dyDescent="0.2">
      <c r="A70">
        <v>3112</v>
      </c>
      <c r="B70" t="s">
        <v>88</v>
      </c>
      <c r="C70" t="s">
        <v>438</v>
      </c>
      <c r="D70" t="s">
        <v>455</v>
      </c>
      <c r="E70" s="16">
        <v>45758.384733796294</v>
      </c>
      <c r="F70">
        <v>5</v>
      </c>
    </row>
    <row r="71" spans="1:6" x14ac:dyDescent="0.2">
      <c r="A71">
        <v>3626</v>
      </c>
      <c r="B71" t="s">
        <v>316</v>
      </c>
      <c r="C71" t="s">
        <v>449</v>
      </c>
      <c r="D71" t="s">
        <v>459</v>
      </c>
      <c r="E71" s="16">
        <v>45775.675300925926</v>
      </c>
      <c r="F71">
        <v>5</v>
      </c>
    </row>
    <row r="72" spans="1:6" x14ac:dyDescent="0.2">
      <c r="A72">
        <v>3636</v>
      </c>
      <c r="B72" t="s">
        <v>270</v>
      </c>
      <c r="C72" t="s">
        <v>438</v>
      </c>
      <c r="D72" t="s">
        <v>455</v>
      </c>
      <c r="E72" s="16">
        <v>45789.320474537039</v>
      </c>
      <c r="F72">
        <v>5</v>
      </c>
    </row>
    <row r="73" spans="1:6" x14ac:dyDescent="0.2">
      <c r="A73">
        <v>3647</v>
      </c>
      <c r="B73" t="s">
        <v>310</v>
      </c>
      <c r="C73" t="s">
        <v>449</v>
      </c>
      <c r="D73" t="s">
        <v>459</v>
      </c>
      <c r="E73" s="16">
        <v>45824.300173611111</v>
      </c>
      <c r="F73">
        <v>5</v>
      </c>
    </row>
    <row r="74" spans="1:6" x14ac:dyDescent="0.2">
      <c r="A74">
        <v>3626</v>
      </c>
      <c r="B74" t="s">
        <v>316</v>
      </c>
      <c r="C74" t="s">
        <v>466</v>
      </c>
      <c r="D74" t="s">
        <v>469</v>
      </c>
      <c r="E74" s="16">
        <v>45793.280219907407</v>
      </c>
      <c r="F74">
        <v>5</v>
      </c>
    </row>
    <row r="75" spans="1:6" x14ac:dyDescent="0.2">
      <c r="A75">
        <v>3648</v>
      </c>
      <c r="B75" t="s">
        <v>261</v>
      </c>
      <c r="C75" t="s">
        <v>466</v>
      </c>
      <c r="D75" t="s">
        <v>470</v>
      </c>
      <c r="E75" s="16">
        <v>45846.46597222222</v>
      </c>
      <c r="F75">
        <v>5</v>
      </c>
    </row>
    <row r="76" spans="1:6" x14ac:dyDescent="0.2">
      <c r="A76">
        <v>3456</v>
      </c>
      <c r="B76" t="s">
        <v>56</v>
      </c>
      <c r="C76" t="s">
        <v>474</v>
      </c>
      <c r="D76" t="s">
        <v>479</v>
      </c>
      <c r="E76" s="16">
        <v>45629.36824074074</v>
      </c>
      <c r="F76">
        <v>5</v>
      </c>
    </row>
    <row r="77" spans="1:6" x14ac:dyDescent="0.2">
      <c r="A77">
        <v>3609</v>
      </c>
      <c r="B77" t="s">
        <v>245</v>
      </c>
      <c r="C77" t="s">
        <v>449</v>
      </c>
      <c r="D77" t="s">
        <v>459</v>
      </c>
      <c r="E77" s="16">
        <v>45852.437164351853</v>
      </c>
      <c r="F77">
        <v>5</v>
      </c>
    </row>
    <row r="78" spans="1:6" x14ac:dyDescent="0.2">
      <c r="A78">
        <v>3403</v>
      </c>
      <c r="B78" t="s">
        <v>133</v>
      </c>
      <c r="C78" t="s">
        <v>474</v>
      </c>
      <c r="D78" t="s">
        <v>479</v>
      </c>
      <c r="E78" s="16">
        <v>45635.509976851848</v>
      </c>
      <c r="F78">
        <v>5</v>
      </c>
    </row>
    <row r="79" spans="1:6" x14ac:dyDescent="0.2">
      <c r="A79">
        <v>3663</v>
      </c>
      <c r="B79" t="s">
        <v>278</v>
      </c>
      <c r="C79" t="s">
        <v>466</v>
      </c>
      <c r="D79" t="s">
        <v>470</v>
      </c>
      <c r="E79" s="16">
        <v>45882.634340277778</v>
      </c>
      <c r="F79">
        <v>5</v>
      </c>
    </row>
    <row r="80" spans="1:6" x14ac:dyDescent="0.2">
      <c r="A80">
        <v>2535</v>
      </c>
      <c r="B80" t="s">
        <v>16</v>
      </c>
      <c r="C80" t="s">
        <v>474</v>
      </c>
      <c r="D80" t="s">
        <v>479</v>
      </c>
      <c r="E80" s="16">
        <v>45629.362013888887</v>
      </c>
      <c r="F80">
        <v>5</v>
      </c>
    </row>
    <row r="81" spans="1:6" x14ac:dyDescent="0.2">
      <c r="A81">
        <v>3644</v>
      </c>
      <c r="B81" t="s">
        <v>299</v>
      </c>
      <c r="C81" t="s">
        <v>474</v>
      </c>
      <c r="D81" t="s">
        <v>481</v>
      </c>
      <c r="E81" s="16">
        <v>45895.436018518521</v>
      </c>
      <c r="F81">
        <v>5</v>
      </c>
    </row>
    <row r="82" spans="1:6" x14ac:dyDescent="0.2">
      <c r="A82">
        <v>1937</v>
      </c>
      <c r="B82" t="s">
        <v>80</v>
      </c>
      <c r="C82" t="s">
        <v>474</v>
      </c>
      <c r="D82" t="s">
        <v>480</v>
      </c>
      <c r="E82" s="16">
        <v>45636.331076388888</v>
      </c>
      <c r="F82">
        <v>5</v>
      </c>
    </row>
    <row r="83" spans="1:6" x14ac:dyDescent="0.2">
      <c r="A83">
        <v>3594</v>
      </c>
      <c r="B83" t="s">
        <v>315</v>
      </c>
      <c r="C83" t="s">
        <v>449</v>
      </c>
      <c r="D83" t="s">
        <v>459</v>
      </c>
      <c r="E83" s="16">
        <v>45939.348773148151</v>
      </c>
      <c r="F83">
        <v>5</v>
      </c>
    </row>
    <row r="84" spans="1:6" x14ac:dyDescent="0.2">
      <c r="A84">
        <v>104</v>
      </c>
      <c r="B84" t="s">
        <v>94</v>
      </c>
      <c r="C84" t="s">
        <v>474</v>
      </c>
      <c r="D84" t="s">
        <v>479</v>
      </c>
      <c r="E84" s="16">
        <v>45635.716203703705</v>
      </c>
      <c r="F84">
        <v>5</v>
      </c>
    </row>
    <row r="85" spans="1:6" x14ac:dyDescent="0.2">
      <c r="A85">
        <v>3676</v>
      </c>
      <c r="B85" t="s">
        <v>239</v>
      </c>
      <c r="C85" t="s">
        <v>449</v>
      </c>
      <c r="D85" t="s">
        <v>459</v>
      </c>
      <c r="E85" s="16">
        <v>45947.612395833334</v>
      </c>
      <c r="F85">
        <v>5</v>
      </c>
    </row>
    <row r="86" spans="1:6" x14ac:dyDescent="0.2">
      <c r="A86">
        <v>3564</v>
      </c>
      <c r="B86" t="s">
        <v>84</v>
      </c>
      <c r="C86" t="s">
        <v>449</v>
      </c>
      <c r="D86" t="s">
        <v>454</v>
      </c>
      <c r="E86" s="16">
        <v>45699.570844907408</v>
      </c>
      <c r="F86">
        <v>5</v>
      </c>
    </row>
    <row r="87" spans="1:6" x14ac:dyDescent="0.2">
      <c r="A87">
        <v>3688</v>
      </c>
      <c r="B87" t="s">
        <v>303</v>
      </c>
      <c r="C87" t="s">
        <v>449</v>
      </c>
      <c r="D87" t="s">
        <v>459</v>
      </c>
      <c r="E87" s="16">
        <v>45961.516574074078</v>
      </c>
      <c r="F87">
        <v>5</v>
      </c>
    </row>
    <row r="88" spans="1:6" x14ac:dyDescent="0.2">
      <c r="A88">
        <v>3584</v>
      </c>
      <c r="B88" t="s">
        <v>57</v>
      </c>
      <c r="C88" t="s">
        <v>449</v>
      </c>
      <c r="D88" t="s">
        <v>454</v>
      </c>
      <c r="E88" s="16">
        <v>45702.391689814816</v>
      </c>
      <c r="F88">
        <v>5</v>
      </c>
    </row>
    <row r="89" spans="1:6" x14ac:dyDescent="0.2">
      <c r="A89">
        <v>3194</v>
      </c>
      <c r="B89" t="s">
        <v>61</v>
      </c>
      <c r="C89" t="s">
        <v>474</v>
      </c>
      <c r="D89" t="s">
        <v>475</v>
      </c>
      <c r="E89" s="16">
        <v>45629.369074074071</v>
      </c>
      <c r="F89">
        <v>5</v>
      </c>
    </row>
    <row r="90" spans="1:6" x14ac:dyDescent="0.2">
      <c r="A90">
        <v>3583</v>
      </c>
      <c r="B90" t="s">
        <v>97</v>
      </c>
      <c r="C90" t="s">
        <v>466</v>
      </c>
      <c r="D90" t="s">
        <v>468</v>
      </c>
      <c r="E90" s="16">
        <v>45714.607511574075</v>
      </c>
      <c r="F90">
        <v>5</v>
      </c>
    </row>
    <row r="91" spans="1:6" x14ac:dyDescent="0.2">
      <c r="A91">
        <v>3339</v>
      </c>
      <c r="B91" t="s">
        <v>45</v>
      </c>
      <c r="C91" t="s">
        <v>474</v>
      </c>
      <c r="D91" t="s">
        <v>475</v>
      </c>
      <c r="E91" s="16">
        <v>45630.392858796295</v>
      </c>
      <c r="F91">
        <v>5</v>
      </c>
    </row>
    <row r="92" spans="1:6" x14ac:dyDescent="0.2">
      <c r="A92">
        <v>3592</v>
      </c>
      <c r="B92" t="s">
        <v>272</v>
      </c>
      <c r="C92" t="s">
        <v>449</v>
      </c>
      <c r="D92" t="s">
        <v>454</v>
      </c>
      <c r="E92" s="16">
        <v>45719.525590277779</v>
      </c>
      <c r="F92">
        <v>5</v>
      </c>
    </row>
    <row r="93" spans="1:6" x14ac:dyDescent="0.2">
      <c r="A93">
        <v>2140</v>
      </c>
      <c r="B93" t="s">
        <v>41</v>
      </c>
      <c r="C93" t="s">
        <v>474</v>
      </c>
      <c r="D93" t="s">
        <v>475</v>
      </c>
      <c r="E93" s="16">
        <v>45638.221250000002</v>
      </c>
      <c r="F93">
        <v>5</v>
      </c>
    </row>
    <row r="94" spans="1:6" x14ac:dyDescent="0.2">
      <c r="A94">
        <v>3431</v>
      </c>
      <c r="B94" t="s">
        <v>53</v>
      </c>
      <c r="C94" t="s">
        <v>466</v>
      </c>
      <c r="D94" t="s">
        <v>468</v>
      </c>
      <c r="E94" s="16">
        <v>45725.736134259256</v>
      </c>
      <c r="F94">
        <v>5</v>
      </c>
    </row>
    <row r="95" spans="1:6" x14ac:dyDescent="0.2">
      <c r="A95">
        <v>3519</v>
      </c>
      <c r="B95" t="s">
        <v>117</v>
      </c>
      <c r="C95" t="s">
        <v>438</v>
      </c>
      <c r="D95" t="s">
        <v>457</v>
      </c>
      <c r="E95" s="16">
        <v>45614.821400462963</v>
      </c>
      <c r="F95">
        <v>5</v>
      </c>
    </row>
    <row r="96" spans="1:6" x14ac:dyDescent="0.2">
      <c r="A96">
        <v>3621</v>
      </c>
      <c r="B96" t="s">
        <v>263</v>
      </c>
      <c r="C96" t="s">
        <v>438</v>
      </c>
      <c r="D96" t="s">
        <v>447</v>
      </c>
      <c r="E96" s="16">
        <v>45770.455300925925</v>
      </c>
      <c r="F96">
        <v>5</v>
      </c>
    </row>
    <row r="97" spans="1:6" x14ac:dyDescent="0.2">
      <c r="A97">
        <v>3426</v>
      </c>
      <c r="B97" t="s">
        <v>207</v>
      </c>
      <c r="C97" t="s">
        <v>474</v>
      </c>
      <c r="D97" t="s">
        <v>475</v>
      </c>
      <c r="E97" s="16">
        <v>45629.400312500002</v>
      </c>
      <c r="F97">
        <v>5</v>
      </c>
    </row>
    <row r="98" spans="1:6" x14ac:dyDescent="0.2">
      <c r="A98">
        <v>3610</v>
      </c>
      <c r="B98" t="s">
        <v>305</v>
      </c>
      <c r="C98" t="s">
        <v>466</v>
      </c>
      <c r="D98" t="s">
        <v>468</v>
      </c>
      <c r="E98" s="16">
        <v>45819.464918981481</v>
      </c>
      <c r="F98">
        <v>5</v>
      </c>
    </row>
    <row r="99" spans="1:6" x14ac:dyDescent="0.2">
      <c r="A99">
        <v>3372</v>
      </c>
      <c r="B99" t="s">
        <v>96</v>
      </c>
      <c r="C99" t="s">
        <v>474</v>
      </c>
      <c r="D99" t="s">
        <v>476</v>
      </c>
      <c r="E99" s="16">
        <v>45630.394444444442</v>
      </c>
      <c r="F99">
        <v>5</v>
      </c>
    </row>
    <row r="100" spans="1:6" x14ac:dyDescent="0.2">
      <c r="A100">
        <v>3647</v>
      </c>
      <c r="B100" t="s">
        <v>310</v>
      </c>
      <c r="C100" t="s">
        <v>449</v>
      </c>
      <c r="D100" t="s">
        <v>454</v>
      </c>
      <c r="E100" s="16">
        <v>45824.300173611111</v>
      </c>
      <c r="F100">
        <v>5</v>
      </c>
    </row>
    <row r="101" spans="1:6" x14ac:dyDescent="0.2">
      <c r="A101">
        <v>3304</v>
      </c>
      <c r="B101" t="s">
        <v>74</v>
      </c>
      <c r="C101" t="s">
        <v>474</v>
      </c>
      <c r="D101" t="s">
        <v>475</v>
      </c>
      <c r="E101" s="16">
        <v>45629.370729166665</v>
      </c>
      <c r="F101">
        <v>5</v>
      </c>
    </row>
    <row r="102" spans="1:6" x14ac:dyDescent="0.2">
      <c r="A102">
        <v>3600</v>
      </c>
      <c r="B102" t="s">
        <v>258</v>
      </c>
      <c r="C102" t="s">
        <v>449</v>
      </c>
      <c r="D102" t="s">
        <v>454</v>
      </c>
      <c r="E102" s="16">
        <v>45831.677199074074</v>
      </c>
      <c r="F102">
        <v>5</v>
      </c>
    </row>
    <row r="103" spans="1:6" x14ac:dyDescent="0.2">
      <c r="A103">
        <v>2624</v>
      </c>
      <c r="B103" t="s">
        <v>155</v>
      </c>
      <c r="C103" t="s">
        <v>474</v>
      </c>
      <c r="D103" t="s">
        <v>475</v>
      </c>
      <c r="E103" s="16">
        <v>45662.531238425923</v>
      </c>
      <c r="F103">
        <v>5</v>
      </c>
    </row>
    <row r="104" spans="1:6" x14ac:dyDescent="0.2">
      <c r="A104">
        <v>3571</v>
      </c>
      <c r="B104" t="s">
        <v>48</v>
      </c>
      <c r="C104" t="s">
        <v>449</v>
      </c>
      <c r="D104" t="s">
        <v>454</v>
      </c>
      <c r="E104" s="16">
        <v>45925.509317129632</v>
      </c>
      <c r="F104">
        <v>5</v>
      </c>
    </row>
    <row r="105" spans="1:6" x14ac:dyDescent="0.2">
      <c r="A105">
        <v>3584</v>
      </c>
      <c r="B105" t="s">
        <v>57</v>
      </c>
      <c r="C105" t="s">
        <v>438</v>
      </c>
      <c r="D105" t="s">
        <v>457</v>
      </c>
      <c r="E105" s="16">
        <v>45702.391689814816</v>
      </c>
      <c r="F105">
        <v>5</v>
      </c>
    </row>
    <row r="106" spans="1:6" x14ac:dyDescent="0.2">
      <c r="A106">
        <v>2682</v>
      </c>
      <c r="B106" t="s">
        <v>198</v>
      </c>
      <c r="C106" t="s">
        <v>474</v>
      </c>
      <c r="D106" t="s">
        <v>479</v>
      </c>
      <c r="E106" s="16">
        <v>45630.402453703704</v>
      </c>
      <c r="F106">
        <v>5</v>
      </c>
    </row>
    <row r="107" spans="1:6" x14ac:dyDescent="0.2">
      <c r="A107">
        <v>3584</v>
      </c>
      <c r="B107" t="s">
        <v>57</v>
      </c>
      <c r="C107" t="s">
        <v>438</v>
      </c>
      <c r="D107" t="s">
        <v>443</v>
      </c>
      <c r="E107" s="16">
        <v>45713.723634259259</v>
      </c>
      <c r="F107">
        <v>5</v>
      </c>
    </row>
    <row r="108" spans="1:6" x14ac:dyDescent="0.2">
      <c r="A108">
        <v>2140</v>
      </c>
      <c r="B108" t="s">
        <v>41</v>
      </c>
      <c r="C108" t="s">
        <v>474</v>
      </c>
      <c r="D108" t="s">
        <v>479</v>
      </c>
      <c r="E108" s="16">
        <v>45638.221250000002</v>
      </c>
      <c r="F108">
        <v>5</v>
      </c>
    </row>
    <row r="109" spans="1:6" x14ac:dyDescent="0.2">
      <c r="A109">
        <v>3583</v>
      </c>
      <c r="B109" t="s">
        <v>97</v>
      </c>
      <c r="C109" t="s">
        <v>466</v>
      </c>
      <c r="D109" t="s">
        <v>470</v>
      </c>
      <c r="E109" s="16">
        <v>45714.607511574075</v>
      </c>
      <c r="F109">
        <v>5</v>
      </c>
    </row>
    <row r="110" spans="1:6" x14ac:dyDescent="0.2">
      <c r="A110">
        <v>1255</v>
      </c>
      <c r="B110" t="s">
        <v>135</v>
      </c>
      <c r="C110" t="s">
        <v>474</v>
      </c>
      <c r="D110" t="s">
        <v>480</v>
      </c>
      <c r="E110" s="16">
        <v>45635.500138888892</v>
      </c>
      <c r="F110">
        <v>5</v>
      </c>
    </row>
    <row r="111" spans="1:6" x14ac:dyDescent="0.2">
      <c r="A111">
        <v>3592</v>
      </c>
      <c r="B111" t="s">
        <v>272</v>
      </c>
      <c r="C111" t="s">
        <v>449</v>
      </c>
      <c r="D111" t="s">
        <v>459</v>
      </c>
      <c r="E111" s="16">
        <v>45719.525590277779</v>
      </c>
      <c r="F111">
        <v>5</v>
      </c>
    </row>
    <row r="112" spans="1:6" x14ac:dyDescent="0.2">
      <c r="A112">
        <v>3599</v>
      </c>
      <c r="B112" t="s">
        <v>281</v>
      </c>
      <c r="C112" t="s">
        <v>449</v>
      </c>
      <c r="D112" t="s">
        <v>454</v>
      </c>
      <c r="E112" s="16">
        <v>45741.483726851853</v>
      </c>
      <c r="F112">
        <v>5</v>
      </c>
    </row>
    <row r="113" spans="1:6" x14ac:dyDescent="0.2">
      <c r="A113">
        <v>3599</v>
      </c>
      <c r="B113" t="s">
        <v>281</v>
      </c>
      <c r="C113" t="s">
        <v>449</v>
      </c>
      <c r="D113" t="s">
        <v>459</v>
      </c>
      <c r="E113" s="16">
        <v>45741.483726851853</v>
      </c>
      <c r="F113">
        <v>5</v>
      </c>
    </row>
    <row r="114" spans="1:6" x14ac:dyDescent="0.2">
      <c r="A114">
        <v>3615</v>
      </c>
      <c r="B114" t="s">
        <v>236</v>
      </c>
      <c r="C114" t="s">
        <v>449</v>
      </c>
      <c r="D114" t="s">
        <v>454</v>
      </c>
      <c r="E114" s="16">
        <v>45757.442048611112</v>
      </c>
      <c r="F114">
        <v>5</v>
      </c>
    </row>
    <row r="115" spans="1:6" x14ac:dyDescent="0.2">
      <c r="A115">
        <v>3610</v>
      </c>
      <c r="B115" t="s">
        <v>305</v>
      </c>
      <c r="C115" t="s">
        <v>449</v>
      </c>
      <c r="D115" t="s">
        <v>459</v>
      </c>
      <c r="E115" s="16">
        <v>45754.531921296293</v>
      </c>
      <c r="F115">
        <v>5</v>
      </c>
    </row>
    <row r="116" spans="1:6" x14ac:dyDescent="0.2">
      <c r="A116">
        <v>3562</v>
      </c>
      <c r="B116" t="s">
        <v>49</v>
      </c>
      <c r="C116" t="s">
        <v>438</v>
      </c>
      <c r="D116" t="s">
        <v>456</v>
      </c>
      <c r="E116" s="16">
        <v>45765.650509259256</v>
      </c>
      <c r="F116">
        <v>5</v>
      </c>
    </row>
    <row r="117" spans="1:6" x14ac:dyDescent="0.2">
      <c r="A117">
        <v>3614</v>
      </c>
      <c r="B117" t="s">
        <v>217</v>
      </c>
      <c r="C117" t="s">
        <v>438</v>
      </c>
      <c r="D117" t="s">
        <v>457</v>
      </c>
      <c r="E117" s="16">
        <v>45758.27144675926</v>
      </c>
      <c r="F117">
        <v>5</v>
      </c>
    </row>
    <row r="118" spans="1:6" x14ac:dyDescent="0.2">
      <c r="A118">
        <v>3636</v>
      </c>
      <c r="B118" t="s">
        <v>270</v>
      </c>
      <c r="C118" t="s">
        <v>449</v>
      </c>
      <c r="D118" t="s">
        <v>454</v>
      </c>
      <c r="E118" s="16">
        <v>45789.320462962962</v>
      </c>
      <c r="F118">
        <v>5</v>
      </c>
    </row>
    <row r="119" spans="1:6" x14ac:dyDescent="0.2">
      <c r="A119">
        <v>3621</v>
      </c>
      <c r="B119" t="s">
        <v>263</v>
      </c>
      <c r="C119" t="s">
        <v>438</v>
      </c>
      <c r="D119" t="s">
        <v>457</v>
      </c>
      <c r="E119" s="16">
        <v>45770.455300925925</v>
      </c>
      <c r="F119">
        <v>5</v>
      </c>
    </row>
    <row r="120" spans="1:6" x14ac:dyDescent="0.2">
      <c r="A120">
        <v>3649</v>
      </c>
      <c r="B120" t="s">
        <v>312</v>
      </c>
      <c r="C120" t="s">
        <v>449</v>
      </c>
      <c r="D120" t="s">
        <v>454</v>
      </c>
      <c r="E120" s="16">
        <v>45848.301365740743</v>
      </c>
      <c r="F120">
        <v>5</v>
      </c>
    </row>
    <row r="121" spans="1:6" x14ac:dyDescent="0.2">
      <c r="A121">
        <v>3621</v>
      </c>
      <c r="B121" t="s">
        <v>263</v>
      </c>
      <c r="C121" t="s">
        <v>449</v>
      </c>
      <c r="D121" t="s">
        <v>459</v>
      </c>
      <c r="E121" s="16">
        <v>45818.647673611114</v>
      </c>
      <c r="F121">
        <v>5</v>
      </c>
    </row>
    <row r="122" spans="1:6" x14ac:dyDescent="0.2">
      <c r="A122">
        <v>3663</v>
      </c>
      <c r="B122" t="s">
        <v>278</v>
      </c>
      <c r="C122" t="s">
        <v>449</v>
      </c>
      <c r="D122" t="s">
        <v>454</v>
      </c>
      <c r="E122" s="16">
        <v>45875.534375000003</v>
      </c>
      <c r="F122">
        <v>5</v>
      </c>
    </row>
    <row r="123" spans="1:6" x14ac:dyDescent="0.2">
      <c r="A123">
        <v>3610</v>
      </c>
      <c r="B123" t="s">
        <v>305</v>
      </c>
      <c r="C123" t="s">
        <v>466</v>
      </c>
      <c r="D123" t="s">
        <v>470</v>
      </c>
      <c r="E123" s="16">
        <v>45819.464918981481</v>
      </c>
      <c r="F123">
        <v>5</v>
      </c>
    </row>
    <row r="124" spans="1:6" x14ac:dyDescent="0.2">
      <c r="A124">
        <v>3665</v>
      </c>
      <c r="B124" t="s">
        <v>222</v>
      </c>
      <c r="C124" t="s">
        <v>438</v>
      </c>
      <c r="D124" t="s">
        <v>447</v>
      </c>
      <c r="E124" s="16">
        <v>45876.564085648148</v>
      </c>
      <c r="F124">
        <v>5</v>
      </c>
    </row>
    <row r="125" spans="1:6" x14ac:dyDescent="0.2">
      <c r="A125">
        <v>3649</v>
      </c>
      <c r="B125" t="s">
        <v>312</v>
      </c>
      <c r="C125" t="s">
        <v>449</v>
      </c>
      <c r="D125" t="s">
        <v>459</v>
      </c>
      <c r="E125" s="16">
        <v>45848.301365740743</v>
      </c>
      <c r="F125">
        <v>5</v>
      </c>
    </row>
    <row r="126" spans="1:6" x14ac:dyDescent="0.2">
      <c r="A126">
        <v>3644</v>
      </c>
      <c r="B126" t="s">
        <v>299</v>
      </c>
      <c r="C126" t="s">
        <v>466</v>
      </c>
      <c r="D126" t="s">
        <v>468</v>
      </c>
      <c r="E126" s="16">
        <v>45888.512256944443</v>
      </c>
      <c r="F126">
        <v>5</v>
      </c>
    </row>
    <row r="127" spans="1:6" x14ac:dyDescent="0.2">
      <c r="A127">
        <v>3656</v>
      </c>
      <c r="B127" t="s">
        <v>259</v>
      </c>
      <c r="C127" t="s">
        <v>449</v>
      </c>
      <c r="D127" t="s">
        <v>459</v>
      </c>
      <c r="E127" s="16">
        <v>45859.573217592595</v>
      </c>
      <c r="F127">
        <v>5</v>
      </c>
    </row>
    <row r="128" spans="1:6" x14ac:dyDescent="0.2">
      <c r="A128">
        <v>3644</v>
      </c>
      <c r="B128" t="s">
        <v>299</v>
      </c>
      <c r="C128" t="s">
        <v>438</v>
      </c>
      <c r="D128" t="s">
        <v>456</v>
      </c>
      <c r="E128" s="16">
        <v>45894.433703703704</v>
      </c>
      <c r="F128">
        <v>5</v>
      </c>
    </row>
    <row r="129" spans="1:6" x14ac:dyDescent="0.2">
      <c r="A129">
        <v>3456</v>
      </c>
      <c r="B129" t="s">
        <v>56</v>
      </c>
      <c r="C129" t="s">
        <v>449</v>
      </c>
      <c r="D129" t="s">
        <v>459</v>
      </c>
      <c r="E129" s="16">
        <v>45870.333506944444</v>
      </c>
      <c r="F129">
        <v>5</v>
      </c>
    </row>
    <row r="130" spans="1:6" x14ac:dyDescent="0.2">
      <c r="A130">
        <v>3674</v>
      </c>
      <c r="B130" t="s">
        <v>292</v>
      </c>
      <c r="C130" t="s">
        <v>449</v>
      </c>
      <c r="D130" t="s">
        <v>454</v>
      </c>
      <c r="E130" s="16">
        <v>45902.531527777777</v>
      </c>
      <c r="F130">
        <v>5</v>
      </c>
    </row>
    <row r="131" spans="1:6" x14ac:dyDescent="0.2">
      <c r="A131">
        <v>3665</v>
      </c>
      <c r="B131" t="s">
        <v>222</v>
      </c>
      <c r="C131" t="s">
        <v>449</v>
      </c>
      <c r="D131" t="s">
        <v>459</v>
      </c>
      <c r="E131" s="16">
        <v>45876.564085648148</v>
      </c>
      <c r="F131">
        <v>5</v>
      </c>
    </row>
    <row r="132" spans="1:6" x14ac:dyDescent="0.2">
      <c r="A132">
        <v>2582</v>
      </c>
      <c r="B132" t="s">
        <v>85</v>
      </c>
      <c r="C132" t="s">
        <v>436</v>
      </c>
      <c r="D132" t="s">
        <v>437</v>
      </c>
      <c r="E132" s="16">
        <v>45915.38621527778</v>
      </c>
      <c r="F132">
        <v>5</v>
      </c>
    </row>
    <row r="133" spans="1:6" x14ac:dyDescent="0.2">
      <c r="A133">
        <v>3674</v>
      </c>
      <c r="B133" t="s">
        <v>292</v>
      </c>
      <c r="C133" t="s">
        <v>449</v>
      </c>
      <c r="D133" t="s">
        <v>459</v>
      </c>
      <c r="E133" s="16">
        <v>45902.531527777777</v>
      </c>
      <c r="F133">
        <v>5</v>
      </c>
    </row>
    <row r="134" spans="1:6" x14ac:dyDescent="0.2">
      <c r="A134">
        <v>3662</v>
      </c>
      <c r="B134" t="s">
        <v>250</v>
      </c>
      <c r="C134" t="s">
        <v>436</v>
      </c>
      <c r="D134" t="s">
        <v>437</v>
      </c>
      <c r="E134" s="16">
        <v>45921.633692129632</v>
      </c>
      <c r="F134">
        <v>5</v>
      </c>
    </row>
    <row r="135" spans="1:6" x14ac:dyDescent="0.2">
      <c r="A135">
        <v>3429</v>
      </c>
      <c r="B135" t="s">
        <v>134</v>
      </c>
      <c r="C135" t="s">
        <v>449</v>
      </c>
      <c r="D135" t="s">
        <v>459</v>
      </c>
      <c r="E135" s="16">
        <v>45923.572245370371</v>
      </c>
      <c r="F135">
        <v>5</v>
      </c>
    </row>
    <row r="136" spans="1:6" x14ac:dyDescent="0.2">
      <c r="A136">
        <v>3689</v>
      </c>
      <c r="B136" t="s">
        <v>288</v>
      </c>
      <c r="C136" t="s">
        <v>438</v>
      </c>
      <c r="D136" t="s">
        <v>447</v>
      </c>
      <c r="E136" s="16">
        <v>45950.771724537037</v>
      </c>
      <c r="F136">
        <v>5</v>
      </c>
    </row>
    <row r="137" spans="1:6" x14ac:dyDescent="0.2">
      <c r="A137">
        <v>3410</v>
      </c>
      <c r="B137" t="s">
        <v>43</v>
      </c>
      <c r="C137" t="s">
        <v>474</v>
      </c>
      <c r="D137" t="s">
        <v>476</v>
      </c>
      <c r="E137" s="16">
        <v>45631.268576388888</v>
      </c>
      <c r="F137">
        <v>5</v>
      </c>
    </row>
    <row r="138" spans="1:6" x14ac:dyDescent="0.2">
      <c r="A138">
        <v>3688</v>
      </c>
      <c r="B138" t="s">
        <v>303</v>
      </c>
      <c r="C138" t="s">
        <v>449</v>
      </c>
      <c r="D138" t="s">
        <v>454</v>
      </c>
      <c r="E138" s="16">
        <v>45961.516574074078</v>
      </c>
      <c r="F138">
        <v>5</v>
      </c>
    </row>
    <row r="139" spans="1:6" x14ac:dyDescent="0.2">
      <c r="A139">
        <v>104</v>
      </c>
      <c r="B139" t="s">
        <v>94</v>
      </c>
      <c r="C139" t="s">
        <v>474</v>
      </c>
      <c r="D139" t="s">
        <v>476</v>
      </c>
      <c r="E139" s="16">
        <v>45635.716203703705</v>
      </c>
      <c r="F139">
        <v>5</v>
      </c>
    </row>
    <row r="140" spans="1:6" x14ac:dyDescent="0.2">
      <c r="A140">
        <v>2303</v>
      </c>
      <c r="B140" t="s">
        <v>72</v>
      </c>
      <c r="C140" t="s">
        <v>474</v>
      </c>
      <c r="D140" t="s">
        <v>479</v>
      </c>
      <c r="E140" s="16">
        <v>45631.286585648151</v>
      </c>
      <c r="F140">
        <v>5</v>
      </c>
    </row>
    <row r="141" spans="1:6" x14ac:dyDescent="0.2">
      <c r="A141">
        <v>3546</v>
      </c>
      <c r="B141" t="s">
        <v>144</v>
      </c>
      <c r="C141" t="s">
        <v>438</v>
      </c>
      <c r="D141" t="s">
        <v>457</v>
      </c>
      <c r="E141" s="16">
        <v>45629.378425925926</v>
      </c>
      <c r="F141">
        <v>5</v>
      </c>
    </row>
    <row r="142" spans="1:6" x14ac:dyDescent="0.2">
      <c r="A142">
        <v>3519</v>
      </c>
      <c r="B142" t="s">
        <v>117</v>
      </c>
      <c r="C142" t="s">
        <v>438</v>
      </c>
      <c r="D142" t="s">
        <v>447</v>
      </c>
      <c r="E142" s="16">
        <v>45659.453865740739</v>
      </c>
      <c r="F142">
        <v>5</v>
      </c>
    </row>
    <row r="143" spans="1:6" x14ac:dyDescent="0.2">
      <c r="A143">
        <v>2875</v>
      </c>
      <c r="B143" t="s">
        <v>123</v>
      </c>
      <c r="C143" t="s">
        <v>474</v>
      </c>
      <c r="D143" t="s">
        <v>475</v>
      </c>
      <c r="E143" s="16">
        <v>45629.633113425924</v>
      </c>
      <c r="F143">
        <v>5</v>
      </c>
    </row>
    <row r="144" spans="1:6" x14ac:dyDescent="0.2">
      <c r="A144">
        <v>3431</v>
      </c>
      <c r="B144" t="s">
        <v>53</v>
      </c>
      <c r="C144" t="s">
        <v>438</v>
      </c>
      <c r="D144" t="s">
        <v>456</v>
      </c>
      <c r="E144" s="16">
        <v>45725.739039351851</v>
      </c>
      <c r="F144">
        <v>5</v>
      </c>
    </row>
    <row r="145" spans="1:6" x14ac:dyDescent="0.2">
      <c r="A145">
        <v>2727</v>
      </c>
      <c r="B145" t="s">
        <v>160</v>
      </c>
      <c r="C145" t="s">
        <v>474</v>
      </c>
      <c r="D145" t="s">
        <v>475</v>
      </c>
      <c r="E145" s="16">
        <v>45630.348402777781</v>
      </c>
      <c r="F145">
        <v>5</v>
      </c>
    </row>
    <row r="146" spans="1:6" x14ac:dyDescent="0.2">
      <c r="A146">
        <v>3245</v>
      </c>
      <c r="B146" t="s">
        <v>67</v>
      </c>
      <c r="C146" t="s">
        <v>462</v>
      </c>
      <c r="D146" t="s">
        <v>465</v>
      </c>
      <c r="E146" s="16">
        <v>45728.641226851854</v>
      </c>
      <c r="F146">
        <v>5</v>
      </c>
    </row>
    <row r="147" spans="1:6" x14ac:dyDescent="0.2">
      <c r="A147">
        <v>3112</v>
      </c>
      <c r="B147" t="s">
        <v>88</v>
      </c>
      <c r="C147" t="s">
        <v>474</v>
      </c>
      <c r="D147" t="s">
        <v>475</v>
      </c>
      <c r="E147" s="16">
        <v>45622.357905092591</v>
      </c>
      <c r="F147">
        <v>5</v>
      </c>
    </row>
    <row r="148" spans="1:6" x14ac:dyDescent="0.2">
      <c r="A148">
        <v>3597</v>
      </c>
      <c r="B148" t="s">
        <v>319</v>
      </c>
      <c r="C148" t="s">
        <v>449</v>
      </c>
      <c r="D148" t="s">
        <v>454</v>
      </c>
      <c r="E148" s="16">
        <v>45740.318032407406</v>
      </c>
      <c r="F148">
        <v>5</v>
      </c>
    </row>
    <row r="149" spans="1:6" x14ac:dyDescent="0.2">
      <c r="A149">
        <v>3126</v>
      </c>
      <c r="B149" t="s">
        <v>59</v>
      </c>
      <c r="C149" t="s">
        <v>474</v>
      </c>
      <c r="D149" t="s">
        <v>481</v>
      </c>
      <c r="E149" s="16">
        <v>45629.368750000001</v>
      </c>
      <c r="F149">
        <v>5</v>
      </c>
    </row>
    <row r="150" spans="1:6" x14ac:dyDescent="0.2">
      <c r="A150">
        <v>3610</v>
      </c>
      <c r="B150" t="s">
        <v>305</v>
      </c>
      <c r="C150" t="s">
        <v>449</v>
      </c>
      <c r="D150" t="s">
        <v>454</v>
      </c>
      <c r="E150" s="16">
        <v>45754.531921296293</v>
      </c>
      <c r="F150">
        <v>5</v>
      </c>
    </row>
    <row r="151" spans="1:6" x14ac:dyDescent="0.2">
      <c r="A151">
        <v>2990</v>
      </c>
      <c r="B151" t="s">
        <v>157</v>
      </c>
      <c r="C151" t="s">
        <v>474</v>
      </c>
      <c r="D151" t="s">
        <v>475</v>
      </c>
      <c r="E151" s="16">
        <v>45630.416307870371</v>
      </c>
      <c r="F151">
        <v>5</v>
      </c>
    </row>
    <row r="152" spans="1:6" x14ac:dyDescent="0.2">
      <c r="A152">
        <v>3112</v>
      </c>
      <c r="B152" t="s">
        <v>88</v>
      </c>
      <c r="C152" t="s">
        <v>438</v>
      </c>
      <c r="D152" t="s">
        <v>446</v>
      </c>
      <c r="E152" s="16">
        <v>45758.384722222225</v>
      </c>
      <c r="F152">
        <v>5</v>
      </c>
    </row>
    <row r="153" spans="1:6" x14ac:dyDescent="0.2">
      <c r="A153">
        <v>3476</v>
      </c>
      <c r="B153" t="s">
        <v>73</v>
      </c>
      <c r="C153" t="s">
        <v>474</v>
      </c>
      <c r="D153" t="s">
        <v>475</v>
      </c>
      <c r="E153" s="16">
        <v>45629.370208333334</v>
      </c>
      <c r="F153">
        <v>5</v>
      </c>
    </row>
    <row r="154" spans="1:6" x14ac:dyDescent="0.2">
      <c r="A154">
        <v>3112</v>
      </c>
      <c r="B154" t="s">
        <v>88</v>
      </c>
      <c r="C154" t="s">
        <v>474</v>
      </c>
      <c r="D154" t="s">
        <v>479</v>
      </c>
      <c r="E154" s="16">
        <v>45758.385081018518</v>
      </c>
      <c r="F154">
        <v>5</v>
      </c>
    </row>
    <row r="155" spans="1:6" x14ac:dyDescent="0.2">
      <c r="A155">
        <v>3211</v>
      </c>
      <c r="B155" t="s">
        <v>105</v>
      </c>
      <c r="C155" t="s">
        <v>474</v>
      </c>
      <c r="D155" t="s">
        <v>481</v>
      </c>
      <c r="E155" s="16">
        <v>45631.287731481483</v>
      </c>
      <c r="F155">
        <v>5</v>
      </c>
    </row>
    <row r="156" spans="1:6" x14ac:dyDescent="0.2">
      <c r="A156">
        <v>3636</v>
      </c>
      <c r="B156" t="s">
        <v>270</v>
      </c>
      <c r="C156" t="s">
        <v>438</v>
      </c>
      <c r="D156" t="s">
        <v>456</v>
      </c>
      <c r="E156" s="16">
        <v>45789.320462962962</v>
      </c>
      <c r="F156">
        <v>5</v>
      </c>
    </row>
    <row r="157" spans="1:6" x14ac:dyDescent="0.2">
      <c r="A157">
        <v>3546</v>
      </c>
      <c r="B157" t="s">
        <v>144</v>
      </c>
      <c r="C157" t="s">
        <v>474</v>
      </c>
      <c r="D157" t="s">
        <v>475</v>
      </c>
      <c r="E157" s="16">
        <v>45631.294062499997</v>
      </c>
      <c r="F157">
        <v>5</v>
      </c>
    </row>
    <row r="158" spans="1:6" x14ac:dyDescent="0.2">
      <c r="A158">
        <v>3636</v>
      </c>
      <c r="B158" t="s">
        <v>270</v>
      </c>
      <c r="C158" t="s">
        <v>438</v>
      </c>
      <c r="D158" t="s">
        <v>447</v>
      </c>
      <c r="E158" s="16">
        <v>45789.320462962962</v>
      </c>
      <c r="F158">
        <v>5</v>
      </c>
    </row>
    <row r="159" spans="1:6" x14ac:dyDescent="0.2">
      <c r="A159">
        <v>3562</v>
      </c>
      <c r="B159" t="s">
        <v>49</v>
      </c>
      <c r="C159" t="s">
        <v>438</v>
      </c>
      <c r="D159" t="s">
        <v>457</v>
      </c>
      <c r="E159" s="16">
        <v>45674.469907407409</v>
      </c>
      <c r="F159">
        <v>5</v>
      </c>
    </row>
    <row r="160" spans="1:6" x14ac:dyDescent="0.2">
      <c r="A160">
        <v>3644</v>
      </c>
      <c r="B160" t="s">
        <v>299</v>
      </c>
      <c r="C160" t="s">
        <v>449</v>
      </c>
      <c r="D160" t="s">
        <v>454</v>
      </c>
      <c r="E160" s="16">
        <v>45811.591157407405</v>
      </c>
      <c r="F160">
        <v>5</v>
      </c>
    </row>
    <row r="161" spans="1:6" x14ac:dyDescent="0.2">
      <c r="A161">
        <v>3564</v>
      </c>
      <c r="B161" t="s">
        <v>84</v>
      </c>
      <c r="C161" t="s">
        <v>449</v>
      </c>
      <c r="D161" t="s">
        <v>459</v>
      </c>
      <c r="E161" s="16">
        <v>45699.570844907408</v>
      </c>
      <c r="F161">
        <v>5</v>
      </c>
    </row>
    <row r="162" spans="1:6" x14ac:dyDescent="0.2">
      <c r="A162">
        <v>3656</v>
      </c>
      <c r="B162" t="s">
        <v>259</v>
      </c>
      <c r="C162" t="s">
        <v>438</v>
      </c>
      <c r="D162" t="s">
        <v>447</v>
      </c>
      <c r="E162" s="16">
        <v>45859.573229166665</v>
      </c>
      <c r="F162">
        <v>5</v>
      </c>
    </row>
    <row r="163" spans="1:6" x14ac:dyDescent="0.2">
      <c r="A163">
        <v>3584</v>
      </c>
      <c r="B163" t="s">
        <v>57</v>
      </c>
      <c r="C163" t="s">
        <v>438</v>
      </c>
      <c r="D163" t="s">
        <v>440</v>
      </c>
      <c r="E163" s="16">
        <v>45702.391689814816</v>
      </c>
      <c r="F163">
        <v>5</v>
      </c>
    </row>
    <row r="164" spans="1:6" x14ac:dyDescent="0.2">
      <c r="A164">
        <v>3654</v>
      </c>
      <c r="B164" t="s">
        <v>231</v>
      </c>
      <c r="C164" t="s">
        <v>438</v>
      </c>
      <c r="D164" t="s">
        <v>447</v>
      </c>
      <c r="E164" s="16">
        <v>45860.590682870374</v>
      </c>
      <c r="F164">
        <v>5</v>
      </c>
    </row>
    <row r="165" spans="1:6" x14ac:dyDescent="0.2">
      <c r="A165">
        <v>2624</v>
      </c>
      <c r="B165" t="s">
        <v>155</v>
      </c>
      <c r="C165" t="s">
        <v>449</v>
      </c>
      <c r="D165" t="s">
        <v>459</v>
      </c>
      <c r="E165" s="16">
        <v>45721.455937500003</v>
      </c>
      <c r="F165">
        <v>5</v>
      </c>
    </row>
    <row r="166" spans="1:6" x14ac:dyDescent="0.2">
      <c r="A166">
        <v>3676</v>
      </c>
      <c r="B166" t="s">
        <v>239</v>
      </c>
      <c r="C166" t="s">
        <v>462</v>
      </c>
      <c r="D166" t="s">
        <v>465</v>
      </c>
      <c r="E166" s="16">
        <v>45947.612986111111</v>
      </c>
      <c r="F166">
        <v>5</v>
      </c>
    </row>
    <row r="167" spans="1:6" x14ac:dyDescent="0.2">
      <c r="A167">
        <v>3245</v>
      </c>
      <c r="B167" t="s">
        <v>67</v>
      </c>
      <c r="C167" t="s">
        <v>474</v>
      </c>
      <c r="D167" t="s">
        <v>476</v>
      </c>
      <c r="E167" s="16">
        <v>45728.640567129631</v>
      </c>
      <c r="F167">
        <v>5</v>
      </c>
    </row>
    <row r="168" spans="1:6" x14ac:dyDescent="0.2">
      <c r="A168">
        <v>3688</v>
      </c>
      <c r="B168" t="s">
        <v>303</v>
      </c>
      <c r="C168" t="s">
        <v>466</v>
      </c>
      <c r="D168" t="s">
        <v>468</v>
      </c>
      <c r="E168" s="16">
        <v>45959.521041666667</v>
      </c>
      <c r="F168">
        <v>5</v>
      </c>
    </row>
    <row r="169" spans="1:6" x14ac:dyDescent="0.2">
      <c r="A169">
        <v>3597</v>
      </c>
      <c r="B169" t="s">
        <v>319</v>
      </c>
      <c r="C169" t="s">
        <v>449</v>
      </c>
      <c r="D169" t="s">
        <v>459</v>
      </c>
      <c r="E169" s="16">
        <v>45740.318032407406</v>
      </c>
      <c r="F169">
        <v>5</v>
      </c>
    </row>
    <row r="170" spans="1:6" x14ac:dyDescent="0.2">
      <c r="A170">
        <v>2950</v>
      </c>
      <c r="B170" t="s">
        <v>115</v>
      </c>
      <c r="C170" t="s">
        <v>474</v>
      </c>
      <c r="D170" t="s">
        <v>479</v>
      </c>
      <c r="E170" s="16">
        <v>45630.400196759256</v>
      </c>
      <c r="F170">
        <v>5</v>
      </c>
    </row>
    <row r="171" spans="1:6" x14ac:dyDescent="0.2">
      <c r="A171">
        <v>3112</v>
      </c>
      <c r="B171" t="s">
        <v>88</v>
      </c>
      <c r="C171" t="s">
        <v>449</v>
      </c>
      <c r="D171" t="s">
        <v>459</v>
      </c>
      <c r="E171" s="16">
        <v>45756.855243055557</v>
      </c>
      <c r="F171">
        <v>5</v>
      </c>
    </row>
    <row r="172" spans="1:6" x14ac:dyDescent="0.2">
      <c r="A172">
        <v>1255</v>
      </c>
      <c r="B172" t="s">
        <v>135</v>
      </c>
      <c r="C172" t="s">
        <v>474</v>
      </c>
      <c r="D172" t="s">
        <v>478</v>
      </c>
      <c r="E172" s="16">
        <v>45635.500138888892</v>
      </c>
      <c r="F172">
        <v>5</v>
      </c>
    </row>
    <row r="173" spans="1:6" x14ac:dyDescent="0.2">
      <c r="A173">
        <v>3112</v>
      </c>
      <c r="B173" t="s">
        <v>88</v>
      </c>
      <c r="C173" t="s">
        <v>438</v>
      </c>
      <c r="D173" t="s">
        <v>443</v>
      </c>
      <c r="E173" s="16">
        <v>45758.384722222225</v>
      </c>
      <c r="F173">
        <v>5</v>
      </c>
    </row>
    <row r="174" spans="1:6" x14ac:dyDescent="0.2">
      <c r="A174">
        <v>2624</v>
      </c>
      <c r="B174" t="s">
        <v>155</v>
      </c>
      <c r="C174" t="s">
        <v>474</v>
      </c>
      <c r="D174" t="s">
        <v>479</v>
      </c>
      <c r="E174" s="16">
        <v>45662.531238425923</v>
      </c>
      <c r="F174">
        <v>5</v>
      </c>
    </row>
    <row r="175" spans="1:6" x14ac:dyDescent="0.2">
      <c r="A175">
        <v>3616</v>
      </c>
      <c r="B175" t="s">
        <v>249</v>
      </c>
      <c r="C175" t="s">
        <v>438</v>
      </c>
      <c r="D175" t="s">
        <v>457</v>
      </c>
      <c r="E175" s="16">
        <v>45763.539409722223</v>
      </c>
      <c r="F175">
        <v>5</v>
      </c>
    </row>
    <row r="176" spans="1:6" x14ac:dyDescent="0.2">
      <c r="A176">
        <v>3196</v>
      </c>
      <c r="B176" t="s">
        <v>46</v>
      </c>
      <c r="C176" t="s">
        <v>474</v>
      </c>
      <c r="D176" t="s">
        <v>480</v>
      </c>
      <c r="E176" s="16">
        <v>45668.362986111111</v>
      </c>
      <c r="F176">
        <v>5</v>
      </c>
    </row>
    <row r="177" spans="1:6" x14ac:dyDescent="0.2">
      <c r="A177">
        <v>3564</v>
      </c>
      <c r="B177" t="s">
        <v>84</v>
      </c>
      <c r="C177" t="s">
        <v>438</v>
      </c>
      <c r="D177" t="s">
        <v>457</v>
      </c>
      <c r="E177" s="16">
        <v>45788.70815972222</v>
      </c>
      <c r="F177">
        <v>5</v>
      </c>
    </row>
    <row r="178" spans="1:6" x14ac:dyDescent="0.2">
      <c r="A178">
        <v>3564</v>
      </c>
      <c r="B178" t="s">
        <v>84</v>
      </c>
      <c r="C178" t="s">
        <v>462</v>
      </c>
      <c r="D178" t="s">
        <v>463</v>
      </c>
      <c r="E178" s="16">
        <v>45701.551805555559</v>
      </c>
      <c r="F178">
        <v>5</v>
      </c>
    </row>
    <row r="179" spans="1:6" x14ac:dyDescent="0.2">
      <c r="A179">
        <v>3636</v>
      </c>
      <c r="B179" t="s">
        <v>270</v>
      </c>
      <c r="C179" t="s">
        <v>449</v>
      </c>
      <c r="D179" t="s">
        <v>459</v>
      </c>
      <c r="E179" s="16">
        <v>45789.320462962962</v>
      </c>
      <c r="F179">
        <v>5</v>
      </c>
    </row>
    <row r="180" spans="1:6" x14ac:dyDescent="0.2">
      <c r="A180">
        <v>3562</v>
      </c>
      <c r="B180" t="s">
        <v>49</v>
      </c>
      <c r="C180" t="s">
        <v>438</v>
      </c>
      <c r="D180" t="s">
        <v>447</v>
      </c>
      <c r="E180" s="16">
        <v>45765.650509259256</v>
      </c>
      <c r="F180">
        <v>5</v>
      </c>
    </row>
    <row r="181" spans="1:6" x14ac:dyDescent="0.2">
      <c r="A181">
        <v>3636</v>
      </c>
      <c r="B181" t="s">
        <v>270</v>
      </c>
      <c r="C181" t="s">
        <v>438</v>
      </c>
      <c r="D181" t="s">
        <v>442</v>
      </c>
      <c r="E181" s="16">
        <v>45789.320474537039</v>
      </c>
      <c r="F181">
        <v>5</v>
      </c>
    </row>
    <row r="182" spans="1:6" x14ac:dyDescent="0.2">
      <c r="A182">
        <v>3648</v>
      </c>
      <c r="B182" t="s">
        <v>261</v>
      </c>
      <c r="C182" t="s">
        <v>466</v>
      </c>
      <c r="D182" t="s">
        <v>468</v>
      </c>
      <c r="E182" s="16">
        <v>45846.46597222222</v>
      </c>
      <c r="F182">
        <v>5</v>
      </c>
    </row>
    <row r="183" spans="1:6" x14ac:dyDescent="0.2">
      <c r="A183">
        <v>3582</v>
      </c>
      <c r="B183" t="s">
        <v>211</v>
      </c>
      <c r="C183" t="s">
        <v>449</v>
      </c>
      <c r="D183" t="s">
        <v>459</v>
      </c>
      <c r="E183" s="16">
        <v>45809.847719907404</v>
      </c>
      <c r="F183">
        <v>5</v>
      </c>
    </row>
    <row r="184" spans="1:6" x14ac:dyDescent="0.2">
      <c r="A184">
        <v>3649</v>
      </c>
      <c r="B184" t="s">
        <v>312</v>
      </c>
      <c r="C184" t="s">
        <v>438</v>
      </c>
      <c r="D184" t="s">
        <v>447</v>
      </c>
      <c r="E184" s="16">
        <v>45848.301377314812</v>
      </c>
      <c r="F184">
        <v>5</v>
      </c>
    </row>
    <row r="185" spans="1:6" x14ac:dyDescent="0.2">
      <c r="A185">
        <v>3644</v>
      </c>
      <c r="B185" t="s">
        <v>299</v>
      </c>
      <c r="C185" t="s">
        <v>438</v>
      </c>
      <c r="D185" t="s">
        <v>457</v>
      </c>
      <c r="E185" s="16">
        <v>45811.591157407405</v>
      </c>
      <c r="F185">
        <v>5</v>
      </c>
    </row>
    <row r="186" spans="1:6" x14ac:dyDescent="0.2">
      <c r="A186">
        <v>3649</v>
      </c>
      <c r="B186" t="s">
        <v>312</v>
      </c>
      <c r="C186" t="s">
        <v>462</v>
      </c>
      <c r="D186" t="s">
        <v>463</v>
      </c>
      <c r="E186" s="16">
        <v>45853.616527777776</v>
      </c>
      <c r="F186">
        <v>5</v>
      </c>
    </row>
    <row r="187" spans="1:6" x14ac:dyDescent="0.2">
      <c r="A187">
        <v>3591</v>
      </c>
      <c r="B187" t="s">
        <v>254</v>
      </c>
      <c r="C187" t="s">
        <v>449</v>
      </c>
      <c r="D187" t="s">
        <v>459</v>
      </c>
      <c r="E187" s="16">
        <v>45829.500937500001</v>
      </c>
      <c r="F187">
        <v>5</v>
      </c>
    </row>
    <row r="188" spans="1:6" x14ac:dyDescent="0.2">
      <c r="A188">
        <v>3654</v>
      </c>
      <c r="B188" t="s">
        <v>231</v>
      </c>
      <c r="C188" t="s">
        <v>438</v>
      </c>
      <c r="D188" t="s">
        <v>456</v>
      </c>
      <c r="E188" s="16">
        <v>45860.590682870374</v>
      </c>
      <c r="F188">
        <v>5</v>
      </c>
    </row>
    <row r="189" spans="1:6" x14ac:dyDescent="0.2">
      <c r="A189">
        <v>3571</v>
      </c>
      <c r="B189" t="s">
        <v>48</v>
      </c>
      <c r="C189" t="s">
        <v>449</v>
      </c>
      <c r="D189" t="s">
        <v>459</v>
      </c>
      <c r="E189" s="16">
        <v>45834.193495370368</v>
      </c>
      <c r="F189">
        <v>5</v>
      </c>
    </row>
    <row r="190" spans="1:6" x14ac:dyDescent="0.2">
      <c r="A190">
        <v>3665</v>
      </c>
      <c r="B190" t="s">
        <v>222</v>
      </c>
      <c r="C190" t="s">
        <v>449</v>
      </c>
      <c r="D190" t="s">
        <v>454</v>
      </c>
      <c r="E190" s="16">
        <v>45876.564085648148</v>
      </c>
      <c r="F190">
        <v>5</v>
      </c>
    </row>
    <row r="191" spans="1:6" x14ac:dyDescent="0.2">
      <c r="A191">
        <v>3648</v>
      </c>
      <c r="B191" t="s">
        <v>261</v>
      </c>
      <c r="C191" t="s">
        <v>438</v>
      </c>
      <c r="D191" t="s">
        <v>457</v>
      </c>
      <c r="E191" s="16">
        <v>45846.46597222222</v>
      </c>
      <c r="F191">
        <v>5</v>
      </c>
    </row>
    <row r="192" spans="1:6" x14ac:dyDescent="0.2">
      <c r="A192">
        <v>3660</v>
      </c>
      <c r="B192" t="s">
        <v>285</v>
      </c>
      <c r="C192" t="s">
        <v>449</v>
      </c>
      <c r="D192" t="s">
        <v>454</v>
      </c>
      <c r="E192" s="16">
        <v>45881.582662037035</v>
      </c>
      <c r="F192">
        <v>5</v>
      </c>
    </row>
    <row r="193" spans="1:6" x14ac:dyDescent="0.2">
      <c r="A193">
        <v>3648</v>
      </c>
      <c r="B193" t="s">
        <v>261</v>
      </c>
      <c r="C193" t="s">
        <v>449</v>
      </c>
      <c r="D193" t="s">
        <v>459</v>
      </c>
      <c r="E193" s="16">
        <v>45846.46597222222</v>
      </c>
      <c r="F193">
        <v>5</v>
      </c>
    </row>
    <row r="194" spans="1:6" x14ac:dyDescent="0.2">
      <c r="A194">
        <v>3644</v>
      </c>
      <c r="B194" t="s">
        <v>299</v>
      </c>
      <c r="C194" t="s">
        <v>438</v>
      </c>
      <c r="D194" t="s">
        <v>447</v>
      </c>
      <c r="E194" s="16">
        <v>45887.782916666663</v>
      </c>
      <c r="F194">
        <v>5</v>
      </c>
    </row>
    <row r="195" spans="1:6" x14ac:dyDescent="0.2">
      <c r="A195">
        <v>3660</v>
      </c>
      <c r="B195" t="s">
        <v>285</v>
      </c>
      <c r="C195" t="s">
        <v>449</v>
      </c>
      <c r="D195" t="s">
        <v>459</v>
      </c>
      <c r="E195" s="16">
        <v>45874.62295138889</v>
      </c>
      <c r="F195">
        <v>5</v>
      </c>
    </row>
    <row r="196" spans="1:6" x14ac:dyDescent="0.2">
      <c r="A196">
        <v>3644</v>
      </c>
      <c r="B196" t="s">
        <v>299</v>
      </c>
      <c r="C196" t="s">
        <v>474</v>
      </c>
      <c r="D196" t="s">
        <v>479</v>
      </c>
      <c r="E196" s="16">
        <v>45895.634259259263</v>
      </c>
      <c r="F196">
        <v>5</v>
      </c>
    </row>
    <row r="197" spans="1:6" x14ac:dyDescent="0.2">
      <c r="A197">
        <v>3663</v>
      </c>
      <c r="B197" t="s">
        <v>278</v>
      </c>
      <c r="C197" t="s">
        <v>449</v>
      </c>
      <c r="D197" t="s">
        <v>459</v>
      </c>
      <c r="E197" s="16">
        <v>45875.534375000003</v>
      </c>
      <c r="F197">
        <v>5</v>
      </c>
    </row>
    <row r="198" spans="1:6" x14ac:dyDescent="0.2">
      <c r="A198">
        <v>3670</v>
      </c>
      <c r="B198" t="s">
        <v>327</v>
      </c>
      <c r="C198" t="s">
        <v>449</v>
      </c>
      <c r="D198" t="s">
        <v>454</v>
      </c>
      <c r="E198" s="16">
        <v>45911.352337962962</v>
      </c>
      <c r="F198">
        <v>5</v>
      </c>
    </row>
    <row r="199" spans="1:6" x14ac:dyDescent="0.2">
      <c r="A199">
        <v>3670</v>
      </c>
      <c r="B199" t="s">
        <v>327</v>
      </c>
      <c r="C199" t="s">
        <v>449</v>
      </c>
      <c r="D199" t="s">
        <v>459</v>
      </c>
      <c r="E199" s="16">
        <v>45911.352337962962</v>
      </c>
      <c r="F199">
        <v>5</v>
      </c>
    </row>
    <row r="200" spans="1:6" x14ac:dyDescent="0.2">
      <c r="A200">
        <v>3598</v>
      </c>
      <c r="B200" t="s">
        <v>318</v>
      </c>
      <c r="C200" t="s">
        <v>436</v>
      </c>
      <c r="D200" t="s">
        <v>437</v>
      </c>
      <c r="E200" s="16">
        <v>45939.423032407409</v>
      </c>
      <c r="F200">
        <v>5</v>
      </c>
    </row>
    <row r="201" spans="1:6" x14ac:dyDescent="0.2">
      <c r="A201">
        <v>3688</v>
      </c>
      <c r="B201" t="s">
        <v>303</v>
      </c>
      <c r="C201" t="s">
        <v>474</v>
      </c>
      <c r="D201" t="s">
        <v>481</v>
      </c>
      <c r="E201" s="16">
        <v>45959.522361111114</v>
      </c>
      <c r="F201">
        <v>5</v>
      </c>
    </row>
    <row r="202" spans="1:6" x14ac:dyDescent="0.2">
      <c r="A202">
        <v>3649</v>
      </c>
      <c r="B202" t="s">
        <v>312</v>
      </c>
      <c r="C202" t="s">
        <v>436</v>
      </c>
      <c r="D202" t="s">
        <v>437</v>
      </c>
      <c r="E202" s="16">
        <v>45939.424270833333</v>
      </c>
      <c r="F202">
        <v>5</v>
      </c>
    </row>
    <row r="203" spans="1:6" x14ac:dyDescent="0.2">
      <c r="A203">
        <v>3410</v>
      </c>
      <c r="B203" t="s">
        <v>43</v>
      </c>
      <c r="C203" t="s">
        <v>474</v>
      </c>
      <c r="D203" t="s">
        <v>482</v>
      </c>
      <c r="E203" s="16">
        <v>45631.268576388888</v>
      </c>
      <c r="F203">
        <v>5</v>
      </c>
    </row>
    <row r="204" spans="1:6" x14ac:dyDescent="0.2">
      <c r="A204">
        <v>3676</v>
      </c>
      <c r="B204" t="s">
        <v>239</v>
      </c>
      <c r="C204" t="s">
        <v>449</v>
      </c>
      <c r="D204" t="s">
        <v>454</v>
      </c>
      <c r="E204" s="16">
        <v>45947.612395833334</v>
      </c>
      <c r="F204">
        <v>5</v>
      </c>
    </row>
    <row r="205" spans="1:6" x14ac:dyDescent="0.2">
      <c r="A205">
        <v>2950</v>
      </c>
      <c r="B205" t="s">
        <v>115</v>
      </c>
      <c r="C205" t="s">
        <v>474</v>
      </c>
      <c r="D205" t="s">
        <v>482</v>
      </c>
      <c r="E205" s="16">
        <v>45630.400196759256</v>
      </c>
      <c r="F205">
        <v>5</v>
      </c>
    </row>
    <row r="206" spans="1:6" x14ac:dyDescent="0.2">
      <c r="A206">
        <v>3535</v>
      </c>
      <c r="B206" t="s">
        <v>93</v>
      </c>
      <c r="C206" t="s">
        <v>436</v>
      </c>
      <c r="D206" t="s">
        <v>444</v>
      </c>
      <c r="E206" s="16">
        <v>45616.479178240741</v>
      </c>
      <c r="F206">
        <v>5</v>
      </c>
    </row>
    <row r="207" spans="1:6" x14ac:dyDescent="0.2">
      <c r="A207">
        <v>3583</v>
      </c>
      <c r="B207" t="s">
        <v>97</v>
      </c>
      <c r="C207" t="s">
        <v>466</v>
      </c>
      <c r="D207" t="s">
        <v>477</v>
      </c>
      <c r="E207" s="16">
        <v>45714.607511574075</v>
      </c>
      <c r="F207">
        <v>5</v>
      </c>
    </row>
    <row r="208" spans="1:6" x14ac:dyDescent="0.2">
      <c r="A208">
        <v>3463</v>
      </c>
      <c r="B208" t="s">
        <v>29</v>
      </c>
      <c r="C208" t="s">
        <v>436</v>
      </c>
      <c r="D208" t="s">
        <v>441</v>
      </c>
      <c r="E208" s="16">
        <v>45718.632719907408</v>
      </c>
      <c r="F208">
        <v>5</v>
      </c>
    </row>
    <row r="209" spans="1:6" x14ac:dyDescent="0.2">
      <c r="A209">
        <v>3431</v>
      </c>
      <c r="B209" t="s">
        <v>53</v>
      </c>
      <c r="C209" t="s">
        <v>438</v>
      </c>
      <c r="D209" t="s">
        <v>439</v>
      </c>
      <c r="E209" s="16">
        <v>45725.739039351851</v>
      </c>
      <c r="F209">
        <v>5</v>
      </c>
    </row>
    <row r="210" spans="1:6" x14ac:dyDescent="0.2">
      <c r="A210">
        <v>3584</v>
      </c>
      <c r="B210" t="s">
        <v>57</v>
      </c>
      <c r="C210" t="s">
        <v>474</v>
      </c>
      <c r="D210" t="s">
        <v>482</v>
      </c>
      <c r="E210" s="16">
        <v>45727.604456018518</v>
      </c>
      <c r="F210">
        <v>5</v>
      </c>
    </row>
    <row r="211" spans="1:6" x14ac:dyDescent="0.2">
      <c r="A211">
        <v>2582</v>
      </c>
      <c r="B211" t="s">
        <v>85</v>
      </c>
      <c r="C211" t="s">
        <v>474</v>
      </c>
      <c r="D211" t="s">
        <v>482</v>
      </c>
      <c r="E211" s="16">
        <v>45831.390046296299</v>
      </c>
      <c r="F211">
        <v>5</v>
      </c>
    </row>
    <row r="212" spans="1:6" x14ac:dyDescent="0.2">
      <c r="A212">
        <v>3644</v>
      </c>
      <c r="B212" t="s">
        <v>299</v>
      </c>
      <c r="C212" t="s">
        <v>474</v>
      </c>
      <c r="D212" t="s">
        <v>482</v>
      </c>
      <c r="E212" s="16">
        <v>45895.436018518521</v>
      </c>
      <c r="F212">
        <v>5</v>
      </c>
    </row>
    <row r="213" spans="1:6" x14ac:dyDescent="0.2">
      <c r="A213">
        <v>3662</v>
      </c>
      <c r="B213" t="s">
        <v>250</v>
      </c>
      <c r="C213" t="s">
        <v>436</v>
      </c>
      <c r="D213" t="s">
        <v>445</v>
      </c>
      <c r="E213" s="16">
        <v>45930.592511574076</v>
      </c>
      <c r="F213">
        <v>5</v>
      </c>
    </row>
    <row r="214" spans="1:6" x14ac:dyDescent="0.2">
      <c r="A214">
        <v>3304</v>
      </c>
      <c r="B214" t="s">
        <v>74</v>
      </c>
      <c r="C214" t="s">
        <v>474</v>
      </c>
      <c r="D214" t="s">
        <v>482</v>
      </c>
      <c r="E214" s="16">
        <v>45629.370729166665</v>
      </c>
      <c r="F214">
        <v>5</v>
      </c>
    </row>
    <row r="215" spans="1:6" x14ac:dyDescent="0.2">
      <c r="A215">
        <v>3564</v>
      </c>
      <c r="B215" t="s">
        <v>84</v>
      </c>
      <c r="C215" t="s">
        <v>438</v>
      </c>
      <c r="D215" t="s">
        <v>460</v>
      </c>
      <c r="E215" s="16">
        <v>45762.656701388885</v>
      </c>
      <c r="F215">
        <v>5</v>
      </c>
    </row>
    <row r="216" spans="1:6" x14ac:dyDescent="0.2">
      <c r="A216">
        <v>3663</v>
      </c>
      <c r="B216" t="s">
        <v>278</v>
      </c>
      <c r="C216" t="s">
        <v>466</v>
      </c>
      <c r="D216" t="s">
        <v>477</v>
      </c>
      <c r="E216" s="16">
        <v>45882.634351851855</v>
      </c>
      <c r="F216">
        <v>5</v>
      </c>
    </row>
    <row r="217" spans="1:6" x14ac:dyDescent="0.2">
      <c r="A217">
        <v>3644</v>
      </c>
      <c r="B217" t="s">
        <v>299</v>
      </c>
      <c r="C217" t="s">
        <v>438</v>
      </c>
      <c r="D217" t="s">
        <v>439</v>
      </c>
      <c r="E217" s="16">
        <v>45895.634259259263</v>
      </c>
      <c r="F217">
        <v>5</v>
      </c>
    </row>
    <row r="218" spans="1:6" x14ac:dyDescent="0.2">
      <c r="A218">
        <v>2582</v>
      </c>
      <c r="B218" t="s">
        <v>85</v>
      </c>
      <c r="C218" t="s">
        <v>436</v>
      </c>
      <c r="D218" t="s">
        <v>445</v>
      </c>
      <c r="E218" s="16">
        <v>45915.38621527778</v>
      </c>
      <c r="F218">
        <v>5</v>
      </c>
    </row>
    <row r="219" spans="1:6" x14ac:dyDescent="0.2">
      <c r="A219">
        <v>3598</v>
      </c>
      <c r="B219" t="s">
        <v>318</v>
      </c>
      <c r="C219" t="s">
        <v>436</v>
      </c>
      <c r="D219" t="s">
        <v>445</v>
      </c>
      <c r="E219" s="16">
        <v>45939.423032407409</v>
      </c>
      <c r="F219">
        <v>5</v>
      </c>
    </row>
    <row r="220" spans="1:6" x14ac:dyDescent="0.2">
      <c r="A220">
        <v>2535</v>
      </c>
      <c r="B220" t="s">
        <v>16</v>
      </c>
      <c r="C220" t="s">
        <v>474</v>
      </c>
      <c r="D220" t="s">
        <v>482</v>
      </c>
      <c r="E220" s="16">
        <v>45629.362013888887</v>
      </c>
      <c r="F220">
        <v>5</v>
      </c>
    </row>
    <row r="221" spans="1:6" x14ac:dyDescent="0.2">
      <c r="A221">
        <v>3546</v>
      </c>
      <c r="B221" t="s">
        <v>144</v>
      </c>
      <c r="C221" t="s">
        <v>474</v>
      </c>
      <c r="D221" t="s">
        <v>482</v>
      </c>
      <c r="E221" s="16">
        <v>45631.294062499997</v>
      </c>
      <c r="F221">
        <v>5</v>
      </c>
    </row>
    <row r="222" spans="1:6" x14ac:dyDescent="0.2">
      <c r="A222">
        <v>1256</v>
      </c>
      <c r="B222" t="s">
        <v>197</v>
      </c>
      <c r="C222" t="s">
        <v>449</v>
      </c>
      <c r="D222" t="s">
        <v>450</v>
      </c>
      <c r="E222" s="16">
        <v>45642.686469907407</v>
      </c>
      <c r="F222">
        <v>5</v>
      </c>
    </row>
    <row r="223" spans="1:6" x14ac:dyDescent="0.2">
      <c r="A223">
        <v>2990</v>
      </c>
      <c r="B223" t="s">
        <v>157</v>
      </c>
      <c r="C223" t="s">
        <v>474</v>
      </c>
      <c r="D223" t="s">
        <v>482</v>
      </c>
      <c r="E223" s="16">
        <v>45630.416307870371</v>
      </c>
      <c r="F223">
        <v>5</v>
      </c>
    </row>
    <row r="224" spans="1:6" x14ac:dyDescent="0.2">
      <c r="A224">
        <v>3583</v>
      </c>
      <c r="B224" t="s">
        <v>97</v>
      </c>
      <c r="C224" t="s">
        <v>466</v>
      </c>
      <c r="D224" t="s">
        <v>467</v>
      </c>
      <c r="E224" s="16">
        <v>45714.607511574075</v>
      </c>
      <c r="F224">
        <v>5</v>
      </c>
    </row>
    <row r="225" spans="1:6" x14ac:dyDescent="0.2">
      <c r="A225">
        <v>3431</v>
      </c>
      <c r="B225" t="s">
        <v>53</v>
      </c>
      <c r="C225" t="s">
        <v>466</v>
      </c>
      <c r="D225" t="s">
        <v>477</v>
      </c>
      <c r="E225" s="16">
        <v>45725.736134259256</v>
      </c>
      <c r="F225">
        <v>5</v>
      </c>
    </row>
    <row r="226" spans="1:6" x14ac:dyDescent="0.2">
      <c r="A226">
        <v>2780</v>
      </c>
      <c r="B226" t="s">
        <v>71</v>
      </c>
      <c r="C226" t="s">
        <v>436</v>
      </c>
      <c r="D226" t="s">
        <v>441</v>
      </c>
      <c r="E226" s="16">
        <v>45789.511018518519</v>
      </c>
      <c r="F226">
        <v>5</v>
      </c>
    </row>
    <row r="227" spans="1:6" x14ac:dyDescent="0.2">
      <c r="A227">
        <v>2624</v>
      </c>
      <c r="B227" t="s">
        <v>155</v>
      </c>
      <c r="C227" t="s">
        <v>438</v>
      </c>
      <c r="D227" t="s">
        <v>460</v>
      </c>
      <c r="E227" s="16">
        <v>45789.779386574075</v>
      </c>
      <c r="F227">
        <v>5</v>
      </c>
    </row>
    <row r="228" spans="1:6" x14ac:dyDescent="0.2">
      <c r="A228">
        <v>3614</v>
      </c>
      <c r="B228" t="s">
        <v>217</v>
      </c>
      <c r="C228" t="s">
        <v>438</v>
      </c>
      <c r="D228" t="s">
        <v>460</v>
      </c>
      <c r="E228" s="16">
        <v>45804.675081018519</v>
      </c>
      <c r="F228">
        <v>5</v>
      </c>
    </row>
    <row r="229" spans="1:6" x14ac:dyDescent="0.2">
      <c r="A229">
        <v>3610</v>
      </c>
      <c r="B229" t="s">
        <v>305</v>
      </c>
      <c r="C229" t="s">
        <v>466</v>
      </c>
      <c r="D229" t="s">
        <v>477</v>
      </c>
      <c r="E229" s="16">
        <v>45819.464918981481</v>
      </c>
      <c r="F229">
        <v>5</v>
      </c>
    </row>
    <row r="230" spans="1:6" x14ac:dyDescent="0.2">
      <c r="A230">
        <v>3610</v>
      </c>
      <c r="B230" t="s">
        <v>305</v>
      </c>
      <c r="C230" t="s">
        <v>466</v>
      </c>
      <c r="D230" t="s">
        <v>467</v>
      </c>
      <c r="E230" s="16">
        <v>45819.464918981481</v>
      </c>
      <c r="F230">
        <v>5</v>
      </c>
    </row>
    <row r="231" spans="1:6" x14ac:dyDescent="0.2">
      <c r="A231">
        <v>3664</v>
      </c>
      <c r="B231" t="s">
        <v>313</v>
      </c>
      <c r="C231" t="s">
        <v>436</v>
      </c>
      <c r="D231" t="s">
        <v>441</v>
      </c>
      <c r="E231" s="16">
        <v>45887.417569444442</v>
      </c>
      <c r="F231">
        <v>5</v>
      </c>
    </row>
    <row r="232" spans="1:6" x14ac:dyDescent="0.2">
      <c r="A232">
        <v>3649</v>
      </c>
      <c r="B232" t="s">
        <v>312</v>
      </c>
      <c r="C232" t="s">
        <v>436</v>
      </c>
      <c r="D232" t="s">
        <v>445</v>
      </c>
      <c r="E232" s="16">
        <v>45932.644293981481</v>
      </c>
      <c r="F232">
        <v>5</v>
      </c>
    </row>
    <row r="233" spans="1:6" x14ac:dyDescent="0.2">
      <c r="A233">
        <v>3636</v>
      </c>
      <c r="B233" t="s">
        <v>270</v>
      </c>
      <c r="C233" t="s">
        <v>449</v>
      </c>
      <c r="D233" t="s">
        <v>458</v>
      </c>
      <c r="E233" s="16">
        <v>45945.673587962963</v>
      </c>
      <c r="F233">
        <v>5</v>
      </c>
    </row>
    <row r="234" spans="1:6" x14ac:dyDescent="0.2">
      <c r="A234">
        <v>3196</v>
      </c>
      <c r="B234" t="s">
        <v>46</v>
      </c>
      <c r="C234" t="s">
        <v>436</v>
      </c>
      <c r="D234" t="s">
        <v>441</v>
      </c>
      <c r="E234" s="16">
        <v>45668.362986111111</v>
      </c>
      <c r="F234">
        <v>5</v>
      </c>
    </row>
    <row r="235" spans="1:6" x14ac:dyDescent="0.2">
      <c r="A235">
        <v>3583</v>
      </c>
      <c r="B235" t="s">
        <v>97</v>
      </c>
      <c r="C235" t="s">
        <v>466</v>
      </c>
      <c r="D235" t="s">
        <v>471</v>
      </c>
      <c r="E235" s="16">
        <v>45714.607511574075</v>
      </c>
      <c r="F235">
        <v>5</v>
      </c>
    </row>
    <row r="236" spans="1:6" x14ac:dyDescent="0.2">
      <c r="A236">
        <v>3273</v>
      </c>
      <c r="B236" t="s">
        <v>60</v>
      </c>
      <c r="C236" t="s">
        <v>449</v>
      </c>
      <c r="D236" t="s">
        <v>458</v>
      </c>
      <c r="E236" s="16">
        <v>45725.57576388889</v>
      </c>
      <c r="F236">
        <v>5</v>
      </c>
    </row>
    <row r="237" spans="1:6" x14ac:dyDescent="0.2">
      <c r="A237">
        <v>3636</v>
      </c>
      <c r="B237" t="s">
        <v>270</v>
      </c>
      <c r="C237" t="s">
        <v>438</v>
      </c>
      <c r="D237" t="s">
        <v>439</v>
      </c>
      <c r="E237" s="16">
        <v>45789.320462962962</v>
      </c>
      <c r="F237">
        <v>5</v>
      </c>
    </row>
    <row r="238" spans="1:6" x14ac:dyDescent="0.2">
      <c r="A238">
        <v>3610</v>
      </c>
      <c r="B238" t="s">
        <v>305</v>
      </c>
      <c r="C238" t="s">
        <v>466</v>
      </c>
      <c r="D238" t="s">
        <v>471</v>
      </c>
      <c r="E238" s="16">
        <v>45819.464918981481</v>
      </c>
      <c r="F238">
        <v>5</v>
      </c>
    </row>
    <row r="239" spans="1:6" x14ac:dyDescent="0.2">
      <c r="A239">
        <v>3663</v>
      </c>
      <c r="B239" t="s">
        <v>278</v>
      </c>
      <c r="C239" t="s">
        <v>466</v>
      </c>
      <c r="D239" t="s">
        <v>471</v>
      </c>
      <c r="E239" s="16">
        <v>45882.634351851855</v>
      </c>
      <c r="F239">
        <v>5</v>
      </c>
    </row>
    <row r="240" spans="1:6" x14ac:dyDescent="0.2">
      <c r="A240">
        <v>2968</v>
      </c>
      <c r="B240" t="s">
        <v>201</v>
      </c>
      <c r="C240" t="s">
        <v>436</v>
      </c>
      <c r="D240" t="s">
        <v>441</v>
      </c>
      <c r="E240" s="16">
        <v>45898.263645833336</v>
      </c>
      <c r="F240">
        <v>5</v>
      </c>
    </row>
    <row r="241" spans="1:6" x14ac:dyDescent="0.2">
      <c r="A241">
        <v>3585</v>
      </c>
      <c r="B241" t="s">
        <v>314</v>
      </c>
      <c r="C241" t="s">
        <v>438</v>
      </c>
      <c r="D241" t="s">
        <v>460</v>
      </c>
      <c r="E241" s="16">
        <v>45903.498032407406</v>
      </c>
      <c r="F241">
        <v>5</v>
      </c>
    </row>
    <row r="242" spans="1:6" x14ac:dyDescent="0.2">
      <c r="A242">
        <v>2682</v>
      </c>
      <c r="B242" t="s">
        <v>198</v>
      </c>
      <c r="C242" t="s">
        <v>449</v>
      </c>
      <c r="D242" t="s">
        <v>458</v>
      </c>
      <c r="E242" s="16">
        <v>45924.571250000001</v>
      </c>
      <c r="F242">
        <v>5</v>
      </c>
    </row>
    <row r="243" spans="1:6" x14ac:dyDescent="0.2">
      <c r="A243">
        <v>32</v>
      </c>
      <c r="B243" t="s">
        <v>451</v>
      </c>
      <c r="C243" t="s">
        <v>449</v>
      </c>
      <c r="D243" t="s">
        <v>458</v>
      </c>
      <c r="E243" s="16">
        <v>45944.718333333331</v>
      </c>
      <c r="F243">
        <v>5</v>
      </c>
    </row>
    <row r="244" spans="1:6" x14ac:dyDescent="0.2">
      <c r="A244">
        <v>3689</v>
      </c>
      <c r="B244" t="s">
        <v>288</v>
      </c>
      <c r="C244" t="s">
        <v>438</v>
      </c>
      <c r="D244" t="s">
        <v>460</v>
      </c>
      <c r="E244" s="16">
        <v>45950.771724537037</v>
      </c>
      <c r="F244">
        <v>5</v>
      </c>
    </row>
    <row r="245" spans="1:6" x14ac:dyDescent="0.2">
      <c r="A245">
        <v>3688</v>
      </c>
      <c r="B245" t="s">
        <v>303</v>
      </c>
      <c r="C245" t="s">
        <v>466</v>
      </c>
      <c r="D245" t="s">
        <v>467</v>
      </c>
      <c r="E245" s="16">
        <v>45959.521041666667</v>
      </c>
      <c r="F245">
        <v>5</v>
      </c>
    </row>
    <row r="246" spans="1:6" x14ac:dyDescent="0.2">
      <c r="A246">
        <v>3688</v>
      </c>
      <c r="B246" t="s">
        <v>303</v>
      </c>
      <c r="C246" t="s">
        <v>449</v>
      </c>
      <c r="D246" t="s">
        <v>450</v>
      </c>
      <c r="E246" s="16">
        <v>45963.622199074074</v>
      </c>
      <c r="F246">
        <v>5</v>
      </c>
    </row>
    <row r="247" spans="1:6" x14ac:dyDescent="0.2">
      <c r="A247">
        <v>2758</v>
      </c>
      <c r="B247" t="s">
        <v>147</v>
      </c>
      <c r="C247" t="s">
        <v>474</v>
      </c>
      <c r="D247" t="s">
        <v>496</v>
      </c>
      <c r="E247" s="16">
        <v>45629.386886574073</v>
      </c>
      <c r="F247">
        <v>4</v>
      </c>
    </row>
    <row r="248" spans="1:6" x14ac:dyDescent="0.2">
      <c r="A248">
        <v>3256</v>
      </c>
      <c r="B248" t="s">
        <v>119</v>
      </c>
      <c r="C248" t="s">
        <v>436</v>
      </c>
      <c r="D248" t="s">
        <v>488</v>
      </c>
      <c r="E248" s="16">
        <v>45645.674363425926</v>
      </c>
      <c r="F248">
        <v>4</v>
      </c>
    </row>
    <row r="249" spans="1:6" x14ac:dyDescent="0.2">
      <c r="A249">
        <v>2875</v>
      </c>
      <c r="B249" t="s">
        <v>123</v>
      </c>
      <c r="C249" t="s">
        <v>474</v>
      </c>
      <c r="D249" t="s">
        <v>496</v>
      </c>
      <c r="E249" s="16">
        <v>45629.633113425924</v>
      </c>
      <c r="F249">
        <v>4</v>
      </c>
    </row>
    <row r="250" spans="1:6" x14ac:dyDescent="0.2">
      <c r="A250">
        <v>3196</v>
      </c>
      <c r="B250" t="s">
        <v>46</v>
      </c>
      <c r="C250" t="s">
        <v>449</v>
      </c>
      <c r="D250" t="s">
        <v>484</v>
      </c>
      <c r="E250" s="16">
        <v>45668.362986111111</v>
      </c>
      <c r="F250">
        <v>4</v>
      </c>
    </row>
    <row r="251" spans="1:6" x14ac:dyDescent="0.2">
      <c r="A251">
        <v>2303</v>
      </c>
      <c r="B251" t="s">
        <v>72</v>
      </c>
      <c r="C251" t="s">
        <v>474</v>
      </c>
      <c r="D251" t="s">
        <v>496</v>
      </c>
      <c r="E251" s="16">
        <v>45631.286585648151</v>
      </c>
      <c r="F251">
        <v>4</v>
      </c>
    </row>
    <row r="252" spans="1:6" x14ac:dyDescent="0.2">
      <c r="A252">
        <v>3112</v>
      </c>
      <c r="B252" t="s">
        <v>88</v>
      </c>
      <c r="C252" t="s">
        <v>449</v>
      </c>
      <c r="D252" t="s">
        <v>484</v>
      </c>
      <c r="E252" s="16">
        <v>45678.341412037036</v>
      </c>
      <c r="F252">
        <v>4</v>
      </c>
    </row>
    <row r="253" spans="1:6" x14ac:dyDescent="0.2">
      <c r="A253">
        <v>3508</v>
      </c>
      <c r="B253" t="s">
        <v>164</v>
      </c>
      <c r="C253" t="s">
        <v>474</v>
      </c>
      <c r="D253" t="s">
        <v>496</v>
      </c>
      <c r="E253" s="16">
        <v>45635.512569444443</v>
      </c>
      <c r="F253">
        <v>4</v>
      </c>
    </row>
    <row r="254" spans="1:6" x14ac:dyDescent="0.2">
      <c r="A254">
        <v>3614</v>
      </c>
      <c r="B254" t="s">
        <v>217</v>
      </c>
      <c r="C254" t="s">
        <v>449</v>
      </c>
      <c r="D254" t="s">
        <v>484</v>
      </c>
      <c r="E254" s="16">
        <v>45758.27144675926</v>
      </c>
      <c r="F254">
        <v>4</v>
      </c>
    </row>
    <row r="255" spans="1:6" x14ac:dyDescent="0.2">
      <c r="A255">
        <v>3196</v>
      </c>
      <c r="B255" t="s">
        <v>46</v>
      </c>
      <c r="C255" t="s">
        <v>438</v>
      </c>
      <c r="D255" t="s">
        <v>485</v>
      </c>
      <c r="E255" s="16">
        <v>45668.362986111111</v>
      </c>
      <c r="F255">
        <v>4</v>
      </c>
    </row>
    <row r="256" spans="1:6" x14ac:dyDescent="0.2">
      <c r="A256">
        <v>3648</v>
      </c>
      <c r="B256" t="s">
        <v>261</v>
      </c>
      <c r="C256" t="s">
        <v>449</v>
      </c>
      <c r="D256" t="s">
        <v>484</v>
      </c>
      <c r="E256" s="16">
        <v>45846.46597222222</v>
      </c>
      <c r="F256">
        <v>4</v>
      </c>
    </row>
    <row r="257" spans="1:6" x14ac:dyDescent="0.2">
      <c r="A257">
        <v>3610</v>
      </c>
      <c r="B257" t="s">
        <v>305</v>
      </c>
      <c r="C257" t="s">
        <v>449</v>
      </c>
      <c r="D257" t="s">
        <v>493</v>
      </c>
      <c r="E257" s="16">
        <v>45754.53193287037</v>
      </c>
      <c r="F257">
        <v>4</v>
      </c>
    </row>
    <row r="258" spans="1:6" x14ac:dyDescent="0.2">
      <c r="A258">
        <v>3649</v>
      </c>
      <c r="B258" t="s">
        <v>312</v>
      </c>
      <c r="C258" t="s">
        <v>449</v>
      </c>
      <c r="D258" t="s">
        <v>484</v>
      </c>
      <c r="E258" s="16">
        <v>45848.301365740743</v>
      </c>
      <c r="F258">
        <v>4</v>
      </c>
    </row>
    <row r="259" spans="1:6" x14ac:dyDescent="0.2">
      <c r="A259">
        <v>3615</v>
      </c>
      <c r="B259" t="s">
        <v>236</v>
      </c>
      <c r="C259" t="s">
        <v>449</v>
      </c>
      <c r="D259" t="s">
        <v>493</v>
      </c>
      <c r="E259" s="16">
        <v>45757.442048611112</v>
      </c>
      <c r="F259">
        <v>4</v>
      </c>
    </row>
    <row r="260" spans="1:6" x14ac:dyDescent="0.2">
      <c r="A260">
        <v>3663</v>
      </c>
      <c r="B260" t="s">
        <v>278</v>
      </c>
      <c r="C260" t="s">
        <v>449</v>
      </c>
      <c r="D260" t="s">
        <v>484</v>
      </c>
      <c r="E260" s="16">
        <v>45875.534375000003</v>
      </c>
      <c r="F260">
        <v>4</v>
      </c>
    </row>
    <row r="261" spans="1:6" x14ac:dyDescent="0.2">
      <c r="A261">
        <v>3019</v>
      </c>
      <c r="B261" t="s">
        <v>176</v>
      </c>
      <c r="C261" t="s">
        <v>438</v>
      </c>
      <c r="D261" t="s">
        <v>485</v>
      </c>
      <c r="E261" s="16">
        <v>45810.45721064815</v>
      </c>
      <c r="F261">
        <v>4</v>
      </c>
    </row>
    <row r="262" spans="1:6" x14ac:dyDescent="0.2">
      <c r="A262">
        <v>3304</v>
      </c>
      <c r="B262" t="s">
        <v>74</v>
      </c>
      <c r="C262" t="s">
        <v>436</v>
      </c>
      <c r="D262" t="s">
        <v>488</v>
      </c>
      <c r="E262" s="16">
        <v>45630.345208333332</v>
      </c>
      <c r="F262">
        <v>4</v>
      </c>
    </row>
    <row r="263" spans="1:6" x14ac:dyDescent="0.2">
      <c r="A263">
        <v>3648</v>
      </c>
      <c r="B263" t="s">
        <v>261</v>
      </c>
      <c r="C263" t="s">
        <v>449</v>
      </c>
      <c r="D263" t="s">
        <v>493</v>
      </c>
      <c r="E263" s="16">
        <v>45848.414166666669</v>
      </c>
      <c r="F263">
        <v>4</v>
      </c>
    </row>
    <row r="264" spans="1:6" x14ac:dyDescent="0.2">
      <c r="A264">
        <v>3196</v>
      </c>
      <c r="B264" t="s">
        <v>46</v>
      </c>
      <c r="C264" t="s">
        <v>436</v>
      </c>
      <c r="D264" t="s">
        <v>488</v>
      </c>
      <c r="E264" s="16">
        <v>45668.362986111111</v>
      </c>
      <c r="F264">
        <v>4</v>
      </c>
    </row>
    <row r="265" spans="1:6" x14ac:dyDescent="0.2">
      <c r="A265">
        <v>2817</v>
      </c>
      <c r="B265" t="s">
        <v>31</v>
      </c>
      <c r="C265" t="s">
        <v>449</v>
      </c>
      <c r="D265" t="s">
        <v>494</v>
      </c>
      <c r="E265" s="16">
        <v>45858.610625000001</v>
      </c>
      <c r="F265">
        <v>4</v>
      </c>
    </row>
    <row r="266" spans="1:6" x14ac:dyDescent="0.2">
      <c r="A266">
        <v>3564</v>
      </c>
      <c r="B266" t="s">
        <v>84</v>
      </c>
      <c r="C266" t="s">
        <v>449</v>
      </c>
      <c r="D266" t="s">
        <v>484</v>
      </c>
      <c r="E266" s="16">
        <v>45699.570844907408</v>
      </c>
      <c r="F266">
        <v>4</v>
      </c>
    </row>
    <row r="267" spans="1:6" x14ac:dyDescent="0.2">
      <c r="A267">
        <v>3599</v>
      </c>
      <c r="B267" t="s">
        <v>281</v>
      </c>
      <c r="C267" t="s">
        <v>449</v>
      </c>
      <c r="D267" t="s">
        <v>493</v>
      </c>
      <c r="E267" s="16">
        <v>45741.483738425923</v>
      </c>
      <c r="F267">
        <v>4</v>
      </c>
    </row>
    <row r="268" spans="1:6" x14ac:dyDescent="0.2">
      <c r="A268">
        <v>3431</v>
      </c>
      <c r="B268" t="s">
        <v>53</v>
      </c>
      <c r="C268" t="s">
        <v>449</v>
      </c>
      <c r="D268" t="s">
        <v>484</v>
      </c>
      <c r="E268" s="16">
        <v>45725.739039351851</v>
      </c>
      <c r="F268">
        <v>4</v>
      </c>
    </row>
    <row r="269" spans="1:6" x14ac:dyDescent="0.2">
      <c r="A269">
        <v>3606</v>
      </c>
      <c r="B269" t="s">
        <v>265</v>
      </c>
      <c r="C269" t="s">
        <v>449</v>
      </c>
      <c r="D269" t="s">
        <v>493</v>
      </c>
      <c r="E269" s="16">
        <v>45748.525729166664</v>
      </c>
      <c r="F269">
        <v>4</v>
      </c>
    </row>
    <row r="270" spans="1:6" x14ac:dyDescent="0.2">
      <c r="A270">
        <v>3597</v>
      </c>
      <c r="B270" t="s">
        <v>319</v>
      </c>
      <c r="C270" t="s">
        <v>449</v>
      </c>
      <c r="D270" t="s">
        <v>484</v>
      </c>
      <c r="E270" s="16">
        <v>45740.318032407406</v>
      </c>
      <c r="F270">
        <v>4</v>
      </c>
    </row>
    <row r="271" spans="1:6" x14ac:dyDescent="0.2">
      <c r="A271">
        <v>3112</v>
      </c>
      <c r="B271" t="s">
        <v>88</v>
      </c>
      <c r="C271" t="s">
        <v>449</v>
      </c>
      <c r="D271" t="s">
        <v>494</v>
      </c>
      <c r="E271" s="16">
        <v>45748.618634259263</v>
      </c>
      <c r="F271">
        <v>4</v>
      </c>
    </row>
    <row r="272" spans="1:6" x14ac:dyDescent="0.2">
      <c r="A272">
        <v>3599</v>
      </c>
      <c r="B272" t="s">
        <v>281</v>
      </c>
      <c r="C272" t="s">
        <v>449</v>
      </c>
      <c r="D272" t="s">
        <v>484</v>
      </c>
      <c r="E272" s="16">
        <v>45741.483738425923</v>
      </c>
      <c r="F272">
        <v>4</v>
      </c>
    </row>
    <row r="273" spans="1:6" x14ac:dyDescent="0.2">
      <c r="A273">
        <v>3112</v>
      </c>
      <c r="B273" t="s">
        <v>88</v>
      </c>
      <c r="C273" t="s">
        <v>449</v>
      </c>
      <c r="D273" t="s">
        <v>493</v>
      </c>
      <c r="E273" s="16">
        <v>45758.384722222225</v>
      </c>
      <c r="F273">
        <v>4</v>
      </c>
    </row>
    <row r="274" spans="1:6" x14ac:dyDescent="0.2">
      <c r="A274">
        <v>3637</v>
      </c>
      <c r="B274" t="s">
        <v>304</v>
      </c>
      <c r="C274" t="s">
        <v>449</v>
      </c>
      <c r="D274" t="s">
        <v>484</v>
      </c>
      <c r="E274" s="16">
        <v>45789.650879629633</v>
      </c>
      <c r="F274">
        <v>4</v>
      </c>
    </row>
    <row r="275" spans="1:6" x14ac:dyDescent="0.2">
      <c r="A275">
        <v>3614</v>
      </c>
      <c r="B275" t="s">
        <v>217</v>
      </c>
      <c r="C275" t="s">
        <v>462</v>
      </c>
      <c r="D275" t="s">
        <v>487</v>
      </c>
      <c r="E275" s="16">
        <v>45804.675081018519</v>
      </c>
      <c r="F275">
        <v>4</v>
      </c>
    </row>
    <row r="276" spans="1:6" x14ac:dyDescent="0.2">
      <c r="A276">
        <v>3644</v>
      </c>
      <c r="B276" t="s">
        <v>299</v>
      </c>
      <c r="C276" t="s">
        <v>449</v>
      </c>
      <c r="D276" t="s">
        <v>484</v>
      </c>
      <c r="E276" s="16">
        <v>45887.783703703702</v>
      </c>
      <c r="F276">
        <v>4</v>
      </c>
    </row>
    <row r="277" spans="1:6" x14ac:dyDescent="0.2">
      <c r="A277">
        <v>3644</v>
      </c>
      <c r="B277" t="s">
        <v>299</v>
      </c>
      <c r="C277" t="s">
        <v>449</v>
      </c>
      <c r="D277" t="s">
        <v>493</v>
      </c>
      <c r="E277" s="16">
        <v>45811.591157407405</v>
      </c>
      <c r="F277">
        <v>4</v>
      </c>
    </row>
    <row r="278" spans="1:6" x14ac:dyDescent="0.2">
      <c r="A278">
        <v>3674</v>
      </c>
      <c r="B278" t="s">
        <v>292</v>
      </c>
      <c r="C278" t="s">
        <v>449</v>
      </c>
      <c r="D278" t="s">
        <v>484</v>
      </c>
      <c r="E278" s="16">
        <v>45902.531527777777</v>
      </c>
      <c r="F278">
        <v>4</v>
      </c>
    </row>
    <row r="279" spans="1:6" x14ac:dyDescent="0.2">
      <c r="A279">
        <v>3656</v>
      </c>
      <c r="B279" t="s">
        <v>259</v>
      </c>
      <c r="C279" t="s">
        <v>449</v>
      </c>
      <c r="D279" t="s">
        <v>493</v>
      </c>
      <c r="E279" s="16">
        <v>45859.573229166665</v>
      </c>
      <c r="F279">
        <v>4</v>
      </c>
    </row>
    <row r="280" spans="1:6" x14ac:dyDescent="0.2">
      <c r="A280">
        <v>3585</v>
      </c>
      <c r="B280" t="s">
        <v>314</v>
      </c>
      <c r="C280" t="s">
        <v>449</v>
      </c>
      <c r="D280" t="s">
        <v>484</v>
      </c>
      <c r="E280" s="16">
        <v>45715.355405092596</v>
      </c>
      <c r="F280">
        <v>4</v>
      </c>
    </row>
    <row r="281" spans="1:6" x14ac:dyDescent="0.2">
      <c r="A281">
        <v>3665</v>
      </c>
      <c r="B281" t="s">
        <v>222</v>
      </c>
      <c r="C281" t="s">
        <v>449</v>
      </c>
      <c r="D281" t="s">
        <v>493</v>
      </c>
      <c r="E281" s="16">
        <v>45876.564085648148</v>
      </c>
      <c r="F281">
        <v>4</v>
      </c>
    </row>
    <row r="282" spans="1:6" x14ac:dyDescent="0.2">
      <c r="A282">
        <v>3112</v>
      </c>
      <c r="B282" t="s">
        <v>88</v>
      </c>
      <c r="C282" t="s">
        <v>436</v>
      </c>
      <c r="D282" t="s">
        <v>488</v>
      </c>
      <c r="E282" s="16">
        <v>45622.357905092591</v>
      </c>
      <c r="F282">
        <v>4</v>
      </c>
    </row>
    <row r="283" spans="1:6" x14ac:dyDescent="0.2">
      <c r="A283">
        <v>3600</v>
      </c>
      <c r="B283" t="s">
        <v>258</v>
      </c>
      <c r="C283" t="s">
        <v>449</v>
      </c>
      <c r="D283" t="s">
        <v>493</v>
      </c>
      <c r="E283" s="16">
        <v>45888.644687499997</v>
      </c>
      <c r="F283">
        <v>4</v>
      </c>
    </row>
    <row r="284" spans="1:6" x14ac:dyDescent="0.2">
      <c r="A284">
        <v>3589</v>
      </c>
      <c r="B284" t="s">
        <v>301</v>
      </c>
      <c r="C284" t="s">
        <v>449</v>
      </c>
      <c r="D284" t="s">
        <v>484</v>
      </c>
      <c r="E284" s="16">
        <v>45713.408726851849</v>
      </c>
      <c r="F284">
        <v>4</v>
      </c>
    </row>
    <row r="285" spans="1:6" x14ac:dyDescent="0.2">
      <c r="A285">
        <v>3644</v>
      </c>
      <c r="B285" t="s">
        <v>299</v>
      </c>
      <c r="C285" t="s">
        <v>474</v>
      </c>
      <c r="D285" t="s">
        <v>496</v>
      </c>
      <c r="E285" s="16">
        <v>45895.434942129628</v>
      </c>
      <c r="F285">
        <v>4</v>
      </c>
    </row>
    <row r="286" spans="1:6" x14ac:dyDescent="0.2">
      <c r="A286">
        <v>3598</v>
      </c>
      <c r="B286" t="s">
        <v>318</v>
      </c>
      <c r="C286" t="s">
        <v>449</v>
      </c>
      <c r="D286" t="s">
        <v>484</v>
      </c>
      <c r="E286" s="16">
        <v>45736.498981481483</v>
      </c>
      <c r="F286">
        <v>4</v>
      </c>
    </row>
    <row r="287" spans="1:6" x14ac:dyDescent="0.2">
      <c r="A287">
        <v>3358</v>
      </c>
      <c r="B287" t="s">
        <v>132</v>
      </c>
      <c r="C287" t="s">
        <v>449</v>
      </c>
      <c r="D287" t="s">
        <v>494</v>
      </c>
      <c r="E287" s="16">
        <v>45923.367476851854</v>
      </c>
      <c r="F287">
        <v>4</v>
      </c>
    </row>
    <row r="288" spans="1:6" x14ac:dyDescent="0.2">
      <c r="A288">
        <v>3582</v>
      </c>
      <c r="B288" t="s">
        <v>211</v>
      </c>
      <c r="C288" t="s">
        <v>449</v>
      </c>
      <c r="D288" t="s">
        <v>484</v>
      </c>
      <c r="E288" s="16">
        <v>45809.847719907404</v>
      </c>
      <c r="F288">
        <v>4</v>
      </c>
    </row>
    <row r="289" spans="1:6" x14ac:dyDescent="0.2">
      <c r="A289">
        <v>3688</v>
      </c>
      <c r="B289" t="s">
        <v>303</v>
      </c>
      <c r="C289" t="s">
        <v>449</v>
      </c>
      <c r="D289" t="s">
        <v>493</v>
      </c>
      <c r="E289" s="16">
        <v>45963.789120370369</v>
      </c>
      <c r="F289">
        <v>4</v>
      </c>
    </row>
    <row r="290" spans="1:6" x14ac:dyDescent="0.2">
      <c r="A290">
        <v>2968</v>
      </c>
      <c r="B290" t="s">
        <v>201</v>
      </c>
      <c r="C290" t="s">
        <v>436</v>
      </c>
      <c r="D290" t="s">
        <v>488</v>
      </c>
      <c r="E290" s="16">
        <v>45859.534363425926</v>
      </c>
      <c r="F290">
        <v>4</v>
      </c>
    </row>
    <row r="291" spans="1:6" x14ac:dyDescent="0.2">
      <c r="A291">
        <v>2681</v>
      </c>
      <c r="B291" t="s">
        <v>188</v>
      </c>
      <c r="C291" t="s">
        <v>474</v>
      </c>
      <c r="D291" t="s">
        <v>496</v>
      </c>
      <c r="E291" s="16">
        <v>45614.428483796299</v>
      </c>
      <c r="F291">
        <v>4</v>
      </c>
    </row>
    <row r="292" spans="1:6" x14ac:dyDescent="0.2">
      <c r="A292">
        <v>3648</v>
      </c>
      <c r="B292" t="s">
        <v>261</v>
      </c>
      <c r="C292" t="s">
        <v>436</v>
      </c>
      <c r="D292" t="s">
        <v>488</v>
      </c>
      <c r="E292" s="16">
        <v>45900.647187499999</v>
      </c>
      <c r="F292">
        <v>4</v>
      </c>
    </row>
    <row r="293" spans="1:6" x14ac:dyDescent="0.2">
      <c r="A293">
        <v>3410</v>
      </c>
      <c r="B293" t="s">
        <v>43</v>
      </c>
      <c r="C293" t="s">
        <v>474</v>
      </c>
      <c r="D293" t="s">
        <v>496</v>
      </c>
      <c r="E293" s="16">
        <v>45631.468171296299</v>
      </c>
      <c r="F293">
        <v>4</v>
      </c>
    </row>
    <row r="294" spans="1:6" x14ac:dyDescent="0.2">
      <c r="A294">
        <v>3323</v>
      </c>
      <c r="B294" t="s">
        <v>158</v>
      </c>
      <c r="C294" t="s">
        <v>436</v>
      </c>
      <c r="D294" t="s">
        <v>488</v>
      </c>
      <c r="E294" s="16">
        <v>45628.665092592593</v>
      </c>
      <c r="F294">
        <v>4</v>
      </c>
    </row>
    <row r="295" spans="1:6" x14ac:dyDescent="0.2">
      <c r="A295">
        <v>2001</v>
      </c>
      <c r="B295" t="s">
        <v>137</v>
      </c>
      <c r="C295" t="s">
        <v>474</v>
      </c>
      <c r="D295" t="s">
        <v>496</v>
      </c>
      <c r="E295" s="16">
        <v>45635.715428240743</v>
      </c>
      <c r="F295">
        <v>4</v>
      </c>
    </row>
    <row r="296" spans="1:6" x14ac:dyDescent="0.2">
      <c r="A296">
        <v>3593</v>
      </c>
      <c r="B296" t="s">
        <v>294</v>
      </c>
      <c r="C296" t="s">
        <v>449</v>
      </c>
      <c r="D296" t="s">
        <v>484</v>
      </c>
      <c r="E296" s="16">
        <v>45734.387372685182</v>
      </c>
      <c r="F296">
        <v>4</v>
      </c>
    </row>
    <row r="297" spans="1:6" x14ac:dyDescent="0.2">
      <c r="A297">
        <v>3535</v>
      </c>
      <c r="B297" t="s">
        <v>93</v>
      </c>
      <c r="C297" t="s">
        <v>474</v>
      </c>
      <c r="D297" t="s">
        <v>496</v>
      </c>
      <c r="E297" s="16">
        <v>45616.474826388891</v>
      </c>
      <c r="F297">
        <v>4</v>
      </c>
    </row>
    <row r="298" spans="1:6" x14ac:dyDescent="0.2">
      <c r="A298">
        <v>3610</v>
      </c>
      <c r="B298" t="s">
        <v>305</v>
      </c>
      <c r="C298" t="s">
        <v>449</v>
      </c>
      <c r="D298" t="s">
        <v>484</v>
      </c>
      <c r="E298" s="16">
        <v>45754.53193287037</v>
      </c>
      <c r="F298">
        <v>4</v>
      </c>
    </row>
    <row r="299" spans="1:6" x14ac:dyDescent="0.2">
      <c r="A299">
        <v>3456</v>
      </c>
      <c r="B299" t="s">
        <v>56</v>
      </c>
      <c r="C299" t="s">
        <v>474</v>
      </c>
      <c r="D299" t="s">
        <v>496</v>
      </c>
      <c r="E299" s="16">
        <v>45629.36824074074</v>
      </c>
      <c r="F299">
        <v>4</v>
      </c>
    </row>
    <row r="300" spans="1:6" x14ac:dyDescent="0.2">
      <c r="A300">
        <v>3647</v>
      </c>
      <c r="B300" t="s">
        <v>310</v>
      </c>
      <c r="C300" t="s">
        <v>449</v>
      </c>
      <c r="D300" t="s">
        <v>484</v>
      </c>
      <c r="E300" s="16">
        <v>45824.300173611111</v>
      </c>
      <c r="F300">
        <v>4</v>
      </c>
    </row>
    <row r="301" spans="1:6" x14ac:dyDescent="0.2">
      <c r="A301">
        <v>3196</v>
      </c>
      <c r="B301" t="s">
        <v>46</v>
      </c>
      <c r="C301" t="s">
        <v>474</v>
      </c>
      <c r="D301" t="s">
        <v>496</v>
      </c>
      <c r="E301" s="16">
        <v>45668.362986111111</v>
      </c>
      <c r="F301">
        <v>4</v>
      </c>
    </row>
    <row r="302" spans="1:6" x14ac:dyDescent="0.2">
      <c r="A302">
        <v>3677</v>
      </c>
      <c r="B302" t="s">
        <v>283</v>
      </c>
      <c r="C302" t="s">
        <v>436</v>
      </c>
      <c r="D302" t="s">
        <v>488</v>
      </c>
      <c r="E302" s="16">
        <v>45944.376712962963</v>
      </c>
      <c r="F302">
        <v>4</v>
      </c>
    </row>
    <row r="303" spans="1:6" x14ac:dyDescent="0.2">
      <c r="A303">
        <v>3597</v>
      </c>
      <c r="B303" t="s">
        <v>319</v>
      </c>
      <c r="C303" t="s">
        <v>449</v>
      </c>
      <c r="D303" t="s">
        <v>493</v>
      </c>
      <c r="E303" s="16">
        <v>45740.318032407406</v>
      </c>
      <c r="F303">
        <v>4</v>
      </c>
    </row>
    <row r="304" spans="1:6" x14ac:dyDescent="0.2">
      <c r="A304">
        <v>3323</v>
      </c>
      <c r="B304" t="s">
        <v>158</v>
      </c>
      <c r="C304" t="s">
        <v>449</v>
      </c>
      <c r="D304" t="s">
        <v>489</v>
      </c>
      <c r="E304" s="16">
        <v>45628.665092592593</v>
      </c>
      <c r="F304">
        <v>4</v>
      </c>
    </row>
    <row r="305" spans="1:6" x14ac:dyDescent="0.2">
      <c r="A305">
        <v>3625</v>
      </c>
      <c r="B305" t="s">
        <v>276</v>
      </c>
      <c r="C305" t="s">
        <v>449</v>
      </c>
      <c r="D305" t="s">
        <v>493</v>
      </c>
      <c r="E305" s="16">
        <v>45775.661064814813</v>
      </c>
      <c r="F305">
        <v>4</v>
      </c>
    </row>
    <row r="306" spans="1:6" x14ac:dyDescent="0.2">
      <c r="A306">
        <v>2720</v>
      </c>
      <c r="B306" t="s">
        <v>139</v>
      </c>
      <c r="C306" t="s">
        <v>449</v>
      </c>
      <c r="D306" t="s">
        <v>491</v>
      </c>
      <c r="E306" s="16">
        <v>45659.381458333337</v>
      </c>
      <c r="F306">
        <v>4</v>
      </c>
    </row>
    <row r="307" spans="1:6" x14ac:dyDescent="0.2">
      <c r="A307">
        <v>3626</v>
      </c>
      <c r="B307" t="s">
        <v>316</v>
      </c>
      <c r="C307" t="s">
        <v>449</v>
      </c>
      <c r="D307" t="s">
        <v>493</v>
      </c>
      <c r="E307" s="16">
        <v>45775.675300925926</v>
      </c>
      <c r="F307">
        <v>4</v>
      </c>
    </row>
    <row r="308" spans="1:6" x14ac:dyDescent="0.2">
      <c r="A308">
        <v>3562</v>
      </c>
      <c r="B308" t="s">
        <v>49</v>
      </c>
      <c r="C308" t="s">
        <v>449</v>
      </c>
      <c r="D308" t="s">
        <v>489</v>
      </c>
      <c r="E308" s="16">
        <v>45674.469907407409</v>
      </c>
      <c r="F308">
        <v>4</v>
      </c>
    </row>
    <row r="309" spans="1:6" x14ac:dyDescent="0.2">
      <c r="A309">
        <v>3636</v>
      </c>
      <c r="B309" t="s">
        <v>270</v>
      </c>
      <c r="C309" t="s">
        <v>449</v>
      </c>
      <c r="D309" t="s">
        <v>493</v>
      </c>
      <c r="E309" s="16">
        <v>45789.320462962962</v>
      </c>
      <c r="F309">
        <v>4</v>
      </c>
    </row>
    <row r="310" spans="1:6" x14ac:dyDescent="0.2">
      <c r="A310">
        <v>3562</v>
      </c>
      <c r="B310" t="s">
        <v>49</v>
      </c>
      <c r="C310" t="s">
        <v>449</v>
      </c>
      <c r="D310" t="s">
        <v>492</v>
      </c>
      <c r="E310" s="16">
        <v>45674.469907407409</v>
      </c>
      <c r="F310">
        <v>4</v>
      </c>
    </row>
    <row r="311" spans="1:6" x14ac:dyDescent="0.2">
      <c r="A311">
        <v>3647</v>
      </c>
      <c r="B311" t="s">
        <v>310</v>
      </c>
      <c r="C311" t="s">
        <v>449</v>
      </c>
      <c r="D311" t="s">
        <v>493</v>
      </c>
      <c r="E311" s="16">
        <v>45824.300173611111</v>
      </c>
      <c r="F311">
        <v>4</v>
      </c>
    </row>
    <row r="312" spans="1:6" x14ac:dyDescent="0.2">
      <c r="A312">
        <v>2950</v>
      </c>
      <c r="B312" t="s">
        <v>115</v>
      </c>
      <c r="C312" t="s">
        <v>449</v>
      </c>
      <c r="D312" t="s">
        <v>490</v>
      </c>
      <c r="E312" s="16">
        <v>45689.301689814813</v>
      </c>
      <c r="F312">
        <v>4</v>
      </c>
    </row>
    <row r="313" spans="1:6" x14ac:dyDescent="0.2">
      <c r="A313">
        <v>3649</v>
      </c>
      <c r="B313" t="s">
        <v>312</v>
      </c>
      <c r="C313" t="s">
        <v>449</v>
      </c>
      <c r="D313" t="s">
        <v>493</v>
      </c>
      <c r="E313" s="16">
        <v>45848.301365740743</v>
      </c>
      <c r="F313">
        <v>4</v>
      </c>
    </row>
    <row r="314" spans="1:6" x14ac:dyDescent="0.2">
      <c r="A314">
        <v>2950</v>
      </c>
      <c r="B314" t="s">
        <v>115</v>
      </c>
      <c r="C314" t="s">
        <v>449</v>
      </c>
      <c r="D314" t="s">
        <v>492</v>
      </c>
      <c r="E314" s="16">
        <v>45689.301689814813</v>
      </c>
      <c r="F314">
        <v>4</v>
      </c>
    </row>
    <row r="315" spans="1:6" x14ac:dyDescent="0.2">
      <c r="A315">
        <v>2817</v>
      </c>
      <c r="B315" t="s">
        <v>31</v>
      </c>
      <c r="C315" t="s">
        <v>449</v>
      </c>
      <c r="D315" t="s">
        <v>493</v>
      </c>
      <c r="E315" s="16">
        <v>45858.610625000001</v>
      </c>
      <c r="F315">
        <v>4</v>
      </c>
    </row>
    <row r="316" spans="1:6" x14ac:dyDescent="0.2">
      <c r="A316">
        <v>3564</v>
      </c>
      <c r="B316" t="s">
        <v>84</v>
      </c>
      <c r="C316" t="s">
        <v>449</v>
      </c>
      <c r="D316" t="s">
        <v>489</v>
      </c>
      <c r="E316" s="16">
        <v>45699.570844907408</v>
      </c>
      <c r="F316">
        <v>4</v>
      </c>
    </row>
    <row r="317" spans="1:6" x14ac:dyDescent="0.2">
      <c r="A317">
        <v>3663</v>
      </c>
      <c r="B317" t="s">
        <v>278</v>
      </c>
      <c r="C317" t="s">
        <v>449</v>
      </c>
      <c r="D317" t="s">
        <v>493</v>
      </c>
      <c r="E317" s="16">
        <v>45875.534375000003</v>
      </c>
      <c r="F317">
        <v>4</v>
      </c>
    </row>
    <row r="318" spans="1:6" x14ac:dyDescent="0.2">
      <c r="A318">
        <v>3584</v>
      </c>
      <c r="B318" t="s">
        <v>57</v>
      </c>
      <c r="C318" t="s">
        <v>449</v>
      </c>
      <c r="D318" t="s">
        <v>489</v>
      </c>
      <c r="E318" s="16">
        <v>45702.391689814816</v>
      </c>
      <c r="F318">
        <v>4</v>
      </c>
    </row>
    <row r="319" spans="1:6" x14ac:dyDescent="0.2">
      <c r="A319">
        <v>3585</v>
      </c>
      <c r="B319" t="s">
        <v>314</v>
      </c>
      <c r="C319" t="s">
        <v>438</v>
      </c>
      <c r="D319" t="s">
        <v>485</v>
      </c>
      <c r="E319" s="16">
        <v>45763.488275462965</v>
      </c>
      <c r="F319">
        <v>4</v>
      </c>
    </row>
    <row r="320" spans="1:6" x14ac:dyDescent="0.2">
      <c r="A320">
        <v>3469</v>
      </c>
      <c r="B320" t="s">
        <v>181</v>
      </c>
      <c r="C320" t="s">
        <v>449</v>
      </c>
      <c r="D320" t="s">
        <v>492</v>
      </c>
      <c r="E320" s="16">
        <v>45712.48777777778</v>
      </c>
      <c r="F320">
        <v>4</v>
      </c>
    </row>
    <row r="321" spans="1:6" x14ac:dyDescent="0.2">
      <c r="A321">
        <v>3403</v>
      </c>
      <c r="B321" t="s">
        <v>133</v>
      </c>
      <c r="C321" t="s">
        <v>474</v>
      </c>
      <c r="D321" t="s">
        <v>496</v>
      </c>
      <c r="E321" s="16">
        <v>45635.509976851848</v>
      </c>
      <c r="F321">
        <v>4</v>
      </c>
    </row>
    <row r="322" spans="1:6" x14ac:dyDescent="0.2">
      <c r="A322">
        <v>3592</v>
      </c>
      <c r="B322" t="s">
        <v>272</v>
      </c>
      <c r="C322" t="s">
        <v>449</v>
      </c>
      <c r="D322" t="s">
        <v>492</v>
      </c>
      <c r="E322" s="16">
        <v>45719.525590277779</v>
      </c>
      <c r="F322">
        <v>4</v>
      </c>
    </row>
    <row r="323" spans="1:6" x14ac:dyDescent="0.2">
      <c r="A323">
        <v>2535</v>
      </c>
      <c r="B323" t="s">
        <v>16</v>
      </c>
      <c r="C323" t="s">
        <v>474</v>
      </c>
      <c r="D323" t="s">
        <v>496</v>
      </c>
      <c r="E323" s="16">
        <v>45629.362013888887</v>
      </c>
      <c r="F323">
        <v>4</v>
      </c>
    </row>
    <row r="324" spans="1:6" x14ac:dyDescent="0.2">
      <c r="A324">
        <v>3592</v>
      </c>
      <c r="B324" t="s">
        <v>272</v>
      </c>
      <c r="C324" t="s">
        <v>449</v>
      </c>
      <c r="D324" t="s">
        <v>491</v>
      </c>
      <c r="E324" s="16">
        <v>45719.525590277779</v>
      </c>
      <c r="F324">
        <v>4</v>
      </c>
    </row>
    <row r="325" spans="1:6" x14ac:dyDescent="0.2">
      <c r="A325">
        <v>3539</v>
      </c>
      <c r="B325" t="s">
        <v>70</v>
      </c>
      <c r="C325" t="s">
        <v>474</v>
      </c>
      <c r="D325" t="s">
        <v>496</v>
      </c>
      <c r="E325" s="16">
        <v>45629.369687500002</v>
      </c>
      <c r="F325">
        <v>4</v>
      </c>
    </row>
    <row r="326" spans="1:6" x14ac:dyDescent="0.2">
      <c r="A326">
        <v>3597</v>
      </c>
      <c r="B326" t="s">
        <v>319</v>
      </c>
      <c r="C326" t="s">
        <v>449</v>
      </c>
      <c r="D326" t="s">
        <v>491</v>
      </c>
      <c r="E326" s="16">
        <v>45740.318032407406</v>
      </c>
      <c r="F326">
        <v>4</v>
      </c>
    </row>
    <row r="327" spans="1:6" x14ac:dyDescent="0.2">
      <c r="A327">
        <v>2682</v>
      </c>
      <c r="B327" t="s">
        <v>198</v>
      </c>
      <c r="C327" t="s">
        <v>474</v>
      </c>
      <c r="D327" t="s">
        <v>496</v>
      </c>
      <c r="E327" s="16">
        <v>45630.402453703704</v>
      </c>
      <c r="F327">
        <v>4</v>
      </c>
    </row>
    <row r="328" spans="1:6" x14ac:dyDescent="0.2">
      <c r="A328">
        <v>3597</v>
      </c>
      <c r="B328" t="s">
        <v>319</v>
      </c>
      <c r="C328" t="s">
        <v>449</v>
      </c>
      <c r="D328" t="s">
        <v>490</v>
      </c>
      <c r="E328" s="16">
        <v>45740.318032407406</v>
      </c>
      <c r="F328">
        <v>4</v>
      </c>
    </row>
    <row r="329" spans="1:6" x14ac:dyDescent="0.2">
      <c r="A329">
        <v>2577</v>
      </c>
      <c r="B329" t="s">
        <v>130</v>
      </c>
      <c r="C329" t="s">
        <v>474</v>
      </c>
      <c r="D329" t="s">
        <v>496</v>
      </c>
      <c r="E329" s="16">
        <v>45635.408229166664</v>
      </c>
      <c r="F329">
        <v>4</v>
      </c>
    </row>
    <row r="330" spans="1:6" x14ac:dyDescent="0.2">
      <c r="A330">
        <v>3599</v>
      </c>
      <c r="B330" t="s">
        <v>281</v>
      </c>
      <c r="C330" t="s">
        <v>449</v>
      </c>
      <c r="D330" t="s">
        <v>491</v>
      </c>
      <c r="E330" s="16">
        <v>45741.483738425923</v>
      </c>
      <c r="F330">
        <v>4</v>
      </c>
    </row>
    <row r="331" spans="1:6" x14ac:dyDescent="0.2">
      <c r="A331">
        <v>1271</v>
      </c>
      <c r="B331" t="s">
        <v>27</v>
      </c>
      <c r="C331" t="s">
        <v>474</v>
      </c>
      <c r="D331" t="s">
        <v>496</v>
      </c>
      <c r="E331" s="16">
        <v>45636.67150462963</v>
      </c>
      <c r="F331">
        <v>4</v>
      </c>
    </row>
    <row r="332" spans="1:6" x14ac:dyDescent="0.2">
      <c r="A332">
        <v>3599</v>
      </c>
      <c r="B332" t="s">
        <v>281</v>
      </c>
      <c r="C332" t="s">
        <v>449</v>
      </c>
      <c r="D332" t="s">
        <v>489</v>
      </c>
      <c r="E332" s="16">
        <v>45741.483738425923</v>
      </c>
      <c r="F332">
        <v>4</v>
      </c>
    </row>
    <row r="333" spans="1:6" x14ac:dyDescent="0.2">
      <c r="A333">
        <v>104</v>
      </c>
      <c r="B333" t="s">
        <v>94</v>
      </c>
      <c r="C333" t="s">
        <v>474</v>
      </c>
      <c r="D333" t="s">
        <v>496</v>
      </c>
      <c r="E333" s="16">
        <v>45635.716203703705</v>
      </c>
      <c r="F333">
        <v>4</v>
      </c>
    </row>
    <row r="334" spans="1:6" x14ac:dyDescent="0.2">
      <c r="A334">
        <v>3610</v>
      </c>
      <c r="B334" t="s">
        <v>305</v>
      </c>
      <c r="C334" t="s">
        <v>449</v>
      </c>
      <c r="D334" t="s">
        <v>491</v>
      </c>
      <c r="E334" s="16">
        <v>45754.53193287037</v>
      </c>
      <c r="F334">
        <v>4</v>
      </c>
    </row>
    <row r="335" spans="1:6" x14ac:dyDescent="0.2">
      <c r="A335">
        <v>2760</v>
      </c>
      <c r="B335" t="s">
        <v>127</v>
      </c>
      <c r="C335" t="s">
        <v>438</v>
      </c>
      <c r="D335" t="s">
        <v>485</v>
      </c>
      <c r="E335" s="16">
        <v>45669.294664351852</v>
      </c>
      <c r="F335">
        <v>4</v>
      </c>
    </row>
    <row r="336" spans="1:6" x14ac:dyDescent="0.2">
      <c r="A336">
        <v>3615</v>
      </c>
      <c r="B336" t="s">
        <v>236</v>
      </c>
      <c r="C336" t="s">
        <v>449</v>
      </c>
      <c r="D336" t="s">
        <v>491</v>
      </c>
      <c r="E336" s="16">
        <v>45757.442048611112</v>
      </c>
      <c r="F336">
        <v>4</v>
      </c>
    </row>
    <row r="337" spans="1:6" x14ac:dyDescent="0.2">
      <c r="A337">
        <v>3584</v>
      </c>
      <c r="B337" t="s">
        <v>57</v>
      </c>
      <c r="C337" t="s">
        <v>449</v>
      </c>
      <c r="D337" t="s">
        <v>493</v>
      </c>
      <c r="E337" s="16">
        <v>45702.391689814816</v>
      </c>
      <c r="F337">
        <v>4</v>
      </c>
    </row>
    <row r="338" spans="1:6" x14ac:dyDescent="0.2">
      <c r="A338">
        <v>3112</v>
      </c>
      <c r="B338" t="s">
        <v>88</v>
      </c>
      <c r="C338" t="s">
        <v>449</v>
      </c>
      <c r="D338" t="s">
        <v>491</v>
      </c>
      <c r="E338" s="16">
        <v>45758.384722222225</v>
      </c>
      <c r="F338">
        <v>4</v>
      </c>
    </row>
    <row r="339" spans="1:6" x14ac:dyDescent="0.2">
      <c r="A339">
        <v>3592</v>
      </c>
      <c r="B339" t="s">
        <v>272</v>
      </c>
      <c r="C339" t="s">
        <v>449</v>
      </c>
      <c r="D339" t="s">
        <v>493</v>
      </c>
      <c r="E339" s="16">
        <v>45719.525590277779</v>
      </c>
      <c r="F339">
        <v>4</v>
      </c>
    </row>
    <row r="340" spans="1:6" x14ac:dyDescent="0.2">
      <c r="A340">
        <v>3625</v>
      </c>
      <c r="B340" t="s">
        <v>276</v>
      </c>
      <c r="C340" t="s">
        <v>449</v>
      </c>
      <c r="D340" t="s">
        <v>490</v>
      </c>
      <c r="E340" s="16">
        <v>45775.661064814813</v>
      </c>
      <c r="F340">
        <v>4</v>
      </c>
    </row>
    <row r="341" spans="1:6" x14ac:dyDescent="0.2">
      <c r="A341">
        <v>3584</v>
      </c>
      <c r="B341" t="s">
        <v>57</v>
      </c>
      <c r="C341" t="s">
        <v>474</v>
      </c>
      <c r="D341" t="s">
        <v>496</v>
      </c>
      <c r="E341" s="16">
        <v>45727.604456018518</v>
      </c>
      <c r="F341">
        <v>4</v>
      </c>
    </row>
    <row r="342" spans="1:6" x14ac:dyDescent="0.2">
      <c r="A342">
        <v>3625</v>
      </c>
      <c r="B342" t="s">
        <v>276</v>
      </c>
      <c r="C342" t="s">
        <v>449</v>
      </c>
      <c r="D342" t="s">
        <v>489</v>
      </c>
      <c r="E342" s="16">
        <v>45775.661064814813</v>
      </c>
      <c r="F342">
        <v>4</v>
      </c>
    </row>
    <row r="343" spans="1:6" x14ac:dyDescent="0.2">
      <c r="A343">
        <v>3598</v>
      </c>
      <c r="B343" t="s">
        <v>318</v>
      </c>
      <c r="C343" t="s">
        <v>449</v>
      </c>
      <c r="D343" t="s">
        <v>493</v>
      </c>
      <c r="E343" s="16">
        <v>45736.498981481483</v>
      </c>
      <c r="F343">
        <v>4</v>
      </c>
    </row>
    <row r="344" spans="1:6" x14ac:dyDescent="0.2">
      <c r="A344">
        <v>3636</v>
      </c>
      <c r="B344" t="s">
        <v>270</v>
      </c>
      <c r="C344" t="s">
        <v>449</v>
      </c>
      <c r="D344" t="s">
        <v>492</v>
      </c>
      <c r="E344" s="16">
        <v>45789.320462962962</v>
      </c>
      <c r="F344">
        <v>4</v>
      </c>
    </row>
    <row r="345" spans="1:6" x14ac:dyDescent="0.2">
      <c r="A345">
        <v>1269</v>
      </c>
      <c r="B345" t="s">
        <v>161</v>
      </c>
      <c r="C345" t="s">
        <v>438</v>
      </c>
      <c r="D345" t="s">
        <v>485</v>
      </c>
      <c r="E345" s="16">
        <v>45742.467106481483</v>
      </c>
      <c r="F345">
        <v>4</v>
      </c>
    </row>
    <row r="346" spans="1:6" x14ac:dyDescent="0.2">
      <c r="A346">
        <v>3636</v>
      </c>
      <c r="B346" t="s">
        <v>270</v>
      </c>
      <c r="C346" t="s">
        <v>449</v>
      </c>
      <c r="D346" t="s">
        <v>489</v>
      </c>
      <c r="E346" s="16">
        <v>45789.320462962962</v>
      </c>
      <c r="F346">
        <v>4</v>
      </c>
    </row>
    <row r="347" spans="1:6" x14ac:dyDescent="0.2">
      <c r="A347">
        <v>3564</v>
      </c>
      <c r="B347" t="s">
        <v>84</v>
      </c>
      <c r="C347" t="s">
        <v>462</v>
      </c>
      <c r="D347" t="s">
        <v>487</v>
      </c>
      <c r="E347" s="16">
        <v>45747.667731481481</v>
      </c>
      <c r="F347">
        <v>4</v>
      </c>
    </row>
    <row r="348" spans="1:6" x14ac:dyDescent="0.2">
      <c r="A348">
        <v>3637</v>
      </c>
      <c r="B348" t="s">
        <v>304</v>
      </c>
      <c r="C348" t="s">
        <v>449</v>
      </c>
      <c r="D348" t="s">
        <v>492</v>
      </c>
      <c r="E348" s="16">
        <v>45789.650879629633</v>
      </c>
      <c r="F348">
        <v>4</v>
      </c>
    </row>
    <row r="349" spans="1:6" x14ac:dyDescent="0.2">
      <c r="A349">
        <v>3112</v>
      </c>
      <c r="B349" t="s">
        <v>88</v>
      </c>
      <c r="C349" t="s">
        <v>474</v>
      </c>
      <c r="D349" t="s">
        <v>496</v>
      </c>
      <c r="E349" s="16">
        <v>45761.350381944445</v>
      </c>
      <c r="F349">
        <v>4</v>
      </c>
    </row>
    <row r="350" spans="1:6" x14ac:dyDescent="0.2">
      <c r="A350">
        <v>3637</v>
      </c>
      <c r="B350" t="s">
        <v>304</v>
      </c>
      <c r="C350" t="s">
        <v>449</v>
      </c>
      <c r="D350" t="s">
        <v>491</v>
      </c>
      <c r="E350" s="16">
        <v>45789.650879629633</v>
      </c>
      <c r="F350">
        <v>4</v>
      </c>
    </row>
    <row r="351" spans="1:6" x14ac:dyDescent="0.2">
      <c r="A351">
        <v>3660</v>
      </c>
      <c r="B351" t="s">
        <v>285</v>
      </c>
      <c r="C351" t="s">
        <v>449</v>
      </c>
      <c r="D351" t="s">
        <v>493</v>
      </c>
      <c r="E351" s="16">
        <v>45874.62295138889</v>
      </c>
      <c r="F351">
        <v>4</v>
      </c>
    </row>
    <row r="352" spans="1:6" x14ac:dyDescent="0.2">
      <c r="A352">
        <v>3632</v>
      </c>
      <c r="B352" t="s">
        <v>238</v>
      </c>
      <c r="C352" t="s">
        <v>449</v>
      </c>
      <c r="D352" t="s">
        <v>490</v>
      </c>
      <c r="E352" s="16">
        <v>45804.348680555559</v>
      </c>
      <c r="F352">
        <v>4</v>
      </c>
    </row>
    <row r="353" spans="1:6" x14ac:dyDescent="0.2">
      <c r="A353">
        <v>3535</v>
      </c>
      <c r="B353" t="s">
        <v>93</v>
      </c>
      <c r="C353" t="s">
        <v>474</v>
      </c>
      <c r="D353" t="s">
        <v>497</v>
      </c>
      <c r="E353" s="16">
        <v>45616.474826388891</v>
      </c>
      <c r="F353">
        <v>4</v>
      </c>
    </row>
    <row r="354" spans="1:6" x14ac:dyDescent="0.2">
      <c r="A354">
        <v>3621</v>
      </c>
      <c r="B354" t="s">
        <v>263</v>
      </c>
      <c r="C354" t="s">
        <v>449</v>
      </c>
      <c r="D354" t="s">
        <v>490</v>
      </c>
      <c r="E354" s="16">
        <v>45820.647465277776</v>
      </c>
      <c r="F354">
        <v>4</v>
      </c>
    </row>
    <row r="355" spans="1:6" x14ac:dyDescent="0.2">
      <c r="A355">
        <v>3539</v>
      </c>
      <c r="B355" t="s">
        <v>70</v>
      </c>
      <c r="C355" t="s">
        <v>474</v>
      </c>
      <c r="D355" t="s">
        <v>497</v>
      </c>
      <c r="E355" s="16">
        <v>45621.604155092595</v>
      </c>
      <c r="F355">
        <v>4</v>
      </c>
    </row>
    <row r="356" spans="1:6" x14ac:dyDescent="0.2">
      <c r="A356">
        <v>3647</v>
      </c>
      <c r="B356" t="s">
        <v>310</v>
      </c>
      <c r="C356" t="s">
        <v>449</v>
      </c>
      <c r="D356" t="s">
        <v>489</v>
      </c>
      <c r="E356" s="16">
        <v>45824.300173611111</v>
      </c>
      <c r="F356">
        <v>4</v>
      </c>
    </row>
    <row r="357" spans="1:6" x14ac:dyDescent="0.2">
      <c r="A357">
        <v>3339</v>
      </c>
      <c r="B357" t="s">
        <v>45</v>
      </c>
      <c r="C357" t="s">
        <v>474</v>
      </c>
      <c r="D357" t="s">
        <v>495</v>
      </c>
      <c r="E357" s="16">
        <v>45630.392858796295</v>
      </c>
      <c r="F357">
        <v>4</v>
      </c>
    </row>
    <row r="358" spans="1:6" x14ac:dyDescent="0.2">
      <c r="A358">
        <v>3632</v>
      </c>
      <c r="B358" t="s">
        <v>238</v>
      </c>
      <c r="C358" t="s">
        <v>449</v>
      </c>
      <c r="D358" t="s">
        <v>489</v>
      </c>
      <c r="E358" s="16">
        <v>45827.33321759259</v>
      </c>
      <c r="F358">
        <v>4</v>
      </c>
    </row>
    <row r="359" spans="1:6" x14ac:dyDescent="0.2">
      <c r="A359">
        <v>104</v>
      </c>
      <c r="B359" t="s">
        <v>94</v>
      </c>
      <c r="C359" t="s">
        <v>474</v>
      </c>
      <c r="D359" t="s">
        <v>497</v>
      </c>
      <c r="E359" s="16">
        <v>45635.716203703705</v>
      </c>
      <c r="F359">
        <v>4</v>
      </c>
    </row>
    <row r="360" spans="1:6" x14ac:dyDescent="0.2">
      <c r="A360">
        <v>2650</v>
      </c>
      <c r="B360" t="s">
        <v>92</v>
      </c>
      <c r="C360" t="s">
        <v>449</v>
      </c>
      <c r="D360" t="s">
        <v>491</v>
      </c>
      <c r="E360" s="16">
        <v>45827.411608796298</v>
      </c>
      <c r="F360">
        <v>4</v>
      </c>
    </row>
    <row r="361" spans="1:6" x14ac:dyDescent="0.2">
      <c r="A361">
        <v>2875</v>
      </c>
      <c r="B361" t="s">
        <v>123</v>
      </c>
      <c r="C361" t="s">
        <v>474</v>
      </c>
      <c r="D361" t="s">
        <v>497</v>
      </c>
      <c r="E361" s="16">
        <v>45629.633113425924</v>
      </c>
      <c r="F361">
        <v>4</v>
      </c>
    </row>
    <row r="362" spans="1:6" x14ac:dyDescent="0.2">
      <c r="A362">
        <v>3591</v>
      </c>
      <c r="B362" t="s">
        <v>254</v>
      </c>
      <c r="C362" t="s">
        <v>449</v>
      </c>
      <c r="D362" t="s">
        <v>492</v>
      </c>
      <c r="E362" s="16">
        <v>45829.500937500001</v>
      </c>
      <c r="F362">
        <v>4</v>
      </c>
    </row>
    <row r="363" spans="1:6" x14ac:dyDescent="0.2">
      <c r="A363">
        <v>2535</v>
      </c>
      <c r="B363" t="s">
        <v>16</v>
      </c>
      <c r="C363" t="s">
        <v>474</v>
      </c>
      <c r="D363" t="s">
        <v>497</v>
      </c>
      <c r="E363" s="16">
        <v>45629.362013888887</v>
      </c>
      <c r="F363">
        <v>4</v>
      </c>
    </row>
    <row r="364" spans="1:6" x14ac:dyDescent="0.2">
      <c r="A364">
        <v>3571</v>
      </c>
      <c r="B364" t="s">
        <v>48</v>
      </c>
      <c r="C364" t="s">
        <v>449</v>
      </c>
      <c r="D364" t="s">
        <v>490</v>
      </c>
      <c r="E364" s="16">
        <v>45834.193495370368</v>
      </c>
      <c r="F364">
        <v>4</v>
      </c>
    </row>
    <row r="365" spans="1:6" x14ac:dyDescent="0.2">
      <c r="A365">
        <v>2140</v>
      </c>
      <c r="B365" t="s">
        <v>41</v>
      </c>
      <c r="C365" t="s">
        <v>474</v>
      </c>
      <c r="D365" t="s">
        <v>495</v>
      </c>
      <c r="E365" s="16">
        <v>45638.221250000002</v>
      </c>
      <c r="F365">
        <v>4</v>
      </c>
    </row>
    <row r="366" spans="1:6" x14ac:dyDescent="0.2">
      <c r="A366">
        <v>3648</v>
      </c>
      <c r="B366" t="s">
        <v>261</v>
      </c>
      <c r="C366" t="s">
        <v>449</v>
      </c>
      <c r="D366" t="s">
        <v>492</v>
      </c>
      <c r="E366" s="16">
        <v>45846.46597222222</v>
      </c>
      <c r="F366">
        <v>4</v>
      </c>
    </row>
    <row r="367" spans="1:6" x14ac:dyDescent="0.2">
      <c r="A367">
        <v>3519</v>
      </c>
      <c r="B367" t="s">
        <v>117</v>
      </c>
      <c r="C367" t="s">
        <v>438</v>
      </c>
      <c r="D367" t="s">
        <v>483</v>
      </c>
      <c r="E367" s="16">
        <v>45659.453865740739</v>
      </c>
      <c r="F367">
        <v>4</v>
      </c>
    </row>
    <row r="368" spans="1:6" x14ac:dyDescent="0.2">
      <c r="A368">
        <v>3649</v>
      </c>
      <c r="B368" t="s">
        <v>312</v>
      </c>
      <c r="C368" t="s">
        <v>449</v>
      </c>
      <c r="D368" t="s">
        <v>490</v>
      </c>
      <c r="E368" s="16">
        <v>45848.301365740743</v>
      </c>
      <c r="F368">
        <v>4</v>
      </c>
    </row>
    <row r="369" spans="1:6" x14ac:dyDescent="0.2">
      <c r="A369">
        <v>3564</v>
      </c>
      <c r="B369" t="s">
        <v>84</v>
      </c>
      <c r="C369" t="s">
        <v>449</v>
      </c>
      <c r="D369" t="s">
        <v>486</v>
      </c>
      <c r="E369" s="16">
        <v>45699.570844907408</v>
      </c>
      <c r="F369">
        <v>4</v>
      </c>
    </row>
    <row r="370" spans="1:6" x14ac:dyDescent="0.2">
      <c r="A370">
        <v>3649</v>
      </c>
      <c r="B370" t="s">
        <v>312</v>
      </c>
      <c r="C370" t="s">
        <v>449</v>
      </c>
      <c r="D370" t="s">
        <v>492</v>
      </c>
      <c r="E370" s="16">
        <v>45848.301365740743</v>
      </c>
      <c r="F370">
        <v>4</v>
      </c>
    </row>
    <row r="371" spans="1:6" x14ac:dyDescent="0.2">
      <c r="A371">
        <v>3589</v>
      </c>
      <c r="B371" t="s">
        <v>301</v>
      </c>
      <c r="C371" t="s">
        <v>449</v>
      </c>
      <c r="D371" t="s">
        <v>486</v>
      </c>
      <c r="E371" s="16">
        <v>45713.408726851849</v>
      </c>
      <c r="F371">
        <v>4</v>
      </c>
    </row>
    <row r="372" spans="1:6" x14ac:dyDescent="0.2">
      <c r="A372">
        <v>3649</v>
      </c>
      <c r="B372" t="s">
        <v>312</v>
      </c>
      <c r="C372" t="s">
        <v>449</v>
      </c>
      <c r="D372" t="s">
        <v>491</v>
      </c>
      <c r="E372" s="16">
        <v>45848.301365740743</v>
      </c>
      <c r="F372">
        <v>4</v>
      </c>
    </row>
    <row r="373" spans="1:6" x14ac:dyDescent="0.2">
      <c r="A373">
        <v>3598</v>
      </c>
      <c r="B373" t="s">
        <v>318</v>
      </c>
      <c r="C373" t="s">
        <v>449</v>
      </c>
      <c r="D373" t="s">
        <v>486</v>
      </c>
      <c r="E373" s="16">
        <v>45736.498981481483</v>
      </c>
      <c r="F373">
        <v>4</v>
      </c>
    </row>
    <row r="374" spans="1:6" x14ac:dyDescent="0.2">
      <c r="A374">
        <v>3456</v>
      </c>
      <c r="B374" t="s">
        <v>56</v>
      </c>
      <c r="C374" t="s">
        <v>449</v>
      </c>
      <c r="D374" t="s">
        <v>491</v>
      </c>
      <c r="E374" s="16">
        <v>45870.333506944444</v>
      </c>
      <c r="F374">
        <v>4</v>
      </c>
    </row>
    <row r="375" spans="1:6" x14ac:dyDescent="0.2">
      <c r="A375">
        <v>3610</v>
      </c>
      <c r="B375" t="s">
        <v>305</v>
      </c>
      <c r="C375" t="s">
        <v>449</v>
      </c>
      <c r="D375" t="s">
        <v>486</v>
      </c>
      <c r="E375" s="16">
        <v>45754.53193287037</v>
      </c>
      <c r="F375">
        <v>4</v>
      </c>
    </row>
    <row r="376" spans="1:6" x14ac:dyDescent="0.2">
      <c r="A376">
        <v>3660</v>
      </c>
      <c r="B376" t="s">
        <v>285</v>
      </c>
      <c r="C376" t="s">
        <v>449</v>
      </c>
      <c r="D376" t="s">
        <v>492</v>
      </c>
      <c r="E376" s="16">
        <v>45874.62295138889</v>
      </c>
      <c r="F376">
        <v>4</v>
      </c>
    </row>
    <row r="377" spans="1:6" x14ac:dyDescent="0.2">
      <c r="A377">
        <v>3112</v>
      </c>
      <c r="B377" t="s">
        <v>88</v>
      </c>
      <c r="C377" t="s">
        <v>474</v>
      </c>
      <c r="D377" t="s">
        <v>497</v>
      </c>
      <c r="E377" s="16">
        <v>45761.350381944445</v>
      </c>
      <c r="F377">
        <v>4</v>
      </c>
    </row>
    <row r="378" spans="1:6" x14ac:dyDescent="0.2">
      <c r="A378">
        <v>3663</v>
      </c>
      <c r="B378" t="s">
        <v>278</v>
      </c>
      <c r="C378" t="s">
        <v>449</v>
      </c>
      <c r="D378" t="s">
        <v>489</v>
      </c>
      <c r="E378" s="16">
        <v>45875.534375000003</v>
      </c>
      <c r="F378">
        <v>4</v>
      </c>
    </row>
    <row r="379" spans="1:6" x14ac:dyDescent="0.2">
      <c r="A379">
        <v>3637</v>
      </c>
      <c r="B379" t="s">
        <v>304</v>
      </c>
      <c r="C379" t="s">
        <v>449</v>
      </c>
      <c r="D379" t="s">
        <v>486</v>
      </c>
      <c r="E379" s="16">
        <v>45789.650879629633</v>
      </c>
      <c r="F379">
        <v>4</v>
      </c>
    </row>
    <row r="380" spans="1:6" x14ac:dyDescent="0.2">
      <c r="A380">
        <v>3663</v>
      </c>
      <c r="B380" t="s">
        <v>278</v>
      </c>
      <c r="C380" t="s">
        <v>449</v>
      </c>
      <c r="D380" t="s">
        <v>491</v>
      </c>
      <c r="E380" s="16">
        <v>45875.534375000003</v>
      </c>
      <c r="F380">
        <v>4</v>
      </c>
    </row>
    <row r="381" spans="1:6" x14ac:dyDescent="0.2">
      <c r="A381">
        <v>3582</v>
      </c>
      <c r="B381" t="s">
        <v>211</v>
      </c>
      <c r="C381" t="s">
        <v>449</v>
      </c>
      <c r="D381" t="s">
        <v>486</v>
      </c>
      <c r="E381" s="16">
        <v>45809.847719907404</v>
      </c>
      <c r="F381">
        <v>4</v>
      </c>
    </row>
    <row r="382" spans="1:6" x14ac:dyDescent="0.2">
      <c r="A382">
        <v>3665</v>
      </c>
      <c r="B382" t="s">
        <v>222</v>
      </c>
      <c r="C382" t="s">
        <v>449</v>
      </c>
      <c r="D382" t="s">
        <v>492</v>
      </c>
      <c r="E382" s="16">
        <v>45876.564085648148</v>
      </c>
      <c r="F382">
        <v>4</v>
      </c>
    </row>
    <row r="383" spans="1:6" x14ac:dyDescent="0.2">
      <c r="A383">
        <v>3621</v>
      </c>
      <c r="B383" t="s">
        <v>263</v>
      </c>
      <c r="C383" t="s">
        <v>438</v>
      </c>
      <c r="D383" t="s">
        <v>483</v>
      </c>
      <c r="E383" s="16">
        <v>45848.550034722219</v>
      </c>
      <c r="F383">
        <v>4</v>
      </c>
    </row>
    <row r="384" spans="1:6" x14ac:dyDescent="0.2">
      <c r="A384">
        <v>3600</v>
      </c>
      <c r="B384" t="s">
        <v>258</v>
      </c>
      <c r="C384" t="s">
        <v>449</v>
      </c>
      <c r="D384" t="s">
        <v>491</v>
      </c>
      <c r="E384" s="16">
        <v>45888.644687499997</v>
      </c>
      <c r="F384">
        <v>4</v>
      </c>
    </row>
    <row r="385" spans="1:6" x14ac:dyDescent="0.2">
      <c r="A385">
        <v>3656</v>
      </c>
      <c r="B385" t="s">
        <v>259</v>
      </c>
      <c r="C385" t="s">
        <v>438</v>
      </c>
      <c r="D385" t="s">
        <v>483</v>
      </c>
      <c r="E385" s="16">
        <v>45859.573229166665</v>
      </c>
      <c r="F385">
        <v>4</v>
      </c>
    </row>
    <row r="386" spans="1:6" x14ac:dyDescent="0.2">
      <c r="A386">
        <v>3568</v>
      </c>
      <c r="B386" t="s">
        <v>210</v>
      </c>
      <c r="C386" t="s">
        <v>449</v>
      </c>
      <c r="D386" t="s">
        <v>492</v>
      </c>
      <c r="E386" s="16">
        <v>45890.412662037037</v>
      </c>
      <c r="F386">
        <v>4</v>
      </c>
    </row>
    <row r="387" spans="1:6" x14ac:dyDescent="0.2">
      <c r="A387">
        <v>3665</v>
      </c>
      <c r="B387" t="s">
        <v>222</v>
      </c>
      <c r="C387" t="s">
        <v>438</v>
      </c>
      <c r="D387" t="s">
        <v>483</v>
      </c>
      <c r="E387" s="16">
        <v>45883.536354166667</v>
      </c>
      <c r="F387">
        <v>4</v>
      </c>
    </row>
    <row r="388" spans="1:6" x14ac:dyDescent="0.2">
      <c r="A388">
        <v>3568</v>
      </c>
      <c r="B388" t="s">
        <v>210</v>
      </c>
      <c r="C388" t="s">
        <v>449</v>
      </c>
      <c r="D388" t="s">
        <v>490</v>
      </c>
      <c r="E388" s="16">
        <v>45890.605844907404</v>
      </c>
      <c r="F388">
        <v>4</v>
      </c>
    </row>
    <row r="389" spans="1:6" x14ac:dyDescent="0.2">
      <c r="A389">
        <v>3644</v>
      </c>
      <c r="B389" t="s">
        <v>299</v>
      </c>
      <c r="C389" t="s">
        <v>438</v>
      </c>
      <c r="D389" t="s">
        <v>483</v>
      </c>
      <c r="E389" s="16">
        <v>45887.782905092594</v>
      </c>
      <c r="F389">
        <v>4</v>
      </c>
    </row>
    <row r="390" spans="1:6" x14ac:dyDescent="0.2">
      <c r="A390">
        <v>3126</v>
      </c>
      <c r="B390" t="s">
        <v>59</v>
      </c>
      <c r="C390" t="s">
        <v>449</v>
      </c>
      <c r="D390" t="s">
        <v>490</v>
      </c>
      <c r="E390" s="16">
        <v>45895.530821759261</v>
      </c>
      <c r="F390">
        <v>4</v>
      </c>
    </row>
    <row r="391" spans="1:6" x14ac:dyDescent="0.2">
      <c r="A391">
        <v>3644</v>
      </c>
      <c r="B391" t="s">
        <v>299</v>
      </c>
      <c r="C391" t="s">
        <v>474</v>
      </c>
      <c r="D391" t="s">
        <v>497</v>
      </c>
      <c r="E391" s="16">
        <v>45894.43478009259</v>
      </c>
      <c r="F391">
        <v>4</v>
      </c>
    </row>
    <row r="392" spans="1:6" x14ac:dyDescent="0.2">
      <c r="A392">
        <v>3463</v>
      </c>
      <c r="B392" t="s">
        <v>29</v>
      </c>
      <c r="C392" t="s">
        <v>449</v>
      </c>
      <c r="D392" t="s">
        <v>492</v>
      </c>
      <c r="E392" s="16">
        <v>45900.566678240742</v>
      </c>
      <c r="F392">
        <v>4</v>
      </c>
    </row>
    <row r="393" spans="1:6" x14ac:dyDescent="0.2">
      <c r="A393">
        <v>3674</v>
      </c>
      <c r="B393" t="s">
        <v>292</v>
      </c>
      <c r="C393" t="s">
        <v>449</v>
      </c>
      <c r="D393" t="s">
        <v>486</v>
      </c>
      <c r="E393" s="16">
        <v>45902.531527777777</v>
      </c>
      <c r="F393">
        <v>4</v>
      </c>
    </row>
    <row r="394" spans="1:6" x14ac:dyDescent="0.2">
      <c r="A394">
        <v>3674</v>
      </c>
      <c r="B394" t="s">
        <v>292</v>
      </c>
      <c r="C394" t="s">
        <v>449</v>
      </c>
      <c r="D394" t="s">
        <v>490</v>
      </c>
      <c r="E394" s="16">
        <v>45902.531527777777</v>
      </c>
      <c r="F394">
        <v>4</v>
      </c>
    </row>
    <row r="395" spans="1:6" x14ac:dyDescent="0.2">
      <c r="A395">
        <v>3585</v>
      </c>
      <c r="B395" t="s">
        <v>314</v>
      </c>
      <c r="C395" t="s">
        <v>449</v>
      </c>
      <c r="D395" t="s">
        <v>486</v>
      </c>
      <c r="E395" s="16">
        <v>45715.610011574077</v>
      </c>
      <c r="F395">
        <v>4</v>
      </c>
    </row>
    <row r="396" spans="1:6" x14ac:dyDescent="0.2">
      <c r="A396">
        <v>3585</v>
      </c>
      <c r="B396" t="s">
        <v>314</v>
      </c>
      <c r="C396" t="s">
        <v>449</v>
      </c>
      <c r="D396" t="s">
        <v>490</v>
      </c>
      <c r="E396" s="16">
        <v>45776.51090277778</v>
      </c>
      <c r="F396">
        <v>4</v>
      </c>
    </row>
    <row r="397" spans="1:6" x14ac:dyDescent="0.2">
      <c r="A397">
        <v>3403</v>
      </c>
      <c r="B397" t="s">
        <v>133</v>
      </c>
      <c r="C397" t="s">
        <v>474</v>
      </c>
      <c r="D397" t="s">
        <v>497</v>
      </c>
      <c r="E397" s="16">
        <v>45635.509976851848</v>
      </c>
      <c r="F397">
        <v>4</v>
      </c>
    </row>
    <row r="398" spans="1:6" x14ac:dyDescent="0.2">
      <c r="A398">
        <v>3429</v>
      </c>
      <c r="B398" t="s">
        <v>134</v>
      </c>
      <c r="C398" t="s">
        <v>449</v>
      </c>
      <c r="D398" t="s">
        <v>490</v>
      </c>
      <c r="E398" s="16">
        <v>45726.644988425927</v>
      </c>
      <c r="F398">
        <v>4</v>
      </c>
    </row>
    <row r="399" spans="1:6" x14ac:dyDescent="0.2">
      <c r="A399">
        <v>3456</v>
      </c>
      <c r="B399" t="s">
        <v>56</v>
      </c>
      <c r="C399" t="s">
        <v>474</v>
      </c>
      <c r="D399" t="s">
        <v>497</v>
      </c>
      <c r="E399" s="16">
        <v>45629.36824074074</v>
      </c>
      <c r="F399">
        <v>4</v>
      </c>
    </row>
    <row r="400" spans="1:6" x14ac:dyDescent="0.2">
      <c r="A400">
        <v>3323</v>
      </c>
      <c r="B400" t="s">
        <v>158</v>
      </c>
      <c r="C400" t="s">
        <v>449</v>
      </c>
      <c r="D400" t="s">
        <v>492</v>
      </c>
      <c r="E400" s="16">
        <v>45938.394699074073</v>
      </c>
      <c r="F400">
        <v>4</v>
      </c>
    </row>
    <row r="401" spans="1:6" x14ac:dyDescent="0.2">
      <c r="A401">
        <v>2303</v>
      </c>
      <c r="B401" t="s">
        <v>72</v>
      </c>
      <c r="C401" t="s">
        <v>474</v>
      </c>
      <c r="D401" t="s">
        <v>497</v>
      </c>
      <c r="E401" s="16">
        <v>45631.286585648151</v>
      </c>
      <c r="F401">
        <v>4</v>
      </c>
    </row>
    <row r="402" spans="1:6" x14ac:dyDescent="0.2">
      <c r="A402">
        <v>3594</v>
      </c>
      <c r="B402" t="s">
        <v>315</v>
      </c>
      <c r="C402" t="s">
        <v>449</v>
      </c>
      <c r="D402" t="s">
        <v>489</v>
      </c>
      <c r="E402" s="16">
        <v>45769.514918981484</v>
      </c>
      <c r="F402">
        <v>4</v>
      </c>
    </row>
    <row r="403" spans="1:6" x14ac:dyDescent="0.2">
      <c r="A403">
        <v>3196</v>
      </c>
      <c r="B403" t="s">
        <v>46</v>
      </c>
      <c r="C403" t="s">
        <v>449</v>
      </c>
      <c r="D403" t="s">
        <v>486</v>
      </c>
      <c r="E403" s="16">
        <v>45668.362986111111</v>
      </c>
      <c r="F403">
        <v>4</v>
      </c>
    </row>
    <row r="404" spans="1:6" x14ac:dyDescent="0.2">
      <c r="A404">
        <v>3688</v>
      </c>
      <c r="B404" t="s">
        <v>303</v>
      </c>
      <c r="C404" t="s">
        <v>449</v>
      </c>
      <c r="D404" t="s">
        <v>490</v>
      </c>
      <c r="E404" s="16">
        <v>45961.516574074078</v>
      </c>
      <c r="F404">
        <v>4</v>
      </c>
    </row>
    <row r="405" spans="1:6" x14ac:dyDescent="0.2">
      <c r="A405">
        <v>3112</v>
      </c>
      <c r="B405" t="s">
        <v>88</v>
      </c>
      <c r="C405" t="s">
        <v>449</v>
      </c>
      <c r="D405" t="s">
        <v>486</v>
      </c>
      <c r="E405" s="16">
        <v>45687.672025462962</v>
      </c>
      <c r="F405">
        <v>4</v>
      </c>
    </row>
    <row r="406" spans="1:6" x14ac:dyDescent="0.2">
      <c r="A406">
        <v>3687</v>
      </c>
      <c r="B406" t="s">
        <v>252</v>
      </c>
      <c r="C406" t="s">
        <v>449</v>
      </c>
      <c r="D406" t="s">
        <v>492</v>
      </c>
      <c r="E406" s="16">
        <v>45967.680914351855</v>
      </c>
      <c r="F406">
        <v>4</v>
      </c>
    </row>
    <row r="407" spans="1:6" x14ac:dyDescent="0.2">
      <c r="A407">
        <v>3593</v>
      </c>
      <c r="B407" t="s">
        <v>294</v>
      </c>
      <c r="C407" t="s">
        <v>449</v>
      </c>
      <c r="D407" t="s">
        <v>486</v>
      </c>
      <c r="E407" s="16">
        <v>45734.387372685182</v>
      </c>
      <c r="F407">
        <v>4</v>
      </c>
    </row>
    <row r="408" spans="1:6" x14ac:dyDescent="0.2">
      <c r="A408">
        <v>3519</v>
      </c>
      <c r="B408" t="s">
        <v>117</v>
      </c>
      <c r="C408" t="s">
        <v>449</v>
      </c>
      <c r="D408" t="s">
        <v>490</v>
      </c>
      <c r="E408" s="16">
        <v>45659.452488425923</v>
      </c>
      <c r="F408">
        <v>4</v>
      </c>
    </row>
    <row r="409" spans="1:6" x14ac:dyDescent="0.2">
      <c r="A409">
        <v>3597</v>
      </c>
      <c r="B409" t="s">
        <v>319</v>
      </c>
      <c r="C409" t="s">
        <v>449</v>
      </c>
      <c r="D409" t="s">
        <v>486</v>
      </c>
      <c r="E409" s="16">
        <v>45740.318032407406</v>
      </c>
      <c r="F409">
        <v>4</v>
      </c>
    </row>
    <row r="410" spans="1:6" x14ac:dyDescent="0.2">
      <c r="A410">
        <v>3196</v>
      </c>
      <c r="B410" t="s">
        <v>46</v>
      </c>
      <c r="C410" t="s">
        <v>449</v>
      </c>
      <c r="D410" t="s">
        <v>491</v>
      </c>
      <c r="E410" s="16">
        <v>45668.362986111111</v>
      </c>
      <c r="F410">
        <v>4</v>
      </c>
    </row>
    <row r="411" spans="1:6" x14ac:dyDescent="0.2">
      <c r="A411">
        <v>3614</v>
      </c>
      <c r="B411" t="s">
        <v>217</v>
      </c>
      <c r="C411" t="s">
        <v>449</v>
      </c>
      <c r="D411" t="s">
        <v>486</v>
      </c>
      <c r="E411" s="16">
        <v>45758.27144675926</v>
      </c>
      <c r="F411">
        <v>4</v>
      </c>
    </row>
    <row r="412" spans="1:6" x14ac:dyDescent="0.2">
      <c r="A412">
        <v>2073</v>
      </c>
      <c r="B412" t="s">
        <v>58</v>
      </c>
      <c r="C412" t="s">
        <v>449</v>
      </c>
      <c r="D412" t="s">
        <v>492</v>
      </c>
      <c r="E412" s="16">
        <v>45698.550335648149</v>
      </c>
      <c r="F412">
        <v>4</v>
      </c>
    </row>
    <row r="413" spans="1:6" x14ac:dyDescent="0.2">
      <c r="A413">
        <v>3648</v>
      </c>
      <c r="B413" t="s">
        <v>261</v>
      </c>
      <c r="C413" t="s">
        <v>449</v>
      </c>
      <c r="D413" t="s">
        <v>486</v>
      </c>
      <c r="E413" s="16">
        <v>45846.46597222222</v>
      </c>
      <c r="F413">
        <v>4</v>
      </c>
    </row>
    <row r="414" spans="1:6" x14ac:dyDescent="0.2">
      <c r="A414">
        <v>3564</v>
      </c>
      <c r="B414" t="s">
        <v>84</v>
      </c>
      <c r="C414" t="s">
        <v>449</v>
      </c>
      <c r="D414" t="s">
        <v>490</v>
      </c>
      <c r="E414" s="16">
        <v>45699.570844907408</v>
      </c>
      <c r="F414">
        <v>4</v>
      </c>
    </row>
    <row r="415" spans="1:6" x14ac:dyDescent="0.2">
      <c r="A415">
        <v>3649</v>
      </c>
      <c r="B415" t="s">
        <v>312</v>
      </c>
      <c r="C415" t="s">
        <v>449</v>
      </c>
      <c r="D415" t="s">
        <v>486</v>
      </c>
      <c r="E415" s="16">
        <v>45848.301365740743</v>
      </c>
      <c r="F415">
        <v>4</v>
      </c>
    </row>
    <row r="416" spans="1:6" x14ac:dyDescent="0.2">
      <c r="A416">
        <v>3584</v>
      </c>
      <c r="B416" t="s">
        <v>57</v>
      </c>
      <c r="C416" t="s">
        <v>449</v>
      </c>
      <c r="D416" t="s">
        <v>491</v>
      </c>
      <c r="E416" s="16">
        <v>45702.391689814816</v>
      </c>
      <c r="F416">
        <v>4</v>
      </c>
    </row>
    <row r="417" spans="1:6" x14ac:dyDescent="0.2">
      <c r="A417">
        <v>3649</v>
      </c>
      <c r="B417" t="s">
        <v>312</v>
      </c>
      <c r="C417" t="s">
        <v>438</v>
      </c>
      <c r="D417" t="s">
        <v>483</v>
      </c>
      <c r="E417" s="16">
        <v>45848.301377314812</v>
      </c>
      <c r="F417">
        <v>4</v>
      </c>
    </row>
    <row r="418" spans="1:6" x14ac:dyDescent="0.2">
      <c r="A418">
        <v>3273</v>
      </c>
      <c r="B418" t="s">
        <v>60</v>
      </c>
      <c r="C418" t="s">
        <v>449</v>
      </c>
      <c r="D418" t="s">
        <v>490</v>
      </c>
      <c r="E418" s="16">
        <v>45725.57576388889</v>
      </c>
      <c r="F418">
        <v>4</v>
      </c>
    </row>
    <row r="419" spans="1:6" x14ac:dyDescent="0.2">
      <c r="A419">
        <v>3644</v>
      </c>
      <c r="B419" t="s">
        <v>299</v>
      </c>
      <c r="C419" t="s">
        <v>449</v>
      </c>
      <c r="D419" t="s">
        <v>486</v>
      </c>
      <c r="E419" s="16">
        <v>45887.783703703702</v>
      </c>
      <c r="F419">
        <v>4</v>
      </c>
    </row>
    <row r="420" spans="1:6" x14ac:dyDescent="0.2">
      <c r="A420">
        <v>3410</v>
      </c>
      <c r="B420" t="s">
        <v>43</v>
      </c>
      <c r="C420" t="s">
        <v>449</v>
      </c>
      <c r="D420" t="s">
        <v>492</v>
      </c>
      <c r="E420" s="16">
        <v>45727.351342592592</v>
      </c>
      <c r="F420">
        <v>4</v>
      </c>
    </row>
    <row r="421" spans="1:6" x14ac:dyDescent="0.2">
      <c r="A421">
        <v>2001</v>
      </c>
      <c r="B421" t="s">
        <v>137</v>
      </c>
      <c r="C421" t="s">
        <v>474</v>
      </c>
      <c r="D421" t="s">
        <v>497</v>
      </c>
      <c r="E421" s="16">
        <v>45635.715428240743</v>
      </c>
      <c r="F421">
        <v>4</v>
      </c>
    </row>
    <row r="422" spans="1:6" x14ac:dyDescent="0.2">
      <c r="A422">
        <v>3598</v>
      </c>
      <c r="B422" t="s">
        <v>318</v>
      </c>
      <c r="C422" t="s">
        <v>449</v>
      </c>
      <c r="D422" t="s">
        <v>492</v>
      </c>
      <c r="E422" s="16">
        <v>45736.498981481483</v>
      </c>
      <c r="F422">
        <v>4</v>
      </c>
    </row>
    <row r="423" spans="1:6" x14ac:dyDescent="0.2">
      <c r="A423">
        <v>2758</v>
      </c>
      <c r="B423" t="s">
        <v>147</v>
      </c>
      <c r="C423" t="s">
        <v>474</v>
      </c>
      <c r="D423" t="s">
        <v>497</v>
      </c>
      <c r="E423" s="16">
        <v>45629.386886574073</v>
      </c>
      <c r="F423">
        <v>4</v>
      </c>
    </row>
    <row r="424" spans="1:6" x14ac:dyDescent="0.2">
      <c r="A424">
        <v>3606</v>
      </c>
      <c r="B424" t="s">
        <v>265</v>
      </c>
      <c r="C424" t="s">
        <v>449</v>
      </c>
      <c r="D424" t="s">
        <v>491</v>
      </c>
      <c r="E424" s="16">
        <v>45748.525729166664</v>
      </c>
      <c r="F424">
        <v>4</v>
      </c>
    </row>
    <row r="425" spans="1:6" x14ac:dyDescent="0.2">
      <c r="A425">
        <v>3251</v>
      </c>
      <c r="B425" t="s">
        <v>150</v>
      </c>
      <c r="C425" t="s">
        <v>474</v>
      </c>
      <c r="D425" t="s">
        <v>495</v>
      </c>
      <c r="E425" s="16">
        <v>45629.388518518521</v>
      </c>
      <c r="F425">
        <v>4</v>
      </c>
    </row>
    <row r="426" spans="1:6" x14ac:dyDescent="0.2">
      <c r="A426">
        <v>3610</v>
      </c>
      <c r="B426" t="s">
        <v>305</v>
      </c>
      <c r="C426" t="s">
        <v>449</v>
      </c>
      <c r="D426" t="s">
        <v>489</v>
      </c>
      <c r="E426" s="16">
        <v>45754.53193287037</v>
      </c>
      <c r="F426">
        <v>4</v>
      </c>
    </row>
    <row r="427" spans="1:6" x14ac:dyDescent="0.2">
      <c r="A427">
        <v>2682</v>
      </c>
      <c r="B427" t="s">
        <v>198</v>
      </c>
      <c r="C427" t="s">
        <v>474</v>
      </c>
      <c r="D427" t="s">
        <v>497</v>
      </c>
      <c r="E427" s="16">
        <v>45630.402453703704</v>
      </c>
      <c r="F427">
        <v>4</v>
      </c>
    </row>
    <row r="428" spans="1:6" x14ac:dyDescent="0.2">
      <c r="A428">
        <v>3615</v>
      </c>
      <c r="B428" t="s">
        <v>236</v>
      </c>
      <c r="C428" t="s">
        <v>449</v>
      </c>
      <c r="D428" t="s">
        <v>490</v>
      </c>
      <c r="E428" s="16">
        <v>45757.442048611112</v>
      </c>
      <c r="F428">
        <v>4</v>
      </c>
    </row>
    <row r="429" spans="1:6" x14ac:dyDescent="0.2">
      <c r="A429">
        <v>3508</v>
      </c>
      <c r="B429" t="s">
        <v>164</v>
      </c>
      <c r="C429" t="s">
        <v>474</v>
      </c>
      <c r="D429" t="s">
        <v>497</v>
      </c>
      <c r="E429" s="16">
        <v>45635.512569444443</v>
      </c>
      <c r="F429">
        <v>4</v>
      </c>
    </row>
    <row r="430" spans="1:6" x14ac:dyDescent="0.2">
      <c r="A430">
        <v>3616</v>
      </c>
      <c r="B430" t="s">
        <v>249</v>
      </c>
      <c r="C430" t="s">
        <v>449</v>
      </c>
      <c r="D430" t="s">
        <v>489</v>
      </c>
      <c r="E430" s="16">
        <v>45769.335011574076</v>
      </c>
      <c r="F430">
        <v>4</v>
      </c>
    </row>
    <row r="431" spans="1:6" x14ac:dyDescent="0.2">
      <c r="A431">
        <v>1271</v>
      </c>
      <c r="B431" t="s">
        <v>27</v>
      </c>
      <c r="C431" t="s">
        <v>474</v>
      </c>
      <c r="D431" t="s">
        <v>497</v>
      </c>
      <c r="E431" s="16">
        <v>45636.671516203707</v>
      </c>
      <c r="F431">
        <v>4</v>
      </c>
    </row>
    <row r="432" spans="1:6" x14ac:dyDescent="0.2">
      <c r="A432">
        <v>3626</v>
      </c>
      <c r="B432" t="s">
        <v>316</v>
      </c>
      <c r="C432" t="s">
        <v>449</v>
      </c>
      <c r="D432" t="s">
        <v>489</v>
      </c>
      <c r="E432" s="16">
        <v>45775.675300925926</v>
      </c>
      <c r="F432">
        <v>4</v>
      </c>
    </row>
    <row r="433" spans="1:6" x14ac:dyDescent="0.2">
      <c r="A433">
        <v>3196</v>
      </c>
      <c r="B433" t="s">
        <v>46</v>
      </c>
      <c r="C433" t="s">
        <v>474</v>
      </c>
      <c r="D433" t="s">
        <v>497</v>
      </c>
      <c r="E433" s="16">
        <v>45668.362986111111</v>
      </c>
      <c r="F433">
        <v>4</v>
      </c>
    </row>
    <row r="434" spans="1:6" x14ac:dyDescent="0.2">
      <c r="A434">
        <v>3636</v>
      </c>
      <c r="B434" t="s">
        <v>270</v>
      </c>
      <c r="C434" t="s">
        <v>449</v>
      </c>
      <c r="D434" t="s">
        <v>491</v>
      </c>
      <c r="E434" s="16">
        <v>45789.320462962962</v>
      </c>
      <c r="F434">
        <v>4</v>
      </c>
    </row>
    <row r="435" spans="1:6" x14ac:dyDescent="0.2">
      <c r="A435">
        <v>3584</v>
      </c>
      <c r="B435" t="s">
        <v>57</v>
      </c>
      <c r="C435" t="s">
        <v>474</v>
      </c>
      <c r="D435" t="s">
        <v>497</v>
      </c>
      <c r="E435" s="16">
        <v>45727.604456018518</v>
      </c>
      <c r="F435">
        <v>4</v>
      </c>
    </row>
    <row r="436" spans="1:6" x14ac:dyDescent="0.2">
      <c r="A436">
        <v>3636</v>
      </c>
      <c r="B436" t="s">
        <v>270</v>
      </c>
      <c r="C436" t="s">
        <v>449</v>
      </c>
      <c r="D436" t="s">
        <v>490</v>
      </c>
      <c r="E436" s="16">
        <v>45789.320462962962</v>
      </c>
      <c r="F436">
        <v>4</v>
      </c>
    </row>
    <row r="437" spans="1:6" x14ac:dyDescent="0.2">
      <c r="A437">
        <v>1138</v>
      </c>
      <c r="B437" t="s">
        <v>116</v>
      </c>
      <c r="C437" t="s">
        <v>438</v>
      </c>
      <c r="D437" t="s">
        <v>483</v>
      </c>
      <c r="E437" s="16">
        <v>45762.41684027778</v>
      </c>
      <c r="F437">
        <v>4</v>
      </c>
    </row>
    <row r="438" spans="1:6" x14ac:dyDescent="0.2">
      <c r="A438">
        <v>3576</v>
      </c>
      <c r="B438" t="s">
        <v>75</v>
      </c>
      <c r="C438" t="s">
        <v>449</v>
      </c>
      <c r="D438" t="s">
        <v>492</v>
      </c>
      <c r="E438" s="16">
        <v>45799.505509259259</v>
      </c>
      <c r="F438">
        <v>4</v>
      </c>
    </row>
    <row r="439" spans="1:6" x14ac:dyDescent="0.2">
      <c r="A439">
        <v>3636</v>
      </c>
      <c r="B439" t="s">
        <v>270</v>
      </c>
      <c r="C439" t="s">
        <v>438</v>
      </c>
      <c r="D439" t="s">
        <v>483</v>
      </c>
      <c r="E439" s="16">
        <v>45789.320474537039</v>
      </c>
      <c r="F439">
        <v>4</v>
      </c>
    </row>
    <row r="440" spans="1:6" x14ac:dyDescent="0.2">
      <c r="A440">
        <v>3621</v>
      </c>
      <c r="B440" t="s">
        <v>263</v>
      </c>
      <c r="C440" t="s">
        <v>449</v>
      </c>
      <c r="D440" t="s">
        <v>491</v>
      </c>
      <c r="E440" s="16">
        <v>45820.647465277776</v>
      </c>
      <c r="F440">
        <v>4</v>
      </c>
    </row>
    <row r="441" spans="1:6" x14ac:dyDescent="0.2">
      <c r="A441">
        <v>3647</v>
      </c>
      <c r="B441" t="s">
        <v>310</v>
      </c>
      <c r="C441" t="s">
        <v>449</v>
      </c>
      <c r="D441" t="s">
        <v>486</v>
      </c>
      <c r="E441" s="16">
        <v>45824.300173611111</v>
      </c>
      <c r="F441">
        <v>4</v>
      </c>
    </row>
    <row r="442" spans="1:6" x14ac:dyDescent="0.2">
      <c r="A442">
        <v>3600</v>
      </c>
      <c r="B442" t="s">
        <v>258</v>
      </c>
      <c r="C442" t="s">
        <v>449</v>
      </c>
      <c r="D442" t="s">
        <v>490</v>
      </c>
      <c r="E442" s="16">
        <v>45831.677199074074</v>
      </c>
      <c r="F442">
        <v>4</v>
      </c>
    </row>
    <row r="443" spans="1:6" x14ac:dyDescent="0.2">
      <c r="A443">
        <v>3654</v>
      </c>
      <c r="B443" t="s">
        <v>231</v>
      </c>
      <c r="C443" t="s">
        <v>438</v>
      </c>
      <c r="D443" t="s">
        <v>483</v>
      </c>
      <c r="E443" s="16">
        <v>45860.590682870374</v>
      </c>
      <c r="F443">
        <v>4</v>
      </c>
    </row>
    <row r="444" spans="1:6" x14ac:dyDescent="0.2">
      <c r="A444">
        <v>3648</v>
      </c>
      <c r="B444" t="s">
        <v>261</v>
      </c>
      <c r="C444" t="s">
        <v>449</v>
      </c>
      <c r="D444" t="s">
        <v>491</v>
      </c>
      <c r="E444" s="16">
        <v>45846.46597222222</v>
      </c>
      <c r="F444">
        <v>4</v>
      </c>
    </row>
    <row r="445" spans="1:6" x14ac:dyDescent="0.2">
      <c r="A445">
        <v>3663</v>
      </c>
      <c r="B445" t="s">
        <v>278</v>
      </c>
      <c r="C445" t="s">
        <v>449</v>
      </c>
      <c r="D445" t="s">
        <v>486</v>
      </c>
      <c r="E445" s="16">
        <v>45875.534375000003</v>
      </c>
      <c r="F445">
        <v>4</v>
      </c>
    </row>
    <row r="446" spans="1:6" x14ac:dyDescent="0.2">
      <c r="A446">
        <v>3648</v>
      </c>
      <c r="B446" t="s">
        <v>261</v>
      </c>
      <c r="C446" t="s">
        <v>449</v>
      </c>
      <c r="D446" t="s">
        <v>490</v>
      </c>
      <c r="E446" s="16">
        <v>45848.414166666669</v>
      </c>
      <c r="F446">
        <v>4</v>
      </c>
    </row>
    <row r="447" spans="1:6" x14ac:dyDescent="0.2">
      <c r="A447">
        <v>3615</v>
      </c>
      <c r="B447" t="s">
        <v>236</v>
      </c>
      <c r="C447" t="s">
        <v>438</v>
      </c>
      <c r="D447" t="s">
        <v>483</v>
      </c>
      <c r="E447" s="16">
        <v>45925.715775462966</v>
      </c>
      <c r="F447">
        <v>4</v>
      </c>
    </row>
    <row r="448" spans="1:6" x14ac:dyDescent="0.2">
      <c r="A448">
        <v>3624</v>
      </c>
      <c r="B448" t="s">
        <v>302</v>
      </c>
      <c r="C448" t="s">
        <v>449</v>
      </c>
      <c r="D448" t="s">
        <v>490</v>
      </c>
      <c r="E448" s="16">
        <v>45855.536134259259</v>
      </c>
      <c r="F448">
        <v>4</v>
      </c>
    </row>
    <row r="449" spans="1:6" x14ac:dyDescent="0.2">
      <c r="A449">
        <v>3689</v>
      </c>
      <c r="B449" t="s">
        <v>288</v>
      </c>
      <c r="C449" t="s">
        <v>438</v>
      </c>
      <c r="D449" t="s">
        <v>483</v>
      </c>
      <c r="E449" s="16">
        <v>45950.771724537037</v>
      </c>
      <c r="F449">
        <v>4</v>
      </c>
    </row>
    <row r="450" spans="1:6" x14ac:dyDescent="0.2">
      <c r="A450">
        <v>2817</v>
      </c>
      <c r="B450" t="s">
        <v>31</v>
      </c>
      <c r="C450" t="s">
        <v>449</v>
      </c>
      <c r="D450" t="s">
        <v>490</v>
      </c>
      <c r="E450" s="16">
        <v>45858.610625000001</v>
      </c>
      <c r="F450">
        <v>4</v>
      </c>
    </row>
    <row r="451" spans="1:6" x14ac:dyDescent="0.2">
      <c r="A451">
        <v>2681</v>
      </c>
      <c r="B451" t="s">
        <v>188</v>
      </c>
      <c r="C451" t="s">
        <v>474</v>
      </c>
      <c r="D451" t="s">
        <v>497</v>
      </c>
      <c r="E451" s="16">
        <v>45614.428483796299</v>
      </c>
      <c r="F451">
        <v>4</v>
      </c>
    </row>
    <row r="452" spans="1:6" x14ac:dyDescent="0.2">
      <c r="A452">
        <v>3656</v>
      </c>
      <c r="B452" t="s">
        <v>259</v>
      </c>
      <c r="C452" t="s">
        <v>449</v>
      </c>
      <c r="D452" t="s">
        <v>489</v>
      </c>
      <c r="E452" s="16">
        <v>45859.573229166665</v>
      </c>
      <c r="F452">
        <v>4</v>
      </c>
    </row>
    <row r="453" spans="1:6" x14ac:dyDescent="0.2">
      <c r="A453">
        <v>3663</v>
      </c>
      <c r="B453" t="s">
        <v>278</v>
      </c>
      <c r="C453" t="s">
        <v>449</v>
      </c>
      <c r="D453" t="s">
        <v>490</v>
      </c>
      <c r="E453" s="16">
        <v>45875.534375000003</v>
      </c>
      <c r="F453">
        <v>4</v>
      </c>
    </row>
    <row r="454" spans="1:6" x14ac:dyDescent="0.2">
      <c r="A454">
        <v>3665</v>
      </c>
      <c r="B454" t="s">
        <v>222</v>
      </c>
      <c r="C454" t="s">
        <v>449</v>
      </c>
      <c r="D454" t="s">
        <v>489</v>
      </c>
      <c r="E454" s="16">
        <v>45876.564085648148</v>
      </c>
      <c r="F454">
        <v>4</v>
      </c>
    </row>
    <row r="455" spans="1:6" x14ac:dyDescent="0.2">
      <c r="A455">
        <v>3583</v>
      </c>
      <c r="B455" t="s">
        <v>97</v>
      </c>
      <c r="C455" t="s">
        <v>449</v>
      </c>
      <c r="D455" t="s">
        <v>490</v>
      </c>
      <c r="E455" s="16">
        <v>45897.675937499997</v>
      </c>
      <c r="F455">
        <v>4</v>
      </c>
    </row>
    <row r="456" spans="1:6" x14ac:dyDescent="0.2">
      <c r="A456">
        <v>3304</v>
      </c>
      <c r="B456" t="s">
        <v>74</v>
      </c>
      <c r="C456" t="s">
        <v>449</v>
      </c>
      <c r="D456" t="s">
        <v>490</v>
      </c>
      <c r="E456" s="16">
        <v>45902.587094907409</v>
      </c>
      <c r="F456">
        <v>4</v>
      </c>
    </row>
    <row r="457" spans="1:6" x14ac:dyDescent="0.2">
      <c r="A457">
        <v>3585</v>
      </c>
      <c r="B457" t="s">
        <v>314</v>
      </c>
      <c r="C457" t="s">
        <v>449</v>
      </c>
      <c r="D457" t="s">
        <v>492</v>
      </c>
      <c r="E457" s="16">
        <v>45776.51090277778</v>
      </c>
      <c r="F457">
        <v>4</v>
      </c>
    </row>
    <row r="458" spans="1:6" x14ac:dyDescent="0.2">
      <c r="A458">
        <v>3670</v>
      </c>
      <c r="B458" t="s">
        <v>327</v>
      </c>
      <c r="C458" t="s">
        <v>449</v>
      </c>
      <c r="D458" t="s">
        <v>491</v>
      </c>
      <c r="E458" s="16">
        <v>45911.352337962962</v>
      </c>
      <c r="F458">
        <v>4</v>
      </c>
    </row>
    <row r="459" spans="1:6" x14ac:dyDescent="0.2">
      <c r="A459">
        <v>3609</v>
      </c>
      <c r="B459" t="s">
        <v>245</v>
      </c>
      <c r="C459" t="s">
        <v>449</v>
      </c>
      <c r="D459" t="s">
        <v>490</v>
      </c>
      <c r="E459" s="16">
        <v>45915.456284722219</v>
      </c>
      <c r="F459">
        <v>4</v>
      </c>
    </row>
    <row r="460" spans="1:6" x14ac:dyDescent="0.2">
      <c r="A460">
        <v>3662</v>
      </c>
      <c r="B460" t="s">
        <v>250</v>
      </c>
      <c r="C460" t="s">
        <v>449</v>
      </c>
      <c r="D460" t="s">
        <v>490</v>
      </c>
      <c r="E460" s="16">
        <v>45906.585763888892</v>
      </c>
      <c r="F460">
        <v>4</v>
      </c>
    </row>
    <row r="461" spans="1:6" x14ac:dyDescent="0.2">
      <c r="A461">
        <v>2682</v>
      </c>
      <c r="B461" t="s">
        <v>198</v>
      </c>
      <c r="C461" t="s">
        <v>449</v>
      </c>
      <c r="D461" t="s">
        <v>490</v>
      </c>
      <c r="E461" s="16">
        <v>45924.574814814812</v>
      </c>
      <c r="F461">
        <v>4</v>
      </c>
    </row>
    <row r="462" spans="1:6" x14ac:dyDescent="0.2">
      <c r="A462">
        <v>3323</v>
      </c>
      <c r="B462" t="s">
        <v>158</v>
      </c>
      <c r="C462" t="s">
        <v>449</v>
      </c>
      <c r="D462" t="s">
        <v>490</v>
      </c>
      <c r="E462" s="16">
        <v>45938.394699074073</v>
      </c>
      <c r="F462">
        <v>4</v>
      </c>
    </row>
    <row r="463" spans="1:6" x14ac:dyDescent="0.2">
      <c r="A463">
        <v>3676</v>
      </c>
      <c r="B463" t="s">
        <v>239</v>
      </c>
      <c r="C463" t="s">
        <v>449</v>
      </c>
      <c r="D463" t="s">
        <v>491</v>
      </c>
      <c r="E463" s="16">
        <v>45947.612407407411</v>
      </c>
      <c r="F463">
        <v>4</v>
      </c>
    </row>
    <row r="464" spans="1:6" x14ac:dyDescent="0.2">
      <c r="A464">
        <v>3688</v>
      </c>
      <c r="B464" t="s">
        <v>303</v>
      </c>
      <c r="C464" t="s">
        <v>449</v>
      </c>
      <c r="D464" t="s">
        <v>491</v>
      </c>
      <c r="E464" s="16">
        <v>45961.516574074078</v>
      </c>
      <c r="F464">
        <v>4</v>
      </c>
    </row>
    <row r="465" spans="1:6" x14ac:dyDescent="0.2">
      <c r="A465">
        <v>3660</v>
      </c>
      <c r="B465" t="s">
        <v>285</v>
      </c>
      <c r="C465" t="s">
        <v>449</v>
      </c>
      <c r="D465" t="s">
        <v>491</v>
      </c>
      <c r="E465" s="16">
        <v>45967.473738425928</v>
      </c>
      <c r="F465">
        <v>4</v>
      </c>
    </row>
    <row r="466" spans="1:6" x14ac:dyDescent="0.2">
      <c r="A466">
        <v>3535</v>
      </c>
      <c r="B466" t="s">
        <v>93</v>
      </c>
      <c r="C466" t="s">
        <v>449</v>
      </c>
      <c r="D466" t="s">
        <v>490</v>
      </c>
      <c r="E466" s="16">
        <v>45616.479178240741</v>
      </c>
      <c r="F466">
        <v>4</v>
      </c>
    </row>
    <row r="467" spans="1:6" x14ac:dyDescent="0.2">
      <c r="A467">
        <v>2650</v>
      </c>
      <c r="B467" t="s">
        <v>92</v>
      </c>
      <c r="C467" t="s">
        <v>449</v>
      </c>
      <c r="D467" t="s">
        <v>490</v>
      </c>
      <c r="E467" s="16">
        <v>45610.475092592591</v>
      </c>
      <c r="F467">
        <v>4</v>
      </c>
    </row>
    <row r="468" spans="1:6" x14ac:dyDescent="0.2">
      <c r="A468">
        <v>3564</v>
      </c>
      <c r="B468" t="s">
        <v>84</v>
      </c>
      <c r="C468" t="s">
        <v>449</v>
      </c>
      <c r="D468" t="s">
        <v>491</v>
      </c>
      <c r="E468" s="16">
        <v>45699.570844907408</v>
      </c>
      <c r="F468">
        <v>4</v>
      </c>
    </row>
    <row r="469" spans="1:6" x14ac:dyDescent="0.2">
      <c r="A469">
        <v>3584</v>
      </c>
      <c r="B469" t="s">
        <v>57</v>
      </c>
      <c r="C469" t="s">
        <v>449</v>
      </c>
      <c r="D469" t="s">
        <v>490</v>
      </c>
      <c r="E469" s="16">
        <v>45702.391689814816</v>
      </c>
      <c r="F469">
        <v>4</v>
      </c>
    </row>
    <row r="470" spans="1:6" x14ac:dyDescent="0.2">
      <c r="A470">
        <v>3584</v>
      </c>
      <c r="B470" t="s">
        <v>57</v>
      </c>
      <c r="C470" t="s">
        <v>449</v>
      </c>
      <c r="D470" t="s">
        <v>492</v>
      </c>
      <c r="E470" s="16">
        <v>45702.391689814816</v>
      </c>
      <c r="F470">
        <v>4</v>
      </c>
    </row>
    <row r="471" spans="1:6" x14ac:dyDescent="0.2">
      <c r="A471">
        <v>3592</v>
      </c>
      <c r="B471" t="s">
        <v>272</v>
      </c>
      <c r="C471" t="s">
        <v>449</v>
      </c>
      <c r="D471" t="s">
        <v>489</v>
      </c>
      <c r="E471" s="16">
        <v>45719.525590277779</v>
      </c>
      <c r="F471">
        <v>4</v>
      </c>
    </row>
    <row r="472" spans="1:6" x14ac:dyDescent="0.2">
      <c r="A472">
        <v>3273</v>
      </c>
      <c r="B472" t="s">
        <v>60</v>
      </c>
      <c r="C472" t="s">
        <v>449</v>
      </c>
      <c r="D472" t="s">
        <v>491</v>
      </c>
      <c r="E472" s="16">
        <v>45725.57576388889</v>
      </c>
      <c r="F472">
        <v>4</v>
      </c>
    </row>
    <row r="473" spans="1:6" x14ac:dyDescent="0.2">
      <c r="A473">
        <v>3598</v>
      </c>
      <c r="B473" t="s">
        <v>318</v>
      </c>
      <c r="C473" t="s">
        <v>449</v>
      </c>
      <c r="D473" t="s">
        <v>491</v>
      </c>
      <c r="E473" s="16">
        <v>45736.498981481483</v>
      </c>
      <c r="F473">
        <v>4</v>
      </c>
    </row>
    <row r="474" spans="1:6" x14ac:dyDescent="0.2">
      <c r="A474">
        <v>3598</v>
      </c>
      <c r="B474" t="s">
        <v>318</v>
      </c>
      <c r="C474" t="s">
        <v>449</v>
      </c>
      <c r="D474" t="s">
        <v>489</v>
      </c>
      <c r="E474" s="16">
        <v>45736.498981481483</v>
      </c>
      <c r="F474">
        <v>4</v>
      </c>
    </row>
    <row r="475" spans="1:6" x14ac:dyDescent="0.2">
      <c r="A475">
        <v>2624</v>
      </c>
      <c r="B475" t="s">
        <v>155</v>
      </c>
      <c r="C475" t="s">
        <v>449</v>
      </c>
      <c r="D475" t="s">
        <v>490</v>
      </c>
      <c r="E475" s="16">
        <v>45739.412395833337</v>
      </c>
      <c r="F475">
        <v>4</v>
      </c>
    </row>
    <row r="476" spans="1:6" x14ac:dyDescent="0.2">
      <c r="A476">
        <v>3597</v>
      </c>
      <c r="B476" t="s">
        <v>319</v>
      </c>
      <c r="C476" t="s">
        <v>449</v>
      </c>
      <c r="D476" t="s">
        <v>489</v>
      </c>
      <c r="E476" s="16">
        <v>45740.318032407406</v>
      </c>
      <c r="F476">
        <v>4</v>
      </c>
    </row>
    <row r="477" spans="1:6" x14ac:dyDescent="0.2">
      <c r="A477">
        <v>3599</v>
      </c>
      <c r="B477" t="s">
        <v>281</v>
      </c>
      <c r="C477" t="s">
        <v>449</v>
      </c>
      <c r="D477" t="s">
        <v>492</v>
      </c>
      <c r="E477" s="16">
        <v>45741.483738425923</v>
      </c>
      <c r="F477">
        <v>4</v>
      </c>
    </row>
    <row r="478" spans="1:6" x14ac:dyDescent="0.2">
      <c r="A478">
        <v>2204</v>
      </c>
      <c r="B478" t="s">
        <v>55</v>
      </c>
      <c r="C478" t="s">
        <v>449</v>
      </c>
      <c r="D478" t="s">
        <v>490</v>
      </c>
      <c r="E478" s="16">
        <v>45743.664826388886</v>
      </c>
      <c r="F478">
        <v>4</v>
      </c>
    </row>
    <row r="479" spans="1:6" x14ac:dyDescent="0.2">
      <c r="A479">
        <v>3606</v>
      </c>
      <c r="B479" t="s">
        <v>265</v>
      </c>
      <c r="C479" t="s">
        <v>449</v>
      </c>
      <c r="D479" t="s">
        <v>489</v>
      </c>
      <c r="E479" s="16">
        <v>45748.525729166664</v>
      </c>
      <c r="F479">
        <v>4</v>
      </c>
    </row>
    <row r="480" spans="1:6" x14ac:dyDescent="0.2">
      <c r="A480">
        <v>3606</v>
      </c>
      <c r="B480" t="s">
        <v>265</v>
      </c>
      <c r="C480" t="s">
        <v>449</v>
      </c>
      <c r="D480" t="s">
        <v>492</v>
      </c>
      <c r="E480" s="16">
        <v>45748.525729166664</v>
      </c>
      <c r="F480">
        <v>4</v>
      </c>
    </row>
    <row r="481" spans="1:6" x14ac:dyDescent="0.2">
      <c r="A481">
        <v>3610</v>
      </c>
      <c r="B481" t="s">
        <v>305</v>
      </c>
      <c r="C481" t="s">
        <v>449</v>
      </c>
      <c r="D481" t="s">
        <v>492</v>
      </c>
      <c r="E481" s="16">
        <v>45754.53193287037</v>
      </c>
      <c r="F481">
        <v>4</v>
      </c>
    </row>
    <row r="482" spans="1:6" x14ac:dyDescent="0.2">
      <c r="A482">
        <v>3610</v>
      </c>
      <c r="B482" t="s">
        <v>305</v>
      </c>
      <c r="C482" t="s">
        <v>449</v>
      </c>
      <c r="D482" t="s">
        <v>490</v>
      </c>
      <c r="E482" s="16">
        <v>45754.53193287037</v>
      </c>
      <c r="F482">
        <v>4</v>
      </c>
    </row>
    <row r="483" spans="1:6" x14ac:dyDescent="0.2">
      <c r="A483">
        <v>3615</v>
      </c>
      <c r="B483" t="s">
        <v>236</v>
      </c>
      <c r="C483" t="s">
        <v>449</v>
      </c>
      <c r="D483" t="s">
        <v>492</v>
      </c>
      <c r="E483" s="16">
        <v>45757.442048611112</v>
      </c>
      <c r="F483">
        <v>4</v>
      </c>
    </row>
    <row r="484" spans="1:6" x14ac:dyDescent="0.2">
      <c r="A484">
        <v>3625</v>
      </c>
      <c r="B484" t="s">
        <v>276</v>
      </c>
      <c r="C484" t="s">
        <v>449</v>
      </c>
      <c r="D484" t="s">
        <v>491</v>
      </c>
      <c r="E484" s="16">
        <v>45775.661064814813</v>
      </c>
      <c r="F484">
        <v>4</v>
      </c>
    </row>
    <row r="485" spans="1:6" x14ac:dyDescent="0.2">
      <c r="A485">
        <v>3626</v>
      </c>
      <c r="B485" t="s">
        <v>316</v>
      </c>
      <c r="C485" t="s">
        <v>449</v>
      </c>
      <c r="D485" t="s">
        <v>491</v>
      </c>
      <c r="E485" s="16">
        <v>45775.675300925926</v>
      </c>
      <c r="F485">
        <v>4</v>
      </c>
    </row>
    <row r="486" spans="1:6" x14ac:dyDescent="0.2">
      <c r="A486">
        <v>3637</v>
      </c>
      <c r="B486" t="s">
        <v>304</v>
      </c>
      <c r="C486" t="s">
        <v>449</v>
      </c>
      <c r="D486" t="s">
        <v>489</v>
      </c>
      <c r="E486" s="16">
        <v>45789.650879629633</v>
      </c>
      <c r="F486">
        <v>4</v>
      </c>
    </row>
    <row r="487" spans="1:6" x14ac:dyDescent="0.2">
      <c r="A487">
        <v>3637</v>
      </c>
      <c r="B487" t="s">
        <v>304</v>
      </c>
      <c r="C487" t="s">
        <v>449</v>
      </c>
      <c r="D487" t="s">
        <v>490</v>
      </c>
      <c r="E487" s="16">
        <v>45789.650879629633</v>
      </c>
      <c r="F487">
        <v>4</v>
      </c>
    </row>
    <row r="488" spans="1:6" x14ac:dyDescent="0.2">
      <c r="A488">
        <v>3616</v>
      </c>
      <c r="B488" t="s">
        <v>249</v>
      </c>
      <c r="C488" t="s">
        <v>449</v>
      </c>
      <c r="D488" t="s">
        <v>490</v>
      </c>
      <c r="E488" s="16">
        <v>45792.376759259256</v>
      </c>
      <c r="F488">
        <v>4</v>
      </c>
    </row>
    <row r="489" spans="1:6" x14ac:dyDescent="0.2">
      <c r="A489">
        <v>3616</v>
      </c>
      <c r="B489" t="s">
        <v>249</v>
      </c>
      <c r="C489" t="s">
        <v>449</v>
      </c>
      <c r="D489" t="s">
        <v>491</v>
      </c>
      <c r="E489" s="16">
        <v>45792.376759259256</v>
      </c>
      <c r="F489">
        <v>4</v>
      </c>
    </row>
    <row r="490" spans="1:6" x14ac:dyDescent="0.2">
      <c r="A490">
        <v>3582</v>
      </c>
      <c r="B490" t="s">
        <v>211</v>
      </c>
      <c r="C490" t="s">
        <v>449</v>
      </c>
      <c r="D490" t="s">
        <v>492</v>
      </c>
      <c r="E490" s="16">
        <v>45772.193194444444</v>
      </c>
      <c r="F490">
        <v>4</v>
      </c>
    </row>
    <row r="491" spans="1:6" x14ac:dyDescent="0.2">
      <c r="A491">
        <v>3582</v>
      </c>
      <c r="B491" t="s">
        <v>211</v>
      </c>
      <c r="C491" t="s">
        <v>449</v>
      </c>
      <c r="D491" t="s">
        <v>489</v>
      </c>
      <c r="E491" s="16">
        <v>45809.847719907404</v>
      </c>
      <c r="F491">
        <v>4</v>
      </c>
    </row>
    <row r="492" spans="1:6" x14ac:dyDescent="0.2">
      <c r="A492">
        <v>3644</v>
      </c>
      <c r="B492" t="s">
        <v>299</v>
      </c>
      <c r="C492" t="s">
        <v>449</v>
      </c>
      <c r="D492" t="s">
        <v>492</v>
      </c>
      <c r="E492" s="16">
        <v>45811.591157407405</v>
      </c>
      <c r="F492">
        <v>4</v>
      </c>
    </row>
    <row r="493" spans="1:6" x14ac:dyDescent="0.2">
      <c r="A493">
        <v>3621</v>
      </c>
      <c r="B493" t="s">
        <v>263</v>
      </c>
      <c r="C493" t="s">
        <v>449</v>
      </c>
      <c r="D493" t="s">
        <v>492</v>
      </c>
      <c r="E493" s="16">
        <v>45820.647465277776</v>
      </c>
      <c r="F493">
        <v>4</v>
      </c>
    </row>
    <row r="494" spans="1:6" x14ac:dyDescent="0.2">
      <c r="A494">
        <v>3591</v>
      </c>
      <c r="B494" t="s">
        <v>254</v>
      </c>
      <c r="C494" t="s">
        <v>449</v>
      </c>
      <c r="D494" t="s">
        <v>490</v>
      </c>
      <c r="E494" s="16">
        <v>45829.500937500001</v>
      </c>
      <c r="F494">
        <v>4</v>
      </c>
    </row>
    <row r="495" spans="1:6" x14ac:dyDescent="0.2">
      <c r="A495">
        <v>3600</v>
      </c>
      <c r="B495" t="s">
        <v>258</v>
      </c>
      <c r="C495" t="s">
        <v>449</v>
      </c>
      <c r="D495" t="s">
        <v>492</v>
      </c>
      <c r="E495" s="16">
        <v>45831.677199074074</v>
      </c>
      <c r="F495">
        <v>4</v>
      </c>
    </row>
    <row r="496" spans="1:6" x14ac:dyDescent="0.2">
      <c r="A496">
        <v>3571</v>
      </c>
      <c r="B496" t="s">
        <v>48</v>
      </c>
      <c r="C496" t="s">
        <v>449</v>
      </c>
      <c r="D496" t="s">
        <v>491</v>
      </c>
      <c r="E496" s="16">
        <v>45834.193495370368</v>
      </c>
      <c r="F496">
        <v>4</v>
      </c>
    </row>
    <row r="497" spans="1:6" x14ac:dyDescent="0.2">
      <c r="A497">
        <v>1138</v>
      </c>
      <c r="B497" t="s">
        <v>116</v>
      </c>
      <c r="C497" t="s">
        <v>449</v>
      </c>
      <c r="D497" t="s">
        <v>490</v>
      </c>
      <c r="E497" s="16">
        <v>45845.661412037036</v>
      </c>
      <c r="F497">
        <v>4</v>
      </c>
    </row>
    <row r="498" spans="1:6" x14ac:dyDescent="0.2">
      <c r="A498">
        <v>3649</v>
      </c>
      <c r="B498" t="s">
        <v>312</v>
      </c>
      <c r="C498" t="s">
        <v>449</v>
      </c>
      <c r="D498" t="s">
        <v>489</v>
      </c>
      <c r="E498" s="16">
        <v>45848.301377314812</v>
      </c>
      <c r="F498">
        <v>4</v>
      </c>
    </row>
    <row r="499" spans="1:6" x14ac:dyDescent="0.2">
      <c r="A499">
        <v>3609</v>
      </c>
      <c r="B499" t="s">
        <v>245</v>
      </c>
      <c r="C499" t="s">
        <v>449</v>
      </c>
      <c r="D499" t="s">
        <v>491</v>
      </c>
      <c r="E499" s="16">
        <v>45852.438472222224</v>
      </c>
      <c r="F499">
        <v>4</v>
      </c>
    </row>
    <row r="500" spans="1:6" x14ac:dyDescent="0.2">
      <c r="A500">
        <v>3656</v>
      </c>
      <c r="B500" t="s">
        <v>259</v>
      </c>
      <c r="C500" t="s">
        <v>449</v>
      </c>
      <c r="D500" t="s">
        <v>492</v>
      </c>
      <c r="E500" s="16">
        <v>45859.573229166665</v>
      </c>
      <c r="F500">
        <v>4</v>
      </c>
    </row>
    <row r="501" spans="1:6" x14ac:dyDescent="0.2">
      <c r="A501">
        <v>3656</v>
      </c>
      <c r="B501" t="s">
        <v>259</v>
      </c>
      <c r="C501" t="s">
        <v>449</v>
      </c>
      <c r="D501" t="s">
        <v>490</v>
      </c>
      <c r="E501" s="16">
        <v>45859.573229166665</v>
      </c>
      <c r="F501">
        <v>4</v>
      </c>
    </row>
    <row r="502" spans="1:6" x14ac:dyDescent="0.2">
      <c r="A502">
        <v>3660</v>
      </c>
      <c r="B502" t="s">
        <v>285</v>
      </c>
      <c r="C502" t="s">
        <v>449</v>
      </c>
      <c r="D502" t="s">
        <v>489</v>
      </c>
      <c r="E502" s="16">
        <v>45874.62295138889</v>
      </c>
      <c r="F502">
        <v>4</v>
      </c>
    </row>
    <row r="503" spans="1:6" x14ac:dyDescent="0.2">
      <c r="A503">
        <v>3660</v>
      </c>
      <c r="B503" t="s">
        <v>285</v>
      </c>
      <c r="C503" t="s">
        <v>449</v>
      </c>
      <c r="D503" t="s">
        <v>490</v>
      </c>
      <c r="E503" s="16">
        <v>45874.62295138889</v>
      </c>
      <c r="F503">
        <v>4</v>
      </c>
    </row>
    <row r="504" spans="1:6" x14ac:dyDescent="0.2">
      <c r="A504">
        <v>3583</v>
      </c>
      <c r="B504" t="s">
        <v>97</v>
      </c>
      <c r="C504" t="s">
        <v>449</v>
      </c>
      <c r="D504" t="s">
        <v>492</v>
      </c>
      <c r="E504" s="16">
        <v>45897.675937499997</v>
      </c>
      <c r="F504">
        <v>4</v>
      </c>
    </row>
    <row r="505" spans="1:6" x14ac:dyDescent="0.2">
      <c r="A505">
        <v>2464</v>
      </c>
      <c r="B505" t="s">
        <v>17</v>
      </c>
      <c r="C505" t="s">
        <v>449</v>
      </c>
      <c r="D505" t="s">
        <v>491</v>
      </c>
      <c r="E505" s="16">
        <v>45902.500069444446</v>
      </c>
      <c r="F505">
        <v>4</v>
      </c>
    </row>
    <row r="506" spans="1:6" x14ac:dyDescent="0.2">
      <c r="A506">
        <v>3674</v>
      </c>
      <c r="B506" t="s">
        <v>292</v>
      </c>
      <c r="C506" t="s">
        <v>449</v>
      </c>
      <c r="D506" t="s">
        <v>492</v>
      </c>
      <c r="E506" s="16">
        <v>45902.531527777777</v>
      </c>
      <c r="F506">
        <v>4</v>
      </c>
    </row>
    <row r="507" spans="1:6" x14ac:dyDescent="0.2">
      <c r="A507">
        <v>3674</v>
      </c>
      <c r="B507" t="s">
        <v>292</v>
      </c>
      <c r="C507" t="s">
        <v>449</v>
      </c>
      <c r="D507" t="s">
        <v>491</v>
      </c>
      <c r="E507" s="16">
        <v>45902.531527777777</v>
      </c>
      <c r="F507">
        <v>4</v>
      </c>
    </row>
    <row r="508" spans="1:6" x14ac:dyDescent="0.2">
      <c r="A508">
        <v>3544</v>
      </c>
      <c r="B508" t="s">
        <v>15</v>
      </c>
      <c r="C508" t="s">
        <v>449</v>
      </c>
      <c r="D508" t="s">
        <v>492</v>
      </c>
      <c r="E508" s="16">
        <v>45911.460532407407</v>
      </c>
      <c r="F508">
        <v>4</v>
      </c>
    </row>
    <row r="509" spans="1:6" x14ac:dyDescent="0.2">
      <c r="A509">
        <v>3609</v>
      </c>
      <c r="B509" t="s">
        <v>245</v>
      </c>
      <c r="C509" t="s">
        <v>449</v>
      </c>
      <c r="D509" t="s">
        <v>492</v>
      </c>
      <c r="E509" s="16">
        <v>45915.456284722219</v>
      </c>
      <c r="F509">
        <v>4</v>
      </c>
    </row>
    <row r="510" spans="1:6" x14ac:dyDescent="0.2">
      <c r="A510">
        <v>3662</v>
      </c>
      <c r="B510" t="s">
        <v>250</v>
      </c>
      <c r="C510" t="s">
        <v>449</v>
      </c>
      <c r="D510" t="s">
        <v>489</v>
      </c>
      <c r="E510" s="16">
        <v>45906.585763888892</v>
      </c>
      <c r="F510">
        <v>4</v>
      </c>
    </row>
    <row r="511" spans="1:6" x14ac:dyDescent="0.2">
      <c r="A511">
        <v>3662</v>
      </c>
      <c r="B511" t="s">
        <v>250</v>
      </c>
      <c r="C511" t="s">
        <v>449</v>
      </c>
      <c r="D511" t="s">
        <v>492</v>
      </c>
      <c r="E511" s="16">
        <v>45906.585763888892</v>
      </c>
      <c r="F511">
        <v>4</v>
      </c>
    </row>
    <row r="512" spans="1:6" x14ac:dyDescent="0.2">
      <c r="A512">
        <v>3594</v>
      </c>
      <c r="B512" t="s">
        <v>315</v>
      </c>
      <c r="C512" t="s">
        <v>449</v>
      </c>
      <c r="D512" t="s">
        <v>492</v>
      </c>
      <c r="E512" s="16">
        <v>45939.347974537035</v>
      </c>
      <c r="F512">
        <v>4</v>
      </c>
    </row>
    <row r="513" spans="1:6" x14ac:dyDescent="0.2">
      <c r="A513">
        <v>3688</v>
      </c>
      <c r="B513" t="s">
        <v>303</v>
      </c>
      <c r="C513" t="s">
        <v>449</v>
      </c>
      <c r="D513" t="s">
        <v>492</v>
      </c>
      <c r="E513" s="16">
        <v>45961.516574074078</v>
      </c>
      <c r="F513">
        <v>4</v>
      </c>
    </row>
    <row r="514" spans="1:6" x14ac:dyDescent="0.2">
      <c r="A514">
        <v>3687</v>
      </c>
      <c r="B514" t="s">
        <v>252</v>
      </c>
      <c r="C514" t="s">
        <v>449</v>
      </c>
      <c r="D514" t="s">
        <v>489</v>
      </c>
      <c r="E514" s="16">
        <v>45967.680914351855</v>
      </c>
      <c r="F514">
        <v>4</v>
      </c>
    </row>
    <row r="515" spans="1:6" x14ac:dyDescent="0.2">
      <c r="A515">
        <v>3519</v>
      </c>
      <c r="B515" t="s">
        <v>117</v>
      </c>
      <c r="C515" t="s">
        <v>449</v>
      </c>
      <c r="D515" t="s">
        <v>492</v>
      </c>
      <c r="E515" s="16">
        <v>45677.499479166669</v>
      </c>
      <c r="F515">
        <v>4</v>
      </c>
    </row>
    <row r="516" spans="1:6" x14ac:dyDescent="0.2">
      <c r="A516">
        <v>3564</v>
      </c>
      <c r="B516" t="s">
        <v>84</v>
      </c>
      <c r="C516" t="s">
        <v>449</v>
      </c>
      <c r="D516" t="s">
        <v>492</v>
      </c>
      <c r="E516" s="16">
        <v>45699.570844907408</v>
      </c>
      <c r="F516">
        <v>4</v>
      </c>
    </row>
    <row r="517" spans="1:6" x14ac:dyDescent="0.2">
      <c r="A517">
        <v>3592</v>
      </c>
      <c r="B517" t="s">
        <v>272</v>
      </c>
      <c r="C517" t="s">
        <v>449</v>
      </c>
      <c r="D517" t="s">
        <v>490</v>
      </c>
      <c r="E517" s="16">
        <v>45719.525590277779</v>
      </c>
      <c r="F517">
        <v>4</v>
      </c>
    </row>
    <row r="518" spans="1:6" x14ac:dyDescent="0.2">
      <c r="A518">
        <v>3431</v>
      </c>
      <c r="B518" t="s">
        <v>53</v>
      </c>
      <c r="C518" t="s">
        <v>449</v>
      </c>
      <c r="D518" t="s">
        <v>490</v>
      </c>
      <c r="E518" s="16">
        <v>45725.739039351851</v>
      </c>
      <c r="F518">
        <v>4</v>
      </c>
    </row>
    <row r="519" spans="1:6" x14ac:dyDescent="0.2">
      <c r="A519">
        <v>3598</v>
      </c>
      <c r="B519" t="s">
        <v>318</v>
      </c>
      <c r="C519" t="s">
        <v>449</v>
      </c>
      <c r="D519" t="s">
        <v>490</v>
      </c>
      <c r="E519" s="16">
        <v>45736.498981481483</v>
      </c>
      <c r="F519">
        <v>4</v>
      </c>
    </row>
    <row r="520" spans="1:6" x14ac:dyDescent="0.2">
      <c r="A520">
        <v>3597</v>
      </c>
      <c r="B520" t="s">
        <v>319</v>
      </c>
      <c r="C520" t="s">
        <v>449</v>
      </c>
      <c r="D520" t="s">
        <v>492</v>
      </c>
      <c r="E520" s="16">
        <v>45740.318032407406</v>
      </c>
      <c r="F520">
        <v>4</v>
      </c>
    </row>
    <row r="521" spans="1:6" x14ac:dyDescent="0.2">
      <c r="A521">
        <v>3599</v>
      </c>
      <c r="B521" t="s">
        <v>281</v>
      </c>
      <c r="C521" t="s">
        <v>449</v>
      </c>
      <c r="D521" t="s">
        <v>490</v>
      </c>
      <c r="E521" s="16">
        <v>45741.483726851853</v>
      </c>
      <c r="F521">
        <v>4</v>
      </c>
    </row>
    <row r="522" spans="1:6" x14ac:dyDescent="0.2">
      <c r="A522">
        <v>3606</v>
      </c>
      <c r="B522" t="s">
        <v>265</v>
      </c>
      <c r="C522" t="s">
        <v>449</v>
      </c>
      <c r="D522" t="s">
        <v>490</v>
      </c>
      <c r="E522" s="16">
        <v>45748.525729166664</v>
      </c>
      <c r="F522">
        <v>4</v>
      </c>
    </row>
    <row r="523" spans="1:6" x14ac:dyDescent="0.2">
      <c r="A523">
        <v>3616</v>
      </c>
      <c r="B523" t="s">
        <v>249</v>
      </c>
      <c r="C523" t="s">
        <v>449</v>
      </c>
      <c r="D523" t="s">
        <v>492</v>
      </c>
      <c r="E523" s="16">
        <v>45769.335011574076</v>
      </c>
      <c r="F523">
        <v>4</v>
      </c>
    </row>
    <row r="524" spans="1:6" x14ac:dyDescent="0.2">
      <c r="A524">
        <v>3625</v>
      </c>
      <c r="B524" t="s">
        <v>276</v>
      </c>
      <c r="C524" t="s">
        <v>449</v>
      </c>
      <c r="D524" t="s">
        <v>492</v>
      </c>
      <c r="E524" s="16">
        <v>45775.661064814813</v>
      </c>
      <c r="F524">
        <v>4</v>
      </c>
    </row>
    <row r="525" spans="1:6" x14ac:dyDescent="0.2">
      <c r="A525">
        <v>3626</v>
      </c>
      <c r="B525" t="s">
        <v>316</v>
      </c>
      <c r="C525" t="s">
        <v>449</v>
      </c>
      <c r="D525" t="s">
        <v>490</v>
      </c>
      <c r="E525" s="16">
        <v>45775.675300925926</v>
      </c>
      <c r="F525">
        <v>4</v>
      </c>
    </row>
    <row r="526" spans="1:6" x14ac:dyDescent="0.2">
      <c r="A526">
        <v>3626</v>
      </c>
      <c r="B526" t="s">
        <v>316</v>
      </c>
      <c r="C526" t="s">
        <v>449</v>
      </c>
      <c r="D526" t="s">
        <v>492</v>
      </c>
      <c r="E526" s="16">
        <v>45775.675300925926</v>
      </c>
      <c r="F526">
        <v>4</v>
      </c>
    </row>
    <row r="527" spans="1:6" x14ac:dyDescent="0.2">
      <c r="A527">
        <v>3576</v>
      </c>
      <c r="B527" t="s">
        <v>75</v>
      </c>
      <c r="C527" t="s">
        <v>449</v>
      </c>
      <c r="D527" t="s">
        <v>490</v>
      </c>
      <c r="E527" s="16">
        <v>45799.505509259259</v>
      </c>
      <c r="F527">
        <v>4</v>
      </c>
    </row>
    <row r="528" spans="1:6" x14ac:dyDescent="0.2">
      <c r="A528">
        <v>3632</v>
      </c>
      <c r="B528" t="s">
        <v>238</v>
      </c>
      <c r="C528" t="s">
        <v>449</v>
      </c>
      <c r="D528" t="s">
        <v>492</v>
      </c>
      <c r="E528" s="16">
        <v>45804.348680555559</v>
      </c>
      <c r="F528">
        <v>4</v>
      </c>
    </row>
    <row r="529" spans="1:6" x14ac:dyDescent="0.2">
      <c r="A529">
        <v>3582</v>
      </c>
      <c r="B529" t="s">
        <v>211</v>
      </c>
      <c r="C529" t="s">
        <v>449</v>
      </c>
      <c r="D529" t="s">
        <v>490</v>
      </c>
      <c r="E529" s="16">
        <v>45809.847719907404</v>
      </c>
      <c r="F529">
        <v>4</v>
      </c>
    </row>
    <row r="530" spans="1:6" x14ac:dyDescent="0.2">
      <c r="A530">
        <v>1269</v>
      </c>
      <c r="B530" t="s">
        <v>161</v>
      </c>
      <c r="C530" t="s">
        <v>449</v>
      </c>
      <c r="D530" t="s">
        <v>490</v>
      </c>
      <c r="E530" s="16">
        <v>45811.47084490741</v>
      </c>
      <c r="F530">
        <v>4</v>
      </c>
    </row>
    <row r="531" spans="1:6" x14ac:dyDescent="0.2">
      <c r="A531">
        <v>3644</v>
      </c>
      <c r="B531" t="s">
        <v>299</v>
      </c>
      <c r="C531" t="s">
        <v>449</v>
      </c>
      <c r="D531" t="s">
        <v>489</v>
      </c>
      <c r="E531" s="16">
        <v>45811.591157407405</v>
      </c>
      <c r="F531">
        <v>4</v>
      </c>
    </row>
    <row r="532" spans="1:6" x14ac:dyDescent="0.2">
      <c r="A532">
        <v>3644</v>
      </c>
      <c r="B532" t="s">
        <v>299</v>
      </c>
      <c r="C532" t="s">
        <v>449</v>
      </c>
      <c r="D532" t="s">
        <v>490</v>
      </c>
      <c r="E532" s="16">
        <v>45811.591157407405</v>
      </c>
      <c r="F532">
        <v>4</v>
      </c>
    </row>
    <row r="533" spans="1:6" x14ac:dyDescent="0.2">
      <c r="A533">
        <v>3644</v>
      </c>
      <c r="B533" t="s">
        <v>299</v>
      </c>
      <c r="C533" t="s">
        <v>449</v>
      </c>
      <c r="D533" t="s">
        <v>491</v>
      </c>
      <c r="E533" s="16">
        <v>45811.591157407405</v>
      </c>
      <c r="F533">
        <v>4</v>
      </c>
    </row>
    <row r="534" spans="1:6" x14ac:dyDescent="0.2">
      <c r="A534">
        <v>3647</v>
      </c>
      <c r="B534" t="s">
        <v>310</v>
      </c>
      <c r="C534" t="s">
        <v>449</v>
      </c>
      <c r="D534" t="s">
        <v>491</v>
      </c>
      <c r="E534" s="16">
        <v>45824.300173611111</v>
      </c>
      <c r="F534">
        <v>4</v>
      </c>
    </row>
    <row r="535" spans="1:6" x14ac:dyDescent="0.2">
      <c r="A535">
        <v>3647</v>
      </c>
      <c r="B535" t="s">
        <v>310</v>
      </c>
      <c r="C535" t="s">
        <v>449</v>
      </c>
      <c r="D535" t="s">
        <v>492</v>
      </c>
      <c r="E535" s="16">
        <v>45824.300173611111</v>
      </c>
      <c r="F535">
        <v>4</v>
      </c>
    </row>
    <row r="536" spans="1:6" x14ac:dyDescent="0.2">
      <c r="A536">
        <v>3647</v>
      </c>
      <c r="B536" t="s">
        <v>310</v>
      </c>
      <c r="C536" t="s">
        <v>449</v>
      </c>
      <c r="D536" t="s">
        <v>490</v>
      </c>
      <c r="E536" s="16">
        <v>45824.300173611111</v>
      </c>
      <c r="F536">
        <v>4</v>
      </c>
    </row>
    <row r="537" spans="1:6" x14ac:dyDescent="0.2">
      <c r="A537">
        <v>3591</v>
      </c>
      <c r="B537" t="s">
        <v>254</v>
      </c>
      <c r="C537" t="s">
        <v>449</v>
      </c>
      <c r="D537" t="s">
        <v>491</v>
      </c>
      <c r="E537" s="16">
        <v>45829.500937500001</v>
      </c>
      <c r="F537">
        <v>4</v>
      </c>
    </row>
    <row r="538" spans="1:6" x14ac:dyDescent="0.2">
      <c r="A538">
        <v>3571</v>
      </c>
      <c r="B538" t="s">
        <v>48</v>
      </c>
      <c r="C538" t="s">
        <v>449</v>
      </c>
      <c r="D538" t="s">
        <v>492</v>
      </c>
      <c r="E538" s="16">
        <v>45834.193495370368</v>
      </c>
      <c r="F538">
        <v>4</v>
      </c>
    </row>
    <row r="539" spans="1:6" x14ac:dyDescent="0.2">
      <c r="A539">
        <v>3648</v>
      </c>
      <c r="B539" t="s">
        <v>261</v>
      </c>
      <c r="C539" t="s">
        <v>449</v>
      </c>
      <c r="D539" t="s">
        <v>489</v>
      </c>
      <c r="E539" s="16">
        <v>45848.414166666669</v>
      </c>
      <c r="F539">
        <v>4</v>
      </c>
    </row>
    <row r="540" spans="1:6" x14ac:dyDescent="0.2">
      <c r="A540">
        <v>3624</v>
      </c>
      <c r="B540" t="s">
        <v>302</v>
      </c>
      <c r="C540" t="s">
        <v>449</v>
      </c>
      <c r="D540" t="s">
        <v>492</v>
      </c>
      <c r="E540" s="16">
        <v>45855.536134259259</v>
      </c>
      <c r="F540">
        <v>4</v>
      </c>
    </row>
    <row r="541" spans="1:6" x14ac:dyDescent="0.2">
      <c r="A541">
        <v>3656</v>
      </c>
      <c r="B541" t="s">
        <v>259</v>
      </c>
      <c r="C541" t="s">
        <v>449</v>
      </c>
      <c r="D541" t="s">
        <v>491</v>
      </c>
      <c r="E541" s="16">
        <v>45859.573229166665</v>
      </c>
      <c r="F541">
        <v>4</v>
      </c>
    </row>
    <row r="542" spans="1:6" x14ac:dyDescent="0.2">
      <c r="A542">
        <v>3663</v>
      </c>
      <c r="B542" t="s">
        <v>278</v>
      </c>
      <c r="C542" t="s">
        <v>449</v>
      </c>
      <c r="D542" t="s">
        <v>492</v>
      </c>
      <c r="E542" s="16">
        <v>45875.534375000003</v>
      </c>
      <c r="F542">
        <v>4</v>
      </c>
    </row>
    <row r="543" spans="1:6" x14ac:dyDescent="0.2">
      <c r="A543">
        <v>3665</v>
      </c>
      <c r="B543" t="s">
        <v>222</v>
      </c>
      <c r="C543" t="s">
        <v>449</v>
      </c>
      <c r="D543" t="s">
        <v>491</v>
      </c>
      <c r="E543" s="16">
        <v>45876.564085648148</v>
      </c>
      <c r="F543">
        <v>4</v>
      </c>
    </row>
    <row r="544" spans="1:6" x14ac:dyDescent="0.2">
      <c r="A544">
        <v>3665</v>
      </c>
      <c r="B544" t="s">
        <v>222</v>
      </c>
      <c r="C544" t="s">
        <v>449</v>
      </c>
      <c r="D544" t="s">
        <v>490</v>
      </c>
      <c r="E544" s="16">
        <v>45876.564085648148</v>
      </c>
      <c r="F544">
        <v>4</v>
      </c>
    </row>
    <row r="545" spans="1:6" x14ac:dyDescent="0.2">
      <c r="A545">
        <v>3674</v>
      </c>
      <c r="B545" t="s">
        <v>292</v>
      </c>
      <c r="C545" t="s">
        <v>449</v>
      </c>
      <c r="D545" t="s">
        <v>489</v>
      </c>
      <c r="E545" s="16">
        <v>45902.531527777777</v>
      </c>
      <c r="F545">
        <v>4</v>
      </c>
    </row>
    <row r="546" spans="1:6" x14ac:dyDescent="0.2">
      <c r="A546">
        <v>3220</v>
      </c>
      <c r="B546" t="s">
        <v>170</v>
      </c>
      <c r="C546" t="s">
        <v>449</v>
      </c>
      <c r="D546" t="s">
        <v>492</v>
      </c>
      <c r="E546" s="16">
        <v>45911.453553240739</v>
      </c>
      <c r="F546">
        <v>4</v>
      </c>
    </row>
    <row r="547" spans="1:6" x14ac:dyDescent="0.2">
      <c r="A547">
        <v>3594</v>
      </c>
      <c r="B547" t="s">
        <v>315</v>
      </c>
      <c r="C547" t="s">
        <v>449</v>
      </c>
      <c r="D547" t="s">
        <v>490</v>
      </c>
      <c r="E547" s="16">
        <v>45939.34878472222</v>
      </c>
      <c r="F547">
        <v>4</v>
      </c>
    </row>
    <row r="548" spans="1:6" x14ac:dyDescent="0.2">
      <c r="A548">
        <v>3676</v>
      </c>
      <c r="B548" t="s">
        <v>239</v>
      </c>
      <c r="C548" t="s">
        <v>449</v>
      </c>
      <c r="D548" t="s">
        <v>492</v>
      </c>
      <c r="E548" s="16">
        <v>45947.612407407411</v>
      </c>
      <c r="F548">
        <v>4</v>
      </c>
    </row>
    <row r="549" spans="1:6" x14ac:dyDescent="0.2">
      <c r="A549">
        <v>3676</v>
      </c>
      <c r="B549" t="s">
        <v>239</v>
      </c>
      <c r="C549" t="s">
        <v>449</v>
      </c>
      <c r="D549" t="s">
        <v>490</v>
      </c>
      <c r="E549" s="16">
        <v>45947.612407407411</v>
      </c>
      <c r="F549">
        <v>4</v>
      </c>
    </row>
    <row r="550" spans="1:6" x14ac:dyDescent="0.2">
      <c r="A550">
        <v>3687</v>
      </c>
      <c r="B550" t="s">
        <v>252</v>
      </c>
      <c r="C550" t="s">
        <v>449</v>
      </c>
      <c r="D550" t="s">
        <v>490</v>
      </c>
      <c r="E550" s="16">
        <v>45967.680914351855</v>
      </c>
      <c r="F550">
        <v>4</v>
      </c>
    </row>
    <row r="551" spans="1:6" x14ac:dyDescent="0.2">
      <c r="A551">
        <v>2229</v>
      </c>
      <c r="B551" t="s">
        <v>149</v>
      </c>
      <c r="C551" t="s">
        <v>436</v>
      </c>
      <c r="D551" t="s">
        <v>514</v>
      </c>
      <c r="E551" s="16">
        <v>45635.508912037039</v>
      </c>
      <c r="F551">
        <v>3</v>
      </c>
    </row>
    <row r="552" spans="1:6" x14ac:dyDescent="0.2">
      <c r="A552">
        <v>2626</v>
      </c>
      <c r="B552" t="s">
        <v>30</v>
      </c>
      <c r="C552" t="s">
        <v>449</v>
      </c>
      <c r="D552" t="s">
        <v>515</v>
      </c>
      <c r="E552" s="16">
        <v>45607.410787037035</v>
      </c>
      <c r="F552">
        <v>3</v>
      </c>
    </row>
    <row r="553" spans="1:6" x14ac:dyDescent="0.2">
      <c r="A553">
        <v>3304</v>
      </c>
      <c r="B553" t="s">
        <v>74</v>
      </c>
      <c r="C553" t="s">
        <v>474</v>
      </c>
      <c r="D553" t="s">
        <v>541</v>
      </c>
      <c r="E553" s="16">
        <v>45630.345208333332</v>
      </c>
      <c r="F553">
        <v>3</v>
      </c>
    </row>
    <row r="554" spans="1:6" x14ac:dyDescent="0.2">
      <c r="A554">
        <v>2556</v>
      </c>
      <c r="B554" t="s">
        <v>98</v>
      </c>
      <c r="C554" t="s">
        <v>474</v>
      </c>
      <c r="D554" t="s">
        <v>544</v>
      </c>
      <c r="E554" s="16">
        <v>45629.375358796293</v>
      </c>
      <c r="F554">
        <v>3</v>
      </c>
    </row>
    <row r="555" spans="1:6" x14ac:dyDescent="0.2">
      <c r="A555">
        <v>3410</v>
      </c>
      <c r="B555" t="s">
        <v>43</v>
      </c>
      <c r="C555" t="s">
        <v>474</v>
      </c>
      <c r="D555" t="s">
        <v>532</v>
      </c>
      <c r="E555" s="16">
        <v>45631.268576388888</v>
      </c>
      <c r="F555">
        <v>3</v>
      </c>
    </row>
    <row r="556" spans="1:6" x14ac:dyDescent="0.2">
      <c r="A556">
        <v>3253</v>
      </c>
      <c r="B556" t="s">
        <v>184</v>
      </c>
      <c r="C556" t="s">
        <v>474</v>
      </c>
      <c r="D556" t="s">
        <v>535</v>
      </c>
      <c r="E556" s="16">
        <v>45630.389374999999</v>
      </c>
      <c r="F556">
        <v>3</v>
      </c>
    </row>
    <row r="557" spans="1:6" x14ac:dyDescent="0.2">
      <c r="A557">
        <v>3335</v>
      </c>
      <c r="B557" t="s">
        <v>32</v>
      </c>
      <c r="C557" t="s">
        <v>474</v>
      </c>
      <c r="D557" t="s">
        <v>541</v>
      </c>
      <c r="E557" s="16">
        <v>45629.366666666669</v>
      </c>
      <c r="F557">
        <v>3</v>
      </c>
    </row>
    <row r="558" spans="1:6" x14ac:dyDescent="0.2">
      <c r="A558">
        <v>3289</v>
      </c>
      <c r="B558" t="s">
        <v>21</v>
      </c>
      <c r="C558" t="s">
        <v>474</v>
      </c>
      <c r="D558" t="s">
        <v>544</v>
      </c>
      <c r="E558" s="16">
        <v>45630.415625000001</v>
      </c>
      <c r="F558">
        <v>3</v>
      </c>
    </row>
    <row r="559" spans="1:6" x14ac:dyDescent="0.2">
      <c r="A559">
        <v>1271</v>
      </c>
      <c r="B559" t="s">
        <v>27</v>
      </c>
      <c r="C559" t="s">
        <v>474</v>
      </c>
      <c r="D559" t="s">
        <v>537</v>
      </c>
      <c r="E559" s="16">
        <v>45636.671516203707</v>
      </c>
      <c r="F559">
        <v>3</v>
      </c>
    </row>
    <row r="560" spans="1:6" x14ac:dyDescent="0.2">
      <c r="A560">
        <v>3097</v>
      </c>
      <c r="B560" t="s">
        <v>143</v>
      </c>
      <c r="C560" t="s">
        <v>474</v>
      </c>
      <c r="D560" t="s">
        <v>544</v>
      </c>
      <c r="E560" s="16">
        <v>45631.293680555558</v>
      </c>
      <c r="F560">
        <v>3</v>
      </c>
    </row>
    <row r="561" spans="1:6" x14ac:dyDescent="0.2">
      <c r="A561">
        <v>3426</v>
      </c>
      <c r="B561" t="s">
        <v>207</v>
      </c>
      <c r="C561" t="s">
        <v>474</v>
      </c>
      <c r="D561" t="s">
        <v>537</v>
      </c>
      <c r="E561" s="16">
        <v>45629.400312500002</v>
      </c>
      <c r="F561">
        <v>3</v>
      </c>
    </row>
    <row r="562" spans="1:6" x14ac:dyDescent="0.2">
      <c r="A562">
        <v>3289</v>
      </c>
      <c r="B562" t="s">
        <v>21</v>
      </c>
      <c r="C562" t="s">
        <v>521</v>
      </c>
      <c r="D562" t="s">
        <v>528</v>
      </c>
      <c r="E562" s="16">
        <v>45605.271597222221</v>
      </c>
      <c r="F562">
        <v>3</v>
      </c>
    </row>
    <row r="563" spans="1:6" x14ac:dyDescent="0.2">
      <c r="A563">
        <v>3185</v>
      </c>
      <c r="B563" t="s">
        <v>166</v>
      </c>
      <c r="C563" t="s">
        <v>474</v>
      </c>
      <c r="D563" t="s">
        <v>537</v>
      </c>
      <c r="E563" s="16">
        <v>45631.295092592591</v>
      </c>
      <c r="F563">
        <v>3</v>
      </c>
    </row>
    <row r="564" spans="1:6" x14ac:dyDescent="0.2">
      <c r="A564">
        <v>3351</v>
      </c>
      <c r="B564" t="s">
        <v>40</v>
      </c>
      <c r="C564" t="s">
        <v>474</v>
      </c>
      <c r="D564" t="s">
        <v>535</v>
      </c>
      <c r="E564" s="16">
        <v>45635.511608796296</v>
      </c>
      <c r="F564">
        <v>3</v>
      </c>
    </row>
    <row r="565" spans="1:6" x14ac:dyDescent="0.2">
      <c r="A565">
        <v>3196</v>
      </c>
      <c r="B565" t="s">
        <v>46</v>
      </c>
      <c r="C565" t="s">
        <v>436</v>
      </c>
      <c r="D565" t="s">
        <v>514</v>
      </c>
      <c r="E565" s="16">
        <v>45668.362986111111</v>
      </c>
      <c r="F565">
        <v>3</v>
      </c>
    </row>
    <row r="566" spans="1:6" x14ac:dyDescent="0.2">
      <c r="A566">
        <v>3339</v>
      </c>
      <c r="B566" t="s">
        <v>45</v>
      </c>
      <c r="C566" t="s">
        <v>474</v>
      </c>
      <c r="D566" t="s">
        <v>535</v>
      </c>
      <c r="E566" s="16">
        <v>45630.392858796295</v>
      </c>
      <c r="F566">
        <v>3</v>
      </c>
    </row>
    <row r="567" spans="1:6" x14ac:dyDescent="0.2">
      <c r="A567">
        <v>2073</v>
      </c>
      <c r="B567" t="s">
        <v>58</v>
      </c>
      <c r="C567" t="s">
        <v>474</v>
      </c>
      <c r="D567" t="s">
        <v>534</v>
      </c>
      <c r="E567" s="16">
        <v>45635.71837962963</v>
      </c>
      <c r="F567">
        <v>3</v>
      </c>
    </row>
    <row r="568" spans="1:6" x14ac:dyDescent="0.2">
      <c r="A568">
        <v>3444</v>
      </c>
      <c r="B568" t="s">
        <v>104</v>
      </c>
      <c r="C568" t="s">
        <v>474</v>
      </c>
      <c r="D568" t="s">
        <v>535</v>
      </c>
      <c r="E568" s="16">
        <v>45630.399363425924</v>
      </c>
      <c r="F568">
        <v>3</v>
      </c>
    </row>
    <row r="569" spans="1:6" x14ac:dyDescent="0.2">
      <c r="A569">
        <v>1911</v>
      </c>
      <c r="B569" t="s">
        <v>182</v>
      </c>
      <c r="C569" t="s">
        <v>474</v>
      </c>
      <c r="D569" t="s">
        <v>533</v>
      </c>
      <c r="E569" s="16">
        <v>45715.365810185183</v>
      </c>
      <c r="F569">
        <v>3</v>
      </c>
    </row>
    <row r="570" spans="1:6" x14ac:dyDescent="0.2">
      <c r="A570">
        <v>3382</v>
      </c>
      <c r="B570" t="s">
        <v>125</v>
      </c>
      <c r="C570" t="s">
        <v>474</v>
      </c>
      <c r="D570" t="s">
        <v>544</v>
      </c>
      <c r="E570" s="16">
        <v>45630.414641203701</v>
      </c>
      <c r="F570">
        <v>3</v>
      </c>
    </row>
    <row r="571" spans="1:6" x14ac:dyDescent="0.2">
      <c r="A571">
        <v>3564</v>
      </c>
      <c r="B571" t="s">
        <v>84</v>
      </c>
      <c r="C571" t="s">
        <v>521</v>
      </c>
      <c r="D571" t="s">
        <v>529</v>
      </c>
      <c r="E571" s="16">
        <v>45747.666284722225</v>
      </c>
      <c r="F571">
        <v>3</v>
      </c>
    </row>
    <row r="572" spans="1:6" x14ac:dyDescent="0.2">
      <c r="A572">
        <v>3256</v>
      </c>
      <c r="B572" t="s">
        <v>119</v>
      </c>
      <c r="C572" t="s">
        <v>474</v>
      </c>
      <c r="D572" t="s">
        <v>544</v>
      </c>
      <c r="E572" s="16">
        <v>45645.674363425926</v>
      </c>
      <c r="F572">
        <v>3</v>
      </c>
    </row>
    <row r="573" spans="1:6" x14ac:dyDescent="0.2">
      <c r="A573">
        <v>2780</v>
      </c>
      <c r="B573" t="s">
        <v>71</v>
      </c>
      <c r="C573" t="s">
        <v>436</v>
      </c>
      <c r="D573" t="s">
        <v>504</v>
      </c>
      <c r="E573" s="16">
        <v>45789.511018518519</v>
      </c>
      <c r="F573">
        <v>3</v>
      </c>
    </row>
    <row r="574" spans="1:6" x14ac:dyDescent="0.2">
      <c r="A574">
        <v>3256</v>
      </c>
      <c r="B574" t="s">
        <v>119</v>
      </c>
      <c r="C574" t="s">
        <v>474</v>
      </c>
      <c r="D574" t="s">
        <v>535</v>
      </c>
      <c r="E574" s="16">
        <v>45645.674363425926</v>
      </c>
      <c r="F574">
        <v>3</v>
      </c>
    </row>
    <row r="575" spans="1:6" x14ac:dyDescent="0.2">
      <c r="A575">
        <v>3605</v>
      </c>
      <c r="B575" t="s">
        <v>268</v>
      </c>
      <c r="C575" t="s">
        <v>521</v>
      </c>
      <c r="D575" t="s">
        <v>530</v>
      </c>
      <c r="E575" s="16">
        <v>45870.411817129629</v>
      </c>
      <c r="F575">
        <v>3</v>
      </c>
    </row>
    <row r="576" spans="1:6" x14ac:dyDescent="0.2">
      <c r="A576">
        <v>2624</v>
      </c>
      <c r="B576" t="s">
        <v>155</v>
      </c>
      <c r="C576" t="s">
        <v>474</v>
      </c>
      <c r="D576" t="s">
        <v>545</v>
      </c>
      <c r="E576" s="16">
        <v>45662.531238425923</v>
      </c>
      <c r="F576">
        <v>3</v>
      </c>
    </row>
    <row r="577" spans="1:6" x14ac:dyDescent="0.2">
      <c r="A577">
        <v>3664</v>
      </c>
      <c r="B577" t="s">
        <v>313</v>
      </c>
      <c r="C577" t="s">
        <v>436</v>
      </c>
      <c r="D577" t="s">
        <v>514</v>
      </c>
      <c r="E577" s="16">
        <v>45887.417569444442</v>
      </c>
      <c r="F577">
        <v>3</v>
      </c>
    </row>
    <row r="578" spans="1:6" x14ac:dyDescent="0.2">
      <c r="A578">
        <v>2624</v>
      </c>
      <c r="B578" t="s">
        <v>155</v>
      </c>
      <c r="C578" t="s">
        <v>474</v>
      </c>
      <c r="D578" t="s">
        <v>535</v>
      </c>
      <c r="E578" s="16">
        <v>45662.531238425923</v>
      </c>
      <c r="F578">
        <v>3</v>
      </c>
    </row>
    <row r="579" spans="1:6" x14ac:dyDescent="0.2">
      <c r="A579">
        <v>3648</v>
      </c>
      <c r="B579" t="s">
        <v>261</v>
      </c>
      <c r="C579" t="s">
        <v>436</v>
      </c>
      <c r="D579" t="s">
        <v>516</v>
      </c>
      <c r="E579" s="16">
        <v>45900.647187499999</v>
      </c>
      <c r="F579">
        <v>3</v>
      </c>
    </row>
    <row r="580" spans="1:6" x14ac:dyDescent="0.2">
      <c r="A580">
        <v>3196</v>
      </c>
      <c r="B580" t="s">
        <v>46</v>
      </c>
      <c r="C580" t="s">
        <v>436</v>
      </c>
      <c r="D580" t="s">
        <v>506</v>
      </c>
      <c r="E580" s="16">
        <v>45668.362986111111</v>
      </c>
      <c r="F580">
        <v>3</v>
      </c>
    </row>
    <row r="581" spans="1:6" x14ac:dyDescent="0.2">
      <c r="A581">
        <v>3245</v>
      </c>
      <c r="B581" t="s">
        <v>67</v>
      </c>
      <c r="C581" t="s">
        <v>436</v>
      </c>
      <c r="D581" t="s">
        <v>514</v>
      </c>
      <c r="E581" s="16">
        <v>45902.38622685185</v>
      </c>
      <c r="F581">
        <v>3</v>
      </c>
    </row>
    <row r="582" spans="1:6" x14ac:dyDescent="0.2">
      <c r="A582">
        <v>3562</v>
      </c>
      <c r="B582" t="s">
        <v>49</v>
      </c>
      <c r="C582" t="s">
        <v>449</v>
      </c>
      <c r="D582" t="s">
        <v>515</v>
      </c>
      <c r="E582" s="16">
        <v>45663.721226851849</v>
      </c>
      <c r="F582">
        <v>3</v>
      </c>
    </row>
    <row r="583" spans="1:6" x14ac:dyDescent="0.2">
      <c r="A583">
        <v>3220</v>
      </c>
      <c r="B583" t="s">
        <v>170</v>
      </c>
      <c r="C583" t="s">
        <v>521</v>
      </c>
      <c r="D583" t="s">
        <v>530</v>
      </c>
      <c r="E583" s="16">
        <v>45765.426319444443</v>
      </c>
      <c r="F583">
        <v>3</v>
      </c>
    </row>
    <row r="584" spans="1:6" x14ac:dyDescent="0.2">
      <c r="A584">
        <v>2449</v>
      </c>
      <c r="B584" t="s">
        <v>111</v>
      </c>
      <c r="C584" t="s">
        <v>521</v>
      </c>
      <c r="D584" t="s">
        <v>528</v>
      </c>
      <c r="E584" s="16">
        <v>45681.348900462966</v>
      </c>
      <c r="F584">
        <v>3</v>
      </c>
    </row>
    <row r="585" spans="1:6" x14ac:dyDescent="0.2">
      <c r="A585">
        <v>3662</v>
      </c>
      <c r="B585" t="s">
        <v>250</v>
      </c>
      <c r="C585" t="s">
        <v>436</v>
      </c>
      <c r="D585" t="s">
        <v>514</v>
      </c>
      <c r="E585" s="16">
        <v>45921.633692129632</v>
      </c>
      <c r="F585">
        <v>3</v>
      </c>
    </row>
    <row r="586" spans="1:6" x14ac:dyDescent="0.2">
      <c r="A586">
        <v>3579</v>
      </c>
      <c r="B586" t="s">
        <v>193</v>
      </c>
      <c r="C586" t="s">
        <v>449</v>
      </c>
      <c r="D586" t="s">
        <v>515</v>
      </c>
      <c r="E586" s="16">
        <v>45697.188518518517</v>
      </c>
      <c r="F586">
        <v>3</v>
      </c>
    </row>
    <row r="587" spans="1:6" x14ac:dyDescent="0.2">
      <c r="A587">
        <v>86</v>
      </c>
      <c r="B587" t="s">
        <v>163</v>
      </c>
      <c r="C587" t="s">
        <v>436</v>
      </c>
      <c r="D587" t="s">
        <v>504</v>
      </c>
      <c r="E587" s="16">
        <v>45643.52679398148</v>
      </c>
      <c r="F587">
        <v>3</v>
      </c>
    </row>
    <row r="588" spans="1:6" x14ac:dyDescent="0.2">
      <c r="A588">
        <v>3597</v>
      </c>
      <c r="B588" t="s">
        <v>319</v>
      </c>
      <c r="C588" t="s">
        <v>449</v>
      </c>
      <c r="D588" t="s">
        <v>515</v>
      </c>
      <c r="E588" s="16">
        <v>45734.227384259262</v>
      </c>
      <c r="F588">
        <v>3</v>
      </c>
    </row>
    <row r="589" spans="1:6" x14ac:dyDescent="0.2">
      <c r="A589">
        <v>2140</v>
      </c>
      <c r="B589" t="s">
        <v>41</v>
      </c>
      <c r="C589" t="s">
        <v>474</v>
      </c>
      <c r="D589" t="s">
        <v>541</v>
      </c>
      <c r="E589" s="16">
        <v>45638.221250000002</v>
      </c>
      <c r="F589">
        <v>3</v>
      </c>
    </row>
    <row r="590" spans="1:6" x14ac:dyDescent="0.2">
      <c r="A590">
        <v>3599</v>
      </c>
      <c r="B590" t="s">
        <v>281</v>
      </c>
      <c r="C590" t="s">
        <v>449</v>
      </c>
      <c r="D590" t="s">
        <v>515</v>
      </c>
      <c r="E590" s="16">
        <v>45740.450844907406</v>
      </c>
      <c r="F590">
        <v>3</v>
      </c>
    </row>
    <row r="591" spans="1:6" x14ac:dyDescent="0.2">
      <c r="A591">
        <v>1937</v>
      </c>
      <c r="B591" t="s">
        <v>80</v>
      </c>
      <c r="C591" t="s">
        <v>474</v>
      </c>
      <c r="D591" t="s">
        <v>533</v>
      </c>
      <c r="E591" s="16">
        <v>45636.331076388888</v>
      </c>
      <c r="F591">
        <v>3</v>
      </c>
    </row>
    <row r="592" spans="1:6" x14ac:dyDescent="0.2">
      <c r="A592">
        <v>3615</v>
      </c>
      <c r="B592" t="s">
        <v>236</v>
      </c>
      <c r="C592" t="s">
        <v>449</v>
      </c>
      <c r="D592" t="s">
        <v>515</v>
      </c>
      <c r="E592" s="16">
        <v>45756.323969907404</v>
      </c>
      <c r="F592">
        <v>3</v>
      </c>
    </row>
    <row r="593" spans="1:6" x14ac:dyDescent="0.2">
      <c r="A593">
        <v>2556</v>
      </c>
      <c r="B593" t="s">
        <v>98</v>
      </c>
      <c r="C593" t="s">
        <v>474</v>
      </c>
      <c r="D593" t="s">
        <v>541</v>
      </c>
      <c r="E593" s="16">
        <v>45629.375358796293</v>
      </c>
      <c r="F593">
        <v>3</v>
      </c>
    </row>
    <row r="594" spans="1:6" x14ac:dyDescent="0.2">
      <c r="A594">
        <v>3614</v>
      </c>
      <c r="B594" t="s">
        <v>217</v>
      </c>
      <c r="C594" t="s">
        <v>449</v>
      </c>
      <c r="D594" t="s">
        <v>515</v>
      </c>
      <c r="E594" s="16">
        <v>45756.317743055559</v>
      </c>
      <c r="F594">
        <v>3</v>
      </c>
    </row>
    <row r="595" spans="1:6" x14ac:dyDescent="0.2">
      <c r="A595">
        <v>3410</v>
      </c>
      <c r="B595" t="s">
        <v>43</v>
      </c>
      <c r="C595" t="s">
        <v>474</v>
      </c>
      <c r="D595" t="s">
        <v>533</v>
      </c>
      <c r="E595" s="16">
        <v>45631.268576388888</v>
      </c>
      <c r="F595">
        <v>3</v>
      </c>
    </row>
    <row r="596" spans="1:6" x14ac:dyDescent="0.2">
      <c r="A596">
        <v>3639</v>
      </c>
      <c r="B596" t="s">
        <v>308</v>
      </c>
      <c r="C596" t="s">
        <v>449</v>
      </c>
      <c r="D596" t="s">
        <v>515</v>
      </c>
      <c r="E596" s="16">
        <v>45791.366180555553</v>
      </c>
      <c r="F596">
        <v>3</v>
      </c>
    </row>
    <row r="597" spans="1:6" x14ac:dyDescent="0.2">
      <c r="A597">
        <v>3256</v>
      </c>
      <c r="B597" t="s">
        <v>119</v>
      </c>
      <c r="C597" t="s">
        <v>474</v>
      </c>
      <c r="D597" t="s">
        <v>541</v>
      </c>
      <c r="E597" s="16">
        <v>45645.674363425926</v>
      </c>
      <c r="F597">
        <v>3</v>
      </c>
    </row>
    <row r="598" spans="1:6" x14ac:dyDescent="0.2">
      <c r="A598">
        <v>3582</v>
      </c>
      <c r="B598" t="s">
        <v>211</v>
      </c>
      <c r="C598" t="s">
        <v>449</v>
      </c>
      <c r="D598" t="s">
        <v>515</v>
      </c>
      <c r="E598" s="16">
        <v>45700.446423611109</v>
      </c>
      <c r="F598">
        <v>3</v>
      </c>
    </row>
    <row r="599" spans="1:6" x14ac:dyDescent="0.2">
      <c r="A599">
        <v>2624</v>
      </c>
      <c r="B599" t="s">
        <v>155</v>
      </c>
      <c r="C599" t="s">
        <v>474</v>
      </c>
      <c r="D599" t="s">
        <v>533</v>
      </c>
      <c r="E599" s="16">
        <v>45662.531238425923</v>
      </c>
      <c r="F599">
        <v>3</v>
      </c>
    </row>
    <row r="600" spans="1:6" x14ac:dyDescent="0.2">
      <c r="A600">
        <v>3591</v>
      </c>
      <c r="B600" t="s">
        <v>254</v>
      </c>
      <c r="C600" t="s">
        <v>449</v>
      </c>
      <c r="D600" t="s">
        <v>515</v>
      </c>
      <c r="E600" s="16">
        <v>45713.209537037037</v>
      </c>
      <c r="F600">
        <v>3</v>
      </c>
    </row>
    <row r="601" spans="1:6" x14ac:dyDescent="0.2">
      <c r="A601">
        <v>3196</v>
      </c>
      <c r="B601" t="s">
        <v>46</v>
      </c>
      <c r="C601" t="s">
        <v>436</v>
      </c>
      <c r="D601" t="s">
        <v>516</v>
      </c>
      <c r="E601" s="16">
        <v>45668.362986111111</v>
      </c>
      <c r="F601">
        <v>3</v>
      </c>
    </row>
    <row r="602" spans="1:6" x14ac:dyDescent="0.2">
      <c r="A602">
        <v>3571</v>
      </c>
      <c r="B602" t="s">
        <v>48</v>
      </c>
      <c r="C602" t="s">
        <v>449</v>
      </c>
      <c r="D602" t="s">
        <v>515</v>
      </c>
      <c r="E602" s="16">
        <v>45684.453773148147</v>
      </c>
      <c r="F602">
        <v>3</v>
      </c>
    </row>
    <row r="603" spans="1:6" x14ac:dyDescent="0.2">
      <c r="A603">
        <v>3469</v>
      </c>
      <c r="B603" t="s">
        <v>181</v>
      </c>
      <c r="C603" t="s">
        <v>474</v>
      </c>
      <c r="D603" t="s">
        <v>532</v>
      </c>
      <c r="E603" s="16">
        <v>45629.395925925928</v>
      </c>
      <c r="F603">
        <v>3</v>
      </c>
    </row>
    <row r="604" spans="1:6" x14ac:dyDescent="0.2">
      <c r="A604">
        <v>3648</v>
      </c>
      <c r="B604" t="s">
        <v>261</v>
      </c>
      <c r="C604" t="s">
        <v>449</v>
      </c>
      <c r="D604" t="s">
        <v>515</v>
      </c>
      <c r="E604" s="16">
        <v>45838.28570601852</v>
      </c>
      <c r="F604">
        <v>3</v>
      </c>
    </row>
    <row r="605" spans="1:6" x14ac:dyDescent="0.2">
      <c r="A605">
        <v>3589</v>
      </c>
      <c r="B605" t="s">
        <v>301</v>
      </c>
      <c r="C605" t="s">
        <v>436</v>
      </c>
      <c r="D605" t="s">
        <v>505</v>
      </c>
      <c r="E605" s="16">
        <v>45724.775763888887</v>
      </c>
      <c r="F605">
        <v>3</v>
      </c>
    </row>
    <row r="606" spans="1:6" x14ac:dyDescent="0.2">
      <c r="A606">
        <v>3649</v>
      </c>
      <c r="B606" t="s">
        <v>312</v>
      </c>
      <c r="C606" t="s">
        <v>521</v>
      </c>
      <c r="D606" t="s">
        <v>526</v>
      </c>
      <c r="E606" s="16">
        <v>45853.616527777776</v>
      </c>
      <c r="F606">
        <v>3</v>
      </c>
    </row>
    <row r="607" spans="1:6" x14ac:dyDescent="0.2">
      <c r="A607">
        <v>3112</v>
      </c>
      <c r="B607" t="s">
        <v>88</v>
      </c>
      <c r="C607" t="s">
        <v>474</v>
      </c>
      <c r="D607" t="s">
        <v>533</v>
      </c>
      <c r="E607" s="16">
        <v>45758.384733796294</v>
      </c>
      <c r="F607">
        <v>3</v>
      </c>
    </row>
    <row r="608" spans="1:6" x14ac:dyDescent="0.2">
      <c r="A608">
        <v>3605</v>
      </c>
      <c r="B608" t="s">
        <v>268</v>
      </c>
      <c r="C608" t="s">
        <v>521</v>
      </c>
      <c r="D608" t="s">
        <v>528</v>
      </c>
      <c r="E608" s="16">
        <v>45870.411828703705</v>
      </c>
      <c r="F608">
        <v>3</v>
      </c>
    </row>
    <row r="609" spans="1:6" x14ac:dyDescent="0.2">
      <c r="A609">
        <v>3606</v>
      </c>
      <c r="B609" t="s">
        <v>265</v>
      </c>
      <c r="C609" t="s">
        <v>521</v>
      </c>
      <c r="D609" t="s">
        <v>530</v>
      </c>
      <c r="E609" s="16">
        <v>45760.847337962965</v>
      </c>
      <c r="F609">
        <v>3</v>
      </c>
    </row>
    <row r="610" spans="1:6" x14ac:dyDescent="0.2">
      <c r="A610">
        <v>3414</v>
      </c>
      <c r="B610" t="s">
        <v>202</v>
      </c>
      <c r="C610" t="s">
        <v>449</v>
      </c>
      <c r="D610" t="s">
        <v>515</v>
      </c>
      <c r="E610" s="16">
        <v>45872.488321759258</v>
      </c>
      <c r="F610">
        <v>3</v>
      </c>
    </row>
    <row r="611" spans="1:6" x14ac:dyDescent="0.2">
      <c r="A611">
        <v>3626</v>
      </c>
      <c r="B611" t="s">
        <v>316</v>
      </c>
      <c r="C611" t="s">
        <v>436</v>
      </c>
      <c r="D611" t="s">
        <v>514</v>
      </c>
      <c r="E611" s="16">
        <v>45793.280219907407</v>
      </c>
      <c r="F611">
        <v>3</v>
      </c>
    </row>
    <row r="612" spans="1:6" x14ac:dyDescent="0.2">
      <c r="A612">
        <v>3663</v>
      </c>
      <c r="B612" t="s">
        <v>278</v>
      </c>
      <c r="C612" t="s">
        <v>449</v>
      </c>
      <c r="D612" t="s">
        <v>515</v>
      </c>
      <c r="E612" s="16">
        <v>45875.509421296294</v>
      </c>
      <c r="F612">
        <v>3</v>
      </c>
    </row>
    <row r="613" spans="1:6" x14ac:dyDescent="0.2">
      <c r="A613">
        <v>3674</v>
      </c>
      <c r="B613" t="s">
        <v>292</v>
      </c>
      <c r="C613" t="s">
        <v>521</v>
      </c>
      <c r="D613" t="s">
        <v>530</v>
      </c>
      <c r="E613" s="16">
        <v>45902.531527777777</v>
      </c>
      <c r="F613">
        <v>3</v>
      </c>
    </row>
    <row r="614" spans="1:6" x14ac:dyDescent="0.2">
      <c r="A614">
        <v>3667</v>
      </c>
      <c r="B614" t="s">
        <v>274</v>
      </c>
      <c r="C614" t="s">
        <v>449</v>
      </c>
      <c r="D614" t="s">
        <v>515</v>
      </c>
      <c r="E614" s="16">
        <v>45878.286956018521</v>
      </c>
      <c r="F614">
        <v>3</v>
      </c>
    </row>
    <row r="615" spans="1:6" x14ac:dyDescent="0.2">
      <c r="A615">
        <v>3662</v>
      </c>
      <c r="B615" t="s">
        <v>250</v>
      </c>
      <c r="C615" t="s">
        <v>521</v>
      </c>
      <c r="D615" t="s">
        <v>530</v>
      </c>
      <c r="E615" s="16">
        <v>45906.585763888892</v>
      </c>
      <c r="F615">
        <v>3</v>
      </c>
    </row>
    <row r="616" spans="1:6" x14ac:dyDescent="0.2">
      <c r="A616">
        <v>2279</v>
      </c>
      <c r="B616" t="s">
        <v>167</v>
      </c>
      <c r="C616" t="s">
        <v>521</v>
      </c>
      <c r="D616" t="s">
        <v>528</v>
      </c>
      <c r="E616" s="16">
        <v>45887.311041666668</v>
      </c>
      <c r="F616">
        <v>3</v>
      </c>
    </row>
    <row r="617" spans="1:6" x14ac:dyDescent="0.2">
      <c r="A617">
        <v>3674</v>
      </c>
      <c r="B617" t="s">
        <v>292</v>
      </c>
      <c r="C617" t="s">
        <v>521</v>
      </c>
      <c r="D617" t="s">
        <v>529</v>
      </c>
      <c r="E617" s="16">
        <v>45929.785833333335</v>
      </c>
      <c r="F617">
        <v>3</v>
      </c>
    </row>
    <row r="618" spans="1:6" x14ac:dyDescent="0.2">
      <c r="A618">
        <v>3664</v>
      </c>
      <c r="B618" t="s">
        <v>313</v>
      </c>
      <c r="C618" t="s">
        <v>521</v>
      </c>
      <c r="D618" t="s">
        <v>526</v>
      </c>
      <c r="E618" s="16">
        <v>45887.290289351855</v>
      </c>
      <c r="F618">
        <v>3</v>
      </c>
    </row>
    <row r="619" spans="1:6" x14ac:dyDescent="0.2">
      <c r="A619">
        <v>3677</v>
      </c>
      <c r="B619" t="s">
        <v>283</v>
      </c>
      <c r="C619" t="s">
        <v>436</v>
      </c>
      <c r="D619" t="s">
        <v>516</v>
      </c>
      <c r="E619" s="16">
        <v>45944.376712962963</v>
      </c>
      <c r="F619">
        <v>3</v>
      </c>
    </row>
    <row r="620" spans="1:6" x14ac:dyDescent="0.2">
      <c r="A620">
        <v>3585</v>
      </c>
      <c r="B620" t="s">
        <v>314</v>
      </c>
      <c r="C620" t="s">
        <v>521</v>
      </c>
      <c r="D620" t="s">
        <v>528</v>
      </c>
      <c r="E620" s="16">
        <v>45763.494409722225</v>
      </c>
      <c r="F620">
        <v>3</v>
      </c>
    </row>
    <row r="621" spans="1:6" x14ac:dyDescent="0.2">
      <c r="A621">
        <v>3689</v>
      </c>
      <c r="B621" t="s">
        <v>288</v>
      </c>
      <c r="C621" t="s">
        <v>438</v>
      </c>
      <c r="D621" t="s">
        <v>498</v>
      </c>
      <c r="E621" s="16">
        <v>45950.771724537037</v>
      </c>
      <c r="F621">
        <v>3</v>
      </c>
    </row>
    <row r="622" spans="1:6" x14ac:dyDescent="0.2">
      <c r="A622">
        <v>3624</v>
      </c>
      <c r="B622" t="s">
        <v>302</v>
      </c>
      <c r="C622" t="s">
        <v>521</v>
      </c>
      <c r="D622" t="s">
        <v>526</v>
      </c>
      <c r="E622" s="16">
        <v>45916.504351851851</v>
      </c>
      <c r="F622">
        <v>3</v>
      </c>
    </row>
    <row r="623" spans="1:6" x14ac:dyDescent="0.2">
      <c r="A623">
        <v>3112</v>
      </c>
      <c r="B623" t="s">
        <v>88</v>
      </c>
      <c r="C623" t="s">
        <v>474</v>
      </c>
      <c r="D623" t="s">
        <v>537</v>
      </c>
      <c r="E623" s="16">
        <v>45622.357905092591</v>
      </c>
      <c r="F623">
        <v>3</v>
      </c>
    </row>
    <row r="624" spans="1:6" x14ac:dyDescent="0.2">
      <c r="A624">
        <v>3662</v>
      </c>
      <c r="B624" t="s">
        <v>250</v>
      </c>
      <c r="C624" t="s">
        <v>521</v>
      </c>
      <c r="D624" t="s">
        <v>526</v>
      </c>
      <c r="E624" s="16">
        <v>45906.585763888892</v>
      </c>
      <c r="F624">
        <v>3</v>
      </c>
    </row>
    <row r="625" spans="1:6" x14ac:dyDescent="0.2">
      <c r="A625">
        <v>3351</v>
      </c>
      <c r="B625" t="s">
        <v>40</v>
      </c>
      <c r="C625" t="s">
        <v>474</v>
      </c>
      <c r="D625" t="s">
        <v>532</v>
      </c>
      <c r="E625" s="16">
        <v>45635.511608796296</v>
      </c>
      <c r="F625">
        <v>3</v>
      </c>
    </row>
    <row r="626" spans="1:6" x14ac:dyDescent="0.2">
      <c r="A626">
        <v>3649</v>
      </c>
      <c r="B626" t="s">
        <v>312</v>
      </c>
      <c r="C626" t="s">
        <v>436</v>
      </c>
      <c r="D626" t="s">
        <v>517</v>
      </c>
      <c r="E626" s="16">
        <v>45932.644293981481</v>
      </c>
      <c r="F626">
        <v>3</v>
      </c>
    </row>
    <row r="627" spans="1:6" x14ac:dyDescent="0.2">
      <c r="A627">
        <v>3289</v>
      </c>
      <c r="B627" t="s">
        <v>21</v>
      </c>
      <c r="C627" t="s">
        <v>521</v>
      </c>
      <c r="D627" t="s">
        <v>530</v>
      </c>
      <c r="E627" s="16">
        <v>45605.271597222221</v>
      </c>
      <c r="F627">
        <v>3</v>
      </c>
    </row>
    <row r="628" spans="1:6" x14ac:dyDescent="0.2">
      <c r="A628">
        <v>2785</v>
      </c>
      <c r="B628" t="s">
        <v>126</v>
      </c>
      <c r="C628" t="s">
        <v>449</v>
      </c>
      <c r="D628" t="s">
        <v>515</v>
      </c>
      <c r="E628" s="16">
        <v>45937.42050925926</v>
      </c>
      <c r="F628">
        <v>3</v>
      </c>
    </row>
    <row r="629" spans="1:6" x14ac:dyDescent="0.2">
      <c r="A629">
        <v>3564</v>
      </c>
      <c r="B629" t="s">
        <v>84</v>
      </c>
      <c r="C629" t="s">
        <v>438</v>
      </c>
      <c r="D629" t="s">
        <v>498</v>
      </c>
      <c r="E629" s="16">
        <v>45696.377662037034</v>
      </c>
      <c r="F629">
        <v>3</v>
      </c>
    </row>
    <row r="630" spans="1:6" x14ac:dyDescent="0.2">
      <c r="A630">
        <v>3594</v>
      </c>
      <c r="B630" t="s">
        <v>315</v>
      </c>
      <c r="C630" t="s">
        <v>521</v>
      </c>
      <c r="D630" t="s">
        <v>526</v>
      </c>
      <c r="E630" s="16">
        <v>45939.350659722222</v>
      </c>
      <c r="F630">
        <v>3</v>
      </c>
    </row>
    <row r="631" spans="1:6" x14ac:dyDescent="0.2">
      <c r="A631">
        <v>3469</v>
      </c>
      <c r="B631" t="s">
        <v>181</v>
      </c>
      <c r="C631" t="s">
        <v>474</v>
      </c>
      <c r="D631" t="s">
        <v>541</v>
      </c>
      <c r="E631" s="16">
        <v>45629.395925925928</v>
      </c>
      <c r="F631">
        <v>3</v>
      </c>
    </row>
    <row r="632" spans="1:6" x14ac:dyDescent="0.2">
      <c r="A632">
        <v>3598</v>
      </c>
      <c r="B632" t="s">
        <v>318</v>
      </c>
      <c r="C632" t="s">
        <v>436</v>
      </c>
      <c r="D632" t="s">
        <v>517</v>
      </c>
      <c r="E632" s="16">
        <v>45939.423032407409</v>
      </c>
      <c r="F632">
        <v>3</v>
      </c>
    </row>
    <row r="633" spans="1:6" x14ac:dyDescent="0.2">
      <c r="A633">
        <v>3562</v>
      </c>
      <c r="B633" t="s">
        <v>49</v>
      </c>
      <c r="C633" t="s">
        <v>436</v>
      </c>
      <c r="D633" t="s">
        <v>514</v>
      </c>
      <c r="E633" s="16">
        <v>45728.280231481483</v>
      </c>
      <c r="F633">
        <v>3</v>
      </c>
    </row>
    <row r="634" spans="1:6" x14ac:dyDescent="0.2">
      <c r="A634">
        <v>32</v>
      </c>
      <c r="B634" t="s">
        <v>451</v>
      </c>
      <c r="C634" t="s">
        <v>438</v>
      </c>
      <c r="D634" t="s">
        <v>500</v>
      </c>
      <c r="E634" s="16">
        <v>45944.718344907407</v>
      </c>
      <c r="F634">
        <v>3</v>
      </c>
    </row>
    <row r="635" spans="1:6" x14ac:dyDescent="0.2">
      <c r="A635">
        <v>3649</v>
      </c>
      <c r="B635" t="s">
        <v>312</v>
      </c>
      <c r="C635" t="s">
        <v>521</v>
      </c>
      <c r="D635" t="s">
        <v>530</v>
      </c>
      <c r="E635" s="16">
        <v>45853.616527777776</v>
      </c>
      <c r="F635">
        <v>3</v>
      </c>
    </row>
    <row r="636" spans="1:6" x14ac:dyDescent="0.2">
      <c r="A636">
        <v>3640</v>
      </c>
      <c r="B636" t="s">
        <v>248</v>
      </c>
      <c r="C636" t="s">
        <v>521</v>
      </c>
      <c r="D636" t="s">
        <v>526</v>
      </c>
      <c r="E636" s="16">
        <v>45957.430347222224</v>
      </c>
      <c r="F636">
        <v>3</v>
      </c>
    </row>
    <row r="637" spans="1:6" x14ac:dyDescent="0.2">
      <c r="A637">
        <v>3476</v>
      </c>
      <c r="B637" t="s">
        <v>73</v>
      </c>
      <c r="C637" t="s">
        <v>436</v>
      </c>
      <c r="D637" t="s">
        <v>514</v>
      </c>
      <c r="E637" s="16">
        <v>45861.628182870372</v>
      </c>
      <c r="F637">
        <v>3</v>
      </c>
    </row>
    <row r="638" spans="1:6" x14ac:dyDescent="0.2">
      <c r="A638">
        <v>3645</v>
      </c>
      <c r="B638" t="s">
        <v>320</v>
      </c>
      <c r="C638" t="s">
        <v>449</v>
      </c>
      <c r="D638" t="s">
        <v>515</v>
      </c>
      <c r="E638" s="16">
        <v>45809.574849537035</v>
      </c>
      <c r="F638">
        <v>3</v>
      </c>
    </row>
    <row r="639" spans="1:6" x14ac:dyDescent="0.2">
      <c r="A639">
        <v>3585</v>
      </c>
      <c r="B639" t="s">
        <v>314</v>
      </c>
      <c r="C639" t="s">
        <v>438</v>
      </c>
      <c r="D639" t="s">
        <v>498</v>
      </c>
      <c r="E639" s="16">
        <v>45903.498206018521</v>
      </c>
      <c r="F639">
        <v>3</v>
      </c>
    </row>
    <row r="640" spans="1:6" x14ac:dyDescent="0.2">
      <c r="A640">
        <v>3190</v>
      </c>
      <c r="B640" t="s">
        <v>192</v>
      </c>
      <c r="C640" t="s">
        <v>474</v>
      </c>
      <c r="D640" t="s">
        <v>543</v>
      </c>
      <c r="E640" s="16">
        <v>45629.396863425929</v>
      </c>
      <c r="F640">
        <v>3</v>
      </c>
    </row>
    <row r="641" spans="1:6" x14ac:dyDescent="0.2">
      <c r="A641">
        <v>3648</v>
      </c>
      <c r="B641" t="s">
        <v>261</v>
      </c>
      <c r="C641" t="s">
        <v>466</v>
      </c>
      <c r="D641" t="s">
        <v>502</v>
      </c>
      <c r="E641" s="16">
        <v>45923.665520833332</v>
      </c>
      <c r="F641">
        <v>3</v>
      </c>
    </row>
    <row r="642" spans="1:6" x14ac:dyDescent="0.2">
      <c r="A642">
        <v>3444</v>
      </c>
      <c r="B642" t="s">
        <v>104</v>
      </c>
      <c r="C642" t="s">
        <v>474</v>
      </c>
      <c r="D642" t="s">
        <v>544</v>
      </c>
      <c r="E642" s="16">
        <v>45630.399351851855</v>
      </c>
      <c r="F642">
        <v>3</v>
      </c>
    </row>
    <row r="643" spans="1:6" x14ac:dyDescent="0.2">
      <c r="A643">
        <v>3677</v>
      </c>
      <c r="B643" t="s">
        <v>283</v>
      </c>
      <c r="C643" t="s">
        <v>436</v>
      </c>
      <c r="D643" t="s">
        <v>514</v>
      </c>
      <c r="E643" s="16">
        <v>45939.433159722219</v>
      </c>
      <c r="F643">
        <v>3</v>
      </c>
    </row>
    <row r="644" spans="1:6" x14ac:dyDescent="0.2">
      <c r="A644">
        <v>3414</v>
      </c>
      <c r="B644" t="s">
        <v>202</v>
      </c>
      <c r="C644" t="s">
        <v>474</v>
      </c>
      <c r="D644" t="s">
        <v>544</v>
      </c>
      <c r="E644" s="16">
        <v>45631.296365740738</v>
      </c>
      <c r="F644">
        <v>3</v>
      </c>
    </row>
    <row r="645" spans="1:6" x14ac:dyDescent="0.2">
      <c r="A645">
        <v>32</v>
      </c>
      <c r="B645" t="s">
        <v>451</v>
      </c>
      <c r="C645" t="s">
        <v>521</v>
      </c>
      <c r="D645" t="s">
        <v>530</v>
      </c>
      <c r="E645" s="16">
        <v>45944.718356481484</v>
      </c>
      <c r="F645">
        <v>3</v>
      </c>
    </row>
    <row r="646" spans="1:6" x14ac:dyDescent="0.2">
      <c r="A646">
        <v>3351</v>
      </c>
      <c r="B646" t="s">
        <v>40</v>
      </c>
      <c r="C646" t="s">
        <v>474</v>
      </c>
      <c r="D646" t="s">
        <v>544</v>
      </c>
      <c r="E646" s="16">
        <v>45635.511608796296</v>
      </c>
      <c r="F646">
        <v>3</v>
      </c>
    </row>
    <row r="647" spans="1:6" x14ac:dyDescent="0.2">
      <c r="A647">
        <v>3640</v>
      </c>
      <c r="B647" t="s">
        <v>248</v>
      </c>
      <c r="C647" t="s">
        <v>521</v>
      </c>
      <c r="D647" t="s">
        <v>530</v>
      </c>
      <c r="E647" s="16">
        <v>45957.430347222224</v>
      </c>
      <c r="F647">
        <v>3</v>
      </c>
    </row>
    <row r="648" spans="1:6" x14ac:dyDescent="0.2">
      <c r="A648">
        <v>2421</v>
      </c>
      <c r="B648" t="s">
        <v>18</v>
      </c>
      <c r="C648" t="s">
        <v>521</v>
      </c>
      <c r="D648" t="s">
        <v>528</v>
      </c>
      <c r="E648" s="16">
        <v>45628.617986111109</v>
      </c>
      <c r="F648">
        <v>3</v>
      </c>
    </row>
    <row r="649" spans="1:6" x14ac:dyDescent="0.2">
      <c r="A649">
        <v>1937</v>
      </c>
      <c r="B649" t="s">
        <v>80</v>
      </c>
      <c r="C649" t="s">
        <v>474</v>
      </c>
      <c r="D649" t="s">
        <v>532</v>
      </c>
      <c r="E649" s="16">
        <v>45636.331076388888</v>
      </c>
      <c r="F649">
        <v>3</v>
      </c>
    </row>
    <row r="650" spans="1:6" x14ac:dyDescent="0.2">
      <c r="A650">
        <v>3253</v>
      </c>
      <c r="B650" t="s">
        <v>184</v>
      </c>
      <c r="C650" t="s">
        <v>474</v>
      </c>
      <c r="D650" t="s">
        <v>544</v>
      </c>
      <c r="E650" s="16">
        <v>45630.389374999999</v>
      </c>
      <c r="F650">
        <v>3</v>
      </c>
    </row>
    <row r="651" spans="1:6" x14ac:dyDescent="0.2">
      <c r="A651">
        <v>3546</v>
      </c>
      <c r="B651" t="s">
        <v>144</v>
      </c>
      <c r="C651" t="s">
        <v>474</v>
      </c>
      <c r="D651" t="s">
        <v>537</v>
      </c>
      <c r="E651" s="16">
        <v>45631.294062499997</v>
      </c>
      <c r="F651">
        <v>3</v>
      </c>
    </row>
    <row r="652" spans="1:6" x14ac:dyDescent="0.2">
      <c r="A652">
        <v>3289</v>
      </c>
      <c r="B652" t="s">
        <v>21</v>
      </c>
      <c r="C652" t="s">
        <v>521</v>
      </c>
      <c r="D652" t="s">
        <v>526</v>
      </c>
      <c r="E652" s="16">
        <v>45605.271597222221</v>
      </c>
      <c r="F652">
        <v>3</v>
      </c>
    </row>
    <row r="653" spans="1:6" x14ac:dyDescent="0.2">
      <c r="A653">
        <v>3351</v>
      </c>
      <c r="B653" t="s">
        <v>40</v>
      </c>
      <c r="C653" t="s">
        <v>474</v>
      </c>
      <c r="D653" t="s">
        <v>533</v>
      </c>
      <c r="E653" s="16">
        <v>45635.511608796296</v>
      </c>
      <c r="F653">
        <v>3</v>
      </c>
    </row>
    <row r="654" spans="1:6" x14ac:dyDescent="0.2">
      <c r="A654">
        <v>2309</v>
      </c>
      <c r="B654" t="s">
        <v>39</v>
      </c>
      <c r="C654" t="s">
        <v>474</v>
      </c>
      <c r="D654" t="s">
        <v>544</v>
      </c>
      <c r="E654" s="16">
        <v>45629.367395833331</v>
      </c>
      <c r="F654">
        <v>3</v>
      </c>
    </row>
    <row r="655" spans="1:6" x14ac:dyDescent="0.2">
      <c r="A655">
        <v>2682</v>
      </c>
      <c r="B655" t="s">
        <v>198</v>
      </c>
      <c r="C655" t="s">
        <v>474</v>
      </c>
      <c r="D655" t="s">
        <v>534</v>
      </c>
      <c r="E655" s="16">
        <v>45630.402453703704</v>
      </c>
      <c r="F655">
        <v>3</v>
      </c>
    </row>
    <row r="656" spans="1:6" x14ac:dyDescent="0.2">
      <c r="A656">
        <v>3410</v>
      </c>
      <c r="B656" t="s">
        <v>43</v>
      </c>
      <c r="C656" t="s">
        <v>474</v>
      </c>
      <c r="D656" t="s">
        <v>544</v>
      </c>
      <c r="E656" s="16">
        <v>45631.268576388888</v>
      </c>
      <c r="F656">
        <v>3</v>
      </c>
    </row>
    <row r="657" spans="1:6" x14ac:dyDescent="0.2">
      <c r="A657">
        <v>2990</v>
      </c>
      <c r="B657" t="s">
        <v>157</v>
      </c>
      <c r="C657" t="s">
        <v>474</v>
      </c>
      <c r="D657" t="s">
        <v>537</v>
      </c>
      <c r="E657" s="16">
        <v>45630.416307870371</v>
      </c>
      <c r="F657">
        <v>3</v>
      </c>
    </row>
    <row r="658" spans="1:6" x14ac:dyDescent="0.2">
      <c r="A658">
        <v>2465</v>
      </c>
      <c r="B658" t="s">
        <v>129</v>
      </c>
      <c r="C658" t="s">
        <v>474</v>
      </c>
      <c r="D658" t="s">
        <v>545</v>
      </c>
      <c r="E658" s="16">
        <v>45631.290011574078</v>
      </c>
      <c r="F658">
        <v>3</v>
      </c>
    </row>
    <row r="659" spans="1:6" x14ac:dyDescent="0.2">
      <c r="A659">
        <v>3403</v>
      </c>
      <c r="B659" t="s">
        <v>133</v>
      </c>
      <c r="C659" t="s">
        <v>474</v>
      </c>
      <c r="D659" t="s">
        <v>537</v>
      </c>
      <c r="E659" s="16">
        <v>45635.509976851848</v>
      </c>
      <c r="F659">
        <v>3</v>
      </c>
    </row>
    <row r="660" spans="1:6" x14ac:dyDescent="0.2">
      <c r="A660">
        <v>1255</v>
      </c>
      <c r="B660" t="s">
        <v>135</v>
      </c>
      <c r="C660" t="s">
        <v>474</v>
      </c>
      <c r="D660" t="s">
        <v>544</v>
      </c>
      <c r="E660" s="16">
        <v>45635.500138888892</v>
      </c>
      <c r="F660">
        <v>3</v>
      </c>
    </row>
    <row r="661" spans="1:6" x14ac:dyDescent="0.2">
      <c r="A661">
        <v>2760</v>
      </c>
      <c r="B661" t="s">
        <v>127</v>
      </c>
      <c r="C661" t="s">
        <v>474</v>
      </c>
      <c r="D661" t="s">
        <v>532</v>
      </c>
      <c r="E661" s="16">
        <v>45643.559363425928</v>
      </c>
      <c r="F661">
        <v>3</v>
      </c>
    </row>
    <row r="662" spans="1:6" x14ac:dyDescent="0.2">
      <c r="A662">
        <v>3351</v>
      </c>
      <c r="B662" t="s">
        <v>40</v>
      </c>
      <c r="C662" t="s">
        <v>474</v>
      </c>
      <c r="D662" t="s">
        <v>545</v>
      </c>
      <c r="E662" s="16">
        <v>45635.511608796296</v>
      </c>
      <c r="F662">
        <v>3</v>
      </c>
    </row>
    <row r="663" spans="1:6" x14ac:dyDescent="0.2">
      <c r="A663">
        <v>2624</v>
      </c>
      <c r="B663" t="s">
        <v>155</v>
      </c>
      <c r="C663" t="s">
        <v>474</v>
      </c>
      <c r="D663" t="s">
        <v>532</v>
      </c>
      <c r="E663" s="16">
        <v>45662.531238425923</v>
      </c>
      <c r="F663">
        <v>3</v>
      </c>
    </row>
    <row r="664" spans="1:6" x14ac:dyDescent="0.2">
      <c r="A664">
        <v>2526</v>
      </c>
      <c r="B664" t="s">
        <v>51</v>
      </c>
      <c r="C664" t="s">
        <v>474</v>
      </c>
      <c r="D664" t="s">
        <v>545</v>
      </c>
      <c r="E664" s="16">
        <v>45631.286064814813</v>
      </c>
      <c r="F664">
        <v>3</v>
      </c>
    </row>
    <row r="665" spans="1:6" x14ac:dyDescent="0.2">
      <c r="A665">
        <v>3403</v>
      </c>
      <c r="B665" t="s">
        <v>133</v>
      </c>
      <c r="C665" t="s">
        <v>436</v>
      </c>
      <c r="D665" t="s">
        <v>505</v>
      </c>
      <c r="E665" s="16">
        <v>45666.690370370372</v>
      </c>
      <c r="F665">
        <v>3</v>
      </c>
    </row>
    <row r="666" spans="1:6" x14ac:dyDescent="0.2">
      <c r="A666">
        <v>3474</v>
      </c>
      <c r="B666" t="s">
        <v>121</v>
      </c>
      <c r="C666" t="s">
        <v>474</v>
      </c>
      <c r="D666" t="s">
        <v>544</v>
      </c>
      <c r="E666" s="16">
        <v>45631.289571759262</v>
      </c>
      <c r="F666">
        <v>3</v>
      </c>
    </row>
    <row r="667" spans="1:6" x14ac:dyDescent="0.2">
      <c r="A667">
        <v>2073</v>
      </c>
      <c r="B667" t="s">
        <v>58</v>
      </c>
      <c r="C667" t="s">
        <v>474</v>
      </c>
      <c r="D667" t="s">
        <v>533</v>
      </c>
      <c r="E667" s="16">
        <v>45635.71837962963</v>
      </c>
      <c r="F667">
        <v>3</v>
      </c>
    </row>
    <row r="668" spans="1:6" x14ac:dyDescent="0.2">
      <c r="A668">
        <v>2760</v>
      </c>
      <c r="B668" t="s">
        <v>127</v>
      </c>
      <c r="C668" t="s">
        <v>474</v>
      </c>
      <c r="D668" t="s">
        <v>531</v>
      </c>
      <c r="E668" s="16">
        <v>45643.559363425928</v>
      </c>
      <c r="F668">
        <v>3</v>
      </c>
    </row>
    <row r="669" spans="1:6" x14ac:dyDescent="0.2">
      <c r="A669">
        <v>3112</v>
      </c>
      <c r="B669" t="s">
        <v>88</v>
      </c>
      <c r="C669" t="s">
        <v>474</v>
      </c>
      <c r="D669" t="s">
        <v>541</v>
      </c>
      <c r="E669" s="16">
        <v>45758.384733796294</v>
      </c>
      <c r="F669">
        <v>3</v>
      </c>
    </row>
    <row r="670" spans="1:6" x14ac:dyDescent="0.2">
      <c r="A670">
        <v>3196</v>
      </c>
      <c r="B670" t="s">
        <v>46</v>
      </c>
      <c r="C670" t="s">
        <v>436</v>
      </c>
      <c r="D670" t="s">
        <v>503</v>
      </c>
      <c r="E670" s="16">
        <v>45668.362986111111</v>
      </c>
      <c r="F670">
        <v>3</v>
      </c>
    </row>
    <row r="671" spans="1:6" x14ac:dyDescent="0.2">
      <c r="A671">
        <v>2780</v>
      </c>
      <c r="B671" t="s">
        <v>71</v>
      </c>
      <c r="C671" t="s">
        <v>436</v>
      </c>
      <c r="D671" t="s">
        <v>514</v>
      </c>
      <c r="E671" s="16">
        <v>45789.511018518519</v>
      </c>
      <c r="F671">
        <v>3</v>
      </c>
    </row>
    <row r="672" spans="1:6" x14ac:dyDescent="0.2">
      <c r="A672">
        <v>2760</v>
      </c>
      <c r="B672" t="s">
        <v>127</v>
      </c>
      <c r="C672" t="s">
        <v>438</v>
      </c>
      <c r="D672" t="s">
        <v>500</v>
      </c>
      <c r="E672" s="16">
        <v>45669.294664351852</v>
      </c>
      <c r="F672">
        <v>3</v>
      </c>
    </row>
    <row r="673" spans="1:6" x14ac:dyDescent="0.2">
      <c r="A673">
        <v>2624</v>
      </c>
      <c r="B673" t="s">
        <v>155</v>
      </c>
      <c r="C673" t="s">
        <v>438</v>
      </c>
      <c r="D673" t="s">
        <v>498</v>
      </c>
      <c r="E673" s="16">
        <v>45789.779386574075</v>
      </c>
      <c r="F673">
        <v>3</v>
      </c>
    </row>
    <row r="674" spans="1:6" x14ac:dyDescent="0.2">
      <c r="A674">
        <v>3569</v>
      </c>
      <c r="B674" t="s">
        <v>22</v>
      </c>
      <c r="C674" t="s">
        <v>449</v>
      </c>
      <c r="D674" t="s">
        <v>515</v>
      </c>
      <c r="E674" s="16">
        <v>45680.410520833335</v>
      </c>
      <c r="F674">
        <v>3</v>
      </c>
    </row>
    <row r="675" spans="1:6" x14ac:dyDescent="0.2">
      <c r="A675">
        <v>3614</v>
      </c>
      <c r="B675" t="s">
        <v>217</v>
      </c>
      <c r="C675" t="s">
        <v>438</v>
      </c>
      <c r="D675" t="s">
        <v>498</v>
      </c>
      <c r="E675" s="16">
        <v>45804.675081018519</v>
      </c>
      <c r="F675">
        <v>3</v>
      </c>
    </row>
    <row r="676" spans="1:6" x14ac:dyDescent="0.2">
      <c r="A676">
        <v>3097</v>
      </c>
      <c r="B676" t="s">
        <v>143</v>
      </c>
      <c r="C676" t="s">
        <v>474</v>
      </c>
      <c r="D676" t="s">
        <v>539</v>
      </c>
      <c r="E676" s="16">
        <v>45701.500648148147</v>
      </c>
      <c r="F676">
        <v>3</v>
      </c>
    </row>
    <row r="677" spans="1:6" x14ac:dyDescent="0.2">
      <c r="A677">
        <v>3591</v>
      </c>
      <c r="B677" t="s">
        <v>254</v>
      </c>
      <c r="C677" t="s">
        <v>438</v>
      </c>
      <c r="D677" t="s">
        <v>498</v>
      </c>
      <c r="E677" s="16">
        <v>45831.196296296293</v>
      </c>
      <c r="F677">
        <v>3</v>
      </c>
    </row>
    <row r="678" spans="1:6" x14ac:dyDescent="0.2">
      <c r="A678">
        <v>3584</v>
      </c>
      <c r="B678" t="s">
        <v>57</v>
      </c>
      <c r="C678" t="s">
        <v>449</v>
      </c>
      <c r="D678" t="s">
        <v>515</v>
      </c>
      <c r="E678" s="16">
        <v>45701.760092592594</v>
      </c>
      <c r="F678">
        <v>3</v>
      </c>
    </row>
    <row r="679" spans="1:6" x14ac:dyDescent="0.2">
      <c r="A679">
        <v>3656</v>
      </c>
      <c r="B679" t="s">
        <v>259</v>
      </c>
      <c r="C679" t="s">
        <v>521</v>
      </c>
      <c r="D679" t="s">
        <v>529</v>
      </c>
      <c r="E679" s="16">
        <v>45875.412604166668</v>
      </c>
      <c r="F679">
        <v>3</v>
      </c>
    </row>
    <row r="680" spans="1:6" x14ac:dyDescent="0.2">
      <c r="A680">
        <v>3589</v>
      </c>
      <c r="B680" t="s">
        <v>301</v>
      </c>
      <c r="C680" t="s">
        <v>449</v>
      </c>
      <c r="D680" t="s">
        <v>515</v>
      </c>
      <c r="E680" s="16">
        <v>45710.210173611114</v>
      </c>
      <c r="F680">
        <v>3</v>
      </c>
    </row>
    <row r="681" spans="1:6" x14ac:dyDescent="0.2">
      <c r="A681">
        <v>2279</v>
      </c>
      <c r="B681" t="s">
        <v>167</v>
      </c>
      <c r="C681" t="s">
        <v>521</v>
      </c>
      <c r="D681" t="s">
        <v>530</v>
      </c>
      <c r="E681" s="16">
        <v>45887.311041666668</v>
      </c>
      <c r="F681">
        <v>3</v>
      </c>
    </row>
    <row r="682" spans="1:6" x14ac:dyDescent="0.2">
      <c r="A682">
        <v>3463</v>
      </c>
      <c r="B682" t="s">
        <v>29</v>
      </c>
      <c r="C682" t="s">
        <v>436</v>
      </c>
      <c r="D682" t="s">
        <v>503</v>
      </c>
      <c r="E682" s="16">
        <v>45662.643900462965</v>
      </c>
      <c r="F682">
        <v>3</v>
      </c>
    </row>
    <row r="683" spans="1:6" x14ac:dyDescent="0.2">
      <c r="A683">
        <v>3664</v>
      </c>
      <c r="B683" t="s">
        <v>313</v>
      </c>
      <c r="C683" t="s">
        <v>436</v>
      </c>
      <c r="D683" t="s">
        <v>516</v>
      </c>
      <c r="E683" s="16">
        <v>45887.417569444442</v>
      </c>
      <c r="F683">
        <v>3</v>
      </c>
    </row>
    <row r="684" spans="1:6" x14ac:dyDescent="0.2">
      <c r="A684">
        <v>3592</v>
      </c>
      <c r="B684" t="s">
        <v>272</v>
      </c>
      <c r="C684" t="s">
        <v>449</v>
      </c>
      <c r="D684" t="s">
        <v>515</v>
      </c>
      <c r="E684" s="16">
        <v>45714.745740740742</v>
      </c>
      <c r="F684">
        <v>3</v>
      </c>
    </row>
    <row r="685" spans="1:6" x14ac:dyDescent="0.2">
      <c r="A685">
        <v>3664</v>
      </c>
      <c r="B685" t="s">
        <v>313</v>
      </c>
      <c r="C685" t="s">
        <v>436</v>
      </c>
      <c r="D685" t="s">
        <v>504</v>
      </c>
      <c r="E685" s="16">
        <v>45887.417569444442</v>
      </c>
      <c r="F685">
        <v>3</v>
      </c>
    </row>
    <row r="686" spans="1:6" x14ac:dyDescent="0.2">
      <c r="A686">
        <v>3562</v>
      </c>
      <c r="B686" t="s">
        <v>49</v>
      </c>
      <c r="C686" t="s">
        <v>436</v>
      </c>
      <c r="D686" t="s">
        <v>506</v>
      </c>
      <c r="E686" s="16">
        <v>45728.280231481483</v>
      </c>
      <c r="F686">
        <v>3</v>
      </c>
    </row>
    <row r="687" spans="1:6" x14ac:dyDescent="0.2">
      <c r="A687">
        <v>3664</v>
      </c>
      <c r="B687" t="s">
        <v>313</v>
      </c>
      <c r="C687" t="s">
        <v>521</v>
      </c>
      <c r="D687" t="s">
        <v>530</v>
      </c>
      <c r="E687" s="16">
        <v>45887.290289351855</v>
      </c>
      <c r="F687">
        <v>3</v>
      </c>
    </row>
    <row r="688" spans="1:6" x14ac:dyDescent="0.2">
      <c r="A688">
        <v>3343</v>
      </c>
      <c r="B688" t="s">
        <v>187</v>
      </c>
      <c r="C688" t="s">
        <v>449</v>
      </c>
      <c r="D688" t="s">
        <v>515</v>
      </c>
      <c r="E688" s="16">
        <v>45730.348414351851</v>
      </c>
      <c r="F688">
        <v>3</v>
      </c>
    </row>
    <row r="689" spans="1:6" x14ac:dyDescent="0.2">
      <c r="A689">
        <v>3644</v>
      </c>
      <c r="B689" t="s">
        <v>299</v>
      </c>
      <c r="C689" t="s">
        <v>436</v>
      </c>
      <c r="D689" t="s">
        <v>516</v>
      </c>
      <c r="E689" s="16">
        <v>45887.785046296296</v>
      </c>
      <c r="F689">
        <v>3</v>
      </c>
    </row>
    <row r="690" spans="1:6" x14ac:dyDescent="0.2">
      <c r="A690">
        <v>3593</v>
      </c>
      <c r="B690" t="s">
        <v>294</v>
      </c>
      <c r="C690" t="s">
        <v>449</v>
      </c>
      <c r="D690" t="s">
        <v>515</v>
      </c>
      <c r="E690" s="16">
        <v>45722.433518518519</v>
      </c>
      <c r="F690">
        <v>3</v>
      </c>
    </row>
    <row r="691" spans="1:6" x14ac:dyDescent="0.2">
      <c r="A691">
        <v>3568</v>
      </c>
      <c r="B691" t="s">
        <v>210</v>
      </c>
      <c r="C691" t="s">
        <v>438</v>
      </c>
      <c r="D691" t="s">
        <v>498</v>
      </c>
      <c r="E691" s="16">
        <v>45695.285104166665</v>
      </c>
      <c r="F691">
        <v>3</v>
      </c>
    </row>
    <row r="692" spans="1:6" x14ac:dyDescent="0.2">
      <c r="A692">
        <v>3602</v>
      </c>
      <c r="B692" t="s">
        <v>297</v>
      </c>
      <c r="C692" t="s">
        <v>449</v>
      </c>
      <c r="D692" t="s">
        <v>515</v>
      </c>
      <c r="E692" s="16">
        <v>45742.269328703704</v>
      </c>
      <c r="F692">
        <v>3</v>
      </c>
    </row>
    <row r="693" spans="1:6" x14ac:dyDescent="0.2">
      <c r="A693">
        <v>3585</v>
      </c>
      <c r="B693" t="s">
        <v>314</v>
      </c>
      <c r="C693" t="s">
        <v>521</v>
      </c>
      <c r="D693" t="s">
        <v>530</v>
      </c>
      <c r="E693" s="16">
        <v>45763.494409722225</v>
      </c>
      <c r="F693">
        <v>3</v>
      </c>
    </row>
    <row r="694" spans="1:6" x14ac:dyDescent="0.2">
      <c r="A694">
        <v>3618</v>
      </c>
      <c r="B694" t="s">
        <v>325</v>
      </c>
      <c r="C694" t="s">
        <v>449</v>
      </c>
      <c r="D694" t="s">
        <v>515</v>
      </c>
      <c r="E694" s="16">
        <v>45763.257731481484</v>
      </c>
      <c r="F694">
        <v>3</v>
      </c>
    </row>
    <row r="695" spans="1:6" x14ac:dyDescent="0.2">
      <c r="A695">
        <v>2582</v>
      </c>
      <c r="B695" t="s">
        <v>85</v>
      </c>
      <c r="C695" t="s">
        <v>521</v>
      </c>
      <c r="D695" t="s">
        <v>530</v>
      </c>
      <c r="E695" s="16">
        <v>45915.38621527778</v>
      </c>
      <c r="F695">
        <v>3</v>
      </c>
    </row>
    <row r="696" spans="1:6" x14ac:dyDescent="0.2">
      <c r="A696">
        <v>3616</v>
      </c>
      <c r="B696" t="s">
        <v>249</v>
      </c>
      <c r="C696" t="s">
        <v>449</v>
      </c>
      <c r="D696" t="s">
        <v>515</v>
      </c>
      <c r="E696" s="16">
        <v>45756.326620370368</v>
      </c>
      <c r="F696">
        <v>3</v>
      </c>
    </row>
    <row r="697" spans="1:6" x14ac:dyDescent="0.2">
      <c r="A697">
        <v>3624</v>
      </c>
      <c r="B697" t="s">
        <v>302</v>
      </c>
      <c r="C697" t="s">
        <v>521</v>
      </c>
      <c r="D697" t="s">
        <v>530</v>
      </c>
      <c r="E697" s="16">
        <v>45916.504363425927</v>
      </c>
      <c r="F697">
        <v>3</v>
      </c>
    </row>
    <row r="698" spans="1:6" x14ac:dyDescent="0.2">
      <c r="A698">
        <v>3625</v>
      </c>
      <c r="B698" t="s">
        <v>276</v>
      </c>
      <c r="C698" t="s">
        <v>449</v>
      </c>
      <c r="D698" t="s">
        <v>515</v>
      </c>
      <c r="E698" s="16">
        <v>45773.707280092596</v>
      </c>
      <c r="F698">
        <v>3</v>
      </c>
    </row>
    <row r="699" spans="1:6" x14ac:dyDescent="0.2">
      <c r="A699">
        <v>3594</v>
      </c>
      <c r="B699" t="s">
        <v>315</v>
      </c>
      <c r="C699" t="s">
        <v>521</v>
      </c>
      <c r="D699" t="s">
        <v>530</v>
      </c>
      <c r="E699" s="16">
        <v>45939.350659722222</v>
      </c>
      <c r="F699">
        <v>3</v>
      </c>
    </row>
    <row r="700" spans="1:6" x14ac:dyDescent="0.2">
      <c r="A700">
        <v>3626</v>
      </c>
      <c r="B700" t="s">
        <v>316</v>
      </c>
      <c r="C700" t="s">
        <v>449</v>
      </c>
      <c r="D700" t="s">
        <v>515</v>
      </c>
      <c r="E700" s="16">
        <v>45773.710902777777</v>
      </c>
      <c r="F700">
        <v>3</v>
      </c>
    </row>
    <row r="701" spans="1:6" x14ac:dyDescent="0.2">
      <c r="A701">
        <v>2465</v>
      </c>
      <c r="B701" t="s">
        <v>129</v>
      </c>
      <c r="C701" t="s">
        <v>474</v>
      </c>
      <c r="D701" t="s">
        <v>538</v>
      </c>
      <c r="E701" s="16">
        <v>45631.290011574078</v>
      </c>
      <c r="F701">
        <v>3</v>
      </c>
    </row>
    <row r="702" spans="1:6" x14ac:dyDescent="0.2">
      <c r="A702">
        <v>3636</v>
      </c>
      <c r="B702" t="s">
        <v>270</v>
      </c>
      <c r="C702" t="s">
        <v>449</v>
      </c>
      <c r="D702" t="s">
        <v>515</v>
      </c>
      <c r="E702" s="16">
        <v>45788.748032407406</v>
      </c>
      <c r="F702">
        <v>3</v>
      </c>
    </row>
    <row r="703" spans="1:6" x14ac:dyDescent="0.2">
      <c r="A703">
        <v>3426</v>
      </c>
      <c r="B703" t="s">
        <v>207</v>
      </c>
      <c r="C703" t="s">
        <v>474</v>
      </c>
      <c r="D703" t="s">
        <v>536</v>
      </c>
      <c r="E703" s="16">
        <v>45629.400312500002</v>
      </c>
      <c r="F703">
        <v>3</v>
      </c>
    </row>
    <row r="704" spans="1:6" x14ac:dyDescent="0.2">
      <c r="A704">
        <v>3647</v>
      </c>
      <c r="B704" t="s">
        <v>310</v>
      </c>
      <c r="C704" t="s">
        <v>449</v>
      </c>
      <c r="D704" t="s">
        <v>515</v>
      </c>
      <c r="E704" s="16">
        <v>45822.282708333332</v>
      </c>
      <c r="F704">
        <v>3</v>
      </c>
    </row>
    <row r="705" spans="1:6" x14ac:dyDescent="0.2">
      <c r="A705">
        <v>1937</v>
      </c>
      <c r="B705" t="s">
        <v>80</v>
      </c>
      <c r="C705" t="s">
        <v>474</v>
      </c>
      <c r="D705" t="s">
        <v>538</v>
      </c>
      <c r="E705" s="16">
        <v>45636.331076388888</v>
      </c>
      <c r="F705">
        <v>3</v>
      </c>
    </row>
    <row r="706" spans="1:6" x14ac:dyDescent="0.2">
      <c r="A706">
        <v>3610</v>
      </c>
      <c r="B706" t="s">
        <v>305</v>
      </c>
      <c r="C706" t="s">
        <v>521</v>
      </c>
      <c r="D706" t="s">
        <v>528</v>
      </c>
      <c r="E706" s="16">
        <v>45833.46230324074</v>
      </c>
      <c r="F706">
        <v>3</v>
      </c>
    </row>
    <row r="707" spans="1:6" x14ac:dyDescent="0.2">
      <c r="A707">
        <v>2549</v>
      </c>
      <c r="B707" t="s">
        <v>203</v>
      </c>
      <c r="C707" t="s">
        <v>518</v>
      </c>
      <c r="D707" t="s">
        <v>519</v>
      </c>
      <c r="E707" s="16">
        <v>45615.747870370367</v>
      </c>
      <c r="F707">
        <v>3</v>
      </c>
    </row>
    <row r="708" spans="1:6" x14ac:dyDescent="0.2">
      <c r="A708">
        <v>3649</v>
      </c>
      <c r="B708" t="s">
        <v>312</v>
      </c>
      <c r="C708" t="s">
        <v>449</v>
      </c>
      <c r="D708" t="s">
        <v>515</v>
      </c>
      <c r="E708" s="16">
        <v>45841.305879629632</v>
      </c>
      <c r="F708">
        <v>3</v>
      </c>
    </row>
    <row r="709" spans="1:6" x14ac:dyDescent="0.2">
      <c r="A709">
        <v>1255</v>
      </c>
      <c r="B709" t="s">
        <v>135</v>
      </c>
      <c r="C709" t="s">
        <v>474</v>
      </c>
      <c r="D709" t="s">
        <v>536</v>
      </c>
      <c r="E709" s="16">
        <v>45635.500138888892</v>
      </c>
      <c r="F709">
        <v>3</v>
      </c>
    </row>
    <row r="710" spans="1:6" x14ac:dyDescent="0.2">
      <c r="A710">
        <v>3476</v>
      </c>
      <c r="B710" t="s">
        <v>73</v>
      </c>
      <c r="C710" t="s">
        <v>436</v>
      </c>
      <c r="D710" t="s">
        <v>503</v>
      </c>
      <c r="E710" s="16">
        <v>45860.614016203705</v>
      </c>
      <c r="F710">
        <v>3</v>
      </c>
    </row>
    <row r="711" spans="1:6" x14ac:dyDescent="0.2">
      <c r="A711">
        <v>2526</v>
      </c>
      <c r="B711" t="s">
        <v>51</v>
      </c>
      <c r="C711" t="s">
        <v>474</v>
      </c>
      <c r="D711" t="s">
        <v>536</v>
      </c>
      <c r="E711" s="16">
        <v>45631.286064814813</v>
      </c>
      <c r="F711">
        <v>3</v>
      </c>
    </row>
    <row r="712" spans="1:6" x14ac:dyDescent="0.2">
      <c r="A712">
        <v>3654</v>
      </c>
      <c r="B712" t="s">
        <v>231</v>
      </c>
      <c r="C712" t="s">
        <v>449</v>
      </c>
      <c r="D712" t="s">
        <v>515</v>
      </c>
      <c r="E712" s="16">
        <v>45853.293124999997</v>
      </c>
      <c r="F712">
        <v>3</v>
      </c>
    </row>
    <row r="713" spans="1:6" x14ac:dyDescent="0.2">
      <c r="A713">
        <v>3351</v>
      </c>
      <c r="B713" t="s">
        <v>40</v>
      </c>
      <c r="C713" t="s">
        <v>474</v>
      </c>
      <c r="D713" t="s">
        <v>538</v>
      </c>
      <c r="E713" s="16">
        <v>45635.511608796296</v>
      </c>
      <c r="F713">
        <v>3</v>
      </c>
    </row>
    <row r="714" spans="1:6" x14ac:dyDescent="0.2">
      <c r="A714">
        <v>3605</v>
      </c>
      <c r="B714" t="s">
        <v>268</v>
      </c>
      <c r="C714" t="s">
        <v>521</v>
      </c>
      <c r="D714" t="s">
        <v>526</v>
      </c>
      <c r="E714" s="16">
        <v>45870.411817129629</v>
      </c>
      <c r="F714">
        <v>3</v>
      </c>
    </row>
    <row r="715" spans="1:6" x14ac:dyDescent="0.2">
      <c r="A715">
        <v>2760</v>
      </c>
      <c r="B715" t="s">
        <v>127</v>
      </c>
      <c r="C715" t="s">
        <v>474</v>
      </c>
      <c r="D715" t="s">
        <v>538</v>
      </c>
      <c r="E715" s="16">
        <v>45643.559363425928</v>
      </c>
      <c r="F715">
        <v>3</v>
      </c>
    </row>
    <row r="716" spans="1:6" x14ac:dyDescent="0.2">
      <c r="A716">
        <v>2279</v>
      </c>
      <c r="B716" t="s">
        <v>167</v>
      </c>
      <c r="C716" t="s">
        <v>521</v>
      </c>
      <c r="D716" t="s">
        <v>526</v>
      </c>
      <c r="E716" s="16">
        <v>45887.311041666668</v>
      </c>
      <c r="F716">
        <v>3</v>
      </c>
    </row>
    <row r="717" spans="1:6" x14ac:dyDescent="0.2">
      <c r="A717">
        <v>2624</v>
      </c>
      <c r="B717" t="s">
        <v>155</v>
      </c>
      <c r="C717" t="s">
        <v>474</v>
      </c>
      <c r="D717" t="s">
        <v>536</v>
      </c>
      <c r="E717" s="16">
        <v>45662.531238425923</v>
      </c>
      <c r="F717">
        <v>3</v>
      </c>
    </row>
    <row r="718" spans="1:6" x14ac:dyDescent="0.2">
      <c r="A718">
        <v>3664</v>
      </c>
      <c r="B718" t="s">
        <v>313</v>
      </c>
      <c r="C718" t="s">
        <v>436</v>
      </c>
      <c r="D718" t="s">
        <v>503</v>
      </c>
      <c r="E718" s="16">
        <v>45887.417569444442</v>
      </c>
      <c r="F718">
        <v>3</v>
      </c>
    </row>
    <row r="719" spans="1:6" x14ac:dyDescent="0.2">
      <c r="A719">
        <v>3569</v>
      </c>
      <c r="B719" t="s">
        <v>22</v>
      </c>
      <c r="C719" t="s">
        <v>449</v>
      </c>
      <c r="D719" t="s">
        <v>499</v>
      </c>
      <c r="E719" s="16">
        <v>45680.410520833335</v>
      </c>
      <c r="F719">
        <v>3</v>
      </c>
    </row>
    <row r="720" spans="1:6" x14ac:dyDescent="0.2">
      <c r="A720">
        <v>3568</v>
      </c>
      <c r="B720" t="s">
        <v>210</v>
      </c>
      <c r="C720" t="s">
        <v>449</v>
      </c>
      <c r="D720" t="s">
        <v>515</v>
      </c>
      <c r="E720" s="16">
        <v>45678.487685185188</v>
      </c>
      <c r="F720">
        <v>3</v>
      </c>
    </row>
    <row r="721" spans="1:6" x14ac:dyDescent="0.2">
      <c r="A721">
        <v>3564</v>
      </c>
      <c r="B721" t="s">
        <v>84</v>
      </c>
      <c r="C721" t="s">
        <v>449</v>
      </c>
      <c r="D721" t="s">
        <v>499</v>
      </c>
      <c r="E721" s="16">
        <v>45668.202303240738</v>
      </c>
      <c r="F721">
        <v>3</v>
      </c>
    </row>
    <row r="722" spans="1:6" x14ac:dyDescent="0.2">
      <c r="A722">
        <v>3672</v>
      </c>
      <c r="B722" t="s">
        <v>323</v>
      </c>
      <c r="C722" t="s">
        <v>449</v>
      </c>
      <c r="D722" t="s">
        <v>515</v>
      </c>
      <c r="E722" s="16">
        <v>45892.797662037039</v>
      </c>
      <c r="F722">
        <v>3</v>
      </c>
    </row>
    <row r="723" spans="1:6" x14ac:dyDescent="0.2">
      <c r="A723">
        <v>3097</v>
      </c>
      <c r="B723" t="s">
        <v>143</v>
      </c>
      <c r="C723" t="s">
        <v>474</v>
      </c>
      <c r="D723" t="s">
        <v>538</v>
      </c>
      <c r="E723" s="16">
        <v>45701.500648148147</v>
      </c>
      <c r="F723">
        <v>3</v>
      </c>
    </row>
    <row r="724" spans="1:6" x14ac:dyDescent="0.2">
      <c r="A724">
        <v>3245</v>
      </c>
      <c r="B724" t="s">
        <v>67</v>
      </c>
      <c r="C724" t="s">
        <v>436</v>
      </c>
      <c r="D724" t="s">
        <v>503</v>
      </c>
      <c r="E724" s="16">
        <v>45902.38622685185</v>
      </c>
      <c r="F724">
        <v>3</v>
      </c>
    </row>
    <row r="725" spans="1:6" x14ac:dyDescent="0.2">
      <c r="A725">
        <v>3589</v>
      </c>
      <c r="B725" t="s">
        <v>301</v>
      </c>
      <c r="C725" t="s">
        <v>449</v>
      </c>
      <c r="D725" t="s">
        <v>499</v>
      </c>
      <c r="E725" s="16">
        <v>45710.210173611114</v>
      </c>
      <c r="F725">
        <v>3</v>
      </c>
    </row>
    <row r="726" spans="1:6" x14ac:dyDescent="0.2">
      <c r="A726">
        <v>3674</v>
      </c>
      <c r="B726" t="s">
        <v>292</v>
      </c>
      <c r="C726" t="s">
        <v>521</v>
      </c>
      <c r="D726" t="s">
        <v>528</v>
      </c>
      <c r="E726" s="16">
        <v>45902.531527777777</v>
      </c>
      <c r="F726">
        <v>3</v>
      </c>
    </row>
    <row r="727" spans="1:6" x14ac:dyDescent="0.2">
      <c r="A727">
        <v>3592</v>
      </c>
      <c r="B727" t="s">
        <v>272</v>
      </c>
      <c r="C727" t="s">
        <v>449</v>
      </c>
      <c r="D727" t="s">
        <v>520</v>
      </c>
      <c r="E727" s="16">
        <v>45719.525590277779</v>
      </c>
      <c r="F727">
        <v>3</v>
      </c>
    </row>
    <row r="728" spans="1:6" x14ac:dyDescent="0.2">
      <c r="A728">
        <v>3674</v>
      </c>
      <c r="B728" t="s">
        <v>292</v>
      </c>
      <c r="C728" t="s">
        <v>449</v>
      </c>
      <c r="D728" t="s">
        <v>515</v>
      </c>
      <c r="E728" s="16">
        <v>45892.804606481484</v>
      </c>
      <c r="F728">
        <v>3</v>
      </c>
    </row>
    <row r="729" spans="1:6" x14ac:dyDescent="0.2">
      <c r="A729">
        <v>3592</v>
      </c>
      <c r="B729" t="s">
        <v>272</v>
      </c>
      <c r="C729" t="s">
        <v>449</v>
      </c>
      <c r="D729" t="s">
        <v>499</v>
      </c>
      <c r="E729" s="16">
        <v>45714.745740740742</v>
      </c>
      <c r="F729">
        <v>3</v>
      </c>
    </row>
    <row r="730" spans="1:6" x14ac:dyDescent="0.2">
      <c r="A730">
        <v>3585</v>
      </c>
      <c r="B730" t="s">
        <v>314</v>
      </c>
      <c r="C730" t="s">
        <v>449</v>
      </c>
      <c r="D730" t="s">
        <v>515</v>
      </c>
      <c r="E730" s="16">
        <v>45706.184282407405</v>
      </c>
      <c r="F730">
        <v>3</v>
      </c>
    </row>
    <row r="731" spans="1:6" x14ac:dyDescent="0.2">
      <c r="A731">
        <v>3593</v>
      </c>
      <c r="B731" t="s">
        <v>294</v>
      </c>
      <c r="C731" t="s">
        <v>449</v>
      </c>
      <c r="D731" t="s">
        <v>499</v>
      </c>
      <c r="E731" s="16">
        <v>45722.433518518519</v>
      </c>
      <c r="F731">
        <v>3</v>
      </c>
    </row>
    <row r="732" spans="1:6" x14ac:dyDescent="0.2">
      <c r="A732">
        <v>3585</v>
      </c>
      <c r="B732" t="s">
        <v>314</v>
      </c>
      <c r="C732" t="s">
        <v>438</v>
      </c>
      <c r="D732" t="s">
        <v>500</v>
      </c>
      <c r="E732" s="16">
        <v>45763.488275462965</v>
      </c>
      <c r="F732">
        <v>3</v>
      </c>
    </row>
    <row r="733" spans="1:6" x14ac:dyDescent="0.2">
      <c r="A733">
        <v>3597</v>
      </c>
      <c r="B733" t="s">
        <v>319</v>
      </c>
      <c r="C733" t="s">
        <v>449</v>
      </c>
      <c r="D733" t="s">
        <v>499</v>
      </c>
      <c r="E733" s="16">
        <v>45734.227384259262</v>
      </c>
      <c r="F733">
        <v>3</v>
      </c>
    </row>
    <row r="734" spans="1:6" x14ac:dyDescent="0.2">
      <c r="A734">
        <v>3220</v>
      </c>
      <c r="B734" t="s">
        <v>170</v>
      </c>
      <c r="C734" t="s">
        <v>521</v>
      </c>
      <c r="D734" t="s">
        <v>528</v>
      </c>
      <c r="E734" s="16">
        <v>45765.426319444443</v>
      </c>
      <c r="F734">
        <v>3</v>
      </c>
    </row>
    <row r="735" spans="1:6" x14ac:dyDescent="0.2">
      <c r="A735">
        <v>3599</v>
      </c>
      <c r="B735" t="s">
        <v>281</v>
      </c>
      <c r="C735" t="s">
        <v>449</v>
      </c>
      <c r="D735" t="s">
        <v>520</v>
      </c>
      <c r="E735" s="16">
        <v>45741.483738425923</v>
      </c>
      <c r="F735">
        <v>3</v>
      </c>
    </row>
    <row r="736" spans="1:6" x14ac:dyDescent="0.2">
      <c r="A736">
        <v>3670</v>
      </c>
      <c r="B736" t="s">
        <v>327</v>
      </c>
      <c r="C736" t="s">
        <v>449</v>
      </c>
      <c r="D736" t="s">
        <v>515</v>
      </c>
      <c r="E736" s="16">
        <v>45883.234340277777</v>
      </c>
      <c r="F736">
        <v>3</v>
      </c>
    </row>
    <row r="737" spans="1:6" x14ac:dyDescent="0.2">
      <c r="A737">
        <v>3414</v>
      </c>
      <c r="B737" t="s">
        <v>202</v>
      </c>
      <c r="C737" t="s">
        <v>449</v>
      </c>
      <c r="D737" t="s">
        <v>499</v>
      </c>
      <c r="E737" s="16">
        <v>45742.692916666667</v>
      </c>
      <c r="F737">
        <v>3</v>
      </c>
    </row>
    <row r="738" spans="1:6" x14ac:dyDescent="0.2">
      <c r="A738">
        <v>3662</v>
      </c>
      <c r="B738" t="s">
        <v>250</v>
      </c>
      <c r="C738" t="s">
        <v>436</v>
      </c>
      <c r="D738" t="s">
        <v>517</v>
      </c>
      <c r="E738" s="16">
        <v>45930.592511574076</v>
      </c>
      <c r="F738">
        <v>3</v>
      </c>
    </row>
    <row r="739" spans="1:6" x14ac:dyDescent="0.2">
      <c r="A739">
        <v>3564</v>
      </c>
      <c r="B739" t="s">
        <v>84</v>
      </c>
      <c r="C739" t="s">
        <v>521</v>
      </c>
      <c r="D739" t="s">
        <v>524</v>
      </c>
      <c r="E739" s="16">
        <v>45747.666284722225</v>
      </c>
      <c r="F739">
        <v>3</v>
      </c>
    </row>
    <row r="740" spans="1:6" x14ac:dyDescent="0.2">
      <c r="A740">
        <v>3594</v>
      </c>
      <c r="B740" t="s">
        <v>315</v>
      </c>
      <c r="C740" t="s">
        <v>436</v>
      </c>
      <c r="D740" t="s">
        <v>503</v>
      </c>
      <c r="E740" s="16">
        <v>45790.399791666663</v>
      </c>
      <c r="F740">
        <v>3</v>
      </c>
    </row>
    <row r="741" spans="1:6" x14ac:dyDescent="0.2">
      <c r="A741">
        <v>3606</v>
      </c>
      <c r="B741" t="s">
        <v>265</v>
      </c>
      <c r="C741" t="s">
        <v>449</v>
      </c>
      <c r="D741" t="s">
        <v>520</v>
      </c>
      <c r="E741" s="16">
        <v>45748.525729166664</v>
      </c>
      <c r="F741">
        <v>3</v>
      </c>
    </row>
    <row r="742" spans="1:6" x14ac:dyDescent="0.2">
      <c r="A742">
        <v>3686</v>
      </c>
      <c r="B742" t="s">
        <v>233</v>
      </c>
      <c r="C742" t="s">
        <v>449</v>
      </c>
      <c r="D742" t="s">
        <v>515</v>
      </c>
      <c r="E742" s="16">
        <v>45944.226261574076</v>
      </c>
      <c r="F742">
        <v>3</v>
      </c>
    </row>
    <row r="743" spans="1:6" x14ac:dyDescent="0.2">
      <c r="A743">
        <v>3614</v>
      </c>
      <c r="B743" t="s">
        <v>217</v>
      </c>
      <c r="C743" t="s">
        <v>438</v>
      </c>
      <c r="D743" t="s">
        <v>501</v>
      </c>
      <c r="E743" s="16">
        <v>45758.27144675926</v>
      </c>
      <c r="F743">
        <v>3</v>
      </c>
    </row>
    <row r="744" spans="1:6" x14ac:dyDescent="0.2">
      <c r="A744">
        <v>3687</v>
      </c>
      <c r="B744" t="s">
        <v>252</v>
      </c>
      <c r="C744" t="s">
        <v>449</v>
      </c>
      <c r="D744" t="s">
        <v>515</v>
      </c>
      <c r="E744" s="16">
        <v>45967.680914351855</v>
      </c>
      <c r="F744">
        <v>3</v>
      </c>
    </row>
    <row r="745" spans="1:6" x14ac:dyDescent="0.2">
      <c r="A745">
        <v>3616</v>
      </c>
      <c r="B745" t="s">
        <v>249</v>
      </c>
      <c r="C745" t="s">
        <v>449</v>
      </c>
      <c r="D745" t="s">
        <v>499</v>
      </c>
      <c r="E745" s="16">
        <v>45756.326620370368</v>
      </c>
      <c r="F745">
        <v>3</v>
      </c>
    </row>
    <row r="746" spans="1:6" x14ac:dyDescent="0.2">
      <c r="A746">
        <v>3539</v>
      </c>
      <c r="B746" t="s">
        <v>70</v>
      </c>
      <c r="C746" t="s">
        <v>474</v>
      </c>
      <c r="D746" t="s">
        <v>543</v>
      </c>
      <c r="E746" s="16">
        <v>45629.369687500002</v>
      </c>
      <c r="F746">
        <v>3</v>
      </c>
    </row>
    <row r="747" spans="1:6" x14ac:dyDescent="0.2">
      <c r="A747">
        <v>3626</v>
      </c>
      <c r="B747" t="s">
        <v>316</v>
      </c>
      <c r="C747" t="s">
        <v>449</v>
      </c>
      <c r="D747" t="s">
        <v>499</v>
      </c>
      <c r="E747" s="16">
        <v>45773.710902777777</v>
      </c>
      <c r="F747">
        <v>3</v>
      </c>
    </row>
    <row r="748" spans="1:6" x14ac:dyDescent="0.2">
      <c r="A748">
        <v>3426</v>
      </c>
      <c r="B748" t="s">
        <v>207</v>
      </c>
      <c r="C748" t="s">
        <v>474</v>
      </c>
      <c r="D748" t="s">
        <v>544</v>
      </c>
      <c r="E748" s="16">
        <v>45629.400312500002</v>
      </c>
      <c r="F748">
        <v>3</v>
      </c>
    </row>
    <row r="749" spans="1:6" x14ac:dyDescent="0.2">
      <c r="A749">
        <v>3344</v>
      </c>
      <c r="B749" t="s">
        <v>69</v>
      </c>
      <c r="C749" t="s">
        <v>474</v>
      </c>
      <c r="D749" t="s">
        <v>536</v>
      </c>
      <c r="E749" s="16">
        <v>45785.406145833331</v>
      </c>
      <c r="F749">
        <v>3</v>
      </c>
    </row>
    <row r="750" spans="1:6" x14ac:dyDescent="0.2">
      <c r="A750">
        <v>2629</v>
      </c>
      <c r="B750" t="s">
        <v>63</v>
      </c>
      <c r="C750" t="s">
        <v>474</v>
      </c>
      <c r="D750" t="s">
        <v>544</v>
      </c>
      <c r="E750" s="16">
        <v>45630.395624999997</v>
      </c>
      <c r="F750">
        <v>3</v>
      </c>
    </row>
    <row r="751" spans="1:6" x14ac:dyDescent="0.2">
      <c r="A751">
        <v>3636</v>
      </c>
      <c r="B751" t="s">
        <v>270</v>
      </c>
      <c r="C751" t="s">
        <v>449</v>
      </c>
      <c r="D751" t="s">
        <v>520</v>
      </c>
      <c r="E751" s="16">
        <v>45789.320462962962</v>
      </c>
      <c r="F751">
        <v>3</v>
      </c>
    </row>
    <row r="752" spans="1:6" x14ac:dyDescent="0.2">
      <c r="A752">
        <v>2727</v>
      </c>
      <c r="B752" t="s">
        <v>160</v>
      </c>
      <c r="C752" t="s">
        <v>474</v>
      </c>
      <c r="D752" t="s">
        <v>544</v>
      </c>
      <c r="E752" s="16">
        <v>45630.348402777781</v>
      </c>
      <c r="F752">
        <v>3</v>
      </c>
    </row>
    <row r="753" spans="1:6" x14ac:dyDescent="0.2">
      <c r="A753">
        <v>3644</v>
      </c>
      <c r="B753" t="s">
        <v>299</v>
      </c>
      <c r="C753" t="s">
        <v>449</v>
      </c>
      <c r="D753" t="s">
        <v>499</v>
      </c>
      <c r="E753" s="16">
        <v>45807.253159722219</v>
      </c>
      <c r="F753">
        <v>3</v>
      </c>
    </row>
    <row r="754" spans="1:6" x14ac:dyDescent="0.2">
      <c r="A754">
        <v>3410</v>
      </c>
      <c r="B754" t="s">
        <v>43</v>
      </c>
      <c r="C754" t="s">
        <v>474</v>
      </c>
      <c r="D754" t="s">
        <v>535</v>
      </c>
      <c r="E754" s="16">
        <v>45631.268576388888</v>
      </c>
      <c r="F754">
        <v>3</v>
      </c>
    </row>
    <row r="755" spans="1:6" x14ac:dyDescent="0.2">
      <c r="A755">
        <v>3644</v>
      </c>
      <c r="B755" t="s">
        <v>299</v>
      </c>
      <c r="C755" t="s">
        <v>449</v>
      </c>
      <c r="D755" t="s">
        <v>520</v>
      </c>
      <c r="E755" s="16">
        <v>45811.591157407405</v>
      </c>
      <c r="F755">
        <v>3</v>
      </c>
    </row>
    <row r="756" spans="1:6" x14ac:dyDescent="0.2">
      <c r="A756">
        <v>2361</v>
      </c>
      <c r="B756" t="s">
        <v>78</v>
      </c>
      <c r="C756" t="s">
        <v>474</v>
      </c>
      <c r="D756" t="s">
        <v>545</v>
      </c>
      <c r="E756" s="16">
        <v>45631.286956018521</v>
      </c>
      <c r="F756">
        <v>3</v>
      </c>
    </row>
    <row r="757" spans="1:6" x14ac:dyDescent="0.2">
      <c r="A757">
        <v>3644</v>
      </c>
      <c r="B757" t="s">
        <v>299</v>
      </c>
      <c r="C757" t="s">
        <v>438</v>
      </c>
      <c r="D757" t="s">
        <v>501</v>
      </c>
      <c r="E757" s="16">
        <v>45811.591157407405</v>
      </c>
      <c r="F757">
        <v>3</v>
      </c>
    </row>
    <row r="758" spans="1:6" x14ac:dyDescent="0.2">
      <c r="A758">
        <v>3351</v>
      </c>
      <c r="B758" t="s">
        <v>40</v>
      </c>
      <c r="C758" t="s">
        <v>474</v>
      </c>
      <c r="D758" t="s">
        <v>531</v>
      </c>
      <c r="E758" s="16">
        <v>45635.511608796296</v>
      </c>
      <c r="F758">
        <v>3</v>
      </c>
    </row>
    <row r="759" spans="1:6" x14ac:dyDescent="0.2">
      <c r="A759">
        <v>3600</v>
      </c>
      <c r="B759" t="s">
        <v>258</v>
      </c>
      <c r="C759" t="s">
        <v>449</v>
      </c>
      <c r="D759" t="s">
        <v>499</v>
      </c>
      <c r="E759" s="16">
        <v>45741.256435185183</v>
      </c>
      <c r="F759">
        <v>3</v>
      </c>
    </row>
    <row r="760" spans="1:6" x14ac:dyDescent="0.2">
      <c r="A760">
        <v>1937</v>
      </c>
      <c r="B760" t="s">
        <v>80</v>
      </c>
      <c r="C760" t="s">
        <v>474</v>
      </c>
      <c r="D760" t="s">
        <v>545</v>
      </c>
      <c r="E760" s="16">
        <v>45636.331076388888</v>
      </c>
      <c r="F760">
        <v>3</v>
      </c>
    </row>
    <row r="761" spans="1:6" x14ac:dyDescent="0.2">
      <c r="A761">
        <v>3648</v>
      </c>
      <c r="B761" t="s">
        <v>261</v>
      </c>
      <c r="C761" t="s">
        <v>449</v>
      </c>
      <c r="D761" t="s">
        <v>499</v>
      </c>
      <c r="E761" s="16">
        <v>45838.28570601852</v>
      </c>
      <c r="F761">
        <v>3</v>
      </c>
    </row>
    <row r="762" spans="1:6" x14ac:dyDescent="0.2">
      <c r="A762">
        <v>3251</v>
      </c>
      <c r="B762" t="s">
        <v>150</v>
      </c>
      <c r="C762" t="s">
        <v>474</v>
      </c>
      <c r="D762" t="s">
        <v>543</v>
      </c>
      <c r="E762" s="16">
        <v>45629.388518518521</v>
      </c>
      <c r="F762">
        <v>3</v>
      </c>
    </row>
    <row r="763" spans="1:6" x14ac:dyDescent="0.2">
      <c r="A763">
        <v>3649</v>
      </c>
      <c r="B763" t="s">
        <v>312</v>
      </c>
      <c r="C763" t="s">
        <v>449</v>
      </c>
      <c r="D763" t="s">
        <v>499</v>
      </c>
      <c r="E763" s="16">
        <v>45841.305879629632</v>
      </c>
      <c r="F763">
        <v>3</v>
      </c>
    </row>
    <row r="764" spans="1:6" x14ac:dyDescent="0.2">
      <c r="A764">
        <v>3339</v>
      </c>
      <c r="B764" t="s">
        <v>45</v>
      </c>
      <c r="C764" t="s">
        <v>474</v>
      </c>
      <c r="D764" t="s">
        <v>544</v>
      </c>
      <c r="E764" s="16">
        <v>45630.392858796295</v>
      </c>
      <c r="F764">
        <v>3</v>
      </c>
    </row>
    <row r="765" spans="1:6" x14ac:dyDescent="0.2">
      <c r="A765">
        <v>3609</v>
      </c>
      <c r="B765" t="s">
        <v>245</v>
      </c>
      <c r="C765" t="s">
        <v>449</v>
      </c>
      <c r="D765" t="s">
        <v>499</v>
      </c>
      <c r="E765" s="16">
        <v>45750.270231481481</v>
      </c>
      <c r="F765">
        <v>3</v>
      </c>
    </row>
    <row r="766" spans="1:6" x14ac:dyDescent="0.2">
      <c r="A766">
        <v>2682</v>
      </c>
      <c r="B766" t="s">
        <v>198</v>
      </c>
      <c r="C766" t="s">
        <v>474</v>
      </c>
      <c r="D766" t="s">
        <v>543</v>
      </c>
      <c r="E766" s="16">
        <v>45630.402453703704</v>
      </c>
      <c r="F766">
        <v>3</v>
      </c>
    </row>
    <row r="767" spans="1:6" x14ac:dyDescent="0.2">
      <c r="A767">
        <v>3656</v>
      </c>
      <c r="B767" t="s">
        <v>259</v>
      </c>
      <c r="C767" t="s">
        <v>449</v>
      </c>
      <c r="D767" t="s">
        <v>520</v>
      </c>
      <c r="E767" s="16">
        <v>45859.573229166665</v>
      </c>
      <c r="F767">
        <v>3</v>
      </c>
    </row>
    <row r="768" spans="1:6" x14ac:dyDescent="0.2">
      <c r="A768">
        <v>2526</v>
      </c>
      <c r="B768" t="s">
        <v>51</v>
      </c>
      <c r="C768" t="s">
        <v>474</v>
      </c>
      <c r="D768" t="s">
        <v>544</v>
      </c>
      <c r="E768" s="16">
        <v>45631.286064814813</v>
      </c>
      <c r="F768">
        <v>3</v>
      </c>
    </row>
    <row r="769" spans="1:6" x14ac:dyDescent="0.2">
      <c r="A769">
        <v>3654</v>
      </c>
      <c r="B769" t="s">
        <v>231</v>
      </c>
      <c r="C769" t="s">
        <v>449</v>
      </c>
      <c r="D769" t="s">
        <v>499</v>
      </c>
      <c r="E769" s="16">
        <v>45853.293124999997</v>
      </c>
      <c r="F769">
        <v>3</v>
      </c>
    </row>
    <row r="770" spans="1:6" x14ac:dyDescent="0.2">
      <c r="A770">
        <v>3097</v>
      </c>
      <c r="B770" t="s">
        <v>143</v>
      </c>
      <c r="C770" t="s">
        <v>474</v>
      </c>
      <c r="D770" t="s">
        <v>535</v>
      </c>
      <c r="E770" s="16">
        <v>45631.293680555558</v>
      </c>
      <c r="F770">
        <v>3</v>
      </c>
    </row>
    <row r="771" spans="1:6" x14ac:dyDescent="0.2">
      <c r="A771">
        <v>3665</v>
      </c>
      <c r="B771" t="s">
        <v>222</v>
      </c>
      <c r="C771" t="s">
        <v>449</v>
      </c>
      <c r="D771" t="s">
        <v>499</v>
      </c>
      <c r="E771" s="16">
        <v>45875.514004629629</v>
      </c>
      <c r="F771">
        <v>3</v>
      </c>
    </row>
    <row r="772" spans="1:6" x14ac:dyDescent="0.2">
      <c r="A772">
        <v>2577</v>
      </c>
      <c r="B772" t="s">
        <v>130</v>
      </c>
      <c r="C772" t="s">
        <v>474</v>
      </c>
      <c r="D772" t="s">
        <v>544</v>
      </c>
      <c r="E772" s="16">
        <v>45635.408217592594</v>
      </c>
      <c r="F772">
        <v>3</v>
      </c>
    </row>
    <row r="773" spans="1:6" x14ac:dyDescent="0.2">
      <c r="A773">
        <v>3665</v>
      </c>
      <c r="B773" t="s">
        <v>222</v>
      </c>
      <c r="C773" t="s">
        <v>449</v>
      </c>
      <c r="D773" t="s">
        <v>520</v>
      </c>
      <c r="E773" s="16">
        <v>45876.564085648148</v>
      </c>
      <c r="F773">
        <v>3</v>
      </c>
    </row>
    <row r="774" spans="1:6" x14ac:dyDescent="0.2">
      <c r="A774">
        <v>86</v>
      </c>
      <c r="B774" t="s">
        <v>163</v>
      </c>
      <c r="C774" t="s">
        <v>436</v>
      </c>
      <c r="D774" t="s">
        <v>510</v>
      </c>
      <c r="E774" s="16">
        <v>45643.526805555557</v>
      </c>
      <c r="F774">
        <v>3</v>
      </c>
    </row>
    <row r="775" spans="1:6" x14ac:dyDescent="0.2">
      <c r="A775">
        <v>3583</v>
      </c>
      <c r="B775" t="s">
        <v>97</v>
      </c>
      <c r="C775" t="s">
        <v>449</v>
      </c>
      <c r="D775" t="s">
        <v>499</v>
      </c>
      <c r="E775" s="16">
        <v>45701.310254629629</v>
      </c>
      <c r="F775">
        <v>3</v>
      </c>
    </row>
    <row r="776" spans="1:6" x14ac:dyDescent="0.2">
      <c r="A776">
        <v>3251</v>
      </c>
      <c r="B776" t="s">
        <v>150</v>
      </c>
      <c r="C776" t="s">
        <v>474</v>
      </c>
      <c r="D776" t="s">
        <v>544</v>
      </c>
      <c r="E776" s="16">
        <v>45629.388518518521</v>
      </c>
      <c r="F776">
        <v>3</v>
      </c>
    </row>
    <row r="777" spans="1:6" x14ac:dyDescent="0.2">
      <c r="A777">
        <v>3674</v>
      </c>
      <c r="B777" t="s">
        <v>292</v>
      </c>
      <c r="C777" t="s">
        <v>521</v>
      </c>
      <c r="D777" t="s">
        <v>525</v>
      </c>
      <c r="E777" s="16">
        <v>45929.785833333335</v>
      </c>
      <c r="F777">
        <v>3</v>
      </c>
    </row>
    <row r="778" spans="1:6" x14ac:dyDescent="0.2">
      <c r="A778">
        <v>2624</v>
      </c>
      <c r="B778" t="s">
        <v>155</v>
      </c>
      <c r="C778" t="s">
        <v>474</v>
      </c>
      <c r="D778" t="s">
        <v>544</v>
      </c>
      <c r="E778" s="16">
        <v>45662.531238425923</v>
      </c>
      <c r="F778">
        <v>3</v>
      </c>
    </row>
    <row r="779" spans="1:6" x14ac:dyDescent="0.2">
      <c r="A779">
        <v>3686</v>
      </c>
      <c r="B779" t="s">
        <v>233</v>
      </c>
      <c r="C779" t="s">
        <v>449</v>
      </c>
      <c r="D779" t="s">
        <v>499</v>
      </c>
      <c r="E779" s="16">
        <v>45944.226261574076</v>
      </c>
      <c r="F779">
        <v>3</v>
      </c>
    </row>
    <row r="780" spans="1:6" x14ac:dyDescent="0.2">
      <c r="A780">
        <v>2073</v>
      </c>
      <c r="B780" t="s">
        <v>58</v>
      </c>
      <c r="C780" t="s">
        <v>474</v>
      </c>
      <c r="D780" t="s">
        <v>535</v>
      </c>
      <c r="E780" s="16">
        <v>45635.71837962963</v>
      </c>
      <c r="F780">
        <v>3</v>
      </c>
    </row>
    <row r="781" spans="1:6" x14ac:dyDescent="0.2">
      <c r="A781">
        <v>32</v>
      </c>
      <c r="B781" t="s">
        <v>451</v>
      </c>
      <c r="C781" t="s">
        <v>518</v>
      </c>
      <c r="D781" t="s">
        <v>519</v>
      </c>
      <c r="E781" s="16">
        <v>45945.965925925928</v>
      </c>
      <c r="F781">
        <v>3</v>
      </c>
    </row>
    <row r="782" spans="1:6" x14ac:dyDescent="0.2">
      <c r="A782">
        <v>2073</v>
      </c>
      <c r="B782" t="s">
        <v>58</v>
      </c>
      <c r="C782" t="s">
        <v>474</v>
      </c>
      <c r="D782" t="s">
        <v>545</v>
      </c>
      <c r="E782" s="16">
        <v>45635.71837962963</v>
      </c>
      <c r="F782">
        <v>3</v>
      </c>
    </row>
    <row r="783" spans="1:6" x14ac:dyDescent="0.2">
      <c r="A783">
        <v>3676</v>
      </c>
      <c r="B783" t="s">
        <v>239</v>
      </c>
      <c r="C783" t="s">
        <v>449</v>
      </c>
      <c r="D783" t="s">
        <v>499</v>
      </c>
      <c r="E783" s="16">
        <v>45903.526018518518</v>
      </c>
      <c r="F783">
        <v>3</v>
      </c>
    </row>
    <row r="784" spans="1:6" x14ac:dyDescent="0.2">
      <c r="A784">
        <v>3606</v>
      </c>
      <c r="B784" t="s">
        <v>265</v>
      </c>
      <c r="C784" t="s">
        <v>449</v>
      </c>
      <c r="D784" t="s">
        <v>515</v>
      </c>
      <c r="E784" s="16">
        <v>45747.736527777779</v>
      </c>
      <c r="F784">
        <v>3</v>
      </c>
    </row>
    <row r="785" spans="1:6" x14ac:dyDescent="0.2">
      <c r="A785">
        <v>3645</v>
      </c>
      <c r="B785" t="s">
        <v>320</v>
      </c>
      <c r="C785" t="s">
        <v>449</v>
      </c>
      <c r="D785" t="s">
        <v>499</v>
      </c>
      <c r="E785" s="16">
        <v>45809.574849537035</v>
      </c>
      <c r="F785">
        <v>3</v>
      </c>
    </row>
    <row r="786" spans="1:6" x14ac:dyDescent="0.2">
      <c r="A786">
        <v>3606</v>
      </c>
      <c r="B786" t="s">
        <v>265</v>
      </c>
      <c r="C786" t="s">
        <v>521</v>
      </c>
      <c r="D786" t="s">
        <v>528</v>
      </c>
      <c r="E786" s="16">
        <v>45760.847326388888</v>
      </c>
      <c r="F786">
        <v>3</v>
      </c>
    </row>
    <row r="787" spans="1:6" x14ac:dyDescent="0.2">
      <c r="A787">
        <v>3476</v>
      </c>
      <c r="B787" t="s">
        <v>73</v>
      </c>
      <c r="C787" t="s">
        <v>449</v>
      </c>
      <c r="D787" t="s">
        <v>499</v>
      </c>
      <c r="E787" s="16">
        <v>45960.609247685185</v>
      </c>
      <c r="F787">
        <v>3</v>
      </c>
    </row>
    <row r="788" spans="1:6" x14ac:dyDescent="0.2">
      <c r="A788">
        <v>2780</v>
      </c>
      <c r="B788" t="s">
        <v>71</v>
      </c>
      <c r="C788" t="s">
        <v>436</v>
      </c>
      <c r="D788" t="s">
        <v>506</v>
      </c>
      <c r="E788" s="16">
        <v>45789.511018518519</v>
      </c>
      <c r="F788">
        <v>3</v>
      </c>
    </row>
    <row r="789" spans="1:6" x14ac:dyDescent="0.2">
      <c r="A789">
        <v>3694</v>
      </c>
      <c r="B789" t="s">
        <v>614</v>
      </c>
      <c r="C789" t="s">
        <v>449</v>
      </c>
      <c r="D789" t="s">
        <v>499</v>
      </c>
      <c r="E789" s="16">
        <v>45967.204062500001</v>
      </c>
      <c r="F789">
        <v>3</v>
      </c>
    </row>
    <row r="790" spans="1:6" x14ac:dyDescent="0.2">
      <c r="A790">
        <v>3637</v>
      </c>
      <c r="B790" t="s">
        <v>304</v>
      </c>
      <c r="C790" t="s">
        <v>449</v>
      </c>
      <c r="D790" t="s">
        <v>515</v>
      </c>
      <c r="E790" s="16">
        <v>45788.750347222223</v>
      </c>
      <c r="F790">
        <v>3</v>
      </c>
    </row>
    <row r="791" spans="1:6" x14ac:dyDescent="0.2">
      <c r="A791">
        <v>86</v>
      </c>
      <c r="B791" t="s">
        <v>163</v>
      </c>
      <c r="C791" t="s">
        <v>518</v>
      </c>
      <c r="D791" t="s">
        <v>519</v>
      </c>
      <c r="E791" s="16">
        <v>45643.52679398148</v>
      </c>
      <c r="F791">
        <v>3</v>
      </c>
    </row>
    <row r="792" spans="1:6" x14ac:dyDescent="0.2">
      <c r="A792">
        <v>3640</v>
      </c>
      <c r="B792" t="s">
        <v>248</v>
      </c>
      <c r="C792" t="s">
        <v>449</v>
      </c>
      <c r="D792" t="s">
        <v>515</v>
      </c>
      <c r="E792" s="16">
        <v>45792.227685185186</v>
      </c>
      <c r="F792">
        <v>3</v>
      </c>
    </row>
    <row r="793" spans="1:6" x14ac:dyDescent="0.2">
      <c r="A793">
        <v>3476</v>
      </c>
      <c r="B793" t="s">
        <v>73</v>
      </c>
      <c r="C793" t="s">
        <v>474</v>
      </c>
      <c r="D793" t="s">
        <v>536</v>
      </c>
      <c r="E793" s="16">
        <v>45629.370208333334</v>
      </c>
      <c r="F793">
        <v>3</v>
      </c>
    </row>
    <row r="794" spans="1:6" x14ac:dyDescent="0.2">
      <c r="A794">
        <v>3019</v>
      </c>
      <c r="B794" t="s">
        <v>176</v>
      </c>
      <c r="C794" t="s">
        <v>438</v>
      </c>
      <c r="D794" t="s">
        <v>500</v>
      </c>
      <c r="E794" s="16">
        <v>45810.45721064815</v>
      </c>
      <c r="F794">
        <v>3</v>
      </c>
    </row>
    <row r="795" spans="1:6" x14ac:dyDescent="0.2">
      <c r="A795">
        <v>3444</v>
      </c>
      <c r="B795" t="s">
        <v>104</v>
      </c>
      <c r="C795" t="s">
        <v>474</v>
      </c>
      <c r="D795" t="s">
        <v>536</v>
      </c>
      <c r="E795" s="16">
        <v>45630.399351851855</v>
      </c>
      <c r="F795">
        <v>3</v>
      </c>
    </row>
    <row r="796" spans="1:6" x14ac:dyDescent="0.2">
      <c r="A796">
        <v>3621</v>
      </c>
      <c r="B796" t="s">
        <v>263</v>
      </c>
      <c r="C796" t="s">
        <v>449</v>
      </c>
      <c r="D796" t="s">
        <v>515</v>
      </c>
      <c r="E796" s="16">
        <v>45766.265474537038</v>
      </c>
      <c r="F796">
        <v>3</v>
      </c>
    </row>
    <row r="797" spans="1:6" x14ac:dyDescent="0.2">
      <c r="A797">
        <v>3289</v>
      </c>
      <c r="B797" t="s">
        <v>21</v>
      </c>
      <c r="C797" t="s">
        <v>474</v>
      </c>
      <c r="D797" t="s">
        <v>536</v>
      </c>
      <c r="E797" s="16">
        <v>45630.415625000001</v>
      </c>
      <c r="F797">
        <v>3</v>
      </c>
    </row>
    <row r="798" spans="1:6" x14ac:dyDescent="0.2">
      <c r="A798">
        <v>3600</v>
      </c>
      <c r="B798" t="s">
        <v>258</v>
      </c>
      <c r="C798" t="s">
        <v>449</v>
      </c>
      <c r="D798" t="s">
        <v>515</v>
      </c>
      <c r="E798" s="16">
        <v>45741.256435185183</v>
      </c>
      <c r="F798">
        <v>3</v>
      </c>
    </row>
    <row r="799" spans="1:6" x14ac:dyDescent="0.2">
      <c r="A799">
        <v>3097</v>
      </c>
      <c r="B799" t="s">
        <v>143</v>
      </c>
      <c r="C799" t="s">
        <v>474</v>
      </c>
      <c r="D799" t="s">
        <v>536</v>
      </c>
      <c r="E799" s="16">
        <v>45631.293680555558</v>
      </c>
      <c r="F799">
        <v>3</v>
      </c>
    </row>
    <row r="800" spans="1:6" x14ac:dyDescent="0.2">
      <c r="A800">
        <v>3649</v>
      </c>
      <c r="B800" t="s">
        <v>312</v>
      </c>
      <c r="C800" t="s">
        <v>521</v>
      </c>
      <c r="D800" t="s">
        <v>528</v>
      </c>
      <c r="E800" s="16">
        <v>45853.616527777776</v>
      </c>
      <c r="F800">
        <v>3</v>
      </c>
    </row>
    <row r="801" spans="1:6" x14ac:dyDescent="0.2">
      <c r="A801">
        <v>3519</v>
      </c>
      <c r="B801" t="s">
        <v>117</v>
      </c>
      <c r="C801" t="s">
        <v>438</v>
      </c>
      <c r="D801" t="s">
        <v>501</v>
      </c>
      <c r="E801" s="16">
        <v>45614.821400462963</v>
      </c>
      <c r="F801">
        <v>3</v>
      </c>
    </row>
    <row r="802" spans="1:6" x14ac:dyDescent="0.2">
      <c r="A802">
        <v>3624</v>
      </c>
      <c r="B802" t="s">
        <v>302</v>
      </c>
      <c r="C802" t="s">
        <v>449</v>
      </c>
      <c r="D802" t="s">
        <v>515</v>
      </c>
      <c r="E802" s="16">
        <v>45773.703344907408</v>
      </c>
      <c r="F802">
        <v>3</v>
      </c>
    </row>
    <row r="803" spans="1:6" x14ac:dyDescent="0.2">
      <c r="A803">
        <v>3253</v>
      </c>
      <c r="B803" t="s">
        <v>184</v>
      </c>
      <c r="C803" t="s">
        <v>474</v>
      </c>
      <c r="D803" t="s">
        <v>536</v>
      </c>
      <c r="E803" s="16">
        <v>45630.389374999999</v>
      </c>
      <c r="F803">
        <v>3</v>
      </c>
    </row>
    <row r="804" spans="1:6" x14ac:dyDescent="0.2">
      <c r="A804">
        <v>3656</v>
      </c>
      <c r="B804" t="s">
        <v>259</v>
      </c>
      <c r="C804" t="s">
        <v>449</v>
      </c>
      <c r="D804" t="s">
        <v>515</v>
      </c>
      <c r="E804" s="16">
        <v>45857.830833333333</v>
      </c>
      <c r="F804">
        <v>3</v>
      </c>
    </row>
    <row r="805" spans="1:6" x14ac:dyDescent="0.2">
      <c r="A805">
        <v>3196</v>
      </c>
      <c r="B805" t="s">
        <v>46</v>
      </c>
      <c r="C805" t="s">
        <v>449</v>
      </c>
      <c r="D805" t="s">
        <v>520</v>
      </c>
      <c r="E805" s="16">
        <v>45668.362986111111</v>
      </c>
      <c r="F805">
        <v>3</v>
      </c>
    </row>
    <row r="806" spans="1:6" x14ac:dyDescent="0.2">
      <c r="A806">
        <v>3660</v>
      </c>
      <c r="B806" t="s">
        <v>285</v>
      </c>
      <c r="C806" t="s">
        <v>449</v>
      </c>
      <c r="D806" t="s">
        <v>515</v>
      </c>
      <c r="E806" s="16">
        <v>45874.465428240743</v>
      </c>
      <c r="F806">
        <v>3</v>
      </c>
    </row>
    <row r="807" spans="1:6" x14ac:dyDescent="0.2">
      <c r="A807">
        <v>3584</v>
      </c>
      <c r="B807" t="s">
        <v>57</v>
      </c>
      <c r="C807" t="s">
        <v>449</v>
      </c>
      <c r="D807" t="s">
        <v>499</v>
      </c>
      <c r="E807" s="16">
        <v>45701.760092592594</v>
      </c>
      <c r="F807">
        <v>3</v>
      </c>
    </row>
    <row r="808" spans="1:6" x14ac:dyDescent="0.2">
      <c r="A808">
        <v>3665</v>
      </c>
      <c r="B808" t="s">
        <v>222</v>
      </c>
      <c r="C808" t="s">
        <v>449</v>
      </c>
      <c r="D808" t="s">
        <v>515</v>
      </c>
      <c r="E808" s="16">
        <v>45875.514004629629</v>
      </c>
      <c r="F808">
        <v>3</v>
      </c>
    </row>
    <row r="809" spans="1:6" x14ac:dyDescent="0.2">
      <c r="A809">
        <v>3598</v>
      </c>
      <c r="B809" t="s">
        <v>318</v>
      </c>
      <c r="C809" t="s">
        <v>449</v>
      </c>
      <c r="D809" t="s">
        <v>499</v>
      </c>
      <c r="E809" s="16">
        <v>45734.572442129633</v>
      </c>
      <c r="F809">
        <v>3</v>
      </c>
    </row>
    <row r="810" spans="1:6" x14ac:dyDescent="0.2">
      <c r="A810">
        <v>3664</v>
      </c>
      <c r="B810" t="s">
        <v>313</v>
      </c>
      <c r="C810" t="s">
        <v>521</v>
      </c>
      <c r="D810" t="s">
        <v>528</v>
      </c>
      <c r="E810" s="16">
        <v>45887.290289351855</v>
      </c>
      <c r="F810">
        <v>3</v>
      </c>
    </row>
    <row r="811" spans="1:6" x14ac:dyDescent="0.2">
      <c r="A811">
        <v>3597</v>
      </c>
      <c r="B811" t="s">
        <v>319</v>
      </c>
      <c r="C811" t="s">
        <v>449</v>
      </c>
      <c r="D811" t="s">
        <v>520</v>
      </c>
      <c r="E811" s="16">
        <v>45740.318032407406</v>
      </c>
      <c r="F811">
        <v>3</v>
      </c>
    </row>
    <row r="812" spans="1:6" x14ac:dyDescent="0.2">
      <c r="A812">
        <v>3583</v>
      </c>
      <c r="B812" t="s">
        <v>97</v>
      </c>
      <c r="C812" t="s">
        <v>449</v>
      </c>
      <c r="D812" t="s">
        <v>515</v>
      </c>
      <c r="E812" s="16">
        <v>45701.310254629629</v>
      </c>
      <c r="F812">
        <v>3</v>
      </c>
    </row>
    <row r="813" spans="1:6" x14ac:dyDescent="0.2">
      <c r="A813">
        <v>3599</v>
      </c>
      <c r="B813" t="s">
        <v>281</v>
      </c>
      <c r="C813" t="s">
        <v>449</v>
      </c>
      <c r="D813" t="s">
        <v>499</v>
      </c>
      <c r="E813" s="16">
        <v>45740.450844907406</v>
      </c>
      <c r="F813">
        <v>3</v>
      </c>
    </row>
    <row r="814" spans="1:6" x14ac:dyDescent="0.2">
      <c r="A814">
        <v>3576</v>
      </c>
      <c r="B814" t="s">
        <v>75</v>
      </c>
      <c r="C814" t="s">
        <v>521</v>
      </c>
      <c r="D814" t="s">
        <v>528</v>
      </c>
      <c r="E814" s="16">
        <v>45899.389733796299</v>
      </c>
      <c r="F814">
        <v>3</v>
      </c>
    </row>
    <row r="815" spans="1:6" x14ac:dyDescent="0.2">
      <c r="A815">
        <v>3602</v>
      </c>
      <c r="B815" t="s">
        <v>297</v>
      </c>
      <c r="C815" t="s">
        <v>449</v>
      </c>
      <c r="D815" t="s">
        <v>499</v>
      </c>
      <c r="E815" s="16">
        <v>45742.269328703704</v>
      </c>
      <c r="F815">
        <v>3</v>
      </c>
    </row>
    <row r="816" spans="1:6" x14ac:dyDescent="0.2">
      <c r="A816">
        <v>3674</v>
      </c>
      <c r="B816" t="s">
        <v>292</v>
      </c>
      <c r="C816" t="s">
        <v>521</v>
      </c>
      <c r="D816" t="s">
        <v>526</v>
      </c>
      <c r="E816" s="16">
        <v>45902.531527777777</v>
      </c>
      <c r="F816">
        <v>3</v>
      </c>
    </row>
    <row r="817" spans="1:6" x14ac:dyDescent="0.2">
      <c r="A817">
        <v>3610</v>
      </c>
      <c r="B817" t="s">
        <v>305</v>
      </c>
      <c r="C817" t="s">
        <v>449</v>
      </c>
      <c r="D817" t="s">
        <v>520</v>
      </c>
      <c r="E817" s="16">
        <v>45754.53193287037</v>
      </c>
      <c r="F817">
        <v>3</v>
      </c>
    </row>
    <row r="818" spans="1:6" x14ac:dyDescent="0.2">
      <c r="A818">
        <v>2968</v>
      </c>
      <c r="B818" t="s">
        <v>201</v>
      </c>
      <c r="C818" t="s">
        <v>438</v>
      </c>
      <c r="D818" t="s">
        <v>500</v>
      </c>
      <c r="E818" s="16">
        <v>45903.418692129628</v>
      </c>
      <c r="F818">
        <v>3</v>
      </c>
    </row>
    <row r="819" spans="1:6" x14ac:dyDescent="0.2">
      <c r="A819">
        <v>3615</v>
      </c>
      <c r="B819" t="s">
        <v>236</v>
      </c>
      <c r="C819" t="s">
        <v>449</v>
      </c>
      <c r="D819" t="s">
        <v>520</v>
      </c>
      <c r="E819" s="16">
        <v>45757.442048611112</v>
      </c>
      <c r="F819">
        <v>3</v>
      </c>
    </row>
    <row r="820" spans="1:6" x14ac:dyDescent="0.2">
      <c r="A820">
        <v>2582</v>
      </c>
      <c r="B820" t="s">
        <v>85</v>
      </c>
      <c r="C820" t="s">
        <v>521</v>
      </c>
      <c r="D820" t="s">
        <v>528</v>
      </c>
      <c r="E820" s="16">
        <v>45915.38621527778</v>
      </c>
      <c r="F820">
        <v>3</v>
      </c>
    </row>
    <row r="821" spans="1:6" x14ac:dyDescent="0.2">
      <c r="A821">
        <v>3112</v>
      </c>
      <c r="B821" t="s">
        <v>88</v>
      </c>
      <c r="C821" t="s">
        <v>474</v>
      </c>
      <c r="D821" t="s">
        <v>538</v>
      </c>
      <c r="E821" s="16">
        <v>45758.384733796294</v>
      </c>
      <c r="F821">
        <v>3</v>
      </c>
    </row>
    <row r="822" spans="1:6" x14ac:dyDescent="0.2">
      <c r="A822">
        <v>2582</v>
      </c>
      <c r="B822" t="s">
        <v>85</v>
      </c>
      <c r="C822" t="s">
        <v>521</v>
      </c>
      <c r="D822" t="s">
        <v>526</v>
      </c>
      <c r="E822" s="16">
        <v>45915.38621527778</v>
      </c>
      <c r="F822">
        <v>3</v>
      </c>
    </row>
    <row r="823" spans="1:6" x14ac:dyDescent="0.2">
      <c r="A823">
        <v>3625</v>
      </c>
      <c r="B823" t="s">
        <v>276</v>
      </c>
      <c r="C823" t="s">
        <v>449</v>
      </c>
      <c r="D823" t="s">
        <v>499</v>
      </c>
      <c r="E823" s="16">
        <v>45773.707280092596</v>
      </c>
      <c r="F823">
        <v>3</v>
      </c>
    </row>
    <row r="824" spans="1:6" x14ac:dyDescent="0.2">
      <c r="A824">
        <v>3681</v>
      </c>
      <c r="B824" t="s">
        <v>289</v>
      </c>
      <c r="C824" t="s">
        <v>449</v>
      </c>
      <c r="D824" t="s">
        <v>515</v>
      </c>
      <c r="E824" s="16">
        <v>45919.730474537035</v>
      </c>
      <c r="F824">
        <v>3</v>
      </c>
    </row>
    <row r="825" spans="1:6" x14ac:dyDescent="0.2">
      <c r="A825">
        <v>3564</v>
      </c>
      <c r="B825" t="s">
        <v>84</v>
      </c>
      <c r="C825" t="s">
        <v>438</v>
      </c>
      <c r="D825" t="s">
        <v>501</v>
      </c>
      <c r="E825" s="16">
        <v>45788.70815972222</v>
      </c>
      <c r="F825">
        <v>3</v>
      </c>
    </row>
    <row r="826" spans="1:6" x14ac:dyDescent="0.2">
      <c r="A826">
        <v>3662</v>
      </c>
      <c r="B826" t="s">
        <v>250</v>
      </c>
      <c r="C826" t="s">
        <v>449</v>
      </c>
      <c r="D826" t="s">
        <v>515</v>
      </c>
      <c r="E826" s="16">
        <v>45874.469988425924</v>
      </c>
      <c r="F826">
        <v>3</v>
      </c>
    </row>
    <row r="827" spans="1:6" x14ac:dyDescent="0.2">
      <c r="A827">
        <v>3640</v>
      </c>
      <c r="B827" t="s">
        <v>248</v>
      </c>
      <c r="C827" t="s">
        <v>449</v>
      </c>
      <c r="D827" t="s">
        <v>499</v>
      </c>
      <c r="E827" s="16">
        <v>45792.227685185186</v>
      </c>
      <c r="F827">
        <v>3</v>
      </c>
    </row>
    <row r="828" spans="1:6" x14ac:dyDescent="0.2">
      <c r="A828">
        <v>3594</v>
      </c>
      <c r="B828" t="s">
        <v>315</v>
      </c>
      <c r="C828" t="s">
        <v>449</v>
      </c>
      <c r="D828" t="s">
        <v>515</v>
      </c>
      <c r="E828" s="16">
        <v>45722.436562499999</v>
      </c>
      <c r="F828">
        <v>3</v>
      </c>
    </row>
    <row r="829" spans="1:6" x14ac:dyDescent="0.2">
      <c r="A829">
        <v>3632</v>
      </c>
      <c r="B829" t="s">
        <v>238</v>
      </c>
      <c r="C829" t="s">
        <v>449</v>
      </c>
      <c r="D829" t="s">
        <v>499</v>
      </c>
      <c r="E829" s="16">
        <v>45783.904733796298</v>
      </c>
      <c r="F829">
        <v>3</v>
      </c>
    </row>
    <row r="830" spans="1:6" x14ac:dyDescent="0.2">
      <c r="A830">
        <v>32</v>
      </c>
      <c r="B830" t="s">
        <v>451</v>
      </c>
      <c r="C830" t="s">
        <v>436</v>
      </c>
      <c r="D830" t="s">
        <v>517</v>
      </c>
      <c r="E830" s="16">
        <v>45945.965925925928</v>
      </c>
      <c r="F830">
        <v>3</v>
      </c>
    </row>
    <row r="831" spans="1:6" x14ac:dyDescent="0.2">
      <c r="A831">
        <v>3621</v>
      </c>
      <c r="B831" t="s">
        <v>263</v>
      </c>
      <c r="C831" t="s">
        <v>438</v>
      </c>
      <c r="D831" t="s">
        <v>501</v>
      </c>
      <c r="E831" s="16">
        <v>45770.455300925925</v>
      </c>
      <c r="F831">
        <v>3</v>
      </c>
    </row>
    <row r="832" spans="1:6" x14ac:dyDescent="0.2">
      <c r="A832">
        <v>3691</v>
      </c>
      <c r="B832" t="s">
        <v>300</v>
      </c>
      <c r="C832" t="s">
        <v>449</v>
      </c>
      <c r="D832" t="s">
        <v>515</v>
      </c>
      <c r="E832" s="16">
        <v>45955.134247685186</v>
      </c>
      <c r="F832">
        <v>3</v>
      </c>
    </row>
    <row r="833" spans="1:6" x14ac:dyDescent="0.2">
      <c r="A833">
        <v>3647</v>
      </c>
      <c r="B833" t="s">
        <v>310</v>
      </c>
      <c r="C833" t="s">
        <v>449</v>
      </c>
      <c r="D833" t="s">
        <v>520</v>
      </c>
      <c r="E833" s="16">
        <v>45824.300173611111</v>
      </c>
      <c r="F833">
        <v>3</v>
      </c>
    </row>
    <row r="834" spans="1:6" x14ac:dyDescent="0.2">
      <c r="A834">
        <v>3696</v>
      </c>
      <c r="B834" t="s">
        <v>613</v>
      </c>
      <c r="C834" t="s">
        <v>449</v>
      </c>
      <c r="D834" t="s">
        <v>515</v>
      </c>
      <c r="E834" s="16">
        <v>45967.217557870368</v>
      </c>
      <c r="F834">
        <v>3</v>
      </c>
    </row>
    <row r="835" spans="1:6" x14ac:dyDescent="0.2">
      <c r="A835">
        <v>3649</v>
      </c>
      <c r="B835" t="s">
        <v>312</v>
      </c>
      <c r="C835" t="s">
        <v>449</v>
      </c>
      <c r="D835" t="s">
        <v>520</v>
      </c>
      <c r="E835" s="16">
        <v>45848.301365740743</v>
      </c>
      <c r="F835">
        <v>3</v>
      </c>
    </row>
    <row r="836" spans="1:6" x14ac:dyDescent="0.2">
      <c r="A836">
        <v>2727</v>
      </c>
      <c r="B836" t="s">
        <v>160</v>
      </c>
      <c r="C836" t="s">
        <v>474</v>
      </c>
      <c r="D836" t="s">
        <v>531</v>
      </c>
      <c r="E836" s="16">
        <v>45630.348402777781</v>
      </c>
      <c r="F836">
        <v>3</v>
      </c>
    </row>
    <row r="837" spans="1:6" x14ac:dyDescent="0.2">
      <c r="A837">
        <v>3660</v>
      </c>
      <c r="B837" t="s">
        <v>285</v>
      </c>
      <c r="C837" t="s">
        <v>449</v>
      </c>
      <c r="D837" t="s">
        <v>520</v>
      </c>
      <c r="E837" s="16">
        <v>45874.62295138889</v>
      </c>
      <c r="F837">
        <v>3</v>
      </c>
    </row>
    <row r="838" spans="1:6" x14ac:dyDescent="0.2">
      <c r="A838">
        <v>2577</v>
      </c>
      <c r="B838" t="s">
        <v>130</v>
      </c>
      <c r="C838" t="s">
        <v>474</v>
      </c>
      <c r="D838" t="s">
        <v>531</v>
      </c>
      <c r="E838" s="16">
        <v>45635.408217592594</v>
      </c>
      <c r="F838">
        <v>3</v>
      </c>
    </row>
    <row r="839" spans="1:6" x14ac:dyDescent="0.2">
      <c r="A839">
        <v>3664</v>
      </c>
      <c r="B839" t="s">
        <v>313</v>
      </c>
      <c r="C839" t="s">
        <v>449</v>
      </c>
      <c r="D839" t="s">
        <v>499</v>
      </c>
      <c r="E839" s="16">
        <v>45875.51190972222</v>
      </c>
      <c r="F839">
        <v>3</v>
      </c>
    </row>
    <row r="840" spans="1:6" x14ac:dyDescent="0.2">
      <c r="A840">
        <v>3403</v>
      </c>
      <c r="B840" t="s">
        <v>133</v>
      </c>
      <c r="C840" t="s">
        <v>474</v>
      </c>
      <c r="D840" t="s">
        <v>545</v>
      </c>
      <c r="E840" s="16">
        <v>45635.509976851848</v>
      </c>
      <c r="F840">
        <v>3</v>
      </c>
    </row>
    <row r="841" spans="1:6" x14ac:dyDescent="0.2">
      <c r="A841">
        <v>3568</v>
      </c>
      <c r="B841" t="s">
        <v>210</v>
      </c>
      <c r="C841" t="s">
        <v>438</v>
      </c>
      <c r="D841" t="s">
        <v>501</v>
      </c>
      <c r="E841" s="16">
        <v>45684.498715277776</v>
      </c>
      <c r="F841">
        <v>3</v>
      </c>
    </row>
    <row r="842" spans="1:6" x14ac:dyDescent="0.2">
      <c r="A842">
        <v>2629</v>
      </c>
      <c r="B842" t="s">
        <v>63</v>
      </c>
      <c r="C842" t="s">
        <v>474</v>
      </c>
      <c r="D842" t="s">
        <v>535</v>
      </c>
      <c r="E842" s="16">
        <v>45630.395624999997</v>
      </c>
      <c r="F842">
        <v>3</v>
      </c>
    </row>
    <row r="843" spans="1:6" x14ac:dyDescent="0.2">
      <c r="A843">
        <v>3674</v>
      </c>
      <c r="B843" t="s">
        <v>292</v>
      </c>
      <c r="C843" t="s">
        <v>449</v>
      </c>
      <c r="D843" t="s">
        <v>499</v>
      </c>
      <c r="E843" s="16">
        <v>45892.804606481484</v>
      </c>
      <c r="F843">
        <v>3</v>
      </c>
    </row>
    <row r="844" spans="1:6" x14ac:dyDescent="0.2">
      <c r="A844">
        <v>2465</v>
      </c>
      <c r="B844" t="s">
        <v>129</v>
      </c>
      <c r="C844" t="s">
        <v>474</v>
      </c>
      <c r="D844" t="s">
        <v>531</v>
      </c>
      <c r="E844" s="16">
        <v>45631.290011574078</v>
      </c>
      <c r="F844">
        <v>3</v>
      </c>
    </row>
    <row r="845" spans="1:6" x14ac:dyDescent="0.2">
      <c r="A845">
        <v>3681</v>
      </c>
      <c r="B845" t="s">
        <v>289</v>
      </c>
      <c r="C845" t="s">
        <v>449</v>
      </c>
      <c r="D845" t="s">
        <v>499</v>
      </c>
      <c r="E845" s="16">
        <v>45919.730474537035</v>
      </c>
      <c r="F845">
        <v>3</v>
      </c>
    </row>
    <row r="846" spans="1:6" x14ac:dyDescent="0.2">
      <c r="A846">
        <v>3251</v>
      </c>
      <c r="B846" t="s">
        <v>150</v>
      </c>
      <c r="C846" t="s">
        <v>474</v>
      </c>
      <c r="D846" t="s">
        <v>535</v>
      </c>
      <c r="E846" s="16">
        <v>45629.388518518521</v>
      </c>
      <c r="F846">
        <v>3</v>
      </c>
    </row>
    <row r="847" spans="1:6" x14ac:dyDescent="0.2">
      <c r="A847">
        <v>3691</v>
      </c>
      <c r="B847" t="s">
        <v>300</v>
      </c>
      <c r="C847" t="s">
        <v>449</v>
      </c>
      <c r="D847" t="s">
        <v>499</v>
      </c>
      <c r="E847" s="16">
        <v>45955.134247685186</v>
      </c>
      <c r="F847">
        <v>3</v>
      </c>
    </row>
    <row r="848" spans="1:6" x14ac:dyDescent="0.2">
      <c r="A848">
        <v>3410</v>
      </c>
      <c r="B848" t="s">
        <v>43</v>
      </c>
      <c r="C848" t="s">
        <v>474</v>
      </c>
      <c r="D848" t="s">
        <v>545</v>
      </c>
      <c r="E848" s="16">
        <v>45631.268576388888</v>
      </c>
      <c r="F848">
        <v>3</v>
      </c>
    </row>
    <row r="849" spans="1:6" x14ac:dyDescent="0.2">
      <c r="A849">
        <v>3688</v>
      </c>
      <c r="B849" t="s">
        <v>303</v>
      </c>
      <c r="C849" t="s">
        <v>449</v>
      </c>
      <c r="D849" t="s">
        <v>499</v>
      </c>
      <c r="E849" s="16">
        <v>45949.258333333331</v>
      </c>
      <c r="F849">
        <v>3</v>
      </c>
    </row>
    <row r="850" spans="1:6" x14ac:dyDescent="0.2">
      <c r="A850">
        <v>3474</v>
      </c>
      <c r="B850" t="s">
        <v>121</v>
      </c>
      <c r="C850" t="s">
        <v>474</v>
      </c>
      <c r="D850" t="s">
        <v>535</v>
      </c>
      <c r="E850" s="16">
        <v>45631.289571759262</v>
      </c>
      <c r="F850">
        <v>3</v>
      </c>
    </row>
    <row r="851" spans="1:6" x14ac:dyDescent="0.2">
      <c r="A851">
        <v>3692</v>
      </c>
      <c r="B851" t="s">
        <v>291</v>
      </c>
      <c r="C851" t="s">
        <v>449</v>
      </c>
      <c r="D851" t="s">
        <v>499</v>
      </c>
      <c r="E851" s="16">
        <v>45962.254699074074</v>
      </c>
      <c r="F851">
        <v>3</v>
      </c>
    </row>
    <row r="852" spans="1:6" x14ac:dyDescent="0.2">
      <c r="A852">
        <v>3335</v>
      </c>
      <c r="B852" t="s">
        <v>32</v>
      </c>
      <c r="C852" t="s">
        <v>474</v>
      </c>
      <c r="D852" t="s">
        <v>544</v>
      </c>
      <c r="E852" s="16">
        <v>45629.366666666669</v>
      </c>
      <c r="F852">
        <v>3</v>
      </c>
    </row>
    <row r="853" spans="1:6" x14ac:dyDescent="0.2">
      <c r="A853">
        <v>2556</v>
      </c>
      <c r="B853" t="s">
        <v>98</v>
      </c>
      <c r="C853" t="s">
        <v>474</v>
      </c>
      <c r="D853" t="s">
        <v>536</v>
      </c>
      <c r="E853" s="16">
        <v>45629.375358796293</v>
      </c>
      <c r="F853">
        <v>3</v>
      </c>
    </row>
    <row r="854" spans="1:6" x14ac:dyDescent="0.2">
      <c r="A854">
        <v>3251</v>
      </c>
      <c r="B854" t="s">
        <v>150</v>
      </c>
      <c r="C854" t="s">
        <v>474</v>
      </c>
      <c r="D854" t="s">
        <v>531</v>
      </c>
      <c r="E854" s="16">
        <v>45629.388518518521</v>
      </c>
      <c r="F854">
        <v>3</v>
      </c>
    </row>
    <row r="855" spans="1:6" x14ac:dyDescent="0.2">
      <c r="A855">
        <v>2727</v>
      </c>
      <c r="B855" t="s">
        <v>160</v>
      </c>
      <c r="C855" t="s">
        <v>474</v>
      </c>
      <c r="D855" t="s">
        <v>536</v>
      </c>
      <c r="E855" s="16">
        <v>45630.348402777781</v>
      </c>
      <c r="F855">
        <v>3</v>
      </c>
    </row>
    <row r="856" spans="1:6" x14ac:dyDescent="0.2">
      <c r="A856">
        <v>2727</v>
      </c>
      <c r="B856" t="s">
        <v>160</v>
      </c>
      <c r="C856" t="s">
        <v>474</v>
      </c>
      <c r="D856" t="s">
        <v>545</v>
      </c>
      <c r="E856" s="16">
        <v>45630.348402777781</v>
      </c>
      <c r="F856">
        <v>3</v>
      </c>
    </row>
    <row r="857" spans="1:6" x14ac:dyDescent="0.2">
      <c r="A857">
        <v>2577</v>
      </c>
      <c r="B857" t="s">
        <v>130</v>
      </c>
      <c r="C857" t="s">
        <v>474</v>
      </c>
      <c r="D857" t="s">
        <v>536</v>
      </c>
      <c r="E857" s="16">
        <v>45635.408217592594</v>
      </c>
      <c r="F857">
        <v>3</v>
      </c>
    </row>
    <row r="858" spans="1:6" x14ac:dyDescent="0.2">
      <c r="A858">
        <v>1937</v>
      </c>
      <c r="B858" t="s">
        <v>80</v>
      </c>
      <c r="C858" t="s">
        <v>474</v>
      </c>
      <c r="D858" t="s">
        <v>531</v>
      </c>
      <c r="E858" s="16">
        <v>45636.331076388888</v>
      </c>
      <c r="F858">
        <v>3</v>
      </c>
    </row>
    <row r="859" spans="1:6" x14ac:dyDescent="0.2">
      <c r="A859">
        <v>2309</v>
      </c>
      <c r="B859" t="s">
        <v>39</v>
      </c>
      <c r="C859" t="s">
        <v>474</v>
      </c>
      <c r="D859" t="s">
        <v>536</v>
      </c>
      <c r="E859" s="16">
        <v>45629.367395833331</v>
      </c>
      <c r="F859">
        <v>3</v>
      </c>
    </row>
    <row r="860" spans="1:6" x14ac:dyDescent="0.2">
      <c r="A860">
        <v>3196</v>
      </c>
      <c r="B860" t="s">
        <v>46</v>
      </c>
      <c r="C860" t="s">
        <v>438</v>
      </c>
      <c r="D860" t="s">
        <v>500</v>
      </c>
      <c r="E860" s="16">
        <v>45668.362986111111</v>
      </c>
      <c r="F860">
        <v>3</v>
      </c>
    </row>
    <row r="861" spans="1:6" x14ac:dyDescent="0.2">
      <c r="A861">
        <v>2629</v>
      </c>
      <c r="B861" t="s">
        <v>63</v>
      </c>
      <c r="C861" t="s">
        <v>474</v>
      </c>
      <c r="D861" t="s">
        <v>536</v>
      </c>
      <c r="E861" s="16">
        <v>45630.395624999997</v>
      </c>
      <c r="F861">
        <v>3</v>
      </c>
    </row>
    <row r="862" spans="1:6" x14ac:dyDescent="0.2">
      <c r="A862">
        <v>3564</v>
      </c>
      <c r="B862" t="s">
        <v>84</v>
      </c>
      <c r="C862" t="s">
        <v>449</v>
      </c>
      <c r="D862" t="s">
        <v>515</v>
      </c>
      <c r="E862" s="16">
        <v>45668.202303240738</v>
      </c>
      <c r="F862">
        <v>3</v>
      </c>
    </row>
    <row r="863" spans="1:6" x14ac:dyDescent="0.2">
      <c r="A863">
        <v>3382</v>
      </c>
      <c r="B863" t="s">
        <v>125</v>
      </c>
      <c r="C863" t="s">
        <v>474</v>
      </c>
      <c r="D863" t="s">
        <v>536</v>
      </c>
      <c r="E863" s="16">
        <v>45630.414641203701</v>
      </c>
      <c r="F863">
        <v>3</v>
      </c>
    </row>
    <row r="864" spans="1:6" x14ac:dyDescent="0.2">
      <c r="A864">
        <v>3469</v>
      </c>
      <c r="B864" t="s">
        <v>181</v>
      </c>
      <c r="C864" t="s">
        <v>449</v>
      </c>
      <c r="D864" t="s">
        <v>515</v>
      </c>
      <c r="E864" s="16">
        <v>45678.459907407407</v>
      </c>
      <c r="F864">
        <v>3</v>
      </c>
    </row>
    <row r="865" spans="1:6" x14ac:dyDescent="0.2">
      <c r="A865">
        <v>3414</v>
      </c>
      <c r="B865" t="s">
        <v>202</v>
      </c>
      <c r="C865" t="s">
        <v>474</v>
      </c>
      <c r="D865" t="s">
        <v>536</v>
      </c>
      <c r="E865" s="16">
        <v>45631.296365740738</v>
      </c>
      <c r="F865">
        <v>3</v>
      </c>
    </row>
    <row r="866" spans="1:6" x14ac:dyDescent="0.2">
      <c r="A866">
        <v>3598</v>
      </c>
      <c r="B866" t="s">
        <v>318</v>
      </c>
      <c r="C866" t="s">
        <v>449</v>
      </c>
      <c r="D866" t="s">
        <v>515</v>
      </c>
      <c r="E866" s="16">
        <v>45734.572442129633</v>
      </c>
      <c r="F866">
        <v>3</v>
      </c>
    </row>
    <row r="867" spans="1:6" x14ac:dyDescent="0.2">
      <c r="A867">
        <v>3256</v>
      </c>
      <c r="B867" t="s">
        <v>119</v>
      </c>
      <c r="C867" t="s">
        <v>474</v>
      </c>
      <c r="D867" t="s">
        <v>536</v>
      </c>
      <c r="E867" s="16">
        <v>45645.674363425926</v>
      </c>
      <c r="F867">
        <v>3</v>
      </c>
    </row>
    <row r="868" spans="1:6" x14ac:dyDescent="0.2">
      <c r="A868">
        <v>3426</v>
      </c>
      <c r="B868" t="s">
        <v>207</v>
      </c>
      <c r="C868" t="s">
        <v>449</v>
      </c>
      <c r="D868" t="s">
        <v>515</v>
      </c>
      <c r="E868" s="16">
        <v>45740.431666666664</v>
      </c>
      <c r="F868">
        <v>3</v>
      </c>
    </row>
    <row r="869" spans="1:6" x14ac:dyDescent="0.2">
      <c r="A869">
        <v>3562</v>
      </c>
      <c r="B869" t="s">
        <v>49</v>
      </c>
      <c r="C869" t="s">
        <v>438</v>
      </c>
      <c r="D869" t="s">
        <v>501</v>
      </c>
      <c r="E869" s="16">
        <v>45674.469907407409</v>
      </c>
      <c r="F869">
        <v>3</v>
      </c>
    </row>
    <row r="870" spans="1:6" x14ac:dyDescent="0.2">
      <c r="A870">
        <v>3605</v>
      </c>
      <c r="B870" t="s">
        <v>268</v>
      </c>
      <c r="C870" t="s">
        <v>449</v>
      </c>
      <c r="D870" t="s">
        <v>515</v>
      </c>
      <c r="E870" s="16">
        <v>45745.247511574074</v>
      </c>
      <c r="F870">
        <v>3</v>
      </c>
    </row>
    <row r="871" spans="1:6" x14ac:dyDescent="0.2">
      <c r="A871">
        <v>3579</v>
      </c>
      <c r="B871" t="s">
        <v>193</v>
      </c>
      <c r="C871" t="s">
        <v>449</v>
      </c>
      <c r="D871" t="s">
        <v>499</v>
      </c>
      <c r="E871" s="16">
        <v>45697.188518518517</v>
      </c>
      <c r="F871">
        <v>3</v>
      </c>
    </row>
    <row r="872" spans="1:6" x14ac:dyDescent="0.2">
      <c r="A872">
        <v>3316</v>
      </c>
      <c r="B872" t="s">
        <v>179</v>
      </c>
      <c r="C872" t="s">
        <v>521</v>
      </c>
      <c r="D872" t="s">
        <v>523</v>
      </c>
      <c r="E872" s="16">
        <v>45659.373483796298</v>
      </c>
      <c r="F872">
        <v>3</v>
      </c>
    </row>
    <row r="873" spans="1:6" x14ac:dyDescent="0.2">
      <c r="A873">
        <v>3584</v>
      </c>
      <c r="B873" t="s">
        <v>57</v>
      </c>
      <c r="C873" t="s">
        <v>438</v>
      </c>
      <c r="D873" t="s">
        <v>501</v>
      </c>
      <c r="E873" s="16">
        <v>45702.391689814816</v>
      </c>
      <c r="F873">
        <v>3</v>
      </c>
    </row>
    <row r="874" spans="1:6" x14ac:dyDescent="0.2">
      <c r="A874">
        <v>3610</v>
      </c>
      <c r="B874" t="s">
        <v>305</v>
      </c>
      <c r="C874" t="s">
        <v>449</v>
      </c>
      <c r="D874" t="s">
        <v>515</v>
      </c>
      <c r="E874" s="16">
        <v>45750.273263888892</v>
      </c>
      <c r="F874">
        <v>3</v>
      </c>
    </row>
    <row r="875" spans="1:6" x14ac:dyDescent="0.2">
      <c r="A875">
        <v>3606</v>
      </c>
      <c r="B875" t="s">
        <v>265</v>
      </c>
      <c r="C875" t="s">
        <v>449</v>
      </c>
      <c r="D875" t="s">
        <v>499</v>
      </c>
      <c r="E875" s="16">
        <v>45747.736527777779</v>
      </c>
      <c r="F875">
        <v>3</v>
      </c>
    </row>
    <row r="876" spans="1:6" x14ac:dyDescent="0.2">
      <c r="A876">
        <v>3606</v>
      </c>
      <c r="B876" t="s">
        <v>265</v>
      </c>
      <c r="C876" t="s">
        <v>521</v>
      </c>
      <c r="D876" t="s">
        <v>526</v>
      </c>
      <c r="E876" s="16">
        <v>45760.847326388888</v>
      </c>
      <c r="F876">
        <v>3</v>
      </c>
    </row>
    <row r="877" spans="1:6" x14ac:dyDescent="0.2">
      <c r="A877">
        <v>3610</v>
      </c>
      <c r="B877" t="s">
        <v>305</v>
      </c>
      <c r="C877" t="s">
        <v>449</v>
      </c>
      <c r="D877" t="s">
        <v>499</v>
      </c>
      <c r="E877" s="16">
        <v>45750.273263888892</v>
      </c>
      <c r="F877">
        <v>3</v>
      </c>
    </row>
    <row r="878" spans="1:6" x14ac:dyDescent="0.2">
      <c r="A878">
        <v>3344</v>
      </c>
      <c r="B878" t="s">
        <v>69</v>
      </c>
      <c r="C878" t="s">
        <v>474</v>
      </c>
      <c r="D878" t="s">
        <v>544</v>
      </c>
      <c r="E878" s="16">
        <v>45785.406145833331</v>
      </c>
      <c r="F878">
        <v>3</v>
      </c>
    </row>
    <row r="879" spans="1:6" x14ac:dyDescent="0.2">
      <c r="A879">
        <v>3615</v>
      </c>
      <c r="B879" t="s">
        <v>236</v>
      </c>
      <c r="C879" t="s">
        <v>449</v>
      </c>
      <c r="D879" t="s">
        <v>499</v>
      </c>
      <c r="E879" s="16">
        <v>45756.323969907404</v>
      </c>
      <c r="F879">
        <v>3</v>
      </c>
    </row>
    <row r="880" spans="1:6" x14ac:dyDescent="0.2">
      <c r="A880">
        <v>2780</v>
      </c>
      <c r="B880" t="s">
        <v>71</v>
      </c>
      <c r="C880" t="s">
        <v>436</v>
      </c>
      <c r="D880" t="s">
        <v>503</v>
      </c>
      <c r="E880" s="16">
        <v>45789.511018518519</v>
      </c>
      <c r="F880">
        <v>3</v>
      </c>
    </row>
    <row r="881" spans="1:6" x14ac:dyDescent="0.2">
      <c r="A881">
        <v>3614</v>
      </c>
      <c r="B881" t="s">
        <v>217</v>
      </c>
      <c r="C881" t="s">
        <v>449</v>
      </c>
      <c r="D881" t="s">
        <v>499</v>
      </c>
      <c r="E881" s="16">
        <v>45756.317743055559</v>
      </c>
      <c r="F881">
        <v>3</v>
      </c>
    </row>
    <row r="882" spans="1:6" x14ac:dyDescent="0.2">
      <c r="A882">
        <v>2780</v>
      </c>
      <c r="B882" t="s">
        <v>71</v>
      </c>
      <c r="C882" t="s">
        <v>436</v>
      </c>
      <c r="D882" t="s">
        <v>510</v>
      </c>
      <c r="E882" s="16">
        <v>45789.511018518519</v>
      </c>
      <c r="F882">
        <v>3</v>
      </c>
    </row>
    <row r="883" spans="1:6" x14ac:dyDescent="0.2">
      <c r="A883">
        <v>3618</v>
      </c>
      <c r="B883" t="s">
        <v>325</v>
      </c>
      <c r="C883" t="s">
        <v>449</v>
      </c>
      <c r="D883" t="s">
        <v>499</v>
      </c>
      <c r="E883" s="16">
        <v>45763.257731481484</v>
      </c>
      <c r="F883">
        <v>3</v>
      </c>
    </row>
    <row r="884" spans="1:6" x14ac:dyDescent="0.2">
      <c r="A884">
        <v>3626</v>
      </c>
      <c r="B884" t="s">
        <v>316</v>
      </c>
      <c r="C884" t="s">
        <v>436</v>
      </c>
      <c r="D884" t="s">
        <v>503</v>
      </c>
      <c r="E884" s="16">
        <v>45793.280219907407</v>
      </c>
      <c r="F884">
        <v>3</v>
      </c>
    </row>
    <row r="885" spans="1:6" x14ac:dyDescent="0.2">
      <c r="A885">
        <v>3616</v>
      </c>
      <c r="B885" t="s">
        <v>249</v>
      </c>
      <c r="C885" t="s">
        <v>438</v>
      </c>
      <c r="D885" t="s">
        <v>501</v>
      </c>
      <c r="E885" s="16">
        <v>45763.539409722223</v>
      </c>
      <c r="F885">
        <v>3</v>
      </c>
    </row>
    <row r="886" spans="1:6" x14ac:dyDescent="0.2">
      <c r="A886">
        <v>3576</v>
      </c>
      <c r="B886" t="s">
        <v>75</v>
      </c>
      <c r="C886" t="s">
        <v>449</v>
      </c>
      <c r="D886" t="s">
        <v>515</v>
      </c>
      <c r="E886" s="16">
        <v>45691.699594907404</v>
      </c>
      <c r="F886">
        <v>3</v>
      </c>
    </row>
    <row r="887" spans="1:6" x14ac:dyDescent="0.2">
      <c r="A887">
        <v>3625</v>
      </c>
      <c r="B887" t="s">
        <v>276</v>
      </c>
      <c r="C887" t="s">
        <v>449</v>
      </c>
      <c r="D887" t="s">
        <v>520</v>
      </c>
      <c r="E887" s="16">
        <v>45775.661064814813</v>
      </c>
      <c r="F887">
        <v>3</v>
      </c>
    </row>
    <row r="888" spans="1:6" x14ac:dyDescent="0.2">
      <c r="A888">
        <v>3632</v>
      </c>
      <c r="B888" t="s">
        <v>238</v>
      </c>
      <c r="C888" t="s">
        <v>449</v>
      </c>
      <c r="D888" t="s">
        <v>515</v>
      </c>
      <c r="E888" s="16">
        <v>45783.904733796298</v>
      </c>
      <c r="F888">
        <v>3</v>
      </c>
    </row>
    <row r="889" spans="1:6" x14ac:dyDescent="0.2">
      <c r="A889">
        <v>3636</v>
      </c>
      <c r="B889" t="s">
        <v>270</v>
      </c>
      <c r="C889" t="s">
        <v>449</v>
      </c>
      <c r="D889" t="s">
        <v>499</v>
      </c>
      <c r="E889" s="16">
        <v>45788.748032407406</v>
      </c>
      <c r="F889">
        <v>3</v>
      </c>
    </row>
    <row r="890" spans="1:6" x14ac:dyDescent="0.2">
      <c r="A890">
        <v>3582</v>
      </c>
      <c r="B890" t="s">
        <v>211</v>
      </c>
      <c r="C890" t="s">
        <v>436</v>
      </c>
      <c r="D890" t="s">
        <v>503</v>
      </c>
      <c r="E890" s="16">
        <v>45809.847719907404</v>
      </c>
      <c r="F890">
        <v>3</v>
      </c>
    </row>
    <row r="891" spans="1:6" x14ac:dyDescent="0.2">
      <c r="A891">
        <v>3576</v>
      </c>
      <c r="B891" t="s">
        <v>75</v>
      </c>
      <c r="C891" t="s">
        <v>449</v>
      </c>
      <c r="D891" t="s">
        <v>499</v>
      </c>
      <c r="E891" s="16">
        <v>45691.699594907404</v>
      </c>
      <c r="F891">
        <v>3</v>
      </c>
    </row>
    <row r="892" spans="1:6" x14ac:dyDescent="0.2">
      <c r="A892">
        <v>3644</v>
      </c>
      <c r="B892" t="s">
        <v>299</v>
      </c>
      <c r="C892" t="s">
        <v>449</v>
      </c>
      <c r="D892" t="s">
        <v>515</v>
      </c>
      <c r="E892" s="16">
        <v>45807.253159722219</v>
      </c>
      <c r="F892">
        <v>3</v>
      </c>
    </row>
    <row r="893" spans="1:6" x14ac:dyDescent="0.2">
      <c r="A893">
        <v>3632</v>
      </c>
      <c r="B893" t="s">
        <v>238</v>
      </c>
      <c r="C893" t="s">
        <v>449</v>
      </c>
      <c r="D893" t="s">
        <v>520</v>
      </c>
      <c r="E893" s="16">
        <v>45827.33321759259</v>
      </c>
      <c r="F893">
        <v>3</v>
      </c>
    </row>
    <row r="894" spans="1:6" x14ac:dyDescent="0.2">
      <c r="A894">
        <v>3306</v>
      </c>
      <c r="B894" t="s">
        <v>35</v>
      </c>
      <c r="C894" t="s">
        <v>449</v>
      </c>
      <c r="D894" t="s">
        <v>515</v>
      </c>
      <c r="E894" s="16">
        <v>45848.588900462964</v>
      </c>
      <c r="F894">
        <v>3</v>
      </c>
    </row>
    <row r="895" spans="1:6" x14ac:dyDescent="0.2">
      <c r="A895">
        <v>3648</v>
      </c>
      <c r="B895" t="s">
        <v>261</v>
      </c>
      <c r="C895" t="s">
        <v>449</v>
      </c>
      <c r="D895" t="s">
        <v>520</v>
      </c>
      <c r="E895" s="16">
        <v>45848.414166666669</v>
      </c>
      <c r="F895">
        <v>3</v>
      </c>
    </row>
    <row r="896" spans="1:6" x14ac:dyDescent="0.2">
      <c r="A896">
        <v>3609</v>
      </c>
      <c r="B896" t="s">
        <v>245</v>
      </c>
      <c r="C896" t="s">
        <v>449</v>
      </c>
      <c r="D896" t="s">
        <v>515</v>
      </c>
      <c r="E896" s="16">
        <v>45750.270231481481</v>
      </c>
      <c r="F896">
        <v>3</v>
      </c>
    </row>
    <row r="897" spans="1:6" x14ac:dyDescent="0.2">
      <c r="A897">
        <v>3660</v>
      </c>
      <c r="B897" t="s">
        <v>285</v>
      </c>
      <c r="C897" t="s">
        <v>449</v>
      </c>
      <c r="D897" t="s">
        <v>499</v>
      </c>
      <c r="E897" s="16">
        <v>45874.465428240743</v>
      </c>
      <c r="F897">
        <v>3</v>
      </c>
    </row>
    <row r="898" spans="1:6" x14ac:dyDescent="0.2">
      <c r="A898">
        <v>3664</v>
      </c>
      <c r="B898" t="s">
        <v>313</v>
      </c>
      <c r="C898" t="s">
        <v>449</v>
      </c>
      <c r="D898" t="s">
        <v>515</v>
      </c>
      <c r="E898" s="16">
        <v>45875.51190972222</v>
      </c>
      <c r="F898">
        <v>3</v>
      </c>
    </row>
    <row r="899" spans="1:6" x14ac:dyDescent="0.2">
      <c r="A899">
        <v>3663</v>
      </c>
      <c r="B899" t="s">
        <v>278</v>
      </c>
      <c r="C899" t="s">
        <v>449</v>
      </c>
      <c r="D899" t="s">
        <v>499</v>
      </c>
      <c r="E899" s="16">
        <v>45875.509421296294</v>
      </c>
      <c r="F899">
        <v>3</v>
      </c>
    </row>
    <row r="900" spans="1:6" x14ac:dyDescent="0.2">
      <c r="A900">
        <v>3245</v>
      </c>
      <c r="B900" t="s">
        <v>67</v>
      </c>
      <c r="C900" t="s">
        <v>436</v>
      </c>
      <c r="D900" t="s">
        <v>506</v>
      </c>
      <c r="E900" s="16">
        <v>45902.386238425926</v>
      </c>
      <c r="F900">
        <v>3</v>
      </c>
    </row>
    <row r="901" spans="1:6" x14ac:dyDescent="0.2">
      <c r="A901">
        <v>3663</v>
      </c>
      <c r="B901" t="s">
        <v>278</v>
      </c>
      <c r="C901" t="s">
        <v>449</v>
      </c>
      <c r="D901" t="s">
        <v>520</v>
      </c>
      <c r="E901" s="16">
        <v>45875.534375000003</v>
      </c>
      <c r="F901">
        <v>3</v>
      </c>
    </row>
    <row r="902" spans="1:6" x14ac:dyDescent="0.2">
      <c r="A902">
        <v>3678</v>
      </c>
      <c r="B902" t="s">
        <v>295</v>
      </c>
      <c r="C902" t="s">
        <v>449</v>
      </c>
      <c r="D902" t="s">
        <v>515</v>
      </c>
      <c r="E902" s="16">
        <v>45907.655532407407</v>
      </c>
      <c r="F902">
        <v>3</v>
      </c>
    </row>
    <row r="903" spans="1:6" x14ac:dyDescent="0.2">
      <c r="A903">
        <v>3600</v>
      </c>
      <c r="B903" t="s">
        <v>258</v>
      </c>
      <c r="C903" t="s">
        <v>449</v>
      </c>
      <c r="D903" t="s">
        <v>520</v>
      </c>
      <c r="E903" s="16">
        <v>45888.644687499997</v>
      </c>
      <c r="F903">
        <v>3</v>
      </c>
    </row>
    <row r="904" spans="1:6" x14ac:dyDescent="0.2">
      <c r="A904">
        <v>3220</v>
      </c>
      <c r="B904" t="s">
        <v>170</v>
      </c>
      <c r="C904" t="s">
        <v>521</v>
      </c>
      <c r="D904" t="s">
        <v>526</v>
      </c>
      <c r="E904" s="16">
        <v>45765.426319444443</v>
      </c>
      <c r="F904">
        <v>3</v>
      </c>
    </row>
    <row r="905" spans="1:6" x14ac:dyDescent="0.2">
      <c r="A905">
        <v>3568</v>
      </c>
      <c r="B905" t="s">
        <v>210</v>
      </c>
      <c r="C905" t="s">
        <v>449</v>
      </c>
      <c r="D905" t="s">
        <v>499</v>
      </c>
      <c r="E905" s="16">
        <v>45678.487685185188</v>
      </c>
      <c r="F905">
        <v>3</v>
      </c>
    </row>
    <row r="906" spans="1:6" x14ac:dyDescent="0.2">
      <c r="A906">
        <v>3624</v>
      </c>
      <c r="B906" t="s">
        <v>302</v>
      </c>
      <c r="C906" t="s">
        <v>521</v>
      </c>
      <c r="D906" t="s">
        <v>528</v>
      </c>
      <c r="E906" s="16">
        <v>45916.504351851851</v>
      </c>
      <c r="F906">
        <v>3</v>
      </c>
    </row>
    <row r="907" spans="1:6" x14ac:dyDescent="0.2">
      <c r="A907">
        <v>3672</v>
      </c>
      <c r="B907" t="s">
        <v>323</v>
      </c>
      <c r="C907" t="s">
        <v>449</v>
      </c>
      <c r="D907" t="s">
        <v>499</v>
      </c>
      <c r="E907" s="16">
        <v>45892.797662037039</v>
      </c>
      <c r="F907">
        <v>3</v>
      </c>
    </row>
    <row r="908" spans="1:6" x14ac:dyDescent="0.2">
      <c r="A908">
        <v>3662</v>
      </c>
      <c r="B908" t="s">
        <v>250</v>
      </c>
      <c r="C908" t="s">
        <v>521</v>
      </c>
      <c r="D908" t="s">
        <v>528</v>
      </c>
      <c r="E908" s="16">
        <v>45906.585763888892</v>
      </c>
      <c r="F908">
        <v>3</v>
      </c>
    </row>
    <row r="909" spans="1:6" x14ac:dyDescent="0.2">
      <c r="A909">
        <v>3678</v>
      </c>
      <c r="B909" t="s">
        <v>295</v>
      </c>
      <c r="C909" t="s">
        <v>449</v>
      </c>
      <c r="D909" t="s">
        <v>499</v>
      </c>
      <c r="E909" s="16">
        <v>45907.655532407407</v>
      </c>
      <c r="F909">
        <v>3</v>
      </c>
    </row>
    <row r="910" spans="1:6" x14ac:dyDescent="0.2">
      <c r="A910">
        <v>3662</v>
      </c>
      <c r="B910" t="s">
        <v>250</v>
      </c>
      <c r="C910" t="s">
        <v>436</v>
      </c>
      <c r="D910" t="s">
        <v>503</v>
      </c>
      <c r="E910" s="16">
        <v>45906.585763888892</v>
      </c>
      <c r="F910">
        <v>3</v>
      </c>
    </row>
    <row r="911" spans="1:6" x14ac:dyDescent="0.2">
      <c r="A911">
        <v>3670</v>
      </c>
      <c r="B911" t="s">
        <v>327</v>
      </c>
      <c r="C911" t="s">
        <v>449</v>
      </c>
      <c r="D911" t="s">
        <v>499</v>
      </c>
      <c r="E911" s="16">
        <v>45883.234340277777</v>
      </c>
      <c r="F911">
        <v>3</v>
      </c>
    </row>
    <row r="912" spans="1:6" x14ac:dyDescent="0.2">
      <c r="A912">
        <v>3662</v>
      </c>
      <c r="B912" t="s">
        <v>250</v>
      </c>
      <c r="C912" t="s">
        <v>436</v>
      </c>
      <c r="D912" t="s">
        <v>506</v>
      </c>
      <c r="E912" s="16">
        <v>45930.603958333333</v>
      </c>
      <c r="F912">
        <v>3</v>
      </c>
    </row>
    <row r="913" spans="1:6" x14ac:dyDescent="0.2">
      <c r="A913">
        <v>3251</v>
      </c>
      <c r="B913" t="s">
        <v>150</v>
      </c>
      <c r="C913" t="s">
        <v>474</v>
      </c>
      <c r="D913" t="s">
        <v>536</v>
      </c>
      <c r="E913" s="16">
        <v>45629.388506944444</v>
      </c>
      <c r="F913">
        <v>3</v>
      </c>
    </row>
    <row r="914" spans="1:6" x14ac:dyDescent="0.2">
      <c r="A914">
        <v>3594</v>
      </c>
      <c r="B914" t="s">
        <v>315</v>
      </c>
      <c r="C914" t="s">
        <v>521</v>
      </c>
      <c r="D914" t="s">
        <v>528</v>
      </c>
      <c r="E914" s="16">
        <v>45939.350659722222</v>
      </c>
      <c r="F914">
        <v>3</v>
      </c>
    </row>
    <row r="915" spans="1:6" x14ac:dyDescent="0.2">
      <c r="A915">
        <v>3474</v>
      </c>
      <c r="B915" t="s">
        <v>121</v>
      </c>
      <c r="C915" t="s">
        <v>474</v>
      </c>
      <c r="D915" t="s">
        <v>536</v>
      </c>
      <c r="E915" s="16">
        <v>45631.289571759262</v>
      </c>
      <c r="F915">
        <v>3</v>
      </c>
    </row>
    <row r="916" spans="1:6" x14ac:dyDescent="0.2">
      <c r="A916">
        <v>3677</v>
      </c>
      <c r="B916" t="s">
        <v>283</v>
      </c>
      <c r="C916" t="s">
        <v>436</v>
      </c>
      <c r="D916" t="s">
        <v>503</v>
      </c>
      <c r="E916" s="16">
        <v>45939.433159722219</v>
      </c>
      <c r="F916">
        <v>3</v>
      </c>
    </row>
    <row r="917" spans="1:6" x14ac:dyDescent="0.2">
      <c r="A917">
        <v>2626</v>
      </c>
      <c r="B917" t="s">
        <v>30</v>
      </c>
      <c r="C917" t="s">
        <v>449</v>
      </c>
      <c r="D917" t="s">
        <v>499</v>
      </c>
      <c r="E917" s="16">
        <v>45607.410787037035</v>
      </c>
      <c r="F917">
        <v>3</v>
      </c>
    </row>
    <row r="918" spans="1:6" x14ac:dyDescent="0.2">
      <c r="A918">
        <v>32</v>
      </c>
      <c r="B918" t="s">
        <v>451</v>
      </c>
      <c r="C918" t="s">
        <v>521</v>
      </c>
      <c r="D918" t="s">
        <v>526</v>
      </c>
      <c r="E918" s="16">
        <v>45944.718356481484</v>
      </c>
      <c r="F918">
        <v>3</v>
      </c>
    </row>
    <row r="919" spans="1:6" x14ac:dyDescent="0.2">
      <c r="A919">
        <v>3351</v>
      </c>
      <c r="B919" t="s">
        <v>40</v>
      </c>
      <c r="C919" t="s">
        <v>474</v>
      </c>
      <c r="D919" t="s">
        <v>536</v>
      </c>
      <c r="E919" s="16">
        <v>45635.511608796296</v>
      </c>
      <c r="F919">
        <v>3</v>
      </c>
    </row>
    <row r="920" spans="1:6" x14ac:dyDescent="0.2">
      <c r="A920">
        <v>32</v>
      </c>
      <c r="B920" t="s">
        <v>451</v>
      </c>
      <c r="C920" t="s">
        <v>521</v>
      </c>
      <c r="D920" t="s">
        <v>528</v>
      </c>
      <c r="E920" s="16">
        <v>45944.718356481484</v>
      </c>
      <c r="F920">
        <v>3</v>
      </c>
    </row>
    <row r="921" spans="1:6" x14ac:dyDescent="0.2">
      <c r="A921">
        <v>2629</v>
      </c>
      <c r="B921" t="s">
        <v>63</v>
      </c>
      <c r="C921" t="s">
        <v>474</v>
      </c>
      <c r="D921" t="s">
        <v>538</v>
      </c>
      <c r="E921" s="16">
        <v>45630.395624999997</v>
      </c>
      <c r="F921">
        <v>3</v>
      </c>
    </row>
    <row r="922" spans="1:6" x14ac:dyDescent="0.2">
      <c r="A922">
        <v>3676</v>
      </c>
      <c r="B922" t="s">
        <v>239</v>
      </c>
      <c r="C922" t="s">
        <v>449</v>
      </c>
      <c r="D922" t="s">
        <v>515</v>
      </c>
      <c r="E922" s="16">
        <v>45903.526018518518</v>
      </c>
      <c r="F922">
        <v>3</v>
      </c>
    </row>
    <row r="923" spans="1:6" x14ac:dyDescent="0.2">
      <c r="A923">
        <v>3414</v>
      </c>
      <c r="B923" t="s">
        <v>202</v>
      </c>
      <c r="C923" t="s">
        <v>474</v>
      </c>
      <c r="D923" t="s">
        <v>538</v>
      </c>
      <c r="E923" s="16">
        <v>45631.296365740738</v>
      </c>
      <c r="F923">
        <v>3</v>
      </c>
    </row>
    <row r="924" spans="1:6" x14ac:dyDescent="0.2">
      <c r="A924">
        <v>3569</v>
      </c>
      <c r="B924" t="s">
        <v>22</v>
      </c>
      <c r="C924" t="s">
        <v>436</v>
      </c>
      <c r="D924" t="s">
        <v>503</v>
      </c>
      <c r="E924" s="16">
        <v>45948.683194444442</v>
      </c>
      <c r="F924">
        <v>3</v>
      </c>
    </row>
    <row r="925" spans="1:6" x14ac:dyDescent="0.2">
      <c r="A925">
        <v>3339</v>
      </c>
      <c r="B925" t="s">
        <v>45</v>
      </c>
      <c r="C925" t="s">
        <v>474</v>
      </c>
      <c r="D925" t="s">
        <v>536</v>
      </c>
      <c r="E925" s="16">
        <v>45630.392858796295</v>
      </c>
      <c r="F925">
        <v>3</v>
      </c>
    </row>
    <row r="926" spans="1:6" x14ac:dyDescent="0.2">
      <c r="A926">
        <v>3640</v>
      </c>
      <c r="B926" t="s">
        <v>248</v>
      </c>
      <c r="C926" t="s">
        <v>521</v>
      </c>
      <c r="D926" t="s">
        <v>528</v>
      </c>
      <c r="E926" s="16">
        <v>45957.430347222224</v>
      </c>
      <c r="F926">
        <v>3</v>
      </c>
    </row>
    <row r="927" spans="1:6" x14ac:dyDescent="0.2">
      <c r="A927">
        <v>3544</v>
      </c>
      <c r="B927" t="s">
        <v>15</v>
      </c>
      <c r="C927" t="s">
        <v>438</v>
      </c>
      <c r="D927" t="s">
        <v>501</v>
      </c>
      <c r="E927" s="16">
        <v>45614.596712962964</v>
      </c>
      <c r="F927">
        <v>3</v>
      </c>
    </row>
    <row r="928" spans="1:6" x14ac:dyDescent="0.2">
      <c r="A928">
        <v>3688</v>
      </c>
      <c r="B928" t="s">
        <v>303</v>
      </c>
      <c r="C928" t="s">
        <v>449</v>
      </c>
      <c r="D928" t="s">
        <v>515</v>
      </c>
      <c r="E928" s="16">
        <v>45949.258333333331</v>
      </c>
      <c r="F928">
        <v>3</v>
      </c>
    </row>
    <row r="929" spans="1:6" x14ac:dyDescent="0.2">
      <c r="A929">
        <v>3562</v>
      </c>
      <c r="B929" t="s">
        <v>49</v>
      </c>
      <c r="C929" t="s">
        <v>449</v>
      </c>
      <c r="D929" t="s">
        <v>499</v>
      </c>
      <c r="E929" s="16">
        <v>45663.721226851849</v>
      </c>
      <c r="F929">
        <v>3</v>
      </c>
    </row>
    <row r="930" spans="1:6" x14ac:dyDescent="0.2">
      <c r="A930">
        <v>3692</v>
      </c>
      <c r="B930" t="s">
        <v>291</v>
      </c>
      <c r="C930" t="s">
        <v>449</v>
      </c>
      <c r="D930" t="s">
        <v>515</v>
      </c>
      <c r="E930" s="16">
        <v>45962.254699074074</v>
      </c>
      <c r="F930">
        <v>3</v>
      </c>
    </row>
    <row r="931" spans="1:6" x14ac:dyDescent="0.2">
      <c r="A931">
        <v>2073</v>
      </c>
      <c r="B931" t="s">
        <v>58</v>
      </c>
      <c r="C931" t="s">
        <v>474</v>
      </c>
      <c r="D931" t="s">
        <v>536</v>
      </c>
      <c r="E931" s="16">
        <v>45635.71837962963</v>
      </c>
      <c r="F931">
        <v>3</v>
      </c>
    </row>
    <row r="932" spans="1:6" x14ac:dyDescent="0.2">
      <c r="A932">
        <v>3694</v>
      </c>
      <c r="B932" t="s">
        <v>614</v>
      </c>
      <c r="C932" t="s">
        <v>449</v>
      </c>
      <c r="D932" t="s">
        <v>515</v>
      </c>
      <c r="E932" s="16">
        <v>45967.204062500001</v>
      </c>
      <c r="F932">
        <v>3</v>
      </c>
    </row>
    <row r="933" spans="1:6" x14ac:dyDescent="0.2">
      <c r="A933">
        <v>3584</v>
      </c>
      <c r="B933" t="s">
        <v>57</v>
      </c>
      <c r="C933" t="s">
        <v>449</v>
      </c>
      <c r="D933" t="s">
        <v>520</v>
      </c>
      <c r="E933" s="16">
        <v>45702.391689814816</v>
      </c>
      <c r="F933">
        <v>3</v>
      </c>
    </row>
    <row r="934" spans="1:6" x14ac:dyDescent="0.2">
      <c r="A934">
        <v>3697</v>
      </c>
      <c r="B934" t="s">
        <v>616</v>
      </c>
      <c r="C934" t="s">
        <v>449</v>
      </c>
      <c r="D934" t="s">
        <v>515</v>
      </c>
      <c r="E934" s="16">
        <v>45972.297453703701</v>
      </c>
      <c r="F934">
        <v>3</v>
      </c>
    </row>
    <row r="935" spans="1:6" x14ac:dyDescent="0.2">
      <c r="A935">
        <v>3598</v>
      </c>
      <c r="B935" t="s">
        <v>318</v>
      </c>
      <c r="C935" t="s">
        <v>449</v>
      </c>
      <c r="D935" t="s">
        <v>520</v>
      </c>
      <c r="E935" s="16">
        <v>45736.498981481483</v>
      </c>
      <c r="F935">
        <v>3</v>
      </c>
    </row>
    <row r="936" spans="1:6" x14ac:dyDescent="0.2">
      <c r="A936">
        <v>86</v>
      </c>
      <c r="B936" t="s">
        <v>163</v>
      </c>
      <c r="C936" t="s">
        <v>436</v>
      </c>
      <c r="D936" t="s">
        <v>513</v>
      </c>
      <c r="E936" s="16">
        <v>45643.52679398148</v>
      </c>
      <c r="F936">
        <v>3</v>
      </c>
    </row>
    <row r="937" spans="1:6" x14ac:dyDescent="0.2">
      <c r="A937">
        <v>3605</v>
      </c>
      <c r="B937" t="s">
        <v>268</v>
      </c>
      <c r="C937" t="s">
        <v>449</v>
      </c>
      <c r="D937" t="s">
        <v>499</v>
      </c>
      <c r="E937" s="16">
        <v>45745.247511574074</v>
      </c>
      <c r="F937">
        <v>3</v>
      </c>
    </row>
    <row r="938" spans="1:6" x14ac:dyDescent="0.2">
      <c r="A938">
        <v>86</v>
      </c>
      <c r="B938" t="s">
        <v>163</v>
      </c>
      <c r="C938" t="s">
        <v>436</v>
      </c>
      <c r="D938" t="s">
        <v>509</v>
      </c>
      <c r="E938" s="16">
        <v>45643.526805555557</v>
      </c>
      <c r="F938">
        <v>3</v>
      </c>
    </row>
    <row r="939" spans="1:6" x14ac:dyDescent="0.2">
      <c r="A939">
        <v>3626</v>
      </c>
      <c r="B939" t="s">
        <v>316</v>
      </c>
      <c r="C939" t="s">
        <v>449</v>
      </c>
      <c r="D939" t="s">
        <v>520</v>
      </c>
      <c r="E939" s="16">
        <v>45775.675300925926</v>
      </c>
      <c r="F939">
        <v>3</v>
      </c>
    </row>
    <row r="940" spans="1:6" x14ac:dyDescent="0.2">
      <c r="A940">
        <v>3469</v>
      </c>
      <c r="B940" t="s">
        <v>181</v>
      </c>
      <c r="C940" t="s">
        <v>474</v>
      </c>
      <c r="D940" t="s">
        <v>542</v>
      </c>
      <c r="E940" s="16">
        <v>45629.395925925928</v>
      </c>
      <c r="F940">
        <v>3</v>
      </c>
    </row>
    <row r="941" spans="1:6" x14ac:dyDescent="0.2">
      <c r="A941">
        <v>3637</v>
      </c>
      <c r="B941" t="s">
        <v>304</v>
      </c>
      <c r="C941" t="s">
        <v>449</v>
      </c>
      <c r="D941" t="s">
        <v>499</v>
      </c>
      <c r="E941" s="16">
        <v>45788.750347222223</v>
      </c>
      <c r="F941">
        <v>3</v>
      </c>
    </row>
    <row r="942" spans="1:6" x14ac:dyDescent="0.2">
      <c r="A942">
        <v>3463</v>
      </c>
      <c r="B942" t="s">
        <v>29</v>
      </c>
      <c r="C942" t="s">
        <v>436</v>
      </c>
      <c r="D942" t="s">
        <v>512</v>
      </c>
      <c r="E942" s="16">
        <v>45718.631215277775</v>
      </c>
      <c r="F942">
        <v>3</v>
      </c>
    </row>
    <row r="943" spans="1:6" x14ac:dyDescent="0.2">
      <c r="A943">
        <v>3639</v>
      </c>
      <c r="B943" t="s">
        <v>308</v>
      </c>
      <c r="C943" t="s">
        <v>449</v>
      </c>
      <c r="D943" t="s">
        <v>499</v>
      </c>
      <c r="E943" s="16">
        <v>45791.366180555553</v>
      </c>
      <c r="F943">
        <v>3</v>
      </c>
    </row>
    <row r="944" spans="1:6" x14ac:dyDescent="0.2">
      <c r="A944">
        <v>2780</v>
      </c>
      <c r="B944" t="s">
        <v>71</v>
      </c>
      <c r="C944" t="s">
        <v>436</v>
      </c>
      <c r="D944" t="s">
        <v>512</v>
      </c>
      <c r="E944" s="16">
        <v>45789.511018518519</v>
      </c>
      <c r="F944">
        <v>3</v>
      </c>
    </row>
    <row r="945" spans="1:6" x14ac:dyDescent="0.2">
      <c r="A945">
        <v>3582</v>
      </c>
      <c r="B945" t="s">
        <v>211</v>
      </c>
      <c r="C945" t="s">
        <v>449</v>
      </c>
      <c r="D945" t="s">
        <v>499</v>
      </c>
      <c r="E945" s="16">
        <v>45700.446423611109</v>
      </c>
      <c r="F945">
        <v>3</v>
      </c>
    </row>
    <row r="946" spans="1:6" x14ac:dyDescent="0.2">
      <c r="A946">
        <v>2279</v>
      </c>
      <c r="B946" t="s">
        <v>167</v>
      </c>
      <c r="C946" t="s">
        <v>521</v>
      </c>
      <c r="D946" t="s">
        <v>527</v>
      </c>
      <c r="E946" s="16">
        <v>45887.311041666668</v>
      </c>
      <c r="F946">
        <v>3</v>
      </c>
    </row>
    <row r="947" spans="1:6" x14ac:dyDescent="0.2">
      <c r="A947">
        <v>3621</v>
      </c>
      <c r="B947" t="s">
        <v>263</v>
      </c>
      <c r="C947" t="s">
        <v>449</v>
      </c>
      <c r="D947" t="s">
        <v>499</v>
      </c>
      <c r="E947" s="16">
        <v>45766.265474537038</v>
      </c>
      <c r="F947">
        <v>3</v>
      </c>
    </row>
    <row r="948" spans="1:6" x14ac:dyDescent="0.2">
      <c r="A948">
        <v>32</v>
      </c>
      <c r="B948" t="s">
        <v>451</v>
      </c>
      <c r="C948" t="s">
        <v>436</v>
      </c>
      <c r="D948" t="s">
        <v>507</v>
      </c>
      <c r="E948" s="16">
        <v>45944.718356481484</v>
      </c>
      <c r="F948">
        <v>3</v>
      </c>
    </row>
    <row r="949" spans="1:6" x14ac:dyDescent="0.2">
      <c r="A949">
        <v>3647</v>
      </c>
      <c r="B949" t="s">
        <v>310</v>
      </c>
      <c r="C949" t="s">
        <v>449</v>
      </c>
      <c r="D949" t="s">
        <v>499</v>
      </c>
      <c r="E949" s="16">
        <v>45822.282708333332</v>
      </c>
      <c r="F949">
        <v>3</v>
      </c>
    </row>
    <row r="950" spans="1:6" x14ac:dyDescent="0.2">
      <c r="A950">
        <v>2556</v>
      </c>
      <c r="B950" t="s">
        <v>98</v>
      </c>
      <c r="C950" t="s">
        <v>474</v>
      </c>
      <c r="D950" t="s">
        <v>540</v>
      </c>
      <c r="E950" s="16">
        <v>45629.375358796293</v>
      </c>
      <c r="F950">
        <v>3</v>
      </c>
    </row>
    <row r="951" spans="1:6" x14ac:dyDescent="0.2">
      <c r="A951">
        <v>3591</v>
      </c>
      <c r="B951" t="s">
        <v>254</v>
      </c>
      <c r="C951" t="s">
        <v>449</v>
      </c>
      <c r="D951" t="s">
        <v>499</v>
      </c>
      <c r="E951" s="16">
        <v>45713.209537037037</v>
      </c>
      <c r="F951">
        <v>3</v>
      </c>
    </row>
    <row r="952" spans="1:6" x14ac:dyDescent="0.2">
      <c r="A952">
        <v>1937</v>
      </c>
      <c r="B952" t="s">
        <v>80</v>
      </c>
      <c r="C952" t="s">
        <v>474</v>
      </c>
      <c r="D952" t="s">
        <v>542</v>
      </c>
      <c r="E952" s="16">
        <v>45636.331076388888</v>
      </c>
      <c r="F952">
        <v>3</v>
      </c>
    </row>
    <row r="953" spans="1:6" x14ac:dyDescent="0.2">
      <c r="A953">
        <v>3571</v>
      </c>
      <c r="B953" t="s">
        <v>48</v>
      </c>
      <c r="C953" t="s">
        <v>449</v>
      </c>
      <c r="D953" t="s">
        <v>499</v>
      </c>
      <c r="E953" s="16">
        <v>45684.453773148147</v>
      </c>
      <c r="F953">
        <v>3</v>
      </c>
    </row>
    <row r="954" spans="1:6" x14ac:dyDescent="0.2">
      <c r="A954">
        <v>2421</v>
      </c>
      <c r="B954" t="s">
        <v>18</v>
      </c>
      <c r="C954" t="s">
        <v>521</v>
      </c>
      <c r="D954" t="s">
        <v>527</v>
      </c>
      <c r="E954" s="16">
        <v>45628.617974537039</v>
      </c>
      <c r="F954">
        <v>3</v>
      </c>
    </row>
    <row r="955" spans="1:6" x14ac:dyDescent="0.2">
      <c r="A955">
        <v>3648</v>
      </c>
      <c r="B955" t="s">
        <v>261</v>
      </c>
      <c r="C955" t="s">
        <v>438</v>
      </c>
      <c r="D955" t="s">
        <v>501</v>
      </c>
      <c r="E955" s="16">
        <v>45846.46597222222</v>
      </c>
      <c r="F955">
        <v>3</v>
      </c>
    </row>
    <row r="956" spans="1:6" x14ac:dyDescent="0.2">
      <c r="A956">
        <v>2727</v>
      </c>
      <c r="B956" t="s">
        <v>160</v>
      </c>
      <c r="C956" t="s">
        <v>474</v>
      </c>
      <c r="D956" t="s">
        <v>540</v>
      </c>
      <c r="E956" s="16">
        <v>45630.348402777781</v>
      </c>
      <c r="F956">
        <v>3</v>
      </c>
    </row>
    <row r="957" spans="1:6" x14ac:dyDescent="0.2">
      <c r="A957">
        <v>3624</v>
      </c>
      <c r="B957" t="s">
        <v>302</v>
      </c>
      <c r="C957" t="s">
        <v>449</v>
      </c>
      <c r="D957" t="s">
        <v>499</v>
      </c>
      <c r="E957" s="16">
        <v>45773.703344907408</v>
      </c>
      <c r="F957">
        <v>3</v>
      </c>
    </row>
    <row r="958" spans="1:6" x14ac:dyDescent="0.2">
      <c r="A958">
        <v>3649</v>
      </c>
      <c r="B958" t="s">
        <v>312</v>
      </c>
      <c r="C958" t="s">
        <v>521</v>
      </c>
      <c r="D958" t="s">
        <v>527</v>
      </c>
      <c r="E958" s="16">
        <v>45853.616527777776</v>
      </c>
      <c r="F958">
        <v>3</v>
      </c>
    </row>
    <row r="959" spans="1:6" x14ac:dyDescent="0.2">
      <c r="A959">
        <v>2817</v>
      </c>
      <c r="B959" t="s">
        <v>31</v>
      </c>
      <c r="C959" t="s">
        <v>449</v>
      </c>
      <c r="D959" t="s">
        <v>520</v>
      </c>
      <c r="E959" s="16">
        <v>45858.610625000001</v>
      </c>
      <c r="F959">
        <v>3</v>
      </c>
    </row>
    <row r="960" spans="1:6" x14ac:dyDescent="0.2">
      <c r="A960">
        <v>3664</v>
      </c>
      <c r="B960" t="s">
        <v>313</v>
      </c>
      <c r="C960" t="s">
        <v>436</v>
      </c>
      <c r="D960" t="s">
        <v>512</v>
      </c>
      <c r="E960" s="16">
        <v>45887.417569444442</v>
      </c>
      <c r="F960">
        <v>3</v>
      </c>
    </row>
    <row r="961" spans="1:6" x14ac:dyDescent="0.2">
      <c r="A961">
        <v>3656</v>
      </c>
      <c r="B961" t="s">
        <v>259</v>
      </c>
      <c r="C961" t="s">
        <v>449</v>
      </c>
      <c r="D961" t="s">
        <v>499</v>
      </c>
      <c r="E961" s="16">
        <v>45857.830833333333</v>
      </c>
      <c r="F961">
        <v>3</v>
      </c>
    </row>
    <row r="962" spans="1:6" x14ac:dyDescent="0.2">
      <c r="A962">
        <v>3664</v>
      </c>
      <c r="B962" t="s">
        <v>313</v>
      </c>
      <c r="C962" t="s">
        <v>436</v>
      </c>
      <c r="D962" t="s">
        <v>509</v>
      </c>
      <c r="E962" s="16">
        <v>45887.417569444442</v>
      </c>
      <c r="F962">
        <v>3</v>
      </c>
    </row>
    <row r="963" spans="1:6" x14ac:dyDescent="0.2">
      <c r="A963">
        <v>3656</v>
      </c>
      <c r="B963" t="s">
        <v>259</v>
      </c>
      <c r="C963" t="s">
        <v>438</v>
      </c>
      <c r="D963" t="s">
        <v>501</v>
      </c>
      <c r="E963" s="16">
        <v>45859.573229166665</v>
      </c>
      <c r="F963">
        <v>3</v>
      </c>
    </row>
    <row r="964" spans="1:6" x14ac:dyDescent="0.2">
      <c r="A964">
        <v>2582</v>
      </c>
      <c r="B964" t="s">
        <v>85</v>
      </c>
      <c r="C964" t="s">
        <v>521</v>
      </c>
      <c r="D964" t="s">
        <v>527</v>
      </c>
      <c r="E964" s="16">
        <v>45915.38621527778</v>
      </c>
      <c r="F964">
        <v>3</v>
      </c>
    </row>
    <row r="965" spans="1:6" x14ac:dyDescent="0.2">
      <c r="A965">
        <v>3456</v>
      </c>
      <c r="B965" t="s">
        <v>56</v>
      </c>
      <c r="C965" t="s">
        <v>449</v>
      </c>
      <c r="D965" t="s">
        <v>499</v>
      </c>
      <c r="E965" s="16">
        <v>45869.607164351852</v>
      </c>
      <c r="F965">
        <v>3</v>
      </c>
    </row>
    <row r="966" spans="1:6" x14ac:dyDescent="0.2">
      <c r="A966">
        <v>3624</v>
      </c>
      <c r="B966" t="s">
        <v>302</v>
      </c>
      <c r="C966" t="s">
        <v>521</v>
      </c>
      <c r="D966" t="s">
        <v>527</v>
      </c>
      <c r="E966" s="16">
        <v>45916.504363425927</v>
      </c>
      <c r="F966">
        <v>3</v>
      </c>
    </row>
    <row r="967" spans="1:6" x14ac:dyDescent="0.2">
      <c r="A967">
        <v>3667</v>
      </c>
      <c r="B967" t="s">
        <v>274</v>
      </c>
      <c r="C967" t="s">
        <v>449</v>
      </c>
      <c r="D967" t="s">
        <v>499</v>
      </c>
      <c r="E967" s="16">
        <v>45878.286956018521</v>
      </c>
      <c r="F967">
        <v>3</v>
      </c>
    </row>
    <row r="968" spans="1:6" x14ac:dyDescent="0.2">
      <c r="A968">
        <v>3662</v>
      </c>
      <c r="B968" t="s">
        <v>250</v>
      </c>
      <c r="C968" t="s">
        <v>521</v>
      </c>
      <c r="D968" t="s">
        <v>527</v>
      </c>
      <c r="E968" s="16">
        <v>45906.585763888892</v>
      </c>
      <c r="F968">
        <v>3</v>
      </c>
    </row>
    <row r="969" spans="1:6" x14ac:dyDescent="0.2">
      <c r="A969">
        <v>3664</v>
      </c>
      <c r="B969" t="s">
        <v>313</v>
      </c>
      <c r="C969" t="s">
        <v>438</v>
      </c>
      <c r="D969" t="s">
        <v>501</v>
      </c>
      <c r="E969" s="16">
        <v>45887.291203703702</v>
      </c>
      <c r="F969">
        <v>3</v>
      </c>
    </row>
    <row r="970" spans="1:6" x14ac:dyDescent="0.2">
      <c r="A970">
        <v>3598</v>
      </c>
      <c r="B970" t="s">
        <v>318</v>
      </c>
      <c r="C970" t="s">
        <v>436</v>
      </c>
      <c r="D970" t="s">
        <v>507</v>
      </c>
      <c r="E970" s="16">
        <v>45939.423032407409</v>
      </c>
      <c r="F970">
        <v>3</v>
      </c>
    </row>
    <row r="971" spans="1:6" x14ac:dyDescent="0.2">
      <c r="A971">
        <v>3585</v>
      </c>
      <c r="B971" t="s">
        <v>314</v>
      </c>
      <c r="C971" t="s">
        <v>449</v>
      </c>
      <c r="D971" t="s">
        <v>499</v>
      </c>
      <c r="E971" s="16">
        <v>45706.184282407405</v>
      </c>
      <c r="F971">
        <v>3</v>
      </c>
    </row>
    <row r="972" spans="1:6" x14ac:dyDescent="0.2">
      <c r="A972">
        <v>32</v>
      </c>
      <c r="B972" t="s">
        <v>451</v>
      </c>
      <c r="C972" t="s">
        <v>521</v>
      </c>
      <c r="D972" t="s">
        <v>527</v>
      </c>
      <c r="E972" s="16">
        <v>45944.718356481484</v>
      </c>
      <c r="F972">
        <v>3</v>
      </c>
    </row>
    <row r="973" spans="1:6" x14ac:dyDescent="0.2">
      <c r="A973">
        <v>3662</v>
      </c>
      <c r="B973" t="s">
        <v>250</v>
      </c>
      <c r="C973" t="s">
        <v>449</v>
      </c>
      <c r="D973" t="s">
        <v>499</v>
      </c>
      <c r="E973" s="16">
        <v>45874.469988425924</v>
      </c>
      <c r="F973">
        <v>3</v>
      </c>
    </row>
    <row r="974" spans="1:6" x14ac:dyDescent="0.2">
      <c r="A974">
        <v>3640</v>
      </c>
      <c r="B974" t="s">
        <v>248</v>
      </c>
      <c r="C974" t="s">
        <v>521</v>
      </c>
      <c r="D974" t="s">
        <v>527</v>
      </c>
      <c r="E974" s="16">
        <v>45957.430347222224</v>
      </c>
      <c r="F974">
        <v>3</v>
      </c>
    </row>
    <row r="975" spans="1:6" x14ac:dyDescent="0.2">
      <c r="A975">
        <v>3594</v>
      </c>
      <c r="B975" t="s">
        <v>315</v>
      </c>
      <c r="C975" t="s">
        <v>449</v>
      </c>
      <c r="D975" t="s">
        <v>499</v>
      </c>
      <c r="E975" s="16">
        <v>45722.436562499999</v>
      </c>
      <c r="F975">
        <v>3</v>
      </c>
    </row>
    <row r="976" spans="1:6" x14ac:dyDescent="0.2">
      <c r="A976">
        <v>3289</v>
      </c>
      <c r="B976" t="s">
        <v>21</v>
      </c>
      <c r="C976" t="s">
        <v>521</v>
      </c>
      <c r="D976" t="s">
        <v>527</v>
      </c>
      <c r="E976" s="16">
        <v>45605.271597222221</v>
      </c>
      <c r="F976">
        <v>3</v>
      </c>
    </row>
    <row r="977" spans="1:6" x14ac:dyDescent="0.2">
      <c r="A977">
        <v>3688</v>
      </c>
      <c r="B977" t="s">
        <v>303</v>
      </c>
      <c r="C977" t="s">
        <v>449</v>
      </c>
      <c r="D977" t="s">
        <v>520</v>
      </c>
      <c r="E977" s="16">
        <v>45963.789120370369</v>
      </c>
      <c r="F977">
        <v>3</v>
      </c>
    </row>
    <row r="978" spans="1:6" x14ac:dyDescent="0.2">
      <c r="A978">
        <v>2629</v>
      </c>
      <c r="B978" t="s">
        <v>63</v>
      </c>
      <c r="C978" t="s">
        <v>474</v>
      </c>
      <c r="D978" t="s">
        <v>540</v>
      </c>
      <c r="E978" s="16">
        <v>45630.395624999997</v>
      </c>
      <c r="F978">
        <v>3</v>
      </c>
    </row>
    <row r="979" spans="1:6" x14ac:dyDescent="0.2">
      <c r="A979">
        <v>3696</v>
      </c>
      <c r="B979" t="s">
        <v>613</v>
      </c>
      <c r="C979" t="s">
        <v>449</v>
      </c>
      <c r="D979" t="s">
        <v>499</v>
      </c>
      <c r="E979" s="16">
        <v>45967.217557870368</v>
      </c>
      <c r="F979">
        <v>3</v>
      </c>
    </row>
    <row r="980" spans="1:6" x14ac:dyDescent="0.2">
      <c r="A980">
        <v>3564</v>
      </c>
      <c r="B980" t="s">
        <v>84</v>
      </c>
      <c r="C980" t="s">
        <v>521</v>
      </c>
      <c r="D980" t="s">
        <v>522</v>
      </c>
      <c r="E980" s="16">
        <v>45747.666284722225</v>
      </c>
      <c r="F980">
        <v>3</v>
      </c>
    </row>
    <row r="981" spans="1:6" x14ac:dyDescent="0.2">
      <c r="A981">
        <v>3697</v>
      </c>
      <c r="B981" t="s">
        <v>616</v>
      </c>
      <c r="C981" t="s">
        <v>449</v>
      </c>
      <c r="D981" t="s">
        <v>499</v>
      </c>
      <c r="E981" s="16">
        <v>45972.297453703701</v>
      </c>
      <c r="F981">
        <v>3</v>
      </c>
    </row>
    <row r="982" spans="1:6" x14ac:dyDescent="0.2">
      <c r="A982">
        <v>2780</v>
      </c>
      <c r="B982" t="s">
        <v>71</v>
      </c>
      <c r="C982" t="s">
        <v>436</v>
      </c>
      <c r="D982" t="s">
        <v>513</v>
      </c>
      <c r="E982" s="16">
        <v>45789.511018518519</v>
      </c>
      <c r="F982">
        <v>3</v>
      </c>
    </row>
    <row r="983" spans="1:6" x14ac:dyDescent="0.2">
      <c r="A983">
        <v>3610</v>
      </c>
      <c r="B983" t="s">
        <v>305</v>
      </c>
      <c r="C983" t="s">
        <v>521</v>
      </c>
      <c r="D983" t="s">
        <v>527</v>
      </c>
      <c r="E983" s="16">
        <v>45833.46230324074</v>
      </c>
      <c r="F983">
        <v>3</v>
      </c>
    </row>
    <row r="984" spans="1:6" x14ac:dyDescent="0.2">
      <c r="A984">
        <v>3605</v>
      </c>
      <c r="B984" t="s">
        <v>268</v>
      </c>
      <c r="C984" t="s">
        <v>521</v>
      </c>
      <c r="D984" t="s">
        <v>527</v>
      </c>
      <c r="E984" s="16">
        <v>45870.411817129629</v>
      </c>
      <c r="F984">
        <v>3</v>
      </c>
    </row>
    <row r="985" spans="1:6" x14ac:dyDescent="0.2">
      <c r="A985">
        <v>3664</v>
      </c>
      <c r="B985" t="s">
        <v>313</v>
      </c>
      <c r="C985" t="s">
        <v>521</v>
      </c>
      <c r="D985" t="s">
        <v>527</v>
      </c>
      <c r="E985" s="16">
        <v>45887.290289351855</v>
      </c>
      <c r="F985">
        <v>3</v>
      </c>
    </row>
    <row r="986" spans="1:6" x14ac:dyDescent="0.2">
      <c r="A986">
        <v>3585</v>
      </c>
      <c r="B986" t="s">
        <v>314</v>
      </c>
      <c r="C986" t="s">
        <v>521</v>
      </c>
      <c r="D986" t="s">
        <v>527</v>
      </c>
      <c r="E986" s="16">
        <v>45763.494409722225</v>
      </c>
      <c r="F986">
        <v>3</v>
      </c>
    </row>
    <row r="987" spans="1:6" x14ac:dyDescent="0.2">
      <c r="A987">
        <v>3662</v>
      </c>
      <c r="B987" t="s">
        <v>250</v>
      </c>
      <c r="C987" t="s">
        <v>436</v>
      </c>
      <c r="D987" t="s">
        <v>507</v>
      </c>
      <c r="E987" s="16">
        <v>45921.633692129632</v>
      </c>
      <c r="F987">
        <v>3</v>
      </c>
    </row>
    <row r="988" spans="1:6" x14ac:dyDescent="0.2">
      <c r="A988">
        <v>3594</v>
      </c>
      <c r="B988" t="s">
        <v>315</v>
      </c>
      <c r="C988" t="s">
        <v>521</v>
      </c>
      <c r="D988" t="s">
        <v>527</v>
      </c>
      <c r="E988" s="16">
        <v>45939.350659722222</v>
      </c>
      <c r="F988">
        <v>3</v>
      </c>
    </row>
    <row r="989" spans="1:6" x14ac:dyDescent="0.2">
      <c r="A989">
        <v>3649</v>
      </c>
      <c r="B989" t="s">
        <v>312</v>
      </c>
      <c r="C989" t="s">
        <v>436</v>
      </c>
      <c r="D989" t="s">
        <v>507</v>
      </c>
      <c r="E989" s="16">
        <v>45939.424270833333</v>
      </c>
      <c r="F989">
        <v>3</v>
      </c>
    </row>
    <row r="990" spans="1:6" x14ac:dyDescent="0.2">
      <c r="A990">
        <v>3456</v>
      </c>
      <c r="B990" t="s">
        <v>56</v>
      </c>
      <c r="C990" t="s">
        <v>474</v>
      </c>
      <c r="D990" t="s">
        <v>542</v>
      </c>
      <c r="E990" s="16">
        <v>45629.36824074074</v>
      </c>
      <c r="F990">
        <v>3</v>
      </c>
    </row>
    <row r="991" spans="1:6" x14ac:dyDescent="0.2">
      <c r="A991">
        <v>3351</v>
      </c>
      <c r="B991" t="s">
        <v>40</v>
      </c>
      <c r="C991" t="s">
        <v>474</v>
      </c>
      <c r="D991" t="s">
        <v>542</v>
      </c>
      <c r="E991" s="16">
        <v>45635.511608796296</v>
      </c>
      <c r="F991">
        <v>3</v>
      </c>
    </row>
    <row r="992" spans="1:6" x14ac:dyDescent="0.2">
      <c r="A992">
        <v>2556</v>
      </c>
      <c r="B992" t="s">
        <v>98</v>
      </c>
      <c r="C992" t="s">
        <v>474</v>
      </c>
      <c r="D992" t="s">
        <v>542</v>
      </c>
      <c r="E992" s="16">
        <v>45629.375358796293</v>
      </c>
      <c r="F992">
        <v>3</v>
      </c>
    </row>
    <row r="993" spans="1:6" x14ac:dyDescent="0.2">
      <c r="A993">
        <v>2449</v>
      </c>
      <c r="B993" t="s">
        <v>111</v>
      </c>
      <c r="C993" t="s">
        <v>521</v>
      </c>
      <c r="D993" t="s">
        <v>527</v>
      </c>
      <c r="E993" s="16">
        <v>45681.348900462966</v>
      </c>
      <c r="F993">
        <v>3</v>
      </c>
    </row>
    <row r="994" spans="1:6" x14ac:dyDescent="0.2">
      <c r="A994">
        <v>2526</v>
      </c>
      <c r="B994" t="s">
        <v>51</v>
      </c>
      <c r="C994" t="s">
        <v>436</v>
      </c>
      <c r="D994" t="s">
        <v>511</v>
      </c>
      <c r="E994" s="16">
        <v>45750.250092592592</v>
      </c>
      <c r="F994">
        <v>3</v>
      </c>
    </row>
    <row r="995" spans="1:6" x14ac:dyDescent="0.2">
      <c r="A995">
        <v>3606</v>
      </c>
      <c r="B995" t="s">
        <v>265</v>
      </c>
      <c r="C995" t="s">
        <v>521</v>
      </c>
      <c r="D995" t="s">
        <v>527</v>
      </c>
      <c r="E995" s="16">
        <v>45760.847337962965</v>
      </c>
      <c r="F995">
        <v>3</v>
      </c>
    </row>
    <row r="996" spans="1:6" x14ac:dyDescent="0.2">
      <c r="A996">
        <v>3664</v>
      </c>
      <c r="B996" t="s">
        <v>313</v>
      </c>
      <c r="C996" t="s">
        <v>436</v>
      </c>
      <c r="D996" t="s">
        <v>513</v>
      </c>
      <c r="E996" s="16">
        <v>45887.417569444442</v>
      </c>
      <c r="F996">
        <v>3</v>
      </c>
    </row>
    <row r="997" spans="1:6" x14ac:dyDescent="0.2">
      <c r="A997">
        <v>3576</v>
      </c>
      <c r="B997" t="s">
        <v>75</v>
      </c>
      <c r="C997" t="s">
        <v>521</v>
      </c>
      <c r="D997" t="s">
        <v>527</v>
      </c>
      <c r="E997" s="16">
        <v>45899.389733796299</v>
      </c>
      <c r="F997">
        <v>3</v>
      </c>
    </row>
    <row r="998" spans="1:6" x14ac:dyDescent="0.2">
      <c r="A998">
        <v>3674</v>
      </c>
      <c r="B998" t="s">
        <v>292</v>
      </c>
      <c r="C998" t="s">
        <v>521</v>
      </c>
      <c r="D998" t="s">
        <v>527</v>
      </c>
      <c r="E998" s="16">
        <v>45902.531527777777</v>
      </c>
      <c r="F998">
        <v>3</v>
      </c>
    </row>
    <row r="999" spans="1:6" x14ac:dyDescent="0.2">
      <c r="A999">
        <v>3220</v>
      </c>
      <c r="B999" t="s">
        <v>170</v>
      </c>
      <c r="C999" t="s">
        <v>521</v>
      </c>
      <c r="D999" t="s">
        <v>527</v>
      </c>
      <c r="E999" s="16">
        <v>45765.426319444443</v>
      </c>
      <c r="F999">
        <v>3</v>
      </c>
    </row>
    <row r="1000" spans="1:6" x14ac:dyDescent="0.2">
      <c r="A1000">
        <v>3662</v>
      </c>
      <c r="B1000" t="s">
        <v>250</v>
      </c>
      <c r="C1000" t="s">
        <v>436</v>
      </c>
      <c r="D1000" t="s">
        <v>508</v>
      </c>
      <c r="E1000" s="16">
        <v>45882.43414351852</v>
      </c>
      <c r="F1000">
        <v>3</v>
      </c>
    </row>
    <row r="1001" spans="1:6" x14ac:dyDescent="0.2">
      <c r="A1001">
        <v>3674</v>
      </c>
      <c r="B1001" t="s">
        <v>292</v>
      </c>
      <c r="C1001" t="s">
        <v>521</v>
      </c>
      <c r="D1001" t="s">
        <v>522</v>
      </c>
      <c r="E1001" s="16">
        <v>45929.785833333335</v>
      </c>
      <c r="F1001">
        <v>3</v>
      </c>
    </row>
    <row r="1002" spans="1:6" x14ac:dyDescent="0.2">
      <c r="A1002">
        <v>3664</v>
      </c>
      <c r="B1002" t="s">
        <v>313</v>
      </c>
      <c r="C1002" t="s">
        <v>521</v>
      </c>
      <c r="D1002" t="s">
        <v>562</v>
      </c>
      <c r="E1002" s="16">
        <v>45887.290289351855</v>
      </c>
      <c r="F1002">
        <v>2</v>
      </c>
    </row>
    <row r="1003" spans="1:6" x14ac:dyDescent="0.2">
      <c r="A1003">
        <v>3196</v>
      </c>
      <c r="B1003" t="s">
        <v>46</v>
      </c>
      <c r="C1003" t="s">
        <v>518</v>
      </c>
      <c r="D1003" t="s">
        <v>557</v>
      </c>
      <c r="E1003" s="16">
        <v>45668.362997685188</v>
      </c>
      <c r="F1003">
        <v>2</v>
      </c>
    </row>
    <row r="1004" spans="1:6" x14ac:dyDescent="0.2">
      <c r="A1004">
        <v>3674</v>
      </c>
      <c r="B1004" t="s">
        <v>292</v>
      </c>
      <c r="C1004" t="s">
        <v>521</v>
      </c>
      <c r="D1004" t="s">
        <v>562</v>
      </c>
      <c r="E1004" s="16">
        <v>45902.531527777777</v>
      </c>
      <c r="F1004">
        <v>2</v>
      </c>
    </row>
    <row r="1005" spans="1:6" x14ac:dyDescent="0.2">
      <c r="A1005">
        <v>3562</v>
      </c>
      <c r="B1005" t="s">
        <v>49</v>
      </c>
      <c r="C1005" t="s">
        <v>518</v>
      </c>
      <c r="D1005" t="s">
        <v>557</v>
      </c>
      <c r="E1005" s="16">
        <v>45824.467673611114</v>
      </c>
      <c r="F1005">
        <v>2</v>
      </c>
    </row>
    <row r="1006" spans="1:6" x14ac:dyDescent="0.2">
      <c r="A1006">
        <v>32</v>
      </c>
      <c r="B1006" t="s">
        <v>451</v>
      </c>
      <c r="C1006" t="s">
        <v>521</v>
      </c>
      <c r="D1006" t="s">
        <v>562</v>
      </c>
      <c r="E1006" s="16">
        <v>45944.718356481484</v>
      </c>
      <c r="F1006">
        <v>2</v>
      </c>
    </row>
    <row r="1007" spans="1:6" x14ac:dyDescent="0.2">
      <c r="A1007">
        <v>3220</v>
      </c>
      <c r="B1007" t="s">
        <v>170</v>
      </c>
      <c r="C1007" t="s">
        <v>521</v>
      </c>
      <c r="D1007" t="s">
        <v>561</v>
      </c>
      <c r="E1007" s="16">
        <v>45765.426319444443</v>
      </c>
      <c r="F1007">
        <v>2</v>
      </c>
    </row>
    <row r="1008" spans="1:6" x14ac:dyDescent="0.2">
      <c r="A1008">
        <v>2660</v>
      </c>
      <c r="B1008" t="s">
        <v>82</v>
      </c>
      <c r="C1008" t="s">
        <v>518</v>
      </c>
      <c r="D1008" t="s">
        <v>556</v>
      </c>
      <c r="E1008" s="16">
        <v>45643.355520833335</v>
      </c>
      <c r="F1008">
        <v>2</v>
      </c>
    </row>
    <row r="1009" spans="1:6" x14ac:dyDescent="0.2">
      <c r="A1009">
        <v>3624</v>
      </c>
      <c r="B1009" t="s">
        <v>302</v>
      </c>
      <c r="C1009" t="s">
        <v>521</v>
      </c>
      <c r="D1009" t="s">
        <v>565</v>
      </c>
      <c r="E1009" s="16">
        <v>45916.504351851851</v>
      </c>
      <c r="F1009">
        <v>2</v>
      </c>
    </row>
    <row r="1010" spans="1:6" x14ac:dyDescent="0.2">
      <c r="A1010">
        <v>2624</v>
      </c>
      <c r="B1010" t="s">
        <v>155</v>
      </c>
      <c r="C1010" t="s">
        <v>518</v>
      </c>
      <c r="D1010" t="s">
        <v>556</v>
      </c>
      <c r="E1010" s="16">
        <v>45789.787604166668</v>
      </c>
      <c r="F1010">
        <v>2</v>
      </c>
    </row>
    <row r="1011" spans="1:6" x14ac:dyDescent="0.2">
      <c r="A1011">
        <v>2727</v>
      </c>
      <c r="B1011" t="s">
        <v>160</v>
      </c>
      <c r="C1011" t="s">
        <v>462</v>
      </c>
      <c r="D1011" t="s">
        <v>549</v>
      </c>
      <c r="E1011" s="16">
        <v>45923.409166666665</v>
      </c>
      <c r="F1011">
        <v>2</v>
      </c>
    </row>
    <row r="1012" spans="1:6" x14ac:dyDescent="0.2">
      <c r="A1012">
        <v>3649</v>
      </c>
      <c r="B1012" t="s">
        <v>312</v>
      </c>
      <c r="C1012" t="s">
        <v>521</v>
      </c>
      <c r="D1012" t="s">
        <v>562</v>
      </c>
      <c r="E1012" s="16">
        <v>45853.616527777776</v>
      </c>
      <c r="F1012">
        <v>2</v>
      </c>
    </row>
    <row r="1013" spans="1:6" x14ac:dyDescent="0.2">
      <c r="A1013">
        <v>3614</v>
      </c>
      <c r="B1013" t="s">
        <v>217</v>
      </c>
      <c r="C1013" t="s">
        <v>462</v>
      </c>
      <c r="D1013" t="s">
        <v>549</v>
      </c>
      <c r="E1013" s="16">
        <v>45923.462210648147</v>
      </c>
      <c r="F1013">
        <v>2</v>
      </c>
    </row>
    <row r="1014" spans="1:6" x14ac:dyDescent="0.2">
      <c r="A1014">
        <v>3624</v>
      </c>
      <c r="B1014" t="s">
        <v>302</v>
      </c>
      <c r="C1014" t="s">
        <v>521</v>
      </c>
      <c r="D1014" t="s">
        <v>562</v>
      </c>
      <c r="E1014" s="16">
        <v>45916.504351851851</v>
      </c>
      <c r="F1014">
        <v>2</v>
      </c>
    </row>
    <row r="1015" spans="1:6" x14ac:dyDescent="0.2">
      <c r="A1015">
        <v>3019</v>
      </c>
      <c r="B1015" t="s">
        <v>176</v>
      </c>
      <c r="C1015" t="s">
        <v>462</v>
      </c>
      <c r="D1015" t="s">
        <v>549</v>
      </c>
      <c r="E1015" s="16">
        <v>45924.376446759263</v>
      </c>
      <c r="F1015">
        <v>2</v>
      </c>
    </row>
    <row r="1016" spans="1:6" x14ac:dyDescent="0.2">
      <c r="A1016">
        <v>3640</v>
      </c>
      <c r="B1016" t="s">
        <v>248</v>
      </c>
      <c r="C1016" t="s">
        <v>521</v>
      </c>
      <c r="D1016" t="s">
        <v>562</v>
      </c>
      <c r="E1016" s="16">
        <v>45957.430347222224</v>
      </c>
      <c r="F1016">
        <v>2</v>
      </c>
    </row>
    <row r="1017" spans="1:6" x14ac:dyDescent="0.2">
      <c r="A1017">
        <v>1168</v>
      </c>
      <c r="B1017" t="s">
        <v>146</v>
      </c>
      <c r="C1017" t="s">
        <v>518</v>
      </c>
      <c r="D1017" t="s">
        <v>557</v>
      </c>
      <c r="E1017" s="16">
        <v>45939.522106481483</v>
      </c>
      <c r="F1017">
        <v>2</v>
      </c>
    </row>
    <row r="1018" spans="1:6" x14ac:dyDescent="0.2">
      <c r="A1018">
        <v>86</v>
      </c>
      <c r="B1018" t="s">
        <v>163</v>
      </c>
      <c r="C1018" t="s">
        <v>518</v>
      </c>
      <c r="D1018" t="s">
        <v>556</v>
      </c>
      <c r="E1018" s="16">
        <v>45643.52679398148</v>
      </c>
      <c r="F1018">
        <v>2</v>
      </c>
    </row>
    <row r="1019" spans="1:6" x14ac:dyDescent="0.2">
      <c r="A1019">
        <v>3677</v>
      </c>
      <c r="B1019" t="s">
        <v>283</v>
      </c>
      <c r="C1019" t="s">
        <v>518</v>
      </c>
      <c r="D1019" t="s">
        <v>557</v>
      </c>
      <c r="E1019" s="16">
        <v>45939.433159722219</v>
      </c>
      <c r="F1019">
        <v>2</v>
      </c>
    </row>
    <row r="1020" spans="1:6" x14ac:dyDescent="0.2">
      <c r="A1020">
        <v>2549</v>
      </c>
      <c r="B1020" t="s">
        <v>203</v>
      </c>
      <c r="C1020" t="s">
        <v>518</v>
      </c>
      <c r="D1020" t="s">
        <v>556</v>
      </c>
      <c r="E1020" s="16">
        <v>45615.747870370367</v>
      </c>
      <c r="F1020">
        <v>2</v>
      </c>
    </row>
    <row r="1021" spans="1:6" x14ac:dyDescent="0.2">
      <c r="A1021">
        <v>3640</v>
      </c>
      <c r="B1021" t="s">
        <v>248</v>
      </c>
      <c r="C1021" t="s">
        <v>521</v>
      </c>
      <c r="D1021" t="s">
        <v>565</v>
      </c>
      <c r="E1021" s="16">
        <v>45957.430347222224</v>
      </c>
      <c r="F1021">
        <v>2</v>
      </c>
    </row>
    <row r="1022" spans="1:6" x14ac:dyDescent="0.2">
      <c r="A1022">
        <v>3605</v>
      </c>
      <c r="B1022" t="s">
        <v>268</v>
      </c>
      <c r="C1022" t="s">
        <v>521</v>
      </c>
      <c r="D1022" t="s">
        <v>562</v>
      </c>
      <c r="E1022" s="16">
        <v>45870.411817129629</v>
      </c>
      <c r="F1022">
        <v>2</v>
      </c>
    </row>
    <row r="1023" spans="1:6" x14ac:dyDescent="0.2">
      <c r="A1023">
        <v>3323</v>
      </c>
      <c r="B1023" t="s">
        <v>158</v>
      </c>
      <c r="C1023" t="s">
        <v>436</v>
      </c>
      <c r="D1023" t="s">
        <v>558</v>
      </c>
      <c r="E1023" s="16">
        <v>45628.665092592593</v>
      </c>
      <c r="F1023">
        <v>2</v>
      </c>
    </row>
    <row r="1024" spans="1:6" x14ac:dyDescent="0.2">
      <c r="A1024">
        <v>2279</v>
      </c>
      <c r="B1024" t="s">
        <v>167</v>
      </c>
      <c r="C1024" t="s">
        <v>521</v>
      </c>
      <c r="D1024" t="s">
        <v>562</v>
      </c>
      <c r="E1024" s="16">
        <v>45887.311041666668</v>
      </c>
      <c r="F1024">
        <v>2</v>
      </c>
    </row>
    <row r="1025" spans="1:6" x14ac:dyDescent="0.2">
      <c r="A1025">
        <v>3256</v>
      </c>
      <c r="B1025" t="s">
        <v>119</v>
      </c>
      <c r="C1025" t="s">
        <v>436</v>
      </c>
      <c r="D1025" t="s">
        <v>558</v>
      </c>
      <c r="E1025" s="16">
        <v>45645.674363425926</v>
      </c>
      <c r="F1025">
        <v>2</v>
      </c>
    </row>
    <row r="1026" spans="1:6" x14ac:dyDescent="0.2">
      <c r="A1026">
        <v>3220</v>
      </c>
      <c r="B1026" t="s">
        <v>170</v>
      </c>
      <c r="C1026" t="s">
        <v>521</v>
      </c>
      <c r="D1026" t="s">
        <v>562</v>
      </c>
      <c r="E1026" s="16">
        <v>45765.426307870373</v>
      </c>
      <c r="F1026">
        <v>2</v>
      </c>
    </row>
    <row r="1027" spans="1:6" x14ac:dyDescent="0.2">
      <c r="A1027">
        <v>3196</v>
      </c>
      <c r="B1027" t="s">
        <v>46</v>
      </c>
      <c r="C1027" t="s">
        <v>436</v>
      </c>
      <c r="D1027" t="s">
        <v>558</v>
      </c>
      <c r="E1027" s="16">
        <v>45668.362986111111</v>
      </c>
      <c r="F1027">
        <v>2</v>
      </c>
    </row>
    <row r="1028" spans="1:6" x14ac:dyDescent="0.2">
      <c r="A1028">
        <v>2582</v>
      </c>
      <c r="B1028" t="s">
        <v>85</v>
      </c>
      <c r="C1028" t="s">
        <v>521</v>
      </c>
      <c r="D1028" t="s">
        <v>562</v>
      </c>
      <c r="E1028" s="16">
        <v>45915.38621527778</v>
      </c>
      <c r="F1028">
        <v>2</v>
      </c>
    </row>
    <row r="1029" spans="1:6" x14ac:dyDescent="0.2">
      <c r="A1029">
        <v>3564</v>
      </c>
      <c r="B1029" t="s">
        <v>84</v>
      </c>
      <c r="C1029" t="s">
        <v>518</v>
      </c>
      <c r="D1029" t="s">
        <v>557</v>
      </c>
      <c r="E1029" s="16">
        <v>45788.70815972222</v>
      </c>
      <c r="F1029">
        <v>2</v>
      </c>
    </row>
    <row r="1030" spans="1:6" x14ac:dyDescent="0.2">
      <c r="A1030">
        <v>3594</v>
      </c>
      <c r="B1030" t="s">
        <v>315</v>
      </c>
      <c r="C1030" t="s">
        <v>521</v>
      </c>
      <c r="D1030" t="s">
        <v>562</v>
      </c>
      <c r="E1030" s="16">
        <v>45939.350659722222</v>
      </c>
      <c r="F1030">
        <v>2</v>
      </c>
    </row>
    <row r="1031" spans="1:6" x14ac:dyDescent="0.2">
      <c r="A1031">
        <v>2968</v>
      </c>
      <c r="B1031" t="s">
        <v>201</v>
      </c>
      <c r="C1031" t="s">
        <v>436</v>
      </c>
      <c r="D1031" t="s">
        <v>558</v>
      </c>
      <c r="E1031" s="16">
        <v>45859.534351851849</v>
      </c>
      <c r="F1031">
        <v>2</v>
      </c>
    </row>
    <row r="1032" spans="1:6" x14ac:dyDescent="0.2">
      <c r="A1032">
        <v>3289</v>
      </c>
      <c r="B1032" t="s">
        <v>21</v>
      </c>
      <c r="C1032" t="s">
        <v>521</v>
      </c>
      <c r="D1032" t="s">
        <v>562</v>
      </c>
      <c r="E1032" s="16">
        <v>45605.271597222221</v>
      </c>
      <c r="F1032">
        <v>2</v>
      </c>
    </row>
    <row r="1033" spans="1:6" x14ac:dyDescent="0.2">
      <c r="A1033">
        <v>3605</v>
      </c>
      <c r="B1033" t="s">
        <v>268</v>
      </c>
      <c r="C1033" t="s">
        <v>521</v>
      </c>
      <c r="D1033" t="s">
        <v>561</v>
      </c>
      <c r="E1033" s="16">
        <v>45870.411817129629</v>
      </c>
      <c r="F1033">
        <v>2</v>
      </c>
    </row>
    <row r="1034" spans="1:6" x14ac:dyDescent="0.2">
      <c r="A1034">
        <v>3598</v>
      </c>
      <c r="B1034" t="s">
        <v>318</v>
      </c>
      <c r="C1034" t="s">
        <v>449</v>
      </c>
      <c r="D1034" t="s">
        <v>547</v>
      </c>
      <c r="E1034" s="16">
        <v>45734.572442129633</v>
      </c>
      <c r="F1034">
        <v>2</v>
      </c>
    </row>
    <row r="1035" spans="1:6" x14ac:dyDescent="0.2">
      <c r="A1035">
        <v>3648</v>
      </c>
      <c r="B1035" t="s">
        <v>261</v>
      </c>
      <c r="C1035" t="s">
        <v>436</v>
      </c>
      <c r="D1035" t="s">
        <v>558</v>
      </c>
      <c r="E1035" s="16">
        <v>45900.647187499999</v>
      </c>
      <c r="F1035">
        <v>2</v>
      </c>
    </row>
    <row r="1036" spans="1:6" x14ac:dyDescent="0.2">
      <c r="A1036">
        <v>3606</v>
      </c>
      <c r="B1036" t="s">
        <v>265</v>
      </c>
      <c r="C1036" t="s">
        <v>449</v>
      </c>
      <c r="D1036" t="s">
        <v>547</v>
      </c>
      <c r="E1036" s="16">
        <v>45747.736527777779</v>
      </c>
      <c r="F1036">
        <v>2</v>
      </c>
    </row>
    <row r="1037" spans="1:6" x14ac:dyDescent="0.2">
      <c r="A1037">
        <v>3220</v>
      </c>
      <c r="B1037" t="s">
        <v>170</v>
      </c>
      <c r="C1037" t="s">
        <v>521</v>
      </c>
      <c r="D1037" t="s">
        <v>565</v>
      </c>
      <c r="E1037" s="16">
        <v>45765.426319444443</v>
      </c>
      <c r="F1037">
        <v>2</v>
      </c>
    </row>
    <row r="1038" spans="1:6" x14ac:dyDescent="0.2">
      <c r="A1038">
        <v>3618</v>
      </c>
      <c r="B1038" t="s">
        <v>325</v>
      </c>
      <c r="C1038" t="s">
        <v>449</v>
      </c>
      <c r="D1038" t="s">
        <v>547</v>
      </c>
      <c r="E1038" s="16">
        <v>45763.257731481484</v>
      </c>
      <c r="F1038">
        <v>2</v>
      </c>
    </row>
    <row r="1039" spans="1:6" x14ac:dyDescent="0.2">
      <c r="A1039">
        <v>3624</v>
      </c>
      <c r="B1039" t="s">
        <v>302</v>
      </c>
      <c r="C1039" t="s">
        <v>521</v>
      </c>
      <c r="D1039" t="s">
        <v>561</v>
      </c>
      <c r="E1039" s="16">
        <v>45916.504351851851</v>
      </c>
      <c r="F1039">
        <v>2</v>
      </c>
    </row>
    <row r="1040" spans="1:6" x14ac:dyDescent="0.2">
      <c r="A1040">
        <v>3636</v>
      </c>
      <c r="B1040" t="s">
        <v>270</v>
      </c>
      <c r="C1040" t="s">
        <v>449</v>
      </c>
      <c r="D1040" t="s">
        <v>547</v>
      </c>
      <c r="E1040" s="16">
        <v>45788.748032407406</v>
      </c>
      <c r="F1040">
        <v>2</v>
      </c>
    </row>
    <row r="1041" spans="1:6" x14ac:dyDescent="0.2">
      <c r="A1041">
        <v>2523</v>
      </c>
      <c r="B1041" t="s">
        <v>142</v>
      </c>
      <c r="C1041" t="s">
        <v>521</v>
      </c>
      <c r="D1041" t="s">
        <v>559</v>
      </c>
      <c r="E1041" s="16">
        <v>45924.375231481485</v>
      </c>
      <c r="F1041">
        <v>2</v>
      </c>
    </row>
    <row r="1042" spans="1:6" x14ac:dyDescent="0.2">
      <c r="A1042">
        <v>3640</v>
      </c>
      <c r="B1042" t="s">
        <v>248</v>
      </c>
      <c r="C1042" t="s">
        <v>449</v>
      </c>
      <c r="D1042" t="s">
        <v>547</v>
      </c>
      <c r="E1042" s="16">
        <v>45792.227685185186</v>
      </c>
      <c r="F1042">
        <v>2</v>
      </c>
    </row>
    <row r="1043" spans="1:6" x14ac:dyDescent="0.2">
      <c r="A1043">
        <v>3199</v>
      </c>
      <c r="B1043" t="s">
        <v>168</v>
      </c>
      <c r="C1043" t="s">
        <v>462</v>
      </c>
      <c r="D1043" t="s">
        <v>549</v>
      </c>
      <c r="E1043" s="16">
        <v>45930.533622685187</v>
      </c>
      <c r="F1043">
        <v>2</v>
      </c>
    </row>
    <row r="1044" spans="1:6" x14ac:dyDescent="0.2">
      <c r="A1044">
        <v>3576</v>
      </c>
      <c r="B1044" t="s">
        <v>75</v>
      </c>
      <c r="C1044" t="s">
        <v>449</v>
      </c>
      <c r="D1044" t="s">
        <v>547</v>
      </c>
      <c r="E1044" s="16">
        <v>45691.699594907404</v>
      </c>
      <c r="F1044">
        <v>2</v>
      </c>
    </row>
    <row r="1045" spans="1:6" x14ac:dyDescent="0.2">
      <c r="A1045">
        <v>3550</v>
      </c>
      <c r="B1045" t="s">
        <v>24</v>
      </c>
      <c r="C1045" t="s">
        <v>518</v>
      </c>
      <c r="D1045" t="s">
        <v>555</v>
      </c>
      <c r="E1045" s="16">
        <v>45605.273078703707</v>
      </c>
      <c r="F1045">
        <v>2</v>
      </c>
    </row>
    <row r="1046" spans="1:6" x14ac:dyDescent="0.2">
      <c r="A1046">
        <v>3647</v>
      </c>
      <c r="B1046" t="s">
        <v>310</v>
      </c>
      <c r="C1046" t="s">
        <v>449</v>
      </c>
      <c r="D1046" t="s">
        <v>547</v>
      </c>
      <c r="E1046" s="16">
        <v>45822.282708333332</v>
      </c>
      <c r="F1046">
        <v>2</v>
      </c>
    </row>
    <row r="1047" spans="1:6" x14ac:dyDescent="0.2">
      <c r="A1047">
        <v>3304</v>
      </c>
      <c r="B1047" t="s">
        <v>74</v>
      </c>
      <c r="C1047" t="s">
        <v>436</v>
      </c>
      <c r="D1047" t="s">
        <v>558</v>
      </c>
      <c r="E1047" s="16">
        <v>45630.345208333332</v>
      </c>
      <c r="F1047">
        <v>2</v>
      </c>
    </row>
    <row r="1048" spans="1:6" x14ac:dyDescent="0.2">
      <c r="A1048">
        <v>3660</v>
      </c>
      <c r="B1048" t="s">
        <v>285</v>
      </c>
      <c r="C1048" t="s">
        <v>449</v>
      </c>
      <c r="D1048" t="s">
        <v>547</v>
      </c>
      <c r="E1048" s="16">
        <v>45874.465428240743</v>
      </c>
      <c r="F1048">
        <v>2</v>
      </c>
    </row>
    <row r="1049" spans="1:6" x14ac:dyDescent="0.2">
      <c r="A1049">
        <v>3196</v>
      </c>
      <c r="B1049" t="s">
        <v>46</v>
      </c>
      <c r="C1049" t="s">
        <v>518</v>
      </c>
      <c r="D1049" t="s">
        <v>555</v>
      </c>
      <c r="E1049" s="16">
        <v>45668.362997685188</v>
      </c>
      <c r="F1049">
        <v>2</v>
      </c>
    </row>
    <row r="1050" spans="1:6" x14ac:dyDescent="0.2">
      <c r="A1050">
        <v>3672</v>
      </c>
      <c r="B1050" t="s">
        <v>323</v>
      </c>
      <c r="C1050" t="s">
        <v>449</v>
      </c>
      <c r="D1050" t="s">
        <v>547</v>
      </c>
      <c r="E1050" s="16">
        <v>45892.797662037039</v>
      </c>
      <c r="F1050">
        <v>2</v>
      </c>
    </row>
    <row r="1051" spans="1:6" x14ac:dyDescent="0.2">
      <c r="A1051">
        <v>3562</v>
      </c>
      <c r="B1051" t="s">
        <v>49</v>
      </c>
      <c r="C1051" t="s">
        <v>518</v>
      </c>
      <c r="D1051" t="s">
        <v>555</v>
      </c>
      <c r="E1051" s="16">
        <v>45824.467673611114</v>
      </c>
      <c r="F1051">
        <v>2</v>
      </c>
    </row>
    <row r="1052" spans="1:6" x14ac:dyDescent="0.2">
      <c r="A1052">
        <v>3678</v>
      </c>
      <c r="B1052" t="s">
        <v>295</v>
      </c>
      <c r="C1052" t="s">
        <v>449</v>
      </c>
      <c r="D1052" t="s">
        <v>547</v>
      </c>
      <c r="E1052" s="16">
        <v>45907.655532407407</v>
      </c>
      <c r="F1052">
        <v>2</v>
      </c>
    </row>
    <row r="1053" spans="1:6" x14ac:dyDescent="0.2">
      <c r="A1053">
        <v>3649</v>
      </c>
      <c r="B1053" t="s">
        <v>312</v>
      </c>
      <c r="C1053" t="s">
        <v>521</v>
      </c>
      <c r="D1053" t="s">
        <v>565</v>
      </c>
      <c r="E1053" s="16">
        <v>45853.616527777776</v>
      </c>
      <c r="F1053">
        <v>2</v>
      </c>
    </row>
    <row r="1054" spans="1:6" x14ac:dyDescent="0.2">
      <c r="A1054">
        <v>3656</v>
      </c>
      <c r="B1054" t="s">
        <v>259</v>
      </c>
      <c r="C1054" t="s">
        <v>518</v>
      </c>
      <c r="D1054" t="s">
        <v>552</v>
      </c>
      <c r="E1054" s="16">
        <v>45912.46361111111</v>
      </c>
      <c r="F1054">
        <v>2</v>
      </c>
    </row>
    <row r="1055" spans="1:6" x14ac:dyDescent="0.2">
      <c r="A1055">
        <v>3605</v>
      </c>
      <c r="B1055" t="s">
        <v>268</v>
      </c>
      <c r="C1055" t="s">
        <v>521</v>
      </c>
      <c r="D1055" t="s">
        <v>565</v>
      </c>
      <c r="E1055" s="16">
        <v>45870.411817129629</v>
      </c>
      <c r="F1055">
        <v>2</v>
      </c>
    </row>
    <row r="1056" spans="1:6" x14ac:dyDescent="0.2">
      <c r="A1056">
        <v>3681</v>
      </c>
      <c r="B1056" t="s">
        <v>289</v>
      </c>
      <c r="C1056" t="s">
        <v>449</v>
      </c>
      <c r="D1056" t="s">
        <v>547</v>
      </c>
      <c r="E1056" s="16">
        <v>45919.730474537035</v>
      </c>
      <c r="F1056">
        <v>2</v>
      </c>
    </row>
    <row r="1057" spans="1:6" x14ac:dyDescent="0.2">
      <c r="A1057">
        <v>2582</v>
      </c>
      <c r="B1057" t="s">
        <v>85</v>
      </c>
      <c r="C1057" t="s">
        <v>521</v>
      </c>
      <c r="D1057" t="s">
        <v>561</v>
      </c>
      <c r="E1057" s="16">
        <v>45915.38621527778</v>
      </c>
      <c r="F1057">
        <v>2</v>
      </c>
    </row>
    <row r="1058" spans="1:6" x14ac:dyDescent="0.2">
      <c r="A1058">
        <v>3662</v>
      </c>
      <c r="B1058" t="s">
        <v>250</v>
      </c>
      <c r="C1058" t="s">
        <v>449</v>
      </c>
      <c r="D1058" t="s">
        <v>547</v>
      </c>
      <c r="E1058" s="16">
        <v>45874.469988425924</v>
      </c>
      <c r="F1058">
        <v>2</v>
      </c>
    </row>
    <row r="1059" spans="1:6" x14ac:dyDescent="0.2">
      <c r="A1059">
        <v>3245</v>
      </c>
      <c r="B1059" t="s">
        <v>67</v>
      </c>
      <c r="C1059" t="s">
        <v>462</v>
      </c>
      <c r="D1059" t="s">
        <v>549</v>
      </c>
      <c r="E1059" s="16">
        <v>45938.631678240738</v>
      </c>
      <c r="F1059">
        <v>2</v>
      </c>
    </row>
    <row r="1060" spans="1:6" x14ac:dyDescent="0.2">
      <c r="A1060">
        <v>3429</v>
      </c>
      <c r="B1060" t="s">
        <v>134</v>
      </c>
      <c r="C1060" t="s">
        <v>521</v>
      </c>
      <c r="D1060" t="s">
        <v>560</v>
      </c>
      <c r="E1060" s="16">
        <v>45924.654999999999</v>
      </c>
      <c r="F1060">
        <v>2</v>
      </c>
    </row>
    <row r="1061" spans="1:6" x14ac:dyDescent="0.2">
      <c r="A1061">
        <v>3677</v>
      </c>
      <c r="B1061" t="s">
        <v>283</v>
      </c>
      <c r="C1061" t="s">
        <v>518</v>
      </c>
      <c r="D1061" t="s">
        <v>555</v>
      </c>
      <c r="E1061" s="16">
        <v>45944.416747685187</v>
      </c>
      <c r="F1061">
        <v>2</v>
      </c>
    </row>
    <row r="1062" spans="1:6" x14ac:dyDescent="0.2">
      <c r="A1062">
        <v>3564</v>
      </c>
      <c r="B1062" t="s">
        <v>84</v>
      </c>
      <c r="C1062" t="s">
        <v>462</v>
      </c>
      <c r="D1062" t="s">
        <v>548</v>
      </c>
      <c r="E1062" s="16">
        <v>45930.506319444445</v>
      </c>
      <c r="F1062">
        <v>2</v>
      </c>
    </row>
    <row r="1063" spans="1:6" x14ac:dyDescent="0.2">
      <c r="A1063">
        <v>2549</v>
      </c>
      <c r="B1063" t="s">
        <v>203</v>
      </c>
      <c r="C1063" t="s">
        <v>518</v>
      </c>
      <c r="D1063" t="s">
        <v>557</v>
      </c>
      <c r="E1063" s="16">
        <v>45615.747870370367</v>
      </c>
      <c r="F1063">
        <v>2</v>
      </c>
    </row>
    <row r="1064" spans="1:6" x14ac:dyDescent="0.2">
      <c r="A1064">
        <v>3245</v>
      </c>
      <c r="B1064" t="s">
        <v>67</v>
      </c>
      <c r="C1064" t="s">
        <v>462</v>
      </c>
      <c r="D1064" t="s">
        <v>548</v>
      </c>
      <c r="E1064" s="16">
        <v>45938.631678240738</v>
      </c>
      <c r="F1064">
        <v>2</v>
      </c>
    </row>
    <row r="1065" spans="1:6" x14ac:dyDescent="0.2">
      <c r="A1065">
        <v>3112</v>
      </c>
      <c r="B1065" t="s">
        <v>88</v>
      </c>
      <c r="C1065" t="s">
        <v>436</v>
      </c>
      <c r="D1065" t="s">
        <v>558</v>
      </c>
      <c r="E1065" s="16">
        <v>45622.357905092591</v>
      </c>
      <c r="F1065">
        <v>2</v>
      </c>
    </row>
    <row r="1066" spans="1:6" x14ac:dyDescent="0.2">
      <c r="A1066">
        <v>3676</v>
      </c>
      <c r="B1066" t="s">
        <v>239</v>
      </c>
      <c r="C1066" t="s">
        <v>462</v>
      </c>
      <c r="D1066" t="s">
        <v>551</v>
      </c>
      <c r="E1066" s="16">
        <v>45947.612986111111</v>
      </c>
      <c r="F1066">
        <v>2</v>
      </c>
    </row>
    <row r="1067" spans="1:6" x14ac:dyDescent="0.2">
      <c r="A1067">
        <v>2660</v>
      </c>
      <c r="B1067" t="s">
        <v>82</v>
      </c>
      <c r="C1067" t="s">
        <v>518</v>
      </c>
      <c r="D1067" t="s">
        <v>557</v>
      </c>
      <c r="E1067" s="16">
        <v>45643.355520833335</v>
      </c>
      <c r="F1067">
        <v>2</v>
      </c>
    </row>
    <row r="1068" spans="1:6" x14ac:dyDescent="0.2">
      <c r="A1068">
        <v>3688</v>
      </c>
      <c r="B1068" t="s">
        <v>303</v>
      </c>
      <c r="C1068" t="s">
        <v>449</v>
      </c>
      <c r="D1068" t="s">
        <v>547</v>
      </c>
      <c r="E1068" s="16">
        <v>45949.258333333331</v>
      </c>
      <c r="F1068">
        <v>2</v>
      </c>
    </row>
    <row r="1069" spans="1:6" x14ac:dyDescent="0.2">
      <c r="A1069">
        <v>3564</v>
      </c>
      <c r="B1069" t="s">
        <v>84</v>
      </c>
      <c r="C1069" t="s">
        <v>518</v>
      </c>
      <c r="D1069" t="s">
        <v>555</v>
      </c>
      <c r="E1069" s="16">
        <v>45788.708414351851</v>
      </c>
      <c r="F1069">
        <v>2</v>
      </c>
    </row>
    <row r="1070" spans="1:6" x14ac:dyDescent="0.2">
      <c r="A1070">
        <v>3696</v>
      </c>
      <c r="B1070" t="s">
        <v>613</v>
      </c>
      <c r="C1070" t="s">
        <v>449</v>
      </c>
      <c r="D1070" t="s">
        <v>547</v>
      </c>
      <c r="E1070" s="16">
        <v>45967.217557870368</v>
      </c>
      <c r="F1070">
        <v>2</v>
      </c>
    </row>
    <row r="1071" spans="1:6" x14ac:dyDescent="0.2">
      <c r="A1071">
        <v>3626</v>
      </c>
      <c r="B1071" t="s">
        <v>316</v>
      </c>
      <c r="C1071" t="s">
        <v>518</v>
      </c>
      <c r="D1071" t="s">
        <v>555</v>
      </c>
      <c r="E1071" s="16">
        <v>45793.280219907407</v>
      </c>
      <c r="F1071">
        <v>2</v>
      </c>
    </row>
    <row r="1072" spans="1:6" x14ac:dyDescent="0.2">
      <c r="A1072">
        <v>2549</v>
      </c>
      <c r="B1072" t="s">
        <v>203</v>
      </c>
      <c r="C1072" t="s">
        <v>518</v>
      </c>
      <c r="D1072" t="s">
        <v>552</v>
      </c>
      <c r="E1072" s="16">
        <v>45615.747870370367</v>
      </c>
      <c r="F1072">
        <v>2</v>
      </c>
    </row>
    <row r="1073" spans="1:6" x14ac:dyDescent="0.2">
      <c r="A1073">
        <v>3649</v>
      </c>
      <c r="B1073" t="s">
        <v>312</v>
      </c>
      <c r="C1073" t="s">
        <v>521</v>
      </c>
      <c r="D1073" t="s">
        <v>561</v>
      </c>
      <c r="E1073" s="16">
        <v>45853.616527777776</v>
      </c>
      <c r="F1073">
        <v>2</v>
      </c>
    </row>
    <row r="1074" spans="1:6" x14ac:dyDescent="0.2">
      <c r="A1074">
        <v>3562</v>
      </c>
      <c r="B1074" t="s">
        <v>49</v>
      </c>
      <c r="C1074" t="s">
        <v>449</v>
      </c>
      <c r="D1074" t="s">
        <v>547</v>
      </c>
      <c r="E1074" s="16">
        <v>45663.721226851849</v>
      </c>
      <c r="F1074">
        <v>2</v>
      </c>
    </row>
    <row r="1075" spans="1:6" x14ac:dyDescent="0.2">
      <c r="A1075">
        <v>2582</v>
      </c>
      <c r="B1075" t="s">
        <v>85</v>
      </c>
      <c r="C1075" t="s">
        <v>521</v>
      </c>
      <c r="D1075" t="s">
        <v>565</v>
      </c>
      <c r="E1075" s="16">
        <v>45915.38621527778</v>
      </c>
      <c r="F1075">
        <v>2</v>
      </c>
    </row>
    <row r="1076" spans="1:6" x14ac:dyDescent="0.2">
      <c r="A1076">
        <v>3564</v>
      </c>
      <c r="B1076" t="s">
        <v>84</v>
      </c>
      <c r="C1076" t="s">
        <v>449</v>
      </c>
      <c r="D1076" t="s">
        <v>547</v>
      </c>
      <c r="E1076" s="16">
        <v>45668.202303240738</v>
      </c>
      <c r="F1076">
        <v>2</v>
      </c>
    </row>
    <row r="1077" spans="1:6" x14ac:dyDescent="0.2">
      <c r="A1077">
        <v>3429</v>
      </c>
      <c r="B1077" t="s">
        <v>134</v>
      </c>
      <c r="C1077" t="s">
        <v>521</v>
      </c>
      <c r="D1077" t="s">
        <v>559</v>
      </c>
      <c r="E1077" s="16">
        <v>45924.654999999999</v>
      </c>
      <c r="F1077">
        <v>2</v>
      </c>
    </row>
    <row r="1078" spans="1:6" x14ac:dyDescent="0.2">
      <c r="A1078">
        <v>3597</v>
      </c>
      <c r="B1078" t="s">
        <v>319</v>
      </c>
      <c r="C1078" t="s">
        <v>449</v>
      </c>
      <c r="D1078" t="s">
        <v>547</v>
      </c>
      <c r="E1078" s="16">
        <v>45734.227384259262</v>
      </c>
      <c r="F1078">
        <v>2</v>
      </c>
    </row>
    <row r="1079" spans="1:6" x14ac:dyDescent="0.2">
      <c r="A1079">
        <v>3564</v>
      </c>
      <c r="B1079" t="s">
        <v>84</v>
      </c>
      <c r="C1079" t="s">
        <v>462</v>
      </c>
      <c r="D1079" t="s">
        <v>549</v>
      </c>
      <c r="E1079" s="16">
        <v>45930.506319444445</v>
      </c>
      <c r="F1079">
        <v>2</v>
      </c>
    </row>
    <row r="1080" spans="1:6" x14ac:dyDescent="0.2">
      <c r="A1080">
        <v>3564</v>
      </c>
      <c r="B1080" t="s">
        <v>84</v>
      </c>
      <c r="C1080" t="s">
        <v>462</v>
      </c>
      <c r="D1080" t="s">
        <v>551</v>
      </c>
      <c r="E1080" s="16">
        <v>45747.667731481481</v>
      </c>
      <c r="F1080">
        <v>2</v>
      </c>
    </row>
    <row r="1081" spans="1:6" x14ac:dyDescent="0.2">
      <c r="A1081">
        <v>3594</v>
      </c>
      <c r="B1081" t="s">
        <v>315</v>
      </c>
      <c r="C1081" t="s">
        <v>518</v>
      </c>
      <c r="D1081" t="s">
        <v>555</v>
      </c>
      <c r="E1081" s="16">
        <v>45784.677164351851</v>
      </c>
      <c r="F1081">
        <v>2</v>
      </c>
    </row>
    <row r="1082" spans="1:6" x14ac:dyDescent="0.2">
      <c r="A1082">
        <v>3610</v>
      </c>
      <c r="B1082" t="s">
        <v>305</v>
      </c>
      <c r="C1082" t="s">
        <v>449</v>
      </c>
      <c r="D1082" t="s">
        <v>547</v>
      </c>
      <c r="E1082" s="16">
        <v>45750.273263888892</v>
      </c>
      <c r="F1082">
        <v>2</v>
      </c>
    </row>
    <row r="1083" spans="1:6" x14ac:dyDescent="0.2">
      <c r="A1083">
        <v>3594</v>
      </c>
      <c r="B1083" t="s">
        <v>315</v>
      </c>
      <c r="C1083" t="s">
        <v>518</v>
      </c>
      <c r="D1083" t="s">
        <v>557</v>
      </c>
      <c r="E1083" s="16">
        <v>45789.637187499997</v>
      </c>
      <c r="F1083">
        <v>2</v>
      </c>
    </row>
    <row r="1084" spans="1:6" x14ac:dyDescent="0.2">
      <c r="A1084">
        <v>3615</v>
      </c>
      <c r="B1084" t="s">
        <v>236</v>
      </c>
      <c r="C1084" t="s">
        <v>449</v>
      </c>
      <c r="D1084" t="s">
        <v>547</v>
      </c>
      <c r="E1084" s="16">
        <v>45756.323969907404</v>
      </c>
      <c r="F1084">
        <v>2</v>
      </c>
    </row>
    <row r="1085" spans="1:6" x14ac:dyDescent="0.2">
      <c r="A1085">
        <v>2964</v>
      </c>
      <c r="B1085" t="s">
        <v>153</v>
      </c>
      <c r="C1085" t="s">
        <v>462</v>
      </c>
      <c r="D1085" t="s">
        <v>549</v>
      </c>
      <c r="E1085" s="16">
        <v>45952.477627314816</v>
      </c>
      <c r="F1085">
        <v>2</v>
      </c>
    </row>
    <row r="1086" spans="1:6" x14ac:dyDescent="0.2">
      <c r="A1086">
        <v>3614</v>
      </c>
      <c r="B1086" t="s">
        <v>217</v>
      </c>
      <c r="C1086" t="s">
        <v>462</v>
      </c>
      <c r="D1086" t="s">
        <v>551</v>
      </c>
      <c r="E1086" s="16">
        <v>45781.346319444441</v>
      </c>
      <c r="F1086">
        <v>2</v>
      </c>
    </row>
    <row r="1087" spans="1:6" x14ac:dyDescent="0.2">
      <c r="A1087">
        <v>3640</v>
      </c>
      <c r="B1087" t="s">
        <v>248</v>
      </c>
      <c r="C1087" t="s">
        <v>521</v>
      </c>
      <c r="D1087" t="s">
        <v>561</v>
      </c>
      <c r="E1087" s="16">
        <v>45957.430347222224</v>
      </c>
      <c r="F1087">
        <v>2</v>
      </c>
    </row>
    <row r="1088" spans="1:6" x14ac:dyDescent="0.2">
      <c r="A1088">
        <v>3639</v>
      </c>
      <c r="B1088" t="s">
        <v>308</v>
      </c>
      <c r="C1088" t="s">
        <v>449</v>
      </c>
      <c r="D1088" t="s">
        <v>547</v>
      </c>
      <c r="E1088" s="16">
        <v>45791.366180555553</v>
      </c>
      <c r="F1088">
        <v>2</v>
      </c>
    </row>
    <row r="1089" spans="1:6" x14ac:dyDescent="0.2">
      <c r="A1089">
        <v>86</v>
      </c>
      <c r="B1089" t="s">
        <v>163</v>
      </c>
      <c r="C1089" t="s">
        <v>518</v>
      </c>
      <c r="D1089" t="s">
        <v>554</v>
      </c>
      <c r="E1089" s="16">
        <v>45643.52679398148</v>
      </c>
      <c r="F1089">
        <v>2</v>
      </c>
    </row>
    <row r="1090" spans="1:6" x14ac:dyDescent="0.2">
      <c r="A1090">
        <v>3626</v>
      </c>
      <c r="B1090" t="s">
        <v>316</v>
      </c>
      <c r="C1090" t="s">
        <v>518</v>
      </c>
      <c r="D1090" t="s">
        <v>552</v>
      </c>
      <c r="E1090" s="16">
        <v>45793.280219907407</v>
      </c>
      <c r="F1090">
        <v>2</v>
      </c>
    </row>
    <row r="1091" spans="1:6" x14ac:dyDescent="0.2">
      <c r="A1091">
        <v>86</v>
      </c>
      <c r="B1091" t="s">
        <v>163</v>
      </c>
      <c r="C1091" t="s">
        <v>518</v>
      </c>
      <c r="D1091" t="s">
        <v>553</v>
      </c>
      <c r="E1091" s="16">
        <v>45643.52679398148</v>
      </c>
      <c r="F1091">
        <v>2</v>
      </c>
    </row>
    <row r="1092" spans="1:6" x14ac:dyDescent="0.2">
      <c r="A1092">
        <v>3582</v>
      </c>
      <c r="B1092" t="s">
        <v>211</v>
      </c>
      <c r="C1092" t="s">
        <v>449</v>
      </c>
      <c r="D1092" t="s">
        <v>547</v>
      </c>
      <c r="E1092" s="16">
        <v>45700.446423611109</v>
      </c>
      <c r="F1092">
        <v>2</v>
      </c>
    </row>
    <row r="1093" spans="1:6" x14ac:dyDescent="0.2">
      <c r="A1093">
        <v>3649</v>
      </c>
      <c r="B1093" t="s">
        <v>312</v>
      </c>
      <c r="C1093" t="s">
        <v>521</v>
      </c>
      <c r="D1093" t="s">
        <v>564</v>
      </c>
      <c r="E1093" s="16">
        <v>45853.616527777776</v>
      </c>
      <c r="F1093">
        <v>2</v>
      </c>
    </row>
    <row r="1094" spans="1:6" x14ac:dyDescent="0.2">
      <c r="A1094">
        <v>3644</v>
      </c>
      <c r="B1094" t="s">
        <v>299</v>
      </c>
      <c r="C1094" t="s">
        <v>449</v>
      </c>
      <c r="D1094" t="s">
        <v>547</v>
      </c>
      <c r="E1094" s="16">
        <v>45807.253159722219</v>
      </c>
      <c r="F1094">
        <v>2</v>
      </c>
    </row>
    <row r="1095" spans="1:6" x14ac:dyDescent="0.2">
      <c r="A1095">
        <v>2582</v>
      </c>
      <c r="B1095" t="s">
        <v>85</v>
      </c>
      <c r="C1095" t="s">
        <v>521</v>
      </c>
      <c r="D1095" t="s">
        <v>564</v>
      </c>
      <c r="E1095" s="16">
        <v>45915.38621527778</v>
      </c>
      <c r="F1095">
        <v>2</v>
      </c>
    </row>
    <row r="1096" spans="1:6" x14ac:dyDescent="0.2">
      <c r="A1096">
        <v>3621</v>
      </c>
      <c r="B1096" t="s">
        <v>263</v>
      </c>
      <c r="C1096" t="s">
        <v>449</v>
      </c>
      <c r="D1096" t="s">
        <v>547</v>
      </c>
      <c r="E1096" s="16">
        <v>45766.265474537038</v>
      </c>
      <c r="F1096">
        <v>2</v>
      </c>
    </row>
    <row r="1097" spans="1:6" x14ac:dyDescent="0.2">
      <c r="A1097">
        <v>2660</v>
      </c>
      <c r="B1097" t="s">
        <v>82</v>
      </c>
      <c r="C1097" t="s">
        <v>518</v>
      </c>
      <c r="D1097" t="s">
        <v>554</v>
      </c>
      <c r="E1097" s="16">
        <v>45643.355520833335</v>
      </c>
      <c r="F1097">
        <v>2</v>
      </c>
    </row>
    <row r="1098" spans="1:6" x14ac:dyDescent="0.2">
      <c r="A1098">
        <v>3591</v>
      </c>
      <c r="B1098" t="s">
        <v>254</v>
      </c>
      <c r="C1098" t="s">
        <v>449</v>
      </c>
      <c r="D1098" t="s">
        <v>547</v>
      </c>
      <c r="E1098" s="16">
        <v>45713.209537037037</v>
      </c>
      <c r="F1098">
        <v>2</v>
      </c>
    </row>
    <row r="1099" spans="1:6" x14ac:dyDescent="0.2">
      <c r="A1099">
        <v>3196</v>
      </c>
      <c r="B1099" t="s">
        <v>46</v>
      </c>
      <c r="C1099" t="s">
        <v>438</v>
      </c>
      <c r="D1099" t="s">
        <v>546</v>
      </c>
      <c r="E1099" s="16">
        <v>45668.362986111111</v>
      </c>
      <c r="F1099">
        <v>2</v>
      </c>
    </row>
    <row r="1100" spans="1:6" x14ac:dyDescent="0.2">
      <c r="A1100">
        <v>2582</v>
      </c>
      <c r="B1100" t="s">
        <v>85</v>
      </c>
      <c r="C1100" t="s">
        <v>518</v>
      </c>
      <c r="D1100" t="s">
        <v>552</v>
      </c>
      <c r="E1100" s="16">
        <v>45831.390706018516</v>
      </c>
      <c r="F1100">
        <v>2</v>
      </c>
    </row>
    <row r="1101" spans="1:6" x14ac:dyDescent="0.2">
      <c r="A1101">
        <v>3112</v>
      </c>
      <c r="B1101" t="s">
        <v>88</v>
      </c>
      <c r="C1101" t="s">
        <v>438</v>
      </c>
      <c r="D1101" t="s">
        <v>546</v>
      </c>
      <c r="E1101" s="16">
        <v>45845.389641203707</v>
      </c>
      <c r="F1101">
        <v>2</v>
      </c>
    </row>
    <row r="1102" spans="1:6" x14ac:dyDescent="0.2">
      <c r="A1102">
        <v>3600</v>
      </c>
      <c r="B1102" t="s">
        <v>258</v>
      </c>
      <c r="C1102" t="s">
        <v>449</v>
      </c>
      <c r="D1102" t="s">
        <v>547</v>
      </c>
      <c r="E1102" s="16">
        <v>45741.256435185183</v>
      </c>
      <c r="F1102">
        <v>2</v>
      </c>
    </row>
    <row r="1103" spans="1:6" x14ac:dyDescent="0.2">
      <c r="A1103">
        <v>3649</v>
      </c>
      <c r="B1103" t="s">
        <v>312</v>
      </c>
      <c r="C1103" t="s">
        <v>462</v>
      </c>
      <c r="D1103" t="s">
        <v>550</v>
      </c>
      <c r="E1103" s="16">
        <v>45853.616527777776</v>
      </c>
      <c r="F1103">
        <v>2</v>
      </c>
    </row>
    <row r="1104" spans="1:6" x14ac:dyDescent="0.2">
      <c r="A1104">
        <v>3648</v>
      </c>
      <c r="B1104" t="s">
        <v>261</v>
      </c>
      <c r="C1104" t="s">
        <v>449</v>
      </c>
      <c r="D1104" t="s">
        <v>547</v>
      </c>
      <c r="E1104" s="16">
        <v>45838.28570601852</v>
      </c>
      <c r="F1104">
        <v>2</v>
      </c>
    </row>
    <row r="1105" spans="1:6" x14ac:dyDescent="0.2">
      <c r="A1105">
        <v>3664</v>
      </c>
      <c r="B1105" t="s">
        <v>313</v>
      </c>
      <c r="C1105" t="s">
        <v>521</v>
      </c>
      <c r="D1105" t="s">
        <v>564</v>
      </c>
      <c r="E1105" s="16">
        <v>45887.290289351855</v>
      </c>
      <c r="F1105">
        <v>2</v>
      </c>
    </row>
    <row r="1106" spans="1:6" x14ac:dyDescent="0.2">
      <c r="A1106">
        <v>3624</v>
      </c>
      <c r="B1106" t="s">
        <v>302</v>
      </c>
      <c r="C1106" t="s">
        <v>449</v>
      </c>
      <c r="D1106" t="s">
        <v>547</v>
      </c>
      <c r="E1106" s="16">
        <v>45773.703344907408</v>
      </c>
      <c r="F1106">
        <v>2</v>
      </c>
    </row>
    <row r="1107" spans="1:6" x14ac:dyDescent="0.2">
      <c r="A1107">
        <v>3564</v>
      </c>
      <c r="B1107" t="s">
        <v>84</v>
      </c>
      <c r="C1107" t="s">
        <v>438</v>
      </c>
      <c r="D1107" t="s">
        <v>546</v>
      </c>
      <c r="E1107" s="16">
        <v>45937.515659722223</v>
      </c>
      <c r="F1107">
        <v>2</v>
      </c>
    </row>
    <row r="1108" spans="1:6" x14ac:dyDescent="0.2">
      <c r="A1108">
        <v>3656</v>
      </c>
      <c r="B1108" t="s">
        <v>259</v>
      </c>
      <c r="C1108" t="s">
        <v>449</v>
      </c>
      <c r="D1108" t="s">
        <v>547</v>
      </c>
      <c r="E1108" s="16">
        <v>45857.830833333333</v>
      </c>
      <c r="F1108">
        <v>2</v>
      </c>
    </row>
    <row r="1109" spans="1:6" x14ac:dyDescent="0.2">
      <c r="A1109">
        <v>3640</v>
      </c>
      <c r="B1109" t="s">
        <v>248</v>
      </c>
      <c r="C1109" t="s">
        <v>521</v>
      </c>
      <c r="D1109" t="s">
        <v>564</v>
      </c>
      <c r="E1109" s="16">
        <v>45957.430347222224</v>
      </c>
      <c r="F1109">
        <v>2</v>
      </c>
    </row>
    <row r="1110" spans="1:6" x14ac:dyDescent="0.2">
      <c r="A1110">
        <v>3665</v>
      </c>
      <c r="B1110" t="s">
        <v>222</v>
      </c>
      <c r="C1110" t="s">
        <v>449</v>
      </c>
      <c r="D1110" t="s">
        <v>547</v>
      </c>
      <c r="E1110" s="16">
        <v>45875.514004629629</v>
      </c>
      <c r="F1110">
        <v>2</v>
      </c>
    </row>
    <row r="1111" spans="1:6" x14ac:dyDescent="0.2">
      <c r="A1111">
        <v>3564</v>
      </c>
      <c r="B1111" t="s">
        <v>84</v>
      </c>
      <c r="C1111" t="s">
        <v>462</v>
      </c>
      <c r="D1111" t="s">
        <v>550</v>
      </c>
      <c r="E1111" s="16">
        <v>45701.551805555559</v>
      </c>
      <c r="F1111">
        <v>2</v>
      </c>
    </row>
    <row r="1112" spans="1:6" x14ac:dyDescent="0.2">
      <c r="A1112">
        <v>3583</v>
      </c>
      <c r="B1112" t="s">
        <v>97</v>
      </c>
      <c r="C1112" t="s">
        <v>449</v>
      </c>
      <c r="D1112" t="s">
        <v>547</v>
      </c>
      <c r="E1112" s="16">
        <v>45701.310254629629</v>
      </c>
      <c r="F1112">
        <v>2</v>
      </c>
    </row>
    <row r="1113" spans="1:6" x14ac:dyDescent="0.2">
      <c r="A1113">
        <v>3220</v>
      </c>
      <c r="B1113" t="s">
        <v>170</v>
      </c>
      <c r="C1113" t="s">
        <v>521</v>
      </c>
      <c r="D1113" t="s">
        <v>564</v>
      </c>
      <c r="E1113" s="16">
        <v>45765.426319444443</v>
      </c>
      <c r="F1113">
        <v>2</v>
      </c>
    </row>
    <row r="1114" spans="1:6" x14ac:dyDescent="0.2">
      <c r="A1114">
        <v>3624</v>
      </c>
      <c r="B1114" t="s">
        <v>302</v>
      </c>
      <c r="C1114" t="s">
        <v>521</v>
      </c>
      <c r="D1114" t="s">
        <v>563</v>
      </c>
      <c r="E1114" s="16">
        <v>45916.504363425927</v>
      </c>
      <c r="F1114">
        <v>2</v>
      </c>
    </row>
    <row r="1115" spans="1:6" x14ac:dyDescent="0.2">
      <c r="A1115">
        <v>3323</v>
      </c>
      <c r="B1115" t="s">
        <v>158</v>
      </c>
      <c r="C1115" t="s">
        <v>438</v>
      </c>
      <c r="D1115" t="s">
        <v>546</v>
      </c>
      <c r="E1115" s="16">
        <v>45937.610266203701</v>
      </c>
      <c r="F1115">
        <v>2</v>
      </c>
    </row>
    <row r="1116" spans="1:6" x14ac:dyDescent="0.2">
      <c r="A1116">
        <v>3614</v>
      </c>
      <c r="B1116" t="s">
        <v>217</v>
      </c>
      <c r="C1116" t="s">
        <v>462</v>
      </c>
      <c r="D1116" t="s">
        <v>548</v>
      </c>
      <c r="E1116" s="16">
        <v>45923.462210648147</v>
      </c>
      <c r="F1116">
        <v>2</v>
      </c>
    </row>
    <row r="1117" spans="1:6" x14ac:dyDescent="0.2">
      <c r="A1117">
        <v>32</v>
      </c>
      <c r="B1117" t="s">
        <v>451</v>
      </c>
      <c r="C1117" t="s">
        <v>518</v>
      </c>
      <c r="D1117" t="s">
        <v>553</v>
      </c>
      <c r="E1117" s="16">
        <v>45944.718344907407</v>
      </c>
      <c r="F1117">
        <v>2</v>
      </c>
    </row>
    <row r="1118" spans="1:6" x14ac:dyDescent="0.2">
      <c r="A1118">
        <v>3019</v>
      </c>
      <c r="B1118" t="s">
        <v>176</v>
      </c>
      <c r="C1118" t="s">
        <v>462</v>
      </c>
      <c r="D1118" t="s">
        <v>548</v>
      </c>
      <c r="E1118" s="16">
        <v>45924.376446759263</v>
      </c>
      <c r="F1118">
        <v>2</v>
      </c>
    </row>
    <row r="1119" spans="1:6" x14ac:dyDescent="0.2">
      <c r="A1119">
        <v>3251</v>
      </c>
      <c r="B1119" t="s">
        <v>150</v>
      </c>
      <c r="C1119" t="s">
        <v>438</v>
      </c>
      <c r="D1119" t="s">
        <v>546</v>
      </c>
      <c r="E1119" s="16">
        <v>45954.797673611109</v>
      </c>
      <c r="F1119">
        <v>2</v>
      </c>
    </row>
    <row r="1120" spans="1:6" x14ac:dyDescent="0.2">
      <c r="A1120">
        <v>3199</v>
      </c>
      <c r="B1120" t="s">
        <v>168</v>
      </c>
      <c r="C1120" t="s">
        <v>462</v>
      </c>
      <c r="D1120" t="s">
        <v>548</v>
      </c>
      <c r="E1120" s="16">
        <v>45930.533622685187</v>
      </c>
      <c r="F1120">
        <v>2</v>
      </c>
    </row>
    <row r="1121" spans="1:6" x14ac:dyDescent="0.2">
      <c r="A1121">
        <v>2660</v>
      </c>
      <c r="B1121" t="s">
        <v>82</v>
      </c>
      <c r="C1121" t="s">
        <v>518</v>
      </c>
      <c r="D1121" t="s">
        <v>553</v>
      </c>
      <c r="E1121" s="16">
        <v>45643.355520833335</v>
      </c>
      <c r="F1121">
        <v>2</v>
      </c>
    </row>
    <row r="1122" spans="1:6" x14ac:dyDescent="0.2">
      <c r="A1122">
        <v>3594</v>
      </c>
      <c r="B1122" t="s">
        <v>315</v>
      </c>
      <c r="C1122" t="s">
        <v>449</v>
      </c>
      <c r="D1122" t="s">
        <v>547</v>
      </c>
      <c r="E1122" s="16">
        <v>45722.436562499999</v>
      </c>
      <c r="F1122">
        <v>2</v>
      </c>
    </row>
    <row r="1123" spans="1:6" x14ac:dyDescent="0.2">
      <c r="A1123">
        <v>3289</v>
      </c>
      <c r="B1123" t="s">
        <v>21</v>
      </c>
      <c r="C1123" t="s">
        <v>521</v>
      </c>
      <c r="D1123" t="s">
        <v>564</v>
      </c>
      <c r="E1123" s="16">
        <v>45605.271597222221</v>
      </c>
      <c r="F1123">
        <v>2</v>
      </c>
    </row>
    <row r="1124" spans="1:6" x14ac:dyDescent="0.2">
      <c r="A1124">
        <v>3598</v>
      </c>
      <c r="B1124" t="s">
        <v>318</v>
      </c>
      <c r="C1124" t="s">
        <v>462</v>
      </c>
      <c r="D1124" t="s">
        <v>548</v>
      </c>
      <c r="E1124" s="16">
        <v>45939.345821759256</v>
      </c>
      <c r="F1124">
        <v>2</v>
      </c>
    </row>
    <row r="1125" spans="1:6" x14ac:dyDescent="0.2">
      <c r="A1125">
        <v>3605</v>
      </c>
      <c r="B1125" t="s">
        <v>268</v>
      </c>
      <c r="C1125" t="s">
        <v>521</v>
      </c>
      <c r="D1125" t="s">
        <v>564</v>
      </c>
      <c r="E1125" s="16">
        <v>45870.411817129629</v>
      </c>
      <c r="F1125">
        <v>2</v>
      </c>
    </row>
    <row r="1126" spans="1:6" x14ac:dyDescent="0.2">
      <c r="A1126">
        <v>3676</v>
      </c>
      <c r="B1126" t="s">
        <v>239</v>
      </c>
      <c r="C1126" t="s">
        <v>449</v>
      </c>
      <c r="D1126" t="s">
        <v>547</v>
      </c>
      <c r="E1126" s="16">
        <v>45903.526018518518</v>
      </c>
      <c r="F1126">
        <v>2</v>
      </c>
    </row>
    <row r="1127" spans="1:6" x14ac:dyDescent="0.2">
      <c r="A1127">
        <v>3648</v>
      </c>
      <c r="B1127" t="s">
        <v>261</v>
      </c>
      <c r="C1127" t="s">
        <v>438</v>
      </c>
      <c r="D1127" t="s">
        <v>546</v>
      </c>
      <c r="E1127" s="16">
        <v>45900.647199074076</v>
      </c>
      <c r="F1127">
        <v>2</v>
      </c>
    </row>
    <row r="1128" spans="1:6" x14ac:dyDescent="0.2">
      <c r="A1128">
        <v>2964</v>
      </c>
      <c r="B1128" t="s">
        <v>153</v>
      </c>
      <c r="C1128" t="s">
        <v>462</v>
      </c>
      <c r="D1128" t="s">
        <v>548</v>
      </c>
      <c r="E1128" s="16">
        <v>45952.477627314816</v>
      </c>
      <c r="F1128">
        <v>2</v>
      </c>
    </row>
    <row r="1129" spans="1:6" x14ac:dyDescent="0.2">
      <c r="A1129">
        <v>3624</v>
      </c>
      <c r="B1129" t="s">
        <v>302</v>
      </c>
      <c r="C1129" t="s">
        <v>521</v>
      </c>
      <c r="D1129" t="s">
        <v>564</v>
      </c>
      <c r="E1129" s="16">
        <v>45916.504351851851</v>
      </c>
      <c r="F1129">
        <v>2</v>
      </c>
    </row>
    <row r="1130" spans="1:6" x14ac:dyDescent="0.2">
      <c r="A1130">
        <v>3645</v>
      </c>
      <c r="B1130" t="s">
        <v>320</v>
      </c>
      <c r="C1130" t="s">
        <v>449</v>
      </c>
      <c r="D1130" t="s">
        <v>547</v>
      </c>
      <c r="E1130" s="16">
        <v>45809.574849537035</v>
      </c>
      <c r="F1130">
        <v>2</v>
      </c>
    </row>
    <row r="1131" spans="1:6" x14ac:dyDescent="0.2">
      <c r="A1131">
        <v>32</v>
      </c>
      <c r="B1131" t="s">
        <v>451</v>
      </c>
      <c r="C1131" t="s">
        <v>521</v>
      </c>
      <c r="D1131" t="s">
        <v>564</v>
      </c>
      <c r="E1131" s="16">
        <v>45944.718356481484</v>
      </c>
      <c r="F1131">
        <v>2</v>
      </c>
    </row>
    <row r="1132" spans="1:6" x14ac:dyDescent="0.2">
      <c r="A1132">
        <v>3694</v>
      </c>
      <c r="B1132" t="s">
        <v>614</v>
      </c>
      <c r="C1132" t="s">
        <v>449</v>
      </c>
      <c r="D1132" t="s">
        <v>547</v>
      </c>
      <c r="E1132" s="16">
        <v>45967.204062500001</v>
      </c>
      <c r="F1132">
        <v>2</v>
      </c>
    </row>
    <row r="1133" spans="1:6" x14ac:dyDescent="0.2">
      <c r="A1133">
        <v>3476</v>
      </c>
      <c r="B1133" t="s">
        <v>73</v>
      </c>
      <c r="C1133" t="s">
        <v>438</v>
      </c>
      <c r="D1133" t="s">
        <v>546</v>
      </c>
      <c r="E1133" s="16">
        <v>45961.526585648149</v>
      </c>
      <c r="F1133">
        <v>2</v>
      </c>
    </row>
    <row r="1134" spans="1:6" x14ac:dyDescent="0.2">
      <c r="A1134">
        <v>3579</v>
      </c>
      <c r="B1134" t="s">
        <v>193</v>
      </c>
      <c r="C1134" t="s">
        <v>449</v>
      </c>
      <c r="D1134" t="s">
        <v>547</v>
      </c>
      <c r="E1134" s="16">
        <v>45697.188518518517</v>
      </c>
      <c r="F1134">
        <v>2</v>
      </c>
    </row>
    <row r="1135" spans="1:6" x14ac:dyDescent="0.2">
      <c r="A1135">
        <v>3589</v>
      </c>
      <c r="B1135" t="s">
        <v>301</v>
      </c>
      <c r="C1135" t="s">
        <v>449</v>
      </c>
      <c r="D1135" t="s">
        <v>547</v>
      </c>
      <c r="E1135" s="16">
        <v>45710.210173611114</v>
      </c>
      <c r="F1135">
        <v>2</v>
      </c>
    </row>
    <row r="1136" spans="1:6" x14ac:dyDescent="0.2">
      <c r="A1136">
        <v>3605</v>
      </c>
      <c r="B1136" t="s">
        <v>268</v>
      </c>
      <c r="C1136" t="s">
        <v>449</v>
      </c>
      <c r="D1136" t="s">
        <v>547</v>
      </c>
      <c r="E1136" s="16">
        <v>45745.247511574074</v>
      </c>
      <c r="F1136">
        <v>2</v>
      </c>
    </row>
    <row r="1137" spans="1:6" x14ac:dyDescent="0.2">
      <c r="A1137">
        <v>3256</v>
      </c>
      <c r="B1137" t="s">
        <v>119</v>
      </c>
      <c r="C1137" t="s">
        <v>449</v>
      </c>
      <c r="D1137" t="s">
        <v>547</v>
      </c>
      <c r="E1137" s="16">
        <v>45755.699224537035</v>
      </c>
      <c r="F1137">
        <v>2</v>
      </c>
    </row>
    <row r="1138" spans="1:6" x14ac:dyDescent="0.2">
      <c r="A1138">
        <v>3444</v>
      </c>
      <c r="B1138" t="s">
        <v>104</v>
      </c>
      <c r="C1138" t="s">
        <v>518</v>
      </c>
      <c r="D1138" t="s">
        <v>552</v>
      </c>
      <c r="E1138" s="16">
        <v>45758.609826388885</v>
      </c>
      <c r="F1138">
        <v>2</v>
      </c>
    </row>
    <row r="1139" spans="1:6" x14ac:dyDescent="0.2">
      <c r="A1139">
        <v>3637</v>
      </c>
      <c r="B1139" t="s">
        <v>304</v>
      </c>
      <c r="C1139" t="s">
        <v>449</v>
      </c>
      <c r="D1139" t="s">
        <v>547</v>
      </c>
      <c r="E1139" s="16">
        <v>45788.750347222223</v>
      </c>
      <c r="F1139">
        <v>2</v>
      </c>
    </row>
    <row r="1140" spans="1:6" x14ac:dyDescent="0.2">
      <c r="A1140">
        <v>3632</v>
      </c>
      <c r="B1140" t="s">
        <v>238</v>
      </c>
      <c r="C1140" t="s">
        <v>449</v>
      </c>
      <c r="D1140" t="s">
        <v>547</v>
      </c>
      <c r="E1140" s="16">
        <v>45783.904733796298</v>
      </c>
      <c r="F1140">
        <v>2</v>
      </c>
    </row>
    <row r="1141" spans="1:6" x14ac:dyDescent="0.2">
      <c r="A1141">
        <v>3571</v>
      </c>
      <c r="B1141" t="s">
        <v>48</v>
      </c>
      <c r="C1141" t="s">
        <v>449</v>
      </c>
      <c r="D1141" t="s">
        <v>547</v>
      </c>
      <c r="E1141" s="16">
        <v>45684.453773148147</v>
      </c>
      <c r="F1141">
        <v>2</v>
      </c>
    </row>
    <row r="1142" spans="1:6" x14ac:dyDescent="0.2">
      <c r="A1142">
        <v>3609</v>
      </c>
      <c r="B1142" t="s">
        <v>245</v>
      </c>
      <c r="C1142" t="s">
        <v>449</v>
      </c>
      <c r="D1142" t="s">
        <v>547</v>
      </c>
      <c r="E1142" s="16">
        <v>45750.270231481481</v>
      </c>
      <c r="F1142">
        <v>2</v>
      </c>
    </row>
    <row r="1143" spans="1:6" x14ac:dyDescent="0.2">
      <c r="A1143">
        <v>3605</v>
      </c>
      <c r="B1143" t="s">
        <v>268</v>
      </c>
      <c r="C1143" t="s">
        <v>521</v>
      </c>
      <c r="D1143" t="s">
        <v>563</v>
      </c>
      <c r="E1143" s="16">
        <v>45870.411817129629</v>
      </c>
      <c r="F1143">
        <v>2</v>
      </c>
    </row>
    <row r="1144" spans="1:6" x14ac:dyDescent="0.2">
      <c r="A1144">
        <v>3663</v>
      </c>
      <c r="B1144" t="s">
        <v>278</v>
      </c>
      <c r="C1144" t="s">
        <v>449</v>
      </c>
      <c r="D1144" t="s">
        <v>547</v>
      </c>
      <c r="E1144" s="16">
        <v>45875.509421296294</v>
      </c>
      <c r="F1144">
        <v>2</v>
      </c>
    </row>
    <row r="1145" spans="1:6" x14ac:dyDescent="0.2">
      <c r="A1145">
        <v>3667</v>
      </c>
      <c r="B1145" t="s">
        <v>274</v>
      </c>
      <c r="C1145" t="s">
        <v>449</v>
      </c>
      <c r="D1145" t="s">
        <v>547</v>
      </c>
      <c r="E1145" s="16">
        <v>45878.286956018521</v>
      </c>
      <c r="F1145">
        <v>2</v>
      </c>
    </row>
    <row r="1146" spans="1:6" x14ac:dyDescent="0.2">
      <c r="A1146">
        <v>3664</v>
      </c>
      <c r="B1146" t="s">
        <v>313</v>
      </c>
      <c r="C1146" t="s">
        <v>449</v>
      </c>
      <c r="D1146" t="s">
        <v>547</v>
      </c>
      <c r="E1146" s="16">
        <v>45875.51190972222</v>
      </c>
      <c r="F1146">
        <v>2</v>
      </c>
    </row>
    <row r="1147" spans="1:6" x14ac:dyDescent="0.2">
      <c r="A1147">
        <v>3585</v>
      </c>
      <c r="B1147" t="s">
        <v>314</v>
      </c>
      <c r="C1147" t="s">
        <v>449</v>
      </c>
      <c r="D1147" t="s">
        <v>547</v>
      </c>
      <c r="E1147" s="16">
        <v>45706.184282407405</v>
      </c>
      <c r="F1147">
        <v>2</v>
      </c>
    </row>
    <row r="1148" spans="1:6" x14ac:dyDescent="0.2">
      <c r="A1148">
        <v>3220</v>
      </c>
      <c r="B1148" t="s">
        <v>170</v>
      </c>
      <c r="C1148" t="s">
        <v>521</v>
      </c>
      <c r="D1148" t="s">
        <v>563</v>
      </c>
      <c r="E1148" s="16">
        <v>45765.426319444443</v>
      </c>
      <c r="F1148">
        <v>2</v>
      </c>
    </row>
    <row r="1149" spans="1:6" x14ac:dyDescent="0.2">
      <c r="A1149">
        <v>3456</v>
      </c>
      <c r="B1149" t="s">
        <v>56</v>
      </c>
      <c r="C1149" t="s">
        <v>462</v>
      </c>
      <c r="D1149" t="s">
        <v>548</v>
      </c>
      <c r="E1149" s="16">
        <v>45930.52747685185</v>
      </c>
      <c r="F1149">
        <v>2</v>
      </c>
    </row>
    <row r="1150" spans="1:6" x14ac:dyDescent="0.2">
      <c r="A1150">
        <v>3594</v>
      </c>
      <c r="B1150" t="s">
        <v>315</v>
      </c>
      <c r="C1150" t="s">
        <v>518</v>
      </c>
      <c r="D1150" t="s">
        <v>552</v>
      </c>
      <c r="E1150" s="16">
        <v>45785.391250000001</v>
      </c>
      <c r="F1150">
        <v>2</v>
      </c>
    </row>
    <row r="1151" spans="1:6" x14ac:dyDescent="0.2">
      <c r="A1151">
        <v>3686</v>
      </c>
      <c r="B1151" t="s">
        <v>233</v>
      </c>
      <c r="C1151" t="s">
        <v>449</v>
      </c>
      <c r="D1151" t="s">
        <v>547</v>
      </c>
      <c r="E1151" s="16">
        <v>45944.226261574076</v>
      </c>
      <c r="F1151">
        <v>2</v>
      </c>
    </row>
    <row r="1152" spans="1:6" x14ac:dyDescent="0.2">
      <c r="A1152">
        <v>3677</v>
      </c>
      <c r="B1152" t="s">
        <v>283</v>
      </c>
      <c r="C1152" t="s">
        <v>518</v>
      </c>
      <c r="D1152" t="s">
        <v>552</v>
      </c>
      <c r="E1152" s="16">
        <v>45939.433159722219</v>
      </c>
      <c r="F1152">
        <v>2</v>
      </c>
    </row>
    <row r="1153" spans="1:6" x14ac:dyDescent="0.2">
      <c r="A1153">
        <v>3640</v>
      </c>
      <c r="B1153" t="s">
        <v>248</v>
      </c>
      <c r="C1153" t="s">
        <v>521</v>
      </c>
      <c r="D1153" t="s">
        <v>563</v>
      </c>
      <c r="E1153" s="16">
        <v>45957.430347222224</v>
      </c>
      <c r="F1153">
        <v>2</v>
      </c>
    </row>
    <row r="1154" spans="1:6" x14ac:dyDescent="0.2">
      <c r="A1154">
        <v>3692</v>
      </c>
      <c r="B1154" t="s">
        <v>291</v>
      </c>
      <c r="C1154" t="s">
        <v>449</v>
      </c>
      <c r="D1154" t="s">
        <v>547</v>
      </c>
      <c r="E1154" s="16">
        <v>45962.254699074074</v>
      </c>
      <c r="F1154">
        <v>2</v>
      </c>
    </row>
    <row r="1155" spans="1:6" x14ac:dyDescent="0.2">
      <c r="A1155">
        <v>3697</v>
      </c>
      <c r="B1155" t="s">
        <v>616</v>
      </c>
      <c r="C1155" t="s">
        <v>449</v>
      </c>
      <c r="D1155" t="s">
        <v>547</v>
      </c>
      <c r="E1155" s="16">
        <v>45972.297453703701</v>
      </c>
      <c r="F1155">
        <v>2</v>
      </c>
    </row>
    <row r="1156" spans="1:6" x14ac:dyDescent="0.2">
      <c r="A1156">
        <v>3569</v>
      </c>
      <c r="B1156" t="s">
        <v>22</v>
      </c>
      <c r="C1156" t="s">
        <v>449</v>
      </c>
      <c r="D1156" t="s">
        <v>547</v>
      </c>
      <c r="E1156" s="16">
        <v>45680.410520833335</v>
      </c>
      <c r="F1156">
        <v>2</v>
      </c>
    </row>
    <row r="1157" spans="1:6" x14ac:dyDescent="0.2">
      <c r="A1157">
        <v>3584</v>
      </c>
      <c r="B1157" t="s">
        <v>57</v>
      </c>
      <c r="C1157" t="s">
        <v>449</v>
      </c>
      <c r="D1157" t="s">
        <v>547</v>
      </c>
      <c r="E1157" s="16">
        <v>45701.760092592594</v>
      </c>
      <c r="F1157">
        <v>2</v>
      </c>
    </row>
    <row r="1158" spans="1:6" x14ac:dyDescent="0.2">
      <c r="A1158">
        <v>3592</v>
      </c>
      <c r="B1158" t="s">
        <v>272</v>
      </c>
      <c r="C1158" t="s">
        <v>449</v>
      </c>
      <c r="D1158" t="s">
        <v>547</v>
      </c>
      <c r="E1158" s="16">
        <v>45714.745740740742</v>
      </c>
      <c r="F1158">
        <v>2</v>
      </c>
    </row>
    <row r="1159" spans="1:6" x14ac:dyDescent="0.2">
      <c r="A1159">
        <v>3343</v>
      </c>
      <c r="B1159" t="s">
        <v>187</v>
      </c>
      <c r="C1159" t="s">
        <v>449</v>
      </c>
      <c r="D1159" t="s">
        <v>547</v>
      </c>
      <c r="E1159" s="16">
        <v>45730.348414351851</v>
      </c>
      <c r="F1159">
        <v>2</v>
      </c>
    </row>
    <row r="1160" spans="1:6" x14ac:dyDescent="0.2">
      <c r="A1160">
        <v>3593</v>
      </c>
      <c r="B1160" t="s">
        <v>294</v>
      </c>
      <c r="C1160" t="s">
        <v>449</v>
      </c>
      <c r="D1160" t="s">
        <v>547</v>
      </c>
      <c r="E1160" s="16">
        <v>45722.433518518519</v>
      </c>
      <c r="F1160">
        <v>2</v>
      </c>
    </row>
    <row r="1161" spans="1:6" x14ac:dyDescent="0.2">
      <c r="A1161">
        <v>3599</v>
      </c>
      <c r="B1161" t="s">
        <v>281</v>
      </c>
      <c r="C1161" t="s">
        <v>449</v>
      </c>
      <c r="D1161" t="s">
        <v>547</v>
      </c>
      <c r="E1161" s="16">
        <v>45740.450844907406</v>
      </c>
      <c r="F1161">
        <v>2</v>
      </c>
    </row>
    <row r="1162" spans="1:6" x14ac:dyDescent="0.2">
      <c r="A1162">
        <v>3602</v>
      </c>
      <c r="B1162" t="s">
        <v>297</v>
      </c>
      <c r="C1162" t="s">
        <v>449</v>
      </c>
      <c r="D1162" t="s">
        <v>547</v>
      </c>
      <c r="E1162" s="16">
        <v>45742.269328703704</v>
      </c>
      <c r="F1162">
        <v>2</v>
      </c>
    </row>
    <row r="1163" spans="1:6" x14ac:dyDescent="0.2">
      <c r="A1163">
        <v>3614</v>
      </c>
      <c r="B1163" t="s">
        <v>217</v>
      </c>
      <c r="C1163" t="s">
        <v>449</v>
      </c>
      <c r="D1163" t="s">
        <v>547</v>
      </c>
      <c r="E1163" s="16">
        <v>45756.317743055559</v>
      </c>
      <c r="F1163">
        <v>2</v>
      </c>
    </row>
    <row r="1164" spans="1:6" x14ac:dyDescent="0.2">
      <c r="A1164">
        <v>2240</v>
      </c>
      <c r="B1164" t="s">
        <v>23</v>
      </c>
      <c r="C1164" t="s">
        <v>518</v>
      </c>
      <c r="D1164" t="s">
        <v>552</v>
      </c>
      <c r="E1164" s="16">
        <v>45763.58488425926</v>
      </c>
      <c r="F1164">
        <v>2</v>
      </c>
    </row>
    <row r="1165" spans="1:6" x14ac:dyDescent="0.2">
      <c r="A1165">
        <v>3616</v>
      </c>
      <c r="B1165" t="s">
        <v>249</v>
      </c>
      <c r="C1165" t="s">
        <v>449</v>
      </c>
      <c r="D1165" t="s">
        <v>547</v>
      </c>
      <c r="E1165" s="16">
        <v>45756.326620370368</v>
      </c>
      <c r="F1165">
        <v>2</v>
      </c>
    </row>
    <row r="1166" spans="1:6" x14ac:dyDescent="0.2">
      <c r="A1166">
        <v>3625</v>
      </c>
      <c r="B1166" t="s">
        <v>276</v>
      </c>
      <c r="C1166" t="s">
        <v>449</v>
      </c>
      <c r="D1166" t="s">
        <v>547</v>
      </c>
      <c r="E1166" s="16">
        <v>45773.707280092596</v>
      </c>
      <c r="F1166">
        <v>2</v>
      </c>
    </row>
    <row r="1167" spans="1:6" x14ac:dyDescent="0.2">
      <c r="A1167">
        <v>3626</v>
      </c>
      <c r="B1167" t="s">
        <v>316</v>
      </c>
      <c r="C1167" t="s">
        <v>449</v>
      </c>
      <c r="D1167" t="s">
        <v>547</v>
      </c>
      <c r="E1167" s="16">
        <v>45773.710902777777</v>
      </c>
      <c r="F1167">
        <v>2</v>
      </c>
    </row>
    <row r="1168" spans="1:6" x14ac:dyDescent="0.2">
      <c r="A1168">
        <v>2624</v>
      </c>
      <c r="B1168" t="s">
        <v>155</v>
      </c>
      <c r="C1168" t="s">
        <v>518</v>
      </c>
      <c r="D1168" t="s">
        <v>552</v>
      </c>
      <c r="E1168" s="16">
        <v>45789.787604166668</v>
      </c>
      <c r="F1168">
        <v>2</v>
      </c>
    </row>
    <row r="1169" spans="1:6" x14ac:dyDescent="0.2">
      <c r="A1169">
        <v>3562</v>
      </c>
      <c r="B1169" t="s">
        <v>49</v>
      </c>
      <c r="C1169" t="s">
        <v>518</v>
      </c>
      <c r="D1169" t="s">
        <v>552</v>
      </c>
      <c r="E1169" s="16">
        <v>45824.467673611114</v>
      </c>
      <c r="F1169">
        <v>2</v>
      </c>
    </row>
    <row r="1170" spans="1:6" x14ac:dyDescent="0.2">
      <c r="A1170">
        <v>3649</v>
      </c>
      <c r="B1170" t="s">
        <v>312</v>
      </c>
      <c r="C1170" t="s">
        <v>449</v>
      </c>
      <c r="D1170" t="s">
        <v>547</v>
      </c>
      <c r="E1170" s="16">
        <v>45841.305879629632</v>
      </c>
      <c r="F1170">
        <v>2</v>
      </c>
    </row>
    <row r="1171" spans="1:6" x14ac:dyDescent="0.2">
      <c r="A1171">
        <v>3649</v>
      </c>
      <c r="B1171" t="s">
        <v>312</v>
      </c>
      <c r="C1171" t="s">
        <v>521</v>
      </c>
      <c r="D1171" t="s">
        <v>563</v>
      </c>
      <c r="E1171" s="16">
        <v>45853.616527777776</v>
      </c>
      <c r="F1171">
        <v>2</v>
      </c>
    </row>
    <row r="1172" spans="1:6" x14ac:dyDescent="0.2">
      <c r="A1172">
        <v>3654</v>
      </c>
      <c r="B1172" t="s">
        <v>231</v>
      </c>
      <c r="C1172" t="s">
        <v>449</v>
      </c>
      <c r="D1172" t="s">
        <v>547</v>
      </c>
      <c r="E1172" s="16">
        <v>45853.293124999997</v>
      </c>
      <c r="F1172">
        <v>2</v>
      </c>
    </row>
    <row r="1173" spans="1:6" x14ac:dyDescent="0.2">
      <c r="A1173">
        <v>3534</v>
      </c>
      <c r="B1173" t="s">
        <v>95</v>
      </c>
      <c r="C1173" t="s">
        <v>518</v>
      </c>
      <c r="D1173" t="s">
        <v>552</v>
      </c>
      <c r="E1173" s="16">
        <v>45886.618321759262</v>
      </c>
      <c r="F1173">
        <v>2</v>
      </c>
    </row>
    <row r="1174" spans="1:6" x14ac:dyDescent="0.2">
      <c r="A1174">
        <v>3568</v>
      </c>
      <c r="B1174" t="s">
        <v>210</v>
      </c>
      <c r="C1174" t="s">
        <v>449</v>
      </c>
      <c r="D1174" t="s">
        <v>547</v>
      </c>
      <c r="E1174" s="16">
        <v>45678.487685185188</v>
      </c>
      <c r="F1174">
        <v>2</v>
      </c>
    </row>
    <row r="1175" spans="1:6" x14ac:dyDescent="0.2">
      <c r="A1175">
        <v>3674</v>
      </c>
      <c r="B1175" t="s">
        <v>292</v>
      </c>
      <c r="C1175" t="s">
        <v>449</v>
      </c>
      <c r="D1175" t="s">
        <v>547</v>
      </c>
      <c r="E1175" s="16">
        <v>45892.804606481484</v>
      </c>
      <c r="F1175">
        <v>2</v>
      </c>
    </row>
    <row r="1176" spans="1:6" x14ac:dyDescent="0.2">
      <c r="A1176">
        <v>3670</v>
      </c>
      <c r="B1176" t="s">
        <v>327</v>
      </c>
      <c r="C1176" t="s">
        <v>449</v>
      </c>
      <c r="D1176" t="s">
        <v>547</v>
      </c>
      <c r="E1176" s="16">
        <v>45883.234340277777</v>
      </c>
      <c r="F1176">
        <v>2</v>
      </c>
    </row>
    <row r="1177" spans="1:6" x14ac:dyDescent="0.2">
      <c r="A1177">
        <v>2582</v>
      </c>
      <c r="B1177" t="s">
        <v>85</v>
      </c>
      <c r="C1177" t="s">
        <v>521</v>
      </c>
      <c r="D1177" t="s">
        <v>563</v>
      </c>
      <c r="E1177" s="16">
        <v>45915.38621527778</v>
      </c>
      <c r="F1177">
        <v>2</v>
      </c>
    </row>
    <row r="1178" spans="1:6" x14ac:dyDescent="0.2">
      <c r="A1178">
        <v>2727</v>
      </c>
      <c r="B1178" t="s">
        <v>160</v>
      </c>
      <c r="C1178" t="s">
        <v>462</v>
      </c>
      <c r="D1178" t="s">
        <v>548</v>
      </c>
      <c r="E1178" s="16">
        <v>45923.409166666665</v>
      </c>
      <c r="F1178">
        <v>2</v>
      </c>
    </row>
    <row r="1179" spans="1:6" x14ac:dyDescent="0.2">
      <c r="A1179">
        <v>2523</v>
      </c>
      <c r="B1179" t="s">
        <v>142</v>
      </c>
      <c r="C1179" t="s">
        <v>521</v>
      </c>
      <c r="D1179" t="s">
        <v>560</v>
      </c>
      <c r="E1179" s="16">
        <v>45924.375231481485</v>
      </c>
      <c r="F1179">
        <v>2</v>
      </c>
    </row>
    <row r="1180" spans="1:6" x14ac:dyDescent="0.2">
      <c r="A1180">
        <v>3196</v>
      </c>
      <c r="B1180" t="s">
        <v>46</v>
      </c>
      <c r="C1180" t="s">
        <v>462</v>
      </c>
      <c r="D1180" t="s">
        <v>548</v>
      </c>
      <c r="E1180" s="16">
        <v>45953.474722222221</v>
      </c>
      <c r="F1180">
        <v>2</v>
      </c>
    </row>
    <row r="1181" spans="1:6" x14ac:dyDescent="0.2">
      <c r="A1181">
        <v>3691</v>
      </c>
      <c r="B1181" t="s">
        <v>300</v>
      </c>
      <c r="C1181" t="s">
        <v>449</v>
      </c>
      <c r="D1181" t="s">
        <v>547</v>
      </c>
      <c r="E1181" s="16">
        <v>45955.134247685186</v>
      </c>
      <c r="F1181">
        <v>2</v>
      </c>
    </row>
    <row r="1182" spans="1:6" x14ac:dyDescent="0.2">
      <c r="A1182">
        <v>3687</v>
      </c>
      <c r="B1182" t="s">
        <v>252</v>
      </c>
      <c r="C1182" t="s">
        <v>449</v>
      </c>
      <c r="D1182" t="s">
        <v>547</v>
      </c>
      <c r="E1182" s="16">
        <v>45967.680914351855</v>
      </c>
      <c r="F1182">
        <v>2</v>
      </c>
    </row>
    <row r="1183" spans="1:6" x14ac:dyDescent="0.2">
      <c r="A1183">
        <v>3463</v>
      </c>
      <c r="B1183" t="s">
        <v>29</v>
      </c>
      <c r="C1183" t="s">
        <v>436</v>
      </c>
      <c r="D1183" t="s">
        <v>569</v>
      </c>
      <c r="E1183" s="16">
        <v>45718.632719907408</v>
      </c>
      <c r="F1183">
        <v>1</v>
      </c>
    </row>
    <row r="1184" spans="1:6" x14ac:dyDescent="0.2">
      <c r="A1184">
        <v>2549</v>
      </c>
      <c r="B1184" t="s">
        <v>203</v>
      </c>
      <c r="C1184" t="s">
        <v>518</v>
      </c>
      <c r="D1184" t="s">
        <v>574</v>
      </c>
      <c r="E1184" s="16">
        <v>45615.747870370367</v>
      </c>
      <c r="F1184">
        <v>1</v>
      </c>
    </row>
    <row r="1185" spans="1:6" x14ac:dyDescent="0.2">
      <c r="A1185">
        <v>3606</v>
      </c>
      <c r="B1185" t="s">
        <v>265</v>
      </c>
      <c r="C1185" t="s">
        <v>521</v>
      </c>
      <c r="D1185" t="s">
        <v>568</v>
      </c>
      <c r="E1185" s="16">
        <v>45760.847337962965</v>
      </c>
      <c r="F1185">
        <v>1</v>
      </c>
    </row>
    <row r="1186" spans="1:6" x14ac:dyDescent="0.2">
      <c r="A1186">
        <v>3344</v>
      </c>
      <c r="B1186" t="s">
        <v>69</v>
      </c>
      <c r="C1186" t="s">
        <v>518</v>
      </c>
      <c r="D1186" t="s">
        <v>574</v>
      </c>
      <c r="E1186" s="16">
        <v>45785.414201388892</v>
      </c>
      <c r="F1186">
        <v>1</v>
      </c>
    </row>
    <row r="1187" spans="1:6" x14ac:dyDescent="0.2">
      <c r="A1187">
        <v>3605</v>
      </c>
      <c r="B1187" t="s">
        <v>268</v>
      </c>
      <c r="C1187" t="s">
        <v>521</v>
      </c>
      <c r="D1187" t="s">
        <v>568</v>
      </c>
      <c r="E1187" s="16">
        <v>45870.411817129629</v>
      </c>
      <c r="F1187">
        <v>1</v>
      </c>
    </row>
    <row r="1188" spans="1:6" x14ac:dyDescent="0.2">
      <c r="A1188">
        <v>2624</v>
      </c>
      <c r="B1188" t="s">
        <v>155</v>
      </c>
      <c r="C1188" t="s">
        <v>518</v>
      </c>
      <c r="D1188" t="s">
        <v>574</v>
      </c>
      <c r="E1188" s="16">
        <v>45789.787604166668</v>
      </c>
      <c r="F1188">
        <v>1</v>
      </c>
    </row>
    <row r="1189" spans="1:6" x14ac:dyDescent="0.2">
      <c r="A1189">
        <v>2279</v>
      </c>
      <c r="B1189" t="s">
        <v>167</v>
      </c>
      <c r="C1189" t="s">
        <v>521</v>
      </c>
      <c r="D1189" t="s">
        <v>568</v>
      </c>
      <c r="E1189" s="16">
        <v>45887.311041666668</v>
      </c>
      <c r="F1189">
        <v>1</v>
      </c>
    </row>
    <row r="1190" spans="1:6" x14ac:dyDescent="0.2">
      <c r="A1190">
        <v>3426</v>
      </c>
      <c r="B1190" t="s">
        <v>207</v>
      </c>
      <c r="C1190" t="s">
        <v>518</v>
      </c>
      <c r="D1190" t="s">
        <v>574</v>
      </c>
      <c r="E1190" s="16">
        <v>45796.598506944443</v>
      </c>
      <c r="F1190">
        <v>1</v>
      </c>
    </row>
    <row r="1191" spans="1:6" x14ac:dyDescent="0.2">
      <c r="A1191">
        <v>3664</v>
      </c>
      <c r="B1191" t="s">
        <v>313</v>
      </c>
      <c r="C1191" t="s">
        <v>436</v>
      </c>
      <c r="D1191" t="s">
        <v>569</v>
      </c>
      <c r="E1191" s="16">
        <v>45887.417569444442</v>
      </c>
      <c r="F1191">
        <v>1</v>
      </c>
    </row>
    <row r="1192" spans="1:6" x14ac:dyDescent="0.2">
      <c r="A1192">
        <v>3463</v>
      </c>
      <c r="B1192" t="s">
        <v>29</v>
      </c>
      <c r="C1192" t="s">
        <v>518</v>
      </c>
      <c r="D1192" t="s">
        <v>574</v>
      </c>
      <c r="E1192" s="16">
        <v>45809.512152777781</v>
      </c>
      <c r="F1192">
        <v>1</v>
      </c>
    </row>
    <row r="1193" spans="1:6" x14ac:dyDescent="0.2">
      <c r="A1193">
        <v>3664</v>
      </c>
      <c r="B1193" t="s">
        <v>313</v>
      </c>
      <c r="C1193" t="s">
        <v>521</v>
      </c>
      <c r="D1193" t="s">
        <v>568</v>
      </c>
      <c r="E1193" s="16">
        <v>45887.290289351855</v>
      </c>
      <c r="F1193">
        <v>1</v>
      </c>
    </row>
    <row r="1194" spans="1:6" x14ac:dyDescent="0.2">
      <c r="A1194">
        <v>3664</v>
      </c>
      <c r="B1194" t="s">
        <v>313</v>
      </c>
      <c r="C1194" t="s">
        <v>518</v>
      </c>
      <c r="D1194" t="s">
        <v>574</v>
      </c>
      <c r="E1194" s="16">
        <v>45887.419872685183</v>
      </c>
      <c r="F1194">
        <v>1</v>
      </c>
    </row>
    <row r="1195" spans="1:6" x14ac:dyDescent="0.2">
      <c r="A1195">
        <v>3664</v>
      </c>
      <c r="B1195" t="s">
        <v>313</v>
      </c>
      <c r="C1195" t="s">
        <v>436</v>
      </c>
      <c r="D1195" t="s">
        <v>578</v>
      </c>
      <c r="E1195" s="16">
        <v>45887.417569444442</v>
      </c>
      <c r="F1195">
        <v>1</v>
      </c>
    </row>
    <row r="1196" spans="1:6" x14ac:dyDescent="0.2">
      <c r="A1196">
        <v>3609</v>
      </c>
      <c r="B1196" t="s">
        <v>245</v>
      </c>
      <c r="C1196" t="s">
        <v>518</v>
      </c>
      <c r="D1196" t="s">
        <v>574</v>
      </c>
      <c r="E1196" s="16">
        <v>45902.436585648145</v>
      </c>
      <c r="F1196">
        <v>1</v>
      </c>
    </row>
    <row r="1197" spans="1:6" x14ac:dyDescent="0.2">
      <c r="A1197">
        <v>3648</v>
      </c>
      <c r="B1197" t="s">
        <v>261</v>
      </c>
      <c r="C1197" t="s">
        <v>436</v>
      </c>
      <c r="D1197" t="s">
        <v>578</v>
      </c>
      <c r="E1197" s="16">
        <v>45900.647187499999</v>
      </c>
      <c r="F1197">
        <v>1</v>
      </c>
    </row>
    <row r="1198" spans="1:6" x14ac:dyDescent="0.2">
      <c r="A1198">
        <v>3550</v>
      </c>
      <c r="B1198" t="s">
        <v>24</v>
      </c>
      <c r="C1198" t="s">
        <v>518</v>
      </c>
      <c r="D1198" t="s">
        <v>574</v>
      </c>
      <c r="E1198" s="16">
        <v>45792.728865740741</v>
      </c>
      <c r="F1198">
        <v>1</v>
      </c>
    </row>
    <row r="1199" spans="1:6" x14ac:dyDescent="0.2">
      <c r="A1199">
        <v>3245</v>
      </c>
      <c r="B1199" t="s">
        <v>67</v>
      </c>
      <c r="C1199" t="s">
        <v>436</v>
      </c>
      <c r="D1199" t="s">
        <v>578</v>
      </c>
      <c r="E1199" s="16">
        <v>45902.390914351854</v>
      </c>
      <c r="F1199">
        <v>1</v>
      </c>
    </row>
    <row r="1200" spans="1:6" x14ac:dyDescent="0.2">
      <c r="A1200">
        <v>3562</v>
      </c>
      <c r="B1200" t="s">
        <v>49</v>
      </c>
      <c r="C1200" t="s">
        <v>518</v>
      </c>
      <c r="D1200" t="s">
        <v>574</v>
      </c>
      <c r="E1200" s="16">
        <v>45824.467673611114</v>
      </c>
      <c r="F1200">
        <v>1</v>
      </c>
    </row>
    <row r="1201" spans="1:6" x14ac:dyDescent="0.2">
      <c r="A1201">
        <v>3220</v>
      </c>
      <c r="B1201" t="s">
        <v>170</v>
      </c>
      <c r="C1201" t="s">
        <v>521</v>
      </c>
      <c r="D1201" t="s">
        <v>568</v>
      </c>
      <c r="E1201" s="16">
        <v>45765.426307870373</v>
      </c>
      <c r="F1201">
        <v>1</v>
      </c>
    </row>
    <row r="1202" spans="1:6" x14ac:dyDescent="0.2">
      <c r="A1202">
        <v>3576</v>
      </c>
      <c r="B1202" t="s">
        <v>75</v>
      </c>
      <c r="C1202" t="s">
        <v>518</v>
      </c>
      <c r="D1202" t="s">
        <v>574</v>
      </c>
      <c r="E1202" s="16">
        <v>45899.392175925925</v>
      </c>
      <c r="F1202">
        <v>1</v>
      </c>
    </row>
    <row r="1203" spans="1:6" x14ac:dyDescent="0.2">
      <c r="A1203">
        <v>2582</v>
      </c>
      <c r="B1203" t="s">
        <v>85</v>
      </c>
      <c r="C1203" t="s">
        <v>521</v>
      </c>
      <c r="D1203" t="s">
        <v>568</v>
      </c>
      <c r="E1203" s="16">
        <v>45915.38621527778</v>
      </c>
      <c r="F1203">
        <v>1</v>
      </c>
    </row>
    <row r="1204" spans="1:6" x14ac:dyDescent="0.2">
      <c r="A1204">
        <v>3656</v>
      </c>
      <c r="B1204" t="s">
        <v>259</v>
      </c>
      <c r="C1204" t="s">
        <v>518</v>
      </c>
      <c r="D1204" t="s">
        <v>574</v>
      </c>
      <c r="E1204" s="16">
        <v>45911.664155092592</v>
      </c>
      <c r="F1204">
        <v>1</v>
      </c>
    </row>
    <row r="1205" spans="1:6" x14ac:dyDescent="0.2">
      <c r="A1205">
        <v>3624</v>
      </c>
      <c r="B1205" t="s">
        <v>302</v>
      </c>
      <c r="C1205" t="s">
        <v>521</v>
      </c>
      <c r="D1205" t="s">
        <v>568</v>
      </c>
      <c r="E1205" s="16">
        <v>45916.504363425927</v>
      </c>
      <c r="F1205">
        <v>1</v>
      </c>
    </row>
    <row r="1206" spans="1:6" x14ac:dyDescent="0.2">
      <c r="A1206">
        <v>2556</v>
      </c>
      <c r="B1206" t="s">
        <v>98</v>
      </c>
      <c r="C1206" t="s">
        <v>518</v>
      </c>
      <c r="D1206" t="s">
        <v>574</v>
      </c>
      <c r="E1206" s="16">
        <v>45924.634884259256</v>
      </c>
      <c r="F1206">
        <v>1</v>
      </c>
    </row>
    <row r="1207" spans="1:6" x14ac:dyDescent="0.2">
      <c r="A1207">
        <v>3662</v>
      </c>
      <c r="B1207" t="s">
        <v>250</v>
      </c>
      <c r="C1207" t="s">
        <v>521</v>
      </c>
      <c r="D1207" t="s">
        <v>568</v>
      </c>
      <c r="E1207" s="16">
        <v>45906.585763888892</v>
      </c>
      <c r="F1207">
        <v>1</v>
      </c>
    </row>
    <row r="1208" spans="1:6" x14ac:dyDescent="0.2">
      <c r="A1208">
        <v>3677</v>
      </c>
      <c r="B1208" t="s">
        <v>283</v>
      </c>
      <c r="C1208" t="s">
        <v>518</v>
      </c>
      <c r="D1208" t="s">
        <v>574</v>
      </c>
      <c r="E1208" s="16">
        <v>45904.247858796298</v>
      </c>
      <c r="F1208">
        <v>1</v>
      </c>
    </row>
    <row r="1209" spans="1:6" x14ac:dyDescent="0.2">
      <c r="A1209">
        <v>2449</v>
      </c>
      <c r="B1209" t="s">
        <v>111</v>
      </c>
      <c r="C1209" t="s">
        <v>521</v>
      </c>
      <c r="D1209" t="s">
        <v>568</v>
      </c>
      <c r="E1209" s="16">
        <v>45681.348900462966</v>
      </c>
      <c r="F1209">
        <v>1</v>
      </c>
    </row>
    <row r="1210" spans="1:6" x14ac:dyDescent="0.2">
      <c r="A1210">
        <v>3564</v>
      </c>
      <c r="B1210" t="s">
        <v>84</v>
      </c>
      <c r="C1210" t="s">
        <v>518</v>
      </c>
      <c r="D1210" t="s">
        <v>574</v>
      </c>
      <c r="E1210" s="16">
        <v>45788.70815972222</v>
      </c>
      <c r="F1210">
        <v>1</v>
      </c>
    </row>
    <row r="1211" spans="1:6" x14ac:dyDescent="0.2">
      <c r="A1211">
        <v>1269</v>
      </c>
      <c r="B1211" t="s">
        <v>161</v>
      </c>
      <c r="C1211" t="s">
        <v>521</v>
      </c>
      <c r="D1211" t="s">
        <v>568</v>
      </c>
      <c r="E1211" s="16">
        <v>45811.473275462966</v>
      </c>
      <c r="F1211">
        <v>1</v>
      </c>
    </row>
    <row r="1212" spans="1:6" x14ac:dyDescent="0.2">
      <c r="A1212">
        <v>3644</v>
      </c>
      <c r="B1212" t="s">
        <v>299</v>
      </c>
      <c r="C1212" t="s">
        <v>518</v>
      </c>
      <c r="D1212" t="s">
        <v>574</v>
      </c>
      <c r="E1212" s="16">
        <v>45840.397731481484</v>
      </c>
      <c r="F1212">
        <v>1</v>
      </c>
    </row>
    <row r="1213" spans="1:6" x14ac:dyDescent="0.2">
      <c r="A1213">
        <v>3644</v>
      </c>
      <c r="B1213" t="s">
        <v>299</v>
      </c>
      <c r="C1213" t="s">
        <v>436</v>
      </c>
      <c r="D1213" t="s">
        <v>578</v>
      </c>
      <c r="E1213" s="16">
        <v>45887.785046296296</v>
      </c>
      <c r="F1213">
        <v>1</v>
      </c>
    </row>
    <row r="1214" spans="1:6" x14ac:dyDescent="0.2">
      <c r="A1214">
        <v>2851</v>
      </c>
      <c r="B1214" t="s">
        <v>36</v>
      </c>
      <c r="C1214" t="s">
        <v>518</v>
      </c>
      <c r="D1214" t="s">
        <v>574</v>
      </c>
      <c r="E1214" s="16">
        <v>45926.268472222226</v>
      </c>
      <c r="F1214">
        <v>1</v>
      </c>
    </row>
    <row r="1215" spans="1:6" x14ac:dyDescent="0.2">
      <c r="A1215">
        <v>2968</v>
      </c>
      <c r="B1215" t="s">
        <v>201</v>
      </c>
      <c r="C1215" t="s">
        <v>436</v>
      </c>
      <c r="D1215" t="s">
        <v>569</v>
      </c>
      <c r="E1215" s="16">
        <v>45898.263657407406</v>
      </c>
      <c r="F1215">
        <v>1</v>
      </c>
    </row>
    <row r="1216" spans="1:6" x14ac:dyDescent="0.2">
      <c r="A1216">
        <v>3594</v>
      </c>
      <c r="B1216" t="s">
        <v>315</v>
      </c>
      <c r="C1216" t="s">
        <v>518</v>
      </c>
      <c r="D1216" t="s">
        <v>574</v>
      </c>
      <c r="E1216" s="16">
        <v>45789.636712962965</v>
      </c>
      <c r="F1216">
        <v>1</v>
      </c>
    </row>
    <row r="1217" spans="1:6" x14ac:dyDescent="0.2">
      <c r="A1217">
        <v>3576</v>
      </c>
      <c r="B1217" t="s">
        <v>75</v>
      </c>
      <c r="C1217" t="s">
        <v>521</v>
      </c>
      <c r="D1217" t="s">
        <v>568</v>
      </c>
      <c r="E1217" s="16">
        <v>45899.389733796299</v>
      </c>
      <c r="F1217">
        <v>1</v>
      </c>
    </row>
    <row r="1218" spans="1:6" x14ac:dyDescent="0.2">
      <c r="A1218">
        <v>2844</v>
      </c>
      <c r="B1218" t="s">
        <v>64</v>
      </c>
      <c r="C1218" t="s">
        <v>518</v>
      </c>
      <c r="D1218" t="s">
        <v>574</v>
      </c>
      <c r="E1218" s="16">
        <v>45660.358680555553</v>
      </c>
      <c r="F1218">
        <v>1</v>
      </c>
    </row>
    <row r="1219" spans="1:6" x14ac:dyDescent="0.2">
      <c r="A1219">
        <v>3594</v>
      </c>
      <c r="B1219" t="s">
        <v>315</v>
      </c>
      <c r="C1219" t="s">
        <v>521</v>
      </c>
      <c r="D1219" t="s">
        <v>568</v>
      </c>
      <c r="E1219" s="16">
        <v>45939.350659722222</v>
      </c>
      <c r="F1219">
        <v>1</v>
      </c>
    </row>
    <row r="1220" spans="1:6" x14ac:dyDescent="0.2">
      <c r="A1220">
        <v>3444</v>
      </c>
      <c r="B1220" t="s">
        <v>104</v>
      </c>
      <c r="C1220" t="s">
        <v>518</v>
      </c>
      <c r="D1220" t="s">
        <v>574</v>
      </c>
      <c r="E1220" s="16">
        <v>45758.609826388885</v>
      </c>
      <c r="F1220">
        <v>1</v>
      </c>
    </row>
    <row r="1221" spans="1:6" x14ac:dyDescent="0.2">
      <c r="A1221">
        <v>3289</v>
      </c>
      <c r="B1221" t="s">
        <v>21</v>
      </c>
      <c r="C1221" t="s">
        <v>521</v>
      </c>
      <c r="D1221" t="s">
        <v>568</v>
      </c>
      <c r="E1221" s="16">
        <v>45605.271585648145</v>
      </c>
      <c r="F1221">
        <v>1</v>
      </c>
    </row>
    <row r="1222" spans="1:6" x14ac:dyDescent="0.2">
      <c r="A1222">
        <v>3534</v>
      </c>
      <c r="B1222" t="s">
        <v>95</v>
      </c>
      <c r="C1222" t="s">
        <v>518</v>
      </c>
      <c r="D1222" t="s">
        <v>574</v>
      </c>
      <c r="E1222" s="16">
        <v>45886.618321759262</v>
      </c>
      <c r="F1222">
        <v>1</v>
      </c>
    </row>
    <row r="1223" spans="1:6" x14ac:dyDescent="0.2">
      <c r="A1223">
        <v>1911</v>
      </c>
      <c r="B1223" t="s">
        <v>182</v>
      </c>
      <c r="C1223" t="s">
        <v>518</v>
      </c>
      <c r="D1223" t="s">
        <v>572</v>
      </c>
      <c r="E1223" s="16">
        <v>45715.365810185183</v>
      </c>
      <c r="F1223">
        <v>1</v>
      </c>
    </row>
    <row r="1224" spans="1:6" x14ac:dyDescent="0.2">
      <c r="A1224">
        <v>3476</v>
      </c>
      <c r="B1224" t="s">
        <v>73</v>
      </c>
      <c r="C1224" t="s">
        <v>436</v>
      </c>
      <c r="D1224" t="s">
        <v>576</v>
      </c>
      <c r="E1224" s="16">
        <v>45860.614016203705</v>
      </c>
      <c r="F1224">
        <v>1</v>
      </c>
    </row>
    <row r="1225" spans="1:6" x14ac:dyDescent="0.2">
      <c r="A1225">
        <v>3564</v>
      </c>
      <c r="B1225" t="s">
        <v>84</v>
      </c>
      <c r="C1225" t="s">
        <v>566</v>
      </c>
      <c r="D1225" t="s">
        <v>567</v>
      </c>
      <c r="E1225" s="16">
        <v>45747.667731481481</v>
      </c>
      <c r="F1225">
        <v>1</v>
      </c>
    </row>
    <row r="1226" spans="1:6" x14ac:dyDescent="0.2">
      <c r="A1226">
        <v>3289</v>
      </c>
      <c r="B1226" t="s">
        <v>21</v>
      </c>
      <c r="C1226" t="s">
        <v>436</v>
      </c>
      <c r="D1226" t="s">
        <v>577</v>
      </c>
      <c r="E1226" s="16">
        <v>45902.831631944442</v>
      </c>
      <c r="F1226">
        <v>1</v>
      </c>
    </row>
    <row r="1227" spans="1:6" x14ac:dyDescent="0.2">
      <c r="A1227">
        <v>3610</v>
      </c>
      <c r="B1227" t="s">
        <v>305</v>
      </c>
      <c r="C1227" t="s">
        <v>521</v>
      </c>
      <c r="D1227" t="s">
        <v>568</v>
      </c>
      <c r="E1227" s="16">
        <v>45833.46230324074</v>
      </c>
      <c r="F1227">
        <v>1</v>
      </c>
    </row>
    <row r="1228" spans="1:6" x14ac:dyDescent="0.2">
      <c r="A1228">
        <v>3594</v>
      </c>
      <c r="B1228" t="s">
        <v>315</v>
      </c>
      <c r="C1228" t="s">
        <v>436</v>
      </c>
      <c r="D1228" t="s">
        <v>576</v>
      </c>
      <c r="E1228" s="16">
        <v>45790.399791666663</v>
      </c>
      <c r="F1228">
        <v>1</v>
      </c>
    </row>
    <row r="1229" spans="1:6" x14ac:dyDescent="0.2">
      <c r="A1229">
        <v>3196</v>
      </c>
      <c r="B1229" t="s">
        <v>46</v>
      </c>
      <c r="C1229" t="s">
        <v>436</v>
      </c>
      <c r="D1229" t="s">
        <v>578</v>
      </c>
      <c r="E1229" s="16">
        <v>45668.362986111111</v>
      </c>
      <c r="F1229">
        <v>1</v>
      </c>
    </row>
    <row r="1230" spans="1:6" x14ac:dyDescent="0.2">
      <c r="A1230">
        <v>3677</v>
      </c>
      <c r="B1230" t="s">
        <v>283</v>
      </c>
      <c r="C1230" t="s">
        <v>436</v>
      </c>
      <c r="D1230" t="s">
        <v>576</v>
      </c>
      <c r="E1230" s="16">
        <v>45939.433159722219</v>
      </c>
      <c r="F1230">
        <v>1</v>
      </c>
    </row>
    <row r="1231" spans="1:6" x14ac:dyDescent="0.2">
      <c r="A1231">
        <v>3196</v>
      </c>
      <c r="B1231" t="s">
        <v>46</v>
      </c>
      <c r="C1231" t="s">
        <v>436</v>
      </c>
      <c r="D1231" t="s">
        <v>569</v>
      </c>
      <c r="E1231" s="16">
        <v>45668.362986111111</v>
      </c>
      <c r="F1231">
        <v>1</v>
      </c>
    </row>
    <row r="1232" spans="1:6" x14ac:dyDescent="0.2">
      <c r="A1232">
        <v>3196</v>
      </c>
      <c r="B1232" t="s">
        <v>46</v>
      </c>
      <c r="C1232" t="s">
        <v>436</v>
      </c>
      <c r="D1232" t="s">
        <v>570</v>
      </c>
      <c r="E1232" s="16">
        <v>45668.362986111111</v>
      </c>
      <c r="F1232">
        <v>1</v>
      </c>
    </row>
    <row r="1233" spans="1:6" x14ac:dyDescent="0.2">
      <c r="A1233">
        <v>2624</v>
      </c>
      <c r="B1233" t="s">
        <v>155</v>
      </c>
      <c r="C1233" t="s">
        <v>518</v>
      </c>
      <c r="D1233" t="s">
        <v>572</v>
      </c>
      <c r="E1233" s="16">
        <v>45789.787604166668</v>
      </c>
      <c r="F1233">
        <v>1</v>
      </c>
    </row>
    <row r="1234" spans="1:6" x14ac:dyDescent="0.2">
      <c r="A1234">
        <v>3664</v>
      </c>
      <c r="B1234" t="s">
        <v>313</v>
      </c>
      <c r="C1234" t="s">
        <v>436</v>
      </c>
      <c r="D1234" t="s">
        <v>576</v>
      </c>
      <c r="E1234" s="16">
        <v>45887.417569444442</v>
      </c>
      <c r="F1234">
        <v>1</v>
      </c>
    </row>
    <row r="1235" spans="1:6" x14ac:dyDescent="0.2">
      <c r="A1235">
        <v>918</v>
      </c>
      <c r="B1235" t="s">
        <v>50</v>
      </c>
      <c r="C1235" t="s">
        <v>518</v>
      </c>
      <c r="D1235" t="s">
        <v>572</v>
      </c>
      <c r="E1235" s="16">
        <v>45817.755231481482</v>
      </c>
      <c r="F1235">
        <v>1</v>
      </c>
    </row>
    <row r="1236" spans="1:6" x14ac:dyDescent="0.2">
      <c r="A1236">
        <v>3598</v>
      </c>
      <c r="B1236" t="s">
        <v>318</v>
      </c>
      <c r="C1236" t="s">
        <v>436</v>
      </c>
      <c r="D1236" t="s">
        <v>570</v>
      </c>
      <c r="E1236" s="16">
        <v>45939.423032407409</v>
      </c>
      <c r="F1236">
        <v>1</v>
      </c>
    </row>
    <row r="1237" spans="1:6" x14ac:dyDescent="0.2">
      <c r="A1237">
        <v>3674</v>
      </c>
      <c r="B1237" t="s">
        <v>292</v>
      </c>
      <c r="C1237" t="s">
        <v>521</v>
      </c>
      <c r="D1237" t="s">
        <v>568</v>
      </c>
      <c r="E1237" s="16">
        <v>45902.531527777777</v>
      </c>
      <c r="F1237">
        <v>1</v>
      </c>
    </row>
    <row r="1238" spans="1:6" x14ac:dyDescent="0.2">
      <c r="A1238">
        <v>32</v>
      </c>
      <c r="B1238" t="s">
        <v>451</v>
      </c>
      <c r="C1238" t="s">
        <v>436</v>
      </c>
      <c r="D1238" t="s">
        <v>570</v>
      </c>
      <c r="E1238" s="16">
        <v>45944.718356481484</v>
      </c>
      <c r="F1238">
        <v>1</v>
      </c>
    </row>
    <row r="1239" spans="1:6" x14ac:dyDescent="0.2">
      <c r="A1239">
        <v>3585</v>
      </c>
      <c r="B1239" t="s">
        <v>314</v>
      </c>
      <c r="C1239" t="s">
        <v>521</v>
      </c>
      <c r="D1239" t="s">
        <v>568</v>
      </c>
      <c r="E1239" s="16">
        <v>45763.494409722225</v>
      </c>
      <c r="F1239">
        <v>1</v>
      </c>
    </row>
    <row r="1240" spans="1:6" x14ac:dyDescent="0.2">
      <c r="A1240">
        <v>3196</v>
      </c>
      <c r="B1240" t="s">
        <v>46</v>
      </c>
      <c r="C1240" t="s">
        <v>436</v>
      </c>
      <c r="D1240" t="s">
        <v>576</v>
      </c>
      <c r="E1240" s="16">
        <v>45668.362997685188</v>
      </c>
      <c r="F1240">
        <v>1</v>
      </c>
    </row>
    <row r="1241" spans="1:6" x14ac:dyDescent="0.2">
      <c r="A1241">
        <v>3640</v>
      </c>
      <c r="B1241" t="s">
        <v>248</v>
      </c>
      <c r="C1241" t="s">
        <v>521</v>
      </c>
      <c r="D1241" t="s">
        <v>568</v>
      </c>
      <c r="E1241" s="16">
        <v>45957.430347222224</v>
      </c>
      <c r="F1241">
        <v>1</v>
      </c>
    </row>
    <row r="1242" spans="1:6" x14ac:dyDescent="0.2">
      <c r="A1242">
        <v>3626</v>
      </c>
      <c r="B1242" t="s">
        <v>316</v>
      </c>
      <c r="C1242" t="s">
        <v>436</v>
      </c>
      <c r="D1242" t="s">
        <v>576</v>
      </c>
      <c r="E1242" s="16">
        <v>45793.280219907407</v>
      </c>
      <c r="F1242">
        <v>1</v>
      </c>
    </row>
    <row r="1243" spans="1:6" x14ac:dyDescent="0.2">
      <c r="A1243">
        <v>3196</v>
      </c>
      <c r="B1243" t="s">
        <v>46</v>
      </c>
      <c r="C1243" t="s">
        <v>436</v>
      </c>
      <c r="D1243" t="s">
        <v>575</v>
      </c>
      <c r="E1243" s="16">
        <v>45668.362986111111</v>
      </c>
      <c r="F1243">
        <v>1</v>
      </c>
    </row>
    <row r="1244" spans="1:6" x14ac:dyDescent="0.2">
      <c r="A1244">
        <v>3582</v>
      </c>
      <c r="B1244" t="s">
        <v>211</v>
      </c>
      <c r="C1244" t="s">
        <v>436</v>
      </c>
      <c r="D1244" t="s">
        <v>576</v>
      </c>
      <c r="E1244" s="16">
        <v>45809.847719907404</v>
      </c>
      <c r="F1244">
        <v>1</v>
      </c>
    </row>
    <row r="1245" spans="1:6" x14ac:dyDescent="0.2">
      <c r="A1245">
        <v>3196</v>
      </c>
      <c r="B1245" t="s">
        <v>46</v>
      </c>
      <c r="C1245" t="s">
        <v>436</v>
      </c>
      <c r="D1245" t="s">
        <v>571</v>
      </c>
      <c r="E1245" s="16">
        <v>45668.362997685188</v>
      </c>
      <c r="F1245">
        <v>1</v>
      </c>
    </row>
    <row r="1246" spans="1:6" x14ac:dyDescent="0.2">
      <c r="A1246">
        <v>3649</v>
      </c>
      <c r="B1246" t="s">
        <v>312</v>
      </c>
      <c r="C1246" t="s">
        <v>436</v>
      </c>
      <c r="D1246" t="s">
        <v>570</v>
      </c>
      <c r="E1246" s="16">
        <v>45939.424270833333</v>
      </c>
      <c r="F1246">
        <v>1</v>
      </c>
    </row>
    <row r="1247" spans="1:6" x14ac:dyDescent="0.2">
      <c r="A1247">
        <v>3562</v>
      </c>
      <c r="B1247" t="s">
        <v>49</v>
      </c>
      <c r="C1247" t="s">
        <v>436</v>
      </c>
      <c r="D1247" t="s">
        <v>571</v>
      </c>
      <c r="E1247" s="16">
        <v>45728.280231481483</v>
      </c>
      <c r="F1247">
        <v>1</v>
      </c>
    </row>
    <row r="1248" spans="1:6" x14ac:dyDescent="0.2">
      <c r="A1248">
        <v>3569</v>
      </c>
      <c r="B1248" t="s">
        <v>22</v>
      </c>
      <c r="C1248" t="s">
        <v>436</v>
      </c>
      <c r="D1248" t="s">
        <v>576</v>
      </c>
      <c r="E1248" s="16">
        <v>45948.683194444442</v>
      </c>
      <c r="F1248">
        <v>1</v>
      </c>
    </row>
    <row r="1249" spans="1:6" x14ac:dyDescent="0.2">
      <c r="A1249">
        <v>3562</v>
      </c>
      <c r="B1249" t="s">
        <v>49</v>
      </c>
      <c r="C1249" t="s">
        <v>436</v>
      </c>
      <c r="D1249" t="s">
        <v>575</v>
      </c>
      <c r="E1249" s="16">
        <v>45728.280231481483</v>
      </c>
      <c r="F1249">
        <v>1</v>
      </c>
    </row>
    <row r="1250" spans="1:6" x14ac:dyDescent="0.2">
      <c r="A1250">
        <v>3245</v>
      </c>
      <c r="B1250" t="s">
        <v>67</v>
      </c>
      <c r="C1250" t="s">
        <v>436</v>
      </c>
      <c r="D1250" t="s">
        <v>576</v>
      </c>
      <c r="E1250" s="16">
        <v>45712.360949074071</v>
      </c>
      <c r="F1250">
        <v>1</v>
      </c>
    </row>
    <row r="1251" spans="1:6" x14ac:dyDescent="0.2">
      <c r="A1251">
        <v>3245</v>
      </c>
      <c r="B1251" t="s">
        <v>67</v>
      </c>
      <c r="C1251" t="s">
        <v>436</v>
      </c>
      <c r="D1251" t="s">
        <v>571</v>
      </c>
      <c r="E1251" s="16">
        <v>45712.360949074071</v>
      </c>
      <c r="F1251">
        <v>1</v>
      </c>
    </row>
    <row r="1252" spans="1:6" x14ac:dyDescent="0.2">
      <c r="A1252">
        <v>3662</v>
      </c>
      <c r="B1252" t="s">
        <v>250</v>
      </c>
      <c r="C1252" t="s">
        <v>436</v>
      </c>
      <c r="D1252" t="s">
        <v>576</v>
      </c>
      <c r="E1252" s="16">
        <v>45906.585763888892</v>
      </c>
      <c r="F1252">
        <v>1</v>
      </c>
    </row>
    <row r="1253" spans="1:6" x14ac:dyDescent="0.2">
      <c r="A1253">
        <v>3476</v>
      </c>
      <c r="B1253" t="s">
        <v>73</v>
      </c>
      <c r="C1253" t="s">
        <v>436</v>
      </c>
      <c r="D1253" t="s">
        <v>571</v>
      </c>
      <c r="E1253" s="16">
        <v>45861.628182870372</v>
      </c>
      <c r="F1253">
        <v>1</v>
      </c>
    </row>
    <row r="1254" spans="1:6" x14ac:dyDescent="0.2">
      <c r="A1254">
        <v>3662</v>
      </c>
      <c r="B1254" t="s">
        <v>250</v>
      </c>
      <c r="C1254" t="s">
        <v>436</v>
      </c>
      <c r="D1254" t="s">
        <v>570</v>
      </c>
      <c r="E1254" s="16">
        <v>45930.592511574076</v>
      </c>
      <c r="F1254">
        <v>1</v>
      </c>
    </row>
    <row r="1255" spans="1:6" x14ac:dyDescent="0.2">
      <c r="A1255">
        <v>3589</v>
      </c>
      <c r="B1255" t="s">
        <v>301</v>
      </c>
      <c r="C1255" t="s">
        <v>436</v>
      </c>
      <c r="D1255" t="s">
        <v>573</v>
      </c>
      <c r="E1255" s="16">
        <v>45724.775763888887</v>
      </c>
      <c r="F1255">
        <v>1</v>
      </c>
    </row>
    <row r="1256" spans="1:6" x14ac:dyDescent="0.2">
      <c r="A1256">
        <v>2780</v>
      </c>
      <c r="B1256" t="s">
        <v>71</v>
      </c>
      <c r="C1256" t="s">
        <v>436</v>
      </c>
      <c r="D1256" t="s">
        <v>575</v>
      </c>
      <c r="E1256" s="16">
        <v>45789.511018518519</v>
      </c>
      <c r="F1256">
        <v>1</v>
      </c>
    </row>
    <row r="1257" spans="1:6" x14ac:dyDescent="0.2">
      <c r="A1257">
        <v>3626</v>
      </c>
      <c r="B1257" t="s">
        <v>316</v>
      </c>
      <c r="C1257" t="s">
        <v>436</v>
      </c>
      <c r="D1257" t="s">
        <v>571</v>
      </c>
      <c r="E1257" s="16">
        <v>45793.280219907407</v>
      </c>
      <c r="F1257">
        <v>1</v>
      </c>
    </row>
    <row r="1258" spans="1:6" x14ac:dyDescent="0.2">
      <c r="A1258">
        <v>3664</v>
      </c>
      <c r="B1258" t="s">
        <v>313</v>
      </c>
      <c r="C1258" t="s">
        <v>436</v>
      </c>
      <c r="D1258" t="s">
        <v>571</v>
      </c>
      <c r="E1258" s="16">
        <v>45887.417569444442</v>
      </c>
      <c r="F1258">
        <v>1</v>
      </c>
    </row>
    <row r="1259" spans="1:6" x14ac:dyDescent="0.2">
      <c r="A1259">
        <v>3662</v>
      </c>
      <c r="B1259" t="s">
        <v>250</v>
      </c>
      <c r="C1259" t="s">
        <v>436</v>
      </c>
      <c r="D1259" t="s">
        <v>571</v>
      </c>
      <c r="E1259" s="16">
        <v>45921.633692129632</v>
      </c>
      <c r="F1259">
        <v>1</v>
      </c>
    </row>
    <row r="1260" spans="1:6" x14ac:dyDescent="0.2">
      <c r="A1260">
        <v>2229</v>
      </c>
      <c r="B1260" t="s">
        <v>149</v>
      </c>
      <c r="C1260" t="s">
        <v>436</v>
      </c>
      <c r="D1260" t="s">
        <v>571</v>
      </c>
      <c r="E1260" s="16">
        <v>45635.509062500001</v>
      </c>
      <c r="F1260">
        <v>1</v>
      </c>
    </row>
    <row r="1261" spans="1:6" x14ac:dyDescent="0.2">
      <c r="A1261">
        <v>3662</v>
      </c>
      <c r="B1261" t="s">
        <v>250</v>
      </c>
      <c r="C1261" t="s">
        <v>436</v>
      </c>
      <c r="D1261" t="s">
        <v>575</v>
      </c>
      <c r="E1261" s="16">
        <v>45930.603958333333</v>
      </c>
      <c r="F1261">
        <v>1</v>
      </c>
    </row>
    <row r="1262" spans="1:6" x14ac:dyDescent="0.2">
      <c r="A1262">
        <v>3677</v>
      </c>
      <c r="B1262" t="s">
        <v>283</v>
      </c>
      <c r="C1262" t="s">
        <v>436</v>
      </c>
      <c r="D1262" t="s">
        <v>571</v>
      </c>
      <c r="E1262" s="16">
        <v>45939.433159722219</v>
      </c>
      <c r="F1262">
        <v>1</v>
      </c>
    </row>
    <row r="1263" spans="1:6" x14ac:dyDescent="0.2">
      <c r="A1263">
        <v>3584</v>
      </c>
      <c r="B1263" t="s">
        <v>57</v>
      </c>
      <c r="C1263" t="s">
        <v>449</v>
      </c>
      <c r="D1263" t="s">
        <v>586</v>
      </c>
      <c r="E1263" s="16">
        <v>45702.391689814816</v>
      </c>
      <c r="F1263">
        <v>0</v>
      </c>
    </row>
    <row r="1264" spans="1:6" x14ac:dyDescent="0.2">
      <c r="A1264">
        <v>3547</v>
      </c>
      <c r="B1264" t="s">
        <v>12</v>
      </c>
      <c r="C1264" t="s">
        <v>566</v>
      </c>
      <c r="D1264" t="s">
        <v>607</v>
      </c>
      <c r="E1264" s="16">
        <v>45639.790219907409</v>
      </c>
      <c r="F1264">
        <v>0</v>
      </c>
    </row>
    <row r="1265" spans="1:6" x14ac:dyDescent="0.2">
      <c r="A1265">
        <v>3589</v>
      </c>
      <c r="B1265" t="s">
        <v>301</v>
      </c>
      <c r="C1265" t="s">
        <v>449</v>
      </c>
      <c r="D1265" t="s">
        <v>582</v>
      </c>
      <c r="E1265" s="16">
        <v>45720.640740740739</v>
      </c>
      <c r="F1265">
        <v>0</v>
      </c>
    </row>
    <row r="1266" spans="1:6" x14ac:dyDescent="0.2">
      <c r="A1266">
        <v>3539</v>
      </c>
      <c r="B1266" t="s">
        <v>70</v>
      </c>
      <c r="C1266" t="s">
        <v>566</v>
      </c>
      <c r="D1266" t="s">
        <v>607</v>
      </c>
      <c r="E1266" s="16">
        <v>45612.268703703703</v>
      </c>
      <c r="F1266">
        <v>0</v>
      </c>
    </row>
    <row r="1267" spans="1:6" x14ac:dyDescent="0.2">
      <c r="A1267">
        <v>3589</v>
      </c>
      <c r="B1267" t="s">
        <v>301</v>
      </c>
      <c r="C1267" t="s">
        <v>449</v>
      </c>
      <c r="D1267" t="s">
        <v>586</v>
      </c>
      <c r="E1267" s="16">
        <v>45720.640740740739</v>
      </c>
      <c r="F1267">
        <v>0</v>
      </c>
    </row>
    <row r="1268" spans="1:6" x14ac:dyDescent="0.2">
      <c r="A1268">
        <v>3535</v>
      </c>
      <c r="B1268" t="s">
        <v>93</v>
      </c>
      <c r="C1268" t="s">
        <v>566</v>
      </c>
      <c r="D1268" t="s">
        <v>607</v>
      </c>
      <c r="E1268" s="16">
        <v>45639.777037037034</v>
      </c>
      <c r="F1268">
        <v>0</v>
      </c>
    </row>
    <row r="1269" spans="1:6" x14ac:dyDescent="0.2">
      <c r="A1269">
        <v>3592</v>
      </c>
      <c r="B1269" t="s">
        <v>272</v>
      </c>
      <c r="C1269" t="s">
        <v>449</v>
      </c>
      <c r="D1269" t="s">
        <v>582</v>
      </c>
      <c r="E1269" s="16">
        <v>45726.366828703707</v>
      </c>
      <c r="F1269">
        <v>0</v>
      </c>
    </row>
    <row r="1270" spans="1:6" x14ac:dyDescent="0.2">
      <c r="A1270">
        <v>3544</v>
      </c>
      <c r="B1270" t="s">
        <v>15</v>
      </c>
      <c r="C1270" t="s">
        <v>566</v>
      </c>
      <c r="D1270" t="s">
        <v>607</v>
      </c>
      <c r="E1270" s="16">
        <v>45639.772141203706</v>
      </c>
      <c r="F1270">
        <v>0</v>
      </c>
    </row>
    <row r="1271" spans="1:6" x14ac:dyDescent="0.2">
      <c r="A1271">
        <v>3343</v>
      </c>
      <c r="B1271" t="s">
        <v>187</v>
      </c>
      <c r="C1271" t="s">
        <v>449</v>
      </c>
      <c r="D1271" t="s">
        <v>582</v>
      </c>
      <c r="E1271" s="16">
        <v>45730.348414351851</v>
      </c>
      <c r="F1271">
        <v>0</v>
      </c>
    </row>
    <row r="1272" spans="1:6" x14ac:dyDescent="0.2">
      <c r="A1272">
        <v>3584</v>
      </c>
      <c r="B1272" t="s">
        <v>57</v>
      </c>
      <c r="C1272" t="s">
        <v>521</v>
      </c>
      <c r="D1272" t="s">
        <v>592</v>
      </c>
      <c r="E1272" s="16">
        <v>45817.315358796295</v>
      </c>
      <c r="F1272">
        <v>0</v>
      </c>
    </row>
    <row r="1273" spans="1:6" x14ac:dyDescent="0.2">
      <c r="A1273">
        <v>3593</v>
      </c>
      <c r="B1273" t="s">
        <v>294</v>
      </c>
      <c r="C1273" t="s">
        <v>449</v>
      </c>
      <c r="D1273" t="s">
        <v>582</v>
      </c>
      <c r="E1273" s="16">
        <v>45734.455717592595</v>
      </c>
      <c r="F1273">
        <v>0</v>
      </c>
    </row>
    <row r="1274" spans="1:6" x14ac:dyDescent="0.2">
      <c r="A1274">
        <v>3584</v>
      </c>
      <c r="B1274" t="s">
        <v>57</v>
      </c>
      <c r="C1274" t="s">
        <v>566</v>
      </c>
      <c r="D1274" t="s">
        <v>607</v>
      </c>
      <c r="E1274" s="16">
        <v>45822.495057870372</v>
      </c>
      <c r="F1274">
        <v>0</v>
      </c>
    </row>
    <row r="1275" spans="1:6" x14ac:dyDescent="0.2">
      <c r="A1275">
        <v>3597</v>
      </c>
      <c r="B1275" t="s">
        <v>319</v>
      </c>
      <c r="C1275" t="s">
        <v>449</v>
      </c>
      <c r="D1275" t="s">
        <v>586</v>
      </c>
      <c r="E1275" s="16">
        <v>45740.318032407406</v>
      </c>
      <c r="F1275">
        <v>0</v>
      </c>
    </row>
    <row r="1276" spans="1:6" x14ac:dyDescent="0.2">
      <c r="A1276">
        <v>3621</v>
      </c>
      <c r="B1276" t="s">
        <v>263</v>
      </c>
      <c r="C1276" t="s">
        <v>566</v>
      </c>
      <c r="D1276" t="s">
        <v>607</v>
      </c>
      <c r="E1276" s="16">
        <v>45878.315416666665</v>
      </c>
      <c r="F1276">
        <v>0</v>
      </c>
    </row>
    <row r="1277" spans="1:6" x14ac:dyDescent="0.2">
      <c r="A1277">
        <v>3606</v>
      </c>
      <c r="B1277" t="s">
        <v>265</v>
      </c>
      <c r="C1277" t="s">
        <v>449</v>
      </c>
      <c r="D1277" t="s">
        <v>582</v>
      </c>
      <c r="E1277" s="16">
        <v>45748.525729166664</v>
      </c>
      <c r="F1277">
        <v>0</v>
      </c>
    </row>
    <row r="1278" spans="1:6" x14ac:dyDescent="0.2">
      <c r="A1278">
        <v>3618</v>
      </c>
      <c r="B1278" t="s">
        <v>325</v>
      </c>
      <c r="C1278" t="s">
        <v>566</v>
      </c>
      <c r="D1278" t="s">
        <v>607</v>
      </c>
      <c r="E1278" s="16">
        <v>45878.314375000002</v>
      </c>
      <c r="F1278">
        <v>0</v>
      </c>
    </row>
    <row r="1279" spans="1:6" x14ac:dyDescent="0.2">
      <c r="A1279">
        <v>3625</v>
      </c>
      <c r="B1279" t="s">
        <v>276</v>
      </c>
      <c r="C1279" t="s">
        <v>521</v>
      </c>
      <c r="D1279" t="s">
        <v>593</v>
      </c>
      <c r="E1279" s="16">
        <v>45773.707280092596</v>
      </c>
      <c r="F1279">
        <v>0</v>
      </c>
    </row>
    <row r="1280" spans="1:6" x14ac:dyDescent="0.2">
      <c r="A1280">
        <v>3615</v>
      </c>
      <c r="B1280" t="s">
        <v>236</v>
      </c>
      <c r="C1280" t="s">
        <v>566</v>
      </c>
      <c r="D1280" t="s">
        <v>607</v>
      </c>
      <c r="E1280" s="16">
        <v>45892.789293981485</v>
      </c>
      <c r="F1280">
        <v>0</v>
      </c>
    </row>
    <row r="1281" spans="1:6" x14ac:dyDescent="0.2">
      <c r="A1281">
        <v>3625</v>
      </c>
      <c r="B1281" t="s">
        <v>276</v>
      </c>
      <c r="C1281" t="s">
        <v>449</v>
      </c>
      <c r="D1281" t="s">
        <v>582</v>
      </c>
      <c r="E1281" s="16">
        <v>45782.36141203704</v>
      </c>
      <c r="F1281">
        <v>0</v>
      </c>
    </row>
    <row r="1282" spans="1:6" x14ac:dyDescent="0.2">
      <c r="A1282">
        <v>3637</v>
      </c>
      <c r="B1282" t="s">
        <v>304</v>
      </c>
      <c r="C1282" t="s">
        <v>566</v>
      </c>
      <c r="D1282" t="s">
        <v>607</v>
      </c>
      <c r="E1282" s="16">
        <v>45907.685567129629</v>
      </c>
      <c r="F1282">
        <v>0</v>
      </c>
    </row>
    <row r="1283" spans="1:6" x14ac:dyDescent="0.2">
      <c r="A1283">
        <v>3564</v>
      </c>
      <c r="B1283" t="s">
        <v>84</v>
      </c>
      <c r="C1283" t="s">
        <v>518</v>
      </c>
      <c r="D1283" t="s">
        <v>595</v>
      </c>
      <c r="E1283" s="16">
        <v>45788.708414351851</v>
      </c>
      <c r="F1283">
        <v>0</v>
      </c>
    </row>
    <row r="1284" spans="1:6" x14ac:dyDescent="0.2">
      <c r="A1284">
        <v>3624</v>
      </c>
      <c r="B1284" t="s">
        <v>302</v>
      </c>
      <c r="C1284" t="s">
        <v>518</v>
      </c>
      <c r="D1284" t="s">
        <v>596</v>
      </c>
      <c r="E1284" s="16">
        <v>45793.540497685186</v>
      </c>
      <c r="F1284">
        <v>0</v>
      </c>
    </row>
    <row r="1285" spans="1:6" x14ac:dyDescent="0.2">
      <c r="A1285">
        <v>3626</v>
      </c>
      <c r="B1285" t="s">
        <v>316</v>
      </c>
      <c r="C1285" t="s">
        <v>449</v>
      </c>
      <c r="D1285" t="s">
        <v>586</v>
      </c>
      <c r="E1285" s="16">
        <v>45782.618854166663</v>
      </c>
      <c r="F1285">
        <v>0</v>
      </c>
    </row>
    <row r="1286" spans="1:6" x14ac:dyDescent="0.2">
      <c r="A1286">
        <v>2376</v>
      </c>
      <c r="B1286" t="s">
        <v>145</v>
      </c>
      <c r="C1286" t="s">
        <v>580</v>
      </c>
      <c r="D1286" t="s">
        <v>585</v>
      </c>
      <c r="E1286" s="16">
        <v>45923.401759259257</v>
      </c>
      <c r="F1286">
        <v>0</v>
      </c>
    </row>
    <row r="1287" spans="1:6" x14ac:dyDescent="0.2">
      <c r="A1287">
        <v>3626</v>
      </c>
      <c r="B1287" t="s">
        <v>316</v>
      </c>
      <c r="C1287" t="s">
        <v>518</v>
      </c>
      <c r="D1287" t="s">
        <v>595</v>
      </c>
      <c r="E1287" s="16">
        <v>45793.280219907407</v>
      </c>
      <c r="F1287">
        <v>0</v>
      </c>
    </row>
    <row r="1288" spans="1:6" x14ac:dyDescent="0.2">
      <c r="A1288">
        <v>3222</v>
      </c>
      <c r="B1288" t="s">
        <v>87</v>
      </c>
      <c r="C1288" t="s">
        <v>580</v>
      </c>
      <c r="D1288" t="s">
        <v>585</v>
      </c>
      <c r="E1288" s="16">
        <v>45924.433668981481</v>
      </c>
      <c r="F1288">
        <v>0</v>
      </c>
    </row>
    <row r="1289" spans="1:6" x14ac:dyDescent="0.2">
      <c r="A1289">
        <v>3626</v>
      </c>
      <c r="B1289" t="s">
        <v>316</v>
      </c>
      <c r="C1289" t="s">
        <v>449</v>
      </c>
      <c r="D1289" t="s">
        <v>582</v>
      </c>
      <c r="E1289" s="16">
        <v>45782.618854166663</v>
      </c>
      <c r="F1289">
        <v>0</v>
      </c>
    </row>
    <row r="1290" spans="1:6" x14ac:dyDescent="0.2">
      <c r="A1290">
        <v>3647</v>
      </c>
      <c r="B1290" t="s">
        <v>310</v>
      </c>
      <c r="C1290" t="s">
        <v>566</v>
      </c>
      <c r="D1290" t="s">
        <v>607</v>
      </c>
      <c r="E1290" s="16">
        <v>45935.82135416667</v>
      </c>
      <c r="F1290">
        <v>0</v>
      </c>
    </row>
    <row r="1291" spans="1:6" x14ac:dyDescent="0.2">
      <c r="A1291">
        <v>3632</v>
      </c>
      <c r="B1291" t="s">
        <v>238</v>
      </c>
      <c r="C1291" t="s">
        <v>521</v>
      </c>
      <c r="D1291" t="s">
        <v>593</v>
      </c>
      <c r="E1291" s="16">
        <v>45783.904733796298</v>
      </c>
      <c r="F1291">
        <v>0</v>
      </c>
    </row>
    <row r="1292" spans="1:6" x14ac:dyDescent="0.2">
      <c r="A1292">
        <v>3594</v>
      </c>
      <c r="B1292" t="s">
        <v>315</v>
      </c>
      <c r="C1292" t="s">
        <v>566</v>
      </c>
      <c r="D1292" t="s">
        <v>607</v>
      </c>
      <c r="E1292" s="16">
        <v>45851.263599537036</v>
      </c>
      <c r="F1292">
        <v>0</v>
      </c>
    </row>
    <row r="1293" spans="1:6" x14ac:dyDescent="0.2">
      <c r="A1293">
        <v>3632</v>
      </c>
      <c r="B1293" t="s">
        <v>238</v>
      </c>
      <c r="C1293" t="s">
        <v>449</v>
      </c>
      <c r="D1293" t="s">
        <v>582</v>
      </c>
      <c r="E1293" s="16">
        <v>45793.41778935185</v>
      </c>
      <c r="F1293">
        <v>0</v>
      </c>
    </row>
    <row r="1294" spans="1:6" x14ac:dyDescent="0.2">
      <c r="A1294">
        <v>3677</v>
      </c>
      <c r="B1294" t="s">
        <v>283</v>
      </c>
      <c r="C1294" t="s">
        <v>580</v>
      </c>
      <c r="D1294" t="s">
        <v>585</v>
      </c>
      <c r="E1294" s="16">
        <v>45925.319027777776</v>
      </c>
      <c r="F1294">
        <v>0</v>
      </c>
    </row>
    <row r="1295" spans="1:6" x14ac:dyDescent="0.2">
      <c r="A1295">
        <v>3582</v>
      </c>
      <c r="B1295" t="s">
        <v>211</v>
      </c>
      <c r="C1295" t="s">
        <v>449</v>
      </c>
      <c r="D1295" t="s">
        <v>586</v>
      </c>
      <c r="E1295" s="16">
        <v>45707.577060185184</v>
      </c>
      <c r="F1295">
        <v>0</v>
      </c>
    </row>
    <row r="1296" spans="1:6" x14ac:dyDescent="0.2">
      <c r="A1296">
        <v>3569</v>
      </c>
      <c r="B1296" t="s">
        <v>22</v>
      </c>
      <c r="C1296" t="s">
        <v>566</v>
      </c>
      <c r="D1296" t="s">
        <v>607</v>
      </c>
      <c r="E1296" s="16">
        <v>45795.665821759256</v>
      </c>
      <c r="F1296">
        <v>0</v>
      </c>
    </row>
    <row r="1297" spans="1:6" x14ac:dyDescent="0.2">
      <c r="A1297">
        <v>3582</v>
      </c>
      <c r="B1297" t="s">
        <v>211</v>
      </c>
      <c r="C1297" t="s">
        <v>449</v>
      </c>
      <c r="D1297" t="s">
        <v>582</v>
      </c>
      <c r="E1297" s="16">
        <v>45707.577060185184</v>
      </c>
      <c r="F1297">
        <v>0</v>
      </c>
    </row>
    <row r="1298" spans="1:6" x14ac:dyDescent="0.2">
      <c r="A1298">
        <v>86</v>
      </c>
      <c r="B1298" t="s">
        <v>163</v>
      </c>
      <c r="C1298" t="s">
        <v>518</v>
      </c>
      <c r="D1298" t="s">
        <v>594</v>
      </c>
      <c r="E1298" s="16">
        <v>45643.52679398148</v>
      </c>
      <c r="F1298">
        <v>0</v>
      </c>
    </row>
    <row r="1299" spans="1:6" x14ac:dyDescent="0.2">
      <c r="A1299">
        <v>3610</v>
      </c>
      <c r="B1299" t="s">
        <v>305</v>
      </c>
      <c r="C1299" t="s">
        <v>449</v>
      </c>
      <c r="D1299" t="s">
        <v>582</v>
      </c>
      <c r="E1299" s="16">
        <v>45754.53193287037</v>
      </c>
      <c r="F1299">
        <v>0</v>
      </c>
    </row>
    <row r="1300" spans="1:6" x14ac:dyDescent="0.2">
      <c r="A1300">
        <v>3589</v>
      </c>
      <c r="B1300" t="s">
        <v>301</v>
      </c>
      <c r="C1300" t="s">
        <v>518</v>
      </c>
      <c r="D1300" t="s">
        <v>596</v>
      </c>
      <c r="E1300" s="16">
        <v>45720.640740740739</v>
      </c>
      <c r="F1300">
        <v>0</v>
      </c>
    </row>
    <row r="1301" spans="1:6" x14ac:dyDescent="0.2">
      <c r="A1301">
        <v>3610</v>
      </c>
      <c r="B1301" t="s">
        <v>305</v>
      </c>
      <c r="C1301" t="s">
        <v>521</v>
      </c>
      <c r="D1301" t="s">
        <v>593</v>
      </c>
      <c r="E1301" s="16">
        <v>45750.273263888892</v>
      </c>
      <c r="F1301">
        <v>0</v>
      </c>
    </row>
    <row r="1302" spans="1:6" x14ac:dyDescent="0.2">
      <c r="A1302">
        <v>3550</v>
      </c>
      <c r="B1302" t="s">
        <v>24</v>
      </c>
      <c r="C1302" t="s">
        <v>566</v>
      </c>
      <c r="D1302" t="s">
        <v>607</v>
      </c>
      <c r="E1302" s="16">
        <v>45667.693761574075</v>
      </c>
      <c r="F1302">
        <v>0</v>
      </c>
    </row>
    <row r="1303" spans="1:6" x14ac:dyDescent="0.2">
      <c r="A1303">
        <v>3644</v>
      </c>
      <c r="B1303" t="s">
        <v>299</v>
      </c>
      <c r="C1303" t="s">
        <v>449</v>
      </c>
      <c r="D1303" t="s">
        <v>586</v>
      </c>
      <c r="E1303" s="16">
        <v>45825.514004629629</v>
      </c>
      <c r="F1303">
        <v>0</v>
      </c>
    </row>
    <row r="1304" spans="1:6" x14ac:dyDescent="0.2">
      <c r="A1304">
        <v>3562</v>
      </c>
      <c r="B1304" t="s">
        <v>49</v>
      </c>
      <c r="C1304" t="s">
        <v>566</v>
      </c>
      <c r="D1304" t="s">
        <v>607</v>
      </c>
      <c r="E1304" s="16">
        <v>45795.671678240738</v>
      </c>
      <c r="F1304">
        <v>0</v>
      </c>
    </row>
    <row r="1305" spans="1:6" x14ac:dyDescent="0.2">
      <c r="A1305">
        <v>3644</v>
      </c>
      <c r="B1305" t="s">
        <v>299</v>
      </c>
      <c r="C1305" t="s">
        <v>580</v>
      </c>
      <c r="D1305" t="s">
        <v>588</v>
      </c>
      <c r="E1305" s="16">
        <v>45840.619074074071</v>
      </c>
      <c r="F1305">
        <v>0</v>
      </c>
    </row>
    <row r="1306" spans="1:6" x14ac:dyDescent="0.2">
      <c r="A1306">
        <v>3579</v>
      </c>
      <c r="B1306" t="s">
        <v>193</v>
      </c>
      <c r="C1306" t="s">
        <v>566</v>
      </c>
      <c r="D1306" t="s">
        <v>607</v>
      </c>
      <c r="E1306" s="16">
        <v>45809.603159722225</v>
      </c>
      <c r="F1306">
        <v>0</v>
      </c>
    </row>
    <row r="1307" spans="1:6" x14ac:dyDescent="0.2">
      <c r="A1307">
        <v>3660</v>
      </c>
      <c r="B1307" t="s">
        <v>285</v>
      </c>
      <c r="C1307" t="s">
        <v>521</v>
      </c>
      <c r="D1307" t="s">
        <v>593</v>
      </c>
      <c r="E1307" s="16">
        <v>45874.465439814812</v>
      </c>
      <c r="F1307">
        <v>0</v>
      </c>
    </row>
    <row r="1308" spans="1:6" x14ac:dyDescent="0.2">
      <c r="A1308">
        <v>3582</v>
      </c>
      <c r="B1308" t="s">
        <v>211</v>
      </c>
      <c r="C1308" t="s">
        <v>566</v>
      </c>
      <c r="D1308" t="s">
        <v>607</v>
      </c>
      <c r="E1308" s="16">
        <v>45835.549305555556</v>
      </c>
      <c r="F1308">
        <v>0</v>
      </c>
    </row>
    <row r="1309" spans="1:6" x14ac:dyDescent="0.2">
      <c r="A1309">
        <v>3664</v>
      </c>
      <c r="B1309" t="s">
        <v>313</v>
      </c>
      <c r="C1309" t="s">
        <v>449</v>
      </c>
      <c r="D1309" t="s">
        <v>582</v>
      </c>
      <c r="E1309" s="16">
        <v>45883.572152777779</v>
      </c>
      <c r="F1309">
        <v>0</v>
      </c>
    </row>
    <row r="1310" spans="1:6" x14ac:dyDescent="0.2">
      <c r="A1310">
        <v>3592</v>
      </c>
      <c r="B1310" t="s">
        <v>272</v>
      </c>
      <c r="C1310" t="s">
        <v>566</v>
      </c>
      <c r="D1310" t="s">
        <v>607</v>
      </c>
      <c r="E1310" s="16">
        <v>45853.296064814815</v>
      </c>
      <c r="F1310">
        <v>0</v>
      </c>
    </row>
    <row r="1311" spans="1:6" x14ac:dyDescent="0.2">
      <c r="A1311">
        <v>3664</v>
      </c>
      <c r="B1311" t="s">
        <v>313</v>
      </c>
      <c r="C1311" t="s">
        <v>521</v>
      </c>
      <c r="D1311" t="s">
        <v>593</v>
      </c>
      <c r="E1311" s="16">
        <v>45875.51190972222</v>
      </c>
      <c r="F1311">
        <v>0</v>
      </c>
    </row>
    <row r="1312" spans="1:6" x14ac:dyDescent="0.2">
      <c r="A1312">
        <v>3610</v>
      </c>
      <c r="B1312" t="s">
        <v>305</v>
      </c>
      <c r="C1312" t="s">
        <v>566</v>
      </c>
      <c r="D1312" t="s">
        <v>607</v>
      </c>
      <c r="E1312" s="16">
        <v>45878.308877314812</v>
      </c>
      <c r="F1312">
        <v>0</v>
      </c>
    </row>
    <row r="1313" spans="1:6" x14ac:dyDescent="0.2">
      <c r="A1313">
        <v>3568</v>
      </c>
      <c r="B1313" t="s">
        <v>210</v>
      </c>
      <c r="C1313" t="s">
        <v>449</v>
      </c>
      <c r="D1313" t="s">
        <v>582</v>
      </c>
      <c r="E1313" s="16">
        <v>45695.285104166665</v>
      </c>
      <c r="F1313">
        <v>0</v>
      </c>
    </row>
    <row r="1314" spans="1:6" x14ac:dyDescent="0.2">
      <c r="A1314">
        <v>3583</v>
      </c>
      <c r="B1314" t="s">
        <v>97</v>
      </c>
      <c r="C1314" t="s">
        <v>518</v>
      </c>
      <c r="D1314" t="s">
        <v>596</v>
      </c>
      <c r="E1314" s="16">
        <v>45736.591990740744</v>
      </c>
      <c r="F1314">
        <v>0</v>
      </c>
    </row>
    <row r="1315" spans="1:6" x14ac:dyDescent="0.2">
      <c r="A1315">
        <v>3576</v>
      </c>
      <c r="B1315" t="s">
        <v>75</v>
      </c>
      <c r="C1315" t="s">
        <v>521</v>
      </c>
      <c r="D1315" t="s">
        <v>593</v>
      </c>
      <c r="E1315" s="16">
        <v>45691.699594907404</v>
      </c>
      <c r="F1315">
        <v>0</v>
      </c>
    </row>
    <row r="1316" spans="1:6" x14ac:dyDescent="0.2">
      <c r="A1316">
        <v>3648</v>
      </c>
      <c r="B1316" t="s">
        <v>261</v>
      </c>
      <c r="C1316" t="s">
        <v>518</v>
      </c>
      <c r="D1316" t="s">
        <v>596</v>
      </c>
      <c r="E1316" s="16">
        <v>45846.46597222222</v>
      </c>
      <c r="F1316">
        <v>0</v>
      </c>
    </row>
    <row r="1317" spans="1:6" x14ac:dyDescent="0.2">
      <c r="A1317">
        <v>3674</v>
      </c>
      <c r="B1317" t="s">
        <v>292</v>
      </c>
      <c r="C1317" t="s">
        <v>449</v>
      </c>
      <c r="D1317" t="s">
        <v>586</v>
      </c>
      <c r="E1317" s="16">
        <v>45902.512916666667</v>
      </c>
      <c r="F1317">
        <v>0</v>
      </c>
    </row>
    <row r="1318" spans="1:6" x14ac:dyDescent="0.2">
      <c r="A1318">
        <v>3609</v>
      </c>
      <c r="B1318" t="s">
        <v>245</v>
      </c>
      <c r="C1318" t="s">
        <v>518</v>
      </c>
      <c r="D1318" t="s">
        <v>596</v>
      </c>
      <c r="E1318" s="16">
        <v>45775.662303240744</v>
      </c>
      <c r="F1318">
        <v>0</v>
      </c>
    </row>
    <row r="1319" spans="1:6" x14ac:dyDescent="0.2">
      <c r="A1319">
        <v>3585</v>
      </c>
      <c r="B1319" t="s">
        <v>314</v>
      </c>
      <c r="C1319" t="s">
        <v>521</v>
      </c>
      <c r="D1319" t="s">
        <v>593</v>
      </c>
      <c r="E1319" s="16">
        <v>45706.184282407405</v>
      </c>
      <c r="F1319">
        <v>0</v>
      </c>
    </row>
    <row r="1320" spans="1:6" x14ac:dyDescent="0.2">
      <c r="A1320">
        <v>3609</v>
      </c>
      <c r="B1320" t="s">
        <v>245</v>
      </c>
      <c r="C1320" t="s">
        <v>566</v>
      </c>
      <c r="D1320" t="s">
        <v>607</v>
      </c>
      <c r="E1320" s="16">
        <v>45864.306608796294</v>
      </c>
      <c r="F1320">
        <v>0</v>
      </c>
    </row>
    <row r="1321" spans="1:6" x14ac:dyDescent="0.2">
      <c r="A1321">
        <v>3665</v>
      </c>
      <c r="B1321" t="s">
        <v>222</v>
      </c>
      <c r="C1321" t="s">
        <v>449</v>
      </c>
      <c r="D1321" t="s">
        <v>582</v>
      </c>
      <c r="E1321" s="16">
        <v>45904.527256944442</v>
      </c>
      <c r="F1321">
        <v>0</v>
      </c>
    </row>
    <row r="1322" spans="1:6" x14ac:dyDescent="0.2">
      <c r="A1322">
        <v>3602</v>
      </c>
      <c r="B1322" t="s">
        <v>297</v>
      </c>
      <c r="C1322" t="s">
        <v>566</v>
      </c>
      <c r="D1322" t="s">
        <v>607</v>
      </c>
      <c r="E1322" s="16">
        <v>45907.668090277781</v>
      </c>
      <c r="F1322">
        <v>0</v>
      </c>
    </row>
    <row r="1323" spans="1:6" x14ac:dyDescent="0.2">
      <c r="A1323">
        <v>3562</v>
      </c>
      <c r="B1323" t="s">
        <v>49</v>
      </c>
      <c r="C1323" t="s">
        <v>449</v>
      </c>
      <c r="D1323" t="s">
        <v>586</v>
      </c>
      <c r="E1323" s="16">
        <v>45909.355891203704</v>
      </c>
      <c r="F1323">
        <v>0</v>
      </c>
    </row>
    <row r="1324" spans="1:6" x14ac:dyDescent="0.2">
      <c r="A1324">
        <v>3624</v>
      </c>
      <c r="B1324" t="s">
        <v>302</v>
      </c>
      <c r="C1324" t="s">
        <v>566</v>
      </c>
      <c r="D1324" t="s">
        <v>607</v>
      </c>
      <c r="E1324" s="16">
        <v>45907.677893518521</v>
      </c>
      <c r="F1324">
        <v>0</v>
      </c>
    </row>
    <row r="1325" spans="1:6" x14ac:dyDescent="0.2">
      <c r="A1325">
        <v>3672</v>
      </c>
      <c r="B1325" t="s">
        <v>323</v>
      </c>
      <c r="C1325" t="s">
        <v>449</v>
      </c>
      <c r="D1325" t="s">
        <v>582</v>
      </c>
      <c r="E1325" s="16">
        <v>45911.362997685188</v>
      </c>
      <c r="F1325">
        <v>0</v>
      </c>
    </row>
    <row r="1326" spans="1:6" x14ac:dyDescent="0.2">
      <c r="A1326">
        <v>3609</v>
      </c>
      <c r="B1326" t="s">
        <v>245</v>
      </c>
      <c r="C1326" t="s">
        <v>580</v>
      </c>
      <c r="D1326" t="s">
        <v>585</v>
      </c>
      <c r="E1326" s="16">
        <v>45923.49</v>
      </c>
      <c r="F1326">
        <v>0</v>
      </c>
    </row>
    <row r="1327" spans="1:6" x14ac:dyDescent="0.2">
      <c r="A1327">
        <v>3251</v>
      </c>
      <c r="B1327" t="s">
        <v>150</v>
      </c>
      <c r="C1327" t="s">
        <v>580</v>
      </c>
      <c r="D1327" t="s">
        <v>587</v>
      </c>
      <c r="E1327" s="16">
        <v>45923.489490740743</v>
      </c>
      <c r="F1327">
        <v>0</v>
      </c>
    </row>
    <row r="1328" spans="1:6" x14ac:dyDescent="0.2">
      <c r="A1328">
        <v>3594</v>
      </c>
      <c r="B1328" t="s">
        <v>315</v>
      </c>
      <c r="C1328" t="s">
        <v>518</v>
      </c>
      <c r="D1328" t="s">
        <v>596</v>
      </c>
      <c r="E1328" s="16">
        <v>45785.390138888892</v>
      </c>
      <c r="F1328">
        <v>0</v>
      </c>
    </row>
    <row r="1329" spans="1:6" x14ac:dyDescent="0.2">
      <c r="A1329">
        <v>2523</v>
      </c>
      <c r="B1329" t="s">
        <v>142</v>
      </c>
      <c r="C1329" t="s">
        <v>580</v>
      </c>
      <c r="D1329" t="s">
        <v>587</v>
      </c>
      <c r="E1329" s="16">
        <v>45924.375231481485</v>
      </c>
      <c r="F1329">
        <v>0</v>
      </c>
    </row>
    <row r="1330" spans="1:6" x14ac:dyDescent="0.2">
      <c r="A1330">
        <v>3598</v>
      </c>
      <c r="B1330" t="s">
        <v>318</v>
      </c>
      <c r="C1330" t="s">
        <v>518</v>
      </c>
      <c r="D1330" t="s">
        <v>596</v>
      </c>
      <c r="E1330" s="16">
        <v>45800.435995370368</v>
      </c>
      <c r="F1330">
        <v>0</v>
      </c>
    </row>
    <row r="1331" spans="1:6" x14ac:dyDescent="0.2">
      <c r="A1331">
        <v>2582</v>
      </c>
      <c r="B1331" t="s">
        <v>85</v>
      </c>
      <c r="C1331" t="s">
        <v>580</v>
      </c>
      <c r="D1331" t="s">
        <v>587</v>
      </c>
      <c r="E1331" s="16">
        <v>45924.378171296295</v>
      </c>
      <c r="F1331">
        <v>0</v>
      </c>
    </row>
    <row r="1332" spans="1:6" x14ac:dyDescent="0.2">
      <c r="A1332">
        <v>3677</v>
      </c>
      <c r="B1332" t="s">
        <v>283</v>
      </c>
      <c r="C1332" t="s">
        <v>518</v>
      </c>
      <c r="D1332" t="s">
        <v>596</v>
      </c>
      <c r="E1332" s="16">
        <v>45904.247858796298</v>
      </c>
      <c r="F1332">
        <v>0</v>
      </c>
    </row>
    <row r="1333" spans="1:6" x14ac:dyDescent="0.2">
      <c r="A1333">
        <v>3594</v>
      </c>
      <c r="B1333" t="s">
        <v>315</v>
      </c>
      <c r="C1333" t="s">
        <v>449</v>
      </c>
      <c r="D1333" t="s">
        <v>582</v>
      </c>
      <c r="E1333" s="16">
        <v>45785.389490740738</v>
      </c>
      <c r="F1333">
        <v>0</v>
      </c>
    </row>
    <row r="1334" spans="1:6" x14ac:dyDescent="0.2">
      <c r="A1334">
        <v>3199</v>
      </c>
      <c r="B1334" t="s">
        <v>168</v>
      </c>
      <c r="C1334" t="s">
        <v>580</v>
      </c>
      <c r="D1334" t="s">
        <v>585</v>
      </c>
      <c r="E1334" s="16">
        <v>45952.533530092594</v>
      </c>
      <c r="F1334">
        <v>0</v>
      </c>
    </row>
    <row r="1335" spans="1:6" x14ac:dyDescent="0.2">
      <c r="A1335">
        <v>3594</v>
      </c>
      <c r="B1335" t="s">
        <v>315</v>
      </c>
      <c r="C1335" t="s">
        <v>518</v>
      </c>
      <c r="D1335" t="s">
        <v>595</v>
      </c>
      <c r="E1335" s="16">
        <v>45785.391250000001</v>
      </c>
      <c r="F1335">
        <v>0</v>
      </c>
    </row>
    <row r="1336" spans="1:6" x14ac:dyDescent="0.2">
      <c r="A1336">
        <v>3645</v>
      </c>
      <c r="B1336" t="s">
        <v>320</v>
      </c>
      <c r="C1336" t="s">
        <v>566</v>
      </c>
      <c r="D1336" t="s">
        <v>607</v>
      </c>
      <c r="E1336" s="16">
        <v>45935.820324074077</v>
      </c>
      <c r="F1336">
        <v>0</v>
      </c>
    </row>
    <row r="1337" spans="1:6" x14ac:dyDescent="0.2">
      <c r="A1337">
        <v>3594</v>
      </c>
      <c r="B1337" t="s">
        <v>315</v>
      </c>
      <c r="C1337" t="s">
        <v>521</v>
      </c>
      <c r="D1337" t="s">
        <v>593</v>
      </c>
      <c r="E1337" s="16">
        <v>45722.436562499999</v>
      </c>
      <c r="F1337">
        <v>0</v>
      </c>
    </row>
    <row r="1338" spans="1:6" x14ac:dyDescent="0.2">
      <c r="A1338">
        <v>3654</v>
      </c>
      <c r="B1338" t="s">
        <v>231</v>
      </c>
      <c r="C1338" t="s">
        <v>566</v>
      </c>
      <c r="D1338" t="s">
        <v>607</v>
      </c>
      <c r="E1338" s="16">
        <v>45962.250092592592</v>
      </c>
      <c r="F1338">
        <v>0</v>
      </c>
    </row>
    <row r="1339" spans="1:6" x14ac:dyDescent="0.2">
      <c r="A1339">
        <v>3598</v>
      </c>
      <c r="B1339" t="s">
        <v>318</v>
      </c>
      <c r="C1339" t="s">
        <v>449</v>
      </c>
      <c r="D1339" t="s">
        <v>586</v>
      </c>
      <c r="E1339" s="16">
        <v>45736.498981481483</v>
      </c>
      <c r="F1339">
        <v>0</v>
      </c>
    </row>
    <row r="1340" spans="1:6" x14ac:dyDescent="0.2">
      <c r="A1340">
        <v>3648</v>
      </c>
      <c r="B1340" t="s">
        <v>261</v>
      </c>
      <c r="C1340" t="s">
        <v>566</v>
      </c>
      <c r="D1340" t="s">
        <v>607</v>
      </c>
      <c r="E1340" s="16">
        <v>45962.245023148149</v>
      </c>
      <c r="F1340">
        <v>0</v>
      </c>
    </row>
    <row r="1341" spans="1:6" x14ac:dyDescent="0.2">
      <c r="A1341">
        <v>3677</v>
      </c>
      <c r="B1341" t="s">
        <v>283</v>
      </c>
      <c r="C1341" t="s">
        <v>580</v>
      </c>
      <c r="D1341" t="s">
        <v>587</v>
      </c>
      <c r="E1341" s="16">
        <v>45925.319027777776</v>
      </c>
      <c r="F1341">
        <v>0</v>
      </c>
    </row>
    <row r="1342" spans="1:6" x14ac:dyDescent="0.2">
      <c r="A1342">
        <v>3564</v>
      </c>
      <c r="B1342" t="s">
        <v>84</v>
      </c>
      <c r="C1342" t="s">
        <v>566</v>
      </c>
      <c r="D1342" t="s">
        <v>607</v>
      </c>
      <c r="E1342" s="16">
        <v>45795.675439814811</v>
      </c>
      <c r="F1342">
        <v>0</v>
      </c>
    </row>
    <row r="1343" spans="1:6" x14ac:dyDescent="0.2">
      <c r="A1343">
        <v>3676</v>
      </c>
      <c r="B1343" t="s">
        <v>239</v>
      </c>
      <c r="C1343" t="s">
        <v>449</v>
      </c>
      <c r="D1343" t="s">
        <v>586</v>
      </c>
      <c r="E1343" s="16">
        <v>45915.412881944445</v>
      </c>
      <c r="F1343">
        <v>0</v>
      </c>
    </row>
    <row r="1344" spans="1:6" x14ac:dyDescent="0.2">
      <c r="A1344">
        <v>3599</v>
      </c>
      <c r="B1344" t="s">
        <v>281</v>
      </c>
      <c r="C1344" t="s">
        <v>566</v>
      </c>
      <c r="D1344" t="s">
        <v>607</v>
      </c>
      <c r="E1344" s="16">
        <v>45851.266423611109</v>
      </c>
      <c r="F1344">
        <v>0</v>
      </c>
    </row>
    <row r="1345" spans="1:6" x14ac:dyDescent="0.2">
      <c r="A1345">
        <v>3686</v>
      </c>
      <c r="B1345" t="s">
        <v>233</v>
      </c>
      <c r="C1345" t="s">
        <v>449</v>
      </c>
      <c r="D1345" t="s">
        <v>586</v>
      </c>
      <c r="E1345" s="16">
        <v>45953.569062499999</v>
      </c>
      <c r="F1345">
        <v>0</v>
      </c>
    </row>
    <row r="1346" spans="1:6" x14ac:dyDescent="0.2">
      <c r="A1346">
        <v>3597</v>
      </c>
      <c r="B1346" t="s">
        <v>319</v>
      </c>
      <c r="C1346" t="s">
        <v>566</v>
      </c>
      <c r="D1346" t="s">
        <v>607</v>
      </c>
      <c r="E1346" s="16">
        <v>45864.268055555556</v>
      </c>
      <c r="F1346">
        <v>0</v>
      </c>
    </row>
    <row r="1347" spans="1:6" x14ac:dyDescent="0.2">
      <c r="A1347">
        <v>3640</v>
      </c>
      <c r="B1347" t="s">
        <v>248</v>
      </c>
      <c r="C1347" t="s">
        <v>449</v>
      </c>
      <c r="D1347" t="s">
        <v>582</v>
      </c>
      <c r="E1347" s="16">
        <v>45804.528275462966</v>
      </c>
      <c r="F1347">
        <v>0</v>
      </c>
    </row>
    <row r="1348" spans="1:6" x14ac:dyDescent="0.2">
      <c r="A1348">
        <v>3605</v>
      </c>
      <c r="B1348" t="s">
        <v>268</v>
      </c>
      <c r="C1348" t="s">
        <v>518</v>
      </c>
      <c r="D1348" t="s">
        <v>596</v>
      </c>
      <c r="E1348" s="16">
        <v>45754.448599537034</v>
      </c>
      <c r="F1348">
        <v>0</v>
      </c>
    </row>
    <row r="1349" spans="1:6" x14ac:dyDescent="0.2">
      <c r="A1349">
        <v>3579</v>
      </c>
      <c r="B1349" t="s">
        <v>193</v>
      </c>
      <c r="C1349" t="s">
        <v>521</v>
      </c>
      <c r="D1349" t="s">
        <v>593</v>
      </c>
      <c r="E1349" s="16">
        <v>45697.188518518517</v>
      </c>
      <c r="F1349">
        <v>0</v>
      </c>
    </row>
    <row r="1350" spans="1:6" x14ac:dyDescent="0.2">
      <c r="A1350">
        <v>3605</v>
      </c>
      <c r="B1350" t="s">
        <v>268</v>
      </c>
      <c r="C1350" t="s">
        <v>566</v>
      </c>
      <c r="D1350" t="s">
        <v>607</v>
      </c>
      <c r="E1350" s="16">
        <v>45878.302881944444</v>
      </c>
      <c r="F1350">
        <v>0</v>
      </c>
    </row>
    <row r="1351" spans="1:6" x14ac:dyDescent="0.2">
      <c r="A1351">
        <v>3584</v>
      </c>
      <c r="B1351" t="s">
        <v>57</v>
      </c>
      <c r="C1351" t="s">
        <v>449</v>
      </c>
      <c r="D1351" t="s">
        <v>582</v>
      </c>
      <c r="E1351" s="16">
        <v>45702.391689814816</v>
      </c>
      <c r="F1351">
        <v>0</v>
      </c>
    </row>
    <row r="1352" spans="1:6" x14ac:dyDescent="0.2">
      <c r="A1352">
        <v>3606</v>
      </c>
      <c r="B1352" t="s">
        <v>265</v>
      </c>
      <c r="C1352" t="s">
        <v>566</v>
      </c>
      <c r="D1352" t="s">
        <v>607</v>
      </c>
      <c r="E1352" s="16">
        <v>45878.303981481484</v>
      </c>
      <c r="F1352">
        <v>0</v>
      </c>
    </row>
    <row r="1353" spans="1:6" x14ac:dyDescent="0.2">
      <c r="A1353">
        <v>3469</v>
      </c>
      <c r="B1353" t="s">
        <v>181</v>
      </c>
      <c r="C1353" t="s">
        <v>580</v>
      </c>
      <c r="D1353" t="s">
        <v>588</v>
      </c>
      <c r="E1353" s="16">
        <v>45712.48777777778</v>
      </c>
      <c r="F1353">
        <v>0</v>
      </c>
    </row>
    <row r="1354" spans="1:6" x14ac:dyDescent="0.2">
      <c r="A1354">
        <v>3534</v>
      </c>
      <c r="B1354" t="s">
        <v>95</v>
      </c>
      <c r="C1354" t="s">
        <v>566</v>
      </c>
      <c r="D1354" t="s">
        <v>607</v>
      </c>
      <c r="E1354" s="16">
        <v>45625.295543981483</v>
      </c>
      <c r="F1354">
        <v>0</v>
      </c>
    </row>
    <row r="1355" spans="1:6" x14ac:dyDescent="0.2">
      <c r="A1355">
        <v>3589</v>
      </c>
      <c r="B1355" t="s">
        <v>301</v>
      </c>
      <c r="C1355" t="s">
        <v>521</v>
      </c>
      <c r="D1355" t="s">
        <v>593</v>
      </c>
      <c r="E1355" s="16">
        <v>45710.210173611114</v>
      </c>
      <c r="F1355">
        <v>0</v>
      </c>
    </row>
    <row r="1356" spans="1:6" x14ac:dyDescent="0.2">
      <c r="A1356">
        <v>3664</v>
      </c>
      <c r="B1356" t="s">
        <v>313</v>
      </c>
      <c r="C1356" t="s">
        <v>518</v>
      </c>
      <c r="D1356" t="s">
        <v>596</v>
      </c>
      <c r="E1356" s="16">
        <v>45883.572152777779</v>
      </c>
      <c r="F1356">
        <v>0</v>
      </c>
    </row>
    <row r="1357" spans="1:6" x14ac:dyDescent="0.2">
      <c r="A1357">
        <v>3564</v>
      </c>
      <c r="B1357" t="s">
        <v>84</v>
      </c>
      <c r="C1357" t="s">
        <v>449</v>
      </c>
      <c r="D1357" t="s">
        <v>582</v>
      </c>
      <c r="E1357" s="16">
        <v>45695.286828703705</v>
      </c>
      <c r="F1357">
        <v>0</v>
      </c>
    </row>
    <row r="1358" spans="1:6" x14ac:dyDescent="0.2">
      <c r="A1358">
        <v>3568</v>
      </c>
      <c r="B1358" t="s">
        <v>210</v>
      </c>
      <c r="C1358" t="s">
        <v>566</v>
      </c>
      <c r="D1358" t="s">
        <v>607</v>
      </c>
      <c r="E1358" s="16">
        <v>45795.669502314813</v>
      </c>
      <c r="F1358">
        <v>0</v>
      </c>
    </row>
    <row r="1359" spans="1:6" x14ac:dyDescent="0.2">
      <c r="A1359">
        <v>3602</v>
      </c>
      <c r="B1359" t="s">
        <v>297</v>
      </c>
      <c r="C1359" t="s">
        <v>449</v>
      </c>
      <c r="D1359" t="s">
        <v>582</v>
      </c>
      <c r="E1359" s="16">
        <v>45754.692557870374</v>
      </c>
      <c r="F1359">
        <v>0</v>
      </c>
    </row>
    <row r="1360" spans="1:6" x14ac:dyDescent="0.2">
      <c r="A1360">
        <v>3576</v>
      </c>
      <c r="B1360" t="s">
        <v>75</v>
      </c>
      <c r="C1360" t="s">
        <v>566</v>
      </c>
      <c r="D1360" t="s">
        <v>607</v>
      </c>
      <c r="E1360" s="16">
        <v>45809.600324074076</v>
      </c>
      <c r="F1360">
        <v>0</v>
      </c>
    </row>
    <row r="1361" spans="1:6" x14ac:dyDescent="0.2">
      <c r="A1361">
        <v>3614</v>
      </c>
      <c r="B1361" t="s">
        <v>217</v>
      </c>
      <c r="C1361" t="s">
        <v>521</v>
      </c>
      <c r="D1361" t="s">
        <v>593</v>
      </c>
      <c r="E1361" s="16">
        <v>45756.317743055559</v>
      </c>
      <c r="F1361">
        <v>0</v>
      </c>
    </row>
    <row r="1362" spans="1:6" x14ac:dyDescent="0.2">
      <c r="A1362">
        <v>3585</v>
      </c>
      <c r="B1362" t="s">
        <v>314</v>
      </c>
      <c r="C1362" t="s">
        <v>566</v>
      </c>
      <c r="D1362" t="s">
        <v>607</v>
      </c>
      <c r="E1362" s="16">
        <v>45853.295243055552</v>
      </c>
      <c r="F1362">
        <v>0</v>
      </c>
    </row>
    <row r="1363" spans="1:6" x14ac:dyDescent="0.2">
      <c r="A1363">
        <v>3606</v>
      </c>
      <c r="B1363" t="s">
        <v>265</v>
      </c>
      <c r="C1363" t="s">
        <v>449</v>
      </c>
      <c r="D1363" t="s">
        <v>586</v>
      </c>
      <c r="E1363" s="16">
        <v>45748.525729166664</v>
      </c>
      <c r="F1363">
        <v>0</v>
      </c>
    </row>
    <row r="1364" spans="1:6" x14ac:dyDescent="0.2">
      <c r="A1364">
        <v>3625</v>
      </c>
      <c r="B1364" t="s">
        <v>276</v>
      </c>
      <c r="C1364" t="s">
        <v>566</v>
      </c>
      <c r="D1364" t="s">
        <v>607</v>
      </c>
      <c r="E1364" s="16">
        <v>45907.676134259258</v>
      </c>
      <c r="F1364">
        <v>0</v>
      </c>
    </row>
    <row r="1365" spans="1:6" x14ac:dyDescent="0.2">
      <c r="A1365">
        <v>3618</v>
      </c>
      <c r="B1365" t="s">
        <v>325</v>
      </c>
      <c r="C1365" t="s">
        <v>521</v>
      </c>
      <c r="D1365" t="s">
        <v>593</v>
      </c>
      <c r="E1365" s="16">
        <v>45763.257731481484</v>
      </c>
      <c r="F1365">
        <v>0</v>
      </c>
    </row>
    <row r="1366" spans="1:6" x14ac:dyDescent="0.2">
      <c r="A1366">
        <v>3639</v>
      </c>
      <c r="B1366" t="s">
        <v>308</v>
      </c>
      <c r="C1366" t="s">
        <v>566</v>
      </c>
      <c r="D1366" t="s">
        <v>607</v>
      </c>
      <c r="E1366" s="16">
        <v>45907.681793981479</v>
      </c>
      <c r="F1366">
        <v>0</v>
      </c>
    </row>
    <row r="1367" spans="1:6" x14ac:dyDescent="0.2">
      <c r="A1367">
        <v>3614</v>
      </c>
      <c r="B1367" t="s">
        <v>217</v>
      </c>
      <c r="C1367" t="s">
        <v>449</v>
      </c>
      <c r="D1367" t="s">
        <v>586</v>
      </c>
      <c r="E1367" s="16">
        <v>45763.364895833336</v>
      </c>
      <c r="F1367">
        <v>0</v>
      </c>
    </row>
    <row r="1368" spans="1:6" x14ac:dyDescent="0.2">
      <c r="A1368">
        <v>3636</v>
      </c>
      <c r="B1368" t="s">
        <v>270</v>
      </c>
      <c r="C1368" t="s">
        <v>566</v>
      </c>
      <c r="D1368" t="s">
        <v>607</v>
      </c>
      <c r="E1368" s="16">
        <v>45907.680509259262</v>
      </c>
      <c r="F1368">
        <v>0</v>
      </c>
    </row>
    <row r="1369" spans="1:6" x14ac:dyDescent="0.2">
      <c r="A1369">
        <v>3639</v>
      </c>
      <c r="B1369" t="s">
        <v>308</v>
      </c>
      <c r="C1369" t="s">
        <v>521</v>
      </c>
      <c r="D1369" t="s">
        <v>593</v>
      </c>
      <c r="E1369" s="16">
        <v>45791.366180555553</v>
      </c>
      <c r="F1369">
        <v>0</v>
      </c>
    </row>
    <row r="1370" spans="1:6" x14ac:dyDescent="0.2">
      <c r="A1370">
        <v>3562</v>
      </c>
      <c r="B1370" t="s">
        <v>49</v>
      </c>
      <c r="C1370" t="s">
        <v>518</v>
      </c>
      <c r="D1370" t="s">
        <v>596</v>
      </c>
      <c r="E1370" s="16">
        <v>45909.355891203704</v>
      </c>
      <c r="F1370">
        <v>0</v>
      </c>
    </row>
    <row r="1371" spans="1:6" x14ac:dyDescent="0.2">
      <c r="A1371">
        <v>3618</v>
      </c>
      <c r="B1371" t="s">
        <v>325</v>
      </c>
      <c r="C1371" t="s">
        <v>449</v>
      </c>
      <c r="D1371" t="s">
        <v>582</v>
      </c>
      <c r="E1371" s="16">
        <v>45791.484895833331</v>
      </c>
      <c r="F1371">
        <v>0</v>
      </c>
    </row>
    <row r="1372" spans="1:6" x14ac:dyDescent="0.2">
      <c r="A1372">
        <v>3678</v>
      </c>
      <c r="B1372" t="s">
        <v>295</v>
      </c>
      <c r="C1372" t="s">
        <v>518</v>
      </c>
      <c r="D1372" t="s">
        <v>596</v>
      </c>
      <c r="E1372" s="16">
        <v>45916.349675925929</v>
      </c>
      <c r="F1372">
        <v>0</v>
      </c>
    </row>
    <row r="1373" spans="1:6" x14ac:dyDescent="0.2">
      <c r="A1373">
        <v>3582</v>
      </c>
      <c r="B1373" t="s">
        <v>211</v>
      </c>
      <c r="C1373" t="s">
        <v>521</v>
      </c>
      <c r="D1373" t="s">
        <v>593</v>
      </c>
      <c r="E1373" s="16">
        <v>45700.446423611109</v>
      </c>
      <c r="F1373">
        <v>0</v>
      </c>
    </row>
    <row r="1374" spans="1:6" x14ac:dyDescent="0.2">
      <c r="A1374">
        <v>2727</v>
      </c>
      <c r="B1374" t="s">
        <v>160</v>
      </c>
      <c r="C1374" t="s">
        <v>580</v>
      </c>
      <c r="D1374" t="s">
        <v>585</v>
      </c>
      <c r="E1374" s="16">
        <v>45923.409166666665</v>
      </c>
      <c r="F1374">
        <v>0</v>
      </c>
    </row>
    <row r="1375" spans="1:6" x14ac:dyDescent="0.2">
      <c r="A1375">
        <v>3600</v>
      </c>
      <c r="B1375" t="s">
        <v>258</v>
      </c>
      <c r="C1375" t="s">
        <v>521</v>
      </c>
      <c r="D1375" t="s">
        <v>593</v>
      </c>
      <c r="E1375" s="16">
        <v>45741.256435185183</v>
      </c>
      <c r="F1375">
        <v>0</v>
      </c>
    </row>
    <row r="1376" spans="1:6" x14ac:dyDescent="0.2">
      <c r="A1376">
        <v>3614</v>
      </c>
      <c r="B1376" t="s">
        <v>217</v>
      </c>
      <c r="C1376" t="s">
        <v>580</v>
      </c>
      <c r="D1376" t="s">
        <v>585</v>
      </c>
      <c r="E1376" s="16">
        <v>45923.462210648147</v>
      </c>
      <c r="F1376">
        <v>0</v>
      </c>
    </row>
    <row r="1377" spans="1:6" x14ac:dyDescent="0.2">
      <c r="A1377">
        <v>3600</v>
      </c>
      <c r="B1377" t="s">
        <v>258</v>
      </c>
      <c r="C1377" t="s">
        <v>449</v>
      </c>
      <c r="D1377" t="s">
        <v>586</v>
      </c>
      <c r="E1377" s="16">
        <v>45748.530057870368</v>
      </c>
      <c r="F1377">
        <v>0</v>
      </c>
    </row>
    <row r="1378" spans="1:6" x14ac:dyDescent="0.2">
      <c r="A1378">
        <v>3019</v>
      </c>
      <c r="B1378" t="s">
        <v>176</v>
      </c>
      <c r="C1378" t="s">
        <v>580</v>
      </c>
      <c r="D1378" t="s">
        <v>585</v>
      </c>
      <c r="E1378" s="16">
        <v>45924.376446759263</v>
      </c>
      <c r="F1378">
        <v>0</v>
      </c>
    </row>
    <row r="1379" spans="1:6" x14ac:dyDescent="0.2">
      <c r="A1379">
        <v>3571</v>
      </c>
      <c r="B1379" t="s">
        <v>48</v>
      </c>
      <c r="C1379" t="s">
        <v>521</v>
      </c>
      <c r="D1379" t="s">
        <v>593</v>
      </c>
      <c r="E1379" s="16">
        <v>45684.453773148147</v>
      </c>
      <c r="F1379">
        <v>0</v>
      </c>
    </row>
    <row r="1380" spans="1:6" x14ac:dyDescent="0.2">
      <c r="A1380">
        <v>2780</v>
      </c>
      <c r="B1380" t="s">
        <v>71</v>
      </c>
      <c r="C1380" t="s">
        <v>580</v>
      </c>
      <c r="D1380" t="s">
        <v>585</v>
      </c>
      <c r="E1380" s="16">
        <v>45924.377592592595</v>
      </c>
      <c r="F1380">
        <v>0</v>
      </c>
    </row>
    <row r="1381" spans="1:6" x14ac:dyDescent="0.2">
      <c r="A1381">
        <v>3610</v>
      </c>
      <c r="B1381" t="s">
        <v>305</v>
      </c>
      <c r="C1381" t="s">
        <v>449</v>
      </c>
      <c r="D1381" t="s">
        <v>586</v>
      </c>
      <c r="E1381" s="16">
        <v>45754.53193287037</v>
      </c>
      <c r="F1381">
        <v>0</v>
      </c>
    </row>
    <row r="1382" spans="1:6" x14ac:dyDescent="0.2">
      <c r="A1382">
        <v>2582</v>
      </c>
      <c r="B1382" t="s">
        <v>85</v>
      </c>
      <c r="C1382" t="s">
        <v>580</v>
      </c>
      <c r="D1382" t="s">
        <v>585</v>
      </c>
      <c r="E1382" s="16">
        <v>45924.378171296295</v>
      </c>
      <c r="F1382">
        <v>0</v>
      </c>
    </row>
    <row r="1383" spans="1:6" x14ac:dyDescent="0.2">
      <c r="A1383">
        <v>3605</v>
      </c>
      <c r="B1383" t="s">
        <v>268</v>
      </c>
      <c r="C1383" t="s">
        <v>449</v>
      </c>
      <c r="D1383" t="s">
        <v>586</v>
      </c>
      <c r="E1383" s="16">
        <v>45754.448599537034</v>
      </c>
      <c r="F1383">
        <v>0</v>
      </c>
    </row>
    <row r="1384" spans="1:6" x14ac:dyDescent="0.2">
      <c r="A1384">
        <v>3644</v>
      </c>
      <c r="B1384" t="s">
        <v>299</v>
      </c>
      <c r="C1384" t="s">
        <v>566</v>
      </c>
      <c r="D1384" t="s">
        <v>607</v>
      </c>
      <c r="E1384" s="16">
        <v>45935.815625000003</v>
      </c>
      <c r="F1384">
        <v>0</v>
      </c>
    </row>
    <row r="1385" spans="1:6" x14ac:dyDescent="0.2">
      <c r="A1385">
        <v>3605</v>
      </c>
      <c r="B1385" t="s">
        <v>268</v>
      </c>
      <c r="C1385" t="s">
        <v>449</v>
      </c>
      <c r="D1385" t="s">
        <v>582</v>
      </c>
      <c r="E1385" s="16">
        <v>45754.448599537034</v>
      </c>
      <c r="F1385">
        <v>0</v>
      </c>
    </row>
    <row r="1386" spans="1:6" x14ac:dyDescent="0.2">
      <c r="A1386">
        <v>3640</v>
      </c>
      <c r="B1386" t="s">
        <v>248</v>
      </c>
      <c r="C1386" t="s">
        <v>566</v>
      </c>
      <c r="D1386" t="s">
        <v>607</v>
      </c>
      <c r="E1386" s="16">
        <v>45921.86546296296</v>
      </c>
      <c r="F1386">
        <v>0</v>
      </c>
    </row>
    <row r="1387" spans="1:6" x14ac:dyDescent="0.2">
      <c r="A1387">
        <v>3663</v>
      </c>
      <c r="B1387" t="s">
        <v>278</v>
      </c>
      <c r="C1387" t="s">
        <v>521</v>
      </c>
      <c r="D1387" t="s">
        <v>593</v>
      </c>
      <c r="E1387" s="16">
        <v>45875.509421296294</v>
      </c>
      <c r="F1387">
        <v>0</v>
      </c>
    </row>
    <row r="1388" spans="1:6" x14ac:dyDescent="0.2">
      <c r="A1388">
        <v>3649</v>
      </c>
      <c r="B1388" t="s">
        <v>312</v>
      </c>
      <c r="C1388" t="s">
        <v>566</v>
      </c>
      <c r="D1388" t="s">
        <v>607</v>
      </c>
      <c r="E1388" s="16">
        <v>45962.247824074075</v>
      </c>
      <c r="F1388">
        <v>0</v>
      </c>
    </row>
    <row r="1389" spans="1:6" x14ac:dyDescent="0.2">
      <c r="A1389">
        <v>3664</v>
      </c>
      <c r="B1389" t="s">
        <v>313</v>
      </c>
      <c r="C1389" t="s">
        <v>449</v>
      </c>
      <c r="D1389" t="s">
        <v>586</v>
      </c>
      <c r="E1389" s="16">
        <v>45883.572152777779</v>
      </c>
      <c r="F1389">
        <v>0</v>
      </c>
    </row>
    <row r="1390" spans="1:6" x14ac:dyDescent="0.2">
      <c r="A1390">
        <v>3692</v>
      </c>
      <c r="B1390" t="s">
        <v>291</v>
      </c>
      <c r="C1390" t="s">
        <v>518</v>
      </c>
      <c r="D1390" t="s">
        <v>596</v>
      </c>
      <c r="E1390" s="16">
        <v>45962.254699074074</v>
      </c>
      <c r="F1390">
        <v>0</v>
      </c>
    </row>
    <row r="1391" spans="1:6" x14ac:dyDescent="0.2">
      <c r="A1391">
        <v>3568</v>
      </c>
      <c r="B1391" t="s">
        <v>210</v>
      </c>
      <c r="C1391" t="s">
        <v>449</v>
      </c>
      <c r="D1391" t="s">
        <v>586</v>
      </c>
      <c r="E1391" s="16">
        <v>45695.285104166665</v>
      </c>
      <c r="F1391">
        <v>0</v>
      </c>
    </row>
    <row r="1392" spans="1:6" x14ac:dyDescent="0.2">
      <c r="A1392">
        <v>3546</v>
      </c>
      <c r="B1392" t="s">
        <v>144</v>
      </c>
      <c r="C1392" t="s">
        <v>566</v>
      </c>
      <c r="D1392" t="s">
        <v>607</v>
      </c>
      <c r="E1392" s="16">
        <v>45639.786076388889</v>
      </c>
      <c r="F1392">
        <v>0</v>
      </c>
    </row>
    <row r="1393" spans="1:6" x14ac:dyDescent="0.2">
      <c r="A1393">
        <v>3583</v>
      </c>
      <c r="B1393" t="s">
        <v>97</v>
      </c>
      <c r="C1393" t="s">
        <v>449</v>
      </c>
      <c r="D1393" t="s">
        <v>582</v>
      </c>
      <c r="E1393" s="16">
        <v>45709.526331018518</v>
      </c>
      <c r="F1393">
        <v>0</v>
      </c>
    </row>
    <row r="1394" spans="1:6" x14ac:dyDescent="0.2">
      <c r="A1394">
        <v>86</v>
      </c>
      <c r="B1394" t="s">
        <v>163</v>
      </c>
      <c r="C1394" t="s">
        <v>518</v>
      </c>
      <c r="D1394" t="s">
        <v>596</v>
      </c>
      <c r="E1394" s="16">
        <v>45643.52679398148</v>
      </c>
      <c r="F1394">
        <v>0</v>
      </c>
    </row>
    <row r="1395" spans="1:6" x14ac:dyDescent="0.2">
      <c r="A1395">
        <v>3648</v>
      </c>
      <c r="B1395" t="s">
        <v>261</v>
      </c>
      <c r="C1395" t="s">
        <v>521</v>
      </c>
      <c r="D1395" t="s">
        <v>593</v>
      </c>
      <c r="E1395" s="16">
        <v>45838.28570601852</v>
      </c>
      <c r="F1395">
        <v>0</v>
      </c>
    </row>
    <row r="1396" spans="1:6" x14ac:dyDescent="0.2">
      <c r="A1396">
        <v>3614</v>
      </c>
      <c r="B1396" t="s">
        <v>217</v>
      </c>
      <c r="C1396" t="s">
        <v>518</v>
      </c>
      <c r="D1396" t="s">
        <v>596</v>
      </c>
      <c r="E1396" s="16">
        <v>45763.364895833336</v>
      </c>
      <c r="F1396">
        <v>0</v>
      </c>
    </row>
    <row r="1397" spans="1:6" x14ac:dyDescent="0.2">
      <c r="A1397">
        <v>3606</v>
      </c>
      <c r="B1397" t="s">
        <v>265</v>
      </c>
      <c r="C1397" t="s">
        <v>580</v>
      </c>
      <c r="D1397" t="s">
        <v>588</v>
      </c>
      <c r="E1397" s="16">
        <v>45900.66337962963</v>
      </c>
      <c r="F1397">
        <v>0</v>
      </c>
    </row>
    <row r="1398" spans="1:6" x14ac:dyDescent="0.2">
      <c r="A1398">
        <v>3632</v>
      </c>
      <c r="B1398" t="s">
        <v>238</v>
      </c>
      <c r="C1398" t="s">
        <v>518</v>
      </c>
      <c r="D1398" t="s">
        <v>596</v>
      </c>
      <c r="E1398" s="16">
        <v>45793.41778935185</v>
      </c>
      <c r="F1398">
        <v>0</v>
      </c>
    </row>
    <row r="1399" spans="1:6" x14ac:dyDescent="0.2">
      <c r="A1399">
        <v>3609</v>
      </c>
      <c r="B1399" t="s">
        <v>245</v>
      </c>
      <c r="C1399" t="s">
        <v>521</v>
      </c>
      <c r="D1399" t="s">
        <v>593</v>
      </c>
      <c r="E1399" s="16">
        <v>45750.270231481481</v>
      </c>
      <c r="F1399">
        <v>0</v>
      </c>
    </row>
    <row r="1400" spans="1:6" x14ac:dyDescent="0.2">
      <c r="A1400">
        <v>3571</v>
      </c>
      <c r="B1400" t="s">
        <v>48</v>
      </c>
      <c r="C1400" t="s">
        <v>566</v>
      </c>
      <c r="D1400" t="s">
        <v>607</v>
      </c>
      <c r="E1400" s="16">
        <v>45809.59747685185</v>
      </c>
      <c r="F1400">
        <v>0</v>
      </c>
    </row>
    <row r="1401" spans="1:6" x14ac:dyDescent="0.2">
      <c r="A1401">
        <v>3609</v>
      </c>
      <c r="B1401" t="s">
        <v>245</v>
      </c>
      <c r="C1401" t="s">
        <v>449</v>
      </c>
      <c r="D1401" t="s">
        <v>586</v>
      </c>
      <c r="E1401" s="16">
        <v>45762.702604166669</v>
      </c>
      <c r="F1401">
        <v>0</v>
      </c>
    </row>
    <row r="1402" spans="1:6" x14ac:dyDescent="0.2">
      <c r="A1402">
        <v>3591</v>
      </c>
      <c r="B1402" t="s">
        <v>254</v>
      </c>
      <c r="C1402" t="s">
        <v>566</v>
      </c>
      <c r="D1402" t="s">
        <v>607</v>
      </c>
      <c r="E1402" s="16">
        <v>45835.553043981483</v>
      </c>
      <c r="F1402">
        <v>0</v>
      </c>
    </row>
    <row r="1403" spans="1:6" x14ac:dyDescent="0.2">
      <c r="A1403">
        <v>3665</v>
      </c>
      <c r="B1403" t="s">
        <v>222</v>
      </c>
      <c r="C1403" t="s">
        <v>449</v>
      </c>
      <c r="D1403" t="s">
        <v>586</v>
      </c>
      <c r="E1403" s="16">
        <v>45904.527256944442</v>
      </c>
      <c r="F1403">
        <v>0</v>
      </c>
    </row>
    <row r="1404" spans="1:6" x14ac:dyDescent="0.2">
      <c r="A1404">
        <v>3593</v>
      </c>
      <c r="B1404" t="s">
        <v>294</v>
      </c>
      <c r="C1404" t="s">
        <v>566</v>
      </c>
      <c r="D1404" t="s">
        <v>607</v>
      </c>
      <c r="E1404" s="16">
        <v>45851.26494212963</v>
      </c>
      <c r="F1404">
        <v>0</v>
      </c>
    </row>
    <row r="1405" spans="1:6" x14ac:dyDescent="0.2">
      <c r="A1405">
        <v>3678</v>
      </c>
      <c r="B1405" t="s">
        <v>295</v>
      </c>
      <c r="C1405" t="s">
        <v>521</v>
      </c>
      <c r="D1405" t="s">
        <v>593</v>
      </c>
      <c r="E1405" s="16">
        <v>45907.655532407407</v>
      </c>
      <c r="F1405">
        <v>0</v>
      </c>
    </row>
    <row r="1406" spans="1:6" x14ac:dyDescent="0.2">
      <c r="A1406">
        <v>3600</v>
      </c>
      <c r="B1406" t="s">
        <v>258</v>
      </c>
      <c r="C1406" t="s">
        <v>566</v>
      </c>
      <c r="D1406" t="s">
        <v>607</v>
      </c>
      <c r="E1406" s="16">
        <v>45864.26972222222</v>
      </c>
      <c r="F1406">
        <v>0</v>
      </c>
    </row>
    <row r="1407" spans="1:6" x14ac:dyDescent="0.2">
      <c r="A1407">
        <v>3670</v>
      </c>
      <c r="B1407" t="s">
        <v>327</v>
      </c>
      <c r="C1407" t="s">
        <v>521</v>
      </c>
      <c r="D1407" t="s">
        <v>593</v>
      </c>
      <c r="E1407" s="16">
        <v>45883.234340277777</v>
      </c>
      <c r="F1407">
        <v>0</v>
      </c>
    </row>
    <row r="1408" spans="1:6" x14ac:dyDescent="0.2">
      <c r="A1408">
        <v>3589</v>
      </c>
      <c r="B1408" t="s">
        <v>301</v>
      </c>
      <c r="C1408" t="s">
        <v>566</v>
      </c>
      <c r="D1408" t="s">
        <v>607</v>
      </c>
      <c r="E1408" s="16">
        <v>45878.300856481481</v>
      </c>
      <c r="F1408">
        <v>0</v>
      </c>
    </row>
    <row r="1409" spans="1:6" x14ac:dyDescent="0.2">
      <c r="A1409">
        <v>3672</v>
      </c>
      <c r="B1409" t="s">
        <v>323</v>
      </c>
      <c r="C1409" t="s">
        <v>449</v>
      </c>
      <c r="D1409" t="s">
        <v>586</v>
      </c>
      <c r="E1409" s="16">
        <v>45911.362997685188</v>
      </c>
      <c r="F1409">
        <v>0</v>
      </c>
    </row>
    <row r="1410" spans="1:6" x14ac:dyDescent="0.2">
      <c r="A1410">
        <v>3568</v>
      </c>
      <c r="B1410" t="s">
        <v>210</v>
      </c>
      <c r="C1410" t="s">
        <v>518</v>
      </c>
      <c r="D1410" t="s">
        <v>596</v>
      </c>
      <c r="E1410" s="16">
        <v>45695.285104166665</v>
      </c>
      <c r="F1410">
        <v>0</v>
      </c>
    </row>
    <row r="1411" spans="1:6" x14ac:dyDescent="0.2">
      <c r="A1411">
        <v>3678</v>
      </c>
      <c r="B1411" t="s">
        <v>295</v>
      </c>
      <c r="C1411" t="s">
        <v>449</v>
      </c>
      <c r="D1411" t="s">
        <v>586</v>
      </c>
      <c r="E1411" s="16">
        <v>45916.349675925929</v>
      </c>
      <c r="F1411">
        <v>0</v>
      </c>
    </row>
    <row r="1412" spans="1:6" x14ac:dyDescent="0.2">
      <c r="A1412">
        <v>3583</v>
      </c>
      <c r="B1412" t="s">
        <v>97</v>
      </c>
      <c r="C1412" t="s">
        <v>566</v>
      </c>
      <c r="D1412" t="s">
        <v>607</v>
      </c>
      <c r="E1412" s="16">
        <v>45835.550879629627</v>
      </c>
      <c r="F1412">
        <v>0</v>
      </c>
    </row>
    <row r="1413" spans="1:6" x14ac:dyDescent="0.2">
      <c r="A1413">
        <v>3624</v>
      </c>
      <c r="B1413" t="s">
        <v>302</v>
      </c>
      <c r="C1413" t="s">
        <v>449</v>
      </c>
      <c r="D1413" t="s">
        <v>586</v>
      </c>
      <c r="E1413" s="16">
        <v>45793.536006944443</v>
      </c>
      <c r="F1413">
        <v>0</v>
      </c>
    </row>
    <row r="1414" spans="1:6" x14ac:dyDescent="0.2">
      <c r="A1414">
        <v>3614</v>
      </c>
      <c r="B1414" t="s">
        <v>217</v>
      </c>
      <c r="C1414" t="s">
        <v>566</v>
      </c>
      <c r="D1414" t="s">
        <v>607</v>
      </c>
      <c r="E1414" s="16">
        <v>45907.670254629629</v>
      </c>
      <c r="F1414">
        <v>0</v>
      </c>
    </row>
    <row r="1415" spans="1:6" x14ac:dyDescent="0.2">
      <c r="A1415">
        <v>3662</v>
      </c>
      <c r="B1415" t="s">
        <v>250</v>
      </c>
      <c r="C1415" t="s">
        <v>521</v>
      </c>
      <c r="D1415" t="s">
        <v>593</v>
      </c>
      <c r="E1415" s="16">
        <v>45874.469988425924</v>
      </c>
      <c r="F1415">
        <v>0</v>
      </c>
    </row>
    <row r="1416" spans="1:6" x14ac:dyDescent="0.2">
      <c r="A1416">
        <v>3632</v>
      </c>
      <c r="B1416" t="s">
        <v>238</v>
      </c>
      <c r="C1416" t="s">
        <v>566</v>
      </c>
      <c r="D1416" t="s">
        <v>607</v>
      </c>
      <c r="E1416" s="16">
        <v>45907.679189814815</v>
      </c>
      <c r="F1416">
        <v>0</v>
      </c>
    </row>
    <row r="1417" spans="1:6" x14ac:dyDescent="0.2">
      <c r="A1417">
        <v>2727</v>
      </c>
      <c r="B1417" t="s">
        <v>160</v>
      </c>
      <c r="C1417" t="s">
        <v>580</v>
      </c>
      <c r="D1417" t="s">
        <v>587</v>
      </c>
      <c r="E1417" s="16">
        <v>45923.409166666665</v>
      </c>
      <c r="F1417">
        <v>0</v>
      </c>
    </row>
    <row r="1418" spans="1:6" x14ac:dyDescent="0.2">
      <c r="A1418">
        <v>3251</v>
      </c>
      <c r="B1418" t="s">
        <v>150</v>
      </c>
      <c r="C1418" t="s">
        <v>580</v>
      </c>
      <c r="D1418" t="s">
        <v>585</v>
      </c>
      <c r="E1418" s="16">
        <v>45923.489490740743</v>
      </c>
      <c r="F1418">
        <v>0</v>
      </c>
    </row>
    <row r="1419" spans="1:6" x14ac:dyDescent="0.2">
      <c r="A1419">
        <v>3681</v>
      </c>
      <c r="B1419" t="s">
        <v>289</v>
      </c>
      <c r="C1419" t="s">
        <v>449</v>
      </c>
      <c r="D1419" t="s">
        <v>582</v>
      </c>
      <c r="E1419" s="16">
        <v>45929.400717592594</v>
      </c>
      <c r="F1419">
        <v>0</v>
      </c>
    </row>
    <row r="1420" spans="1:6" x14ac:dyDescent="0.2">
      <c r="A1420">
        <v>3632</v>
      </c>
      <c r="B1420" t="s">
        <v>238</v>
      </c>
      <c r="C1420" t="s">
        <v>580</v>
      </c>
      <c r="D1420" t="s">
        <v>585</v>
      </c>
      <c r="E1420" s="16">
        <v>45924.434421296297</v>
      </c>
      <c r="F1420">
        <v>0</v>
      </c>
    </row>
    <row r="1421" spans="1:6" x14ac:dyDescent="0.2">
      <c r="A1421">
        <v>3594</v>
      </c>
      <c r="B1421" t="s">
        <v>315</v>
      </c>
      <c r="C1421" t="s">
        <v>449</v>
      </c>
      <c r="D1421" t="s">
        <v>586</v>
      </c>
      <c r="E1421" s="16">
        <v>45785.389490740738</v>
      </c>
      <c r="F1421">
        <v>0</v>
      </c>
    </row>
    <row r="1422" spans="1:6" x14ac:dyDescent="0.2">
      <c r="A1422">
        <v>3681</v>
      </c>
      <c r="B1422" t="s">
        <v>289</v>
      </c>
      <c r="C1422" t="s">
        <v>518</v>
      </c>
      <c r="D1422" t="s">
        <v>596</v>
      </c>
      <c r="E1422" s="16">
        <v>45929.400717592594</v>
      </c>
      <c r="F1422">
        <v>0</v>
      </c>
    </row>
    <row r="1423" spans="1:6" x14ac:dyDescent="0.2">
      <c r="A1423">
        <v>3594</v>
      </c>
      <c r="B1423" t="s">
        <v>315</v>
      </c>
      <c r="C1423" t="s">
        <v>580</v>
      </c>
      <c r="D1423" t="s">
        <v>588</v>
      </c>
      <c r="E1423" s="16">
        <v>45783.340196759258</v>
      </c>
      <c r="F1423">
        <v>0</v>
      </c>
    </row>
    <row r="1424" spans="1:6" x14ac:dyDescent="0.2">
      <c r="A1424">
        <v>3598</v>
      </c>
      <c r="B1424" t="s">
        <v>318</v>
      </c>
      <c r="C1424" t="s">
        <v>566</v>
      </c>
      <c r="D1424" t="s">
        <v>607</v>
      </c>
      <c r="E1424" s="16">
        <v>45878.301874999997</v>
      </c>
      <c r="F1424">
        <v>0</v>
      </c>
    </row>
    <row r="1425" spans="1:6" x14ac:dyDescent="0.2">
      <c r="A1425">
        <v>32</v>
      </c>
      <c r="B1425" t="s">
        <v>451</v>
      </c>
      <c r="C1425" t="s">
        <v>518</v>
      </c>
      <c r="D1425" t="s">
        <v>595</v>
      </c>
      <c r="E1425" s="16">
        <v>45944.718344907407</v>
      </c>
      <c r="F1425">
        <v>0</v>
      </c>
    </row>
    <row r="1426" spans="1:6" x14ac:dyDescent="0.2">
      <c r="A1426">
        <v>3689</v>
      </c>
      <c r="B1426" t="s">
        <v>288</v>
      </c>
      <c r="C1426" t="s">
        <v>518</v>
      </c>
      <c r="D1426" t="s">
        <v>596</v>
      </c>
      <c r="E1426" s="16">
        <v>45950.771724537037</v>
      </c>
      <c r="F1426">
        <v>0</v>
      </c>
    </row>
    <row r="1427" spans="1:6" x14ac:dyDescent="0.2">
      <c r="A1427">
        <v>3569</v>
      </c>
      <c r="B1427" t="s">
        <v>22</v>
      </c>
      <c r="C1427" t="s">
        <v>580</v>
      </c>
      <c r="D1427" t="s">
        <v>588</v>
      </c>
      <c r="E1427" s="16">
        <v>45924.385682870372</v>
      </c>
      <c r="F1427">
        <v>0</v>
      </c>
    </row>
    <row r="1428" spans="1:6" x14ac:dyDescent="0.2">
      <c r="A1428">
        <v>3645</v>
      </c>
      <c r="B1428" t="s">
        <v>320</v>
      </c>
      <c r="C1428" t="s">
        <v>518</v>
      </c>
      <c r="D1428" t="s">
        <v>596</v>
      </c>
      <c r="E1428" s="16">
        <v>45958.609733796293</v>
      </c>
      <c r="F1428">
        <v>0</v>
      </c>
    </row>
    <row r="1429" spans="1:6" x14ac:dyDescent="0.2">
      <c r="A1429">
        <v>3569</v>
      </c>
      <c r="B1429" t="s">
        <v>22</v>
      </c>
      <c r="C1429" t="s">
        <v>521</v>
      </c>
      <c r="D1429" t="s">
        <v>593</v>
      </c>
      <c r="E1429" s="16">
        <v>45680.410520833335</v>
      </c>
      <c r="F1429">
        <v>0</v>
      </c>
    </row>
    <row r="1430" spans="1:6" x14ac:dyDescent="0.2">
      <c r="A1430">
        <v>3535</v>
      </c>
      <c r="B1430" t="s">
        <v>93</v>
      </c>
      <c r="C1430" t="s">
        <v>566</v>
      </c>
      <c r="D1430" t="s">
        <v>604</v>
      </c>
      <c r="E1430" s="16">
        <v>45639.777037037034</v>
      </c>
      <c r="F1430">
        <v>0</v>
      </c>
    </row>
    <row r="1431" spans="1:6" x14ac:dyDescent="0.2">
      <c r="A1431">
        <v>3640</v>
      </c>
      <c r="B1431" t="s">
        <v>248</v>
      </c>
      <c r="C1431" t="s">
        <v>521</v>
      </c>
      <c r="D1431" t="s">
        <v>593</v>
      </c>
      <c r="E1431" s="16">
        <v>45792.227685185186</v>
      </c>
      <c r="F1431">
        <v>0</v>
      </c>
    </row>
    <row r="1432" spans="1:6" x14ac:dyDescent="0.2">
      <c r="A1432">
        <v>3539</v>
      </c>
      <c r="B1432" t="s">
        <v>70</v>
      </c>
      <c r="C1432" t="s">
        <v>566</v>
      </c>
      <c r="D1432" t="s">
        <v>599</v>
      </c>
      <c r="E1432" s="16">
        <v>45612.268703703703</v>
      </c>
      <c r="F1432">
        <v>0</v>
      </c>
    </row>
    <row r="1433" spans="1:6" x14ac:dyDescent="0.2">
      <c r="A1433">
        <v>3640</v>
      </c>
      <c r="B1433" t="s">
        <v>248</v>
      </c>
      <c r="C1433" t="s">
        <v>449</v>
      </c>
      <c r="D1433" t="s">
        <v>586</v>
      </c>
      <c r="E1433" s="16">
        <v>45804.528275462966</v>
      </c>
      <c r="F1433">
        <v>0</v>
      </c>
    </row>
    <row r="1434" spans="1:6" x14ac:dyDescent="0.2">
      <c r="A1434">
        <v>3547</v>
      </c>
      <c r="B1434" t="s">
        <v>12</v>
      </c>
      <c r="C1434" t="s">
        <v>566</v>
      </c>
      <c r="D1434" t="s">
        <v>599</v>
      </c>
      <c r="E1434" s="16">
        <v>45639.790219907409</v>
      </c>
      <c r="F1434">
        <v>0</v>
      </c>
    </row>
    <row r="1435" spans="1:6" x14ac:dyDescent="0.2">
      <c r="A1435">
        <v>3645</v>
      </c>
      <c r="B1435" t="s">
        <v>320</v>
      </c>
      <c r="C1435" t="s">
        <v>449</v>
      </c>
      <c r="D1435" t="s">
        <v>582</v>
      </c>
      <c r="E1435" s="16">
        <v>45817.464525462965</v>
      </c>
      <c r="F1435">
        <v>0</v>
      </c>
    </row>
    <row r="1436" spans="1:6" x14ac:dyDescent="0.2">
      <c r="A1436">
        <v>3222</v>
      </c>
      <c r="B1436" t="s">
        <v>87</v>
      </c>
      <c r="C1436" t="s">
        <v>580</v>
      </c>
      <c r="D1436" t="s">
        <v>584</v>
      </c>
      <c r="E1436" s="16">
        <v>45683.567037037035</v>
      </c>
      <c r="F1436">
        <v>0</v>
      </c>
    </row>
    <row r="1437" spans="1:6" x14ac:dyDescent="0.2">
      <c r="A1437">
        <v>3691</v>
      </c>
      <c r="B1437" t="s">
        <v>300</v>
      </c>
      <c r="C1437" t="s">
        <v>449</v>
      </c>
      <c r="D1437" t="s">
        <v>586</v>
      </c>
      <c r="E1437" s="16">
        <v>45966.474710648145</v>
      </c>
      <c r="F1437">
        <v>0</v>
      </c>
    </row>
    <row r="1438" spans="1:6" x14ac:dyDescent="0.2">
      <c r="A1438">
        <v>3589</v>
      </c>
      <c r="B1438" t="s">
        <v>301</v>
      </c>
      <c r="C1438" t="s">
        <v>518</v>
      </c>
      <c r="D1438" t="s">
        <v>591</v>
      </c>
      <c r="E1438" s="16">
        <v>45720.640740740739</v>
      </c>
      <c r="F1438">
        <v>0</v>
      </c>
    </row>
    <row r="1439" spans="1:6" x14ac:dyDescent="0.2">
      <c r="A1439">
        <v>3695</v>
      </c>
      <c r="B1439" t="s">
        <v>615</v>
      </c>
      <c r="C1439" t="s">
        <v>521</v>
      </c>
      <c r="D1439" t="s">
        <v>593</v>
      </c>
      <c r="E1439" s="16">
        <v>45967.206828703704</v>
      </c>
      <c r="F1439">
        <v>0</v>
      </c>
    </row>
    <row r="1440" spans="1:6" x14ac:dyDescent="0.2">
      <c r="A1440">
        <v>3589</v>
      </c>
      <c r="B1440" t="s">
        <v>301</v>
      </c>
      <c r="C1440" t="s">
        <v>580</v>
      </c>
      <c r="D1440" t="s">
        <v>581</v>
      </c>
      <c r="E1440" s="16">
        <v>45720.640740740739</v>
      </c>
      <c r="F1440">
        <v>0</v>
      </c>
    </row>
    <row r="1441" spans="1:6" x14ac:dyDescent="0.2">
      <c r="A1441">
        <v>3687</v>
      </c>
      <c r="B1441" t="s">
        <v>252</v>
      </c>
      <c r="C1441" t="s">
        <v>449</v>
      </c>
      <c r="D1441" t="s">
        <v>582</v>
      </c>
      <c r="E1441" s="16">
        <v>45967.680914351855</v>
      </c>
      <c r="F1441">
        <v>0</v>
      </c>
    </row>
    <row r="1442" spans="1:6" x14ac:dyDescent="0.2">
      <c r="A1442">
        <v>3602</v>
      </c>
      <c r="B1442" t="s">
        <v>297</v>
      </c>
      <c r="C1442" t="s">
        <v>521</v>
      </c>
      <c r="D1442" t="s">
        <v>605</v>
      </c>
      <c r="E1442" s="16">
        <v>45742.269328703704</v>
      </c>
      <c r="F1442">
        <v>0</v>
      </c>
    </row>
    <row r="1443" spans="1:6" x14ac:dyDescent="0.2">
      <c r="A1443">
        <v>3697</v>
      </c>
      <c r="B1443" t="s">
        <v>616</v>
      </c>
      <c r="C1443" t="s">
        <v>521</v>
      </c>
      <c r="D1443" t="s">
        <v>593</v>
      </c>
      <c r="E1443" s="16">
        <v>45972.297453703701</v>
      </c>
      <c r="F1443">
        <v>0</v>
      </c>
    </row>
    <row r="1444" spans="1:6" x14ac:dyDescent="0.2">
      <c r="A1444">
        <v>3599</v>
      </c>
      <c r="B1444" t="s">
        <v>281</v>
      </c>
      <c r="C1444" t="s">
        <v>449</v>
      </c>
      <c r="D1444" t="s">
        <v>590</v>
      </c>
      <c r="E1444" s="16">
        <v>45751.607048611113</v>
      </c>
      <c r="F1444">
        <v>0</v>
      </c>
    </row>
    <row r="1445" spans="1:6" x14ac:dyDescent="0.2">
      <c r="A1445">
        <v>2421</v>
      </c>
      <c r="B1445" t="s">
        <v>18</v>
      </c>
      <c r="C1445" t="s">
        <v>449</v>
      </c>
      <c r="D1445" t="s">
        <v>582</v>
      </c>
      <c r="E1445" s="16">
        <v>45628.619456018518</v>
      </c>
      <c r="F1445">
        <v>0</v>
      </c>
    </row>
    <row r="1446" spans="1:6" x14ac:dyDescent="0.2">
      <c r="A1446">
        <v>3614</v>
      </c>
      <c r="B1446" t="s">
        <v>217</v>
      </c>
      <c r="C1446" t="s">
        <v>580</v>
      </c>
      <c r="D1446" t="s">
        <v>581</v>
      </c>
      <c r="E1446" s="16">
        <v>45763.364895833336</v>
      </c>
      <c r="F1446">
        <v>0</v>
      </c>
    </row>
    <row r="1447" spans="1:6" x14ac:dyDescent="0.2">
      <c r="A1447">
        <v>9</v>
      </c>
      <c r="B1447" t="s">
        <v>602</v>
      </c>
      <c r="C1447" t="s">
        <v>566</v>
      </c>
      <c r="D1447" t="s">
        <v>603</v>
      </c>
      <c r="E1447" s="16">
        <v>45709.355613425927</v>
      </c>
      <c r="F1447">
        <v>0</v>
      </c>
    </row>
    <row r="1448" spans="1:6" x14ac:dyDescent="0.2">
      <c r="A1448">
        <v>3564</v>
      </c>
      <c r="B1448" t="s">
        <v>84</v>
      </c>
      <c r="C1448" t="s">
        <v>566</v>
      </c>
      <c r="D1448" t="s">
        <v>599</v>
      </c>
      <c r="E1448" s="16">
        <v>45795.675439814811</v>
      </c>
      <c r="F1448">
        <v>0</v>
      </c>
    </row>
    <row r="1449" spans="1:6" x14ac:dyDescent="0.2">
      <c r="A1449">
        <v>3589</v>
      </c>
      <c r="B1449" t="s">
        <v>301</v>
      </c>
      <c r="C1449" t="s">
        <v>580</v>
      </c>
      <c r="D1449" t="s">
        <v>588</v>
      </c>
      <c r="E1449" s="16">
        <v>45720.640740740739</v>
      </c>
      <c r="F1449">
        <v>0</v>
      </c>
    </row>
    <row r="1450" spans="1:6" x14ac:dyDescent="0.2">
      <c r="A1450">
        <v>3632</v>
      </c>
      <c r="B1450" t="s">
        <v>238</v>
      </c>
      <c r="C1450" t="s">
        <v>580</v>
      </c>
      <c r="D1450" t="s">
        <v>589</v>
      </c>
      <c r="E1450" s="16">
        <v>45823.784537037034</v>
      </c>
      <c r="F1450">
        <v>0</v>
      </c>
    </row>
    <row r="1451" spans="1:6" x14ac:dyDescent="0.2">
      <c r="A1451">
        <v>3593</v>
      </c>
      <c r="B1451" t="s">
        <v>294</v>
      </c>
      <c r="C1451" t="s">
        <v>521</v>
      </c>
      <c r="D1451" t="s">
        <v>593</v>
      </c>
      <c r="E1451" s="16">
        <v>45722.433518518519</v>
      </c>
      <c r="F1451">
        <v>0</v>
      </c>
    </row>
    <row r="1452" spans="1:6" x14ac:dyDescent="0.2">
      <c r="A1452">
        <v>3647</v>
      </c>
      <c r="B1452" t="s">
        <v>310</v>
      </c>
      <c r="C1452" t="s">
        <v>521</v>
      </c>
      <c r="D1452" t="s">
        <v>605</v>
      </c>
      <c r="E1452" s="16">
        <v>45822.282708333332</v>
      </c>
      <c r="F1452">
        <v>0</v>
      </c>
    </row>
    <row r="1453" spans="1:6" x14ac:dyDescent="0.2">
      <c r="A1453">
        <v>3593</v>
      </c>
      <c r="B1453" t="s">
        <v>294</v>
      </c>
      <c r="C1453" t="s">
        <v>449</v>
      </c>
      <c r="D1453" t="s">
        <v>586</v>
      </c>
      <c r="E1453" s="16">
        <v>45734.455717592595</v>
      </c>
      <c r="F1453">
        <v>0</v>
      </c>
    </row>
    <row r="1454" spans="1:6" x14ac:dyDescent="0.2">
      <c r="A1454">
        <v>3591</v>
      </c>
      <c r="B1454" t="s">
        <v>254</v>
      </c>
      <c r="C1454" t="s">
        <v>521</v>
      </c>
      <c r="D1454" t="s">
        <v>605</v>
      </c>
      <c r="E1454" s="16">
        <v>45713.209537037037</v>
      </c>
      <c r="F1454">
        <v>0</v>
      </c>
    </row>
    <row r="1455" spans="1:6" x14ac:dyDescent="0.2">
      <c r="A1455">
        <v>3599</v>
      </c>
      <c r="B1455" t="s">
        <v>281</v>
      </c>
      <c r="C1455" t="s">
        <v>449</v>
      </c>
      <c r="D1455" t="s">
        <v>586</v>
      </c>
      <c r="E1455" s="16">
        <v>45741.483738425923</v>
      </c>
      <c r="F1455">
        <v>0</v>
      </c>
    </row>
    <row r="1456" spans="1:6" x14ac:dyDescent="0.2">
      <c r="A1456">
        <v>2582</v>
      </c>
      <c r="B1456" t="s">
        <v>85</v>
      </c>
      <c r="C1456" t="s">
        <v>438</v>
      </c>
      <c r="D1456" t="s">
        <v>598</v>
      </c>
      <c r="E1456" s="16">
        <v>45831.391250000001</v>
      </c>
      <c r="F1456">
        <v>0</v>
      </c>
    </row>
    <row r="1457" spans="1:6" x14ac:dyDescent="0.2">
      <c r="A1457">
        <v>3599</v>
      </c>
      <c r="B1457" t="s">
        <v>281</v>
      </c>
      <c r="C1457" t="s">
        <v>521</v>
      </c>
      <c r="D1457" t="s">
        <v>593</v>
      </c>
      <c r="E1457" s="16">
        <v>45740.450844907406</v>
      </c>
      <c r="F1457">
        <v>0</v>
      </c>
    </row>
    <row r="1458" spans="1:6" x14ac:dyDescent="0.2">
      <c r="A1458">
        <v>3610</v>
      </c>
      <c r="B1458" t="s">
        <v>305</v>
      </c>
      <c r="C1458" t="s">
        <v>521</v>
      </c>
      <c r="D1458" t="s">
        <v>609</v>
      </c>
      <c r="E1458" s="16">
        <v>45833.46230324074</v>
      </c>
      <c r="F1458">
        <v>0</v>
      </c>
    </row>
    <row r="1459" spans="1:6" x14ac:dyDescent="0.2">
      <c r="A1459">
        <v>3602</v>
      </c>
      <c r="B1459" t="s">
        <v>297</v>
      </c>
      <c r="C1459" t="s">
        <v>521</v>
      </c>
      <c r="D1459" t="s">
        <v>593</v>
      </c>
      <c r="E1459" s="16">
        <v>45742.269328703704</v>
      </c>
      <c r="F1459">
        <v>0</v>
      </c>
    </row>
    <row r="1460" spans="1:6" x14ac:dyDescent="0.2">
      <c r="A1460">
        <v>3605</v>
      </c>
      <c r="B1460" t="s">
        <v>268</v>
      </c>
      <c r="C1460" t="s">
        <v>449</v>
      </c>
      <c r="D1460" t="s">
        <v>590</v>
      </c>
      <c r="E1460" s="16">
        <v>45754.448599537034</v>
      </c>
      <c r="F1460">
        <v>0</v>
      </c>
    </row>
    <row r="1461" spans="1:6" x14ac:dyDescent="0.2">
      <c r="A1461">
        <v>3564</v>
      </c>
      <c r="B1461" t="s">
        <v>84</v>
      </c>
      <c r="C1461" t="s">
        <v>449</v>
      </c>
      <c r="D1461" t="s">
        <v>586</v>
      </c>
      <c r="E1461" s="16">
        <v>45695.286828703705</v>
      </c>
      <c r="F1461">
        <v>0</v>
      </c>
    </row>
    <row r="1462" spans="1:6" x14ac:dyDescent="0.2">
      <c r="A1462">
        <v>3618</v>
      </c>
      <c r="B1462" t="s">
        <v>325</v>
      </c>
      <c r="C1462" t="s">
        <v>566</v>
      </c>
      <c r="D1462" t="s">
        <v>599</v>
      </c>
      <c r="E1462" s="16">
        <v>45878.314375000002</v>
      </c>
      <c r="F1462">
        <v>0</v>
      </c>
    </row>
    <row r="1463" spans="1:6" x14ac:dyDescent="0.2">
      <c r="A1463">
        <v>3615</v>
      </c>
      <c r="B1463" t="s">
        <v>236</v>
      </c>
      <c r="C1463" t="s">
        <v>449</v>
      </c>
      <c r="D1463" t="s">
        <v>582</v>
      </c>
      <c r="E1463" s="16">
        <v>45757.442048611112</v>
      </c>
      <c r="F1463">
        <v>0</v>
      </c>
    </row>
    <row r="1464" spans="1:6" x14ac:dyDescent="0.2">
      <c r="A1464">
        <v>3605</v>
      </c>
      <c r="B1464" t="s">
        <v>268</v>
      </c>
      <c r="C1464" t="s">
        <v>566</v>
      </c>
      <c r="D1464" t="s">
        <v>599</v>
      </c>
      <c r="E1464" s="16">
        <v>45878.302881944444</v>
      </c>
      <c r="F1464">
        <v>0</v>
      </c>
    </row>
    <row r="1465" spans="1:6" x14ac:dyDescent="0.2">
      <c r="A1465">
        <v>3615</v>
      </c>
      <c r="B1465" t="s">
        <v>236</v>
      </c>
      <c r="C1465" t="s">
        <v>449</v>
      </c>
      <c r="D1465" t="s">
        <v>586</v>
      </c>
      <c r="E1465" s="16">
        <v>45764.383750000001</v>
      </c>
      <c r="F1465">
        <v>0</v>
      </c>
    </row>
    <row r="1466" spans="1:6" x14ac:dyDescent="0.2">
      <c r="A1466">
        <v>3589</v>
      </c>
      <c r="B1466" t="s">
        <v>301</v>
      </c>
      <c r="C1466" t="s">
        <v>566</v>
      </c>
      <c r="D1466" t="s">
        <v>604</v>
      </c>
      <c r="E1466" s="16">
        <v>45878.300856481481</v>
      </c>
      <c r="F1466">
        <v>0</v>
      </c>
    </row>
    <row r="1467" spans="1:6" x14ac:dyDescent="0.2">
      <c r="A1467">
        <v>3616</v>
      </c>
      <c r="B1467" t="s">
        <v>249</v>
      </c>
      <c r="C1467" t="s">
        <v>521</v>
      </c>
      <c r="D1467" t="s">
        <v>593</v>
      </c>
      <c r="E1467" s="16">
        <v>45756.326620370368</v>
      </c>
      <c r="F1467">
        <v>0</v>
      </c>
    </row>
    <row r="1468" spans="1:6" x14ac:dyDescent="0.2">
      <c r="A1468">
        <v>3660</v>
      </c>
      <c r="B1468" t="s">
        <v>285</v>
      </c>
      <c r="C1468" t="s">
        <v>580</v>
      </c>
      <c r="D1468" t="s">
        <v>581</v>
      </c>
      <c r="E1468" s="16">
        <v>45882.466400462959</v>
      </c>
      <c r="F1468">
        <v>0</v>
      </c>
    </row>
    <row r="1469" spans="1:6" x14ac:dyDescent="0.2">
      <c r="A1469">
        <v>3625</v>
      </c>
      <c r="B1469" t="s">
        <v>276</v>
      </c>
      <c r="C1469" t="s">
        <v>449</v>
      </c>
      <c r="D1469" t="s">
        <v>586</v>
      </c>
      <c r="E1469" s="16">
        <v>45782.36141203704</v>
      </c>
      <c r="F1469">
        <v>0</v>
      </c>
    </row>
    <row r="1470" spans="1:6" x14ac:dyDescent="0.2">
      <c r="A1470">
        <v>3534</v>
      </c>
      <c r="B1470" t="s">
        <v>95</v>
      </c>
      <c r="C1470" t="s">
        <v>566</v>
      </c>
      <c r="D1470" t="s">
        <v>604</v>
      </c>
      <c r="E1470" s="16">
        <v>45625.295543981483</v>
      </c>
      <c r="F1470">
        <v>0</v>
      </c>
    </row>
    <row r="1471" spans="1:6" x14ac:dyDescent="0.2">
      <c r="A1471">
        <v>3636</v>
      </c>
      <c r="B1471" t="s">
        <v>270</v>
      </c>
      <c r="C1471" t="s">
        <v>521</v>
      </c>
      <c r="D1471" t="s">
        <v>593</v>
      </c>
      <c r="E1471" s="16">
        <v>45788.748032407406</v>
      </c>
      <c r="F1471">
        <v>0</v>
      </c>
    </row>
    <row r="1472" spans="1:6" x14ac:dyDescent="0.2">
      <c r="A1472">
        <v>3568</v>
      </c>
      <c r="B1472" t="s">
        <v>210</v>
      </c>
      <c r="C1472" t="s">
        <v>566</v>
      </c>
      <c r="D1472" t="s">
        <v>604</v>
      </c>
      <c r="E1472" s="16">
        <v>45795.669502314813</v>
      </c>
      <c r="F1472">
        <v>0</v>
      </c>
    </row>
    <row r="1473" spans="1:6" x14ac:dyDescent="0.2">
      <c r="A1473">
        <v>3637</v>
      </c>
      <c r="B1473" t="s">
        <v>304</v>
      </c>
      <c r="C1473" t="s">
        <v>521</v>
      </c>
      <c r="D1473" t="s">
        <v>593</v>
      </c>
      <c r="E1473" s="16">
        <v>45788.750347222223</v>
      </c>
      <c r="F1473">
        <v>0</v>
      </c>
    </row>
    <row r="1474" spans="1:6" x14ac:dyDescent="0.2">
      <c r="A1474">
        <v>3568</v>
      </c>
      <c r="B1474" t="s">
        <v>210</v>
      </c>
      <c r="C1474" t="s">
        <v>521</v>
      </c>
      <c r="D1474" t="s">
        <v>605</v>
      </c>
      <c r="E1474" s="16">
        <v>45678.487685185188</v>
      </c>
      <c r="F1474">
        <v>0</v>
      </c>
    </row>
    <row r="1475" spans="1:6" x14ac:dyDescent="0.2">
      <c r="A1475">
        <v>3618</v>
      </c>
      <c r="B1475" t="s">
        <v>325</v>
      </c>
      <c r="C1475" t="s">
        <v>449</v>
      </c>
      <c r="D1475" t="s">
        <v>586</v>
      </c>
      <c r="E1475" s="16">
        <v>45791.484895833331</v>
      </c>
      <c r="F1475">
        <v>0</v>
      </c>
    </row>
    <row r="1476" spans="1:6" x14ac:dyDescent="0.2">
      <c r="A1476">
        <v>3568</v>
      </c>
      <c r="B1476" t="s">
        <v>210</v>
      </c>
      <c r="C1476" t="s">
        <v>566</v>
      </c>
      <c r="D1476" t="s">
        <v>599</v>
      </c>
      <c r="E1476" s="16">
        <v>45795.669502314813</v>
      </c>
      <c r="F1476">
        <v>0</v>
      </c>
    </row>
    <row r="1477" spans="1:6" x14ac:dyDescent="0.2">
      <c r="A1477">
        <v>3632</v>
      </c>
      <c r="B1477" t="s">
        <v>238</v>
      </c>
      <c r="C1477" t="s">
        <v>449</v>
      </c>
      <c r="D1477" t="s">
        <v>586</v>
      </c>
      <c r="E1477" s="16">
        <v>45793.41778935185</v>
      </c>
      <c r="F1477">
        <v>0</v>
      </c>
    </row>
    <row r="1478" spans="1:6" x14ac:dyDescent="0.2">
      <c r="A1478">
        <v>3615</v>
      </c>
      <c r="B1478" t="s">
        <v>236</v>
      </c>
      <c r="C1478" t="s">
        <v>566</v>
      </c>
      <c r="D1478" t="s">
        <v>604</v>
      </c>
      <c r="E1478" s="16">
        <v>45892.789293981485</v>
      </c>
      <c r="F1478">
        <v>0</v>
      </c>
    </row>
    <row r="1479" spans="1:6" x14ac:dyDescent="0.2">
      <c r="A1479">
        <v>3582</v>
      </c>
      <c r="B1479" t="s">
        <v>211</v>
      </c>
      <c r="C1479" t="s">
        <v>580</v>
      </c>
      <c r="D1479" t="s">
        <v>588</v>
      </c>
      <c r="E1479" s="16">
        <v>45707.577060185184</v>
      </c>
      <c r="F1479">
        <v>0</v>
      </c>
    </row>
    <row r="1480" spans="1:6" x14ac:dyDescent="0.2">
      <c r="A1480">
        <v>3605</v>
      </c>
      <c r="B1480" t="s">
        <v>268</v>
      </c>
      <c r="C1480" t="s">
        <v>580</v>
      </c>
      <c r="D1480" t="s">
        <v>589</v>
      </c>
      <c r="E1480" s="16">
        <v>45896.549317129633</v>
      </c>
      <c r="F1480">
        <v>0</v>
      </c>
    </row>
    <row r="1481" spans="1:6" x14ac:dyDescent="0.2">
      <c r="A1481">
        <v>3647</v>
      </c>
      <c r="B1481" t="s">
        <v>310</v>
      </c>
      <c r="C1481" t="s">
        <v>521</v>
      </c>
      <c r="D1481" t="s">
        <v>593</v>
      </c>
      <c r="E1481" s="16">
        <v>45822.282708333332</v>
      </c>
      <c r="F1481">
        <v>0</v>
      </c>
    </row>
    <row r="1482" spans="1:6" x14ac:dyDescent="0.2">
      <c r="A1482">
        <v>3583</v>
      </c>
      <c r="B1482" t="s">
        <v>97</v>
      </c>
      <c r="C1482" t="s">
        <v>566</v>
      </c>
      <c r="D1482" t="s">
        <v>604</v>
      </c>
      <c r="E1482" s="16">
        <v>45835.550879629627</v>
      </c>
      <c r="F1482">
        <v>0</v>
      </c>
    </row>
    <row r="1483" spans="1:6" x14ac:dyDescent="0.2">
      <c r="A1483">
        <v>3562</v>
      </c>
      <c r="B1483" t="s">
        <v>49</v>
      </c>
      <c r="C1483" t="s">
        <v>518</v>
      </c>
      <c r="D1483" t="s">
        <v>595</v>
      </c>
      <c r="E1483" s="16">
        <v>45824.467673611114</v>
      </c>
      <c r="F1483">
        <v>0</v>
      </c>
    </row>
    <row r="1484" spans="1:6" x14ac:dyDescent="0.2">
      <c r="A1484">
        <v>3583</v>
      </c>
      <c r="B1484" t="s">
        <v>97</v>
      </c>
      <c r="C1484" t="s">
        <v>566</v>
      </c>
      <c r="D1484" t="s">
        <v>599</v>
      </c>
      <c r="E1484" s="16">
        <v>45835.550879629627</v>
      </c>
      <c r="F1484">
        <v>0</v>
      </c>
    </row>
    <row r="1485" spans="1:6" x14ac:dyDescent="0.2">
      <c r="A1485">
        <v>3591</v>
      </c>
      <c r="B1485" t="s">
        <v>254</v>
      </c>
      <c r="C1485" t="s">
        <v>521</v>
      </c>
      <c r="D1485" t="s">
        <v>593</v>
      </c>
      <c r="E1485" s="16">
        <v>45713.209537037037</v>
      </c>
      <c r="F1485">
        <v>0</v>
      </c>
    </row>
    <row r="1486" spans="1:6" x14ac:dyDescent="0.2">
      <c r="A1486">
        <v>3648</v>
      </c>
      <c r="B1486" t="s">
        <v>261</v>
      </c>
      <c r="C1486" t="s">
        <v>449</v>
      </c>
      <c r="D1486" t="s">
        <v>590</v>
      </c>
      <c r="E1486" s="16">
        <v>45846.46597222222</v>
      </c>
      <c r="F1486">
        <v>0</v>
      </c>
    </row>
    <row r="1487" spans="1:6" x14ac:dyDescent="0.2">
      <c r="A1487">
        <v>3654</v>
      </c>
      <c r="B1487" t="s">
        <v>231</v>
      </c>
      <c r="C1487" t="s">
        <v>521</v>
      </c>
      <c r="D1487" t="s">
        <v>593</v>
      </c>
      <c r="E1487" s="16">
        <v>45853.293124999997</v>
      </c>
      <c r="F1487">
        <v>0</v>
      </c>
    </row>
    <row r="1488" spans="1:6" x14ac:dyDescent="0.2">
      <c r="A1488">
        <v>3609</v>
      </c>
      <c r="B1488" t="s">
        <v>245</v>
      </c>
      <c r="C1488" t="s">
        <v>580</v>
      </c>
      <c r="D1488" t="s">
        <v>584</v>
      </c>
      <c r="E1488" s="16">
        <v>45762.702604166669</v>
      </c>
      <c r="F1488">
        <v>0</v>
      </c>
    </row>
    <row r="1489" spans="1:6" x14ac:dyDescent="0.2">
      <c r="A1489">
        <v>3667</v>
      </c>
      <c r="B1489" t="s">
        <v>274</v>
      </c>
      <c r="C1489" t="s">
        <v>521</v>
      </c>
      <c r="D1489" t="s">
        <v>593</v>
      </c>
      <c r="E1489" s="16">
        <v>45878.286956018521</v>
      </c>
      <c r="F1489">
        <v>0</v>
      </c>
    </row>
    <row r="1490" spans="1:6" x14ac:dyDescent="0.2">
      <c r="A1490">
        <v>3609</v>
      </c>
      <c r="B1490" t="s">
        <v>245</v>
      </c>
      <c r="C1490" t="s">
        <v>566</v>
      </c>
      <c r="D1490" t="s">
        <v>599</v>
      </c>
      <c r="E1490" s="16">
        <v>45864.306608796294</v>
      </c>
      <c r="F1490">
        <v>0</v>
      </c>
    </row>
    <row r="1491" spans="1:6" x14ac:dyDescent="0.2">
      <c r="A1491">
        <v>3660</v>
      </c>
      <c r="B1491" t="s">
        <v>285</v>
      </c>
      <c r="C1491" t="s">
        <v>580</v>
      </c>
      <c r="D1491" t="s">
        <v>588</v>
      </c>
      <c r="E1491" s="16">
        <v>45882.465474537035</v>
      </c>
      <c r="F1491">
        <v>0</v>
      </c>
    </row>
    <row r="1492" spans="1:6" x14ac:dyDescent="0.2">
      <c r="A1492">
        <v>3609</v>
      </c>
      <c r="B1492" t="s">
        <v>245</v>
      </c>
      <c r="C1492" t="s">
        <v>521</v>
      </c>
      <c r="D1492" t="s">
        <v>605</v>
      </c>
      <c r="E1492" s="16">
        <v>45750.270231481481</v>
      </c>
      <c r="F1492">
        <v>0</v>
      </c>
    </row>
    <row r="1493" spans="1:6" x14ac:dyDescent="0.2">
      <c r="A1493">
        <v>3568</v>
      </c>
      <c r="B1493" t="s">
        <v>210</v>
      </c>
      <c r="C1493" t="s">
        <v>521</v>
      </c>
      <c r="D1493" t="s">
        <v>593</v>
      </c>
      <c r="E1493" s="16">
        <v>45678.487685185188</v>
      </c>
      <c r="F1493">
        <v>0</v>
      </c>
    </row>
    <row r="1494" spans="1:6" x14ac:dyDescent="0.2">
      <c r="A1494">
        <v>3609</v>
      </c>
      <c r="B1494" t="s">
        <v>245</v>
      </c>
      <c r="C1494" t="s">
        <v>518</v>
      </c>
      <c r="D1494" t="s">
        <v>591</v>
      </c>
      <c r="E1494" s="16">
        <v>45762.702974537038</v>
      </c>
      <c r="F1494">
        <v>0</v>
      </c>
    </row>
    <row r="1495" spans="1:6" x14ac:dyDescent="0.2">
      <c r="A1495">
        <v>3605</v>
      </c>
      <c r="B1495" t="s">
        <v>268</v>
      </c>
      <c r="C1495" t="s">
        <v>580</v>
      </c>
      <c r="D1495" t="s">
        <v>588</v>
      </c>
      <c r="E1495" s="16">
        <v>45896.549317129633</v>
      </c>
      <c r="F1495">
        <v>0</v>
      </c>
    </row>
    <row r="1496" spans="1:6" x14ac:dyDescent="0.2">
      <c r="A1496">
        <v>3674</v>
      </c>
      <c r="B1496" t="s">
        <v>292</v>
      </c>
      <c r="C1496" t="s">
        <v>521</v>
      </c>
      <c r="D1496" t="s">
        <v>605</v>
      </c>
      <c r="E1496" s="16">
        <v>45892.804606481484</v>
      </c>
      <c r="F1496">
        <v>0</v>
      </c>
    </row>
    <row r="1497" spans="1:6" x14ac:dyDescent="0.2">
      <c r="A1497">
        <v>3583</v>
      </c>
      <c r="B1497" t="s">
        <v>97</v>
      </c>
      <c r="C1497" t="s">
        <v>521</v>
      </c>
      <c r="D1497" t="s">
        <v>593</v>
      </c>
      <c r="E1497" s="16">
        <v>45701.310254629629</v>
      </c>
      <c r="F1497">
        <v>0</v>
      </c>
    </row>
    <row r="1498" spans="1:6" x14ac:dyDescent="0.2">
      <c r="A1498">
        <v>3585</v>
      </c>
      <c r="B1498" t="s">
        <v>314</v>
      </c>
      <c r="C1498" t="s">
        <v>566</v>
      </c>
      <c r="D1498" t="s">
        <v>604</v>
      </c>
      <c r="E1498" s="16">
        <v>45853.295243055552</v>
      </c>
      <c r="F1498">
        <v>0</v>
      </c>
    </row>
    <row r="1499" spans="1:6" x14ac:dyDescent="0.2">
      <c r="A1499">
        <v>3648</v>
      </c>
      <c r="B1499" t="s">
        <v>261</v>
      </c>
      <c r="C1499" t="s">
        <v>449</v>
      </c>
      <c r="D1499" t="s">
        <v>586</v>
      </c>
      <c r="E1499" s="16">
        <v>45846.46597222222</v>
      </c>
      <c r="F1499">
        <v>0</v>
      </c>
    </row>
    <row r="1500" spans="1:6" x14ac:dyDescent="0.2">
      <c r="A1500">
        <v>3585</v>
      </c>
      <c r="B1500" t="s">
        <v>314</v>
      </c>
      <c r="C1500" t="s">
        <v>521</v>
      </c>
      <c r="D1500" t="s">
        <v>605</v>
      </c>
      <c r="E1500" s="16">
        <v>45706.184282407405</v>
      </c>
      <c r="F1500">
        <v>0</v>
      </c>
    </row>
    <row r="1501" spans="1:6" x14ac:dyDescent="0.2">
      <c r="A1501">
        <v>3674</v>
      </c>
      <c r="B1501" t="s">
        <v>292</v>
      </c>
      <c r="C1501" t="s">
        <v>521</v>
      </c>
      <c r="D1501" t="s">
        <v>593</v>
      </c>
      <c r="E1501" s="16">
        <v>45892.804606481484</v>
      </c>
      <c r="F1501">
        <v>0</v>
      </c>
    </row>
    <row r="1502" spans="1:6" x14ac:dyDescent="0.2">
      <c r="A1502">
        <v>3585</v>
      </c>
      <c r="B1502" t="s">
        <v>314</v>
      </c>
      <c r="C1502" t="s">
        <v>438</v>
      </c>
      <c r="D1502" t="s">
        <v>598</v>
      </c>
      <c r="E1502" s="16">
        <v>45715.610011574077</v>
      </c>
      <c r="F1502">
        <v>0</v>
      </c>
    </row>
    <row r="1503" spans="1:6" x14ac:dyDescent="0.2">
      <c r="A1503">
        <v>3585</v>
      </c>
      <c r="B1503" t="s">
        <v>314</v>
      </c>
      <c r="C1503" t="s">
        <v>449</v>
      </c>
      <c r="D1503" t="s">
        <v>582</v>
      </c>
      <c r="E1503" s="16">
        <v>45715.610011574077</v>
      </c>
      <c r="F1503">
        <v>0</v>
      </c>
    </row>
    <row r="1504" spans="1:6" x14ac:dyDescent="0.2">
      <c r="A1504">
        <v>3550</v>
      </c>
      <c r="B1504" t="s">
        <v>24</v>
      </c>
      <c r="C1504" t="s">
        <v>580</v>
      </c>
      <c r="D1504" t="s">
        <v>589</v>
      </c>
      <c r="E1504" s="16">
        <v>45906.691377314812</v>
      </c>
      <c r="F1504">
        <v>0</v>
      </c>
    </row>
    <row r="1505" spans="1:6" x14ac:dyDescent="0.2">
      <c r="A1505">
        <v>3550</v>
      </c>
      <c r="B1505" t="s">
        <v>24</v>
      </c>
      <c r="C1505" t="s">
        <v>580</v>
      </c>
      <c r="D1505" t="s">
        <v>588</v>
      </c>
      <c r="E1505" s="16">
        <v>45906.691377314812</v>
      </c>
      <c r="F1505">
        <v>0</v>
      </c>
    </row>
    <row r="1506" spans="1:6" x14ac:dyDescent="0.2">
      <c r="A1506">
        <v>3602</v>
      </c>
      <c r="B1506" t="s">
        <v>297</v>
      </c>
      <c r="C1506" t="s">
        <v>566</v>
      </c>
      <c r="D1506" t="s">
        <v>604</v>
      </c>
      <c r="E1506" s="16">
        <v>45907.668090277781</v>
      </c>
      <c r="F1506">
        <v>0</v>
      </c>
    </row>
    <row r="1507" spans="1:6" x14ac:dyDescent="0.2">
      <c r="A1507">
        <v>3223</v>
      </c>
      <c r="B1507" t="s">
        <v>165</v>
      </c>
      <c r="C1507" t="s">
        <v>449</v>
      </c>
      <c r="D1507" t="s">
        <v>586</v>
      </c>
      <c r="E1507" s="16">
        <v>45908.351967592593</v>
      </c>
      <c r="F1507">
        <v>0</v>
      </c>
    </row>
    <row r="1508" spans="1:6" x14ac:dyDescent="0.2">
      <c r="A1508">
        <v>3636</v>
      </c>
      <c r="B1508" t="s">
        <v>270</v>
      </c>
      <c r="C1508" t="s">
        <v>566</v>
      </c>
      <c r="D1508" t="s">
        <v>604</v>
      </c>
      <c r="E1508" s="16">
        <v>45907.680509259262</v>
      </c>
      <c r="F1508">
        <v>0</v>
      </c>
    </row>
    <row r="1509" spans="1:6" x14ac:dyDescent="0.2">
      <c r="A1509">
        <v>3624</v>
      </c>
      <c r="B1509" t="s">
        <v>302</v>
      </c>
      <c r="C1509" t="s">
        <v>449</v>
      </c>
      <c r="D1509" t="s">
        <v>582</v>
      </c>
      <c r="E1509" s="16">
        <v>45793.536006944443</v>
      </c>
      <c r="F1509">
        <v>0</v>
      </c>
    </row>
    <row r="1510" spans="1:6" x14ac:dyDescent="0.2">
      <c r="A1510">
        <v>3614</v>
      </c>
      <c r="B1510" t="s">
        <v>217</v>
      </c>
      <c r="C1510" t="s">
        <v>566</v>
      </c>
      <c r="D1510" t="s">
        <v>599</v>
      </c>
      <c r="E1510" s="16">
        <v>45907.670254629629</v>
      </c>
      <c r="F1510">
        <v>0</v>
      </c>
    </row>
    <row r="1511" spans="1:6" x14ac:dyDescent="0.2">
      <c r="A1511">
        <v>2376</v>
      </c>
      <c r="B1511" t="s">
        <v>145</v>
      </c>
      <c r="C1511" t="s">
        <v>580</v>
      </c>
      <c r="D1511" t="s">
        <v>587</v>
      </c>
      <c r="E1511" s="16">
        <v>45923.401759259257</v>
      </c>
      <c r="F1511">
        <v>0</v>
      </c>
    </row>
    <row r="1512" spans="1:6" x14ac:dyDescent="0.2">
      <c r="A1512">
        <v>3632</v>
      </c>
      <c r="B1512" t="s">
        <v>238</v>
      </c>
      <c r="C1512" t="s">
        <v>566</v>
      </c>
      <c r="D1512" t="s">
        <v>599</v>
      </c>
      <c r="E1512" s="16">
        <v>45907.679189814815</v>
      </c>
      <c r="F1512">
        <v>0</v>
      </c>
    </row>
    <row r="1513" spans="1:6" x14ac:dyDescent="0.2">
      <c r="A1513">
        <v>3609</v>
      </c>
      <c r="B1513" t="s">
        <v>245</v>
      </c>
      <c r="C1513" t="s">
        <v>580</v>
      </c>
      <c r="D1513" t="s">
        <v>587</v>
      </c>
      <c r="E1513" s="16">
        <v>45923.49</v>
      </c>
      <c r="F1513">
        <v>0</v>
      </c>
    </row>
    <row r="1514" spans="1:6" x14ac:dyDescent="0.2">
      <c r="A1514">
        <v>3206</v>
      </c>
      <c r="B1514" t="s">
        <v>171</v>
      </c>
      <c r="C1514" t="s">
        <v>580</v>
      </c>
      <c r="D1514" t="s">
        <v>589</v>
      </c>
      <c r="E1514" s="16">
        <v>45908.607303240744</v>
      </c>
      <c r="F1514">
        <v>0</v>
      </c>
    </row>
    <row r="1515" spans="1:6" x14ac:dyDescent="0.2">
      <c r="A1515">
        <v>3614</v>
      </c>
      <c r="B1515" t="s">
        <v>217</v>
      </c>
      <c r="C1515" t="s">
        <v>580</v>
      </c>
      <c r="D1515" t="s">
        <v>587</v>
      </c>
      <c r="E1515" s="16">
        <v>45923.462210648147</v>
      </c>
      <c r="F1515">
        <v>0</v>
      </c>
    </row>
    <row r="1516" spans="1:6" x14ac:dyDescent="0.2">
      <c r="A1516">
        <v>3670</v>
      </c>
      <c r="B1516" t="s">
        <v>327</v>
      </c>
      <c r="C1516" t="s">
        <v>521</v>
      </c>
      <c r="D1516" t="s">
        <v>605</v>
      </c>
      <c r="E1516" s="16">
        <v>45883.234340277777</v>
      </c>
      <c r="F1516">
        <v>0</v>
      </c>
    </row>
    <row r="1517" spans="1:6" x14ac:dyDescent="0.2">
      <c r="A1517">
        <v>3019</v>
      </c>
      <c r="B1517" t="s">
        <v>176</v>
      </c>
      <c r="C1517" t="s">
        <v>580</v>
      </c>
      <c r="D1517" t="s">
        <v>587</v>
      </c>
      <c r="E1517" s="16">
        <v>45924.376446759263</v>
      </c>
      <c r="F1517">
        <v>0</v>
      </c>
    </row>
    <row r="1518" spans="1:6" x14ac:dyDescent="0.2">
      <c r="A1518">
        <v>3672</v>
      </c>
      <c r="B1518" t="s">
        <v>323</v>
      </c>
      <c r="C1518" t="s">
        <v>449</v>
      </c>
      <c r="D1518" t="s">
        <v>590</v>
      </c>
      <c r="E1518" s="16">
        <v>45911.364664351851</v>
      </c>
      <c r="F1518">
        <v>0</v>
      </c>
    </row>
    <row r="1519" spans="1:6" x14ac:dyDescent="0.2">
      <c r="A1519">
        <v>3632</v>
      </c>
      <c r="B1519" t="s">
        <v>238</v>
      </c>
      <c r="C1519" t="s">
        <v>580</v>
      </c>
      <c r="D1519" t="s">
        <v>587</v>
      </c>
      <c r="E1519" s="16">
        <v>45924.434421296297</v>
      </c>
      <c r="F1519">
        <v>0</v>
      </c>
    </row>
    <row r="1520" spans="1:6" x14ac:dyDescent="0.2">
      <c r="A1520">
        <v>3678</v>
      </c>
      <c r="B1520" t="s">
        <v>295</v>
      </c>
      <c r="C1520" t="s">
        <v>438</v>
      </c>
      <c r="D1520" t="s">
        <v>598</v>
      </c>
      <c r="E1520" s="16">
        <v>45916.349675925929</v>
      </c>
      <c r="F1520">
        <v>0</v>
      </c>
    </row>
    <row r="1521" spans="1:6" x14ac:dyDescent="0.2">
      <c r="A1521">
        <v>3222</v>
      </c>
      <c r="B1521" t="s">
        <v>87</v>
      </c>
      <c r="C1521" t="s">
        <v>580</v>
      </c>
      <c r="D1521" t="s">
        <v>587</v>
      </c>
      <c r="E1521" s="16">
        <v>45924.433680555558</v>
      </c>
      <c r="F1521">
        <v>0</v>
      </c>
    </row>
    <row r="1522" spans="1:6" x14ac:dyDescent="0.2">
      <c r="A1522">
        <v>3624</v>
      </c>
      <c r="B1522" t="s">
        <v>302</v>
      </c>
      <c r="C1522" t="s">
        <v>521</v>
      </c>
      <c r="D1522" t="s">
        <v>605</v>
      </c>
      <c r="E1522" s="16">
        <v>45773.703344907408</v>
      </c>
      <c r="F1522">
        <v>0</v>
      </c>
    </row>
    <row r="1523" spans="1:6" x14ac:dyDescent="0.2">
      <c r="A1523">
        <v>3681</v>
      </c>
      <c r="B1523" t="s">
        <v>289</v>
      </c>
      <c r="C1523" t="s">
        <v>449</v>
      </c>
      <c r="D1523" t="s">
        <v>586</v>
      </c>
      <c r="E1523" s="16">
        <v>45929.400717592594</v>
      </c>
      <c r="F1523">
        <v>0</v>
      </c>
    </row>
    <row r="1524" spans="1:6" x14ac:dyDescent="0.2">
      <c r="A1524">
        <v>3662</v>
      </c>
      <c r="B1524" t="s">
        <v>250</v>
      </c>
      <c r="C1524" t="s">
        <v>521</v>
      </c>
      <c r="D1524" t="s">
        <v>605</v>
      </c>
      <c r="E1524" s="16">
        <v>45874.469988425924</v>
      </c>
      <c r="F1524">
        <v>0</v>
      </c>
    </row>
    <row r="1525" spans="1:6" x14ac:dyDescent="0.2">
      <c r="A1525">
        <v>3598</v>
      </c>
      <c r="B1525" t="s">
        <v>318</v>
      </c>
      <c r="C1525" t="s">
        <v>580</v>
      </c>
      <c r="D1525" t="s">
        <v>588</v>
      </c>
      <c r="E1525" s="16">
        <v>45800.496134259258</v>
      </c>
      <c r="F1525">
        <v>0</v>
      </c>
    </row>
    <row r="1526" spans="1:6" x14ac:dyDescent="0.2">
      <c r="A1526">
        <v>3681</v>
      </c>
      <c r="B1526" t="s">
        <v>289</v>
      </c>
      <c r="C1526" t="s">
        <v>438</v>
      </c>
      <c r="D1526" t="s">
        <v>598</v>
      </c>
      <c r="E1526" s="16">
        <v>45929.400717592594</v>
      </c>
      <c r="F1526">
        <v>0</v>
      </c>
    </row>
    <row r="1527" spans="1:6" x14ac:dyDescent="0.2">
      <c r="A1527">
        <v>3598</v>
      </c>
      <c r="B1527" t="s">
        <v>318</v>
      </c>
      <c r="C1527" t="s">
        <v>521</v>
      </c>
      <c r="D1527" t="s">
        <v>593</v>
      </c>
      <c r="E1527" s="16">
        <v>45734.572442129633</v>
      </c>
      <c r="F1527">
        <v>0</v>
      </c>
    </row>
    <row r="1528" spans="1:6" x14ac:dyDescent="0.2">
      <c r="A1528">
        <v>3469</v>
      </c>
      <c r="B1528" t="s">
        <v>181</v>
      </c>
      <c r="C1528" t="s">
        <v>518</v>
      </c>
      <c r="D1528" t="s">
        <v>591</v>
      </c>
      <c r="E1528" s="16">
        <v>45930.491574074076</v>
      </c>
      <c r="F1528">
        <v>0</v>
      </c>
    </row>
    <row r="1529" spans="1:6" x14ac:dyDescent="0.2">
      <c r="A1529">
        <v>3598</v>
      </c>
      <c r="B1529" t="s">
        <v>318</v>
      </c>
      <c r="C1529" t="s">
        <v>449</v>
      </c>
      <c r="D1529" t="s">
        <v>582</v>
      </c>
      <c r="E1529" s="16">
        <v>45736.498981481483</v>
      </c>
      <c r="F1529">
        <v>0</v>
      </c>
    </row>
    <row r="1530" spans="1:6" x14ac:dyDescent="0.2">
      <c r="A1530">
        <v>3594</v>
      </c>
      <c r="B1530" t="s">
        <v>315</v>
      </c>
      <c r="C1530" t="s">
        <v>521</v>
      </c>
      <c r="D1530" t="s">
        <v>605</v>
      </c>
      <c r="E1530" s="16">
        <v>45722.436562499999</v>
      </c>
      <c r="F1530">
        <v>0</v>
      </c>
    </row>
    <row r="1531" spans="1:6" x14ac:dyDescent="0.2">
      <c r="A1531">
        <v>3649</v>
      </c>
      <c r="B1531" t="s">
        <v>312</v>
      </c>
      <c r="C1531" t="s">
        <v>521</v>
      </c>
      <c r="D1531" t="s">
        <v>593</v>
      </c>
      <c r="E1531" s="16">
        <v>45841.305879629632</v>
      </c>
      <c r="F1531">
        <v>0</v>
      </c>
    </row>
    <row r="1532" spans="1:6" x14ac:dyDescent="0.2">
      <c r="A1532">
        <v>3598</v>
      </c>
      <c r="B1532" t="s">
        <v>318</v>
      </c>
      <c r="C1532" t="s">
        <v>580</v>
      </c>
      <c r="D1532" t="s">
        <v>584</v>
      </c>
      <c r="E1532" s="16">
        <v>45800.496134259258</v>
      </c>
      <c r="F1532">
        <v>0</v>
      </c>
    </row>
    <row r="1533" spans="1:6" x14ac:dyDescent="0.2">
      <c r="A1533">
        <v>3677</v>
      </c>
      <c r="B1533" t="s">
        <v>283</v>
      </c>
      <c r="C1533" t="s">
        <v>449</v>
      </c>
      <c r="D1533" t="s">
        <v>586</v>
      </c>
      <c r="E1533" s="16">
        <v>45904.247858796298</v>
      </c>
      <c r="F1533">
        <v>0</v>
      </c>
    </row>
    <row r="1534" spans="1:6" x14ac:dyDescent="0.2">
      <c r="A1534">
        <v>3677</v>
      </c>
      <c r="B1534" t="s">
        <v>283</v>
      </c>
      <c r="C1534" t="s">
        <v>438</v>
      </c>
      <c r="D1534" t="s">
        <v>598</v>
      </c>
      <c r="E1534" s="16">
        <v>45923.410231481481</v>
      </c>
      <c r="F1534">
        <v>0</v>
      </c>
    </row>
    <row r="1535" spans="1:6" x14ac:dyDescent="0.2">
      <c r="A1535">
        <v>3676</v>
      </c>
      <c r="B1535" t="s">
        <v>239</v>
      </c>
      <c r="C1535" t="s">
        <v>449</v>
      </c>
      <c r="D1535" t="s">
        <v>582</v>
      </c>
      <c r="E1535" s="16">
        <v>45915.412881944445</v>
      </c>
      <c r="F1535">
        <v>0</v>
      </c>
    </row>
    <row r="1536" spans="1:6" x14ac:dyDescent="0.2">
      <c r="A1536">
        <v>3677</v>
      </c>
      <c r="B1536" t="s">
        <v>283</v>
      </c>
      <c r="C1536" t="s">
        <v>449</v>
      </c>
      <c r="D1536" t="s">
        <v>590</v>
      </c>
      <c r="E1536" s="16">
        <v>45904.247858796298</v>
      </c>
      <c r="F1536">
        <v>0</v>
      </c>
    </row>
    <row r="1537" spans="1:6" x14ac:dyDescent="0.2">
      <c r="A1537">
        <v>3676</v>
      </c>
      <c r="B1537" t="s">
        <v>239</v>
      </c>
      <c r="C1537" t="s">
        <v>521</v>
      </c>
      <c r="D1537" t="s">
        <v>593</v>
      </c>
      <c r="E1537" s="16">
        <v>45903.526018518518</v>
      </c>
      <c r="F1537">
        <v>0</v>
      </c>
    </row>
    <row r="1538" spans="1:6" x14ac:dyDescent="0.2">
      <c r="A1538">
        <v>3676</v>
      </c>
      <c r="B1538" t="s">
        <v>239</v>
      </c>
      <c r="C1538" t="s">
        <v>521</v>
      </c>
      <c r="D1538" t="s">
        <v>605</v>
      </c>
      <c r="E1538" s="16">
        <v>45903.526018518518</v>
      </c>
      <c r="F1538">
        <v>0</v>
      </c>
    </row>
    <row r="1539" spans="1:6" x14ac:dyDescent="0.2">
      <c r="A1539">
        <v>3690</v>
      </c>
      <c r="B1539" t="s">
        <v>235</v>
      </c>
      <c r="C1539" t="s">
        <v>521</v>
      </c>
      <c r="D1539" t="s">
        <v>593</v>
      </c>
      <c r="E1539" s="16">
        <v>45953.207881944443</v>
      </c>
      <c r="F1539">
        <v>0</v>
      </c>
    </row>
    <row r="1540" spans="1:6" x14ac:dyDescent="0.2">
      <c r="A1540">
        <v>3689</v>
      </c>
      <c r="B1540" t="s">
        <v>288</v>
      </c>
      <c r="C1540" t="s">
        <v>518</v>
      </c>
      <c r="D1540" t="s">
        <v>591</v>
      </c>
      <c r="E1540" s="16">
        <v>45950.771724537037</v>
      </c>
      <c r="F1540">
        <v>0</v>
      </c>
    </row>
    <row r="1541" spans="1:6" x14ac:dyDescent="0.2">
      <c r="A1541">
        <v>3686</v>
      </c>
      <c r="B1541" t="s">
        <v>233</v>
      </c>
      <c r="C1541" t="s">
        <v>449</v>
      </c>
      <c r="D1541" t="s">
        <v>582</v>
      </c>
      <c r="E1541" s="16">
        <v>45953.569062499999</v>
      </c>
      <c r="F1541">
        <v>0</v>
      </c>
    </row>
    <row r="1542" spans="1:6" x14ac:dyDescent="0.2">
      <c r="A1542">
        <v>3199</v>
      </c>
      <c r="B1542" t="s">
        <v>168</v>
      </c>
      <c r="C1542" t="s">
        <v>580</v>
      </c>
      <c r="D1542" t="s">
        <v>584</v>
      </c>
      <c r="E1542" s="16">
        <v>45952.533530092594</v>
      </c>
      <c r="F1542">
        <v>0</v>
      </c>
    </row>
    <row r="1543" spans="1:6" x14ac:dyDescent="0.2">
      <c r="A1543">
        <v>3691</v>
      </c>
      <c r="B1543" t="s">
        <v>300</v>
      </c>
      <c r="C1543" t="s">
        <v>521</v>
      </c>
      <c r="D1543" t="s">
        <v>593</v>
      </c>
      <c r="E1543" s="16">
        <v>45955.134247685186</v>
      </c>
      <c r="F1543">
        <v>0</v>
      </c>
    </row>
    <row r="1544" spans="1:6" x14ac:dyDescent="0.2">
      <c r="A1544">
        <v>3690</v>
      </c>
      <c r="B1544" t="s">
        <v>235</v>
      </c>
      <c r="C1544" t="s">
        <v>521</v>
      </c>
      <c r="D1544" t="s">
        <v>605</v>
      </c>
      <c r="E1544" s="16">
        <v>45953.207881944443</v>
      </c>
      <c r="F1544">
        <v>0</v>
      </c>
    </row>
    <row r="1545" spans="1:6" x14ac:dyDescent="0.2">
      <c r="A1545">
        <v>3645</v>
      </c>
      <c r="B1545" t="s">
        <v>320</v>
      </c>
      <c r="C1545" t="s">
        <v>521</v>
      </c>
      <c r="D1545" t="s">
        <v>593</v>
      </c>
      <c r="E1545" s="16">
        <v>45809.574849537035</v>
      </c>
      <c r="F1545">
        <v>0</v>
      </c>
    </row>
    <row r="1546" spans="1:6" x14ac:dyDescent="0.2">
      <c r="A1546">
        <v>3640</v>
      </c>
      <c r="B1546" t="s">
        <v>248</v>
      </c>
      <c r="C1546" t="s">
        <v>566</v>
      </c>
      <c r="D1546" t="s">
        <v>604</v>
      </c>
      <c r="E1546" s="16">
        <v>45921.86546296296</v>
      </c>
      <c r="F1546">
        <v>0</v>
      </c>
    </row>
    <row r="1547" spans="1:6" x14ac:dyDescent="0.2">
      <c r="A1547">
        <v>3692</v>
      </c>
      <c r="B1547" t="s">
        <v>291</v>
      </c>
      <c r="C1547" t="s">
        <v>449</v>
      </c>
      <c r="D1547" t="s">
        <v>586</v>
      </c>
      <c r="E1547" s="16">
        <v>45962.254699074074</v>
      </c>
      <c r="F1547">
        <v>0</v>
      </c>
    </row>
    <row r="1548" spans="1:6" x14ac:dyDescent="0.2">
      <c r="A1548">
        <v>3640</v>
      </c>
      <c r="B1548" t="s">
        <v>248</v>
      </c>
      <c r="C1548" t="s">
        <v>521</v>
      </c>
      <c r="D1548" t="s">
        <v>605</v>
      </c>
      <c r="E1548" s="16">
        <v>45792.227685185186</v>
      </c>
      <c r="F1548">
        <v>0</v>
      </c>
    </row>
    <row r="1549" spans="1:6" x14ac:dyDescent="0.2">
      <c r="A1549">
        <v>3691</v>
      </c>
      <c r="B1549" t="s">
        <v>300</v>
      </c>
      <c r="C1549" t="s">
        <v>449</v>
      </c>
      <c r="D1549" t="s">
        <v>582</v>
      </c>
      <c r="E1549" s="16">
        <v>45966.474710648145</v>
      </c>
      <c r="F1549">
        <v>0</v>
      </c>
    </row>
    <row r="1550" spans="1:6" x14ac:dyDescent="0.2">
      <c r="A1550">
        <v>3688</v>
      </c>
      <c r="B1550" t="s">
        <v>303</v>
      </c>
      <c r="C1550" t="s">
        <v>521</v>
      </c>
      <c r="D1550" t="s">
        <v>605</v>
      </c>
      <c r="E1550" s="16">
        <v>45949.258333333331</v>
      </c>
      <c r="F1550">
        <v>0</v>
      </c>
    </row>
    <row r="1551" spans="1:6" x14ac:dyDescent="0.2">
      <c r="A1551">
        <v>3694</v>
      </c>
      <c r="B1551" t="s">
        <v>614</v>
      </c>
      <c r="C1551" t="s">
        <v>521</v>
      </c>
      <c r="D1551" t="s">
        <v>593</v>
      </c>
      <c r="E1551" s="16">
        <v>45967.204062500001</v>
      </c>
      <c r="F1551">
        <v>0</v>
      </c>
    </row>
    <row r="1552" spans="1:6" x14ac:dyDescent="0.2">
      <c r="A1552">
        <v>3649</v>
      </c>
      <c r="B1552" t="s">
        <v>312</v>
      </c>
      <c r="C1552" t="s">
        <v>566</v>
      </c>
      <c r="D1552" t="s">
        <v>599</v>
      </c>
      <c r="E1552" s="16">
        <v>45962.247824074075</v>
      </c>
      <c r="F1552">
        <v>0</v>
      </c>
    </row>
    <row r="1553" spans="1:6" x14ac:dyDescent="0.2">
      <c r="A1553">
        <v>3687</v>
      </c>
      <c r="B1553" t="s">
        <v>252</v>
      </c>
      <c r="C1553" t="s">
        <v>521</v>
      </c>
      <c r="D1553" t="s">
        <v>593</v>
      </c>
      <c r="E1553" s="16">
        <v>45946.230856481481</v>
      </c>
      <c r="F1553">
        <v>0</v>
      </c>
    </row>
    <row r="1554" spans="1:6" x14ac:dyDescent="0.2">
      <c r="A1554">
        <v>3649</v>
      </c>
      <c r="B1554" t="s">
        <v>312</v>
      </c>
      <c r="C1554" t="s">
        <v>566</v>
      </c>
      <c r="D1554" t="s">
        <v>604</v>
      </c>
      <c r="E1554" s="16">
        <v>45962.247824074075</v>
      </c>
      <c r="F1554">
        <v>0</v>
      </c>
    </row>
    <row r="1555" spans="1:6" x14ac:dyDescent="0.2">
      <c r="A1555">
        <v>3222</v>
      </c>
      <c r="B1555" t="s">
        <v>87</v>
      </c>
      <c r="C1555" t="s">
        <v>580</v>
      </c>
      <c r="D1555" t="s">
        <v>588</v>
      </c>
      <c r="E1555" s="16">
        <v>45683.567037037035</v>
      </c>
      <c r="F1555">
        <v>0</v>
      </c>
    </row>
    <row r="1556" spans="1:6" x14ac:dyDescent="0.2">
      <c r="A1556">
        <v>3692</v>
      </c>
      <c r="B1556" t="s">
        <v>291</v>
      </c>
      <c r="C1556" t="s">
        <v>518</v>
      </c>
      <c r="D1556" t="s">
        <v>591</v>
      </c>
      <c r="E1556" s="16">
        <v>45962.254699074074</v>
      </c>
      <c r="F1556">
        <v>0</v>
      </c>
    </row>
    <row r="1557" spans="1:6" x14ac:dyDescent="0.2">
      <c r="A1557">
        <v>3592</v>
      </c>
      <c r="B1557" t="s">
        <v>272</v>
      </c>
      <c r="C1557" t="s">
        <v>521</v>
      </c>
      <c r="D1557" t="s">
        <v>593</v>
      </c>
      <c r="E1557" s="16">
        <v>45714.745752314811</v>
      </c>
      <c r="F1557">
        <v>0</v>
      </c>
    </row>
    <row r="1558" spans="1:6" x14ac:dyDescent="0.2">
      <c r="A1558">
        <v>3693</v>
      </c>
      <c r="B1558" t="s">
        <v>271</v>
      </c>
      <c r="C1558" t="s">
        <v>521</v>
      </c>
      <c r="D1558" t="s">
        <v>605</v>
      </c>
      <c r="E1558" s="16">
        <v>45962.257106481484</v>
      </c>
      <c r="F1558">
        <v>0</v>
      </c>
    </row>
    <row r="1559" spans="1:6" x14ac:dyDescent="0.2">
      <c r="A1559">
        <v>3592</v>
      </c>
      <c r="B1559" t="s">
        <v>272</v>
      </c>
      <c r="C1559" t="s">
        <v>449</v>
      </c>
      <c r="D1559" t="s">
        <v>586</v>
      </c>
      <c r="E1559" s="16">
        <v>45726.366828703707</v>
      </c>
      <c r="F1559">
        <v>0</v>
      </c>
    </row>
    <row r="1560" spans="1:6" x14ac:dyDescent="0.2">
      <c r="A1560">
        <v>3691</v>
      </c>
      <c r="B1560" t="s">
        <v>300</v>
      </c>
      <c r="C1560" t="s">
        <v>449</v>
      </c>
      <c r="D1560" t="s">
        <v>590</v>
      </c>
      <c r="E1560" s="16">
        <v>45966.474710648145</v>
      </c>
      <c r="F1560">
        <v>0</v>
      </c>
    </row>
    <row r="1561" spans="1:6" x14ac:dyDescent="0.2">
      <c r="A1561">
        <v>3562</v>
      </c>
      <c r="B1561" t="s">
        <v>49</v>
      </c>
      <c r="C1561" t="s">
        <v>521</v>
      </c>
      <c r="D1561" t="s">
        <v>593</v>
      </c>
      <c r="E1561" s="16">
        <v>45663.721226851849</v>
      </c>
      <c r="F1561">
        <v>0</v>
      </c>
    </row>
    <row r="1562" spans="1:6" x14ac:dyDescent="0.2">
      <c r="A1562">
        <v>3694</v>
      </c>
      <c r="B1562" t="s">
        <v>614</v>
      </c>
      <c r="C1562" t="s">
        <v>521</v>
      </c>
      <c r="D1562" t="s">
        <v>605</v>
      </c>
      <c r="E1562" s="16">
        <v>45967.204062500001</v>
      </c>
      <c r="F1562">
        <v>0</v>
      </c>
    </row>
    <row r="1563" spans="1:6" x14ac:dyDescent="0.2">
      <c r="A1563">
        <v>3597</v>
      </c>
      <c r="B1563" t="s">
        <v>319</v>
      </c>
      <c r="C1563" t="s">
        <v>449</v>
      </c>
      <c r="D1563" t="s">
        <v>582</v>
      </c>
      <c r="E1563" s="16">
        <v>45740.318032407406</v>
      </c>
      <c r="F1563">
        <v>0</v>
      </c>
    </row>
    <row r="1564" spans="1:6" x14ac:dyDescent="0.2">
      <c r="A1564">
        <v>3695</v>
      </c>
      <c r="B1564" t="s">
        <v>615</v>
      </c>
      <c r="C1564" t="s">
        <v>521</v>
      </c>
      <c r="D1564" t="s">
        <v>605</v>
      </c>
      <c r="E1564" s="16">
        <v>45967.206828703704</v>
      </c>
      <c r="F1564">
        <v>0</v>
      </c>
    </row>
    <row r="1565" spans="1:6" x14ac:dyDescent="0.2">
      <c r="A1565">
        <v>3597</v>
      </c>
      <c r="B1565" t="s">
        <v>319</v>
      </c>
      <c r="C1565" t="s">
        <v>521</v>
      </c>
      <c r="D1565" t="s">
        <v>593</v>
      </c>
      <c r="E1565" s="16">
        <v>45734.227384259262</v>
      </c>
      <c r="F1565">
        <v>0</v>
      </c>
    </row>
    <row r="1566" spans="1:6" x14ac:dyDescent="0.2">
      <c r="A1566">
        <v>3687</v>
      </c>
      <c r="B1566" t="s">
        <v>252</v>
      </c>
      <c r="C1566" t="s">
        <v>521</v>
      </c>
      <c r="D1566" t="s">
        <v>605</v>
      </c>
      <c r="E1566" s="16">
        <v>45946.230856481481</v>
      </c>
      <c r="F1566">
        <v>0</v>
      </c>
    </row>
    <row r="1567" spans="1:6" x14ac:dyDescent="0.2">
      <c r="A1567">
        <v>3599</v>
      </c>
      <c r="B1567" t="s">
        <v>281</v>
      </c>
      <c r="C1567" t="s">
        <v>449</v>
      </c>
      <c r="D1567" t="s">
        <v>582</v>
      </c>
      <c r="E1567" s="16">
        <v>45741.483738425923</v>
      </c>
      <c r="F1567">
        <v>0</v>
      </c>
    </row>
    <row r="1568" spans="1:6" x14ac:dyDescent="0.2">
      <c r="A1568">
        <v>3687</v>
      </c>
      <c r="B1568" t="s">
        <v>252</v>
      </c>
      <c r="C1568" t="s">
        <v>449</v>
      </c>
      <c r="D1568" t="s">
        <v>590</v>
      </c>
      <c r="E1568" s="16">
        <v>45967.680914351855</v>
      </c>
      <c r="F1568">
        <v>0</v>
      </c>
    </row>
    <row r="1569" spans="1:6" x14ac:dyDescent="0.2">
      <c r="A1569">
        <v>3564</v>
      </c>
      <c r="B1569" t="s">
        <v>84</v>
      </c>
      <c r="C1569" t="s">
        <v>521</v>
      </c>
      <c r="D1569" t="s">
        <v>593</v>
      </c>
      <c r="E1569" s="16">
        <v>45668.202303240738</v>
      </c>
      <c r="F1569">
        <v>0</v>
      </c>
    </row>
    <row r="1570" spans="1:6" x14ac:dyDescent="0.2">
      <c r="A1570">
        <v>3697</v>
      </c>
      <c r="B1570" t="s">
        <v>616</v>
      </c>
      <c r="C1570" t="s">
        <v>521</v>
      </c>
      <c r="D1570" t="s">
        <v>605</v>
      </c>
      <c r="E1570" s="16">
        <v>45972.297453703701</v>
      </c>
      <c r="F1570">
        <v>0</v>
      </c>
    </row>
    <row r="1571" spans="1:6" x14ac:dyDescent="0.2">
      <c r="A1571">
        <v>3615</v>
      </c>
      <c r="B1571" t="s">
        <v>236</v>
      </c>
      <c r="C1571" t="s">
        <v>521</v>
      </c>
      <c r="D1571" t="s">
        <v>593</v>
      </c>
      <c r="E1571" s="16">
        <v>45756.323969907404</v>
      </c>
      <c r="F1571">
        <v>0</v>
      </c>
    </row>
    <row r="1572" spans="1:6" x14ac:dyDescent="0.2">
      <c r="A1572">
        <v>2421</v>
      </c>
      <c r="B1572" t="s">
        <v>18</v>
      </c>
      <c r="C1572" t="s">
        <v>521</v>
      </c>
      <c r="D1572" t="s">
        <v>609</v>
      </c>
      <c r="E1572" s="16">
        <v>45628.617986111109</v>
      </c>
      <c r="F1572">
        <v>0</v>
      </c>
    </row>
    <row r="1573" spans="1:6" x14ac:dyDescent="0.2">
      <c r="A1573">
        <v>3606</v>
      </c>
      <c r="B1573" t="s">
        <v>265</v>
      </c>
      <c r="C1573" t="s">
        <v>521</v>
      </c>
      <c r="D1573" t="s">
        <v>593</v>
      </c>
      <c r="E1573" s="16">
        <v>45747.736527777779</v>
      </c>
      <c r="F1573">
        <v>0</v>
      </c>
    </row>
    <row r="1574" spans="1:6" x14ac:dyDescent="0.2">
      <c r="A1574">
        <v>3544</v>
      </c>
      <c r="B1574" t="s">
        <v>15</v>
      </c>
      <c r="C1574" t="s">
        <v>566</v>
      </c>
      <c r="D1574" t="s">
        <v>604</v>
      </c>
      <c r="E1574" s="16">
        <v>45639.772141203706</v>
      </c>
      <c r="F1574">
        <v>0</v>
      </c>
    </row>
    <row r="1575" spans="1:6" x14ac:dyDescent="0.2">
      <c r="A1575">
        <v>3614</v>
      </c>
      <c r="B1575" t="s">
        <v>217</v>
      </c>
      <c r="C1575" t="s">
        <v>580</v>
      </c>
      <c r="D1575" t="s">
        <v>588</v>
      </c>
      <c r="E1575" s="16">
        <v>45763.364895833336</v>
      </c>
      <c r="F1575">
        <v>0</v>
      </c>
    </row>
    <row r="1576" spans="1:6" x14ac:dyDescent="0.2">
      <c r="A1576">
        <v>3546</v>
      </c>
      <c r="B1576" t="s">
        <v>144</v>
      </c>
      <c r="C1576" t="s">
        <v>438</v>
      </c>
      <c r="D1576" t="s">
        <v>598</v>
      </c>
      <c r="E1576" s="16">
        <v>45673.497858796298</v>
      </c>
      <c r="F1576">
        <v>0</v>
      </c>
    </row>
    <row r="1577" spans="1:6" x14ac:dyDescent="0.2">
      <c r="A1577">
        <v>3626</v>
      </c>
      <c r="B1577" t="s">
        <v>316</v>
      </c>
      <c r="C1577" t="s">
        <v>521</v>
      </c>
      <c r="D1577" t="s">
        <v>593</v>
      </c>
      <c r="E1577" s="16">
        <v>45773.710902777777</v>
      </c>
      <c r="F1577">
        <v>0</v>
      </c>
    </row>
    <row r="1578" spans="1:6" x14ac:dyDescent="0.2">
      <c r="A1578">
        <v>3222</v>
      </c>
      <c r="B1578" t="s">
        <v>87</v>
      </c>
      <c r="C1578" t="s">
        <v>580</v>
      </c>
      <c r="D1578" t="s">
        <v>589</v>
      </c>
      <c r="E1578" s="16">
        <v>45683.567037037035</v>
      </c>
      <c r="F1578">
        <v>0</v>
      </c>
    </row>
    <row r="1579" spans="1:6" x14ac:dyDescent="0.2">
      <c r="A1579">
        <v>3584</v>
      </c>
      <c r="B1579" t="s">
        <v>57</v>
      </c>
      <c r="C1579" t="s">
        <v>521</v>
      </c>
      <c r="D1579" t="s">
        <v>593</v>
      </c>
      <c r="E1579" s="16">
        <v>45817.315358796295</v>
      </c>
      <c r="F1579">
        <v>0</v>
      </c>
    </row>
    <row r="1580" spans="1:6" x14ac:dyDescent="0.2">
      <c r="A1580">
        <v>3589</v>
      </c>
      <c r="B1580" t="s">
        <v>301</v>
      </c>
      <c r="C1580" t="s">
        <v>449</v>
      </c>
      <c r="D1580" t="s">
        <v>590</v>
      </c>
      <c r="E1580" s="16">
        <v>45720.640740740739</v>
      </c>
      <c r="F1580">
        <v>0</v>
      </c>
    </row>
    <row r="1581" spans="1:6" x14ac:dyDescent="0.2">
      <c r="A1581">
        <v>3621</v>
      </c>
      <c r="B1581" t="s">
        <v>263</v>
      </c>
      <c r="C1581" t="s">
        <v>521</v>
      </c>
      <c r="D1581" t="s">
        <v>593</v>
      </c>
      <c r="E1581" s="16">
        <v>45766.265474537038</v>
      </c>
      <c r="F1581">
        <v>0</v>
      </c>
    </row>
    <row r="1582" spans="1:6" x14ac:dyDescent="0.2">
      <c r="A1582">
        <v>3256</v>
      </c>
      <c r="B1582" t="s">
        <v>119</v>
      </c>
      <c r="C1582" t="s">
        <v>518</v>
      </c>
      <c r="D1582" t="s">
        <v>591</v>
      </c>
      <c r="E1582" s="16">
        <v>45727.767928240741</v>
      </c>
      <c r="F1582">
        <v>0</v>
      </c>
    </row>
    <row r="1583" spans="1:6" x14ac:dyDescent="0.2">
      <c r="A1583">
        <v>3632</v>
      </c>
      <c r="B1583" t="s">
        <v>238</v>
      </c>
      <c r="C1583" t="s">
        <v>580</v>
      </c>
      <c r="D1583" t="s">
        <v>588</v>
      </c>
      <c r="E1583" s="16">
        <v>45823.784537037034</v>
      </c>
      <c r="F1583">
        <v>0</v>
      </c>
    </row>
    <row r="1584" spans="1:6" x14ac:dyDescent="0.2">
      <c r="A1584">
        <v>3597</v>
      </c>
      <c r="B1584" t="s">
        <v>319</v>
      </c>
      <c r="C1584" t="s">
        <v>521</v>
      </c>
      <c r="D1584" t="s">
        <v>605</v>
      </c>
      <c r="E1584" s="16">
        <v>45734.227384259262</v>
      </c>
      <c r="F1584">
        <v>0</v>
      </c>
    </row>
    <row r="1585" spans="1:6" x14ac:dyDescent="0.2">
      <c r="A1585">
        <v>3600</v>
      </c>
      <c r="B1585" t="s">
        <v>258</v>
      </c>
      <c r="C1585" t="s">
        <v>449</v>
      </c>
      <c r="D1585" t="s">
        <v>582</v>
      </c>
      <c r="E1585" s="16">
        <v>45748.530057870368</v>
      </c>
      <c r="F1585">
        <v>0</v>
      </c>
    </row>
    <row r="1586" spans="1:6" x14ac:dyDescent="0.2">
      <c r="A1586">
        <v>3564</v>
      </c>
      <c r="B1586" t="s">
        <v>84</v>
      </c>
      <c r="C1586" t="s">
        <v>438</v>
      </c>
      <c r="D1586" t="s">
        <v>598</v>
      </c>
      <c r="E1586" s="16">
        <v>45695.286828703705</v>
      </c>
      <c r="F1586">
        <v>0</v>
      </c>
    </row>
    <row r="1587" spans="1:6" x14ac:dyDescent="0.2">
      <c r="A1587">
        <v>3644</v>
      </c>
      <c r="B1587" t="s">
        <v>299</v>
      </c>
      <c r="C1587" t="s">
        <v>521</v>
      </c>
      <c r="D1587" t="s">
        <v>593</v>
      </c>
      <c r="E1587" s="16">
        <v>45807.253159722219</v>
      </c>
      <c r="F1587">
        <v>0</v>
      </c>
    </row>
    <row r="1588" spans="1:6" x14ac:dyDescent="0.2">
      <c r="A1588">
        <v>3316</v>
      </c>
      <c r="B1588" t="s">
        <v>179</v>
      </c>
      <c r="C1588" t="s">
        <v>580</v>
      </c>
      <c r="D1588" t="s">
        <v>581</v>
      </c>
      <c r="E1588" s="16">
        <v>45606.60864583333</v>
      </c>
      <c r="F1588">
        <v>0</v>
      </c>
    </row>
    <row r="1589" spans="1:6" x14ac:dyDescent="0.2">
      <c r="A1589">
        <v>3644</v>
      </c>
      <c r="B1589" t="s">
        <v>299</v>
      </c>
      <c r="C1589" t="s">
        <v>449</v>
      </c>
      <c r="D1589" t="s">
        <v>582</v>
      </c>
      <c r="E1589" s="16">
        <v>45825.514004629629</v>
      </c>
      <c r="F1589">
        <v>0</v>
      </c>
    </row>
    <row r="1590" spans="1:6" x14ac:dyDescent="0.2">
      <c r="A1590">
        <v>3614</v>
      </c>
      <c r="B1590" t="s">
        <v>217</v>
      </c>
      <c r="C1590" t="s">
        <v>521</v>
      </c>
      <c r="D1590" t="s">
        <v>605</v>
      </c>
      <c r="E1590" s="16">
        <v>45756.317743055559</v>
      </c>
      <c r="F1590">
        <v>0</v>
      </c>
    </row>
    <row r="1591" spans="1:6" x14ac:dyDescent="0.2">
      <c r="A1591">
        <v>3605</v>
      </c>
      <c r="B1591" t="s">
        <v>268</v>
      </c>
      <c r="C1591" t="s">
        <v>521</v>
      </c>
      <c r="D1591" t="s">
        <v>593</v>
      </c>
      <c r="E1591" s="16">
        <v>45745.247511574074</v>
      </c>
      <c r="F1591">
        <v>0</v>
      </c>
    </row>
    <row r="1592" spans="1:6" x14ac:dyDescent="0.2">
      <c r="A1592">
        <v>3614</v>
      </c>
      <c r="B1592" t="s">
        <v>217</v>
      </c>
      <c r="C1592" t="s">
        <v>449</v>
      </c>
      <c r="D1592" t="s">
        <v>590</v>
      </c>
      <c r="E1592" s="16">
        <v>45763.364895833336</v>
      </c>
      <c r="F1592">
        <v>0</v>
      </c>
    </row>
    <row r="1593" spans="1:6" x14ac:dyDescent="0.2">
      <c r="A1593">
        <v>3665</v>
      </c>
      <c r="B1593" t="s">
        <v>222</v>
      </c>
      <c r="C1593" t="s">
        <v>521</v>
      </c>
      <c r="D1593" t="s">
        <v>593</v>
      </c>
      <c r="E1593" s="16">
        <v>45875.514016203706</v>
      </c>
      <c r="F1593">
        <v>0</v>
      </c>
    </row>
    <row r="1594" spans="1:6" x14ac:dyDescent="0.2">
      <c r="A1594">
        <v>3614</v>
      </c>
      <c r="B1594" t="s">
        <v>217</v>
      </c>
      <c r="C1594" t="s">
        <v>518</v>
      </c>
      <c r="D1594" t="s">
        <v>591</v>
      </c>
      <c r="E1594" s="16">
        <v>45763.364895833336</v>
      </c>
      <c r="F1594">
        <v>0</v>
      </c>
    </row>
    <row r="1595" spans="1:6" x14ac:dyDescent="0.2">
      <c r="A1595">
        <v>3672</v>
      </c>
      <c r="B1595" t="s">
        <v>323</v>
      </c>
      <c r="C1595" t="s">
        <v>521</v>
      </c>
      <c r="D1595" t="s">
        <v>593</v>
      </c>
      <c r="E1595" s="16">
        <v>45892.797662037039</v>
      </c>
      <c r="F1595">
        <v>0</v>
      </c>
    </row>
    <row r="1596" spans="1:6" x14ac:dyDescent="0.2">
      <c r="A1596">
        <v>3626</v>
      </c>
      <c r="B1596" t="s">
        <v>316</v>
      </c>
      <c r="C1596" t="s">
        <v>521</v>
      </c>
      <c r="D1596" t="s">
        <v>605</v>
      </c>
      <c r="E1596" s="16">
        <v>45773.710902777777</v>
      </c>
      <c r="F1596">
        <v>0</v>
      </c>
    </row>
    <row r="1597" spans="1:6" x14ac:dyDescent="0.2">
      <c r="A1597">
        <v>3323</v>
      </c>
      <c r="B1597" t="s">
        <v>158</v>
      </c>
      <c r="C1597" t="s">
        <v>580</v>
      </c>
      <c r="D1597" t="s">
        <v>588</v>
      </c>
      <c r="E1597" s="16">
        <v>45895.677094907405</v>
      </c>
      <c r="F1597">
        <v>0</v>
      </c>
    </row>
    <row r="1598" spans="1:6" x14ac:dyDescent="0.2">
      <c r="A1598">
        <v>3562</v>
      </c>
      <c r="B1598" t="s">
        <v>49</v>
      </c>
      <c r="C1598" t="s">
        <v>566</v>
      </c>
      <c r="D1598" t="s">
        <v>604</v>
      </c>
      <c r="E1598" s="16">
        <v>45795.671678240738</v>
      </c>
      <c r="F1598">
        <v>0</v>
      </c>
    </row>
    <row r="1599" spans="1:6" x14ac:dyDescent="0.2">
      <c r="A1599">
        <v>3583</v>
      </c>
      <c r="B1599" t="s">
        <v>97</v>
      </c>
      <c r="C1599" t="s">
        <v>449</v>
      </c>
      <c r="D1599" t="s">
        <v>586</v>
      </c>
      <c r="E1599" s="16">
        <v>45709.526331018518</v>
      </c>
      <c r="F1599">
        <v>0</v>
      </c>
    </row>
    <row r="1600" spans="1:6" x14ac:dyDescent="0.2">
      <c r="A1600">
        <v>3268</v>
      </c>
      <c r="B1600" t="s">
        <v>90</v>
      </c>
      <c r="C1600" t="s">
        <v>521</v>
      </c>
      <c r="D1600" t="s">
        <v>609</v>
      </c>
      <c r="E1600" s="16">
        <v>45804.340266203704</v>
      </c>
      <c r="F1600">
        <v>0</v>
      </c>
    </row>
    <row r="1601" spans="1:6" x14ac:dyDescent="0.2">
      <c r="A1601">
        <v>3648</v>
      </c>
      <c r="B1601" t="s">
        <v>261</v>
      </c>
      <c r="C1601" t="s">
        <v>449</v>
      </c>
      <c r="D1601" t="s">
        <v>582</v>
      </c>
      <c r="E1601" s="16">
        <v>45846.46597222222</v>
      </c>
      <c r="F1601">
        <v>0</v>
      </c>
    </row>
    <row r="1602" spans="1:6" x14ac:dyDescent="0.2">
      <c r="A1602">
        <v>3632</v>
      </c>
      <c r="B1602" t="s">
        <v>238</v>
      </c>
      <c r="C1602" t="s">
        <v>438</v>
      </c>
      <c r="D1602" t="s">
        <v>598</v>
      </c>
      <c r="E1602" s="16">
        <v>45793.41778935185</v>
      </c>
      <c r="F1602">
        <v>0</v>
      </c>
    </row>
    <row r="1603" spans="1:6" x14ac:dyDescent="0.2">
      <c r="A1603">
        <v>3626</v>
      </c>
      <c r="B1603" t="s">
        <v>316</v>
      </c>
      <c r="C1603" t="s">
        <v>580</v>
      </c>
      <c r="D1603" t="s">
        <v>588</v>
      </c>
      <c r="E1603" s="16">
        <v>45900.704155092593</v>
      </c>
      <c r="F1603">
        <v>0</v>
      </c>
    </row>
    <row r="1604" spans="1:6" x14ac:dyDescent="0.2">
      <c r="A1604">
        <v>3579</v>
      </c>
      <c r="B1604" t="s">
        <v>193</v>
      </c>
      <c r="C1604" t="s">
        <v>566</v>
      </c>
      <c r="D1604" t="s">
        <v>599</v>
      </c>
      <c r="E1604" s="16">
        <v>45809.603159722225</v>
      </c>
      <c r="F1604">
        <v>0</v>
      </c>
    </row>
    <row r="1605" spans="1:6" x14ac:dyDescent="0.2">
      <c r="A1605">
        <v>3609</v>
      </c>
      <c r="B1605" t="s">
        <v>245</v>
      </c>
      <c r="C1605" t="s">
        <v>449</v>
      </c>
      <c r="D1605" t="s">
        <v>582</v>
      </c>
      <c r="E1605" s="16">
        <v>45763.389965277776</v>
      </c>
      <c r="F1605">
        <v>0</v>
      </c>
    </row>
    <row r="1606" spans="1:6" x14ac:dyDescent="0.2">
      <c r="A1606">
        <v>3582</v>
      </c>
      <c r="B1606" t="s">
        <v>211</v>
      </c>
      <c r="C1606" t="s">
        <v>580</v>
      </c>
      <c r="D1606" t="s">
        <v>589</v>
      </c>
      <c r="E1606" s="16">
        <v>45707.577060185184</v>
      </c>
      <c r="F1606">
        <v>0</v>
      </c>
    </row>
    <row r="1607" spans="1:6" x14ac:dyDescent="0.2">
      <c r="A1607">
        <v>3609</v>
      </c>
      <c r="B1607" t="s">
        <v>245</v>
      </c>
      <c r="C1607" t="s">
        <v>580</v>
      </c>
      <c r="D1607" t="s">
        <v>588</v>
      </c>
      <c r="E1607" s="16">
        <v>45762.702604166669</v>
      </c>
      <c r="F1607">
        <v>0</v>
      </c>
    </row>
    <row r="1608" spans="1:6" x14ac:dyDescent="0.2">
      <c r="A1608">
        <v>918</v>
      </c>
      <c r="B1608" t="s">
        <v>50</v>
      </c>
      <c r="C1608" t="s">
        <v>518</v>
      </c>
      <c r="D1608" t="s">
        <v>591</v>
      </c>
      <c r="E1608" s="16">
        <v>45817.755231481482</v>
      </c>
      <c r="F1608">
        <v>0</v>
      </c>
    </row>
    <row r="1609" spans="1:6" x14ac:dyDescent="0.2">
      <c r="A1609">
        <v>3674</v>
      </c>
      <c r="B1609" t="s">
        <v>292</v>
      </c>
      <c r="C1609" t="s">
        <v>449</v>
      </c>
      <c r="D1609" t="s">
        <v>582</v>
      </c>
      <c r="E1609" s="16">
        <v>45902.531527777777</v>
      </c>
      <c r="F1609">
        <v>0</v>
      </c>
    </row>
    <row r="1610" spans="1:6" x14ac:dyDescent="0.2">
      <c r="A1610">
        <v>3632</v>
      </c>
      <c r="B1610" t="s">
        <v>238</v>
      </c>
      <c r="C1610" t="s">
        <v>580</v>
      </c>
      <c r="D1610" t="s">
        <v>581</v>
      </c>
      <c r="E1610" s="16">
        <v>45823.784537037034</v>
      </c>
      <c r="F1610">
        <v>0</v>
      </c>
    </row>
    <row r="1611" spans="1:6" x14ac:dyDescent="0.2">
      <c r="A1611">
        <v>3585</v>
      </c>
      <c r="B1611" t="s">
        <v>314</v>
      </c>
      <c r="C1611" t="s">
        <v>449</v>
      </c>
      <c r="D1611" t="s">
        <v>586</v>
      </c>
      <c r="E1611" s="16">
        <v>45715.610011574077</v>
      </c>
      <c r="F1611">
        <v>0</v>
      </c>
    </row>
    <row r="1612" spans="1:6" x14ac:dyDescent="0.2">
      <c r="A1612">
        <v>3610</v>
      </c>
      <c r="B1612" t="s">
        <v>305</v>
      </c>
      <c r="C1612" t="s">
        <v>521</v>
      </c>
      <c r="D1612" t="s">
        <v>605</v>
      </c>
      <c r="E1612" s="16">
        <v>45750.273263888892</v>
      </c>
      <c r="F1612">
        <v>0</v>
      </c>
    </row>
    <row r="1613" spans="1:6" x14ac:dyDescent="0.2">
      <c r="A1613">
        <v>3656</v>
      </c>
      <c r="B1613" t="s">
        <v>259</v>
      </c>
      <c r="C1613" t="s">
        <v>521</v>
      </c>
      <c r="D1613" t="s">
        <v>593</v>
      </c>
      <c r="E1613" s="16">
        <v>45857.830833333333</v>
      </c>
      <c r="F1613">
        <v>0</v>
      </c>
    </row>
    <row r="1614" spans="1:6" x14ac:dyDescent="0.2">
      <c r="A1614">
        <v>3599</v>
      </c>
      <c r="B1614" t="s">
        <v>281</v>
      </c>
      <c r="C1614" t="s">
        <v>566</v>
      </c>
      <c r="D1614" t="s">
        <v>599</v>
      </c>
      <c r="E1614" s="16">
        <v>45851.266423611109</v>
      </c>
      <c r="F1614">
        <v>0</v>
      </c>
    </row>
    <row r="1615" spans="1:6" x14ac:dyDescent="0.2">
      <c r="A1615">
        <v>3656</v>
      </c>
      <c r="B1615" t="s">
        <v>259</v>
      </c>
      <c r="C1615" t="s">
        <v>449</v>
      </c>
      <c r="D1615" t="s">
        <v>582</v>
      </c>
      <c r="E1615" s="16">
        <v>45889.529537037037</v>
      </c>
      <c r="F1615">
        <v>0</v>
      </c>
    </row>
    <row r="1616" spans="1:6" x14ac:dyDescent="0.2">
      <c r="A1616">
        <v>3592</v>
      </c>
      <c r="B1616" t="s">
        <v>272</v>
      </c>
      <c r="C1616" t="s">
        <v>566</v>
      </c>
      <c r="D1616" t="s">
        <v>599</v>
      </c>
      <c r="E1616" s="16">
        <v>45853.296064814815</v>
      </c>
      <c r="F1616">
        <v>0</v>
      </c>
    </row>
    <row r="1617" spans="1:6" x14ac:dyDescent="0.2">
      <c r="A1617">
        <v>3562</v>
      </c>
      <c r="B1617" t="s">
        <v>49</v>
      </c>
      <c r="C1617" t="s">
        <v>449</v>
      </c>
      <c r="D1617" t="s">
        <v>582</v>
      </c>
      <c r="E1617" s="16">
        <v>45912.585775462961</v>
      </c>
      <c r="F1617">
        <v>0</v>
      </c>
    </row>
    <row r="1618" spans="1:6" x14ac:dyDescent="0.2">
      <c r="A1618">
        <v>3600</v>
      </c>
      <c r="B1618" t="s">
        <v>258</v>
      </c>
      <c r="C1618" t="s">
        <v>566</v>
      </c>
      <c r="D1618" t="s">
        <v>599</v>
      </c>
      <c r="E1618" s="16">
        <v>45864.26972222222</v>
      </c>
      <c r="F1618">
        <v>0</v>
      </c>
    </row>
    <row r="1619" spans="1:6" x14ac:dyDescent="0.2">
      <c r="A1619">
        <v>3678</v>
      </c>
      <c r="B1619" t="s">
        <v>295</v>
      </c>
      <c r="C1619" t="s">
        <v>449</v>
      </c>
      <c r="D1619" t="s">
        <v>582</v>
      </c>
      <c r="E1619" s="16">
        <v>45916.349675925929</v>
      </c>
      <c r="F1619">
        <v>0</v>
      </c>
    </row>
    <row r="1620" spans="1:6" x14ac:dyDescent="0.2">
      <c r="A1620">
        <v>3597</v>
      </c>
      <c r="B1620" t="s">
        <v>319</v>
      </c>
      <c r="C1620" t="s">
        <v>566</v>
      </c>
      <c r="D1620" t="s">
        <v>599</v>
      </c>
      <c r="E1620" s="16">
        <v>45864.268055555556</v>
      </c>
      <c r="F1620">
        <v>0</v>
      </c>
    </row>
    <row r="1621" spans="1:6" x14ac:dyDescent="0.2">
      <c r="A1621">
        <v>3624</v>
      </c>
      <c r="B1621" t="s">
        <v>302</v>
      </c>
      <c r="C1621" t="s">
        <v>521</v>
      </c>
      <c r="D1621" t="s">
        <v>593</v>
      </c>
      <c r="E1621" s="16">
        <v>45773.703344907408</v>
      </c>
      <c r="F1621">
        <v>0</v>
      </c>
    </row>
    <row r="1622" spans="1:6" x14ac:dyDescent="0.2">
      <c r="A1622">
        <v>3660</v>
      </c>
      <c r="B1622" t="s">
        <v>285</v>
      </c>
      <c r="C1622" t="s">
        <v>521</v>
      </c>
      <c r="D1622" t="s">
        <v>605</v>
      </c>
      <c r="E1622" s="16">
        <v>45874.465439814812</v>
      </c>
      <c r="F1622">
        <v>0</v>
      </c>
    </row>
    <row r="1623" spans="1:6" x14ac:dyDescent="0.2">
      <c r="A1623">
        <v>3681</v>
      </c>
      <c r="B1623" t="s">
        <v>289</v>
      </c>
      <c r="C1623" t="s">
        <v>521</v>
      </c>
      <c r="D1623" t="s">
        <v>593</v>
      </c>
      <c r="E1623" s="16">
        <v>45919.730474537035</v>
      </c>
      <c r="F1623">
        <v>0</v>
      </c>
    </row>
    <row r="1624" spans="1:6" x14ac:dyDescent="0.2">
      <c r="A1624">
        <v>3606</v>
      </c>
      <c r="B1624" t="s">
        <v>265</v>
      </c>
      <c r="C1624" t="s">
        <v>566</v>
      </c>
      <c r="D1624" t="s">
        <v>604</v>
      </c>
      <c r="E1624" s="16">
        <v>45878.303993055553</v>
      </c>
      <c r="F1624">
        <v>0</v>
      </c>
    </row>
    <row r="1625" spans="1:6" x14ac:dyDescent="0.2">
      <c r="A1625">
        <v>2780</v>
      </c>
      <c r="B1625" t="s">
        <v>71</v>
      </c>
      <c r="C1625" t="s">
        <v>580</v>
      </c>
      <c r="D1625" t="s">
        <v>587</v>
      </c>
      <c r="E1625" s="16">
        <v>45924.377592592595</v>
      </c>
      <c r="F1625">
        <v>0</v>
      </c>
    </row>
    <row r="1626" spans="1:6" x14ac:dyDescent="0.2">
      <c r="A1626">
        <v>3621</v>
      </c>
      <c r="B1626" t="s">
        <v>263</v>
      </c>
      <c r="C1626" t="s">
        <v>566</v>
      </c>
      <c r="D1626" t="s">
        <v>599</v>
      </c>
      <c r="E1626" s="16">
        <v>45878.315416666665</v>
      </c>
      <c r="F1626">
        <v>0</v>
      </c>
    </row>
    <row r="1627" spans="1:6" x14ac:dyDescent="0.2">
      <c r="A1627">
        <v>3686</v>
      </c>
      <c r="B1627" t="s">
        <v>233</v>
      </c>
      <c r="C1627" t="s">
        <v>521</v>
      </c>
      <c r="D1627" t="s">
        <v>593</v>
      </c>
      <c r="E1627" s="16">
        <v>45944.226261574076</v>
      </c>
      <c r="F1627">
        <v>0</v>
      </c>
    </row>
    <row r="1628" spans="1:6" x14ac:dyDescent="0.2">
      <c r="A1628">
        <v>3605</v>
      </c>
      <c r="B1628" t="s">
        <v>268</v>
      </c>
      <c r="C1628" t="s">
        <v>566</v>
      </c>
      <c r="D1628" t="s">
        <v>604</v>
      </c>
      <c r="E1628" s="16">
        <v>45878.302881944444</v>
      </c>
      <c r="F1628">
        <v>0</v>
      </c>
    </row>
    <row r="1629" spans="1:6" x14ac:dyDescent="0.2">
      <c r="A1629">
        <v>3677</v>
      </c>
      <c r="B1629" t="s">
        <v>283</v>
      </c>
      <c r="C1629" t="s">
        <v>518</v>
      </c>
      <c r="D1629" t="s">
        <v>595</v>
      </c>
      <c r="E1629" s="16">
        <v>45904.247858796298</v>
      </c>
      <c r="F1629">
        <v>0</v>
      </c>
    </row>
    <row r="1630" spans="1:6" x14ac:dyDescent="0.2">
      <c r="A1630">
        <v>3534</v>
      </c>
      <c r="B1630" t="s">
        <v>95</v>
      </c>
      <c r="C1630" t="s">
        <v>566</v>
      </c>
      <c r="D1630" t="s">
        <v>599</v>
      </c>
      <c r="E1630" s="16">
        <v>45625.295543981483</v>
      </c>
      <c r="F1630">
        <v>0</v>
      </c>
    </row>
    <row r="1631" spans="1:6" x14ac:dyDescent="0.2">
      <c r="A1631">
        <v>3677</v>
      </c>
      <c r="B1631" t="s">
        <v>283</v>
      </c>
      <c r="C1631" t="s">
        <v>580</v>
      </c>
      <c r="D1631" t="s">
        <v>588</v>
      </c>
      <c r="E1631" s="16">
        <v>45925.319027777776</v>
      </c>
      <c r="F1631">
        <v>0</v>
      </c>
    </row>
    <row r="1632" spans="1:6" x14ac:dyDescent="0.2">
      <c r="A1632">
        <v>3664</v>
      </c>
      <c r="B1632" t="s">
        <v>313</v>
      </c>
      <c r="C1632" t="s">
        <v>449</v>
      </c>
      <c r="D1632" t="s">
        <v>590</v>
      </c>
      <c r="E1632" s="16">
        <v>45883.572152777779</v>
      </c>
      <c r="F1632">
        <v>0</v>
      </c>
    </row>
    <row r="1633" spans="1:6" x14ac:dyDescent="0.2">
      <c r="A1633">
        <v>3689</v>
      </c>
      <c r="B1633" t="s">
        <v>288</v>
      </c>
      <c r="C1633" t="s">
        <v>449</v>
      </c>
      <c r="D1633" t="s">
        <v>586</v>
      </c>
      <c r="E1633" s="16">
        <v>45950.771724537037</v>
      </c>
      <c r="F1633">
        <v>0</v>
      </c>
    </row>
    <row r="1634" spans="1:6" x14ac:dyDescent="0.2">
      <c r="A1634">
        <v>3664</v>
      </c>
      <c r="B1634" t="s">
        <v>313</v>
      </c>
      <c r="C1634" t="s">
        <v>438</v>
      </c>
      <c r="D1634" t="s">
        <v>597</v>
      </c>
      <c r="E1634" s="16">
        <v>45884.568842592591</v>
      </c>
      <c r="F1634">
        <v>0</v>
      </c>
    </row>
    <row r="1635" spans="1:6" x14ac:dyDescent="0.2">
      <c r="A1635">
        <v>3199</v>
      </c>
      <c r="B1635" t="s">
        <v>168</v>
      </c>
      <c r="C1635" t="s">
        <v>580</v>
      </c>
      <c r="D1635" t="s">
        <v>587</v>
      </c>
      <c r="E1635" s="16">
        <v>45952.533530092594</v>
      </c>
      <c r="F1635">
        <v>0</v>
      </c>
    </row>
    <row r="1636" spans="1:6" x14ac:dyDescent="0.2">
      <c r="A1636">
        <v>3615</v>
      </c>
      <c r="B1636" t="s">
        <v>236</v>
      </c>
      <c r="C1636" t="s">
        <v>566</v>
      </c>
      <c r="D1636" t="s">
        <v>599</v>
      </c>
      <c r="E1636" s="16">
        <v>45892.789293981485</v>
      </c>
      <c r="F1636">
        <v>0</v>
      </c>
    </row>
    <row r="1637" spans="1:6" x14ac:dyDescent="0.2">
      <c r="A1637">
        <v>3645</v>
      </c>
      <c r="B1637" t="s">
        <v>320</v>
      </c>
      <c r="C1637" t="s">
        <v>449</v>
      </c>
      <c r="D1637" t="s">
        <v>586</v>
      </c>
      <c r="E1637" s="16">
        <v>45817.464525462965</v>
      </c>
      <c r="F1637">
        <v>0</v>
      </c>
    </row>
    <row r="1638" spans="1:6" x14ac:dyDescent="0.2">
      <c r="A1638">
        <v>3323</v>
      </c>
      <c r="B1638" t="s">
        <v>158</v>
      </c>
      <c r="C1638" t="s">
        <v>580</v>
      </c>
      <c r="D1638" t="s">
        <v>581</v>
      </c>
      <c r="E1638" s="16">
        <v>45895.677094907405</v>
      </c>
      <c r="F1638">
        <v>0</v>
      </c>
    </row>
    <row r="1639" spans="1:6" x14ac:dyDescent="0.2">
      <c r="A1639">
        <v>3688</v>
      </c>
      <c r="B1639" t="s">
        <v>303</v>
      </c>
      <c r="C1639" t="s">
        <v>449</v>
      </c>
      <c r="D1639" t="s">
        <v>582</v>
      </c>
      <c r="E1639" s="16">
        <v>45957.548217592594</v>
      </c>
      <c r="F1639">
        <v>0</v>
      </c>
    </row>
    <row r="1640" spans="1:6" x14ac:dyDescent="0.2">
      <c r="A1640">
        <v>3605</v>
      </c>
      <c r="B1640" t="s">
        <v>268</v>
      </c>
      <c r="C1640" t="s">
        <v>580</v>
      </c>
      <c r="D1640" t="s">
        <v>581</v>
      </c>
      <c r="E1640" s="16">
        <v>45896.549317129633</v>
      </c>
      <c r="F1640">
        <v>0</v>
      </c>
    </row>
    <row r="1641" spans="1:6" x14ac:dyDescent="0.2">
      <c r="A1641">
        <v>3688</v>
      </c>
      <c r="B1641" t="s">
        <v>303</v>
      </c>
      <c r="C1641" t="s">
        <v>521</v>
      </c>
      <c r="D1641" t="s">
        <v>593</v>
      </c>
      <c r="E1641" s="16">
        <v>45949.258333333331</v>
      </c>
      <c r="F1641">
        <v>0</v>
      </c>
    </row>
    <row r="1642" spans="1:6" x14ac:dyDescent="0.2">
      <c r="A1642">
        <v>3648</v>
      </c>
      <c r="B1642" t="s">
        <v>261</v>
      </c>
      <c r="C1642" t="s">
        <v>521</v>
      </c>
      <c r="D1642" t="s">
        <v>605</v>
      </c>
      <c r="E1642" s="16">
        <v>45838.28570601852</v>
      </c>
      <c r="F1642">
        <v>0</v>
      </c>
    </row>
    <row r="1643" spans="1:6" x14ac:dyDescent="0.2">
      <c r="A1643">
        <v>3693</v>
      </c>
      <c r="B1643" t="s">
        <v>271</v>
      </c>
      <c r="C1643" t="s">
        <v>521</v>
      </c>
      <c r="D1643" t="s">
        <v>593</v>
      </c>
      <c r="E1643" s="16">
        <v>45962.257106481484</v>
      </c>
      <c r="F1643">
        <v>0</v>
      </c>
    </row>
    <row r="1644" spans="1:6" x14ac:dyDescent="0.2">
      <c r="A1644">
        <v>3609</v>
      </c>
      <c r="B1644" t="s">
        <v>245</v>
      </c>
      <c r="C1644" t="s">
        <v>566</v>
      </c>
      <c r="D1644" t="s">
        <v>604</v>
      </c>
      <c r="E1644" s="16">
        <v>45864.306608796294</v>
      </c>
      <c r="F1644">
        <v>0</v>
      </c>
    </row>
    <row r="1645" spans="1:6" x14ac:dyDescent="0.2">
      <c r="A1645">
        <v>3696</v>
      </c>
      <c r="B1645" t="s">
        <v>613</v>
      </c>
      <c r="C1645" t="s">
        <v>521</v>
      </c>
      <c r="D1645" t="s">
        <v>593</v>
      </c>
      <c r="E1645" s="16">
        <v>45967.217557870368</v>
      </c>
      <c r="F1645">
        <v>0</v>
      </c>
    </row>
    <row r="1646" spans="1:6" x14ac:dyDescent="0.2">
      <c r="A1646">
        <v>3609</v>
      </c>
      <c r="B1646" t="s">
        <v>245</v>
      </c>
      <c r="C1646" t="s">
        <v>449</v>
      </c>
      <c r="D1646" t="s">
        <v>590</v>
      </c>
      <c r="E1646" s="16">
        <v>45762.702604166669</v>
      </c>
      <c r="F1646">
        <v>0</v>
      </c>
    </row>
    <row r="1647" spans="1:6" x14ac:dyDescent="0.2">
      <c r="A1647">
        <v>3687</v>
      </c>
      <c r="B1647" t="s">
        <v>252</v>
      </c>
      <c r="C1647" t="s">
        <v>449</v>
      </c>
      <c r="D1647" t="s">
        <v>586</v>
      </c>
      <c r="E1647" s="16">
        <v>45967.680914351855</v>
      </c>
      <c r="F1647">
        <v>0</v>
      </c>
    </row>
    <row r="1648" spans="1:6" x14ac:dyDescent="0.2">
      <c r="A1648">
        <v>3157</v>
      </c>
      <c r="B1648" t="s">
        <v>38</v>
      </c>
      <c r="C1648" t="s">
        <v>580</v>
      </c>
      <c r="D1648" t="s">
        <v>581</v>
      </c>
      <c r="E1648" s="16">
        <v>45902.633136574077</v>
      </c>
      <c r="F1648">
        <v>0</v>
      </c>
    </row>
    <row r="1649" spans="1:6" x14ac:dyDescent="0.2">
      <c r="A1649">
        <v>3469</v>
      </c>
      <c r="B1649" t="s">
        <v>181</v>
      </c>
      <c r="C1649" t="s">
        <v>580</v>
      </c>
      <c r="D1649" t="s">
        <v>583</v>
      </c>
      <c r="E1649" s="16">
        <v>45712.48777777778</v>
      </c>
      <c r="F1649">
        <v>0</v>
      </c>
    </row>
    <row r="1650" spans="1:6" x14ac:dyDescent="0.2">
      <c r="A1650">
        <v>3585</v>
      </c>
      <c r="B1650" t="s">
        <v>314</v>
      </c>
      <c r="C1650" t="s">
        <v>521</v>
      </c>
      <c r="D1650" t="s">
        <v>609</v>
      </c>
      <c r="E1650" s="16">
        <v>45763.494409722225</v>
      </c>
      <c r="F1650">
        <v>0</v>
      </c>
    </row>
    <row r="1651" spans="1:6" x14ac:dyDescent="0.2">
      <c r="A1651">
        <v>3593</v>
      </c>
      <c r="B1651" t="s">
        <v>294</v>
      </c>
      <c r="C1651" t="s">
        <v>521</v>
      </c>
      <c r="D1651" t="s">
        <v>600</v>
      </c>
      <c r="E1651" s="16">
        <v>45722.433518518519</v>
      </c>
      <c r="F1651">
        <v>0</v>
      </c>
    </row>
    <row r="1652" spans="1:6" x14ac:dyDescent="0.2">
      <c r="A1652">
        <v>3550</v>
      </c>
      <c r="B1652" t="s">
        <v>24</v>
      </c>
      <c r="C1652" t="s">
        <v>580</v>
      </c>
      <c r="D1652" t="s">
        <v>581</v>
      </c>
      <c r="E1652" s="16">
        <v>45906.691377314812</v>
      </c>
      <c r="F1652">
        <v>0</v>
      </c>
    </row>
    <row r="1653" spans="1:6" x14ac:dyDescent="0.2">
      <c r="A1653">
        <v>3599</v>
      </c>
      <c r="B1653" t="s">
        <v>281</v>
      </c>
      <c r="C1653" t="s">
        <v>521</v>
      </c>
      <c r="D1653" t="s">
        <v>600</v>
      </c>
      <c r="E1653" s="16">
        <v>45740.450844907406</v>
      </c>
      <c r="F1653">
        <v>0</v>
      </c>
    </row>
    <row r="1654" spans="1:6" x14ac:dyDescent="0.2">
      <c r="A1654">
        <v>3614</v>
      </c>
      <c r="B1654" t="s">
        <v>217</v>
      </c>
      <c r="C1654" t="s">
        <v>566</v>
      </c>
      <c r="D1654" t="s">
        <v>604</v>
      </c>
      <c r="E1654" s="16">
        <v>45907.670254629629</v>
      </c>
      <c r="F1654">
        <v>0</v>
      </c>
    </row>
    <row r="1655" spans="1:6" x14ac:dyDescent="0.2">
      <c r="A1655">
        <v>3602</v>
      </c>
      <c r="B1655" t="s">
        <v>297</v>
      </c>
      <c r="C1655" t="s">
        <v>521</v>
      </c>
      <c r="D1655" t="s">
        <v>608</v>
      </c>
      <c r="E1655" s="16">
        <v>45742.269328703704</v>
      </c>
      <c r="F1655">
        <v>0</v>
      </c>
    </row>
    <row r="1656" spans="1:6" x14ac:dyDescent="0.2">
      <c r="A1656">
        <v>3637</v>
      </c>
      <c r="B1656" t="s">
        <v>304</v>
      </c>
      <c r="C1656" t="s">
        <v>566</v>
      </c>
      <c r="D1656" t="s">
        <v>604</v>
      </c>
      <c r="E1656" s="16">
        <v>45907.685567129629</v>
      </c>
      <c r="F1656">
        <v>0</v>
      </c>
    </row>
    <row r="1657" spans="1:6" x14ac:dyDescent="0.2">
      <c r="A1657">
        <v>3602</v>
      </c>
      <c r="B1657" t="s">
        <v>297</v>
      </c>
      <c r="C1657" t="s">
        <v>521</v>
      </c>
      <c r="D1657" t="s">
        <v>600</v>
      </c>
      <c r="E1657" s="16">
        <v>45742.269328703704</v>
      </c>
      <c r="F1657">
        <v>0</v>
      </c>
    </row>
    <row r="1658" spans="1:6" x14ac:dyDescent="0.2">
      <c r="A1658">
        <v>3632</v>
      </c>
      <c r="B1658" t="s">
        <v>238</v>
      </c>
      <c r="C1658" t="s">
        <v>566</v>
      </c>
      <c r="D1658" t="s">
        <v>604</v>
      </c>
      <c r="E1658" s="16">
        <v>45907.679189814815</v>
      </c>
      <c r="F1658">
        <v>0</v>
      </c>
    </row>
    <row r="1659" spans="1:6" x14ac:dyDescent="0.2">
      <c r="A1659">
        <v>3564</v>
      </c>
      <c r="B1659" t="s">
        <v>84</v>
      </c>
      <c r="C1659" t="s">
        <v>521</v>
      </c>
      <c r="D1659" t="s">
        <v>600</v>
      </c>
      <c r="E1659" s="16">
        <v>45668.202303240738</v>
      </c>
      <c r="F1659">
        <v>0</v>
      </c>
    </row>
    <row r="1660" spans="1:6" x14ac:dyDescent="0.2">
      <c r="A1660">
        <v>3639</v>
      </c>
      <c r="B1660" t="s">
        <v>308</v>
      </c>
      <c r="C1660" t="s">
        <v>566</v>
      </c>
      <c r="D1660" t="s">
        <v>604</v>
      </c>
      <c r="E1660" s="16">
        <v>45907.681793981479</v>
      </c>
      <c r="F1660">
        <v>0</v>
      </c>
    </row>
    <row r="1661" spans="1:6" x14ac:dyDescent="0.2">
      <c r="A1661">
        <v>3112</v>
      </c>
      <c r="B1661" t="s">
        <v>88</v>
      </c>
      <c r="C1661" t="s">
        <v>566</v>
      </c>
      <c r="D1661" t="s">
        <v>601</v>
      </c>
      <c r="E1661" s="16">
        <v>45758.384733796294</v>
      </c>
      <c r="F1661">
        <v>0</v>
      </c>
    </row>
    <row r="1662" spans="1:6" x14ac:dyDescent="0.2">
      <c r="A1662">
        <v>3206</v>
      </c>
      <c r="B1662" t="s">
        <v>171</v>
      </c>
      <c r="C1662" t="s">
        <v>580</v>
      </c>
      <c r="D1662" t="s">
        <v>584</v>
      </c>
      <c r="E1662" s="16">
        <v>45908.607303240744</v>
      </c>
      <c r="F1662">
        <v>0</v>
      </c>
    </row>
    <row r="1663" spans="1:6" x14ac:dyDescent="0.2">
      <c r="A1663">
        <v>3606</v>
      </c>
      <c r="B1663" t="s">
        <v>265</v>
      </c>
      <c r="C1663" t="s">
        <v>521</v>
      </c>
      <c r="D1663" t="s">
        <v>600</v>
      </c>
      <c r="E1663" s="16">
        <v>45747.736527777779</v>
      </c>
      <c r="F1663">
        <v>0</v>
      </c>
    </row>
    <row r="1664" spans="1:6" x14ac:dyDescent="0.2">
      <c r="A1664">
        <v>3656</v>
      </c>
      <c r="B1664" t="s">
        <v>259</v>
      </c>
      <c r="C1664" t="s">
        <v>521</v>
      </c>
      <c r="D1664" t="s">
        <v>605</v>
      </c>
      <c r="E1664" s="16">
        <v>45857.830833333333</v>
      </c>
      <c r="F1664">
        <v>0</v>
      </c>
    </row>
    <row r="1665" spans="1:6" x14ac:dyDescent="0.2">
      <c r="A1665">
        <v>3616</v>
      </c>
      <c r="B1665" t="s">
        <v>249</v>
      </c>
      <c r="C1665" t="s">
        <v>521</v>
      </c>
      <c r="D1665" t="s">
        <v>600</v>
      </c>
      <c r="E1665" s="16">
        <v>45756.326620370368</v>
      </c>
      <c r="F1665">
        <v>0</v>
      </c>
    </row>
    <row r="1666" spans="1:6" x14ac:dyDescent="0.2">
      <c r="A1666">
        <v>3624</v>
      </c>
      <c r="B1666" t="s">
        <v>302</v>
      </c>
      <c r="C1666" t="s">
        <v>438</v>
      </c>
      <c r="D1666" t="s">
        <v>597</v>
      </c>
      <c r="E1666" s="16">
        <v>45793.540497685186</v>
      </c>
      <c r="F1666">
        <v>0</v>
      </c>
    </row>
    <row r="1667" spans="1:6" x14ac:dyDescent="0.2">
      <c r="A1667">
        <v>3636</v>
      </c>
      <c r="B1667" t="s">
        <v>270</v>
      </c>
      <c r="C1667" t="s">
        <v>521</v>
      </c>
      <c r="D1667" t="s">
        <v>600</v>
      </c>
      <c r="E1667" s="16">
        <v>45788.748032407406</v>
      </c>
      <c r="F1667">
        <v>0</v>
      </c>
    </row>
    <row r="1668" spans="1:6" x14ac:dyDescent="0.2">
      <c r="A1668">
        <v>3444</v>
      </c>
      <c r="B1668" t="s">
        <v>104</v>
      </c>
      <c r="C1668" t="s">
        <v>518</v>
      </c>
      <c r="D1668" t="s">
        <v>591</v>
      </c>
      <c r="E1668" s="16">
        <v>45928.375891203701</v>
      </c>
      <c r="F1668">
        <v>0</v>
      </c>
    </row>
    <row r="1669" spans="1:6" x14ac:dyDescent="0.2">
      <c r="A1669">
        <v>3632</v>
      </c>
      <c r="B1669" t="s">
        <v>238</v>
      </c>
      <c r="C1669" t="s">
        <v>521</v>
      </c>
      <c r="D1669" t="s">
        <v>600</v>
      </c>
      <c r="E1669" s="16">
        <v>45783.904733796298</v>
      </c>
      <c r="F1669">
        <v>0</v>
      </c>
    </row>
    <row r="1670" spans="1:6" x14ac:dyDescent="0.2">
      <c r="A1670">
        <v>3644</v>
      </c>
      <c r="B1670" t="s">
        <v>299</v>
      </c>
      <c r="C1670" t="s">
        <v>566</v>
      </c>
      <c r="D1670" t="s">
        <v>604</v>
      </c>
      <c r="E1670" s="16">
        <v>45935.815625000003</v>
      </c>
      <c r="F1670">
        <v>0</v>
      </c>
    </row>
    <row r="1671" spans="1:6" x14ac:dyDescent="0.2">
      <c r="A1671">
        <v>3582</v>
      </c>
      <c r="B1671" t="s">
        <v>211</v>
      </c>
      <c r="C1671" t="s">
        <v>521</v>
      </c>
      <c r="D1671" t="s">
        <v>608</v>
      </c>
      <c r="E1671" s="16">
        <v>45700.446423611109</v>
      </c>
      <c r="F1671">
        <v>0</v>
      </c>
    </row>
    <row r="1672" spans="1:6" x14ac:dyDescent="0.2">
      <c r="A1672">
        <v>3647</v>
      </c>
      <c r="B1672" t="s">
        <v>310</v>
      </c>
      <c r="C1672" t="s">
        <v>566</v>
      </c>
      <c r="D1672" t="s">
        <v>599</v>
      </c>
      <c r="E1672" s="16">
        <v>45935.82135416667</v>
      </c>
      <c r="F1672">
        <v>0</v>
      </c>
    </row>
    <row r="1673" spans="1:6" x14ac:dyDescent="0.2">
      <c r="A1673">
        <v>3621</v>
      </c>
      <c r="B1673" t="s">
        <v>263</v>
      </c>
      <c r="C1673" t="s">
        <v>521</v>
      </c>
      <c r="D1673" t="s">
        <v>600</v>
      </c>
      <c r="E1673" s="16">
        <v>45766.265474537038</v>
      </c>
      <c r="F1673">
        <v>0</v>
      </c>
    </row>
    <row r="1674" spans="1:6" x14ac:dyDescent="0.2">
      <c r="A1674">
        <v>3598</v>
      </c>
      <c r="B1674" t="s">
        <v>318</v>
      </c>
      <c r="C1674" t="s">
        <v>580</v>
      </c>
      <c r="D1674" t="s">
        <v>581</v>
      </c>
      <c r="E1674" s="16">
        <v>45800.496134259258</v>
      </c>
      <c r="F1674">
        <v>0</v>
      </c>
    </row>
    <row r="1675" spans="1:6" x14ac:dyDescent="0.2">
      <c r="A1675">
        <v>3632</v>
      </c>
      <c r="B1675" t="s">
        <v>238</v>
      </c>
      <c r="C1675" t="s">
        <v>580</v>
      </c>
      <c r="D1675" t="s">
        <v>583</v>
      </c>
      <c r="E1675" s="16">
        <v>45823.784537037034</v>
      </c>
      <c r="F1675">
        <v>0</v>
      </c>
    </row>
    <row r="1676" spans="1:6" x14ac:dyDescent="0.2">
      <c r="A1676">
        <v>3598</v>
      </c>
      <c r="B1676" t="s">
        <v>318</v>
      </c>
      <c r="C1676" t="s">
        <v>580</v>
      </c>
      <c r="D1676" t="s">
        <v>589</v>
      </c>
      <c r="E1676" s="16">
        <v>45800.496134259258</v>
      </c>
      <c r="F1676">
        <v>0</v>
      </c>
    </row>
    <row r="1677" spans="1:6" x14ac:dyDescent="0.2">
      <c r="A1677">
        <v>3610</v>
      </c>
      <c r="B1677" t="s">
        <v>305</v>
      </c>
      <c r="C1677" t="s">
        <v>521</v>
      </c>
      <c r="D1677" t="s">
        <v>600</v>
      </c>
      <c r="E1677" s="16">
        <v>45750.273263888892</v>
      </c>
      <c r="F1677">
        <v>0</v>
      </c>
    </row>
    <row r="1678" spans="1:6" x14ac:dyDescent="0.2">
      <c r="A1678">
        <v>3677</v>
      </c>
      <c r="B1678" t="s">
        <v>283</v>
      </c>
      <c r="C1678" t="s">
        <v>580</v>
      </c>
      <c r="D1678" t="s">
        <v>581</v>
      </c>
      <c r="E1678" s="16">
        <v>45925.319027777776</v>
      </c>
      <c r="F1678">
        <v>0</v>
      </c>
    </row>
    <row r="1679" spans="1:6" x14ac:dyDescent="0.2">
      <c r="A1679">
        <v>3644</v>
      </c>
      <c r="B1679" t="s">
        <v>299</v>
      </c>
      <c r="C1679" t="s">
        <v>521</v>
      </c>
      <c r="D1679" t="s">
        <v>608</v>
      </c>
      <c r="E1679" s="16">
        <v>45807.253159722219</v>
      </c>
      <c r="F1679">
        <v>0</v>
      </c>
    </row>
    <row r="1680" spans="1:6" x14ac:dyDescent="0.2">
      <c r="A1680">
        <v>3677</v>
      </c>
      <c r="B1680" t="s">
        <v>283</v>
      </c>
      <c r="C1680" t="s">
        <v>580</v>
      </c>
      <c r="D1680" t="s">
        <v>589</v>
      </c>
      <c r="E1680" s="16">
        <v>45925.319027777776</v>
      </c>
      <c r="F1680">
        <v>0</v>
      </c>
    </row>
    <row r="1681" spans="1:6" x14ac:dyDescent="0.2">
      <c r="A1681">
        <v>3654</v>
      </c>
      <c r="B1681" t="s">
        <v>231</v>
      </c>
      <c r="C1681" t="s">
        <v>521</v>
      </c>
      <c r="D1681" t="s">
        <v>608</v>
      </c>
      <c r="E1681" s="16">
        <v>45853.293124999997</v>
      </c>
      <c r="F1681">
        <v>0</v>
      </c>
    </row>
    <row r="1682" spans="1:6" x14ac:dyDescent="0.2">
      <c r="A1682">
        <v>32</v>
      </c>
      <c r="B1682" t="s">
        <v>451</v>
      </c>
      <c r="C1682" t="s">
        <v>518</v>
      </c>
      <c r="D1682" t="s">
        <v>591</v>
      </c>
      <c r="E1682" s="16">
        <v>45944.718344907407</v>
      </c>
      <c r="F1682">
        <v>0</v>
      </c>
    </row>
    <row r="1683" spans="1:6" x14ac:dyDescent="0.2">
      <c r="A1683">
        <v>3605</v>
      </c>
      <c r="B1683" t="s">
        <v>268</v>
      </c>
      <c r="C1683" t="s">
        <v>521</v>
      </c>
      <c r="D1683" t="s">
        <v>600</v>
      </c>
      <c r="E1683" s="16">
        <v>45745.247511574074</v>
      </c>
      <c r="F1683">
        <v>0</v>
      </c>
    </row>
    <row r="1684" spans="1:6" x14ac:dyDescent="0.2">
      <c r="A1684">
        <v>3676</v>
      </c>
      <c r="B1684" t="s">
        <v>239</v>
      </c>
      <c r="C1684" t="s">
        <v>438</v>
      </c>
      <c r="D1684" t="s">
        <v>598</v>
      </c>
      <c r="E1684" s="16">
        <v>45915.412881944445</v>
      </c>
      <c r="F1684">
        <v>0</v>
      </c>
    </row>
    <row r="1685" spans="1:6" x14ac:dyDescent="0.2">
      <c r="A1685">
        <v>3665</v>
      </c>
      <c r="B1685" t="s">
        <v>222</v>
      </c>
      <c r="C1685" t="s">
        <v>521</v>
      </c>
      <c r="D1685" t="s">
        <v>600</v>
      </c>
      <c r="E1685" s="16">
        <v>45875.514016203706</v>
      </c>
      <c r="F1685">
        <v>0</v>
      </c>
    </row>
    <row r="1686" spans="1:6" x14ac:dyDescent="0.2">
      <c r="A1686">
        <v>3686</v>
      </c>
      <c r="B1686" t="s">
        <v>233</v>
      </c>
      <c r="C1686" t="s">
        <v>449</v>
      </c>
      <c r="D1686" t="s">
        <v>590</v>
      </c>
      <c r="E1686" s="16">
        <v>45953.569062499999</v>
      </c>
      <c r="F1686">
        <v>0</v>
      </c>
    </row>
    <row r="1687" spans="1:6" x14ac:dyDescent="0.2">
      <c r="A1687">
        <v>3667</v>
      </c>
      <c r="B1687" t="s">
        <v>274</v>
      </c>
      <c r="C1687" t="s">
        <v>521</v>
      </c>
      <c r="D1687" t="s">
        <v>608</v>
      </c>
      <c r="E1687" s="16">
        <v>45878.286956018521</v>
      </c>
      <c r="F1687">
        <v>0</v>
      </c>
    </row>
    <row r="1688" spans="1:6" x14ac:dyDescent="0.2">
      <c r="A1688">
        <v>3691</v>
      </c>
      <c r="B1688" t="s">
        <v>300</v>
      </c>
      <c r="C1688" t="s">
        <v>521</v>
      </c>
      <c r="D1688" t="s">
        <v>605</v>
      </c>
      <c r="E1688" s="16">
        <v>45955.134247685186</v>
      </c>
      <c r="F1688">
        <v>0</v>
      </c>
    </row>
    <row r="1689" spans="1:6" x14ac:dyDescent="0.2">
      <c r="A1689">
        <v>3664</v>
      </c>
      <c r="B1689" t="s">
        <v>313</v>
      </c>
      <c r="C1689" t="s">
        <v>521</v>
      </c>
      <c r="D1689" t="s">
        <v>600</v>
      </c>
      <c r="E1689" s="16">
        <v>45875.51190972222</v>
      </c>
      <c r="F1689">
        <v>0</v>
      </c>
    </row>
    <row r="1690" spans="1:6" x14ac:dyDescent="0.2">
      <c r="A1690">
        <v>3645</v>
      </c>
      <c r="B1690" t="s">
        <v>320</v>
      </c>
      <c r="C1690" t="s">
        <v>566</v>
      </c>
      <c r="D1690" t="s">
        <v>599</v>
      </c>
      <c r="E1690" s="16">
        <v>45935.820324074077</v>
      </c>
      <c r="F1690">
        <v>0</v>
      </c>
    </row>
    <row r="1691" spans="1:6" x14ac:dyDescent="0.2">
      <c r="A1691">
        <v>3672</v>
      </c>
      <c r="B1691" t="s">
        <v>323</v>
      </c>
      <c r="C1691" t="s">
        <v>521</v>
      </c>
      <c r="D1691" t="s">
        <v>608</v>
      </c>
      <c r="E1691" s="16">
        <v>45892.797662037039</v>
      </c>
      <c r="F1691">
        <v>0</v>
      </c>
    </row>
    <row r="1692" spans="1:6" x14ac:dyDescent="0.2">
      <c r="A1692">
        <v>3692</v>
      </c>
      <c r="B1692" t="s">
        <v>291</v>
      </c>
      <c r="C1692" t="s">
        <v>449</v>
      </c>
      <c r="D1692" t="s">
        <v>590</v>
      </c>
      <c r="E1692" s="16">
        <v>45962.254699074074</v>
      </c>
      <c r="F1692">
        <v>0</v>
      </c>
    </row>
    <row r="1693" spans="1:6" x14ac:dyDescent="0.2">
      <c r="A1693">
        <v>3583</v>
      </c>
      <c r="B1693" t="s">
        <v>97</v>
      </c>
      <c r="C1693" t="s">
        <v>521</v>
      </c>
      <c r="D1693" t="s">
        <v>600</v>
      </c>
      <c r="E1693" s="16">
        <v>45701.310254629629</v>
      </c>
      <c r="F1693">
        <v>0</v>
      </c>
    </row>
    <row r="1694" spans="1:6" x14ac:dyDescent="0.2">
      <c r="A1694">
        <v>3546</v>
      </c>
      <c r="B1694" t="s">
        <v>144</v>
      </c>
      <c r="C1694" t="s">
        <v>566</v>
      </c>
      <c r="D1694" t="s">
        <v>599</v>
      </c>
      <c r="E1694" s="16">
        <v>45639.786076388889</v>
      </c>
      <c r="F1694">
        <v>0</v>
      </c>
    </row>
    <row r="1695" spans="1:6" x14ac:dyDescent="0.2">
      <c r="A1695">
        <v>3576</v>
      </c>
      <c r="B1695" t="s">
        <v>75</v>
      </c>
      <c r="C1695" t="s">
        <v>521</v>
      </c>
      <c r="D1695" t="s">
        <v>600</v>
      </c>
      <c r="E1695" s="16">
        <v>45691.699594907404</v>
      </c>
      <c r="F1695">
        <v>0</v>
      </c>
    </row>
    <row r="1696" spans="1:6" x14ac:dyDescent="0.2">
      <c r="A1696">
        <v>86</v>
      </c>
      <c r="B1696" t="s">
        <v>163</v>
      </c>
      <c r="C1696" t="s">
        <v>518</v>
      </c>
      <c r="D1696" t="s">
        <v>591</v>
      </c>
      <c r="E1696" s="16">
        <v>45643.52679398148</v>
      </c>
      <c r="F1696">
        <v>0</v>
      </c>
    </row>
    <row r="1697" spans="1:6" x14ac:dyDescent="0.2">
      <c r="A1697">
        <v>3626</v>
      </c>
      <c r="B1697" t="s">
        <v>316</v>
      </c>
      <c r="C1697" t="s">
        <v>580</v>
      </c>
      <c r="D1697" t="s">
        <v>583</v>
      </c>
      <c r="E1697" s="16">
        <v>45900.704155092593</v>
      </c>
      <c r="F1697">
        <v>0</v>
      </c>
    </row>
    <row r="1698" spans="1:6" x14ac:dyDescent="0.2">
      <c r="A1698">
        <v>3547</v>
      </c>
      <c r="B1698" t="s">
        <v>12</v>
      </c>
      <c r="C1698" t="s">
        <v>566</v>
      </c>
      <c r="D1698" t="s">
        <v>604</v>
      </c>
      <c r="E1698" s="16">
        <v>45639.790219907409</v>
      </c>
      <c r="F1698">
        <v>0</v>
      </c>
    </row>
    <row r="1699" spans="1:6" x14ac:dyDescent="0.2">
      <c r="A1699">
        <v>3674</v>
      </c>
      <c r="B1699" t="s">
        <v>292</v>
      </c>
      <c r="C1699" t="s">
        <v>521</v>
      </c>
      <c r="D1699" t="s">
        <v>608</v>
      </c>
      <c r="E1699" s="16">
        <v>45892.804606481484</v>
      </c>
      <c r="F1699">
        <v>0</v>
      </c>
    </row>
    <row r="1700" spans="1:6" x14ac:dyDescent="0.2">
      <c r="A1700">
        <v>3539</v>
      </c>
      <c r="B1700" t="s">
        <v>70</v>
      </c>
      <c r="C1700" t="s">
        <v>566</v>
      </c>
      <c r="D1700" t="s">
        <v>604</v>
      </c>
      <c r="E1700" s="16">
        <v>45612.268703703703</v>
      </c>
      <c r="F1700">
        <v>0</v>
      </c>
    </row>
    <row r="1701" spans="1:6" x14ac:dyDescent="0.2">
      <c r="A1701">
        <v>3550</v>
      </c>
      <c r="B1701" t="s">
        <v>24</v>
      </c>
      <c r="C1701" t="s">
        <v>580</v>
      </c>
      <c r="D1701" t="s">
        <v>583</v>
      </c>
      <c r="E1701" s="16">
        <v>45906.691377314812</v>
      </c>
      <c r="F1701">
        <v>0</v>
      </c>
    </row>
    <row r="1702" spans="1:6" x14ac:dyDescent="0.2">
      <c r="A1702">
        <v>3535</v>
      </c>
      <c r="B1702" t="s">
        <v>93</v>
      </c>
      <c r="C1702" t="s">
        <v>566</v>
      </c>
      <c r="D1702" t="s">
        <v>599</v>
      </c>
      <c r="E1702" s="16">
        <v>45639.777037037034</v>
      </c>
      <c r="F1702">
        <v>0</v>
      </c>
    </row>
    <row r="1703" spans="1:6" x14ac:dyDescent="0.2">
      <c r="A1703">
        <v>3670</v>
      </c>
      <c r="B1703" t="s">
        <v>327</v>
      </c>
      <c r="C1703" t="s">
        <v>521</v>
      </c>
      <c r="D1703" t="s">
        <v>600</v>
      </c>
      <c r="E1703" s="16">
        <v>45883.234340277777</v>
      </c>
      <c r="F1703">
        <v>0</v>
      </c>
    </row>
    <row r="1704" spans="1:6" x14ac:dyDescent="0.2">
      <c r="A1704">
        <v>3469</v>
      </c>
      <c r="B1704" t="s">
        <v>181</v>
      </c>
      <c r="C1704" t="s">
        <v>580</v>
      </c>
      <c r="D1704" t="s">
        <v>581</v>
      </c>
      <c r="E1704" s="16">
        <v>45712.48777777778</v>
      </c>
      <c r="F1704">
        <v>0</v>
      </c>
    </row>
    <row r="1705" spans="1:6" x14ac:dyDescent="0.2">
      <c r="A1705">
        <v>3656</v>
      </c>
      <c r="B1705" t="s">
        <v>259</v>
      </c>
      <c r="C1705" t="s">
        <v>521</v>
      </c>
      <c r="D1705" t="s">
        <v>608</v>
      </c>
      <c r="E1705" s="16">
        <v>45857.830833333333</v>
      </c>
      <c r="F1705">
        <v>0</v>
      </c>
    </row>
    <row r="1706" spans="1:6" x14ac:dyDescent="0.2">
      <c r="A1706">
        <v>3592</v>
      </c>
      <c r="B1706" t="s">
        <v>272</v>
      </c>
      <c r="C1706" t="s">
        <v>521</v>
      </c>
      <c r="D1706" t="s">
        <v>605</v>
      </c>
      <c r="E1706" s="16">
        <v>45714.745740740742</v>
      </c>
      <c r="F1706">
        <v>0</v>
      </c>
    </row>
    <row r="1707" spans="1:6" x14ac:dyDescent="0.2">
      <c r="A1707">
        <v>3656</v>
      </c>
      <c r="B1707" t="s">
        <v>259</v>
      </c>
      <c r="C1707" t="s">
        <v>521</v>
      </c>
      <c r="D1707" t="s">
        <v>600</v>
      </c>
      <c r="E1707" s="16">
        <v>45857.830833333333</v>
      </c>
      <c r="F1707">
        <v>0</v>
      </c>
    </row>
    <row r="1708" spans="1:6" x14ac:dyDescent="0.2">
      <c r="A1708">
        <v>3589</v>
      </c>
      <c r="B1708" t="s">
        <v>301</v>
      </c>
      <c r="C1708" t="s">
        <v>580</v>
      </c>
      <c r="D1708" t="s">
        <v>584</v>
      </c>
      <c r="E1708" s="16">
        <v>45720.640740740739</v>
      </c>
      <c r="F1708">
        <v>0</v>
      </c>
    </row>
    <row r="1709" spans="1:6" x14ac:dyDescent="0.2">
      <c r="A1709">
        <v>3624</v>
      </c>
      <c r="B1709" t="s">
        <v>302</v>
      </c>
      <c r="C1709" t="s">
        <v>521</v>
      </c>
      <c r="D1709" t="s">
        <v>608</v>
      </c>
      <c r="E1709" s="16">
        <v>45773.703344907408</v>
      </c>
      <c r="F1709">
        <v>0</v>
      </c>
    </row>
    <row r="1710" spans="1:6" x14ac:dyDescent="0.2">
      <c r="A1710">
        <v>3589</v>
      </c>
      <c r="B1710" t="s">
        <v>301</v>
      </c>
      <c r="C1710" t="s">
        <v>580</v>
      </c>
      <c r="D1710" t="s">
        <v>589</v>
      </c>
      <c r="E1710" s="16">
        <v>45720.640740740739</v>
      </c>
      <c r="F1710">
        <v>0</v>
      </c>
    </row>
    <row r="1711" spans="1:6" x14ac:dyDescent="0.2">
      <c r="A1711">
        <v>3649</v>
      </c>
      <c r="B1711" t="s">
        <v>312</v>
      </c>
      <c r="C1711" t="s">
        <v>521</v>
      </c>
      <c r="D1711" t="s">
        <v>608</v>
      </c>
      <c r="E1711" s="16">
        <v>45841.305879629632</v>
      </c>
      <c r="F1711">
        <v>0</v>
      </c>
    </row>
    <row r="1712" spans="1:6" x14ac:dyDescent="0.2">
      <c r="A1712">
        <v>1137</v>
      </c>
      <c r="B1712" t="s">
        <v>186</v>
      </c>
      <c r="C1712" t="s">
        <v>521</v>
      </c>
      <c r="D1712" t="s">
        <v>609</v>
      </c>
      <c r="E1712" s="16">
        <v>45726.633217592593</v>
      </c>
      <c r="F1712">
        <v>0</v>
      </c>
    </row>
    <row r="1713" spans="1:6" x14ac:dyDescent="0.2">
      <c r="A1713">
        <v>3649</v>
      </c>
      <c r="B1713" t="s">
        <v>312</v>
      </c>
      <c r="C1713" t="s">
        <v>521</v>
      </c>
      <c r="D1713" t="s">
        <v>600</v>
      </c>
      <c r="E1713" s="16">
        <v>45841.305879629632</v>
      </c>
      <c r="F1713">
        <v>0</v>
      </c>
    </row>
    <row r="1714" spans="1:6" x14ac:dyDescent="0.2">
      <c r="A1714">
        <v>3562</v>
      </c>
      <c r="B1714" t="s">
        <v>49</v>
      </c>
      <c r="C1714" t="s">
        <v>521</v>
      </c>
      <c r="D1714" t="s">
        <v>605</v>
      </c>
      <c r="E1714" s="16">
        <v>45663.721226851849</v>
      </c>
      <c r="F1714">
        <v>0</v>
      </c>
    </row>
    <row r="1715" spans="1:6" x14ac:dyDescent="0.2">
      <c r="A1715">
        <v>3598</v>
      </c>
      <c r="B1715" t="s">
        <v>318</v>
      </c>
      <c r="C1715" t="s">
        <v>521</v>
      </c>
      <c r="D1715" t="s">
        <v>608</v>
      </c>
      <c r="E1715" s="16">
        <v>45734.572442129633</v>
      </c>
      <c r="F1715">
        <v>0</v>
      </c>
    </row>
    <row r="1716" spans="1:6" x14ac:dyDescent="0.2">
      <c r="A1716">
        <v>3593</v>
      </c>
      <c r="B1716" t="s">
        <v>294</v>
      </c>
      <c r="C1716" t="s">
        <v>521</v>
      </c>
      <c r="D1716" t="s">
        <v>605</v>
      </c>
      <c r="E1716" s="16">
        <v>45722.433518518519</v>
      </c>
      <c r="F1716">
        <v>0</v>
      </c>
    </row>
    <row r="1717" spans="1:6" x14ac:dyDescent="0.2">
      <c r="A1717">
        <v>3686</v>
      </c>
      <c r="B1717" t="s">
        <v>233</v>
      </c>
      <c r="C1717" t="s">
        <v>521</v>
      </c>
      <c r="D1717" t="s">
        <v>600</v>
      </c>
      <c r="E1717" s="16">
        <v>45944.226261574076</v>
      </c>
      <c r="F1717">
        <v>0</v>
      </c>
    </row>
    <row r="1718" spans="1:6" x14ac:dyDescent="0.2">
      <c r="A1718">
        <v>3606</v>
      </c>
      <c r="B1718" t="s">
        <v>265</v>
      </c>
      <c r="C1718" t="s">
        <v>521</v>
      </c>
      <c r="D1718" t="s">
        <v>605</v>
      </c>
      <c r="E1718" s="16">
        <v>45747.736527777779</v>
      </c>
      <c r="F1718">
        <v>0</v>
      </c>
    </row>
    <row r="1719" spans="1:6" x14ac:dyDescent="0.2">
      <c r="A1719">
        <v>3569</v>
      </c>
      <c r="B1719" t="s">
        <v>22</v>
      </c>
      <c r="C1719" t="s">
        <v>521</v>
      </c>
      <c r="D1719" t="s">
        <v>600</v>
      </c>
      <c r="E1719" s="16">
        <v>45680.410520833335</v>
      </c>
      <c r="F1719">
        <v>0</v>
      </c>
    </row>
    <row r="1720" spans="1:6" x14ac:dyDescent="0.2">
      <c r="A1720">
        <v>3618</v>
      </c>
      <c r="B1720" t="s">
        <v>325</v>
      </c>
      <c r="C1720" t="s">
        <v>521</v>
      </c>
      <c r="D1720" t="s">
        <v>605</v>
      </c>
      <c r="E1720" s="16">
        <v>45763.257731481484</v>
      </c>
      <c r="F1720">
        <v>0</v>
      </c>
    </row>
    <row r="1721" spans="1:6" x14ac:dyDescent="0.2">
      <c r="A1721">
        <v>3691</v>
      </c>
      <c r="B1721" t="s">
        <v>300</v>
      </c>
      <c r="C1721" t="s">
        <v>521</v>
      </c>
      <c r="D1721" t="s">
        <v>600</v>
      </c>
      <c r="E1721" s="16">
        <v>45955.134247685186</v>
      </c>
      <c r="F1721">
        <v>0</v>
      </c>
    </row>
    <row r="1722" spans="1:6" x14ac:dyDescent="0.2">
      <c r="A1722">
        <v>3614</v>
      </c>
      <c r="B1722" t="s">
        <v>217</v>
      </c>
      <c r="C1722" t="s">
        <v>580</v>
      </c>
      <c r="D1722" t="s">
        <v>584</v>
      </c>
      <c r="E1722" s="16">
        <v>45763.364895833336</v>
      </c>
      <c r="F1722">
        <v>0</v>
      </c>
    </row>
    <row r="1723" spans="1:6" x14ac:dyDescent="0.2">
      <c r="A1723">
        <v>3691</v>
      </c>
      <c r="B1723" t="s">
        <v>300</v>
      </c>
      <c r="C1723" t="s">
        <v>521</v>
      </c>
      <c r="D1723" t="s">
        <v>608</v>
      </c>
      <c r="E1723" s="16">
        <v>45955.134247685186</v>
      </c>
      <c r="F1723">
        <v>0</v>
      </c>
    </row>
    <row r="1724" spans="1:6" x14ac:dyDescent="0.2">
      <c r="A1724">
        <v>3616</v>
      </c>
      <c r="B1724" t="s">
        <v>249</v>
      </c>
      <c r="C1724" t="s">
        <v>521</v>
      </c>
      <c r="D1724" t="s">
        <v>605</v>
      </c>
      <c r="E1724" s="16">
        <v>45756.326620370368</v>
      </c>
      <c r="F1724">
        <v>0</v>
      </c>
    </row>
    <row r="1725" spans="1:6" x14ac:dyDescent="0.2">
      <c r="A1725">
        <v>3694</v>
      </c>
      <c r="B1725" t="s">
        <v>614</v>
      </c>
      <c r="C1725" t="s">
        <v>521</v>
      </c>
      <c r="D1725" t="s">
        <v>608</v>
      </c>
      <c r="E1725" s="16">
        <v>45967.204062500001</v>
      </c>
      <c r="F1725">
        <v>0</v>
      </c>
    </row>
    <row r="1726" spans="1:6" x14ac:dyDescent="0.2">
      <c r="A1726">
        <v>3589</v>
      </c>
      <c r="B1726" t="s">
        <v>301</v>
      </c>
      <c r="C1726" t="s">
        <v>438</v>
      </c>
      <c r="D1726" t="s">
        <v>598</v>
      </c>
      <c r="E1726" s="16">
        <v>45790.762175925927</v>
      </c>
      <c r="F1726">
        <v>0</v>
      </c>
    </row>
    <row r="1727" spans="1:6" x14ac:dyDescent="0.2">
      <c r="A1727">
        <v>3697</v>
      </c>
      <c r="B1727" t="s">
        <v>616</v>
      </c>
      <c r="C1727" t="s">
        <v>521</v>
      </c>
      <c r="D1727" t="s">
        <v>608</v>
      </c>
      <c r="E1727" s="16">
        <v>45972.297453703701</v>
      </c>
      <c r="F1727">
        <v>0</v>
      </c>
    </row>
    <row r="1728" spans="1:6" x14ac:dyDescent="0.2">
      <c r="A1728">
        <v>3632</v>
      </c>
      <c r="B1728" t="s">
        <v>238</v>
      </c>
      <c r="C1728" t="s">
        <v>521</v>
      </c>
      <c r="D1728" t="s">
        <v>605</v>
      </c>
      <c r="E1728" s="16">
        <v>45783.904733796298</v>
      </c>
      <c r="F1728">
        <v>0</v>
      </c>
    </row>
    <row r="1729" spans="1:6" x14ac:dyDescent="0.2">
      <c r="A1729">
        <v>3592</v>
      </c>
      <c r="B1729" t="s">
        <v>272</v>
      </c>
      <c r="C1729" t="s">
        <v>521</v>
      </c>
      <c r="D1729" t="s">
        <v>600</v>
      </c>
      <c r="E1729" s="16">
        <v>45714.745740740742</v>
      </c>
      <c r="F1729">
        <v>0</v>
      </c>
    </row>
    <row r="1730" spans="1:6" x14ac:dyDescent="0.2">
      <c r="A1730">
        <v>1269</v>
      </c>
      <c r="B1730" t="s">
        <v>161</v>
      </c>
      <c r="C1730" t="s">
        <v>521</v>
      </c>
      <c r="D1730" t="s">
        <v>609</v>
      </c>
      <c r="E1730" s="16">
        <v>45811.473275462966</v>
      </c>
      <c r="F1730">
        <v>0</v>
      </c>
    </row>
    <row r="1731" spans="1:6" x14ac:dyDescent="0.2">
      <c r="A1731">
        <v>3589</v>
      </c>
      <c r="B1731" t="s">
        <v>301</v>
      </c>
      <c r="C1731" t="s">
        <v>521</v>
      </c>
      <c r="D1731" t="s">
        <v>600</v>
      </c>
      <c r="E1731" s="16">
        <v>45710.210173611114</v>
      </c>
      <c r="F1731">
        <v>0</v>
      </c>
    </row>
    <row r="1732" spans="1:6" x14ac:dyDescent="0.2">
      <c r="A1732">
        <v>3584</v>
      </c>
      <c r="B1732" t="s">
        <v>57</v>
      </c>
      <c r="C1732" t="s">
        <v>521</v>
      </c>
      <c r="D1732" t="s">
        <v>605</v>
      </c>
      <c r="E1732" s="16">
        <v>45817.315358796295</v>
      </c>
      <c r="F1732">
        <v>0</v>
      </c>
    </row>
    <row r="1733" spans="1:6" x14ac:dyDescent="0.2">
      <c r="A1733">
        <v>3597</v>
      </c>
      <c r="B1733" t="s">
        <v>319</v>
      </c>
      <c r="C1733" t="s">
        <v>521</v>
      </c>
      <c r="D1733" t="s">
        <v>600</v>
      </c>
      <c r="E1733" s="16">
        <v>45734.227384259262</v>
      </c>
      <c r="F1733">
        <v>0</v>
      </c>
    </row>
    <row r="1734" spans="1:6" x14ac:dyDescent="0.2">
      <c r="A1734">
        <v>3584</v>
      </c>
      <c r="B1734" t="s">
        <v>57</v>
      </c>
      <c r="C1734" t="s">
        <v>566</v>
      </c>
      <c r="D1734" t="s">
        <v>604</v>
      </c>
      <c r="E1734" s="16">
        <v>45822.495057870372</v>
      </c>
      <c r="F1734">
        <v>0</v>
      </c>
    </row>
    <row r="1735" spans="1:6" x14ac:dyDescent="0.2">
      <c r="A1735">
        <v>3599</v>
      </c>
      <c r="B1735" t="s">
        <v>281</v>
      </c>
      <c r="C1735" t="s">
        <v>521</v>
      </c>
      <c r="D1735" t="s">
        <v>608</v>
      </c>
      <c r="E1735" s="16">
        <v>45740.450844907406</v>
      </c>
      <c r="F1735">
        <v>0</v>
      </c>
    </row>
    <row r="1736" spans="1:6" x14ac:dyDescent="0.2">
      <c r="A1736">
        <v>3632</v>
      </c>
      <c r="B1736" t="s">
        <v>238</v>
      </c>
      <c r="C1736" t="s">
        <v>580</v>
      </c>
      <c r="D1736" t="s">
        <v>584</v>
      </c>
      <c r="E1736" s="16">
        <v>45823.784537037034</v>
      </c>
      <c r="F1736">
        <v>0</v>
      </c>
    </row>
    <row r="1737" spans="1:6" x14ac:dyDescent="0.2">
      <c r="A1737">
        <v>3564</v>
      </c>
      <c r="B1737" t="s">
        <v>84</v>
      </c>
      <c r="C1737" t="s">
        <v>521</v>
      </c>
      <c r="D1737" t="s">
        <v>608</v>
      </c>
      <c r="E1737" s="16">
        <v>45668.202303240738</v>
      </c>
      <c r="F1737">
        <v>0</v>
      </c>
    </row>
    <row r="1738" spans="1:6" x14ac:dyDescent="0.2">
      <c r="A1738">
        <v>3571</v>
      </c>
      <c r="B1738" t="s">
        <v>48</v>
      </c>
      <c r="C1738" t="s">
        <v>566</v>
      </c>
      <c r="D1738" t="s">
        <v>599</v>
      </c>
      <c r="E1738" s="16">
        <v>45809.59747685185</v>
      </c>
      <c r="F1738">
        <v>0</v>
      </c>
    </row>
    <row r="1739" spans="1:6" x14ac:dyDescent="0.2">
      <c r="A1739">
        <v>3615</v>
      </c>
      <c r="B1739" t="s">
        <v>236</v>
      </c>
      <c r="C1739" t="s">
        <v>521</v>
      </c>
      <c r="D1739" t="s">
        <v>600</v>
      </c>
      <c r="E1739" s="16">
        <v>45756.323969907404</v>
      </c>
      <c r="F1739">
        <v>0</v>
      </c>
    </row>
    <row r="1740" spans="1:6" x14ac:dyDescent="0.2">
      <c r="A1740">
        <v>3571</v>
      </c>
      <c r="B1740" t="s">
        <v>48</v>
      </c>
      <c r="C1740" t="s">
        <v>566</v>
      </c>
      <c r="D1740" t="s">
        <v>604</v>
      </c>
      <c r="E1740" s="16">
        <v>45809.59747685185</v>
      </c>
      <c r="F1740">
        <v>0</v>
      </c>
    </row>
    <row r="1741" spans="1:6" x14ac:dyDescent="0.2">
      <c r="A1741">
        <v>3614</v>
      </c>
      <c r="B1741" t="s">
        <v>217</v>
      </c>
      <c r="C1741" t="s">
        <v>521</v>
      </c>
      <c r="D1741" t="s">
        <v>600</v>
      </c>
      <c r="E1741" s="16">
        <v>45756.317743055559</v>
      </c>
      <c r="F1741">
        <v>0</v>
      </c>
    </row>
    <row r="1742" spans="1:6" x14ac:dyDescent="0.2">
      <c r="A1742">
        <v>3582</v>
      </c>
      <c r="B1742" t="s">
        <v>211</v>
      </c>
      <c r="C1742" t="s">
        <v>566</v>
      </c>
      <c r="D1742" t="s">
        <v>604</v>
      </c>
      <c r="E1742" s="16">
        <v>45835.549305555556</v>
      </c>
      <c r="F1742">
        <v>0</v>
      </c>
    </row>
    <row r="1743" spans="1:6" x14ac:dyDescent="0.2">
      <c r="A1743">
        <v>3614</v>
      </c>
      <c r="B1743" t="s">
        <v>217</v>
      </c>
      <c r="C1743" t="s">
        <v>580</v>
      </c>
      <c r="D1743" t="s">
        <v>583</v>
      </c>
      <c r="E1743" s="16">
        <v>45763.364895833336</v>
      </c>
      <c r="F1743">
        <v>0</v>
      </c>
    </row>
    <row r="1744" spans="1:6" x14ac:dyDescent="0.2">
      <c r="A1744">
        <v>3591</v>
      </c>
      <c r="B1744" t="s">
        <v>254</v>
      </c>
      <c r="C1744" t="s">
        <v>566</v>
      </c>
      <c r="D1744" t="s">
        <v>604</v>
      </c>
      <c r="E1744" s="16">
        <v>45835.553043981483</v>
      </c>
      <c r="F1744">
        <v>0</v>
      </c>
    </row>
    <row r="1745" spans="1:6" x14ac:dyDescent="0.2">
      <c r="A1745">
        <v>3625</v>
      </c>
      <c r="B1745" t="s">
        <v>276</v>
      </c>
      <c r="C1745" t="s">
        <v>521</v>
      </c>
      <c r="D1745" t="s">
        <v>600</v>
      </c>
      <c r="E1745" s="16">
        <v>45773.707280092596</v>
      </c>
      <c r="F1745">
        <v>0</v>
      </c>
    </row>
    <row r="1746" spans="1:6" x14ac:dyDescent="0.2">
      <c r="A1746">
        <v>3591</v>
      </c>
      <c r="B1746" t="s">
        <v>254</v>
      </c>
      <c r="C1746" t="s">
        <v>566</v>
      </c>
      <c r="D1746" t="s">
        <v>599</v>
      </c>
      <c r="E1746" s="16">
        <v>45835.553043981483</v>
      </c>
      <c r="F1746">
        <v>0</v>
      </c>
    </row>
    <row r="1747" spans="1:6" x14ac:dyDescent="0.2">
      <c r="A1747">
        <v>3639</v>
      </c>
      <c r="B1747" t="s">
        <v>308</v>
      </c>
      <c r="C1747" t="s">
        <v>521</v>
      </c>
      <c r="D1747" t="s">
        <v>600</v>
      </c>
      <c r="E1747" s="16">
        <v>45791.366180555553</v>
      </c>
      <c r="F1747">
        <v>0</v>
      </c>
    </row>
    <row r="1748" spans="1:6" x14ac:dyDescent="0.2">
      <c r="A1748">
        <v>3644</v>
      </c>
      <c r="B1748" t="s">
        <v>299</v>
      </c>
      <c r="C1748" t="s">
        <v>521</v>
      </c>
      <c r="D1748" t="s">
        <v>605</v>
      </c>
      <c r="E1748" s="16">
        <v>45807.253159722219</v>
      </c>
      <c r="F1748">
        <v>0</v>
      </c>
    </row>
    <row r="1749" spans="1:6" x14ac:dyDescent="0.2">
      <c r="A1749">
        <v>3639</v>
      </c>
      <c r="B1749" t="s">
        <v>308</v>
      </c>
      <c r="C1749" t="s">
        <v>521</v>
      </c>
      <c r="D1749" t="s">
        <v>608</v>
      </c>
      <c r="E1749" s="16">
        <v>45791.366180555553</v>
      </c>
      <c r="F1749">
        <v>0</v>
      </c>
    </row>
    <row r="1750" spans="1:6" x14ac:dyDescent="0.2">
      <c r="A1750">
        <v>3593</v>
      </c>
      <c r="B1750" t="s">
        <v>294</v>
      </c>
      <c r="C1750" t="s">
        <v>566</v>
      </c>
      <c r="D1750" t="s">
        <v>604</v>
      </c>
      <c r="E1750" s="16">
        <v>45851.26494212963</v>
      </c>
      <c r="F1750">
        <v>0</v>
      </c>
    </row>
    <row r="1751" spans="1:6" x14ac:dyDescent="0.2">
      <c r="A1751">
        <v>3626</v>
      </c>
      <c r="B1751" t="s">
        <v>316</v>
      </c>
      <c r="C1751" t="s">
        <v>521</v>
      </c>
      <c r="D1751" t="s">
        <v>600</v>
      </c>
      <c r="E1751" s="16">
        <v>45773.710902777777</v>
      </c>
      <c r="F1751">
        <v>0</v>
      </c>
    </row>
    <row r="1752" spans="1:6" x14ac:dyDescent="0.2">
      <c r="A1752">
        <v>3593</v>
      </c>
      <c r="B1752" t="s">
        <v>294</v>
      </c>
      <c r="C1752" t="s">
        <v>566</v>
      </c>
      <c r="D1752" t="s">
        <v>599</v>
      </c>
      <c r="E1752" s="16">
        <v>45851.26494212963</v>
      </c>
      <c r="F1752">
        <v>0</v>
      </c>
    </row>
    <row r="1753" spans="1:6" x14ac:dyDescent="0.2">
      <c r="A1753">
        <v>3582</v>
      </c>
      <c r="B1753" t="s">
        <v>211</v>
      </c>
      <c r="C1753" t="s">
        <v>521</v>
      </c>
      <c r="D1753" t="s">
        <v>600</v>
      </c>
      <c r="E1753" s="16">
        <v>45700.446423611109</v>
      </c>
      <c r="F1753">
        <v>0</v>
      </c>
    </row>
    <row r="1754" spans="1:6" x14ac:dyDescent="0.2">
      <c r="A1754">
        <v>3605</v>
      </c>
      <c r="B1754" t="s">
        <v>268</v>
      </c>
      <c r="C1754" t="s">
        <v>521</v>
      </c>
      <c r="D1754" t="s">
        <v>605</v>
      </c>
      <c r="E1754" s="16">
        <v>45745.247511574074</v>
      </c>
      <c r="F1754">
        <v>0</v>
      </c>
    </row>
    <row r="1755" spans="1:6" x14ac:dyDescent="0.2">
      <c r="A1755">
        <v>3621</v>
      </c>
      <c r="B1755" t="s">
        <v>263</v>
      </c>
      <c r="C1755" t="s">
        <v>521</v>
      </c>
      <c r="D1755" t="s">
        <v>608</v>
      </c>
      <c r="E1755" s="16">
        <v>45766.265474537038</v>
      </c>
      <c r="F1755">
        <v>0</v>
      </c>
    </row>
    <row r="1756" spans="1:6" x14ac:dyDescent="0.2">
      <c r="A1756">
        <v>3665</v>
      </c>
      <c r="B1756" t="s">
        <v>222</v>
      </c>
      <c r="C1756" t="s">
        <v>521</v>
      </c>
      <c r="D1756" t="s">
        <v>605</v>
      </c>
      <c r="E1756" s="16">
        <v>45875.514004629629</v>
      </c>
      <c r="F1756">
        <v>0</v>
      </c>
    </row>
    <row r="1757" spans="1:6" x14ac:dyDescent="0.2">
      <c r="A1757">
        <v>3647</v>
      </c>
      <c r="B1757" t="s">
        <v>310</v>
      </c>
      <c r="C1757" t="s">
        <v>521</v>
      </c>
      <c r="D1757" t="s">
        <v>608</v>
      </c>
      <c r="E1757" s="16">
        <v>45822.282708333332</v>
      </c>
      <c r="F1757">
        <v>0</v>
      </c>
    </row>
    <row r="1758" spans="1:6" x14ac:dyDescent="0.2">
      <c r="A1758">
        <v>3610</v>
      </c>
      <c r="B1758" t="s">
        <v>305</v>
      </c>
      <c r="C1758" t="s">
        <v>566</v>
      </c>
      <c r="D1758" t="s">
        <v>604</v>
      </c>
      <c r="E1758" s="16">
        <v>45878.308877314812</v>
      </c>
      <c r="F1758">
        <v>0</v>
      </c>
    </row>
    <row r="1759" spans="1:6" x14ac:dyDescent="0.2">
      <c r="A1759">
        <v>3591</v>
      </c>
      <c r="B1759" t="s">
        <v>254</v>
      </c>
      <c r="C1759" t="s">
        <v>521</v>
      </c>
      <c r="D1759" t="s">
        <v>600</v>
      </c>
      <c r="E1759" s="16">
        <v>45713.209537037037</v>
      </c>
      <c r="F1759">
        <v>0</v>
      </c>
    </row>
    <row r="1760" spans="1:6" x14ac:dyDescent="0.2">
      <c r="A1760">
        <v>3589</v>
      </c>
      <c r="B1760" t="s">
        <v>301</v>
      </c>
      <c r="C1760" t="s">
        <v>566</v>
      </c>
      <c r="D1760" t="s">
        <v>599</v>
      </c>
      <c r="E1760" s="16">
        <v>45878.300856481481</v>
      </c>
      <c r="F1760">
        <v>0</v>
      </c>
    </row>
    <row r="1761" spans="1:6" x14ac:dyDescent="0.2">
      <c r="A1761">
        <v>3600</v>
      </c>
      <c r="B1761" t="s">
        <v>258</v>
      </c>
      <c r="C1761" t="s">
        <v>521</v>
      </c>
      <c r="D1761" t="s">
        <v>600</v>
      </c>
      <c r="E1761" s="16">
        <v>45741.256435185183</v>
      </c>
      <c r="F1761">
        <v>0</v>
      </c>
    </row>
    <row r="1762" spans="1:6" x14ac:dyDescent="0.2">
      <c r="A1762">
        <v>3621</v>
      </c>
      <c r="B1762" t="s">
        <v>263</v>
      </c>
      <c r="C1762" t="s">
        <v>566</v>
      </c>
      <c r="D1762" t="s">
        <v>604</v>
      </c>
      <c r="E1762" s="16">
        <v>45878.315416666665</v>
      </c>
      <c r="F1762">
        <v>0</v>
      </c>
    </row>
    <row r="1763" spans="1:6" x14ac:dyDescent="0.2">
      <c r="A1763">
        <v>3571</v>
      </c>
      <c r="B1763" t="s">
        <v>48</v>
      </c>
      <c r="C1763" t="s">
        <v>521</v>
      </c>
      <c r="D1763" t="s">
        <v>600</v>
      </c>
      <c r="E1763" s="16">
        <v>45684.453773148147</v>
      </c>
      <c r="F1763">
        <v>0</v>
      </c>
    </row>
    <row r="1764" spans="1:6" x14ac:dyDescent="0.2">
      <c r="A1764">
        <v>2279</v>
      </c>
      <c r="B1764" t="s">
        <v>167</v>
      </c>
      <c r="C1764" t="s">
        <v>449</v>
      </c>
      <c r="D1764" t="s">
        <v>590</v>
      </c>
      <c r="E1764" s="16">
        <v>45607.623993055553</v>
      </c>
      <c r="F1764">
        <v>0</v>
      </c>
    </row>
    <row r="1765" spans="1:6" x14ac:dyDescent="0.2">
      <c r="A1765">
        <v>3654</v>
      </c>
      <c r="B1765" t="s">
        <v>231</v>
      </c>
      <c r="C1765" t="s">
        <v>521</v>
      </c>
      <c r="D1765" t="s">
        <v>600</v>
      </c>
      <c r="E1765" s="16">
        <v>45853.293124999997</v>
      </c>
      <c r="F1765">
        <v>0</v>
      </c>
    </row>
    <row r="1766" spans="1:6" x14ac:dyDescent="0.2">
      <c r="A1766">
        <v>3664</v>
      </c>
      <c r="B1766" t="s">
        <v>313</v>
      </c>
      <c r="C1766" t="s">
        <v>521</v>
      </c>
      <c r="D1766" t="s">
        <v>605</v>
      </c>
      <c r="E1766" s="16">
        <v>45875.51190972222</v>
      </c>
      <c r="F1766">
        <v>0</v>
      </c>
    </row>
    <row r="1767" spans="1:6" x14ac:dyDescent="0.2">
      <c r="A1767">
        <v>3665</v>
      </c>
      <c r="B1767" t="s">
        <v>222</v>
      </c>
      <c r="C1767" t="s">
        <v>521</v>
      </c>
      <c r="D1767" t="s">
        <v>608</v>
      </c>
      <c r="E1767" s="16">
        <v>45875.514016203706</v>
      </c>
      <c r="F1767">
        <v>0</v>
      </c>
    </row>
    <row r="1768" spans="1:6" x14ac:dyDescent="0.2">
      <c r="A1768">
        <v>3568</v>
      </c>
      <c r="B1768" t="s">
        <v>210</v>
      </c>
      <c r="C1768" t="s">
        <v>438</v>
      </c>
      <c r="D1768" t="s">
        <v>598</v>
      </c>
      <c r="E1768" s="16">
        <v>45695.285104166665</v>
      </c>
      <c r="F1768">
        <v>0</v>
      </c>
    </row>
    <row r="1769" spans="1:6" x14ac:dyDescent="0.2">
      <c r="A1769">
        <v>3664</v>
      </c>
      <c r="B1769" t="s">
        <v>313</v>
      </c>
      <c r="C1769" t="s">
        <v>436</v>
      </c>
      <c r="D1769" t="s">
        <v>579</v>
      </c>
      <c r="E1769" s="16">
        <v>45883.572152777779</v>
      </c>
      <c r="F1769">
        <v>0</v>
      </c>
    </row>
    <row r="1770" spans="1:6" x14ac:dyDescent="0.2">
      <c r="A1770">
        <v>3672</v>
      </c>
      <c r="B1770" t="s">
        <v>323</v>
      </c>
      <c r="C1770" t="s">
        <v>521</v>
      </c>
      <c r="D1770" t="s">
        <v>605</v>
      </c>
      <c r="E1770" s="16">
        <v>45892.797662037039</v>
      </c>
      <c r="F1770">
        <v>0</v>
      </c>
    </row>
    <row r="1771" spans="1:6" x14ac:dyDescent="0.2">
      <c r="A1771">
        <v>3323</v>
      </c>
      <c r="B1771" t="s">
        <v>158</v>
      </c>
      <c r="C1771" t="s">
        <v>580</v>
      </c>
      <c r="D1771" t="s">
        <v>583</v>
      </c>
      <c r="E1771" s="16">
        <v>45895.677094907405</v>
      </c>
      <c r="F1771">
        <v>0</v>
      </c>
    </row>
    <row r="1772" spans="1:6" x14ac:dyDescent="0.2">
      <c r="A1772">
        <v>3576</v>
      </c>
      <c r="B1772" t="s">
        <v>75</v>
      </c>
      <c r="C1772" t="s">
        <v>566</v>
      </c>
      <c r="D1772" t="s">
        <v>599</v>
      </c>
      <c r="E1772" s="16">
        <v>45809.600324074076</v>
      </c>
      <c r="F1772">
        <v>0</v>
      </c>
    </row>
    <row r="1773" spans="1:6" x14ac:dyDescent="0.2">
      <c r="A1773">
        <v>3583</v>
      </c>
      <c r="B1773" t="s">
        <v>97</v>
      </c>
      <c r="C1773" t="s">
        <v>521</v>
      </c>
      <c r="D1773" t="s">
        <v>608</v>
      </c>
      <c r="E1773" s="16">
        <v>45701.310254629629</v>
      </c>
      <c r="F1773">
        <v>0</v>
      </c>
    </row>
    <row r="1774" spans="1:6" x14ac:dyDescent="0.2">
      <c r="A1774">
        <v>3606</v>
      </c>
      <c r="B1774" t="s">
        <v>265</v>
      </c>
      <c r="C1774" t="s">
        <v>580</v>
      </c>
      <c r="D1774" t="s">
        <v>589</v>
      </c>
      <c r="E1774" s="16">
        <v>45900.66337962963</v>
      </c>
      <c r="F1774">
        <v>0</v>
      </c>
    </row>
    <row r="1775" spans="1:6" x14ac:dyDescent="0.2">
      <c r="A1775">
        <v>3648</v>
      </c>
      <c r="B1775" t="s">
        <v>261</v>
      </c>
      <c r="C1775" t="s">
        <v>521</v>
      </c>
      <c r="D1775" t="s">
        <v>600</v>
      </c>
      <c r="E1775" s="16">
        <v>45838.28570601852</v>
      </c>
      <c r="F1775">
        <v>0</v>
      </c>
    </row>
    <row r="1776" spans="1:6" x14ac:dyDescent="0.2">
      <c r="A1776">
        <v>3609</v>
      </c>
      <c r="B1776" t="s">
        <v>245</v>
      </c>
      <c r="C1776" t="s">
        <v>580</v>
      </c>
      <c r="D1776" t="s">
        <v>589</v>
      </c>
      <c r="E1776" s="16">
        <v>45762.702604166669</v>
      </c>
      <c r="F1776">
        <v>0</v>
      </c>
    </row>
    <row r="1777" spans="1:6" x14ac:dyDescent="0.2">
      <c r="A1777">
        <v>3609</v>
      </c>
      <c r="B1777" t="s">
        <v>245</v>
      </c>
      <c r="C1777" t="s">
        <v>521</v>
      </c>
      <c r="D1777" t="s">
        <v>600</v>
      </c>
      <c r="E1777" s="16">
        <v>45750.270231481481</v>
      </c>
      <c r="F1777">
        <v>0</v>
      </c>
    </row>
    <row r="1778" spans="1:6" x14ac:dyDescent="0.2">
      <c r="A1778">
        <v>3609</v>
      </c>
      <c r="B1778" t="s">
        <v>245</v>
      </c>
      <c r="C1778" t="s">
        <v>580</v>
      </c>
      <c r="D1778" t="s">
        <v>581</v>
      </c>
      <c r="E1778" s="16">
        <v>45762.702604166669</v>
      </c>
      <c r="F1778">
        <v>0</v>
      </c>
    </row>
    <row r="1779" spans="1:6" x14ac:dyDescent="0.2">
      <c r="A1779">
        <v>3678</v>
      </c>
      <c r="B1779" t="s">
        <v>295</v>
      </c>
      <c r="C1779" t="s">
        <v>521</v>
      </c>
      <c r="D1779" t="s">
        <v>600</v>
      </c>
      <c r="E1779" s="16">
        <v>45907.655532407407</v>
      </c>
      <c r="F1779">
        <v>0</v>
      </c>
    </row>
    <row r="1780" spans="1:6" x14ac:dyDescent="0.2">
      <c r="A1780">
        <v>3609</v>
      </c>
      <c r="B1780" t="s">
        <v>245</v>
      </c>
      <c r="C1780" t="s">
        <v>438</v>
      </c>
      <c r="D1780" t="s">
        <v>597</v>
      </c>
      <c r="E1780" s="16">
        <v>45775.662291666667</v>
      </c>
      <c r="F1780">
        <v>0</v>
      </c>
    </row>
    <row r="1781" spans="1:6" x14ac:dyDescent="0.2">
      <c r="A1781">
        <v>3670</v>
      </c>
      <c r="B1781" t="s">
        <v>327</v>
      </c>
      <c r="C1781" t="s">
        <v>521</v>
      </c>
      <c r="D1781" t="s">
        <v>608</v>
      </c>
      <c r="E1781" s="16">
        <v>45883.234340277777</v>
      </c>
      <c r="F1781">
        <v>0</v>
      </c>
    </row>
    <row r="1782" spans="1:6" x14ac:dyDescent="0.2">
      <c r="A1782">
        <v>3585</v>
      </c>
      <c r="B1782" t="s">
        <v>314</v>
      </c>
      <c r="C1782" t="s">
        <v>566</v>
      </c>
      <c r="D1782" t="s">
        <v>599</v>
      </c>
      <c r="E1782" s="16">
        <v>45853.295243055552</v>
      </c>
      <c r="F1782">
        <v>0</v>
      </c>
    </row>
    <row r="1783" spans="1:6" x14ac:dyDescent="0.2">
      <c r="A1783">
        <v>3681</v>
      </c>
      <c r="B1783" t="s">
        <v>289</v>
      </c>
      <c r="C1783" t="s">
        <v>521</v>
      </c>
      <c r="D1783" t="s">
        <v>600</v>
      </c>
      <c r="E1783" s="16">
        <v>45919.730474537035</v>
      </c>
      <c r="F1783">
        <v>0</v>
      </c>
    </row>
    <row r="1784" spans="1:6" x14ac:dyDescent="0.2">
      <c r="A1784">
        <v>3550</v>
      </c>
      <c r="B1784" t="s">
        <v>24</v>
      </c>
      <c r="C1784" t="s">
        <v>580</v>
      </c>
      <c r="D1784" t="s">
        <v>584</v>
      </c>
      <c r="E1784" s="16">
        <v>45906.691377314812</v>
      </c>
      <c r="F1784">
        <v>0</v>
      </c>
    </row>
    <row r="1785" spans="1:6" x14ac:dyDescent="0.2">
      <c r="A1785">
        <v>3662</v>
      </c>
      <c r="B1785" t="s">
        <v>250</v>
      </c>
      <c r="C1785" t="s">
        <v>521</v>
      </c>
      <c r="D1785" t="s">
        <v>608</v>
      </c>
      <c r="E1785" s="16">
        <v>45874.469988425924</v>
      </c>
      <c r="F1785">
        <v>0</v>
      </c>
    </row>
    <row r="1786" spans="1:6" x14ac:dyDescent="0.2">
      <c r="A1786">
        <v>3625</v>
      </c>
      <c r="B1786" t="s">
        <v>276</v>
      </c>
      <c r="C1786" t="s">
        <v>566</v>
      </c>
      <c r="D1786" t="s">
        <v>604</v>
      </c>
      <c r="E1786" s="16">
        <v>45907.676134259258</v>
      </c>
      <c r="F1786">
        <v>0</v>
      </c>
    </row>
    <row r="1787" spans="1:6" x14ac:dyDescent="0.2">
      <c r="A1787">
        <v>3594</v>
      </c>
      <c r="B1787" t="s">
        <v>315</v>
      </c>
      <c r="C1787" t="s">
        <v>521</v>
      </c>
      <c r="D1787" t="s">
        <v>608</v>
      </c>
      <c r="E1787" s="16">
        <v>45722.436562499999</v>
      </c>
      <c r="F1787">
        <v>0</v>
      </c>
    </row>
    <row r="1788" spans="1:6" x14ac:dyDescent="0.2">
      <c r="A1788">
        <v>3639</v>
      </c>
      <c r="B1788" t="s">
        <v>308</v>
      </c>
      <c r="C1788" t="s">
        <v>566</v>
      </c>
      <c r="D1788" t="s">
        <v>599</v>
      </c>
      <c r="E1788" s="16">
        <v>45907.681793981479</v>
      </c>
      <c r="F1788">
        <v>0</v>
      </c>
    </row>
    <row r="1789" spans="1:6" x14ac:dyDescent="0.2">
      <c r="A1789">
        <v>3594</v>
      </c>
      <c r="B1789" t="s">
        <v>315</v>
      </c>
      <c r="C1789" t="s">
        <v>580</v>
      </c>
      <c r="D1789" t="s">
        <v>583</v>
      </c>
      <c r="E1789" s="16">
        <v>45783.340196759258</v>
      </c>
      <c r="F1789">
        <v>0</v>
      </c>
    </row>
    <row r="1790" spans="1:6" x14ac:dyDescent="0.2">
      <c r="A1790">
        <v>3206</v>
      </c>
      <c r="B1790" t="s">
        <v>171</v>
      </c>
      <c r="C1790" t="s">
        <v>580</v>
      </c>
      <c r="D1790" t="s">
        <v>581</v>
      </c>
      <c r="E1790" s="16">
        <v>45908.607303240744</v>
      </c>
      <c r="F1790">
        <v>0</v>
      </c>
    </row>
    <row r="1791" spans="1:6" x14ac:dyDescent="0.2">
      <c r="A1791">
        <v>3686</v>
      </c>
      <c r="B1791" t="s">
        <v>233</v>
      </c>
      <c r="C1791" t="s">
        <v>521</v>
      </c>
      <c r="D1791" t="s">
        <v>608</v>
      </c>
      <c r="E1791" s="16">
        <v>45944.226261574076</v>
      </c>
      <c r="F1791">
        <v>0</v>
      </c>
    </row>
    <row r="1792" spans="1:6" x14ac:dyDescent="0.2">
      <c r="A1792">
        <v>3562</v>
      </c>
      <c r="B1792" t="s">
        <v>49</v>
      </c>
      <c r="C1792" t="s">
        <v>449</v>
      </c>
      <c r="D1792" t="s">
        <v>590</v>
      </c>
      <c r="E1792" s="16">
        <v>45909.355891203704</v>
      </c>
      <c r="F1792">
        <v>0</v>
      </c>
    </row>
    <row r="1793" spans="1:6" x14ac:dyDescent="0.2">
      <c r="A1793">
        <v>3677</v>
      </c>
      <c r="B1793" t="s">
        <v>283</v>
      </c>
      <c r="C1793" t="s">
        <v>580</v>
      </c>
      <c r="D1793" t="s">
        <v>583</v>
      </c>
      <c r="E1793" s="16">
        <v>45925.319027777776</v>
      </c>
      <c r="F1793">
        <v>0</v>
      </c>
    </row>
    <row r="1794" spans="1:6" x14ac:dyDescent="0.2">
      <c r="A1794">
        <v>3672</v>
      </c>
      <c r="B1794" t="s">
        <v>323</v>
      </c>
      <c r="C1794" t="s">
        <v>438</v>
      </c>
      <c r="D1794" t="s">
        <v>598</v>
      </c>
      <c r="E1794" s="16">
        <v>45911.3671875</v>
      </c>
      <c r="F1794">
        <v>0</v>
      </c>
    </row>
    <row r="1795" spans="1:6" x14ac:dyDescent="0.2">
      <c r="A1795">
        <v>3676</v>
      </c>
      <c r="B1795" t="s">
        <v>239</v>
      </c>
      <c r="C1795" t="s">
        <v>521</v>
      </c>
      <c r="D1795" t="s">
        <v>600</v>
      </c>
      <c r="E1795" s="16">
        <v>45903.526018518518</v>
      </c>
      <c r="F1795">
        <v>0</v>
      </c>
    </row>
    <row r="1796" spans="1:6" x14ac:dyDescent="0.2">
      <c r="A1796">
        <v>3670</v>
      </c>
      <c r="B1796" t="s">
        <v>327</v>
      </c>
      <c r="C1796" t="s">
        <v>580</v>
      </c>
      <c r="D1796" t="s">
        <v>581</v>
      </c>
      <c r="E1796" s="16">
        <v>45911.352337962962</v>
      </c>
      <c r="F1796">
        <v>0</v>
      </c>
    </row>
    <row r="1797" spans="1:6" x14ac:dyDescent="0.2">
      <c r="A1797">
        <v>3569</v>
      </c>
      <c r="B1797" t="s">
        <v>22</v>
      </c>
      <c r="C1797" t="s">
        <v>521</v>
      </c>
      <c r="D1797" t="s">
        <v>608</v>
      </c>
      <c r="E1797" s="16">
        <v>45680.410520833335</v>
      </c>
      <c r="F1797">
        <v>0</v>
      </c>
    </row>
    <row r="1798" spans="1:6" x14ac:dyDescent="0.2">
      <c r="A1798">
        <v>3678</v>
      </c>
      <c r="B1798" t="s">
        <v>295</v>
      </c>
      <c r="C1798" t="s">
        <v>449</v>
      </c>
      <c r="D1798" t="s">
        <v>590</v>
      </c>
      <c r="E1798" s="16">
        <v>45916.349675925929</v>
      </c>
      <c r="F1798">
        <v>0</v>
      </c>
    </row>
    <row r="1799" spans="1:6" x14ac:dyDescent="0.2">
      <c r="A1799">
        <v>3690</v>
      </c>
      <c r="B1799" t="s">
        <v>235</v>
      </c>
      <c r="C1799" t="s">
        <v>521</v>
      </c>
      <c r="D1799" t="s">
        <v>600</v>
      </c>
      <c r="E1799" s="16">
        <v>45953.207881944443</v>
      </c>
      <c r="F1799">
        <v>0</v>
      </c>
    </row>
    <row r="1800" spans="1:6" x14ac:dyDescent="0.2">
      <c r="A1800">
        <v>3624</v>
      </c>
      <c r="B1800" t="s">
        <v>302</v>
      </c>
      <c r="C1800" t="s">
        <v>566</v>
      </c>
      <c r="D1800" t="s">
        <v>604</v>
      </c>
      <c r="E1800" s="16">
        <v>45907.677893518521</v>
      </c>
      <c r="F1800">
        <v>0</v>
      </c>
    </row>
    <row r="1801" spans="1:6" x14ac:dyDescent="0.2">
      <c r="A1801">
        <v>3640</v>
      </c>
      <c r="B1801" t="s">
        <v>248</v>
      </c>
      <c r="C1801" t="s">
        <v>521</v>
      </c>
      <c r="D1801" t="s">
        <v>600</v>
      </c>
      <c r="E1801" s="16">
        <v>45792.227685185186</v>
      </c>
      <c r="F1801">
        <v>0</v>
      </c>
    </row>
    <row r="1802" spans="1:6" x14ac:dyDescent="0.2">
      <c r="A1802">
        <v>3624</v>
      </c>
      <c r="B1802" t="s">
        <v>302</v>
      </c>
      <c r="C1802" t="s">
        <v>518</v>
      </c>
      <c r="D1802" t="s">
        <v>591</v>
      </c>
      <c r="E1802" s="16">
        <v>45793.540497685186</v>
      </c>
      <c r="F1802">
        <v>0</v>
      </c>
    </row>
    <row r="1803" spans="1:6" x14ac:dyDescent="0.2">
      <c r="A1803">
        <v>3645</v>
      </c>
      <c r="B1803" t="s">
        <v>320</v>
      </c>
      <c r="C1803" t="s">
        <v>521</v>
      </c>
      <c r="D1803" t="s">
        <v>608</v>
      </c>
      <c r="E1803" s="16">
        <v>45809.574849537035</v>
      </c>
      <c r="F1803">
        <v>0</v>
      </c>
    </row>
    <row r="1804" spans="1:6" x14ac:dyDescent="0.2">
      <c r="A1804">
        <v>3624</v>
      </c>
      <c r="B1804" t="s">
        <v>302</v>
      </c>
      <c r="C1804" t="s">
        <v>438</v>
      </c>
      <c r="D1804" t="s">
        <v>598</v>
      </c>
      <c r="E1804" s="16">
        <v>45793.540497685186</v>
      </c>
      <c r="F1804">
        <v>0</v>
      </c>
    </row>
    <row r="1805" spans="1:6" x14ac:dyDescent="0.2">
      <c r="A1805">
        <v>3688</v>
      </c>
      <c r="B1805" t="s">
        <v>303</v>
      </c>
      <c r="C1805" t="s">
        <v>521</v>
      </c>
      <c r="D1805" t="s">
        <v>608</v>
      </c>
      <c r="E1805" s="16">
        <v>45949.258333333331</v>
      </c>
      <c r="F1805">
        <v>0</v>
      </c>
    </row>
    <row r="1806" spans="1:6" x14ac:dyDescent="0.2">
      <c r="A1806">
        <v>3594</v>
      </c>
      <c r="B1806" t="s">
        <v>315</v>
      </c>
      <c r="C1806" t="s">
        <v>566</v>
      </c>
      <c r="D1806" t="s">
        <v>604</v>
      </c>
      <c r="E1806" s="16">
        <v>45851.263599537036</v>
      </c>
      <c r="F1806">
        <v>0</v>
      </c>
    </row>
    <row r="1807" spans="1:6" x14ac:dyDescent="0.2">
      <c r="A1807">
        <v>3688</v>
      </c>
      <c r="B1807" t="s">
        <v>303</v>
      </c>
      <c r="C1807" t="s">
        <v>521</v>
      </c>
      <c r="D1807" t="s">
        <v>600</v>
      </c>
      <c r="E1807" s="16">
        <v>45949.258333333331</v>
      </c>
      <c r="F1807">
        <v>0</v>
      </c>
    </row>
    <row r="1808" spans="1:6" x14ac:dyDescent="0.2">
      <c r="A1808">
        <v>3649</v>
      </c>
      <c r="B1808" t="s">
        <v>312</v>
      </c>
      <c r="C1808" t="s">
        <v>521</v>
      </c>
      <c r="D1808" t="s">
        <v>605</v>
      </c>
      <c r="E1808" s="16">
        <v>45841.305879629632</v>
      </c>
      <c r="F1808">
        <v>0</v>
      </c>
    </row>
    <row r="1809" spans="1:6" x14ac:dyDescent="0.2">
      <c r="A1809">
        <v>3693</v>
      </c>
      <c r="B1809" t="s">
        <v>271</v>
      </c>
      <c r="C1809" t="s">
        <v>521</v>
      </c>
      <c r="D1809" t="s">
        <v>600</v>
      </c>
      <c r="E1809" s="16">
        <v>45962.257106481484</v>
      </c>
      <c r="F1809">
        <v>0</v>
      </c>
    </row>
    <row r="1810" spans="1:6" x14ac:dyDescent="0.2">
      <c r="A1810">
        <v>3598</v>
      </c>
      <c r="B1810" t="s">
        <v>318</v>
      </c>
      <c r="C1810" t="s">
        <v>566</v>
      </c>
      <c r="D1810" t="s">
        <v>604</v>
      </c>
      <c r="E1810" s="16">
        <v>45878.301874999997</v>
      </c>
      <c r="F1810">
        <v>0</v>
      </c>
    </row>
    <row r="1811" spans="1:6" x14ac:dyDescent="0.2">
      <c r="A1811">
        <v>3693</v>
      </c>
      <c r="B1811" t="s">
        <v>271</v>
      </c>
      <c r="C1811" t="s">
        <v>521</v>
      </c>
      <c r="D1811" t="s">
        <v>608</v>
      </c>
      <c r="E1811" s="16">
        <v>45962.257106481484</v>
      </c>
      <c r="F1811">
        <v>0</v>
      </c>
    </row>
    <row r="1812" spans="1:6" x14ac:dyDescent="0.2">
      <c r="A1812">
        <v>3677</v>
      </c>
      <c r="B1812" t="s">
        <v>283</v>
      </c>
      <c r="C1812" t="s">
        <v>580</v>
      </c>
      <c r="D1812" t="s">
        <v>584</v>
      </c>
      <c r="E1812" s="16">
        <v>45925.319027777776</v>
      </c>
      <c r="F1812">
        <v>0</v>
      </c>
    </row>
    <row r="1813" spans="1:6" x14ac:dyDescent="0.2">
      <c r="A1813">
        <v>3695</v>
      </c>
      <c r="B1813" t="s">
        <v>615</v>
      </c>
      <c r="C1813" t="s">
        <v>521</v>
      </c>
      <c r="D1813" t="s">
        <v>600</v>
      </c>
      <c r="E1813" s="16">
        <v>45967.206828703704</v>
      </c>
      <c r="F1813">
        <v>0</v>
      </c>
    </row>
    <row r="1814" spans="1:6" x14ac:dyDescent="0.2">
      <c r="A1814">
        <v>3677</v>
      </c>
      <c r="B1814" t="s">
        <v>283</v>
      </c>
      <c r="C1814" t="s">
        <v>438</v>
      </c>
      <c r="D1814" t="s">
        <v>597</v>
      </c>
      <c r="E1814" s="16">
        <v>45923.410231481481</v>
      </c>
      <c r="F1814">
        <v>0</v>
      </c>
    </row>
    <row r="1815" spans="1:6" x14ac:dyDescent="0.2">
      <c r="A1815">
        <v>3687</v>
      </c>
      <c r="B1815" t="s">
        <v>252</v>
      </c>
      <c r="C1815" t="s">
        <v>521</v>
      </c>
      <c r="D1815" t="s">
        <v>608</v>
      </c>
      <c r="E1815" s="16">
        <v>45946.230856481481</v>
      </c>
      <c r="F1815">
        <v>0</v>
      </c>
    </row>
    <row r="1816" spans="1:6" x14ac:dyDescent="0.2">
      <c r="A1816">
        <v>3569</v>
      </c>
      <c r="B1816" t="s">
        <v>22</v>
      </c>
      <c r="C1816" t="s">
        <v>521</v>
      </c>
      <c r="D1816" t="s">
        <v>605</v>
      </c>
      <c r="E1816" s="16">
        <v>45680.410520833335</v>
      </c>
      <c r="F1816">
        <v>0</v>
      </c>
    </row>
    <row r="1817" spans="1:6" x14ac:dyDescent="0.2">
      <c r="A1817">
        <v>3592</v>
      </c>
      <c r="B1817" t="s">
        <v>272</v>
      </c>
      <c r="C1817" t="s">
        <v>521</v>
      </c>
      <c r="D1817" t="s">
        <v>608</v>
      </c>
      <c r="E1817" s="16">
        <v>45714.745740740742</v>
      </c>
      <c r="F1817">
        <v>0</v>
      </c>
    </row>
    <row r="1818" spans="1:6" x14ac:dyDescent="0.2">
      <c r="A1818">
        <v>3569</v>
      </c>
      <c r="B1818" t="s">
        <v>22</v>
      </c>
      <c r="C1818" t="s">
        <v>580</v>
      </c>
      <c r="D1818" t="s">
        <v>581</v>
      </c>
      <c r="E1818" s="16">
        <v>45924.385682870372</v>
      </c>
      <c r="F1818">
        <v>0</v>
      </c>
    </row>
    <row r="1819" spans="1:6" x14ac:dyDescent="0.2">
      <c r="A1819">
        <v>3562</v>
      </c>
      <c r="B1819" t="s">
        <v>49</v>
      </c>
      <c r="C1819" t="s">
        <v>521</v>
      </c>
      <c r="D1819" t="s">
        <v>600</v>
      </c>
      <c r="E1819" s="16">
        <v>45663.721226851849</v>
      </c>
      <c r="F1819">
        <v>0</v>
      </c>
    </row>
    <row r="1820" spans="1:6" x14ac:dyDescent="0.2">
      <c r="A1820">
        <v>3689</v>
      </c>
      <c r="B1820" t="s">
        <v>288</v>
      </c>
      <c r="C1820" t="s">
        <v>449</v>
      </c>
      <c r="D1820" t="s">
        <v>590</v>
      </c>
      <c r="E1820" s="16">
        <v>45950.771724537037</v>
      </c>
      <c r="F1820">
        <v>0</v>
      </c>
    </row>
    <row r="1821" spans="1:6" x14ac:dyDescent="0.2">
      <c r="A1821">
        <v>3593</v>
      </c>
      <c r="B1821" t="s">
        <v>294</v>
      </c>
      <c r="C1821" t="s">
        <v>521</v>
      </c>
      <c r="D1821" t="s">
        <v>608</v>
      </c>
      <c r="E1821" s="16">
        <v>45722.433518518519</v>
      </c>
      <c r="F1821">
        <v>0</v>
      </c>
    </row>
    <row r="1822" spans="1:6" x14ac:dyDescent="0.2">
      <c r="A1822">
        <v>3199</v>
      </c>
      <c r="B1822" t="s">
        <v>168</v>
      </c>
      <c r="C1822" t="s">
        <v>580</v>
      </c>
      <c r="D1822" t="s">
        <v>589</v>
      </c>
      <c r="E1822" s="16">
        <v>45952.533530092594</v>
      </c>
      <c r="F1822">
        <v>0</v>
      </c>
    </row>
    <row r="1823" spans="1:6" x14ac:dyDescent="0.2">
      <c r="A1823">
        <v>3606</v>
      </c>
      <c r="B1823" t="s">
        <v>265</v>
      </c>
      <c r="C1823" t="s">
        <v>521</v>
      </c>
      <c r="D1823" t="s">
        <v>608</v>
      </c>
      <c r="E1823" s="16">
        <v>45747.736527777779</v>
      </c>
      <c r="F1823">
        <v>0</v>
      </c>
    </row>
    <row r="1824" spans="1:6" x14ac:dyDescent="0.2">
      <c r="A1824">
        <v>3640</v>
      </c>
      <c r="B1824" t="s">
        <v>248</v>
      </c>
      <c r="C1824" t="s">
        <v>438</v>
      </c>
      <c r="D1824" t="s">
        <v>598</v>
      </c>
      <c r="E1824" s="16">
        <v>45804.528275462966</v>
      </c>
      <c r="F1824">
        <v>0</v>
      </c>
    </row>
    <row r="1825" spans="1:6" x14ac:dyDescent="0.2">
      <c r="A1825">
        <v>3625</v>
      </c>
      <c r="B1825" t="s">
        <v>276</v>
      </c>
      <c r="C1825" t="s">
        <v>521</v>
      </c>
      <c r="D1825" t="s">
        <v>608</v>
      </c>
      <c r="E1825" s="16">
        <v>45773.707280092596</v>
      </c>
      <c r="F1825">
        <v>0</v>
      </c>
    </row>
    <row r="1826" spans="1:6" x14ac:dyDescent="0.2">
      <c r="A1826">
        <v>3645</v>
      </c>
      <c r="B1826" t="s">
        <v>320</v>
      </c>
      <c r="C1826" t="s">
        <v>521</v>
      </c>
      <c r="D1826" t="s">
        <v>605</v>
      </c>
      <c r="E1826" s="16">
        <v>45809.574849537035</v>
      </c>
      <c r="F1826">
        <v>0</v>
      </c>
    </row>
    <row r="1827" spans="1:6" x14ac:dyDescent="0.2">
      <c r="A1827">
        <v>3637</v>
      </c>
      <c r="B1827" t="s">
        <v>304</v>
      </c>
      <c r="C1827" t="s">
        <v>521</v>
      </c>
      <c r="D1827" t="s">
        <v>608</v>
      </c>
      <c r="E1827" s="16">
        <v>45788.750347222223</v>
      </c>
      <c r="F1827">
        <v>0</v>
      </c>
    </row>
    <row r="1828" spans="1:6" x14ac:dyDescent="0.2">
      <c r="A1828">
        <v>3648</v>
      </c>
      <c r="B1828" t="s">
        <v>261</v>
      </c>
      <c r="C1828" t="s">
        <v>566</v>
      </c>
      <c r="D1828" t="s">
        <v>599</v>
      </c>
      <c r="E1828" s="16">
        <v>45962.245023148149</v>
      </c>
      <c r="F1828">
        <v>0</v>
      </c>
    </row>
    <row r="1829" spans="1:6" x14ac:dyDescent="0.2">
      <c r="A1829">
        <v>3626</v>
      </c>
      <c r="B1829" t="s">
        <v>316</v>
      </c>
      <c r="C1829" t="s">
        <v>521</v>
      </c>
      <c r="D1829" t="s">
        <v>608</v>
      </c>
      <c r="E1829" s="16">
        <v>45773.710902777777</v>
      </c>
      <c r="F1829">
        <v>0</v>
      </c>
    </row>
    <row r="1830" spans="1:6" x14ac:dyDescent="0.2">
      <c r="A1830">
        <v>3696</v>
      </c>
      <c r="B1830" t="s">
        <v>613</v>
      </c>
      <c r="C1830" t="s">
        <v>521</v>
      </c>
      <c r="D1830" t="s">
        <v>605</v>
      </c>
      <c r="E1830" s="16">
        <v>45967.217557870368</v>
      </c>
      <c r="F1830">
        <v>0</v>
      </c>
    </row>
    <row r="1831" spans="1:6" x14ac:dyDescent="0.2">
      <c r="A1831">
        <v>3632</v>
      </c>
      <c r="B1831" t="s">
        <v>238</v>
      </c>
      <c r="C1831" t="s">
        <v>521</v>
      </c>
      <c r="D1831" t="s">
        <v>608</v>
      </c>
      <c r="E1831" s="16">
        <v>45783.904733796298</v>
      </c>
      <c r="F1831">
        <v>0</v>
      </c>
    </row>
    <row r="1832" spans="1:6" x14ac:dyDescent="0.2">
      <c r="A1832">
        <v>3546</v>
      </c>
      <c r="B1832" t="s">
        <v>144</v>
      </c>
      <c r="C1832" t="s">
        <v>566</v>
      </c>
      <c r="D1832" t="s">
        <v>604</v>
      </c>
      <c r="E1832" s="16">
        <v>45639.786076388889</v>
      </c>
      <c r="F1832">
        <v>0</v>
      </c>
    </row>
    <row r="1833" spans="1:6" x14ac:dyDescent="0.2">
      <c r="A1833">
        <v>3584</v>
      </c>
      <c r="B1833" t="s">
        <v>57</v>
      </c>
      <c r="C1833" t="s">
        <v>521</v>
      </c>
      <c r="D1833" t="s">
        <v>600</v>
      </c>
      <c r="E1833" s="16">
        <v>45817.315358796295</v>
      </c>
      <c r="F1833">
        <v>0</v>
      </c>
    </row>
    <row r="1834" spans="1:6" x14ac:dyDescent="0.2">
      <c r="A1834">
        <v>3544</v>
      </c>
      <c r="B1834" t="s">
        <v>15</v>
      </c>
      <c r="C1834" t="s">
        <v>566</v>
      </c>
      <c r="D1834" t="s">
        <v>599</v>
      </c>
      <c r="E1834" s="16">
        <v>45639.772141203706</v>
      </c>
      <c r="F1834">
        <v>0</v>
      </c>
    </row>
    <row r="1835" spans="1:6" x14ac:dyDescent="0.2">
      <c r="A1835">
        <v>3647</v>
      </c>
      <c r="B1835" t="s">
        <v>310</v>
      </c>
      <c r="C1835" t="s">
        <v>521</v>
      </c>
      <c r="D1835" t="s">
        <v>600</v>
      </c>
      <c r="E1835" s="16">
        <v>45822.282708333332</v>
      </c>
      <c r="F1835">
        <v>0</v>
      </c>
    </row>
    <row r="1836" spans="1:6" x14ac:dyDescent="0.2">
      <c r="A1836">
        <v>3579</v>
      </c>
      <c r="B1836" t="s">
        <v>193</v>
      </c>
      <c r="C1836" t="s">
        <v>521</v>
      </c>
      <c r="D1836" t="s">
        <v>605</v>
      </c>
      <c r="E1836" s="16">
        <v>45697.188518518517</v>
      </c>
      <c r="F1836">
        <v>0</v>
      </c>
    </row>
    <row r="1837" spans="1:6" x14ac:dyDescent="0.2">
      <c r="A1837">
        <v>3591</v>
      </c>
      <c r="B1837" t="s">
        <v>254</v>
      </c>
      <c r="C1837" t="s">
        <v>521</v>
      </c>
      <c r="D1837" t="s">
        <v>608</v>
      </c>
      <c r="E1837" s="16">
        <v>45713.209537037037</v>
      </c>
      <c r="F1837">
        <v>0</v>
      </c>
    </row>
    <row r="1838" spans="1:6" x14ac:dyDescent="0.2">
      <c r="A1838">
        <v>3589</v>
      </c>
      <c r="B1838" t="s">
        <v>301</v>
      </c>
      <c r="C1838" t="s">
        <v>521</v>
      </c>
      <c r="D1838" t="s">
        <v>605</v>
      </c>
      <c r="E1838" s="16">
        <v>45710.210173611114</v>
      </c>
      <c r="F1838">
        <v>0</v>
      </c>
    </row>
    <row r="1839" spans="1:6" x14ac:dyDescent="0.2">
      <c r="A1839">
        <v>3571</v>
      </c>
      <c r="B1839" t="s">
        <v>48</v>
      </c>
      <c r="C1839" t="s">
        <v>521</v>
      </c>
      <c r="D1839" t="s">
        <v>608</v>
      </c>
      <c r="E1839" s="16">
        <v>45685.275289351855</v>
      </c>
      <c r="F1839">
        <v>0</v>
      </c>
    </row>
    <row r="1840" spans="1:6" x14ac:dyDescent="0.2">
      <c r="A1840">
        <v>3599</v>
      </c>
      <c r="B1840" t="s">
        <v>281</v>
      </c>
      <c r="C1840" t="s">
        <v>521</v>
      </c>
      <c r="D1840" t="s">
        <v>605</v>
      </c>
      <c r="E1840" s="16">
        <v>45740.450844907406</v>
      </c>
      <c r="F1840">
        <v>0</v>
      </c>
    </row>
    <row r="1841" spans="1:6" x14ac:dyDescent="0.2">
      <c r="A1841">
        <v>3610</v>
      </c>
      <c r="B1841" t="s">
        <v>305</v>
      </c>
      <c r="C1841" t="s">
        <v>521</v>
      </c>
      <c r="D1841" t="s">
        <v>608</v>
      </c>
      <c r="E1841" s="16">
        <v>45750.273263888892</v>
      </c>
      <c r="F1841">
        <v>0</v>
      </c>
    </row>
    <row r="1842" spans="1:6" x14ac:dyDescent="0.2">
      <c r="A1842">
        <v>3564</v>
      </c>
      <c r="B1842" t="s">
        <v>84</v>
      </c>
      <c r="C1842" t="s">
        <v>521</v>
      </c>
      <c r="D1842" t="s">
        <v>605</v>
      </c>
      <c r="E1842" s="16">
        <v>45668.202303240738</v>
      </c>
      <c r="F1842">
        <v>0</v>
      </c>
    </row>
    <row r="1843" spans="1:6" x14ac:dyDescent="0.2">
      <c r="A1843">
        <v>3644</v>
      </c>
      <c r="B1843" t="s">
        <v>299</v>
      </c>
      <c r="C1843" t="s">
        <v>521</v>
      </c>
      <c r="D1843" t="s">
        <v>600</v>
      </c>
      <c r="E1843" s="16">
        <v>45807.253159722219</v>
      </c>
      <c r="F1843">
        <v>0</v>
      </c>
    </row>
    <row r="1844" spans="1:6" x14ac:dyDescent="0.2">
      <c r="A1844">
        <v>3615</v>
      </c>
      <c r="B1844" t="s">
        <v>236</v>
      </c>
      <c r="C1844" t="s">
        <v>521</v>
      </c>
      <c r="D1844" t="s">
        <v>605</v>
      </c>
      <c r="E1844" s="16">
        <v>45756.323969907404</v>
      </c>
      <c r="F1844">
        <v>0</v>
      </c>
    </row>
    <row r="1845" spans="1:6" x14ac:dyDescent="0.2">
      <c r="A1845">
        <v>3644</v>
      </c>
      <c r="B1845" t="s">
        <v>299</v>
      </c>
      <c r="C1845" t="s">
        <v>580</v>
      </c>
      <c r="D1845" t="s">
        <v>583</v>
      </c>
      <c r="E1845" s="16">
        <v>45840.619074074071</v>
      </c>
      <c r="F1845">
        <v>0</v>
      </c>
    </row>
    <row r="1846" spans="1:6" x14ac:dyDescent="0.2">
      <c r="A1846">
        <v>3614</v>
      </c>
      <c r="B1846" t="s">
        <v>217</v>
      </c>
      <c r="C1846" t="s">
        <v>580</v>
      </c>
      <c r="D1846" t="s">
        <v>589</v>
      </c>
      <c r="E1846" s="16">
        <v>45763.364895833336</v>
      </c>
      <c r="F1846">
        <v>0</v>
      </c>
    </row>
    <row r="1847" spans="1:6" x14ac:dyDescent="0.2">
      <c r="A1847">
        <v>3660</v>
      </c>
      <c r="B1847" t="s">
        <v>285</v>
      </c>
      <c r="C1847" t="s">
        <v>521</v>
      </c>
      <c r="D1847" t="s">
        <v>608</v>
      </c>
      <c r="E1847" s="16">
        <v>45874.465428240743</v>
      </c>
      <c r="F1847">
        <v>0</v>
      </c>
    </row>
    <row r="1848" spans="1:6" x14ac:dyDescent="0.2">
      <c r="A1848">
        <v>3625</v>
      </c>
      <c r="B1848" t="s">
        <v>276</v>
      </c>
      <c r="C1848" t="s">
        <v>521</v>
      </c>
      <c r="D1848" t="s">
        <v>605</v>
      </c>
      <c r="E1848" s="16">
        <v>45773.707280092596</v>
      </c>
      <c r="F1848">
        <v>0</v>
      </c>
    </row>
    <row r="1849" spans="1:6" x14ac:dyDescent="0.2">
      <c r="A1849">
        <v>3663</v>
      </c>
      <c r="B1849" t="s">
        <v>278</v>
      </c>
      <c r="C1849" t="s">
        <v>521</v>
      </c>
      <c r="D1849" t="s">
        <v>608</v>
      </c>
      <c r="E1849" s="16">
        <v>45875.509421296294</v>
      </c>
      <c r="F1849">
        <v>0</v>
      </c>
    </row>
    <row r="1850" spans="1:6" x14ac:dyDescent="0.2">
      <c r="A1850">
        <v>3636</v>
      </c>
      <c r="B1850" t="s">
        <v>270</v>
      </c>
      <c r="C1850" t="s">
        <v>521</v>
      </c>
      <c r="D1850" t="s">
        <v>605</v>
      </c>
      <c r="E1850" s="16">
        <v>45788.748032407406</v>
      </c>
      <c r="F1850">
        <v>0</v>
      </c>
    </row>
    <row r="1851" spans="1:6" x14ac:dyDescent="0.2">
      <c r="A1851">
        <v>3667</v>
      </c>
      <c r="B1851" t="s">
        <v>274</v>
      </c>
      <c r="C1851" t="s">
        <v>521</v>
      </c>
      <c r="D1851" t="s">
        <v>600</v>
      </c>
      <c r="E1851" s="16">
        <v>45878.286956018521</v>
      </c>
      <c r="F1851">
        <v>0</v>
      </c>
    </row>
    <row r="1852" spans="1:6" x14ac:dyDescent="0.2">
      <c r="A1852">
        <v>3637</v>
      </c>
      <c r="B1852" t="s">
        <v>304</v>
      </c>
      <c r="C1852" t="s">
        <v>521</v>
      </c>
      <c r="D1852" t="s">
        <v>605</v>
      </c>
      <c r="E1852" s="16">
        <v>45788.750347222223</v>
      </c>
      <c r="F1852">
        <v>0</v>
      </c>
    </row>
    <row r="1853" spans="1:6" x14ac:dyDescent="0.2">
      <c r="A1853">
        <v>3568</v>
      </c>
      <c r="B1853" t="s">
        <v>210</v>
      </c>
      <c r="C1853" t="s">
        <v>521</v>
      </c>
      <c r="D1853" t="s">
        <v>608</v>
      </c>
      <c r="E1853" s="16">
        <v>45678.487685185188</v>
      </c>
      <c r="F1853">
        <v>0</v>
      </c>
    </row>
    <row r="1854" spans="1:6" x14ac:dyDescent="0.2">
      <c r="A1854">
        <v>3589</v>
      </c>
      <c r="B1854" t="s">
        <v>301</v>
      </c>
      <c r="C1854" t="s">
        <v>438</v>
      </c>
      <c r="D1854" t="s">
        <v>597</v>
      </c>
      <c r="E1854" s="16">
        <v>45790.762175925927</v>
      </c>
      <c r="F1854">
        <v>0</v>
      </c>
    </row>
    <row r="1855" spans="1:6" x14ac:dyDescent="0.2">
      <c r="A1855">
        <v>3576</v>
      </c>
      <c r="B1855" t="s">
        <v>75</v>
      </c>
      <c r="C1855" t="s">
        <v>521</v>
      </c>
      <c r="D1855" t="s">
        <v>608</v>
      </c>
      <c r="E1855" s="16">
        <v>45691.699594907404</v>
      </c>
      <c r="F1855">
        <v>0</v>
      </c>
    </row>
    <row r="1856" spans="1:6" x14ac:dyDescent="0.2">
      <c r="A1856">
        <v>3639</v>
      </c>
      <c r="B1856" t="s">
        <v>308</v>
      </c>
      <c r="C1856" t="s">
        <v>521</v>
      </c>
      <c r="D1856" t="s">
        <v>605</v>
      </c>
      <c r="E1856" s="16">
        <v>45791.366180555553</v>
      </c>
      <c r="F1856">
        <v>0</v>
      </c>
    </row>
    <row r="1857" spans="1:6" x14ac:dyDescent="0.2">
      <c r="A1857">
        <v>3585</v>
      </c>
      <c r="B1857" t="s">
        <v>314</v>
      </c>
      <c r="C1857" t="s">
        <v>521</v>
      </c>
      <c r="D1857" t="s">
        <v>600</v>
      </c>
      <c r="E1857" s="16">
        <v>45706.184282407405</v>
      </c>
      <c r="F1857">
        <v>0</v>
      </c>
    </row>
    <row r="1858" spans="1:6" x14ac:dyDescent="0.2">
      <c r="A1858">
        <v>3550</v>
      </c>
      <c r="B1858" t="s">
        <v>24</v>
      </c>
      <c r="C1858" t="s">
        <v>566</v>
      </c>
      <c r="D1858" t="s">
        <v>599</v>
      </c>
      <c r="E1858" s="16">
        <v>45667.693749999999</v>
      </c>
      <c r="F1858">
        <v>0</v>
      </c>
    </row>
    <row r="1859" spans="1:6" x14ac:dyDescent="0.2">
      <c r="A1859">
        <v>3678</v>
      </c>
      <c r="B1859" t="s">
        <v>295</v>
      </c>
      <c r="C1859" t="s">
        <v>521</v>
      </c>
      <c r="D1859" t="s">
        <v>608</v>
      </c>
      <c r="E1859" s="16">
        <v>45907.655532407407</v>
      </c>
      <c r="F1859">
        <v>0</v>
      </c>
    </row>
    <row r="1860" spans="1:6" x14ac:dyDescent="0.2">
      <c r="A1860">
        <v>3550</v>
      </c>
      <c r="B1860" t="s">
        <v>24</v>
      </c>
      <c r="C1860" t="s">
        <v>566</v>
      </c>
      <c r="D1860" t="s">
        <v>604</v>
      </c>
      <c r="E1860" s="16">
        <v>45667.693749999999</v>
      </c>
      <c r="F1860">
        <v>0</v>
      </c>
    </row>
    <row r="1861" spans="1:6" x14ac:dyDescent="0.2">
      <c r="A1861">
        <v>3678</v>
      </c>
      <c r="B1861" t="s">
        <v>295</v>
      </c>
      <c r="C1861" t="s">
        <v>436</v>
      </c>
      <c r="D1861" t="s">
        <v>579</v>
      </c>
      <c r="E1861" s="16">
        <v>45916.351076388892</v>
      </c>
      <c r="F1861">
        <v>0</v>
      </c>
    </row>
    <row r="1862" spans="1:6" x14ac:dyDescent="0.2">
      <c r="A1862">
        <v>3562</v>
      </c>
      <c r="B1862" t="s">
        <v>49</v>
      </c>
      <c r="C1862" t="s">
        <v>566</v>
      </c>
      <c r="D1862" t="s">
        <v>599</v>
      </c>
      <c r="E1862" s="16">
        <v>45795.671678240738</v>
      </c>
      <c r="F1862">
        <v>0</v>
      </c>
    </row>
    <row r="1863" spans="1:6" x14ac:dyDescent="0.2">
      <c r="A1863">
        <v>3624</v>
      </c>
      <c r="B1863" t="s">
        <v>302</v>
      </c>
      <c r="C1863" t="s">
        <v>521</v>
      </c>
      <c r="D1863" t="s">
        <v>600</v>
      </c>
      <c r="E1863" s="16">
        <v>45773.703344907408</v>
      </c>
      <c r="F1863">
        <v>0</v>
      </c>
    </row>
    <row r="1864" spans="1:6" x14ac:dyDescent="0.2">
      <c r="A1864">
        <v>3564</v>
      </c>
      <c r="B1864" t="s">
        <v>84</v>
      </c>
      <c r="C1864" t="s">
        <v>566</v>
      </c>
      <c r="D1864" t="s">
        <v>604</v>
      </c>
      <c r="E1864" s="16">
        <v>45795.675439814811</v>
      </c>
      <c r="F1864">
        <v>0</v>
      </c>
    </row>
    <row r="1865" spans="1:6" x14ac:dyDescent="0.2">
      <c r="A1865">
        <v>3681</v>
      </c>
      <c r="B1865" t="s">
        <v>289</v>
      </c>
      <c r="C1865" t="s">
        <v>521</v>
      </c>
      <c r="D1865" t="s">
        <v>608</v>
      </c>
      <c r="E1865" s="16">
        <v>45919.730474537035</v>
      </c>
      <c r="F1865">
        <v>0</v>
      </c>
    </row>
    <row r="1866" spans="1:6" x14ac:dyDescent="0.2">
      <c r="A1866">
        <v>3632</v>
      </c>
      <c r="B1866" t="s">
        <v>238</v>
      </c>
      <c r="C1866" t="s">
        <v>449</v>
      </c>
      <c r="D1866" t="s">
        <v>590</v>
      </c>
      <c r="E1866" s="16">
        <v>45793.41778935185</v>
      </c>
      <c r="F1866">
        <v>0</v>
      </c>
    </row>
    <row r="1867" spans="1:6" x14ac:dyDescent="0.2">
      <c r="A1867">
        <v>3662</v>
      </c>
      <c r="B1867" t="s">
        <v>250</v>
      </c>
      <c r="C1867" t="s">
        <v>521</v>
      </c>
      <c r="D1867" t="s">
        <v>600</v>
      </c>
      <c r="E1867" s="16">
        <v>45874.469988425924</v>
      </c>
      <c r="F1867">
        <v>0</v>
      </c>
    </row>
    <row r="1868" spans="1:6" x14ac:dyDescent="0.2">
      <c r="A1868">
        <v>3614</v>
      </c>
      <c r="B1868" t="s">
        <v>217</v>
      </c>
      <c r="C1868" t="s">
        <v>438</v>
      </c>
      <c r="D1868" t="s">
        <v>598</v>
      </c>
      <c r="E1868" s="16">
        <v>45804.680277777778</v>
      </c>
      <c r="F1868">
        <v>0</v>
      </c>
    </row>
    <row r="1869" spans="1:6" x14ac:dyDescent="0.2">
      <c r="A1869">
        <v>3681</v>
      </c>
      <c r="B1869" t="s">
        <v>289</v>
      </c>
      <c r="C1869" t="s">
        <v>436</v>
      </c>
      <c r="D1869" t="s">
        <v>579</v>
      </c>
      <c r="E1869" s="16">
        <v>45929.400717592594</v>
      </c>
      <c r="F1869">
        <v>0</v>
      </c>
    </row>
    <row r="1870" spans="1:6" x14ac:dyDescent="0.2">
      <c r="A1870">
        <v>3579</v>
      </c>
      <c r="B1870" t="s">
        <v>193</v>
      </c>
      <c r="C1870" t="s">
        <v>566</v>
      </c>
      <c r="D1870" t="s">
        <v>604</v>
      </c>
      <c r="E1870" s="16">
        <v>45809.603159722225</v>
      </c>
      <c r="F1870">
        <v>0</v>
      </c>
    </row>
    <row r="1871" spans="1:6" x14ac:dyDescent="0.2">
      <c r="A1871">
        <v>3594</v>
      </c>
      <c r="B1871" t="s">
        <v>315</v>
      </c>
      <c r="C1871" t="s">
        <v>521</v>
      </c>
      <c r="D1871" t="s">
        <v>600</v>
      </c>
      <c r="E1871" s="16">
        <v>45722.436562499999</v>
      </c>
      <c r="F1871">
        <v>0</v>
      </c>
    </row>
    <row r="1872" spans="1:6" x14ac:dyDescent="0.2">
      <c r="A1872">
        <v>3582</v>
      </c>
      <c r="B1872" t="s">
        <v>211</v>
      </c>
      <c r="C1872" t="s">
        <v>521</v>
      </c>
      <c r="D1872" t="s">
        <v>605</v>
      </c>
      <c r="E1872" s="16">
        <v>45700.446423611109</v>
      </c>
      <c r="F1872">
        <v>0</v>
      </c>
    </row>
    <row r="1873" spans="1:6" x14ac:dyDescent="0.2">
      <c r="A1873">
        <v>3598</v>
      </c>
      <c r="B1873" t="s">
        <v>318</v>
      </c>
      <c r="C1873" t="s">
        <v>521</v>
      </c>
      <c r="D1873" t="s">
        <v>600</v>
      </c>
      <c r="E1873" s="16">
        <v>45734.572442129633</v>
      </c>
      <c r="F1873">
        <v>0</v>
      </c>
    </row>
    <row r="1874" spans="1:6" x14ac:dyDescent="0.2">
      <c r="A1874">
        <v>3621</v>
      </c>
      <c r="B1874" t="s">
        <v>263</v>
      </c>
      <c r="C1874" t="s">
        <v>521</v>
      </c>
      <c r="D1874" t="s">
        <v>605</v>
      </c>
      <c r="E1874" s="16">
        <v>45766.265474537038</v>
      </c>
      <c r="F1874">
        <v>0</v>
      </c>
    </row>
    <row r="1875" spans="1:6" x14ac:dyDescent="0.2">
      <c r="A1875">
        <v>3676</v>
      </c>
      <c r="B1875" t="s">
        <v>239</v>
      </c>
      <c r="C1875" t="s">
        <v>521</v>
      </c>
      <c r="D1875" t="s">
        <v>608</v>
      </c>
      <c r="E1875" s="16">
        <v>45903.526018518518</v>
      </c>
      <c r="F1875">
        <v>0</v>
      </c>
    </row>
    <row r="1876" spans="1:6" x14ac:dyDescent="0.2">
      <c r="A1876">
        <v>3584</v>
      </c>
      <c r="B1876" t="s">
        <v>57</v>
      </c>
      <c r="C1876" t="s">
        <v>566</v>
      </c>
      <c r="D1876" t="s">
        <v>599</v>
      </c>
      <c r="E1876" s="16">
        <v>45822.495057870372</v>
      </c>
      <c r="F1876">
        <v>0</v>
      </c>
    </row>
    <row r="1877" spans="1:6" x14ac:dyDescent="0.2">
      <c r="A1877">
        <v>3694</v>
      </c>
      <c r="B1877" t="s">
        <v>614</v>
      </c>
      <c r="C1877" t="s">
        <v>521</v>
      </c>
      <c r="D1877" t="s">
        <v>600</v>
      </c>
      <c r="E1877" s="16">
        <v>45967.204062500001</v>
      </c>
      <c r="F1877">
        <v>0</v>
      </c>
    </row>
    <row r="1878" spans="1:6" x14ac:dyDescent="0.2">
      <c r="A1878">
        <v>3600</v>
      </c>
      <c r="B1878" t="s">
        <v>258</v>
      </c>
      <c r="C1878" t="s">
        <v>521</v>
      </c>
      <c r="D1878" t="s">
        <v>605</v>
      </c>
      <c r="E1878" s="16">
        <v>45741.256435185183</v>
      </c>
      <c r="F1878">
        <v>0</v>
      </c>
    </row>
    <row r="1879" spans="1:6" x14ac:dyDescent="0.2">
      <c r="A1879">
        <v>3696</v>
      </c>
      <c r="B1879" t="s">
        <v>613</v>
      </c>
      <c r="C1879" t="s">
        <v>521</v>
      </c>
      <c r="D1879" t="s">
        <v>608</v>
      </c>
      <c r="E1879" s="16">
        <v>45967.217557870368</v>
      </c>
      <c r="F1879">
        <v>0</v>
      </c>
    </row>
    <row r="1880" spans="1:6" x14ac:dyDescent="0.2">
      <c r="A1880">
        <v>3571</v>
      </c>
      <c r="B1880" t="s">
        <v>48</v>
      </c>
      <c r="C1880" t="s">
        <v>521</v>
      </c>
      <c r="D1880" t="s">
        <v>605</v>
      </c>
      <c r="E1880" s="16">
        <v>45684.453773148147</v>
      </c>
      <c r="F1880">
        <v>0</v>
      </c>
    </row>
    <row r="1881" spans="1:6" x14ac:dyDescent="0.2">
      <c r="A1881">
        <v>3696</v>
      </c>
      <c r="B1881" t="s">
        <v>613</v>
      </c>
      <c r="C1881" t="s">
        <v>521</v>
      </c>
      <c r="D1881" t="s">
        <v>600</v>
      </c>
      <c r="E1881" s="16">
        <v>45967.217557870368</v>
      </c>
      <c r="F1881">
        <v>0</v>
      </c>
    </row>
    <row r="1882" spans="1:6" x14ac:dyDescent="0.2">
      <c r="A1882">
        <v>3582</v>
      </c>
      <c r="B1882" t="s">
        <v>211</v>
      </c>
      <c r="C1882" t="s">
        <v>566</v>
      </c>
      <c r="D1882" t="s">
        <v>599</v>
      </c>
      <c r="E1882" s="16">
        <v>45835.549305555556</v>
      </c>
      <c r="F1882">
        <v>0</v>
      </c>
    </row>
    <row r="1883" spans="1:6" x14ac:dyDescent="0.2">
      <c r="A1883">
        <v>3687</v>
      </c>
      <c r="B1883" t="s">
        <v>252</v>
      </c>
      <c r="C1883" t="s">
        <v>521</v>
      </c>
      <c r="D1883" t="s">
        <v>600</v>
      </c>
      <c r="E1883" s="16">
        <v>45946.230856481481</v>
      </c>
      <c r="F1883">
        <v>0</v>
      </c>
    </row>
    <row r="1884" spans="1:6" x14ac:dyDescent="0.2">
      <c r="A1884">
        <v>3644</v>
      </c>
      <c r="B1884" t="s">
        <v>299</v>
      </c>
      <c r="C1884" t="s">
        <v>580</v>
      </c>
      <c r="D1884" t="s">
        <v>581</v>
      </c>
      <c r="E1884" s="16">
        <v>45840.619074074071</v>
      </c>
      <c r="F1884">
        <v>0</v>
      </c>
    </row>
    <row r="1885" spans="1:6" x14ac:dyDescent="0.2">
      <c r="A1885">
        <v>3697</v>
      </c>
      <c r="B1885" t="s">
        <v>616</v>
      </c>
      <c r="C1885" t="s">
        <v>521</v>
      </c>
      <c r="D1885" t="s">
        <v>600</v>
      </c>
      <c r="E1885" s="16">
        <v>45972.297453703701</v>
      </c>
      <c r="F1885">
        <v>0</v>
      </c>
    </row>
    <row r="1886" spans="1:6" x14ac:dyDescent="0.2">
      <c r="A1886">
        <v>3599</v>
      </c>
      <c r="B1886" t="s">
        <v>281</v>
      </c>
      <c r="C1886" t="s">
        <v>566</v>
      </c>
      <c r="D1886" t="s">
        <v>604</v>
      </c>
      <c r="E1886" s="16">
        <v>45851.266423611109</v>
      </c>
      <c r="F1886">
        <v>0</v>
      </c>
    </row>
    <row r="1887" spans="1:6" x14ac:dyDescent="0.2">
      <c r="A1887">
        <v>1186</v>
      </c>
      <c r="B1887" t="s">
        <v>430</v>
      </c>
      <c r="C1887" t="s">
        <v>566</v>
      </c>
      <c r="D1887" t="s">
        <v>606</v>
      </c>
      <c r="E1887" s="16">
        <v>45617.652291666665</v>
      </c>
      <c r="F1887">
        <v>0</v>
      </c>
    </row>
    <row r="1888" spans="1:6" x14ac:dyDescent="0.2">
      <c r="A1888">
        <v>3592</v>
      </c>
      <c r="B1888" t="s">
        <v>272</v>
      </c>
      <c r="C1888" t="s">
        <v>566</v>
      </c>
      <c r="D1888" t="s">
        <v>604</v>
      </c>
      <c r="E1888" s="16">
        <v>45853.296064814815</v>
      </c>
      <c r="F1888">
        <v>0</v>
      </c>
    </row>
    <row r="1889" spans="1:6" x14ac:dyDescent="0.2">
      <c r="A1889">
        <v>3579</v>
      </c>
      <c r="B1889" t="s">
        <v>193</v>
      </c>
      <c r="C1889" t="s">
        <v>521</v>
      </c>
      <c r="D1889" t="s">
        <v>608</v>
      </c>
      <c r="E1889" s="16">
        <v>45697.188518518517</v>
      </c>
      <c r="F1889">
        <v>0</v>
      </c>
    </row>
    <row r="1890" spans="1:6" x14ac:dyDescent="0.2">
      <c r="A1890">
        <v>3654</v>
      </c>
      <c r="B1890" t="s">
        <v>231</v>
      </c>
      <c r="C1890" t="s">
        <v>521</v>
      </c>
      <c r="D1890" t="s">
        <v>605</v>
      </c>
      <c r="E1890" s="16">
        <v>45853.293124999997</v>
      </c>
      <c r="F1890">
        <v>0</v>
      </c>
    </row>
    <row r="1891" spans="1:6" x14ac:dyDescent="0.2">
      <c r="A1891">
        <v>3579</v>
      </c>
      <c r="B1891" t="s">
        <v>193</v>
      </c>
      <c r="C1891" t="s">
        <v>521</v>
      </c>
      <c r="D1891" t="s">
        <v>600</v>
      </c>
      <c r="E1891" s="16">
        <v>45697.188518518517</v>
      </c>
      <c r="F1891">
        <v>0</v>
      </c>
    </row>
    <row r="1892" spans="1:6" x14ac:dyDescent="0.2">
      <c r="A1892">
        <v>3600</v>
      </c>
      <c r="B1892" t="s">
        <v>258</v>
      </c>
      <c r="C1892" t="s">
        <v>566</v>
      </c>
      <c r="D1892" t="s">
        <v>604</v>
      </c>
      <c r="E1892" s="16">
        <v>45864.26972222222</v>
      </c>
      <c r="F1892">
        <v>0</v>
      </c>
    </row>
    <row r="1893" spans="1:6" x14ac:dyDescent="0.2">
      <c r="A1893">
        <v>3589</v>
      </c>
      <c r="B1893" t="s">
        <v>301</v>
      </c>
      <c r="C1893" t="s">
        <v>580</v>
      </c>
      <c r="D1893" t="s">
        <v>583</v>
      </c>
      <c r="E1893" s="16">
        <v>45720.640740740739</v>
      </c>
      <c r="F1893">
        <v>0</v>
      </c>
    </row>
    <row r="1894" spans="1:6" x14ac:dyDescent="0.2">
      <c r="A1894">
        <v>3597</v>
      </c>
      <c r="B1894" t="s">
        <v>319</v>
      </c>
      <c r="C1894" t="s">
        <v>566</v>
      </c>
      <c r="D1894" t="s">
        <v>604</v>
      </c>
      <c r="E1894" s="16">
        <v>45864.268055555556</v>
      </c>
      <c r="F1894">
        <v>0</v>
      </c>
    </row>
    <row r="1895" spans="1:6" x14ac:dyDescent="0.2">
      <c r="A1895">
        <v>3589</v>
      </c>
      <c r="B1895" t="s">
        <v>301</v>
      </c>
      <c r="C1895" t="s">
        <v>521</v>
      </c>
      <c r="D1895" t="s">
        <v>608</v>
      </c>
      <c r="E1895" s="16">
        <v>45710.210173611114</v>
      </c>
      <c r="F1895">
        <v>0</v>
      </c>
    </row>
    <row r="1896" spans="1:6" x14ac:dyDescent="0.2">
      <c r="A1896">
        <v>3605</v>
      </c>
      <c r="B1896" t="s">
        <v>268</v>
      </c>
      <c r="C1896" t="s">
        <v>518</v>
      </c>
      <c r="D1896" t="s">
        <v>591</v>
      </c>
      <c r="E1896" s="16">
        <v>45754.448599537034</v>
      </c>
      <c r="F1896">
        <v>0</v>
      </c>
    </row>
    <row r="1897" spans="1:6" x14ac:dyDescent="0.2">
      <c r="A1897">
        <v>3562</v>
      </c>
      <c r="B1897" t="s">
        <v>49</v>
      </c>
      <c r="C1897" t="s">
        <v>521</v>
      </c>
      <c r="D1897" t="s">
        <v>608</v>
      </c>
      <c r="E1897" s="16">
        <v>45663.721226851849</v>
      </c>
      <c r="F1897">
        <v>0</v>
      </c>
    </row>
    <row r="1898" spans="1:6" x14ac:dyDescent="0.2">
      <c r="A1898">
        <v>3663</v>
      </c>
      <c r="B1898" t="s">
        <v>278</v>
      </c>
      <c r="C1898" t="s">
        <v>521</v>
      </c>
      <c r="D1898" t="s">
        <v>605</v>
      </c>
      <c r="E1898" s="16">
        <v>45875.509421296294</v>
      </c>
      <c r="F1898">
        <v>0</v>
      </c>
    </row>
    <row r="1899" spans="1:6" x14ac:dyDescent="0.2">
      <c r="A1899">
        <v>3597</v>
      </c>
      <c r="B1899" t="s">
        <v>319</v>
      </c>
      <c r="C1899" t="s">
        <v>521</v>
      </c>
      <c r="D1899" t="s">
        <v>608</v>
      </c>
      <c r="E1899" s="16">
        <v>45734.227384259262</v>
      </c>
      <c r="F1899">
        <v>0</v>
      </c>
    </row>
    <row r="1900" spans="1:6" x14ac:dyDescent="0.2">
      <c r="A1900">
        <v>3667</v>
      </c>
      <c r="B1900" t="s">
        <v>274</v>
      </c>
      <c r="C1900" t="s">
        <v>521</v>
      </c>
      <c r="D1900" t="s">
        <v>605</v>
      </c>
      <c r="E1900" s="16">
        <v>45878.286956018521</v>
      </c>
      <c r="F1900">
        <v>0</v>
      </c>
    </row>
    <row r="1901" spans="1:6" x14ac:dyDescent="0.2">
      <c r="A1901">
        <v>3615</v>
      </c>
      <c r="B1901" t="s">
        <v>236</v>
      </c>
      <c r="C1901" t="s">
        <v>521</v>
      </c>
      <c r="D1901" t="s">
        <v>608</v>
      </c>
      <c r="E1901" s="16">
        <v>45756.323969907404</v>
      </c>
      <c r="F1901">
        <v>0</v>
      </c>
    </row>
    <row r="1902" spans="1:6" x14ac:dyDescent="0.2">
      <c r="A1902">
        <v>3610</v>
      </c>
      <c r="B1902" t="s">
        <v>305</v>
      </c>
      <c r="C1902" t="s">
        <v>566</v>
      </c>
      <c r="D1902" t="s">
        <v>599</v>
      </c>
      <c r="E1902" s="16">
        <v>45878.308877314812</v>
      </c>
      <c r="F1902">
        <v>0</v>
      </c>
    </row>
    <row r="1903" spans="1:6" x14ac:dyDescent="0.2">
      <c r="A1903">
        <v>3614</v>
      </c>
      <c r="B1903" t="s">
        <v>217</v>
      </c>
      <c r="C1903" t="s">
        <v>521</v>
      </c>
      <c r="D1903" t="s">
        <v>608</v>
      </c>
      <c r="E1903" s="16">
        <v>45756.317743055559</v>
      </c>
      <c r="F1903">
        <v>0</v>
      </c>
    </row>
    <row r="1904" spans="1:6" x14ac:dyDescent="0.2">
      <c r="A1904">
        <v>3606</v>
      </c>
      <c r="B1904" t="s">
        <v>265</v>
      </c>
      <c r="C1904" t="s">
        <v>566</v>
      </c>
      <c r="D1904" t="s">
        <v>599</v>
      </c>
      <c r="E1904" s="16">
        <v>45878.303981481484</v>
      </c>
      <c r="F1904">
        <v>0</v>
      </c>
    </row>
    <row r="1905" spans="1:6" x14ac:dyDescent="0.2">
      <c r="A1905">
        <v>3618</v>
      </c>
      <c r="B1905" t="s">
        <v>325</v>
      </c>
      <c r="C1905" t="s">
        <v>521</v>
      </c>
      <c r="D1905" t="s">
        <v>608</v>
      </c>
      <c r="E1905" s="16">
        <v>45763.257731481484</v>
      </c>
      <c r="F1905">
        <v>0</v>
      </c>
    </row>
    <row r="1906" spans="1:6" x14ac:dyDescent="0.2">
      <c r="A1906">
        <v>3618</v>
      </c>
      <c r="B1906" t="s">
        <v>325</v>
      </c>
      <c r="C1906" t="s">
        <v>566</v>
      </c>
      <c r="D1906" t="s">
        <v>604</v>
      </c>
      <c r="E1906" s="16">
        <v>45878.314375000002</v>
      </c>
      <c r="F1906">
        <v>0</v>
      </c>
    </row>
    <row r="1907" spans="1:6" x14ac:dyDescent="0.2">
      <c r="A1907">
        <v>3618</v>
      </c>
      <c r="B1907" t="s">
        <v>325</v>
      </c>
      <c r="C1907" t="s">
        <v>521</v>
      </c>
      <c r="D1907" t="s">
        <v>600</v>
      </c>
      <c r="E1907" s="16">
        <v>45763.257731481484</v>
      </c>
      <c r="F1907">
        <v>0</v>
      </c>
    </row>
    <row r="1908" spans="1:6" x14ac:dyDescent="0.2">
      <c r="A1908">
        <v>3664</v>
      </c>
      <c r="B1908" t="s">
        <v>313</v>
      </c>
      <c r="C1908" t="s">
        <v>518</v>
      </c>
      <c r="D1908" t="s">
        <v>591</v>
      </c>
      <c r="E1908" s="16">
        <v>45884.568842592591</v>
      </c>
      <c r="F1908">
        <v>0</v>
      </c>
    </row>
    <row r="1909" spans="1:6" x14ac:dyDescent="0.2">
      <c r="A1909">
        <v>3616</v>
      </c>
      <c r="B1909" t="s">
        <v>249</v>
      </c>
      <c r="C1909" t="s">
        <v>521</v>
      </c>
      <c r="D1909" t="s">
        <v>608</v>
      </c>
      <c r="E1909" s="16">
        <v>45756.326620370368</v>
      </c>
      <c r="F1909">
        <v>0</v>
      </c>
    </row>
    <row r="1910" spans="1:6" x14ac:dyDescent="0.2">
      <c r="A1910">
        <v>3664</v>
      </c>
      <c r="B1910" t="s">
        <v>313</v>
      </c>
      <c r="C1910" t="s">
        <v>438</v>
      </c>
      <c r="D1910" t="s">
        <v>598</v>
      </c>
      <c r="E1910" s="16">
        <v>45883.572152777779</v>
      </c>
      <c r="F1910">
        <v>0</v>
      </c>
    </row>
    <row r="1911" spans="1:6" x14ac:dyDescent="0.2">
      <c r="A1911">
        <v>3636</v>
      </c>
      <c r="B1911" t="s">
        <v>270</v>
      </c>
      <c r="C1911" t="s">
        <v>521</v>
      </c>
      <c r="D1911" t="s">
        <v>608</v>
      </c>
      <c r="E1911" s="16">
        <v>45788.748032407406</v>
      </c>
      <c r="F1911">
        <v>0</v>
      </c>
    </row>
    <row r="1912" spans="1:6" x14ac:dyDescent="0.2">
      <c r="A1912">
        <v>3605</v>
      </c>
      <c r="B1912" t="s">
        <v>268</v>
      </c>
      <c r="C1912" t="s">
        <v>580</v>
      </c>
      <c r="D1912" t="s">
        <v>584</v>
      </c>
      <c r="E1912" s="16">
        <v>45896.549317129633</v>
      </c>
      <c r="F1912">
        <v>0</v>
      </c>
    </row>
    <row r="1913" spans="1:6" x14ac:dyDescent="0.2">
      <c r="A1913">
        <v>3637</v>
      </c>
      <c r="B1913" t="s">
        <v>304</v>
      </c>
      <c r="C1913" t="s">
        <v>521</v>
      </c>
      <c r="D1913" t="s">
        <v>600</v>
      </c>
      <c r="E1913" s="16">
        <v>45788.750347222223</v>
      </c>
      <c r="F1913">
        <v>0</v>
      </c>
    </row>
    <row r="1914" spans="1:6" x14ac:dyDescent="0.2">
      <c r="A1914">
        <v>3583</v>
      </c>
      <c r="B1914" t="s">
        <v>97</v>
      </c>
      <c r="C1914" t="s">
        <v>521</v>
      </c>
      <c r="D1914" t="s">
        <v>605</v>
      </c>
      <c r="E1914" s="16">
        <v>45701.310254629629</v>
      </c>
      <c r="F1914">
        <v>0</v>
      </c>
    </row>
    <row r="1915" spans="1:6" x14ac:dyDescent="0.2">
      <c r="A1915">
        <v>3584</v>
      </c>
      <c r="B1915" t="s">
        <v>57</v>
      </c>
      <c r="C1915" t="s">
        <v>521</v>
      </c>
      <c r="D1915" t="s">
        <v>608</v>
      </c>
      <c r="E1915" s="16">
        <v>45817.315358796295</v>
      </c>
      <c r="F1915">
        <v>0</v>
      </c>
    </row>
    <row r="1916" spans="1:6" x14ac:dyDescent="0.2">
      <c r="A1916">
        <v>3576</v>
      </c>
      <c r="B1916" t="s">
        <v>75</v>
      </c>
      <c r="C1916" t="s">
        <v>521</v>
      </c>
      <c r="D1916" t="s">
        <v>605</v>
      </c>
      <c r="E1916" s="16">
        <v>45691.699594907404</v>
      </c>
      <c r="F1916">
        <v>0</v>
      </c>
    </row>
    <row r="1917" spans="1:6" x14ac:dyDescent="0.2">
      <c r="A1917">
        <v>3600</v>
      </c>
      <c r="B1917" t="s">
        <v>258</v>
      </c>
      <c r="C1917" t="s">
        <v>521</v>
      </c>
      <c r="D1917" t="s">
        <v>608</v>
      </c>
      <c r="E1917" s="16">
        <v>45741.256435185183</v>
      </c>
      <c r="F1917">
        <v>0</v>
      </c>
    </row>
    <row r="1918" spans="1:6" x14ac:dyDescent="0.2">
      <c r="A1918">
        <v>3576</v>
      </c>
      <c r="B1918" t="s">
        <v>75</v>
      </c>
      <c r="C1918" t="s">
        <v>566</v>
      </c>
      <c r="D1918" t="s">
        <v>604</v>
      </c>
      <c r="E1918" s="16">
        <v>45809.600324074076</v>
      </c>
      <c r="F1918">
        <v>0</v>
      </c>
    </row>
    <row r="1919" spans="1:6" x14ac:dyDescent="0.2">
      <c r="A1919">
        <v>3605</v>
      </c>
      <c r="B1919" t="s">
        <v>268</v>
      </c>
      <c r="C1919" t="s">
        <v>521</v>
      </c>
      <c r="D1919" t="s">
        <v>608</v>
      </c>
      <c r="E1919" s="16">
        <v>45745.247511574074</v>
      </c>
      <c r="F1919">
        <v>0</v>
      </c>
    </row>
    <row r="1920" spans="1:6" x14ac:dyDescent="0.2">
      <c r="A1920">
        <v>3648</v>
      </c>
      <c r="B1920" t="s">
        <v>261</v>
      </c>
      <c r="C1920" t="s">
        <v>438</v>
      </c>
      <c r="D1920" t="s">
        <v>598</v>
      </c>
      <c r="E1920" s="16">
        <v>45846.46597222222</v>
      </c>
      <c r="F1920">
        <v>0</v>
      </c>
    </row>
    <row r="1921" spans="1:6" x14ac:dyDescent="0.2">
      <c r="A1921">
        <v>3660</v>
      </c>
      <c r="B1921" t="s">
        <v>285</v>
      </c>
      <c r="C1921" t="s">
        <v>521</v>
      </c>
      <c r="D1921" t="s">
        <v>600</v>
      </c>
      <c r="E1921" s="16">
        <v>45874.465428240743</v>
      </c>
      <c r="F1921">
        <v>0</v>
      </c>
    </row>
    <row r="1922" spans="1:6" x14ac:dyDescent="0.2">
      <c r="A1922">
        <v>3609</v>
      </c>
      <c r="B1922" t="s">
        <v>245</v>
      </c>
      <c r="C1922" t="s">
        <v>438</v>
      </c>
      <c r="D1922" t="s">
        <v>598</v>
      </c>
      <c r="E1922" s="16">
        <v>45775.662291666667</v>
      </c>
      <c r="F1922">
        <v>0</v>
      </c>
    </row>
    <row r="1923" spans="1:6" x14ac:dyDescent="0.2">
      <c r="A1923">
        <v>3663</v>
      </c>
      <c r="B1923" t="s">
        <v>278</v>
      </c>
      <c r="C1923" t="s">
        <v>521</v>
      </c>
      <c r="D1923" t="s">
        <v>600</v>
      </c>
      <c r="E1923" s="16">
        <v>45875.509421296294</v>
      </c>
      <c r="F1923">
        <v>0</v>
      </c>
    </row>
    <row r="1924" spans="1:6" x14ac:dyDescent="0.2">
      <c r="A1924">
        <v>3678</v>
      </c>
      <c r="B1924" t="s">
        <v>295</v>
      </c>
      <c r="C1924" t="s">
        <v>521</v>
      </c>
      <c r="D1924" t="s">
        <v>605</v>
      </c>
      <c r="E1924" s="16">
        <v>45907.655532407407</v>
      </c>
      <c r="F1924">
        <v>0</v>
      </c>
    </row>
    <row r="1925" spans="1:6" x14ac:dyDescent="0.2">
      <c r="A1925">
        <v>3660</v>
      </c>
      <c r="B1925" t="s">
        <v>285</v>
      </c>
      <c r="C1925" t="s">
        <v>580</v>
      </c>
      <c r="D1925" t="s">
        <v>583</v>
      </c>
      <c r="E1925" s="16">
        <v>45882.466400462959</v>
      </c>
      <c r="F1925">
        <v>0</v>
      </c>
    </row>
    <row r="1926" spans="1:6" x14ac:dyDescent="0.2">
      <c r="A1926">
        <v>3602</v>
      </c>
      <c r="B1926" t="s">
        <v>297</v>
      </c>
      <c r="C1926" t="s">
        <v>566</v>
      </c>
      <c r="D1926" t="s">
        <v>599</v>
      </c>
      <c r="E1926" s="16">
        <v>45907.668090277781</v>
      </c>
      <c r="F1926">
        <v>0</v>
      </c>
    </row>
    <row r="1927" spans="1:6" x14ac:dyDescent="0.2">
      <c r="A1927">
        <v>3664</v>
      </c>
      <c r="B1927" t="s">
        <v>313</v>
      </c>
      <c r="C1927" t="s">
        <v>521</v>
      </c>
      <c r="D1927" t="s">
        <v>608</v>
      </c>
      <c r="E1927" s="16">
        <v>45875.51190972222</v>
      </c>
      <c r="F1927">
        <v>0</v>
      </c>
    </row>
    <row r="1928" spans="1:6" x14ac:dyDescent="0.2">
      <c r="A1928">
        <v>3625</v>
      </c>
      <c r="B1928" t="s">
        <v>276</v>
      </c>
      <c r="C1928" t="s">
        <v>566</v>
      </c>
      <c r="D1928" t="s">
        <v>599</v>
      </c>
      <c r="E1928" s="16">
        <v>45907.676134259258</v>
      </c>
      <c r="F1928">
        <v>0</v>
      </c>
    </row>
    <row r="1929" spans="1:6" x14ac:dyDescent="0.2">
      <c r="A1929">
        <v>3568</v>
      </c>
      <c r="B1929" t="s">
        <v>210</v>
      </c>
      <c r="C1929" t="s">
        <v>521</v>
      </c>
      <c r="D1929" t="s">
        <v>600</v>
      </c>
      <c r="E1929" s="16">
        <v>45678.487685185188</v>
      </c>
      <c r="F1929">
        <v>0</v>
      </c>
    </row>
    <row r="1930" spans="1:6" x14ac:dyDescent="0.2">
      <c r="A1930">
        <v>3637</v>
      </c>
      <c r="B1930" t="s">
        <v>304</v>
      </c>
      <c r="C1930" t="s">
        <v>566</v>
      </c>
      <c r="D1930" t="s">
        <v>599</v>
      </c>
      <c r="E1930" s="16">
        <v>45907.685567129629</v>
      </c>
      <c r="F1930">
        <v>0</v>
      </c>
    </row>
    <row r="1931" spans="1:6" x14ac:dyDescent="0.2">
      <c r="A1931">
        <v>3672</v>
      </c>
      <c r="B1931" t="s">
        <v>323</v>
      </c>
      <c r="C1931" t="s">
        <v>521</v>
      </c>
      <c r="D1931" t="s">
        <v>600</v>
      </c>
      <c r="E1931" s="16">
        <v>45892.797662037039</v>
      </c>
      <c r="F1931">
        <v>0</v>
      </c>
    </row>
    <row r="1932" spans="1:6" x14ac:dyDescent="0.2">
      <c r="A1932">
        <v>3636</v>
      </c>
      <c r="B1932" t="s">
        <v>270</v>
      </c>
      <c r="C1932" t="s">
        <v>566</v>
      </c>
      <c r="D1932" t="s">
        <v>599</v>
      </c>
      <c r="E1932" s="16">
        <v>45907.680509259262</v>
      </c>
      <c r="F1932">
        <v>0</v>
      </c>
    </row>
    <row r="1933" spans="1:6" x14ac:dyDescent="0.2">
      <c r="A1933">
        <v>3648</v>
      </c>
      <c r="B1933" t="s">
        <v>261</v>
      </c>
      <c r="C1933" t="s">
        <v>521</v>
      </c>
      <c r="D1933" t="s">
        <v>608</v>
      </c>
      <c r="E1933" s="16">
        <v>45838.28570601852</v>
      </c>
      <c r="F1933">
        <v>0</v>
      </c>
    </row>
    <row r="1934" spans="1:6" x14ac:dyDescent="0.2">
      <c r="A1934">
        <v>3562</v>
      </c>
      <c r="B1934" t="s">
        <v>49</v>
      </c>
      <c r="C1934" t="s">
        <v>518</v>
      </c>
      <c r="D1934" t="s">
        <v>591</v>
      </c>
      <c r="E1934" s="16">
        <v>45909.355891203704</v>
      </c>
      <c r="F1934">
        <v>0</v>
      </c>
    </row>
    <row r="1935" spans="1:6" x14ac:dyDescent="0.2">
      <c r="A1935">
        <v>3609</v>
      </c>
      <c r="B1935" t="s">
        <v>245</v>
      </c>
      <c r="C1935" t="s">
        <v>521</v>
      </c>
      <c r="D1935" t="s">
        <v>608</v>
      </c>
      <c r="E1935" s="16">
        <v>45750.270231481481</v>
      </c>
      <c r="F1935">
        <v>0</v>
      </c>
    </row>
    <row r="1936" spans="1:6" x14ac:dyDescent="0.2">
      <c r="A1936">
        <v>2582</v>
      </c>
      <c r="B1936" t="s">
        <v>85</v>
      </c>
      <c r="C1936" t="s">
        <v>521</v>
      </c>
      <c r="D1936" t="s">
        <v>609</v>
      </c>
      <c r="E1936" s="16">
        <v>45915.38621527778</v>
      </c>
      <c r="F1936">
        <v>0</v>
      </c>
    </row>
    <row r="1937" spans="1:6" x14ac:dyDescent="0.2">
      <c r="A1937">
        <v>3609</v>
      </c>
      <c r="B1937" t="s">
        <v>245</v>
      </c>
      <c r="C1937" t="s">
        <v>580</v>
      </c>
      <c r="D1937" t="s">
        <v>583</v>
      </c>
      <c r="E1937" s="16">
        <v>45762.702604166669</v>
      </c>
      <c r="F1937">
        <v>0</v>
      </c>
    </row>
    <row r="1938" spans="1:6" x14ac:dyDescent="0.2">
      <c r="A1938">
        <v>3678</v>
      </c>
      <c r="B1938" t="s">
        <v>295</v>
      </c>
      <c r="C1938" t="s">
        <v>518</v>
      </c>
      <c r="D1938" t="s">
        <v>591</v>
      </c>
      <c r="E1938" s="16">
        <v>45916.349675925929</v>
      </c>
      <c r="F1938">
        <v>0</v>
      </c>
    </row>
    <row r="1939" spans="1:6" x14ac:dyDescent="0.2">
      <c r="A1939">
        <v>3674</v>
      </c>
      <c r="B1939" t="s">
        <v>292</v>
      </c>
      <c r="C1939" t="s">
        <v>521</v>
      </c>
      <c r="D1939" t="s">
        <v>600</v>
      </c>
      <c r="E1939" s="16">
        <v>45892.804606481484</v>
      </c>
      <c r="F1939">
        <v>0</v>
      </c>
    </row>
    <row r="1940" spans="1:6" x14ac:dyDescent="0.2">
      <c r="A1940">
        <v>3624</v>
      </c>
      <c r="B1940" t="s">
        <v>302</v>
      </c>
      <c r="C1940" t="s">
        <v>449</v>
      </c>
      <c r="D1940" t="s">
        <v>590</v>
      </c>
      <c r="E1940" s="16">
        <v>45793.536006944443</v>
      </c>
      <c r="F1940">
        <v>0</v>
      </c>
    </row>
    <row r="1941" spans="1:6" x14ac:dyDescent="0.2">
      <c r="A1941">
        <v>3585</v>
      </c>
      <c r="B1941" t="s">
        <v>314</v>
      </c>
      <c r="C1941" t="s">
        <v>521</v>
      </c>
      <c r="D1941" t="s">
        <v>608</v>
      </c>
      <c r="E1941" s="16">
        <v>45706.184282407405</v>
      </c>
      <c r="F1941">
        <v>0</v>
      </c>
    </row>
    <row r="1942" spans="1:6" x14ac:dyDescent="0.2">
      <c r="A1942">
        <v>3624</v>
      </c>
      <c r="B1942" t="s">
        <v>302</v>
      </c>
      <c r="C1942" t="s">
        <v>566</v>
      </c>
      <c r="D1942" t="s">
        <v>599</v>
      </c>
      <c r="E1942" s="16">
        <v>45907.677893518521</v>
      </c>
      <c r="F1942">
        <v>0</v>
      </c>
    </row>
    <row r="1943" spans="1:6" x14ac:dyDescent="0.2">
      <c r="A1943">
        <v>2279</v>
      </c>
      <c r="B1943" t="s">
        <v>167</v>
      </c>
      <c r="C1943" t="s">
        <v>521</v>
      </c>
      <c r="D1943" t="s">
        <v>608</v>
      </c>
      <c r="E1943" s="16">
        <v>45929.684953703705</v>
      </c>
      <c r="F1943">
        <v>0</v>
      </c>
    </row>
    <row r="1944" spans="1:6" x14ac:dyDescent="0.2">
      <c r="A1944">
        <v>3681</v>
      </c>
      <c r="B1944" t="s">
        <v>289</v>
      </c>
      <c r="C1944" t="s">
        <v>521</v>
      </c>
      <c r="D1944" t="s">
        <v>605</v>
      </c>
      <c r="E1944" s="16">
        <v>45919.730474537035</v>
      </c>
      <c r="F1944">
        <v>0</v>
      </c>
    </row>
    <row r="1945" spans="1:6" x14ac:dyDescent="0.2">
      <c r="A1945">
        <v>3598</v>
      </c>
      <c r="B1945" t="s">
        <v>318</v>
      </c>
      <c r="C1945" t="s">
        <v>580</v>
      </c>
      <c r="D1945" t="s">
        <v>583</v>
      </c>
      <c r="E1945" s="16">
        <v>45800.496134259258</v>
      </c>
      <c r="F1945">
        <v>0</v>
      </c>
    </row>
    <row r="1946" spans="1:6" x14ac:dyDescent="0.2">
      <c r="A1946">
        <v>3644</v>
      </c>
      <c r="B1946" t="s">
        <v>299</v>
      </c>
      <c r="C1946" t="s">
        <v>566</v>
      </c>
      <c r="D1946" t="s">
        <v>599</v>
      </c>
      <c r="E1946" s="16">
        <v>45935.815625000003</v>
      </c>
      <c r="F1946">
        <v>0</v>
      </c>
    </row>
    <row r="1947" spans="1:6" x14ac:dyDescent="0.2">
      <c r="A1947">
        <v>3676</v>
      </c>
      <c r="B1947" t="s">
        <v>239</v>
      </c>
      <c r="C1947" t="s">
        <v>436</v>
      </c>
      <c r="D1947" t="s">
        <v>579</v>
      </c>
      <c r="E1947" s="16">
        <v>45915.412881944445</v>
      </c>
      <c r="F1947">
        <v>0</v>
      </c>
    </row>
    <row r="1948" spans="1:6" x14ac:dyDescent="0.2">
      <c r="A1948">
        <v>3647</v>
      </c>
      <c r="B1948" t="s">
        <v>310</v>
      </c>
      <c r="C1948" t="s">
        <v>566</v>
      </c>
      <c r="D1948" t="s">
        <v>604</v>
      </c>
      <c r="E1948" s="16">
        <v>45935.82135416667</v>
      </c>
      <c r="F1948">
        <v>0</v>
      </c>
    </row>
    <row r="1949" spans="1:6" x14ac:dyDescent="0.2">
      <c r="A1949">
        <v>3690</v>
      </c>
      <c r="B1949" t="s">
        <v>235</v>
      </c>
      <c r="C1949" t="s">
        <v>521</v>
      </c>
      <c r="D1949" t="s">
        <v>608</v>
      </c>
      <c r="E1949" s="16">
        <v>45953.207881944443</v>
      </c>
      <c r="F1949">
        <v>0</v>
      </c>
    </row>
    <row r="1950" spans="1:6" x14ac:dyDescent="0.2">
      <c r="A1950">
        <v>3594</v>
      </c>
      <c r="B1950" t="s">
        <v>315</v>
      </c>
      <c r="C1950" t="s">
        <v>566</v>
      </c>
      <c r="D1950" t="s">
        <v>599</v>
      </c>
      <c r="E1950" s="16">
        <v>45851.263599537036</v>
      </c>
      <c r="F1950">
        <v>0</v>
      </c>
    </row>
    <row r="1951" spans="1:6" x14ac:dyDescent="0.2">
      <c r="A1951">
        <v>3640</v>
      </c>
      <c r="B1951" t="s">
        <v>248</v>
      </c>
      <c r="C1951" t="s">
        <v>521</v>
      </c>
      <c r="D1951" t="s">
        <v>608</v>
      </c>
      <c r="E1951" s="16">
        <v>45792.227685185186</v>
      </c>
      <c r="F1951">
        <v>0</v>
      </c>
    </row>
    <row r="1952" spans="1:6" x14ac:dyDescent="0.2">
      <c r="A1952">
        <v>3594</v>
      </c>
      <c r="B1952" t="s">
        <v>315</v>
      </c>
      <c r="C1952" t="s">
        <v>580</v>
      </c>
      <c r="D1952" t="s">
        <v>581</v>
      </c>
      <c r="E1952" s="16">
        <v>45783.340196759258</v>
      </c>
      <c r="F1952">
        <v>0</v>
      </c>
    </row>
    <row r="1953" spans="1:6" x14ac:dyDescent="0.2">
      <c r="A1953">
        <v>3645</v>
      </c>
      <c r="B1953" t="s">
        <v>320</v>
      </c>
      <c r="C1953" t="s">
        <v>521</v>
      </c>
      <c r="D1953" t="s">
        <v>600</v>
      </c>
      <c r="E1953" s="16">
        <v>45809.574849537035</v>
      </c>
      <c r="F1953">
        <v>0</v>
      </c>
    </row>
    <row r="1954" spans="1:6" x14ac:dyDescent="0.2">
      <c r="A1954">
        <v>3594</v>
      </c>
      <c r="B1954" t="s">
        <v>315</v>
      </c>
      <c r="C1954" t="s">
        <v>580</v>
      </c>
      <c r="D1954" t="s">
        <v>589</v>
      </c>
      <c r="E1954" s="16">
        <v>45783.340196759258</v>
      </c>
      <c r="F1954">
        <v>0</v>
      </c>
    </row>
    <row r="1955" spans="1:6" x14ac:dyDescent="0.2">
      <c r="A1955">
        <v>3695</v>
      </c>
      <c r="B1955" t="s">
        <v>615</v>
      </c>
      <c r="C1955" t="s">
        <v>521</v>
      </c>
      <c r="D1955" t="s">
        <v>608</v>
      </c>
      <c r="E1955" s="16">
        <v>45967.206828703704</v>
      </c>
      <c r="F1955">
        <v>0</v>
      </c>
    </row>
    <row r="1956" spans="1:6" x14ac:dyDescent="0.2">
      <c r="A1956">
        <v>3594</v>
      </c>
      <c r="B1956" t="s">
        <v>315</v>
      </c>
      <c r="C1956" t="s">
        <v>449</v>
      </c>
      <c r="D1956" t="s">
        <v>590</v>
      </c>
      <c r="E1956" s="16">
        <v>45796.32503472222</v>
      </c>
      <c r="F1956">
        <v>0</v>
      </c>
    </row>
    <row r="1957" spans="1:6" x14ac:dyDescent="0.2">
      <c r="A1957">
        <v>3598</v>
      </c>
      <c r="B1957" t="s">
        <v>318</v>
      </c>
      <c r="C1957" t="s">
        <v>521</v>
      </c>
      <c r="D1957" t="s">
        <v>605</v>
      </c>
      <c r="E1957" s="16">
        <v>45734.572442129633</v>
      </c>
      <c r="F1957">
        <v>0</v>
      </c>
    </row>
    <row r="1958" spans="1:6" x14ac:dyDescent="0.2">
      <c r="A1958">
        <v>3598</v>
      </c>
      <c r="B1958" t="s">
        <v>318</v>
      </c>
      <c r="C1958" t="s">
        <v>566</v>
      </c>
      <c r="D1958" t="s">
        <v>599</v>
      </c>
      <c r="E1958" s="16">
        <v>45878.301874999997</v>
      </c>
      <c r="F1958">
        <v>0</v>
      </c>
    </row>
    <row r="1959" spans="1:6" x14ac:dyDescent="0.2">
      <c r="A1959">
        <v>3598</v>
      </c>
      <c r="B1959" t="s">
        <v>318</v>
      </c>
      <c r="C1959" t="s">
        <v>449</v>
      </c>
      <c r="D1959" t="s">
        <v>590</v>
      </c>
      <c r="E1959" s="16">
        <v>45741.360243055555</v>
      </c>
      <c r="F1959">
        <v>0</v>
      </c>
    </row>
    <row r="1960" spans="1:6" x14ac:dyDescent="0.2">
      <c r="A1960">
        <v>3686</v>
      </c>
      <c r="B1960" t="s">
        <v>233</v>
      </c>
      <c r="C1960" t="s">
        <v>521</v>
      </c>
      <c r="D1960" t="s">
        <v>605</v>
      </c>
      <c r="E1960" s="16">
        <v>45944.226261574076</v>
      </c>
      <c r="F1960">
        <v>0</v>
      </c>
    </row>
    <row r="1961" spans="1:6" x14ac:dyDescent="0.2">
      <c r="A1961">
        <v>3677</v>
      </c>
      <c r="B1961" t="s">
        <v>283</v>
      </c>
      <c r="C1961" t="s">
        <v>518</v>
      </c>
      <c r="D1961" t="s">
        <v>591</v>
      </c>
      <c r="E1961" s="16">
        <v>45904.247858796298</v>
      </c>
      <c r="F1961">
        <v>0</v>
      </c>
    </row>
    <row r="1962" spans="1:6" x14ac:dyDescent="0.2">
      <c r="A1962">
        <v>3569</v>
      </c>
      <c r="B1962" t="s">
        <v>22</v>
      </c>
      <c r="C1962" t="s">
        <v>580</v>
      </c>
      <c r="D1962" t="s">
        <v>589</v>
      </c>
      <c r="E1962" s="16">
        <v>45924.385682870372</v>
      </c>
      <c r="F1962">
        <v>0</v>
      </c>
    </row>
    <row r="1963" spans="1:6" x14ac:dyDescent="0.2">
      <c r="A1963">
        <v>3569</v>
      </c>
      <c r="B1963" t="s">
        <v>22</v>
      </c>
      <c r="C1963" t="s">
        <v>566</v>
      </c>
      <c r="D1963" t="s">
        <v>599</v>
      </c>
      <c r="E1963" s="16">
        <v>45795.665821759256</v>
      </c>
      <c r="F1963">
        <v>0</v>
      </c>
    </row>
    <row r="1964" spans="1:6" x14ac:dyDescent="0.2">
      <c r="A1964">
        <v>3569</v>
      </c>
      <c r="B1964" t="s">
        <v>22</v>
      </c>
      <c r="C1964" t="s">
        <v>566</v>
      </c>
      <c r="D1964" t="s">
        <v>604</v>
      </c>
      <c r="E1964" s="16">
        <v>45795.665821759256</v>
      </c>
      <c r="F1964">
        <v>0</v>
      </c>
    </row>
    <row r="1965" spans="1:6" x14ac:dyDescent="0.2">
      <c r="A1965">
        <v>3640</v>
      </c>
      <c r="B1965" t="s">
        <v>248</v>
      </c>
      <c r="C1965" t="s">
        <v>566</v>
      </c>
      <c r="D1965" t="s">
        <v>599</v>
      </c>
      <c r="E1965" s="16">
        <v>45921.86546296296</v>
      </c>
      <c r="F1965">
        <v>0</v>
      </c>
    </row>
    <row r="1966" spans="1:6" x14ac:dyDescent="0.2">
      <c r="A1966">
        <v>3645</v>
      </c>
      <c r="B1966" t="s">
        <v>320</v>
      </c>
      <c r="C1966" t="s">
        <v>566</v>
      </c>
      <c r="D1966" t="s">
        <v>604</v>
      </c>
      <c r="E1966" s="16">
        <v>45935.820324074077</v>
      </c>
      <c r="F1966">
        <v>0</v>
      </c>
    </row>
    <row r="1967" spans="1:6" x14ac:dyDescent="0.2">
      <c r="A1967">
        <v>3645</v>
      </c>
      <c r="B1967" t="s">
        <v>320</v>
      </c>
      <c r="C1967" t="s">
        <v>449</v>
      </c>
      <c r="D1967" t="s">
        <v>590</v>
      </c>
      <c r="E1967" s="16">
        <v>45817.464525462965</v>
      </c>
      <c r="F1967">
        <v>0</v>
      </c>
    </row>
    <row r="1968" spans="1:6" x14ac:dyDescent="0.2">
      <c r="A1968">
        <v>3648</v>
      </c>
      <c r="B1968" t="s">
        <v>261</v>
      </c>
      <c r="C1968" t="s">
        <v>566</v>
      </c>
      <c r="D1968" t="s">
        <v>604</v>
      </c>
      <c r="E1968" s="16">
        <v>45962.245011574072</v>
      </c>
      <c r="F1968">
        <v>0</v>
      </c>
    </row>
    <row r="1969" spans="1:6" x14ac:dyDescent="0.2">
      <c r="A1969">
        <v>3654</v>
      </c>
      <c r="B1969" t="s">
        <v>231</v>
      </c>
      <c r="C1969" t="s">
        <v>566</v>
      </c>
      <c r="D1969" t="s">
        <v>599</v>
      </c>
      <c r="E1969" s="16">
        <v>45962.250092592592</v>
      </c>
      <c r="F1969">
        <v>0</v>
      </c>
    </row>
    <row r="1970" spans="1:6" x14ac:dyDescent="0.2">
      <c r="A1970">
        <v>3654</v>
      </c>
      <c r="B1970" t="s">
        <v>231</v>
      </c>
      <c r="C1970" t="s">
        <v>566</v>
      </c>
      <c r="D1970" t="s">
        <v>604</v>
      </c>
      <c r="E1970" s="16">
        <v>45962.250092592592</v>
      </c>
      <c r="F197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79681c-f3b9-4bcc-9fb9-3b2e795e4887" xsi:nil="true"/>
    <lcf76f155ced4ddcb4097134ff3c332f xmlns="aaf18d18-7023-454c-9b19-0c3c87a4b0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A133D36113844AADD28E1104104AAD" ma:contentTypeVersion="17" ma:contentTypeDescription="Create a new document." ma:contentTypeScope="" ma:versionID="65f55074cd683be06e9bd7cc16e5334c">
  <xsd:schema xmlns:xsd="http://www.w3.org/2001/XMLSchema" xmlns:xs="http://www.w3.org/2001/XMLSchema" xmlns:p="http://schemas.microsoft.com/office/2006/metadata/properties" xmlns:ns2="aaf18d18-7023-454c-9b19-0c3c87a4b040" xmlns:ns3="d579681c-f3b9-4bcc-9fb9-3b2e795e4887" targetNamespace="http://schemas.microsoft.com/office/2006/metadata/properties" ma:root="true" ma:fieldsID="2afc5d6db57b3ed6ebd31a302133674b" ns2:_="" ns3:_="">
    <xsd:import namespace="aaf18d18-7023-454c-9b19-0c3c87a4b040"/>
    <xsd:import namespace="d579681c-f3b9-4bcc-9fb9-3b2e795e48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18d18-7023-454c-9b19-0c3c87a4b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ad9bcf2-a8fd-452b-92df-b99a2683a9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9681c-f3b9-4bcc-9fb9-3b2e795e488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416da6c-44a1-49bd-bb49-fad072d1f0a6}" ma:internalName="TaxCatchAll" ma:showField="CatchAllData" ma:web="d579681c-f3b9-4bcc-9fb9-3b2e795e4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47216-B9B8-4774-9F39-29C5ACDF3027}">
  <ds:schemaRefs>
    <ds:schemaRef ds:uri="http://schemas.microsoft.com/office/2006/metadata/properties"/>
    <ds:schemaRef ds:uri="http://schemas.microsoft.com/office/2006/documentManagement/types"/>
    <ds:schemaRef ds:uri="aaf18d18-7023-454c-9b19-0c3c87a4b040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d579681c-f3b9-4bcc-9fb9-3b2e795e488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4EF5F64-3DD4-46DD-B0DF-51A41D17B7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532E77-C217-42C8-9D24-9AA332AD44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f18d18-7023-454c-9b19-0c3c87a4b040"/>
    <ds:schemaRef ds:uri="d579681c-f3b9-4bcc-9fb9-3b2e795e48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MonthlyMetric</vt:lpstr>
      <vt:lpstr>MonthlyMetricFullData</vt:lpstr>
      <vt:lpstr>MasterTutor</vt:lpstr>
      <vt:lpstr>AnnualReview</vt:lpstr>
      <vt:lpstr>SubjectAddition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Tyler Harrington</cp:lastModifiedBy>
  <cp:revision/>
  <dcterms:created xsi:type="dcterms:W3CDTF">2025-10-09T16:13:00Z</dcterms:created>
  <dcterms:modified xsi:type="dcterms:W3CDTF">2025-12-08T12:38:54Z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0x01010019A133D36113844AADD28E1104104AAD</vt:lpwstr>
  </property>
  <property fmtid="{D5CDD505-2E9C-101B-9397-08002B2CF9AE}" pid="3" name="MediaServiceImageTags">
    <vt:lpwstr/>
  </property>
</Properties>
</file>